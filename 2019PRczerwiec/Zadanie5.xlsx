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19PRczerwiec\"/>
    </mc:Choice>
  </mc:AlternateContent>
  <xr:revisionPtr revIDLastSave="0" documentId="13_ncr:1_{1DFF7329-776C-43BD-96D4-17086C85AC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5" r:id="rId1"/>
    <sheet name="2" sheetId="6" r:id="rId2"/>
    <sheet name="3" sheetId="7" r:id="rId3"/>
    <sheet name="4" sheetId="8" r:id="rId4"/>
    <sheet name="dane" sheetId="4" r:id="rId5"/>
  </sheets>
  <definedNames>
    <definedName name="ExternalData_1" localSheetId="0" hidden="1">'1'!$B$1:$C$184</definedName>
    <definedName name="ExternalData_1" localSheetId="1" hidden="1">'2'!$B$1:$C$184</definedName>
    <definedName name="ExternalData_1" localSheetId="2" hidden="1">'3'!$B$1:$C$184</definedName>
    <definedName name="ExternalData_1" localSheetId="3" hidden="1">'4'!$B$1:$C$185</definedName>
    <definedName name="ExternalData_1" localSheetId="4" hidden="1">dane!$B$1:$C$184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8" l="1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2" i="8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I184" i="8" a="1"/>
  <c r="I184" i="8" s="1"/>
  <c r="I183" i="8" a="1"/>
  <c r="I183" i="8" s="1"/>
  <c r="I182" i="8" a="1"/>
  <c r="I182" i="8" s="1"/>
  <c r="I181" i="8" a="1"/>
  <c r="I181" i="8" s="1"/>
  <c r="I180" i="8" a="1"/>
  <c r="I180" i="8" s="1"/>
  <c r="I179" i="8" a="1"/>
  <c r="I179" i="8" s="1"/>
  <c r="I178" i="8" a="1"/>
  <c r="I178" i="8" s="1"/>
  <c r="I177" i="8" a="1"/>
  <c r="I177" i="8" s="1"/>
  <c r="I176" i="8" a="1"/>
  <c r="I176" i="8" s="1"/>
  <c r="I175" i="8" a="1"/>
  <c r="I175" i="8" s="1"/>
  <c r="I174" i="8" a="1"/>
  <c r="I174" i="8" s="1"/>
  <c r="E174" i="8"/>
  <c r="I173" i="8" a="1"/>
  <c r="I173" i="8" s="1"/>
  <c r="I172" i="8" a="1"/>
  <c r="I172" i="8" s="1"/>
  <c r="I171" i="8" a="1"/>
  <c r="I171" i="8" s="1"/>
  <c r="E171" i="8"/>
  <c r="I170" i="8" a="1"/>
  <c r="I170" i="8" s="1"/>
  <c r="I169" i="8" a="1"/>
  <c r="I169" i="8" s="1"/>
  <c r="E169" i="8"/>
  <c r="I168" i="8" a="1"/>
  <c r="I168" i="8" s="1"/>
  <c r="E168" i="8"/>
  <c r="I167" i="8" a="1"/>
  <c r="I167" i="8" s="1"/>
  <c r="I166" i="8" a="1"/>
  <c r="I166" i="8" s="1"/>
  <c r="I165" i="8" a="1"/>
  <c r="I165" i="8" s="1"/>
  <c r="E165" i="8"/>
  <c r="I164" i="8" a="1"/>
  <c r="I164" i="8" s="1"/>
  <c r="I163" i="8" a="1"/>
  <c r="I163" i="8" s="1"/>
  <c r="I162" i="8" a="1"/>
  <c r="I162" i="8" s="1"/>
  <c r="E162" i="8"/>
  <c r="I161" i="8" a="1"/>
  <c r="I161" i="8" s="1"/>
  <c r="I160" i="8" a="1"/>
  <c r="I160" i="8" s="1"/>
  <c r="E160" i="8"/>
  <c r="I159" i="8" a="1"/>
  <c r="I159" i="8" s="1"/>
  <c r="I158" i="8" a="1"/>
  <c r="I158" i="8" s="1"/>
  <c r="E158" i="8"/>
  <c r="I157" i="8" a="1"/>
  <c r="I157" i="8" s="1"/>
  <c r="I156" i="8" a="1"/>
  <c r="I156" i="8" s="1"/>
  <c r="I155" i="8" a="1"/>
  <c r="I155" i="8" s="1"/>
  <c r="E155" i="8"/>
  <c r="I154" i="8" a="1"/>
  <c r="I154" i="8" s="1"/>
  <c r="I153" i="8" a="1"/>
  <c r="I153" i="8" s="1"/>
  <c r="I152" i="8" a="1"/>
  <c r="I152" i="8" s="1"/>
  <c r="E152" i="8"/>
  <c r="I151" i="8" a="1"/>
  <c r="I151" i="8" s="1"/>
  <c r="E151" i="8"/>
  <c r="I150" i="8" a="1"/>
  <c r="I150" i="8" s="1"/>
  <c r="I149" i="8" a="1"/>
  <c r="I149" i="8" s="1"/>
  <c r="E149" i="8"/>
  <c r="I148" i="8" a="1"/>
  <c r="I148" i="8" s="1"/>
  <c r="E148" i="8"/>
  <c r="I147" i="8" a="1"/>
  <c r="I147" i="8" s="1"/>
  <c r="E147" i="8"/>
  <c r="I146" i="8" a="1"/>
  <c r="I146" i="8" s="1"/>
  <c r="I145" i="8" a="1"/>
  <c r="I145" i="8" s="1"/>
  <c r="I144" i="8" a="1"/>
  <c r="I144" i="8" s="1"/>
  <c r="I143" i="8" a="1"/>
  <c r="I143" i="8" s="1"/>
  <c r="I142" i="8" a="1"/>
  <c r="I142" i="8" s="1"/>
  <c r="I141" i="8"/>
  <c r="I141" i="8" a="1"/>
  <c r="I140" i="8" a="1"/>
  <c r="I140" i="8" s="1"/>
  <c r="E140" i="8"/>
  <c r="I139" i="8" a="1"/>
  <c r="I139" i="8" s="1"/>
  <c r="I138" i="8" a="1"/>
  <c r="I138" i="8" s="1"/>
  <c r="E138" i="8"/>
  <c r="I137" i="8" a="1"/>
  <c r="I137" i="8" s="1"/>
  <c r="I136" i="8" a="1"/>
  <c r="I136" i="8" s="1"/>
  <c r="E136" i="8"/>
  <c r="I135" i="8" a="1"/>
  <c r="I135" i="8" s="1"/>
  <c r="E135" i="8"/>
  <c r="I134" i="8" a="1"/>
  <c r="I134" i="8" s="1"/>
  <c r="I133" i="8" a="1"/>
  <c r="I133" i="8" s="1"/>
  <c r="I132" i="8" a="1"/>
  <c r="I132" i="8" s="1"/>
  <c r="I131" i="8" a="1"/>
  <c r="I131" i="8" s="1"/>
  <c r="I130" i="8" a="1"/>
  <c r="I130" i="8" s="1"/>
  <c r="I129" i="8" a="1"/>
  <c r="I129" i="8" s="1"/>
  <c r="I128" i="8" a="1"/>
  <c r="I128" i="8" s="1"/>
  <c r="I127" i="8" a="1"/>
  <c r="I127" i="8" s="1"/>
  <c r="I126" i="8" a="1"/>
  <c r="I126" i="8" s="1"/>
  <c r="I125" i="8" a="1"/>
  <c r="I125" i="8" s="1"/>
  <c r="I124" i="8" a="1"/>
  <c r="I124" i="8" s="1"/>
  <c r="I123" i="8" a="1"/>
  <c r="I123" i="8" s="1"/>
  <c r="I122" i="8" a="1"/>
  <c r="I122" i="8" s="1"/>
  <c r="I121" i="8" a="1"/>
  <c r="I121" i="8" s="1"/>
  <c r="I120" i="8" a="1"/>
  <c r="I120" i="8" s="1"/>
  <c r="E120" i="8"/>
  <c r="I119" i="8" a="1"/>
  <c r="I119" i="8" s="1"/>
  <c r="E119" i="8"/>
  <c r="I118" i="8" a="1"/>
  <c r="I118" i="8" s="1"/>
  <c r="I117" i="8" a="1"/>
  <c r="I117" i="8" s="1"/>
  <c r="E117" i="8"/>
  <c r="I116" i="8" a="1"/>
  <c r="I116" i="8" s="1"/>
  <c r="I115" i="8" a="1"/>
  <c r="I115" i="8" s="1"/>
  <c r="I114" i="8" a="1"/>
  <c r="I114" i="8" s="1"/>
  <c r="I113" i="8" a="1"/>
  <c r="I113" i="8" s="1"/>
  <c r="E113" i="8"/>
  <c r="I112" i="8" a="1"/>
  <c r="I112" i="8" s="1"/>
  <c r="I111" i="8" a="1"/>
  <c r="I111" i="8" s="1"/>
  <c r="E111" i="8"/>
  <c r="I110" i="8" a="1"/>
  <c r="I110" i="8" s="1"/>
  <c r="I109" i="8" a="1"/>
  <c r="I109" i="8" s="1"/>
  <c r="I108" i="8" a="1"/>
  <c r="I108" i="8" s="1"/>
  <c r="I107" i="8" a="1"/>
  <c r="I107" i="8" s="1"/>
  <c r="I106" i="8" a="1"/>
  <c r="I106" i="8" s="1"/>
  <c r="I105" i="8" a="1"/>
  <c r="I105" i="8" s="1"/>
  <c r="E105" i="8"/>
  <c r="I104" i="8" a="1"/>
  <c r="I104" i="8" s="1"/>
  <c r="E104" i="8"/>
  <c r="I103" i="8" a="1"/>
  <c r="I103" i="8" s="1"/>
  <c r="I102" i="8" a="1"/>
  <c r="I102" i="8" s="1"/>
  <c r="E102" i="8"/>
  <c r="I101" i="8" a="1"/>
  <c r="I101" i="8" s="1"/>
  <c r="E101" i="8"/>
  <c r="I100" i="8" a="1"/>
  <c r="I100" i="8" s="1"/>
  <c r="E100" i="8"/>
  <c r="I99" i="8" a="1"/>
  <c r="I99" i="8" s="1"/>
  <c r="E99" i="8"/>
  <c r="I98" i="8" a="1"/>
  <c r="I98" i="8" s="1"/>
  <c r="I97" i="8" a="1"/>
  <c r="I97" i="8" s="1"/>
  <c r="I96" i="8" a="1"/>
  <c r="I96" i="8" s="1"/>
  <c r="I95" i="8" a="1"/>
  <c r="I95" i="8" s="1"/>
  <c r="I94" i="8" a="1"/>
  <c r="I94" i="8" s="1"/>
  <c r="I93" i="8" a="1"/>
  <c r="I93" i="8" s="1"/>
  <c r="I92" i="8" a="1"/>
  <c r="I92" i="8" s="1"/>
  <c r="I91" i="8" a="1"/>
  <c r="I91" i="8" s="1"/>
  <c r="I90" i="8" a="1"/>
  <c r="I90" i="8" s="1"/>
  <c r="I89" i="8" a="1"/>
  <c r="I89" i="8" s="1"/>
  <c r="E89" i="8"/>
  <c r="I88" i="8" a="1"/>
  <c r="I88" i="8" s="1"/>
  <c r="E88" i="8"/>
  <c r="I87" i="8" a="1"/>
  <c r="I87" i="8" s="1"/>
  <c r="I86" i="8" a="1"/>
  <c r="I86" i="8" s="1"/>
  <c r="I85" i="8" a="1"/>
  <c r="I85" i="8" s="1"/>
  <c r="E85" i="8"/>
  <c r="I84" i="8" a="1"/>
  <c r="I84" i="8" s="1"/>
  <c r="E84" i="8"/>
  <c r="I83" i="8" a="1"/>
  <c r="I83" i="8" s="1"/>
  <c r="I82" i="8" a="1"/>
  <c r="I82" i="8" s="1"/>
  <c r="E82" i="8"/>
  <c r="I81" i="8" a="1"/>
  <c r="I81" i="8" s="1"/>
  <c r="E81" i="8"/>
  <c r="I80" i="8" a="1"/>
  <c r="I80" i="8" s="1"/>
  <c r="E80" i="8"/>
  <c r="I79" i="8" a="1"/>
  <c r="I79" i="8" s="1"/>
  <c r="I78" i="8" a="1"/>
  <c r="I78" i="8" s="1"/>
  <c r="I77" i="8" a="1"/>
  <c r="I77" i="8" s="1"/>
  <c r="I76" i="8" a="1"/>
  <c r="I76" i="8" s="1"/>
  <c r="I75" i="8" a="1"/>
  <c r="I75" i="8" s="1"/>
  <c r="E75" i="8"/>
  <c r="I74" i="8" a="1"/>
  <c r="I74" i="8" s="1"/>
  <c r="E74" i="8"/>
  <c r="I73" i="8" a="1"/>
  <c r="I73" i="8" s="1"/>
  <c r="I72" i="8" a="1"/>
  <c r="I72" i="8" s="1"/>
  <c r="I71" i="8" a="1"/>
  <c r="I71" i="8" s="1"/>
  <c r="E71" i="8"/>
  <c r="I70" i="8" a="1"/>
  <c r="I70" i="8" s="1"/>
  <c r="E70" i="8"/>
  <c r="I69" i="8" a="1"/>
  <c r="I69" i="8" s="1"/>
  <c r="E69" i="8"/>
  <c r="I68" i="8" a="1"/>
  <c r="I68" i="8" s="1"/>
  <c r="I67" i="8" a="1"/>
  <c r="I67" i="8" s="1"/>
  <c r="I66" i="8" a="1"/>
  <c r="I66" i="8" s="1"/>
  <c r="I65" i="8" a="1"/>
  <c r="I65" i="8" s="1"/>
  <c r="I64" i="8" a="1"/>
  <c r="I64" i="8" s="1"/>
  <c r="E64" i="8"/>
  <c r="I63" i="8" a="1"/>
  <c r="I63" i="8" s="1"/>
  <c r="E63" i="8"/>
  <c r="I62" i="8" a="1"/>
  <c r="I62" i="8" s="1"/>
  <c r="I61" i="8" a="1"/>
  <c r="I61" i="8" s="1"/>
  <c r="I60" i="8" a="1"/>
  <c r="I60" i="8" s="1"/>
  <c r="I59" i="8" a="1"/>
  <c r="I59" i="8" s="1"/>
  <c r="E59" i="8"/>
  <c r="I58" i="8" a="1"/>
  <c r="I58" i="8" s="1"/>
  <c r="I57" i="8" a="1"/>
  <c r="I57" i="8" s="1"/>
  <c r="I56" i="8" a="1"/>
  <c r="I56" i="8" s="1"/>
  <c r="I55" i="8" a="1"/>
  <c r="I55" i="8" s="1"/>
  <c r="E55" i="8"/>
  <c r="I54" i="8" a="1"/>
  <c r="I54" i="8" s="1"/>
  <c r="E54" i="8"/>
  <c r="I53" i="8" a="1"/>
  <c r="I53" i="8" s="1"/>
  <c r="E53" i="8"/>
  <c r="I52" i="8" a="1"/>
  <c r="I52" i="8" s="1"/>
  <c r="E52" i="8"/>
  <c r="I51" i="8" a="1"/>
  <c r="I51" i="8" s="1"/>
  <c r="E51" i="8"/>
  <c r="I50" i="8" a="1"/>
  <c r="I50" i="8" s="1"/>
  <c r="E50" i="8"/>
  <c r="I49" i="8" a="1"/>
  <c r="I49" i="8" s="1"/>
  <c r="E49" i="8"/>
  <c r="I48" i="8" a="1"/>
  <c r="I48" i="8" s="1"/>
  <c r="E48" i="8"/>
  <c r="I47" i="8" a="1"/>
  <c r="I47" i="8" s="1"/>
  <c r="E47" i="8"/>
  <c r="I46" i="8" a="1"/>
  <c r="I46" i="8" s="1"/>
  <c r="I45" i="8" a="1"/>
  <c r="I45" i="8" s="1"/>
  <c r="I44" i="8" a="1"/>
  <c r="I44" i="8" s="1"/>
  <c r="I43" i="8" a="1"/>
  <c r="I43" i="8" s="1"/>
  <c r="E43" i="8"/>
  <c r="I42" i="8" a="1"/>
  <c r="I42" i="8" s="1"/>
  <c r="I41" i="8" a="1"/>
  <c r="I41" i="8" s="1"/>
  <c r="E41" i="8"/>
  <c r="I40" i="8" a="1"/>
  <c r="I40" i="8" s="1"/>
  <c r="E40" i="8"/>
  <c r="I39" i="8" a="1"/>
  <c r="I39" i="8" s="1"/>
  <c r="I38" i="8" a="1"/>
  <c r="I38" i="8" s="1"/>
  <c r="I37" i="8" a="1"/>
  <c r="I37" i="8" s="1"/>
  <c r="I36" i="8" a="1"/>
  <c r="I36" i="8" s="1"/>
  <c r="E36" i="8"/>
  <c r="I35" i="8" a="1"/>
  <c r="I35" i="8" s="1"/>
  <c r="E35" i="8"/>
  <c r="I34" i="8" a="1"/>
  <c r="I34" i="8" s="1"/>
  <c r="E34" i="8"/>
  <c r="I33" i="8" a="1"/>
  <c r="I33" i="8" s="1"/>
  <c r="E33" i="8"/>
  <c r="I32" i="8" a="1"/>
  <c r="I32" i="8" s="1"/>
  <c r="E32" i="8"/>
  <c r="I31" i="8" a="1"/>
  <c r="I31" i="8" s="1"/>
  <c r="I30" i="8" a="1"/>
  <c r="I30" i="8" s="1"/>
  <c r="I29" i="8" a="1"/>
  <c r="I29" i="8" s="1"/>
  <c r="E29" i="8"/>
  <c r="I28" i="8" a="1"/>
  <c r="I28" i="8" s="1"/>
  <c r="E28" i="8"/>
  <c r="I27" i="8" a="1"/>
  <c r="I27" i="8" s="1"/>
  <c r="I26" i="8" a="1"/>
  <c r="I26" i="8" s="1"/>
  <c r="E26" i="8"/>
  <c r="I25" i="8" a="1"/>
  <c r="I25" i="8" s="1"/>
  <c r="E25" i="8"/>
  <c r="I24" i="8" a="1"/>
  <c r="I24" i="8" s="1"/>
  <c r="E24" i="8"/>
  <c r="I23" i="8" a="1"/>
  <c r="I23" i="8" s="1"/>
  <c r="E23" i="8"/>
  <c r="I22" i="8" a="1"/>
  <c r="I22" i="8" s="1"/>
  <c r="E22" i="8"/>
  <c r="I21" i="8" a="1"/>
  <c r="I21" i="8" s="1"/>
  <c r="E21" i="8"/>
  <c r="I20" i="8" a="1"/>
  <c r="I20" i="8" s="1"/>
  <c r="I19" i="8" a="1"/>
  <c r="I19" i="8" s="1"/>
  <c r="I18" i="8" a="1"/>
  <c r="I18" i="8" s="1"/>
  <c r="I17" i="8" a="1"/>
  <c r="I17" i="8" s="1"/>
  <c r="I16" i="8" a="1"/>
  <c r="I16" i="8" s="1"/>
  <c r="I15" i="8" a="1"/>
  <c r="I15" i="8" s="1"/>
  <c r="I14" i="8" a="1"/>
  <c r="I14" i="8" s="1"/>
  <c r="E14" i="8"/>
  <c r="I13" i="8" a="1"/>
  <c r="I13" i="8" s="1"/>
  <c r="E13" i="8"/>
  <c r="I12" i="8" a="1"/>
  <c r="I12" i="8" s="1"/>
  <c r="E12" i="8"/>
  <c r="I11" i="8" a="1"/>
  <c r="I11" i="8" s="1"/>
  <c r="E11" i="8"/>
  <c r="I10" i="8" a="1"/>
  <c r="I10" i="8" s="1"/>
  <c r="E10" i="8"/>
  <c r="I9" i="8" a="1"/>
  <c r="I9" i="8" s="1"/>
  <c r="E9" i="8"/>
  <c r="I8" i="8" a="1"/>
  <c r="I8" i="8" s="1"/>
  <c r="E8" i="8"/>
  <c r="I7" i="8" a="1"/>
  <c r="I7" i="8" s="1"/>
  <c r="I6" i="8" a="1"/>
  <c r="I6" i="8" s="1"/>
  <c r="I5" i="8" a="1"/>
  <c r="I5" i="8" s="1"/>
  <c r="E5" i="8"/>
  <c r="I4" i="8" a="1"/>
  <c r="I4" i="8" s="1"/>
  <c r="E4" i="8"/>
  <c r="I3" i="8" a="1"/>
  <c r="I3" i="8" s="1"/>
  <c r="E3" i="8"/>
  <c r="I2" i="8" a="1"/>
  <c r="I2" i="8" s="1"/>
  <c r="G2" i="8"/>
  <c r="F2" i="8"/>
  <c r="E2" i="8"/>
  <c r="Q4" i="7"/>
  <c r="Q5" i="7"/>
  <c r="Q6" i="7"/>
  <c r="Q7" i="7"/>
  <c r="Q8" i="7"/>
  <c r="Q9" i="7"/>
  <c r="Q3" i="7"/>
  <c r="P4" i="7"/>
  <c r="P5" i="7"/>
  <c r="P6" i="7"/>
  <c r="P7" i="7"/>
  <c r="P8" i="7"/>
  <c r="P3" i="7"/>
  <c r="I184" i="7" a="1"/>
  <c r="I184" i="7" s="1"/>
  <c r="I183" i="7" a="1"/>
  <c r="I183" i="7" s="1"/>
  <c r="I182" i="7" a="1"/>
  <c r="I182" i="7" s="1"/>
  <c r="I181" i="7" a="1"/>
  <c r="I181" i="7" s="1"/>
  <c r="I180" i="7" a="1"/>
  <c r="I180" i="7" s="1"/>
  <c r="I179" i="7" a="1"/>
  <c r="I179" i="7" s="1"/>
  <c r="I178" i="7" a="1"/>
  <c r="I178" i="7" s="1"/>
  <c r="I177" i="7" a="1"/>
  <c r="I177" i="7" s="1"/>
  <c r="I176" i="7" a="1"/>
  <c r="I176" i="7" s="1"/>
  <c r="I175" i="7" a="1"/>
  <c r="I175" i="7" s="1"/>
  <c r="I174" i="7" a="1"/>
  <c r="I174" i="7" s="1"/>
  <c r="E174" i="7"/>
  <c r="I173" i="7" a="1"/>
  <c r="I173" i="7" s="1"/>
  <c r="I172" i="7" a="1"/>
  <c r="I172" i="7" s="1"/>
  <c r="I171" i="7" a="1"/>
  <c r="I171" i="7" s="1"/>
  <c r="E171" i="7"/>
  <c r="I170" i="7" a="1"/>
  <c r="I170" i="7" s="1"/>
  <c r="I169" i="7" a="1"/>
  <c r="I169" i="7" s="1"/>
  <c r="E169" i="7"/>
  <c r="I168" i="7" a="1"/>
  <c r="I168" i="7" s="1"/>
  <c r="E168" i="7"/>
  <c r="I167" i="7" a="1"/>
  <c r="I167" i="7" s="1"/>
  <c r="I166" i="7" a="1"/>
  <c r="I166" i="7" s="1"/>
  <c r="I165" i="7" a="1"/>
  <c r="I165" i="7" s="1"/>
  <c r="E165" i="7"/>
  <c r="I164" i="7" a="1"/>
  <c r="I164" i="7" s="1"/>
  <c r="I163" i="7" a="1"/>
  <c r="I163" i="7" s="1"/>
  <c r="I162" i="7" a="1"/>
  <c r="I162" i="7" s="1"/>
  <c r="E162" i="7"/>
  <c r="I161" i="7" a="1"/>
  <c r="I161" i="7" s="1"/>
  <c r="I160" i="7" a="1"/>
  <c r="I160" i="7" s="1"/>
  <c r="E160" i="7"/>
  <c r="I159" i="7" a="1"/>
  <c r="I159" i="7" s="1"/>
  <c r="I158" i="7" a="1"/>
  <c r="I158" i="7" s="1"/>
  <c r="E158" i="7"/>
  <c r="I157" i="7" a="1"/>
  <c r="I157" i="7" s="1"/>
  <c r="I156" i="7" a="1"/>
  <c r="I156" i="7" s="1"/>
  <c r="I155" i="7" a="1"/>
  <c r="I155" i="7" s="1"/>
  <c r="E155" i="7"/>
  <c r="I154" i="7" a="1"/>
  <c r="I154" i="7" s="1"/>
  <c r="I153" i="7" a="1"/>
  <c r="I153" i="7" s="1"/>
  <c r="I152" i="7" a="1"/>
  <c r="I152" i="7" s="1"/>
  <c r="E152" i="7"/>
  <c r="I151" i="7" a="1"/>
  <c r="I151" i="7" s="1"/>
  <c r="E151" i="7"/>
  <c r="I150" i="7" a="1"/>
  <c r="I150" i="7" s="1"/>
  <c r="I149" i="7" a="1"/>
  <c r="I149" i="7" s="1"/>
  <c r="E149" i="7"/>
  <c r="I148" i="7" a="1"/>
  <c r="I148" i="7" s="1"/>
  <c r="E148" i="7"/>
  <c r="I147" i="7" a="1"/>
  <c r="I147" i="7" s="1"/>
  <c r="E147" i="7"/>
  <c r="I146" i="7" a="1"/>
  <c r="I146" i="7" s="1"/>
  <c r="I145" i="7" a="1"/>
  <c r="I145" i="7" s="1"/>
  <c r="I144" i="7" a="1"/>
  <c r="I144" i="7" s="1"/>
  <c r="I143" i="7" a="1"/>
  <c r="I143" i="7" s="1"/>
  <c r="I142" i="7" a="1"/>
  <c r="I142" i="7" s="1"/>
  <c r="I141" i="7" a="1"/>
  <c r="I141" i="7" s="1"/>
  <c r="I140" i="7" a="1"/>
  <c r="I140" i="7" s="1"/>
  <c r="E140" i="7"/>
  <c r="I139" i="7" a="1"/>
  <c r="I139" i="7" s="1"/>
  <c r="I138" i="7" a="1"/>
  <c r="I138" i="7" s="1"/>
  <c r="E138" i="7"/>
  <c r="I137" i="7" a="1"/>
  <c r="I137" i="7" s="1"/>
  <c r="I136" i="7" a="1"/>
  <c r="I136" i="7" s="1"/>
  <c r="E136" i="7"/>
  <c r="I135" i="7" a="1"/>
  <c r="I135" i="7" s="1"/>
  <c r="E135" i="7"/>
  <c r="I134" i="7" a="1"/>
  <c r="I134" i="7" s="1"/>
  <c r="I133" i="7" a="1"/>
  <c r="I133" i="7" s="1"/>
  <c r="I132" i="7" a="1"/>
  <c r="I132" i="7" s="1"/>
  <c r="I131" i="7" a="1"/>
  <c r="I131" i="7" s="1"/>
  <c r="I130" i="7" a="1"/>
  <c r="I130" i="7" s="1"/>
  <c r="I129" i="7" a="1"/>
  <c r="I129" i="7" s="1"/>
  <c r="I128" i="7" a="1"/>
  <c r="I128" i="7" s="1"/>
  <c r="I127" i="7" a="1"/>
  <c r="I127" i="7" s="1"/>
  <c r="I126" i="7" a="1"/>
  <c r="I126" i="7" s="1"/>
  <c r="I125" i="7" a="1"/>
  <c r="I125" i="7" s="1"/>
  <c r="I124" i="7" a="1"/>
  <c r="I124" i="7" s="1"/>
  <c r="I123" i="7" a="1"/>
  <c r="I123" i="7" s="1"/>
  <c r="I122" i="7" a="1"/>
  <c r="I122" i="7" s="1"/>
  <c r="I121" i="7" a="1"/>
  <c r="I121" i="7" s="1"/>
  <c r="I120" i="7" a="1"/>
  <c r="I120" i="7" s="1"/>
  <c r="E120" i="7"/>
  <c r="I119" i="7" a="1"/>
  <c r="I119" i="7" s="1"/>
  <c r="E119" i="7"/>
  <c r="I118" i="7" a="1"/>
  <c r="I118" i="7" s="1"/>
  <c r="I117" i="7" a="1"/>
  <c r="I117" i="7" s="1"/>
  <c r="E117" i="7"/>
  <c r="I116" i="7" a="1"/>
  <c r="I116" i="7" s="1"/>
  <c r="I115" i="7" a="1"/>
  <c r="I115" i="7" s="1"/>
  <c r="I114" i="7" a="1"/>
  <c r="I114" i="7" s="1"/>
  <c r="I113" i="7" a="1"/>
  <c r="I113" i="7" s="1"/>
  <c r="E113" i="7"/>
  <c r="I112" i="7" a="1"/>
  <c r="I112" i="7" s="1"/>
  <c r="I111" i="7" a="1"/>
  <c r="I111" i="7" s="1"/>
  <c r="E111" i="7"/>
  <c r="I110" i="7" a="1"/>
  <c r="I110" i="7" s="1"/>
  <c r="I109" i="7" a="1"/>
  <c r="I109" i="7" s="1"/>
  <c r="I108" i="7" a="1"/>
  <c r="I108" i="7" s="1"/>
  <c r="I107" i="7" a="1"/>
  <c r="I107" i="7" s="1"/>
  <c r="I106" i="7" a="1"/>
  <c r="I106" i="7" s="1"/>
  <c r="I105" i="7" a="1"/>
  <c r="I105" i="7" s="1"/>
  <c r="E105" i="7"/>
  <c r="I104" i="7" a="1"/>
  <c r="I104" i="7" s="1"/>
  <c r="E104" i="7"/>
  <c r="I103" i="7" a="1"/>
  <c r="I103" i="7" s="1"/>
  <c r="I102" i="7" a="1"/>
  <c r="I102" i="7" s="1"/>
  <c r="E102" i="7"/>
  <c r="I101" i="7" a="1"/>
  <c r="I101" i="7" s="1"/>
  <c r="E101" i="7"/>
  <c r="I100" i="7" a="1"/>
  <c r="I100" i="7" s="1"/>
  <c r="E100" i="7"/>
  <c r="I99" i="7" a="1"/>
  <c r="I99" i="7" s="1"/>
  <c r="E99" i="7"/>
  <c r="I98" i="7" a="1"/>
  <c r="I98" i="7" s="1"/>
  <c r="I97" i="7"/>
  <c r="I97" i="7" a="1"/>
  <c r="I96" i="7" a="1"/>
  <c r="I96" i="7" s="1"/>
  <c r="I95" i="7" a="1"/>
  <c r="I95" i="7" s="1"/>
  <c r="I94" i="7" a="1"/>
  <c r="I94" i="7" s="1"/>
  <c r="I93" i="7" a="1"/>
  <c r="I93" i="7" s="1"/>
  <c r="I92" i="7" a="1"/>
  <c r="I92" i="7" s="1"/>
  <c r="I91" i="7" a="1"/>
  <c r="I91" i="7" s="1"/>
  <c r="I90" i="7" a="1"/>
  <c r="I90" i="7" s="1"/>
  <c r="I89" i="7" a="1"/>
  <c r="I89" i="7" s="1"/>
  <c r="E89" i="7"/>
  <c r="I88" i="7" a="1"/>
  <c r="I88" i="7" s="1"/>
  <c r="E88" i="7"/>
  <c r="I87" i="7" a="1"/>
  <c r="I87" i="7" s="1"/>
  <c r="I86" i="7" a="1"/>
  <c r="I86" i="7" s="1"/>
  <c r="I85" i="7" a="1"/>
  <c r="I85" i="7" s="1"/>
  <c r="E85" i="7"/>
  <c r="I84" i="7" a="1"/>
  <c r="I84" i="7" s="1"/>
  <c r="E84" i="7"/>
  <c r="I83" i="7" a="1"/>
  <c r="I83" i="7" s="1"/>
  <c r="I82" i="7" a="1"/>
  <c r="I82" i="7" s="1"/>
  <c r="E82" i="7"/>
  <c r="I81" i="7" a="1"/>
  <c r="I81" i="7" s="1"/>
  <c r="E81" i="7"/>
  <c r="I80" i="7" a="1"/>
  <c r="I80" i="7" s="1"/>
  <c r="E80" i="7"/>
  <c r="I79" i="7" a="1"/>
  <c r="I79" i="7" s="1"/>
  <c r="I78" i="7" a="1"/>
  <c r="I78" i="7" s="1"/>
  <c r="I77" i="7" a="1"/>
  <c r="I77" i="7" s="1"/>
  <c r="I76" i="7" a="1"/>
  <c r="I76" i="7" s="1"/>
  <c r="I75" i="7" a="1"/>
  <c r="I75" i="7" s="1"/>
  <c r="E75" i="7"/>
  <c r="I74" i="7" a="1"/>
  <c r="I74" i="7" s="1"/>
  <c r="E74" i="7"/>
  <c r="I73" i="7" a="1"/>
  <c r="I73" i="7" s="1"/>
  <c r="I72" i="7" a="1"/>
  <c r="I72" i="7" s="1"/>
  <c r="I71" i="7" a="1"/>
  <c r="I71" i="7" s="1"/>
  <c r="E71" i="7"/>
  <c r="I70" i="7" a="1"/>
  <c r="I70" i="7" s="1"/>
  <c r="E70" i="7"/>
  <c r="I69" i="7" a="1"/>
  <c r="I69" i="7" s="1"/>
  <c r="E69" i="7"/>
  <c r="I68" i="7"/>
  <c r="I68" i="7" a="1"/>
  <c r="I67" i="7" a="1"/>
  <c r="I67" i="7" s="1"/>
  <c r="I66" i="7" a="1"/>
  <c r="I66" i="7" s="1"/>
  <c r="I65" i="7" a="1"/>
  <c r="I65" i="7" s="1"/>
  <c r="I64" i="7" a="1"/>
  <c r="I64" i="7" s="1"/>
  <c r="E64" i="7"/>
  <c r="I63" i="7" a="1"/>
  <c r="I63" i="7" s="1"/>
  <c r="E63" i="7"/>
  <c r="I62" i="7" a="1"/>
  <c r="I62" i="7" s="1"/>
  <c r="I61" i="7" a="1"/>
  <c r="I61" i="7" s="1"/>
  <c r="I60" i="7" a="1"/>
  <c r="I60" i="7" s="1"/>
  <c r="I59" i="7" a="1"/>
  <c r="I59" i="7" s="1"/>
  <c r="E59" i="7"/>
  <c r="I58" i="7" a="1"/>
  <c r="I58" i="7" s="1"/>
  <c r="I57" i="7" a="1"/>
  <c r="I57" i="7" s="1"/>
  <c r="I56" i="7" a="1"/>
  <c r="I56" i="7" s="1"/>
  <c r="I55" i="7" a="1"/>
  <c r="I55" i="7" s="1"/>
  <c r="E55" i="7"/>
  <c r="I54" i="7" a="1"/>
  <c r="I54" i="7" s="1"/>
  <c r="E54" i="7"/>
  <c r="I53" i="7" a="1"/>
  <c r="I53" i="7" s="1"/>
  <c r="E53" i="7"/>
  <c r="I52" i="7" a="1"/>
  <c r="I52" i="7" s="1"/>
  <c r="E52" i="7"/>
  <c r="I51" i="7" a="1"/>
  <c r="I51" i="7" s="1"/>
  <c r="E51" i="7"/>
  <c r="I50" i="7" a="1"/>
  <c r="I50" i="7" s="1"/>
  <c r="E50" i="7"/>
  <c r="I49" i="7" a="1"/>
  <c r="I49" i="7" s="1"/>
  <c r="E49" i="7"/>
  <c r="I48" i="7" a="1"/>
  <c r="I48" i="7" s="1"/>
  <c r="E48" i="7"/>
  <c r="I47" i="7" a="1"/>
  <c r="I47" i="7" s="1"/>
  <c r="E47" i="7"/>
  <c r="I46" i="7" a="1"/>
  <c r="I46" i="7" s="1"/>
  <c r="I45" i="7" a="1"/>
  <c r="I45" i="7" s="1"/>
  <c r="I44" i="7" a="1"/>
  <c r="I44" i="7" s="1"/>
  <c r="I43" i="7" a="1"/>
  <c r="I43" i="7" s="1"/>
  <c r="E43" i="7"/>
  <c r="I42" i="7" a="1"/>
  <c r="I42" i="7" s="1"/>
  <c r="I41" i="7" a="1"/>
  <c r="I41" i="7" s="1"/>
  <c r="E41" i="7"/>
  <c r="I40" i="7" a="1"/>
  <c r="I40" i="7" s="1"/>
  <c r="E40" i="7"/>
  <c r="I39" i="7" a="1"/>
  <c r="I39" i="7" s="1"/>
  <c r="I38" i="7" a="1"/>
  <c r="I38" i="7" s="1"/>
  <c r="I37" i="7" a="1"/>
  <c r="I37" i="7" s="1"/>
  <c r="I36" i="7"/>
  <c r="I36" i="7" a="1"/>
  <c r="E36" i="7"/>
  <c r="I35" i="7" a="1"/>
  <c r="I35" i="7" s="1"/>
  <c r="E35" i="7"/>
  <c r="I34" i="7" a="1"/>
  <c r="I34" i="7" s="1"/>
  <c r="E34" i="7"/>
  <c r="I33" i="7" a="1"/>
  <c r="I33" i="7" s="1"/>
  <c r="E33" i="7"/>
  <c r="I32" i="7" a="1"/>
  <c r="I32" i="7" s="1"/>
  <c r="E32" i="7"/>
  <c r="I31" i="7" a="1"/>
  <c r="I31" i="7" s="1"/>
  <c r="I30" i="7" a="1"/>
  <c r="I30" i="7" s="1"/>
  <c r="I29" i="7" a="1"/>
  <c r="I29" i="7" s="1"/>
  <c r="E29" i="7"/>
  <c r="I28" i="7" a="1"/>
  <c r="I28" i="7" s="1"/>
  <c r="E28" i="7"/>
  <c r="I27" i="7" a="1"/>
  <c r="I27" i="7" s="1"/>
  <c r="I26" i="7" a="1"/>
  <c r="I26" i="7" s="1"/>
  <c r="E26" i="7"/>
  <c r="I25" i="7" a="1"/>
  <c r="I25" i="7" s="1"/>
  <c r="E25" i="7"/>
  <c r="I24" i="7" a="1"/>
  <c r="I24" i="7" s="1"/>
  <c r="E24" i="7"/>
  <c r="I23" i="7" a="1"/>
  <c r="I23" i="7" s="1"/>
  <c r="E23" i="7"/>
  <c r="I22" i="7" a="1"/>
  <c r="I22" i="7" s="1"/>
  <c r="E22" i="7"/>
  <c r="I21" i="7" a="1"/>
  <c r="I21" i="7" s="1"/>
  <c r="E21" i="7"/>
  <c r="I20" i="7" a="1"/>
  <c r="I20" i="7" s="1"/>
  <c r="I19" i="7" a="1"/>
  <c r="I19" i="7" s="1"/>
  <c r="I18" i="7" a="1"/>
  <c r="I18" i="7" s="1"/>
  <c r="I17" i="7" a="1"/>
  <c r="I17" i="7" s="1"/>
  <c r="I16" i="7" a="1"/>
  <c r="I16" i="7" s="1"/>
  <c r="I15" i="7" a="1"/>
  <c r="I15" i="7" s="1"/>
  <c r="I14" i="7" a="1"/>
  <c r="I14" i="7" s="1"/>
  <c r="E14" i="7"/>
  <c r="I13" i="7" a="1"/>
  <c r="I13" i="7" s="1"/>
  <c r="E13" i="7"/>
  <c r="I12" i="7" a="1"/>
  <c r="I12" i="7" s="1"/>
  <c r="E12" i="7"/>
  <c r="I11" i="7" a="1"/>
  <c r="I11" i="7" s="1"/>
  <c r="E11" i="7"/>
  <c r="I10" i="7" a="1"/>
  <c r="I10" i="7" s="1"/>
  <c r="E10" i="7"/>
  <c r="I9" i="7" a="1"/>
  <c r="I9" i="7" s="1"/>
  <c r="E9" i="7"/>
  <c r="I8" i="7" a="1"/>
  <c r="I8" i="7" s="1"/>
  <c r="E8" i="7"/>
  <c r="I7" i="7" a="1"/>
  <c r="I7" i="7" s="1"/>
  <c r="I6" i="7"/>
  <c r="I6" i="7" a="1"/>
  <c r="I5" i="7" a="1"/>
  <c r="I5" i="7" s="1"/>
  <c r="E5" i="7"/>
  <c r="I4" i="7" a="1"/>
  <c r="I4" i="7" s="1"/>
  <c r="E4" i="7"/>
  <c r="I3" i="7" a="1"/>
  <c r="I3" i="7" s="1"/>
  <c r="E3" i="7"/>
  <c r="I2" i="7" a="1"/>
  <c r="I2" i="7" s="1"/>
  <c r="G2" i="7"/>
  <c r="E2" i="7"/>
  <c r="F2" i="7" s="1"/>
  <c r="I184" i="6" a="1"/>
  <c r="I184" i="6" s="1"/>
  <c r="I183" i="6" a="1"/>
  <c r="I183" i="6" s="1"/>
  <c r="I182" i="6"/>
  <c r="I182" i="6" a="1"/>
  <c r="I181" i="6" a="1"/>
  <c r="I181" i="6" s="1"/>
  <c r="I180" i="6" a="1"/>
  <c r="I180" i="6" s="1"/>
  <c r="I179" i="6" a="1"/>
  <c r="I179" i="6" s="1"/>
  <c r="I178" i="6" a="1"/>
  <c r="I178" i="6" s="1"/>
  <c r="I177" i="6" a="1"/>
  <c r="I177" i="6" s="1"/>
  <c r="I176" i="6"/>
  <c r="I176" i="6" a="1"/>
  <c r="I175" i="6" a="1"/>
  <c r="I175" i="6" s="1"/>
  <c r="I174" i="6" a="1"/>
  <c r="I174" i="6" s="1"/>
  <c r="E174" i="6"/>
  <c r="I173" i="6" a="1"/>
  <c r="I173" i="6" s="1"/>
  <c r="I172" i="6" a="1"/>
  <c r="I172" i="6" s="1"/>
  <c r="I171" i="6" a="1"/>
  <c r="I171" i="6" s="1"/>
  <c r="E171" i="6"/>
  <c r="I170" i="6"/>
  <c r="I170" i="6" a="1"/>
  <c r="I169" i="6" a="1"/>
  <c r="I169" i="6" s="1"/>
  <c r="E169" i="6"/>
  <c r="I168" i="6" a="1"/>
  <c r="I168" i="6" s="1"/>
  <c r="E168" i="6"/>
  <c r="I167" i="6" a="1"/>
  <c r="I167" i="6" s="1"/>
  <c r="I166" i="6" a="1"/>
  <c r="I166" i="6" s="1"/>
  <c r="I165" i="6" a="1"/>
  <c r="I165" i="6" s="1"/>
  <c r="E165" i="6"/>
  <c r="I164" i="6"/>
  <c r="I164" i="6" a="1"/>
  <c r="I163" i="6" a="1"/>
  <c r="I163" i="6" s="1"/>
  <c r="I162" i="6" a="1"/>
  <c r="I162" i="6" s="1"/>
  <c r="E162" i="6"/>
  <c r="I161" i="6" a="1"/>
  <c r="I161" i="6" s="1"/>
  <c r="I160" i="6" a="1"/>
  <c r="I160" i="6" s="1"/>
  <c r="E160" i="6"/>
  <c r="I159" i="6" a="1"/>
  <c r="I159" i="6" s="1"/>
  <c r="I158" i="6"/>
  <c r="I158" i="6" a="1"/>
  <c r="E158" i="6"/>
  <c r="I157" i="6" a="1"/>
  <c r="I157" i="6" s="1"/>
  <c r="I156" i="6" a="1"/>
  <c r="I156" i="6" s="1"/>
  <c r="I155" i="6" a="1"/>
  <c r="I155" i="6" s="1"/>
  <c r="E155" i="6"/>
  <c r="I154" i="6" a="1"/>
  <c r="I154" i="6" s="1"/>
  <c r="I153" i="6" a="1"/>
  <c r="I153" i="6" s="1"/>
  <c r="I152" i="6"/>
  <c r="I152" i="6" a="1"/>
  <c r="E152" i="6"/>
  <c r="I151" i="6"/>
  <c r="I151" i="6" a="1"/>
  <c r="E151" i="6"/>
  <c r="I150" i="6" a="1"/>
  <c r="I150" i="6" s="1"/>
  <c r="I149" i="6" a="1"/>
  <c r="I149" i="6" s="1"/>
  <c r="E149" i="6"/>
  <c r="I148" i="6" a="1"/>
  <c r="I148" i="6" s="1"/>
  <c r="E148" i="6"/>
  <c r="I147" i="6" a="1"/>
  <c r="I147" i="6" s="1"/>
  <c r="E147" i="6"/>
  <c r="I146" i="6"/>
  <c r="I146" i="6" a="1"/>
  <c r="I145" i="6" a="1"/>
  <c r="I145" i="6" s="1"/>
  <c r="I144" i="6" a="1"/>
  <c r="I144" i="6" s="1"/>
  <c r="I143" i="6" a="1"/>
  <c r="I143" i="6" s="1"/>
  <c r="I142" i="6" a="1"/>
  <c r="I142" i="6" s="1"/>
  <c r="I141" i="6" a="1"/>
  <c r="I141" i="6" s="1"/>
  <c r="I140" i="6"/>
  <c r="I140" i="6" a="1"/>
  <c r="E140" i="6"/>
  <c r="I139" i="6" a="1"/>
  <c r="I139" i="6" s="1"/>
  <c r="I138" i="6" a="1"/>
  <c r="I138" i="6" s="1"/>
  <c r="E138" i="6"/>
  <c r="I137" i="6" a="1"/>
  <c r="I137" i="6" s="1"/>
  <c r="I136" i="6" a="1"/>
  <c r="I136" i="6" s="1"/>
  <c r="E136" i="6"/>
  <c r="I135" i="6" a="1"/>
  <c r="I135" i="6" s="1"/>
  <c r="E135" i="6"/>
  <c r="I134" i="6" a="1"/>
  <c r="I134" i="6" s="1"/>
  <c r="I133" i="6" a="1"/>
  <c r="I133" i="6" s="1"/>
  <c r="I132" i="6" a="1"/>
  <c r="I132" i="6" s="1"/>
  <c r="I131" i="6" a="1"/>
  <c r="I131" i="6" s="1"/>
  <c r="I130" i="6" a="1"/>
  <c r="I130" i="6" s="1"/>
  <c r="I129" i="6" a="1"/>
  <c r="I129" i="6" s="1"/>
  <c r="I128" i="6" a="1"/>
  <c r="I128" i="6" s="1"/>
  <c r="I127" i="6" a="1"/>
  <c r="I127" i="6" s="1"/>
  <c r="I126" i="6" a="1"/>
  <c r="I126" i="6" s="1"/>
  <c r="I125" i="6" a="1"/>
  <c r="I125" i="6" s="1"/>
  <c r="I124" i="6" a="1"/>
  <c r="I124" i="6" s="1"/>
  <c r="I123" i="6" a="1"/>
  <c r="I123" i="6" s="1"/>
  <c r="I122" i="6" a="1"/>
  <c r="I122" i="6" s="1"/>
  <c r="I121" i="6" a="1"/>
  <c r="I121" i="6" s="1"/>
  <c r="I120" i="6" a="1"/>
  <c r="I120" i="6" s="1"/>
  <c r="E120" i="6"/>
  <c r="I119" i="6" a="1"/>
  <c r="I119" i="6" s="1"/>
  <c r="E119" i="6"/>
  <c r="I118" i="6" a="1"/>
  <c r="I118" i="6" s="1"/>
  <c r="I117" i="6" a="1"/>
  <c r="I117" i="6" s="1"/>
  <c r="E117" i="6"/>
  <c r="I116" i="6" a="1"/>
  <c r="I116" i="6" s="1"/>
  <c r="I115" i="6" a="1"/>
  <c r="I115" i="6" s="1"/>
  <c r="I114" i="6" a="1"/>
  <c r="I114" i="6" s="1"/>
  <c r="I113" i="6" a="1"/>
  <c r="I113" i="6" s="1"/>
  <c r="E113" i="6"/>
  <c r="I112" i="6" a="1"/>
  <c r="I112" i="6" s="1"/>
  <c r="I111" i="6" a="1"/>
  <c r="I111" i="6" s="1"/>
  <c r="E111" i="6"/>
  <c r="I110" i="6" a="1"/>
  <c r="I110" i="6" s="1"/>
  <c r="I109" i="6" a="1"/>
  <c r="I109" i="6" s="1"/>
  <c r="I108" i="6" a="1"/>
  <c r="I108" i="6" s="1"/>
  <c r="I107" i="6" a="1"/>
  <c r="I107" i="6" s="1"/>
  <c r="I106" i="6" a="1"/>
  <c r="I106" i="6" s="1"/>
  <c r="I105" i="6" a="1"/>
  <c r="I105" i="6" s="1"/>
  <c r="E105" i="6"/>
  <c r="I104" i="6" a="1"/>
  <c r="I104" i="6" s="1"/>
  <c r="E104" i="6"/>
  <c r="I103" i="6"/>
  <c r="I103" i="6" a="1"/>
  <c r="I102" i="6" a="1"/>
  <c r="I102" i="6" s="1"/>
  <c r="E102" i="6"/>
  <c r="I101" i="6" a="1"/>
  <c r="I101" i="6" s="1"/>
  <c r="E101" i="6"/>
  <c r="I100" i="6" a="1"/>
  <c r="I100" i="6" s="1"/>
  <c r="E100" i="6"/>
  <c r="I99" i="6" a="1"/>
  <c r="I99" i="6" s="1"/>
  <c r="E99" i="6"/>
  <c r="I98" i="6" a="1"/>
  <c r="I98" i="6" s="1"/>
  <c r="I97" i="6" a="1"/>
  <c r="I97" i="6" s="1"/>
  <c r="I96" i="6" a="1"/>
  <c r="I96" i="6" s="1"/>
  <c r="I95" i="6" a="1"/>
  <c r="I95" i="6" s="1"/>
  <c r="I94" i="6" a="1"/>
  <c r="I94" i="6" s="1"/>
  <c r="I93" i="6" a="1"/>
  <c r="I93" i="6" s="1"/>
  <c r="I92" i="6" a="1"/>
  <c r="I92" i="6" s="1"/>
  <c r="I91" i="6"/>
  <c r="I91" i="6" a="1"/>
  <c r="I90" i="6" a="1"/>
  <c r="I90" i="6" s="1"/>
  <c r="I89" i="6" a="1"/>
  <c r="I89" i="6" s="1"/>
  <c r="E89" i="6"/>
  <c r="I88" i="6" a="1"/>
  <c r="I88" i="6" s="1"/>
  <c r="E88" i="6"/>
  <c r="I87" i="6" a="1"/>
  <c r="I87" i="6" s="1"/>
  <c r="I86" i="6"/>
  <c r="I86" i="6" a="1"/>
  <c r="I85" i="6" a="1"/>
  <c r="I85" i="6" s="1"/>
  <c r="E85" i="6"/>
  <c r="I84" i="6"/>
  <c r="I84" i="6" a="1"/>
  <c r="E84" i="6"/>
  <c r="I83" i="6" a="1"/>
  <c r="I83" i="6" s="1"/>
  <c r="I82" i="6" a="1"/>
  <c r="I82" i="6" s="1"/>
  <c r="E82" i="6"/>
  <c r="I81" i="6" a="1"/>
  <c r="I81" i="6" s="1"/>
  <c r="E81" i="6"/>
  <c r="I80" i="6"/>
  <c r="I80" i="6" a="1"/>
  <c r="E80" i="6"/>
  <c r="I79" i="6" a="1"/>
  <c r="I79" i="6" s="1"/>
  <c r="I78" i="6" a="1"/>
  <c r="I78" i="6" s="1"/>
  <c r="I77" i="6" a="1"/>
  <c r="I77" i="6" s="1"/>
  <c r="I76" i="6" a="1"/>
  <c r="I76" i="6" s="1"/>
  <c r="I75" i="6" a="1"/>
  <c r="I75" i="6" s="1"/>
  <c r="E75" i="6"/>
  <c r="I74" i="6" a="1"/>
  <c r="I74" i="6" s="1"/>
  <c r="E74" i="6"/>
  <c r="I73" i="6" a="1"/>
  <c r="I73" i="6" s="1"/>
  <c r="I72" i="6" a="1"/>
  <c r="I72" i="6" s="1"/>
  <c r="I71" i="6" a="1"/>
  <c r="I71" i="6" s="1"/>
  <c r="E71" i="6"/>
  <c r="I70" i="6" a="1"/>
  <c r="I70" i="6" s="1"/>
  <c r="E70" i="6"/>
  <c r="I69" i="6"/>
  <c r="I69" i="6" a="1"/>
  <c r="E69" i="6"/>
  <c r="I68" i="6" a="1"/>
  <c r="I68" i="6" s="1"/>
  <c r="I67" i="6"/>
  <c r="I67" i="6" a="1"/>
  <c r="I66" i="6" a="1"/>
  <c r="I66" i="6" s="1"/>
  <c r="I65" i="6" a="1"/>
  <c r="I65" i="6" s="1"/>
  <c r="I64" i="6" a="1"/>
  <c r="I64" i="6" s="1"/>
  <c r="E64" i="6"/>
  <c r="I63" i="6" a="1"/>
  <c r="I63" i="6" s="1"/>
  <c r="E63" i="6"/>
  <c r="I62" i="6" a="1"/>
  <c r="I62" i="6" s="1"/>
  <c r="I61" i="6"/>
  <c r="I61" i="6" a="1"/>
  <c r="I60" i="6" a="1"/>
  <c r="I60" i="6" s="1"/>
  <c r="I59" i="6" a="1"/>
  <c r="I59" i="6" s="1"/>
  <c r="E59" i="6"/>
  <c r="I58" i="6" a="1"/>
  <c r="I58" i="6" s="1"/>
  <c r="I57" i="6"/>
  <c r="I57" i="6" a="1"/>
  <c r="I56" i="6" a="1"/>
  <c r="I56" i="6" s="1"/>
  <c r="I55" i="6" a="1"/>
  <c r="I55" i="6" s="1"/>
  <c r="E55" i="6"/>
  <c r="I54" i="6" a="1"/>
  <c r="I54" i="6" s="1"/>
  <c r="E54" i="6"/>
  <c r="I53" i="6" a="1"/>
  <c r="I53" i="6" s="1"/>
  <c r="E53" i="6"/>
  <c r="I52" i="6" a="1"/>
  <c r="I52" i="6" s="1"/>
  <c r="E52" i="6"/>
  <c r="I51" i="6" a="1"/>
  <c r="I51" i="6" s="1"/>
  <c r="E51" i="6"/>
  <c r="I50" i="6" a="1"/>
  <c r="I50" i="6" s="1"/>
  <c r="E50" i="6"/>
  <c r="I49" i="6" a="1"/>
  <c r="I49" i="6" s="1"/>
  <c r="E49" i="6"/>
  <c r="I48" i="6" a="1"/>
  <c r="I48" i="6" s="1"/>
  <c r="E48" i="6"/>
  <c r="I47" i="6" a="1"/>
  <c r="I47" i="6" s="1"/>
  <c r="E47" i="6"/>
  <c r="I46" i="6" a="1"/>
  <c r="I46" i="6" s="1"/>
  <c r="I45" i="6" a="1"/>
  <c r="I45" i="6" s="1"/>
  <c r="I44" i="6" a="1"/>
  <c r="I44" i="6" s="1"/>
  <c r="I43" i="6" a="1"/>
  <c r="I43" i="6" s="1"/>
  <c r="E43" i="6"/>
  <c r="I42" i="6" a="1"/>
  <c r="I42" i="6" s="1"/>
  <c r="I41" i="6" a="1"/>
  <c r="I41" i="6" s="1"/>
  <c r="E41" i="6"/>
  <c r="I40" i="6" a="1"/>
  <c r="I40" i="6" s="1"/>
  <c r="E40" i="6"/>
  <c r="I39" i="6" a="1"/>
  <c r="I39" i="6" s="1"/>
  <c r="I38" i="6" a="1"/>
  <c r="I38" i="6" s="1"/>
  <c r="I37" i="6" a="1"/>
  <c r="I37" i="6" s="1"/>
  <c r="I36" i="6" a="1"/>
  <c r="I36" i="6" s="1"/>
  <c r="E36" i="6"/>
  <c r="I35" i="6" a="1"/>
  <c r="I35" i="6" s="1"/>
  <c r="E35" i="6"/>
  <c r="I34" i="6" a="1"/>
  <c r="I34" i="6" s="1"/>
  <c r="E34" i="6"/>
  <c r="I33" i="6" a="1"/>
  <c r="I33" i="6" s="1"/>
  <c r="E33" i="6"/>
  <c r="I32" i="6" a="1"/>
  <c r="I32" i="6" s="1"/>
  <c r="E32" i="6"/>
  <c r="I31" i="6" a="1"/>
  <c r="I31" i="6" s="1"/>
  <c r="I30" i="6" a="1"/>
  <c r="I30" i="6" s="1"/>
  <c r="I29" i="6" a="1"/>
  <c r="I29" i="6" s="1"/>
  <c r="E29" i="6"/>
  <c r="I28" i="6" a="1"/>
  <c r="I28" i="6" s="1"/>
  <c r="E28" i="6"/>
  <c r="I27" i="6" a="1"/>
  <c r="I27" i="6" s="1"/>
  <c r="I26" i="6"/>
  <c r="I26" i="6" a="1"/>
  <c r="E26" i="6"/>
  <c r="I25" i="6" a="1"/>
  <c r="I25" i="6" s="1"/>
  <c r="E25" i="6"/>
  <c r="I24" i="6"/>
  <c r="I24" i="6" a="1"/>
  <c r="E24" i="6"/>
  <c r="I23" i="6" a="1"/>
  <c r="I23" i="6" s="1"/>
  <c r="E23" i="6"/>
  <c r="I22" i="6" a="1"/>
  <c r="I22" i="6" s="1"/>
  <c r="E22" i="6"/>
  <c r="I21" i="6" a="1"/>
  <c r="I21" i="6" s="1"/>
  <c r="E21" i="6"/>
  <c r="I20" i="6" a="1"/>
  <c r="I20" i="6" s="1"/>
  <c r="I19" i="6" a="1"/>
  <c r="I19" i="6" s="1"/>
  <c r="I18" i="6" a="1"/>
  <c r="I18" i="6" s="1"/>
  <c r="I17" i="6" a="1"/>
  <c r="I17" i="6" s="1"/>
  <c r="I16" i="6" a="1"/>
  <c r="I16" i="6" s="1"/>
  <c r="I15" i="6" a="1"/>
  <c r="I15" i="6" s="1"/>
  <c r="I14" i="6"/>
  <c r="I14" i="6" a="1"/>
  <c r="E14" i="6"/>
  <c r="I13" i="6" a="1"/>
  <c r="I13" i="6" s="1"/>
  <c r="E13" i="6"/>
  <c r="I12" i="6" a="1"/>
  <c r="I12" i="6" s="1"/>
  <c r="E12" i="6"/>
  <c r="I11" i="6" a="1"/>
  <c r="I11" i="6" s="1"/>
  <c r="E11" i="6"/>
  <c r="I10" i="6" a="1"/>
  <c r="I10" i="6" s="1"/>
  <c r="E10" i="6"/>
  <c r="I9" i="6" a="1"/>
  <c r="I9" i="6" s="1"/>
  <c r="E9" i="6"/>
  <c r="I8" i="6" a="1"/>
  <c r="I8" i="6" s="1"/>
  <c r="E8" i="6"/>
  <c r="I7" i="6" a="1"/>
  <c r="I7" i="6" s="1"/>
  <c r="I6" i="6" a="1"/>
  <c r="I6" i="6" s="1"/>
  <c r="I5" i="6" a="1"/>
  <c r="I5" i="6" s="1"/>
  <c r="E5" i="6"/>
  <c r="I4" i="6" a="1"/>
  <c r="I4" i="6" s="1"/>
  <c r="E4" i="6"/>
  <c r="I3" i="6" a="1"/>
  <c r="I3" i="6" s="1"/>
  <c r="E3" i="6"/>
  <c r="I2" i="6" a="1"/>
  <c r="I2" i="6" s="1"/>
  <c r="G2" i="6"/>
  <c r="E2" i="6"/>
  <c r="F2" i="6" s="1"/>
  <c r="H2" i="6" s="1"/>
  <c r="I184" i="5" a="1"/>
  <c r="I184" i="5" s="1"/>
  <c r="I183" i="5" a="1"/>
  <c r="I183" i="5" s="1"/>
  <c r="I182" i="5"/>
  <c r="I182" i="5" a="1"/>
  <c r="I181" i="5" a="1"/>
  <c r="I181" i="5" s="1"/>
  <c r="I180" i="5" a="1"/>
  <c r="I180" i="5" s="1"/>
  <c r="I179" i="5" a="1"/>
  <c r="I179" i="5" s="1"/>
  <c r="I178" i="5" a="1"/>
  <c r="I178" i="5" s="1"/>
  <c r="I177" i="5" a="1"/>
  <c r="I177" i="5" s="1"/>
  <c r="I176" i="5"/>
  <c r="I176" i="5" a="1"/>
  <c r="I175" i="5" a="1"/>
  <c r="I175" i="5" s="1"/>
  <c r="I174" i="5" a="1"/>
  <c r="I174" i="5" s="1"/>
  <c r="E174" i="5"/>
  <c r="I173" i="5" a="1"/>
  <c r="I173" i="5" s="1"/>
  <c r="I172" i="5" a="1"/>
  <c r="I172" i="5" s="1"/>
  <c r="I171" i="5" a="1"/>
  <c r="I171" i="5" s="1"/>
  <c r="E171" i="5"/>
  <c r="I170" i="5"/>
  <c r="I170" i="5" a="1"/>
  <c r="I169" i="5" a="1"/>
  <c r="I169" i="5" s="1"/>
  <c r="E169" i="5"/>
  <c r="I168" i="5" a="1"/>
  <c r="I168" i="5" s="1"/>
  <c r="E168" i="5"/>
  <c r="I167" i="5" a="1"/>
  <c r="I167" i="5" s="1"/>
  <c r="I166" i="5" a="1"/>
  <c r="I166" i="5" s="1"/>
  <c r="I165" i="5" a="1"/>
  <c r="I165" i="5" s="1"/>
  <c r="E165" i="5"/>
  <c r="I164" i="5"/>
  <c r="I164" i="5" a="1"/>
  <c r="I163" i="5" a="1"/>
  <c r="I163" i="5" s="1"/>
  <c r="I162" i="5" a="1"/>
  <c r="I162" i="5" s="1"/>
  <c r="E162" i="5"/>
  <c r="I161" i="5" a="1"/>
  <c r="I161" i="5" s="1"/>
  <c r="I160" i="5" a="1"/>
  <c r="I160" i="5" s="1"/>
  <c r="E160" i="5"/>
  <c r="I159" i="5" a="1"/>
  <c r="I159" i="5" s="1"/>
  <c r="I158" i="5"/>
  <c r="I158" i="5" a="1"/>
  <c r="E158" i="5"/>
  <c r="I157" i="5" a="1"/>
  <c r="I157" i="5" s="1"/>
  <c r="I156" i="5" a="1"/>
  <c r="I156" i="5" s="1"/>
  <c r="I155" i="5" a="1"/>
  <c r="I155" i="5" s="1"/>
  <c r="E155" i="5"/>
  <c r="I154" i="5" a="1"/>
  <c r="I154" i="5" s="1"/>
  <c r="I153" i="5" a="1"/>
  <c r="I153" i="5" s="1"/>
  <c r="I152" i="5"/>
  <c r="I152" i="5" a="1"/>
  <c r="E152" i="5"/>
  <c r="I151" i="5" a="1"/>
  <c r="I151" i="5" s="1"/>
  <c r="E151" i="5"/>
  <c r="I150" i="5" a="1"/>
  <c r="I150" i="5" s="1"/>
  <c r="I149" i="5" a="1"/>
  <c r="I149" i="5" s="1"/>
  <c r="E149" i="5"/>
  <c r="I148" i="5" a="1"/>
  <c r="I148" i="5" s="1"/>
  <c r="E148" i="5"/>
  <c r="I147" i="5" a="1"/>
  <c r="I147" i="5" s="1"/>
  <c r="E147" i="5"/>
  <c r="I146" i="5"/>
  <c r="I146" i="5" a="1"/>
  <c r="I145" i="5"/>
  <c r="I145" i="5" a="1"/>
  <c r="I144" i="5" a="1"/>
  <c r="I144" i="5" s="1"/>
  <c r="I143" i="5" a="1"/>
  <c r="I143" i="5" s="1"/>
  <c r="I142" i="5" a="1"/>
  <c r="I142" i="5" s="1"/>
  <c r="I141" i="5" a="1"/>
  <c r="I141" i="5" s="1"/>
  <c r="I140" i="5"/>
  <c r="I140" i="5" a="1"/>
  <c r="E140" i="5"/>
  <c r="I139" i="5"/>
  <c r="I139" i="5" a="1"/>
  <c r="I138" i="5" a="1"/>
  <c r="I138" i="5" s="1"/>
  <c r="E138" i="5"/>
  <c r="I137" i="5" a="1"/>
  <c r="I137" i="5" s="1"/>
  <c r="I136" i="5" a="1"/>
  <c r="I136" i="5" s="1"/>
  <c r="E136" i="5"/>
  <c r="I135" i="5" a="1"/>
  <c r="I135" i="5" s="1"/>
  <c r="E135" i="5"/>
  <c r="I134" i="5"/>
  <c r="I134" i="5" a="1"/>
  <c r="I133" i="5" a="1"/>
  <c r="I133" i="5" s="1"/>
  <c r="I132" i="5" a="1"/>
  <c r="I132" i="5" s="1"/>
  <c r="I131" i="5" a="1"/>
  <c r="I131" i="5" s="1"/>
  <c r="I130" i="5" a="1"/>
  <c r="I130" i="5" s="1"/>
  <c r="I129" i="5" a="1"/>
  <c r="I129" i="5" s="1"/>
  <c r="I128" i="5" a="1"/>
  <c r="I128" i="5" s="1"/>
  <c r="I127" i="5"/>
  <c r="I127" i="5" a="1"/>
  <c r="I126" i="5" a="1"/>
  <c r="I126" i="5" s="1"/>
  <c r="I125" i="5" a="1"/>
  <c r="I125" i="5" s="1"/>
  <c r="I124" i="5" a="1"/>
  <c r="I124" i="5" s="1"/>
  <c r="I123" i="5" a="1"/>
  <c r="I123" i="5" s="1"/>
  <c r="I122" i="5"/>
  <c r="I122" i="5" a="1"/>
  <c r="I121" i="5" a="1"/>
  <c r="I121" i="5" s="1"/>
  <c r="I120" i="5" a="1"/>
  <c r="I120" i="5" s="1"/>
  <c r="E120" i="5"/>
  <c r="I119" i="5" a="1"/>
  <c r="I119" i="5" s="1"/>
  <c r="E119" i="5"/>
  <c r="I118" i="5" a="1"/>
  <c r="I118" i="5" s="1"/>
  <c r="I117" i="5" a="1"/>
  <c r="I117" i="5" s="1"/>
  <c r="E117" i="5"/>
  <c r="I116" i="5" a="1"/>
  <c r="I116" i="5" s="1"/>
  <c r="I115" i="5" a="1"/>
  <c r="I115" i="5" s="1"/>
  <c r="I114" i="5" a="1"/>
  <c r="I114" i="5" s="1"/>
  <c r="I113" i="5" a="1"/>
  <c r="I113" i="5" s="1"/>
  <c r="E113" i="5"/>
  <c r="I112" i="5" a="1"/>
  <c r="I112" i="5" s="1"/>
  <c r="I111" i="5" a="1"/>
  <c r="I111" i="5" s="1"/>
  <c r="E111" i="5"/>
  <c r="I110" i="5" a="1"/>
  <c r="I110" i="5" s="1"/>
  <c r="I109" i="5"/>
  <c r="I109" i="5" a="1"/>
  <c r="I108" i="5" a="1"/>
  <c r="I108" i="5" s="1"/>
  <c r="I107" i="5" a="1"/>
  <c r="I107" i="5" s="1"/>
  <c r="I106" i="5" a="1"/>
  <c r="I106" i="5" s="1"/>
  <c r="I105" i="5" a="1"/>
  <c r="I105" i="5" s="1"/>
  <c r="E105" i="5"/>
  <c r="I104" i="5" a="1"/>
  <c r="I104" i="5" s="1"/>
  <c r="E104" i="5"/>
  <c r="I103" i="5" a="1"/>
  <c r="I103" i="5" s="1"/>
  <c r="I102" i="5" a="1"/>
  <c r="I102" i="5" s="1"/>
  <c r="E102" i="5"/>
  <c r="I101" i="5" a="1"/>
  <c r="I101" i="5" s="1"/>
  <c r="E101" i="5"/>
  <c r="I100" i="5" a="1"/>
  <c r="I100" i="5" s="1"/>
  <c r="E100" i="5"/>
  <c r="I99" i="5" a="1"/>
  <c r="I99" i="5" s="1"/>
  <c r="E99" i="5"/>
  <c r="I98" i="5" a="1"/>
  <c r="I98" i="5" s="1"/>
  <c r="I97" i="5" a="1"/>
  <c r="I97" i="5" s="1"/>
  <c r="I96" i="5" a="1"/>
  <c r="I96" i="5" s="1"/>
  <c r="I95" i="5"/>
  <c r="I95" i="5" a="1"/>
  <c r="I94" i="5" a="1"/>
  <c r="I94" i="5" s="1"/>
  <c r="I93" i="5"/>
  <c r="I93" i="5" a="1"/>
  <c r="I92" i="5" a="1"/>
  <c r="I92" i="5" s="1"/>
  <c r="I91" i="5"/>
  <c r="I91" i="5" a="1"/>
  <c r="I90" i="5" a="1"/>
  <c r="I90" i="5" s="1"/>
  <c r="I89" i="5" a="1"/>
  <c r="I89" i="5" s="1"/>
  <c r="E89" i="5"/>
  <c r="I88" i="5" a="1"/>
  <c r="I88" i="5" s="1"/>
  <c r="E88" i="5"/>
  <c r="I87" i="5" a="1"/>
  <c r="I87" i="5" s="1"/>
  <c r="I86" i="5"/>
  <c r="I86" i="5" a="1"/>
  <c r="I85" i="5" a="1"/>
  <c r="I85" i="5" s="1"/>
  <c r="E85" i="5"/>
  <c r="I84" i="5"/>
  <c r="I84" i="5" a="1"/>
  <c r="E84" i="5"/>
  <c r="I83" i="5" a="1"/>
  <c r="I83" i="5" s="1"/>
  <c r="I82" i="5" a="1"/>
  <c r="I82" i="5" s="1"/>
  <c r="E82" i="5"/>
  <c r="I81" i="5"/>
  <c r="I81" i="5" a="1"/>
  <c r="E81" i="5"/>
  <c r="I80" i="5"/>
  <c r="I80" i="5" a="1"/>
  <c r="E80" i="5"/>
  <c r="I79" i="5"/>
  <c r="I79" i="5" a="1"/>
  <c r="I78" i="5" a="1"/>
  <c r="I78" i="5" s="1"/>
  <c r="I77" i="5" a="1"/>
  <c r="I77" i="5" s="1"/>
  <c r="I76" i="5" a="1"/>
  <c r="I76" i="5" s="1"/>
  <c r="I75" i="5" a="1"/>
  <c r="I75" i="5" s="1"/>
  <c r="E75" i="5"/>
  <c r="I74" i="5" a="1"/>
  <c r="I74" i="5" s="1"/>
  <c r="E74" i="5"/>
  <c r="I73" i="5" a="1"/>
  <c r="I73" i="5" s="1"/>
  <c r="I72" i="5"/>
  <c r="I72" i="5" a="1"/>
  <c r="I71" i="5" a="1"/>
  <c r="I71" i="5" s="1"/>
  <c r="E71" i="5"/>
  <c r="I70" i="5"/>
  <c r="I70" i="5" a="1"/>
  <c r="E70" i="5"/>
  <c r="I69" i="5" a="1"/>
  <c r="I69" i="5" s="1"/>
  <c r="E69" i="5"/>
  <c r="I68" i="5"/>
  <c r="I68" i="5" a="1"/>
  <c r="I67" i="5" a="1"/>
  <c r="I67" i="5" s="1"/>
  <c r="I66" i="5"/>
  <c r="I66" i="5" a="1"/>
  <c r="I65" i="5" a="1"/>
  <c r="I65" i="5" s="1"/>
  <c r="I64" i="5" a="1"/>
  <c r="I64" i="5" s="1"/>
  <c r="E64" i="5"/>
  <c r="I63" i="5" a="1"/>
  <c r="I63" i="5" s="1"/>
  <c r="E63" i="5"/>
  <c r="I62" i="5"/>
  <c r="I62" i="5" a="1"/>
  <c r="I61" i="5" a="1"/>
  <c r="I61" i="5" s="1"/>
  <c r="I60" i="5" a="1"/>
  <c r="I60" i="5" s="1"/>
  <c r="I59" i="5" a="1"/>
  <c r="I59" i="5" s="1"/>
  <c r="E59" i="5"/>
  <c r="I58" i="5" a="1"/>
  <c r="I58" i="5" s="1"/>
  <c r="I57" i="5" a="1"/>
  <c r="I57" i="5" s="1"/>
  <c r="I56" i="5"/>
  <c r="I56" i="5" a="1"/>
  <c r="I55" i="5"/>
  <c r="I55" i="5" a="1"/>
  <c r="E55" i="5"/>
  <c r="I54" i="5" a="1"/>
  <c r="I54" i="5" s="1"/>
  <c r="E54" i="5"/>
  <c r="I53" i="5" a="1"/>
  <c r="I53" i="5" s="1"/>
  <c r="E53" i="5"/>
  <c r="I52" i="5" a="1"/>
  <c r="I52" i="5" s="1"/>
  <c r="E52" i="5"/>
  <c r="I51" i="5"/>
  <c r="I51" i="5" a="1"/>
  <c r="E51" i="5"/>
  <c r="I50" i="5" a="1"/>
  <c r="I50" i="5" s="1"/>
  <c r="E50" i="5"/>
  <c r="I49" i="5"/>
  <c r="I49" i="5" a="1"/>
  <c r="E49" i="5"/>
  <c r="I48" i="5" a="1"/>
  <c r="I48" i="5" s="1"/>
  <c r="E48" i="5"/>
  <c r="I47" i="5" a="1"/>
  <c r="I47" i="5" s="1"/>
  <c r="E47" i="5"/>
  <c r="I46" i="5" a="1"/>
  <c r="I46" i="5" s="1"/>
  <c r="I45" i="5"/>
  <c r="I45" i="5" a="1"/>
  <c r="I44" i="5" a="1"/>
  <c r="I44" i="5" s="1"/>
  <c r="I43" i="5" a="1"/>
  <c r="I43" i="5" s="1"/>
  <c r="E43" i="5"/>
  <c r="I42" i="5" a="1"/>
  <c r="I42" i="5" s="1"/>
  <c r="I41" i="5" a="1"/>
  <c r="I41" i="5" s="1"/>
  <c r="E41" i="5"/>
  <c r="I40" i="5" a="1"/>
  <c r="I40" i="5" s="1"/>
  <c r="E40" i="5"/>
  <c r="I39" i="5"/>
  <c r="I39" i="5" a="1"/>
  <c r="I38" i="5"/>
  <c r="I38" i="5" a="1"/>
  <c r="I37" i="5" a="1"/>
  <c r="I37" i="5" s="1"/>
  <c r="I36" i="5" a="1"/>
  <c r="I36" i="5" s="1"/>
  <c r="E36" i="5"/>
  <c r="I35" i="5" a="1"/>
  <c r="I35" i="5" s="1"/>
  <c r="E35" i="5"/>
  <c r="I34" i="5"/>
  <c r="I34" i="5" a="1"/>
  <c r="E34" i="5"/>
  <c r="I33" i="5" a="1"/>
  <c r="I33" i="5" s="1"/>
  <c r="E33" i="5"/>
  <c r="I32" i="5"/>
  <c r="I32" i="5" a="1"/>
  <c r="E32" i="5"/>
  <c r="I31" i="5" a="1"/>
  <c r="I31" i="5" s="1"/>
  <c r="I30" i="5" a="1"/>
  <c r="I30" i="5" s="1"/>
  <c r="I29" i="5" a="1"/>
  <c r="I29" i="5" s="1"/>
  <c r="E29" i="5"/>
  <c r="I28" i="5"/>
  <c r="I28" i="5" a="1"/>
  <c r="E28" i="5"/>
  <c r="I27" i="5" a="1"/>
  <c r="I27" i="5" s="1"/>
  <c r="I26" i="5" a="1"/>
  <c r="I26" i="5" s="1"/>
  <c r="E26" i="5"/>
  <c r="I25" i="5" a="1"/>
  <c r="I25" i="5" s="1"/>
  <c r="E25" i="5"/>
  <c r="I24" i="5"/>
  <c r="I24" i="5" a="1"/>
  <c r="E24" i="5"/>
  <c r="I23" i="5" a="1"/>
  <c r="I23" i="5" s="1"/>
  <c r="E23" i="5"/>
  <c r="I22" i="5"/>
  <c r="I22" i="5" a="1"/>
  <c r="E22" i="5"/>
  <c r="I21" i="5" a="1"/>
  <c r="I21" i="5" s="1"/>
  <c r="E21" i="5"/>
  <c r="I20" i="5" a="1"/>
  <c r="I20" i="5" s="1"/>
  <c r="I19" i="5" a="1"/>
  <c r="I19" i="5" s="1"/>
  <c r="I18" i="5"/>
  <c r="I18" i="5" a="1"/>
  <c r="I17" i="5" a="1"/>
  <c r="I17" i="5" s="1"/>
  <c r="I16" i="5"/>
  <c r="I16" i="5" a="1"/>
  <c r="I15" i="5" a="1"/>
  <c r="I15" i="5" s="1"/>
  <c r="I14" i="5" a="1"/>
  <c r="I14" i="5" s="1"/>
  <c r="E14" i="5"/>
  <c r="I13" i="5" a="1"/>
  <c r="I13" i="5" s="1"/>
  <c r="E13" i="5"/>
  <c r="I12" i="5"/>
  <c r="I12" i="5" a="1"/>
  <c r="E12" i="5"/>
  <c r="I11" i="5" a="1"/>
  <c r="I11" i="5" s="1"/>
  <c r="E11" i="5"/>
  <c r="I10" i="5"/>
  <c r="I10" i="5" a="1"/>
  <c r="E10" i="5"/>
  <c r="I9" i="5" a="1"/>
  <c r="I9" i="5" s="1"/>
  <c r="E9" i="5"/>
  <c r="I8" i="5" a="1"/>
  <c r="I8" i="5" s="1"/>
  <c r="E8" i="5"/>
  <c r="I7" i="5" a="1"/>
  <c r="I7" i="5" s="1"/>
  <c r="I6" i="5" a="1"/>
  <c r="I6" i="5" s="1"/>
  <c r="I5" i="5" a="1"/>
  <c r="I5" i="5" s="1"/>
  <c r="E5" i="5"/>
  <c r="I4" i="5"/>
  <c r="I4" i="5" a="1"/>
  <c r="E4" i="5"/>
  <c r="I3" i="5" a="1"/>
  <c r="I3" i="5" s="1"/>
  <c r="E3" i="5"/>
  <c r="I2" i="5" a="1"/>
  <c r="I2" i="5" s="1"/>
  <c r="G2" i="5"/>
  <c r="H2" i="5" s="1"/>
  <c r="F2" i="5"/>
  <c r="E2" i="5"/>
  <c r="I184" i="4" a="1"/>
  <c r="I184" i="4" s="1"/>
  <c r="I183" i="4" a="1"/>
  <c r="I183" i="4" s="1"/>
  <c r="I182" i="4" a="1"/>
  <c r="I182" i="4" s="1"/>
  <c r="I181" i="4" a="1"/>
  <c r="I181" i="4" s="1"/>
  <c r="I180" i="4" a="1"/>
  <c r="I180" i="4" s="1"/>
  <c r="I179" i="4" a="1"/>
  <c r="I179" i="4" s="1"/>
  <c r="I178" i="4" a="1"/>
  <c r="I178" i="4" s="1"/>
  <c r="I177" i="4" a="1"/>
  <c r="I177" i="4" s="1"/>
  <c r="I176" i="4" a="1"/>
  <c r="I176" i="4" s="1"/>
  <c r="I175" i="4" a="1"/>
  <c r="I175" i="4" s="1"/>
  <c r="I174" i="4" a="1"/>
  <c r="I174" i="4" s="1"/>
  <c r="E174" i="4"/>
  <c r="I173" i="4" a="1"/>
  <c r="I173" i="4" s="1"/>
  <c r="I172" i="4" a="1"/>
  <c r="I172" i="4" s="1"/>
  <c r="I171" i="4" a="1"/>
  <c r="I171" i="4" s="1"/>
  <c r="E171" i="4"/>
  <c r="I170" i="4" a="1"/>
  <c r="I170" i="4" s="1"/>
  <c r="I169" i="4" a="1"/>
  <c r="I169" i="4" s="1"/>
  <c r="E169" i="4"/>
  <c r="I168" i="4" a="1"/>
  <c r="I168" i="4" s="1"/>
  <c r="E168" i="4"/>
  <c r="I167" i="4" a="1"/>
  <c r="I167" i="4" s="1"/>
  <c r="I166" i="4" a="1"/>
  <c r="I166" i="4" s="1"/>
  <c r="I165" i="4" a="1"/>
  <c r="I165" i="4" s="1"/>
  <c r="E165" i="4"/>
  <c r="I164" i="4" a="1"/>
  <c r="I164" i="4" s="1"/>
  <c r="I163" i="4" a="1"/>
  <c r="I163" i="4" s="1"/>
  <c r="I162" i="4" a="1"/>
  <c r="I162" i="4" s="1"/>
  <c r="E162" i="4"/>
  <c r="I161" i="4" a="1"/>
  <c r="I161" i="4" s="1"/>
  <c r="I160" i="4" a="1"/>
  <c r="I160" i="4" s="1"/>
  <c r="E160" i="4"/>
  <c r="I159" i="4" a="1"/>
  <c r="I159" i="4" s="1"/>
  <c r="I158" i="4" a="1"/>
  <c r="I158" i="4" s="1"/>
  <c r="E158" i="4"/>
  <c r="I157" i="4" a="1"/>
  <c r="I157" i="4" s="1"/>
  <c r="I156" i="4" a="1"/>
  <c r="I156" i="4" s="1"/>
  <c r="I155" i="4" a="1"/>
  <c r="I155" i="4" s="1"/>
  <c r="E155" i="4"/>
  <c r="I154" i="4" a="1"/>
  <c r="I154" i="4" s="1"/>
  <c r="I153" i="4" a="1"/>
  <c r="I153" i="4" s="1"/>
  <c r="I152" i="4" a="1"/>
  <c r="I152" i="4" s="1"/>
  <c r="E152" i="4"/>
  <c r="I151" i="4" a="1"/>
  <c r="I151" i="4" s="1"/>
  <c r="E151" i="4"/>
  <c r="I150" i="4" a="1"/>
  <c r="I150" i="4" s="1"/>
  <c r="I149" i="4" a="1"/>
  <c r="I149" i="4" s="1"/>
  <c r="E149" i="4"/>
  <c r="I148" i="4" a="1"/>
  <c r="I148" i="4" s="1"/>
  <c r="E148" i="4"/>
  <c r="I147" i="4" a="1"/>
  <c r="I147" i="4" s="1"/>
  <c r="E147" i="4"/>
  <c r="I146" i="4" a="1"/>
  <c r="I146" i="4" s="1"/>
  <c r="I145" i="4" a="1"/>
  <c r="I145" i="4" s="1"/>
  <c r="I144" i="4" a="1"/>
  <c r="I144" i="4" s="1"/>
  <c r="I143" i="4" a="1"/>
  <c r="I143" i="4" s="1"/>
  <c r="I142" i="4" a="1"/>
  <c r="I142" i="4" s="1"/>
  <c r="I141" i="4" a="1"/>
  <c r="I141" i="4" s="1"/>
  <c r="I140" i="4" a="1"/>
  <c r="I140" i="4" s="1"/>
  <c r="E140" i="4"/>
  <c r="I139" i="4" a="1"/>
  <c r="I139" i="4" s="1"/>
  <c r="I138" i="4" a="1"/>
  <c r="I138" i="4" s="1"/>
  <c r="E138" i="4"/>
  <c r="I137" i="4" a="1"/>
  <c r="I137" i="4" s="1"/>
  <c r="I136" i="4" a="1"/>
  <c r="I136" i="4" s="1"/>
  <c r="E136" i="4"/>
  <c r="I135" i="4" a="1"/>
  <c r="I135" i="4" s="1"/>
  <c r="E135" i="4"/>
  <c r="I134" i="4" a="1"/>
  <c r="I134" i="4" s="1"/>
  <c r="I133" i="4" a="1"/>
  <c r="I133" i="4" s="1"/>
  <c r="I132" i="4" a="1"/>
  <c r="I132" i="4" s="1"/>
  <c r="I131" i="4" a="1"/>
  <c r="I131" i="4" s="1"/>
  <c r="I130" i="4" a="1"/>
  <c r="I130" i="4" s="1"/>
  <c r="I129" i="4" a="1"/>
  <c r="I129" i="4" s="1"/>
  <c r="I128" i="4" a="1"/>
  <c r="I128" i="4" s="1"/>
  <c r="I127" i="4" a="1"/>
  <c r="I127" i="4" s="1"/>
  <c r="I126" i="4" a="1"/>
  <c r="I126" i="4" s="1"/>
  <c r="I125" i="4" a="1"/>
  <c r="I125" i="4" s="1"/>
  <c r="I124" i="4" a="1"/>
  <c r="I124" i="4" s="1"/>
  <c r="I123" i="4" a="1"/>
  <c r="I123" i="4" s="1"/>
  <c r="I122" i="4" a="1"/>
  <c r="I122" i="4" s="1"/>
  <c r="I121" i="4" a="1"/>
  <c r="I121" i="4" s="1"/>
  <c r="I120" i="4" a="1"/>
  <c r="I120" i="4" s="1"/>
  <c r="E120" i="4"/>
  <c r="I119" i="4" a="1"/>
  <c r="I119" i="4" s="1"/>
  <c r="E119" i="4"/>
  <c r="I118" i="4" a="1"/>
  <c r="I118" i="4" s="1"/>
  <c r="I117" i="4" a="1"/>
  <c r="I117" i="4" s="1"/>
  <c r="E117" i="4"/>
  <c r="I116" i="4" a="1"/>
  <c r="I116" i="4" s="1"/>
  <c r="I115" i="4" a="1"/>
  <c r="I115" i="4" s="1"/>
  <c r="I114" i="4" a="1"/>
  <c r="I114" i="4" s="1"/>
  <c r="I113" i="4" a="1"/>
  <c r="I113" i="4" s="1"/>
  <c r="E113" i="4"/>
  <c r="I112" i="4" a="1"/>
  <c r="I112" i="4" s="1"/>
  <c r="I111" i="4" a="1"/>
  <c r="I111" i="4" s="1"/>
  <c r="E111" i="4"/>
  <c r="I110" i="4" a="1"/>
  <c r="I110" i="4" s="1"/>
  <c r="I109" i="4" a="1"/>
  <c r="I109" i="4" s="1"/>
  <c r="I108" i="4" a="1"/>
  <c r="I108" i="4" s="1"/>
  <c r="I107" i="4" a="1"/>
  <c r="I107" i="4" s="1"/>
  <c r="I106" i="4" a="1"/>
  <c r="I106" i="4" s="1"/>
  <c r="I105" i="4" a="1"/>
  <c r="I105" i="4" s="1"/>
  <c r="E105" i="4"/>
  <c r="I104" i="4" a="1"/>
  <c r="I104" i="4" s="1"/>
  <c r="E104" i="4"/>
  <c r="I103" i="4" a="1"/>
  <c r="I103" i="4" s="1"/>
  <c r="I102" i="4" a="1"/>
  <c r="I102" i="4" s="1"/>
  <c r="E102" i="4"/>
  <c r="I101" i="4" a="1"/>
  <c r="I101" i="4" s="1"/>
  <c r="E101" i="4"/>
  <c r="I100" i="4" a="1"/>
  <c r="I100" i="4" s="1"/>
  <c r="E100" i="4"/>
  <c r="I99" i="4" a="1"/>
  <c r="I99" i="4" s="1"/>
  <c r="E99" i="4"/>
  <c r="I98" i="4" a="1"/>
  <c r="I98" i="4" s="1"/>
  <c r="I97" i="4" a="1"/>
  <c r="I97" i="4" s="1"/>
  <c r="I96" i="4" a="1"/>
  <c r="I96" i="4" s="1"/>
  <c r="I95" i="4" a="1"/>
  <c r="I95" i="4" s="1"/>
  <c r="I94" i="4" a="1"/>
  <c r="I94" i="4" s="1"/>
  <c r="I93" i="4" a="1"/>
  <c r="I93" i="4" s="1"/>
  <c r="I92" i="4" a="1"/>
  <c r="I92" i="4" s="1"/>
  <c r="I91" i="4" a="1"/>
  <c r="I91" i="4" s="1"/>
  <c r="I90" i="4" a="1"/>
  <c r="I90" i="4" s="1"/>
  <c r="I89" i="4" a="1"/>
  <c r="I89" i="4" s="1"/>
  <c r="E89" i="4"/>
  <c r="I88" i="4" a="1"/>
  <c r="I88" i="4" s="1"/>
  <c r="E88" i="4"/>
  <c r="I87" i="4" a="1"/>
  <c r="I87" i="4" s="1"/>
  <c r="I86" i="4" a="1"/>
  <c r="I86" i="4" s="1"/>
  <c r="I85" i="4" a="1"/>
  <c r="I85" i="4" s="1"/>
  <c r="E85" i="4"/>
  <c r="I84" i="4" a="1"/>
  <c r="I84" i="4" s="1"/>
  <c r="E84" i="4"/>
  <c r="I83" i="4" a="1"/>
  <c r="I83" i="4" s="1"/>
  <c r="I82" i="4" a="1"/>
  <c r="I82" i="4" s="1"/>
  <c r="E82" i="4"/>
  <c r="I81" i="4" a="1"/>
  <c r="I81" i="4" s="1"/>
  <c r="E81" i="4"/>
  <c r="I80" i="4" a="1"/>
  <c r="I80" i="4" s="1"/>
  <c r="E80" i="4"/>
  <c r="I79" i="4" a="1"/>
  <c r="I79" i="4" s="1"/>
  <c r="I78" i="4" a="1"/>
  <c r="I78" i="4" s="1"/>
  <c r="I77" i="4" a="1"/>
  <c r="I77" i="4" s="1"/>
  <c r="I76" i="4" a="1"/>
  <c r="I76" i="4" s="1"/>
  <c r="I75" i="4" a="1"/>
  <c r="I75" i="4" s="1"/>
  <c r="E75" i="4"/>
  <c r="I74" i="4" a="1"/>
  <c r="I74" i="4" s="1"/>
  <c r="E74" i="4"/>
  <c r="I73" i="4" a="1"/>
  <c r="I73" i="4" s="1"/>
  <c r="I72" i="4" a="1"/>
  <c r="I72" i="4" s="1"/>
  <c r="I71" i="4" a="1"/>
  <c r="I71" i="4" s="1"/>
  <c r="E71" i="4"/>
  <c r="I70" i="4" a="1"/>
  <c r="I70" i="4" s="1"/>
  <c r="E70" i="4"/>
  <c r="I69" i="4" a="1"/>
  <c r="I69" i="4" s="1"/>
  <c r="E69" i="4"/>
  <c r="I68" i="4" a="1"/>
  <c r="I68" i="4" s="1"/>
  <c r="I67" i="4" a="1"/>
  <c r="I67" i="4" s="1"/>
  <c r="I66" i="4" a="1"/>
  <c r="I66" i="4" s="1"/>
  <c r="I65" i="4" a="1"/>
  <c r="I65" i="4" s="1"/>
  <c r="I64" i="4" a="1"/>
  <c r="I64" i="4" s="1"/>
  <c r="E64" i="4"/>
  <c r="I63" i="4" a="1"/>
  <c r="I63" i="4" s="1"/>
  <c r="E63" i="4"/>
  <c r="I62" i="4" a="1"/>
  <c r="I62" i="4" s="1"/>
  <c r="I61" i="4" a="1"/>
  <c r="I61" i="4" s="1"/>
  <c r="I60" i="4" a="1"/>
  <c r="I60" i="4" s="1"/>
  <c r="I59" i="4" a="1"/>
  <c r="I59" i="4" s="1"/>
  <c r="E59" i="4"/>
  <c r="I58" i="4" a="1"/>
  <c r="I58" i="4" s="1"/>
  <c r="I57" i="4" a="1"/>
  <c r="I57" i="4" s="1"/>
  <c r="I56" i="4" a="1"/>
  <c r="I56" i="4" s="1"/>
  <c r="I55" i="4" a="1"/>
  <c r="I55" i="4" s="1"/>
  <c r="E55" i="4"/>
  <c r="I54" i="4" a="1"/>
  <c r="I54" i="4" s="1"/>
  <c r="E54" i="4"/>
  <c r="I53" i="4" a="1"/>
  <c r="I53" i="4" s="1"/>
  <c r="E53" i="4"/>
  <c r="I52" i="4" a="1"/>
  <c r="I52" i="4" s="1"/>
  <c r="E52" i="4"/>
  <c r="I51" i="4" a="1"/>
  <c r="I51" i="4" s="1"/>
  <c r="E51" i="4"/>
  <c r="I50" i="4" a="1"/>
  <c r="I50" i="4" s="1"/>
  <c r="E50" i="4"/>
  <c r="I49" i="4" a="1"/>
  <c r="I49" i="4" s="1"/>
  <c r="E49" i="4"/>
  <c r="I48" i="4" a="1"/>
  <c r="I48" i="4" s="1"/>
  <c r="E48" i="4"/>
  <c r="I47" i="4" a="1"/>
  <c r="I47" i="4" s="1"/>
  <c r="E47" i="4"/>
  <c r="I46" i="4" a="1"/>
  <c r="I46" i="4" s="1"/>
  <c r="I45" i="4" a="1"/>
  <c r="I45" i="4" s="1"/>
  <c r="I44" i="4" a="1"/>
  <c r="I44" i="4" s="1"/>
  <c r="I43" i="4" a="1"/>
  <c r="I43" i="4" s="1"/>
  <c r="E43" i="4"/>
  <c r="I42" i="4" a="1"/>
  <c r="I42" i="4" s="1"/>
  <c r="I41" i="4" a="1"/>
  <c r="I41" i="4" s="1"/>
  <c r="E41" i="4"/>
  <c r="I40" i="4" a="1"/>
  <c r="I40" i="4" s="1"/>
  <c r="E40" i="4"/>
  <c r="I39" i="4" a="1"/>
  <c r="I39" i="4" s="1"/>
  <c r="I38" i="4" a="1"/>
  <c r="I38" i="4" s="1"/>
  <c r="I37" i="4" a="1"/>
  <c r="I37" i="4" s="1"/>
  <c r="I36" i="4" a="1"/>
  <c r="I36" i="4" s="1"/>
  <c r="E36" i="4"/>
  <c r="I35" i="4" a="1"/>
  <c r="I35" i="4" s="1"/>
  <c r="E35" i="4"/>
  <c r="I34" i="4" a="1"/>
  <c r="I34" i="4" s="1"/>
  <c r="E34" i="4"/>
  <c r="I33" i="4" a="1"/>
  <c r="I33" i="4" s="1"/>
  <c r="E33" i="4"/>
  <c r="I32" i="4" a="1"/>
  <c r="I32" i="4" s="1"/>
  <c r="E32" i="4"/>
  <c r="I31" i="4" a="1"/>
  <c r="I31" i="4" s="1"/>
  <c r="I30" i="4" a="1"/>
  <c r="I30" i="4" s="1"/>
  <c r="I29" i="4" a="1"/>
  <c r="I29" i="4" s="1"/>
  <c r="E29" i="4"/>
  <c r="I28" i="4" a="1"/>
  <c r="I28" i="4" s="1"/>
  <c r="E28" i="4"/>
  <c r="I27" i="4" a="1"/>
  <c r="I27" i="4" s="1"/>
  <c r="I26" i="4" a="1"/>
  <c r="I26" i="4" s="1"/>
  <c r="E26" i="4"/>
  <c r="I25" i="4" a="1"/>
  <c r="I25" i="4" s="1"/>
  <c r="E25" i="4"/>
  <c r="I24" i="4" a="1"/>
  <c r="I24" i="4" s="1"/>
  <c r="E24" i="4"/>
  <c r="I23" i="4" a="1"/>
  <c r="I23" i="4" s="1"/>
  <c r="E23" i="4"/>
  <c r="I22" i="4" a="1"/>
  <c r="I22" i="4" s="1"/>
  <c r="E22" i="4"/>
  <c r="I21" i="4" a="1"/>
  <c r="I21" i="4" s="1"/>
  <c r="E21" i="4"/>
  <c r="I20" i="4" a="1"/>
  <c r="I20" i="4" s="1"/>
  <c r="I19" i="4" a="1"/>
  <c r="I19" i="4" s="1"/>
  <c r="I18" i="4" a="1"/>
  <c r="I18" i="4" s="1"/>
  <c r="I17" i="4" a="1"/>
  <c r="I17" i="4" s="1"/>
  <c r="I16" i="4" a="1"/>
  <c r="I16" i="4" s="1"/>
  <c r="I15" i="4" a="1"/>
  <c r="I15" i="4" s="1"/>
  <c r="I14" i="4" a="1"/>
  <c r="I14" i="4" s="1"/>
  <c r="E14" i="4"/>
  <c r="I13" i="4" a="1"/>
  <c r="I13" i="4" s="1"/>
  <c r="E13" i="4"/>
  <c r="I12" i="4" a="1"/>
  <c r="I12" i="4" s="1"/>
  <c r="E12" i="4"/>
  <c r="I11" i="4" a="1"/>
  <c r="I11" i="4" s="1"/>
  <c r="E11" i="4"/>
  <c r="I10" i="4" a="1"/>
  <c r="I10" i="4" s="1"/>
  <c r="E10" i="4"/>
  <c r="I9" i="4" a="1"/>
  <c r="I9" i="4" s="1"/>
  <c r="E9" i="4"/>
  <c r="I8" i="4" a="1"/>
  <c r="I8" i="4" s="1"/>
  <c r="E8" i="4"/>
  <c r="I7" i="4" a="1"/>
  <c r="I7" i="4" s="1"/>
  <c r="I6" i="4" a="1"/>
  <c r="I6" i="4" s="1"/>
  <c r="I5" i="4" a="1"/>
  <c r="I5" i="4" s="1"/>
  <c r="E5" i="4"/>
  <c r="I4" i="4" a="1"/>
  <c r="I4" i="4" s="1"/>
  <c r="E4" i="4"/>
  <c r="I3" i="4" a="1"/>
  <c r="I3" i="4" s="1"/>
  <c r="E3" i="4"/>
  <c r="I2" i="4" a="1"/>
  <c r="I2" i="4" s="1"/>
  <c r="G2" i="4"/>
  <c r="E2" i="4"/>
  <c r="F2" i="4" s="1"/>
  <c r="M185" i="8" l="1"/>
  <c r="N185" i="8"/>
  <c r="O185" i="8"/>
  <c r="H2" i="8"/>
  <c r="J2" i="8" s="1"/>
  <c r="K2" i="8" s="1"/>
  <c r="L2" i="8" s="1"/>
  <c r="D3" i="8" s="1"/>
  <c r="H2" i="7"/>
  <c r="J2" i="7" s="1"/>
  <c r="K2" i="7" s="1"/>
  <c r="L2" i="7" s="1"/>
  <c r="D3" i="7" s="1"/>
  <c r="J2" i="6"/>
  <c r="K2" i="6"/>
  <c r="L2" i="6" s="1"/>
  <c r="D3" i="6" s="1"/>
  <c r="J2" i="5"/>
  <c r="K2" i="5"/>
  <c r="L2" i="5" s="1"/>
  <c r="D3" i="5" s="1"/>
  <c r="H2" i="4"/>
  <c r="J2" i="4"/>
  <c r="K2" i="4" s="1"/>
  <c r="L2" i="4" s="1"/>
  <c r="D3" i="4" s="1"/>
  <c r="G3" i="8" l="1"/>
  <c r="F3" i="8"/>
  <c r="G3" i="7"/>
  <c r="F3" i="7"/>
  <c r="G3" i="6"/>
  <c r="F3" i="6"/>
  <c r="H3" i="6" s="1"/>
  <c r="G3" i="5"/>
  <c r="F3" i="5"/>
  <c r="G3" i="4"/>
  <c r="F3" i="4"/>
  <c r="H3" i="8" l="1"/>
  <c r="H3" i="7"/>
  <c r="J3" i="7" s="1"/>
  <c r="K3" i="7" s="1"/>
  <c r="L3" i="7" s="1"/>
  <c r="D4" i="7" s="1"/>
  <c r="J3" i="6"/>
  <c r="K3" i="6"/>
  <c r="L3" i="6" s="1"/>
  <c r="D4" i="6" s="1"/>
  <c r="H3" i="5"/>
  <c r="H3" i="4"/>
  <c r="J3" i="8" l="1"/>
  <c r="K3" i="8" s="1"/>
  <c r="L3" i="8" s="1"/>
  <c r="D4" i="8" s="1"/>
  <c r="G4" i="7"/>
  <c r="F4" i="7"/>
  <c r="H4" i="7" s="1"/>
  <c r="G4" i="6"/>
  <c r="F4" i="6"/>
  <c r="H4" i="6" s="1"/>
  <c r="J3" i="5"/>
  <c r="K3" i="5" s="1"/>
  <c r="L3" i="5" s="1"/>
  <c r="D4" i="5" s="1"/>
  <c r="J3" i="4"/>
  <c r="K3" i="4" s="1"/>
  <c r="L3" i="4" s="1"/>
  <c r="D4" i="4" s="1"/>
  <c r="G4" i="8" l="1"/>
  <c r="F4" i="8"/>
  <c r="J4" i="7"/>
  <c r="K4" i="7" s="1"/>
  <c r="L4" i="7" s="1"/>
  <c r="D5" i="7" s="1"/>
  <c r="J4" i="6"/>
  <c r="K4" i="6" s="1"/>
  <c r="L4" i="6" s="1"/>
  <c r="D5" i="6" s="1"/>
  <c r="G4" i="5"/>
  <c r="F4" i="5"/>
  <c r="G4" i="4"/>
  <c r="F4" i="4"/>
  <c r="H4" i="8" l="1"/>
  <c r="J4" i="8" s="1"/>
  <c r="G5" i="7"/>
  <c r="F5" i="7"/>
  <c r="G5" i="6"/>
  <c r="F5" i="6"/>
  <c r="H5" i="6" s="1"/>
  <c r="H4" i="5"/>
  <c r="H4" i="4"/>
  <c r="K4" i="8" l="1"/>
  <c r="L4" i="8" s="1"/>
  <c r="D5" i="8" s="1"/>
  <c r="F5" i="8" s="1"/>
  <c r="G5" i="8"/>
  <c r="H5" i="7"/>
  <c r="J5" i="6"/>
  <c r="K5" i="6" s="1"/>
  <c r="L5" i="6" s="1"/>
  <c r="D6" i="6" s="1"/>
  <c r="J4" i="5"/>
  <c r="K4" i="5" s="1"/>
  <c r="L4" i="5" s="1"/>
  <c r="D5" i="5" s="1"/>
  <c r="J4" i="4"/>
  <c r="K4" i="4" s="1"/>
  <c r="L4" i="4" s="1"/>
  <c r="D5" i="4" s="1"/>
  <c r="H5" i="8" l="1"/>
  <c r="J5" i="8" s="1"/>
  <c r="J5" i="7"/>
  <c r="K5" i="7" s="1"/>
  <c r="L5" i="7" s="1"/>
  <c r="D6" i="7" s="1"/>
  <c r="G6" i="6"/>
  <c r="E6" i="6"/>
  <c r="F6" i="6" s="1"/>
  <c r="H6" i="6" s="1"/>
  <c r="G5" i="5"/>
  <c r="F5" i="5"/>
  <c r="H5" i="5" s="1"/>
  <c r="G5" i="4"/>
  <c r="F5" i="4"/>
  <c r="K5" i="8" l="1"/>
  <c r="L5" i="8" s="1"/>
  <c r="D6" i="8" s="1"/>
  <c r="E6" i="8" s="1"/>
  <c r="F6" i="8" s="1"/>
  <c r="G6" i="7"/>
  <c r="E6" i="7"/>
  <c r="F6" i="7" s="1"/>
  <c r="H6" i="7" s="1"/>
  <c r="J6" i="6"/>
  <c r="K6" i="6" s="1"/>
  <c r="L6" i="6" s="1"/>
  <c r="D7" i="6" s="1"/>
  <c r="J5" i="5"/>
  <c r="K5" i="5"/>
  <c r="L5" i="5" s="1"/>
  <c r="D6" i="5" s="1"/>
  <c r="H5" i="4"/>
  <c r="J5" i="4" s="1"/>
  <c r="K5" i="4" s="1"/>
  <c r="L5" i="4" s="1"/>
  <c r="D6" i="4" s="1"/>
  <c r="G6" i="8" l="1"/>
  <c r="H6" i="8"/>
  <c r="J6" i="8" s="1"/>
  <c r="K6" i="8" s="1"/>
  <c r="L6" i="8" s="1"/>
  <c r="D7" i="8" s="1"/>
  <c r="J6" i="7"/>
  <c r="K6" i="7" s="1"/>
  <c r="L6" i="7" s="1"/>
  <c r="D7" i="7" s="1"/>
  <c r="E7" i="6"/>
  <c r="F7" i="6" s="1"/>
  <c r="H7" i="6" s="1"/>
  <c r="G7" i="6"/>
  <c r="G6" i="5"/>
  <c r="E6" i="5"/>
  <c r="F6" i="5" s="1"/>
  <c r="H6" i="5" s="1"/>
  <c r="G6" i="4"/>
  <c r="E6" i="4"/>
  <c r="F6" i="4" s="1"/>
  <c r="E7" i="8" l="1"/>
  <c r="F7" i="8" s="1"/>
  <c r="G7" i="8"/>
  <c r="E7" i="7"/>
  <c r="F7" i="7" s="1"/>
  <c r="G7" i="7"/>
  <c r="J7" i="6"/>
  <c r="K7" i="6"/>
  <c r="L7" i="6" s="1"/>
  <c r="D8" i="6" s="1"/>
  <c r="J6" i="5"/>
  <c r="K6" i="5" s="1"/>
  <c r="L6" i="5" s="1"/>
  <c r="D7" i="5" s="1"/>
  <c r="H6" i="4"/>
  <c r="J6" i="4" s="1"/>
  <c r="K6" i="4" s="1"/>
  <c r="L6" i="4" s="1"/>
  <c r="D7" i="4" s="1"/>
  <c r="H7" i="8" l="1"/>
  <c r="J7" i="8" s="1"/>
  <c r="K7" i="8" s="1"/>
  <c r="L7" i="8" s="1"/>
  <c r="D8" i="8" s="1"/>
  <c r="H7" i="7"/>
  <c r="G8" i="6"/>
  <c r="F8" i="6"/>
  <c r="H8" i="6" s="1"/>
  <c r="G7" i="5"/>
  <c r="E7" i="5"/>
  <c r="F7" i="5"/>
  <c r="H7" i="5" s="1"/>
  <c r="E7" i="4"/>
  <c r="F7" i="4" s="1"/>
  <c r="G7" i="4"/>
  <c r="G8" i="8" l="1"/>
  <c r="F8" i="8"/>
  <c r="J7" i="7"/>
  <c r="K7" i="7" s="1"/>
  <c r="L7" i="7" s="1"/>
  <c r="D8" i="7" s="1"/>
  <c r="G8" i="7" s="1"/>
  <c r="J8" i="6"/>
  <c r="K8" i="6" s="1"/>
  <c r="L8" i="6" s="1"/>
  <c r="D9" i="6" s="1"/>
  <c r="K7" i="5"/>
  <c r="L7" i="5" s="1"/>
  <c r="D8" i="5" s="1"/>
  <c r="J7" i="5"/>
  <c r="H7" i="4"/>
  <c r="H8" i="8" l="1"/>
  <c r="F8" i="7"/>
  <c r="H8" i="7" s="1"/>
  <c r="G9" i="6"/>
  <c r="F9" i="6"/>
  <c r="H9" i="6" s="1"/>
  <c r="G8" i="5"/>
  <c r="F8" i="5"/>
  <c r="H8" i="5" s="1"/>
  <c r="J7" i="4"/>
  <c r="K7" i="4" s="1"/>
  <c r="L7" i="4" s="1"/>
  <c r="D8" i="4" s="1"/>
  <c r="J8" i="8" l="1"/>
  <c r="K8" i="8" s="1"/>
  <c r="L8" i="8" s="1"/>
  <c r="D9" i="8" s="1"/>
  <c r="J8" i="7"/>
  <c r="K8" i="7" s="1"/>
  <c r="L8" i="7" s="1"/>
  <c r="D9" i="7" s="1"/>
  <c r="J9" i="6"/>
  <c r="K9" i="6" s="1"/>
  <c r="L9" i="6" s="1"/>
  <c r="D10" i="6" s="1"/>
  <c r="J8" i="5"/>
  <c r="K8" i="5" s="1"/>
  <c r="L8" i="5" s="1"/>
  <c r="D9" i="5" s="1"/>
  <c r="G8" i="4"/>
  <c r="F8" i="4"/>
  <c r="G9" i="8" l="1"/>
  <c r="F9" i="8"/>
  <c r="G9" i="7"/>
  <c r="F9" i="7"/>
  <c r="H9" i="7" s="1"/>
  <c r="J9" i="7" s="1"/>
  <c r="G10" i="6"/>
  <c r="F10" i="6"/>
  <c r="H10" i="6" s="1"/>
  <c r="G9" i="5"/>
  <c r="F9" i="5"/>
  <c r="H9" i="5" s="1"/>
  <c r="H8" i="4"/>
  <c r="J8" i="4" s="1"/>
  <c r="K8" i="4" s="1"/>
  <c r="L8" i="4" s="1"/>
  <c r="D9" i="4" s="1"/>
  <c r="H9" i="8" l="1"/>
  <c r="K9" i="7"/>
  <c r="L9" i="7" s="1"/>
  <c r="D10" i="7" s="1"/>
  <c r="G10" i="7" s="1"/>
  <c r="J10" i="6"/>
  <c r="K10" i="6" s="1"/>
  <c r="L10" i="6" s="1"/>
  <c r="D11" i="6" s="1"/>
  <c r="J9" i="5"/>
  <c r="K9" i="5" s="1"/>
  <c r="L9" i="5" s="1"/>
  <c r="D10" i="5" s="1"/>
  <c r="G9" i="4"/>
  <c r="F9" i="4"/>
  <c r="J9" i="8" l="1"/>
  <c r="K9" i="8" s="1"/>
  <c r="L9" i="8" s="1"/>
  <c r="D10" i="8" s="1"/>
  <c r="F10" i="7"/>
  <c r="H10" i="7" s="1"/>
  <c r="G11" i="6"/>
  <c r="F11" i="6"/>
  <c r="H11" i="6" s="1"/>
  <c r="G10" i="5"/>
  <c r="F10" i="5"/>
  <c r="H9" i="4"/>
  <c r="J9" i="4" s="1"/>
  <c r="K9" i="4" s="1"/>
  <c r="L9" i="4" s="1"/>
  <c r="D10" i="4" s="1"/>
  <c r="G10" i="8" l="1"/>
  <c r="F10" i="8"/>
  <c r="J10" i="7"/>
  <c r="K10" i="7" s="1"/>
  <c r="L10" i="7" s="1"/>
  <c r="D11" i="7" s="1"/>
  <c r="J11" i="6"/>
  <c r="K11" i="6" s="1"/>
  <c r="L11" i="6" s="1"/>
  <c r="D12" i="6" s="1"/>
  <c r="H10" i="5"/>
  <c r="G10" i="4"/>
  <c r="F10" i="4"/>
  <c r="H10" i="8" l="1"/>
  <c r="G11" i="7"/>
  <c r="F11" i="7"/>
  <c r="G12" i="6"/>
  <c r="F12" i="6"/>
  <c r="H12" i="6" s="1"/>
  <c r="J10" i="5"/>
  <c r="K10" i="5"/>
  <c r="L10" i="5" s="1"/>
  <c r="D11" i="5" s="1"/>
  <c r="H10" i="4"/>
  <c r="J10" i="8" l="1"/>
  <c r="K10" i="8" s="1"/>
  <c r="L10" i="8" s="1"/>
  <c r="D11" i="8" s="1"/>
  <c r="H11" i="7"/>
  <c r="J11" i="7" s="1"/>
  <c r="K11" i="7" s="1"/>
  <c r="L11" i="7" s="1"/>
  <c r="D12" i="7" s="1"/>
  <c r="J12" i="6"/>
  <c r="K12" i="6" s="1"/>
  <c r="L12" i="6" s="1"/>
  <c r="D13" i="6" s="1"/>
  <c r="G11" i="5"/>
  <c r="F11" i="5"/>
  <c r="H11" i="5" s="1"/>
  <c r="J10" i="4"/>
  <c r="K10" i="4" s="1"/>
  <c r="L10" i="4" s="1"/>
  <c r="D11" i="4" s="1"/>
  <c r="F11" i="4" s="1"/>
  <c r="G11" i="8" l="1"/>
  <c r="F11" i="8"/>
  <c r="F12" i="7"/>
  <c r="G12" i="7"/>
  <c r="F13" i="6"/>
  <c r="G13" i="6"/>
  <c r="J11" i="5"/>
  <c r="K11" i="5"/>
  <c r="L11" i="5" s="1"/>
  <c r="D12" i="5" s="1"/>
  <c r="G11" i="4"/>
  <c r="H11" i="4" s="1"/>
  <c r="J11" i="4" s="1"/>
  <c r="K11" i="4" s="1"/>
  <c r="L11" i="4" s="1"/>
  <c r="D12" i="4" s="1"/>
  <c r="H11" i="8" l="1"/>
  <c r="J11" i="8"/>
  <c r="H12" i="7"/>
  <c r="J12" i="7" s="1"/>
  <c r="K12" i="7" s="1"/>
  <c r="L12" i="7" s="1"/>
  <c r="D13" i="7" s="1"/>
  <c r="H13" i="6"/>
  <c r="F12" i="5"/>
  <c r="G12" i="5"/>
  <c r="G12" i="4"/>
  <c r="F12" i="4"/>
  <c r="H12" i="4" s="1"/>
  <c r="K11" i="8" l="1"/>
  <c r="L11" i="8" s="1"/>
  <c r="D12" i="8" s="1"/>
  <c r="G12" i="8"/>
  <c r="F12" i="8"/>
  <c r="F13" i="7"/>
  <c r="G13" i="7"/>
  <c r="J13" i="6"/>
  <c r="K13" i="6"/>
  <c r="L13" i="6" s="1"/>
  <c r="D14" i="6" s="1"/>
  <c r="H12" i="5"/>
  <c r="J12" i="4"/>
  <c r="K12" i="4" s="1"/>
  <c r="L12" i="4" s="1"/>
  <c r="D13" i="4" s="1"/>
  <c r="H12" i="8" l="1"/>
  <c r="H13" i="7"/>
  <c r="G14" i="6"/>
  <c r="F14" i="6"/>
  <c r="H14" i="6" s="1"/>
  <c r="J12" i="5"/>
  <c r="K12" i="5" s="1"/>
  <c r="L12" i="5" s="1"/>
  <c r="D13" i="5" s="1"/>
  <c r="F13" i="4"/>
  <c r="G13" i="4"/>
  <c r="J12" i="8" l="1"/>
  <c r="K12" i="8" s="1"/>
  <c r="L12" i="8" s="1"/>
  <c r="D13" i="8" s="1"/>
  <c r="J13" i="7"/>
  <c r="K13" i="7" s="1"/>
  <c r="L13" i="7" s="1"/>
  <c r="D14" i="7" s="1"/>
  <c r="J14" i="6"/>
  <c r="K14" i="6"/>
  <c r="L14" i="6" s="1"/>
  <c r="D15" i="6" s="1"/>
  <c r="G13" i="5"/>
  <c r="F13" i="5"/>
  <c r="H13" i="5" s="1"/>
  <c r="H13" i="4"/>
  <c r="G13" i="8" l="1"/>
  <c r="F13" i="8"/>
  <c r="G14" i="7"/>
  <c r="F14" i="7"/>
  <c r="G15" i="6"/>
  <c r="E15" i="6"/>
  <c r="F15" i="6" s="1"/>
  <c r="H15" i="6" s="1"/>
  <c r="J13" i="5"/>
  <c r="K13" i="5" s="1"/>
  <c r="L13" i="5" s="1"/>
  <c r="D14" i="5" s="1"/>
  <c r="J13" i="4"/>
  <c r="K13" i="4" s="1"/>
  <c r="L13" i="4" s="1"/>
  <c r="D14" i="4" s="1"/>
  <c r="H13" i="8" l="1"/>
  <c r="J13" i="8"/>
  <c r="K13" i="8" s="1"/>
  <c r="L13" i="8" s="1"/>
  <c r="D14" i="8" s="1"/>
  <c r="H14" i="7"/>
  <c r="J14" i="7"/>
  <c r="K14" i="7" s="1"/>
  <c r="L14" i="7" s="1"/>
  <c r="D15" i="7" s="1"/>
  <c r="J15" i="6"/>
  <c r="K15" i="6" s="1"/>
  <c r="L15" i="6" s="1"/>
  <c r="D16" i="6" s="1"/>
  <c r="G14" i="5"/>
  <c r="F14" i="5"/>
  <c r="G14" i="4"/>
  <c r="F14" i="4"/>
  <c r="H14" i="4" s="1"/>
  <c r="G14" i="8" l="1"/>
  <c r="F14" i="8"/>
  <c r="G15" i="7"/>
  <c r="E15" i="7"/>
  <c r="F15" i="7" s="1"/>
  <c r="H15" i="7" s="1"/>
  <c r="E16" i="6"/>
  <c r="G16" i="6"/>
  <c r="F16" i="6"/>
  <c r="H14" i="5"/>
  <c r="J14" i="4"/>
  <c r="K14" i="4" s="1"/>
  <c r="L14" i="4" s="1"/>
  <c r="D15" i="4" s="1"/>
  <c r="H14" i="8" l="1"/>
  <c r="J14" i="8"/>
  <c r="K14" i="8" s="1"/>
  <c r="L14" i="8" s="1"/>
  <c r="D15" i="8" s="1"/>
  <c r="J15" i="7"/>
  <c r="K15" i="7" s="1"/>
  <c r="L15" i="7" s="1"/>
  <c r="D16" i="7" s="1"/>
  <c r="H16" i="6"/>
  <c r="K14" i="5"/>
  <c r="L14" i="5" s="1"/>
  <c r="D15" i="5" s="1"/>
  <c r="J14" i="5"/>
  <c r="G15" i="4"/>
  <c r="E15" i="4"/>
  <c r="F15" i="4" s="1"/>
  <c r="H15" i="4" s="1"/>
  <c r="G15" i="8" l="1"/>
  <c r="E15" i="8"/>
  <c r="F15" i="8" s="1"/>
  <c r="H15" i="8" s="1"/>
  <c r="G16" i="7"/>
  <c r="E16" i="7"/>
  <c r="F16" i="7" s="1"/>
  <c r="H16" i="7" s="1"/>
  <c r="J16" i="6"/>
  <c r="K16" i="6" s="1"/>
  <c r="L16" i="6" s="1"/>
  <c r="D17" i="6" s="1"/>
  <c r="G15" i="5"/>
  <c r="E15" i="5"/>
  <c r="F15" i="5" s="1"/>
  <c r="H15" i="5" s="1"/>
  <c r="J15" i="4"/>
  <c r="K15" i="4" s="1"/>
  <c r="L15" i="4" s="1"/>
  <c r="D16" i="4" s="1"/>
  <c r="J15" i="8" l="1"/>
  <c r="K15" i="8" s="1"/>
  <c r="L15" i="8" s="1"/>
  <c r="D16" i="8" s="1"/>
  <c r="J16" i="7"/>
  <c r="K16" i="7" s="1"/>
  <c r="L16" i="7" s="1"/>
  <c r="D17" i="7" s="1"/>
  <c r="E17" i="6"/>
  <c r="G17" i="6"/>
  <c r="F17" i="6"/>
  <c r="H17" i="6" s="1"/>
  <c r="J15" i="5"/>
  <c r="K15" i="5" s="1"/>
  <c r="L15" i="5" s="1"/>
  <c r="D16" i="5" s="1"/>
  <c r="G16" i="4"/>
  <c r="E16" i="4"/>
  <c r="F16" i="4" s="1"/>
  <c r="H16" i="4" s="1"/>
  <c r="G16" i="8" l="1"/>
  <c r="E16" i="8"/>
  <c r="F16" i="8" s="1"/>
  <c r="H16" i="8" s="1"/>
  <c r="G17" i="7"/>
  <c r="E17" i="7"/>
  <c r="F17" i="7" s="1"/>
  <c r="J17" i="6"/>
  <c r="K17" i="6" s="1"/>
  <c r="L17" i="6" s="1"/>
  <c r="D18" i="6" s="1"/>
  <c r="G16" i="5"/>
  <c r="E16" i="5"/>
  <c r="F16" i="5" s="1"/>
  <c r="H16" i="5" s="1"/>
  <c r="J16" i="4"/>
  <c r="K16" i="4" s="1"/>
  <c r="L16" i="4" s="1"/>
  <c r="D17" i="4" s="1"/>
  <c r="J16" i="8" l="1"/>
  <c r="K16" i="8"/>
  <c r="L16" i="8" s="1"/>
  <c r="D17" i="8" s="1"/>
  <c r="H17" i="7"/>
  <c r="G18" i="6"/>
  <c r="E18" i="6"/>
  <c r="F18" i="6" s="1"/>
  <c r="H18" i="6" s="1"/>
  <c r="J16" i="5"/>
  <c r="K16" i="5" s="1"/>
  <c r="L16" i="5" s="1"/>
  <c r="D17" i="5" s="1"/>
  <c r="E17" i="4"/>
  <c r="F17" i="4" s="1"/>
  <c r="G17" i="4"/>
  <c r="G17" i="8" l="1"/>
  <c r="E17" i="8"/>
  <c r="F17" i="8" s="1"/>
  <c r="J17" i="7"/>
  <c r="K17" i="7" s="1"/>
  <c r="L17" i="7" s="1"/>
  <c r="D18" i="7" s="1"/>
  <c r="J18" i="6"/>
  <c r="K18" i="6" s="1"/>
  <c r="L18" i="6" s="1"/>
  <c r="D19" i="6" s="1"/>
  <c r="G17" i="5"/>
  <c r="E17" i="5"/>
  <c r="F17" i="5" s="1"/>
  <c r="H17" i="5" s="1"/>
  <c r="H17" i="4"/>
  <c r="J17" i="4"/>
  <c r="K17" i="4" s="1"/>
  <c r="L17" i="4" s="1"/>
  <c r="D18" i="4" s="1"/>
  <c r="H17" i="8" l="1"/>
  <c r="J17" i="8"/>
  <c r="K17" i="8" s="1"/>
  <c r="L17" i="8" s="1"/>
  <c r="D18" i="8" s="1"/>
  <c r="G18" i="7"/>
  <c r="E18" i="7"/>
  <c r="F18" i="7" s="1"/>
  <c r="H18" i="7" s="1"/>
  <c r="E19" i="6"/>
  <c r="F19" i="6" s="1"/>
  <c r="H19" i="6" s="1"/>
  <c r="G19" i="6"/>
  <c r="J17" i="5"/>
  <c r="K17" i="5"/>
  <c r="L17" i="5" s="1"/>
  <c r="D18" i="5" s="1"/>
  <c r="G18" i="4"/>
  <c r="E18" i="4"/>
  <c r="F18" i="4" s="1"/>
  <c r="G18" i="8" l="1"/>
  <c r="E18" i="8"/>
  <c r="F18" i="8" s="1"/>
  <c r="J18" i="7"/>
  <c r="K18" i="7" s="1"/>
  <c r="L18" i="7" s="1"/>
  <c r="D19" i="7" s="1"/>
  <c r="J19" i="6"/>
  <c r="K19" i="6" s="1"/>
  <c r="L19" i="6" s="1"/>
  <c r="D20" i="6" s="1"/>
  <c r="G18" i="5"/>
  <c r="F18" i="5"/>
  <c r="E18" i="5"/>
  <c r="H18" i="4"/>
  <c r="H18" i="8" l="1"/>
  <c r="J18" i="8"/>
  <c r="K18" i="8" s="1"/>
  <c r="L18" i="8" s="1"/>
  <c r="D19" i="8" s="1"/>
  <c r="E19" i="7"/>
  <c r="F19" i="7" s="1"/>
  <c r="G19" i="7"/>
  <c r="G20" i="6"/>
  <c r="E20" i="6"/>
  <c r="F20" i="6" s="1"/>
  <c r="H20" i="6" s="1"/>
  <c r="H18" i="5"/>
  <c r="J18" i="4"/>
  <c r="K18" i="4" s="1"/>
  <c r="L18" i="4" s="1"/>
  <c r="D19" i="4" s="1"/>
  <c r="G19" i="8" l="1"/>
  <c r="E19" i="8"/>
  <c r="F19" i="8" s="1"/>
  <c r="H19" i="7"/>
  <c r="J19" i="7"/>
  <c r="K19" i="7" s="1"/>
  <c r="L19" i="7" s="1"/>
  <c r="D20" i="7" s="1"/>
  <c r="J20" i="6"/>
  <c r="K20" i="6"/>
  <c r="L20" i="6" s="1"/>
  <c r="D21" i="6" s="1"/>
  <c r="K18" i="5"/>
  <c r="L18" i="5" s="1"/>
  <c r="D19" i="5" s="1"/>
  <c r="J18" i="5"/>
  <c r="G19" i="4"/>
  <c r="E19" i="4"/>
  <c r="F19" i="4" s="1"/>
  <c r="H19" i="4" s="1"/>
  <c r="H19" i="8" l="1"/>
  <c r="J19" i="8"/>
  <c r="K19" i="8" s="1"/>
  <c r="L19" i="8" s="1"/>
  <c r="D20" i="8" s="1"/>
  <c r="G20" i="7"/>
  <c r="E20" i="7"/>
  <c r="F20" i="7" s="1"/>
  <c r="G21" i="6"/>
  <c r="F21" i="6"/>
  <c r="H21" i="6" s="1"/>
  <c r="E19" i="5"/>
  <c r="G19" i="5"/>
  <c r="F19" i="5"/>
  <c r="H19" i="5" s="1"/>
  <c r="J19" i="4"/>
  <c r="K19" i="4" s="1"/>
  <c r="L19" i="4" s="1"/>
  <c r="D20" i="4" s="1"/>
  <c r="E20" i="8" l="1"/>
  <c r="F20" i="8" s="1"/>
  <c r="G20" i="8"/>
  <c r="H20" i="7"/>
  <c r="J20" i="7"/>
  <c r="K20" i="7" s="1"/>
  <c r="L20" i="7" s="1"/>
  <c r="D21" i="7" s="1"/>
  <c r="J21" i="6"/>
  <c r="K21" i="6" s="1"/>
  <c r="L21" i="6" s="1"/>
  <c r="D22" i="6" s="1"/>
  <c r="K19" i="5"/>
  <c r="L19" i="5" s="1"/>
  <c r="D20" i="5" s="1"/>
  <c r="J19" i="5"/>
  <c r="G20" i="4"/>
  <c r="E20" i="4"/>
  <c r="F20" i="4" s="1"/>
  <c r="H20" i="4" s="1"/>
  <c r="H20" i="8" l="1"/>
  <c r="J20" i="8"/>
  <c r="K20" i="8" s="1"/>
  <c r="L20" i="8" s="1"/>
  <c r="D21" i="8" s="1"/>
  <c r="G21" i="7"/>
  <c r="F21" i="7"/>
  <c r="H21" i="7" s="1"/>
  <c r="G22" i="6"/>
  <c r="F22" i="6"/>
  <c r="H22" i="6" s="1"/>
  <c r="E20" i="5"/>
  <c r="G20" i="5"/>
  <c r="F20" i="5"/>
  <c r="H20" i="5" s="1"/>
  <c r="J20" i="4"/>
  <c r="K20" i="4" s="1"/>
  <c r="L20" i="4" s="1"/>
  <c r="D21" i="4" s="1"/>
  <c r="G21" i="8" l="1"/>
  <c r="F21" i="8"/>
  <c r="J21" i="7"/>
  <c r="K21" i="7"/>
  <c r="L21" i="7" s="1"/>
  <c r="D22" i="7" s="1"/>
  <c r="J22" i="6"/>
  <c r="K22" i="6" s="1"/>
  <c r="L22" i="6" s="1"/>
  <c r="D23" i="6" s="1"/>
  <c r="K20" i="5"/>
  <c r="L20" i="5" s="1"/>
  <c r="D21" i="5" s="1"/>
  <c r="J20" i="5"/>
  <c r="F21" i="4"/>
  <c r="G21" i="4"/>
  <c r="H21" i="8" l="1"/>
  <c r="J21" i="8" s="1"/>
  <c r="K21" i="8" s="1"/>
  <c r="L21" i="8" s="1"/>
  <c r="D22" i="8" s="1"/>
  <c r="G22" i="7"/>
  <c r="F22" i="7"/>
  <c r="H22" i="7" s="1"/>
  <c r="G23" i="6"/>
  <c r="F23" i="6"/>
  <c r="H23" i="6" s="1"/>
  <c r="G21" i="5"/>
  <c r="F21" i="5"/>
  <c r="H21" i="5" s="1"/>
  <c r="H21" i="4"/>
  <c r="G22" i="8" l="1"/>
  <c r="F22" i="8"/>
  <c r="J22" i="7"/>
  <c r="K22" i="7" s="1"/>
  <c r="L22" i="7" s="1"/>
  <c r="D23" i="7" s="1"/>
  <c r="J23" i="6"/>
  <c r="K23" i="6" s="1"/>
  <c r="L23" i="6" s="1"/>
  <c r="D24" i="6" s="1"/>
  <c r="J21" i="5"/>
  <c r="K21" i="5" s="1"/>
  <c r="L21" i="5" s="1"/>
  <c r="D22" i="5" s="1"/>
  <c r="J21" i="4"/>
  <c r="K21" i="4" s="1"/>
  <c r="L21" i="4" s="1"/>
  <c r="D22" i="4" s="1"/>
  <c r="H22" i="8" l="1"/>
  <c r="F23" i="7"/>
  <c r="G23" i="7"/>
  <c r="G24" i="6"/>
  <c r="F24" i="6"/>
  <c r="H24" i="6" s="1"/>
  <c r="G22" i="5"/>
  <c r="F22" i="5"/>
  <c r="H22" i="5" s="1"/>
  <c r="G22" i="4"/>
  <c r="F22" i="4"/>
  <c r="J22" i="8" l="1"/>
  <c r="K22" i="8" s="1"/>
  <c r="L22" i="8" s="1"/>
  <c r="D23" i="8" s="1"/>
  <c r="H23" i="7"/>
  <c r="J24" i="6"/>
  <c r="K24" i="6" s="1"/>
  <c r="L24" i="6" s="1"/>
  <c r="D25" i="6" s="1"/>
  <c r="J22" i="5"/>
  <c r="K22" i="5" s="1"/>
  <c r="L22" i="5" s="1"/>
  <c r="D23" i="5" s="1"/>
  <c r="H22" i="4"/>
  <c r="J22" i="4" s="1"/>
  <c r="K22" i="4" s="1"/>
  <c r="L22" i="4" s="1"/>
  <c r="D23" i="4" s="1"/>
  <c r="G23" i="8" l="1"/>
  <c r="F23" i="8"/>
  <c r="J23" i="7"/>
  <c r="K23" i="7" s="1"/>
  <c r="L23" i="7" s="1"/>
  <c r="D24" i="7" s="1"/>
  <c r="G25" i="6"/>
  <c r="F25" i="6"/>
  <c r="H25" i="6" s="1"/>
  <c r="G23" i="5"/>
  <c r="F23" i="5"/>
  <c r="H23" i="5" s="1"/>
  <c r="G23" i="4"/>
  <c r="F23" i="4"/>
  <c r="H23" i="8" l="1"/>
  <c r="J23" i="8"/>
  <c r="K23" i="8" s="1"/>
  <c r="L23" i="8" s="1"/>
  <c r="D24" i="8" s="1"/>
  <c r="F24" i="7"/>
  <c r="G24" i="7"/>
  <c r="J25" i="6"/>
  <c r="K25" i="6" s="1"/>
  <c r="L25" i="6" s="1"/>
  <c r="D26" i="6" s="1"/>
  <c r="J23" i="5"/>
  <c r="K23" i="5"/>
  <c r="L23" i="5" s="1"/>
  <c r="D24" i="5" s="1"/>
  <c r="H23" i="4"/>
  <c r="G24" i="8" l="1"/>
  <c r="F24" i="8"/>
  <c r="H24" i="7"/>
  <c r="F26" i="6"/>
  <c r="G26" i="6"/>
  <c r="G24" i="5"/>
  <c r="F24" i="5"/>
  <c r="J23" i="4"/>
  <c r="K23" i="4" s="1"/>
  <c r="L23" i="4" s="1"/>
  <c r="D24" i="4" s="1"/>
  <c r="H24" i="8" l="1"/>
  <c r="J24" i="7"/>
  <c r="K24" i="7" s="1"/>
  <c r="L24" i="7" s="1"/>
  <c r="D25" i="7" s="1"/>
  <c r="H26" i="6"/>
  <c r="H24" i="5"/>
  <c r="G24" i="4"/>
  <c r="F24" i="4"/>
  <c r="J24" i="8" l="1"/>
  <c r="K24" i="8" s="1"/>
  <c r="L24" i="8" s="1"/>
  <c r="D25" i="8" s="1"/>
  <c r="G25" i="7"/>
  <c r="F25" i="7"/>
  <c r="H25" i="7" s="1"/>
  <c r="J26" i="6"/>
  <c r="K26" i="6"/>
  <c r="L26" i="6" s="1"/>
  <c r="D27" i="6" s="1"/>
  <c r="K24" i="5"/>
  <c r="L24" i="5" s="1"/>
  <c r="D25" i="5" s="1"/>
  <c r="J24" i="5"/>
  <c r="H24" i="4"/>
  <c r="J24" i="4" s="1"/>
  <c r="K24" i="4" s="1"/>
  <c r="L24" i="4" s="1"/>
  <c r="D25" i="4" s="1"/>
  <c r="F25" i="8" l="1"/>
  <c r="G25" i="8"/>
  <c r="J25" i="7"/>
  <c r="K25" i="7"/>
  <c r="L25" i="7" s="1"/>
  <c r="D26" i="7" s="1"/>
  <c r="G27" i="6"/>
  <c r="E27" i="6"/>
  <c r="F27" i="6" s="1"/>
  <c r="H27" i="6" s="1"/>
  <c r="G25" i="5"/>
  <c r="F25" i="5"/>
  <c r="F25" i="4"/>
  <c r="G25" i="4"/>
  <c r="H25" i="8" l="1"/>
  <c r="G26" i="7"/>
  <c r="F26" i="7"/>
  <c r="J27" i="6"/>
  <c r="K27" i="6" s="1"/>
  <c r="L27" i="6" s="1"/>
  <c r="D28" i="6" s="1"/>
  <c r="H25" i="5"/>
  <c r="H25" i="4"/>
  <c r="J25" i="8" l="1"/>
  <c r="K25" i="8" s="1"/>
  <c r="L25" i="8" s="1"/>
  <c r="D26" i="8" s="1"/>
  <c r="H26" i="7"/>
  <c r="J26" i="7"/>
  <c r="K26" i="7" s="1"/>
  <c r="L26" i="7" s="1"/>
  <c r="D27" i="7" s="1"/>
  <c r="G28" i="6"/>
  <c r="F28" i="6"/>
  <c r="H28" i="6" s="1"/>
  <c r="J25" i="5"/>
  <c r="K25" i="5" s="1"/>
  <c r="L25" i="5" s="1"/>
  <c r="D26" i="5" s="1"/>
  <c r="J25" i="4"/>
  <c r="K25" i="4" s="1"/>
  <c r="L25" i="4" s="1"/>
  <c r="D26" i="4" s="1"/>
  <c r="G26" i="8" l="1"/>
  <c r="F26" i="8"/>
  <c r="E27" i="7"/>
  <c r="F27" i="7" s="1"/>
  <c r="G27" i="7"/>
  <c r="J28" i="6"/>
  <c r="K28" i="6" s="1"/>
  <c r="L28" i="6" s="1"/>
  <c r="D29" i="6" s="1"/>
  <c r="G26" i="5"/>
  <c r="F26" i="5"/>
  <c r="F26" i="4"/>
  <c r="G26" i="4"/>
  <c r="H26" i="8" l="1"/>
  <c r="J26" i="8" s="1"/>
  <c r="H27" i="7"/>
  <c r="G29" i="6"/>
  <c r="F29" i="6"/>
  <c r="H29" i="6" s="1"/>
  <c r="H26" i="5"/>
  <c r="H26" i="4"/>
  <c r="J26" i="4" s="1"/>
  <c r="K26" i="4" s="1"/>
  <c r="L26" i="4" s="1"/>
  <c r="D27" i="4" s="1"/>
  <c r="K26" i="8" l="1"/>
  <c r="L26" i="8" s="1"/>
  <c r="D27" i="8" s="1"/>
  <c r="E27" i="8" s="1"/>
  <c r="F27" i="8" s="1"/>
  <c r="H27" i="8" s="1"/>
  <c r="G27" i="8"/>
  <c r="J27" i="7"/>
  <c r="K27" i="7" s="1"/>
  <c r="L27" i="7" s="1"/>
  <c r="D28" i="7" s="1"/>
  <c r="J29" i="6"/>
  <c r="K29" i="6" s="1"/>
  <c r="L29" i="6" s="1"/>
  <c r="D30" i="6" s="1"/>
  <c r="K26" i="5"/>
  <c r="L26" i="5" s="1"/>
  <c r="D27" i="5" s="1"/>
  <c r="J26" i="5"/>
  <c r="G27" i="4"/>
  <c r="E27" i="4"/>
  <c r="F27" i="4" s="1"/>
  <c r="J27" i="8" l="1"/>
  <c r="K27" i="8" s="1"/>
  <c r="L27" i="8" s="1"/>
  <c r="D28" i="8" s="1"/>
  <c r="F28" i="7"/>
  <c r="G28" i="7"/>
  <c r="G30" i="6"/>
  <c r="E30" i="6"/>
  <c r="F30" i="6" s="1"/>
  <c r="H30" i="6" s="1"/>
  <c r="G27" i="5"/>
  <c r="E27" i="5"/>
  <c r="F27" i="5" s="1"/>
  <c r="H27" i="5" s="1"/>
  <c r="H27" i="4"/>
  <c r="F28" i="8" l="1"/>
  <c r="G28" i="8"/>
  <c r="H28" i="7"/>
  <c r="J30" i="6"/>
  <c r="K30" i="6" s="1"/>
  <c r="L30" i="6" s="1"/>
  <c r="D31" i="6" s="1"/>
  <c r="J27" i="5"/>
  <c r="K27" i="5" s="1"/>
  <c r="L27" i="5" s="1"/>
  <c r="D28" i="5" s="1"/>
  <c r="J27" i="4"/>
  <c r="K27" i="4" s="1"/>
  <c r="L27" i="4" s="1"/>
  <c r="D28" i="4" s="1"/>
  <c r="H28" i="8" l="1"/>
  <c r="J28" i="7"/>
  <c r="K28" i="7" s="1"/>
  <c r="L28" i="7" s="1"/>
  <c r="D29" i="7" s="1"/>
  <c r="G31" i="6"/>
  <c r="E31" i="6"/>
  <c r="F31" i="6" s="1"/>
  <c r="H31" i="6" s="1"/>
  <c r="G28" i="5"/>
  <c r="F28" i="5"/>
  <c r="G28" i="4"/>
  <c r="F28" i="4"/>
  <c r="H28" i="4" s="1"/>
  <c r="J28" i="4" s="1"/>
  <c r="K28" i="4" s="1"/>
  <c r="L28" i="4" s="1"/>
  <c r="D29" i="4" s="1"/>
  <c r="J28" i="8" l="1"/>
  <c r="K28" i="8" s="1"/>
  <c r="L28" i="8" s="1"/>
  <c r="D29" i="8" s="1"/>
  <c r="F29" i="7"/>
  <c r="G29" i="7"/>
  <c r="J31" i="6"/>
  <c r="K31" i="6" s="1"/>
  <c r="L31" i="6" s="1"/>
  <c r="D32" i="6" s="1"/>
  <c r="H28" i="5"/>
  <c r="G29" i="4"/>
  <c r="F29" i="4"/>
  <c r="G29" i="8" l="1"/>
  <c r="F29" i="8"/>
  <c r="H29" i="7"/>
  <c r="J29" i="7"/>
  <c r="K29" i="7" s="1"/>
  <c r="L29" i="7" s="1"/>
  <c r="D30" i="7" s="1"/>
  <c r="F32" i="6"/>
  <c r="G32" i="6"/>
  <c r="J28" i="5"/>
  <c r="K28" i="5"/>
  <c r="L28" i="5" s="1"/>
  <c r="D29" i="5" s="1"/>
  <c r="H29" i="4"/>
  <c r="H29" i="8" l="1"/>
  <c r="J29" i="8"/>
  <c r="K29" i="8" s="1"/>
  <c r="L29" i="8" s="1"/>
  <c r="D30" i="8" s="1"/>
  <c r="G30" i="7"/>
  <c r="E30" i="7"/>
  <c r="F30" i="7" s="1"/>
  <c r="H30" i="7" s="1"/>
  <c r="H32" i="6"/>
  <c r="G29" i="5"/>
  <c r="F29" i="5"/>
  <c r="H29" i="5" s="1"/>
  <c r="J29" i="4"/>
  <c r="K29" i="4" s="1"/>
  <c r="L29" i="4" s="1"/>
  <c r="D30" i="4" s="1"/>
  <c r="G30" i="8" l="1"/>
  <c r="E30" i="8"/>
  <c r="F30" i="8" s="1"/>
  <c r="J30" i="7"/>
  <c r="K30" i="7" s="1"/>
  <c r="L30" i="7" s="1"/>
  <c r="D31" i="7" s="1"/>
  <c r="J32" i="6"/>
  <c r="K32" i="6" s="1"/>
  <c r="L32" i="6" s="1"/>
  <c r="D33" i="6" s="1"/>
  <c r="J29" i="5"/>
  <c r="K29" i="5" s="1"/>
  <c r="L29" i="5" s="1"/>
  <c r="D30" i="5" s="1"/>
  <c r="E30" i="4"/>
  <c r="F30" i="4" s="1"/>
  <c r="G30" i="4"/>
  <c r="H30" i="8" l="1"/>
  <c r="J30" i="8" s="1"/>
  <c r="K30" i="8" s="1"/>
  <c r="L30" i="8" s="1"/>
  <c r="D31" i="8" s="1"/>
  <c r="G31" i="7"/>
  <c r="E31" i="7"/>
  <c r="F31" i="7" s="1"/>
  <c r="H31" i="7" s="1"/>
  <c r="F33" i="6"/>
  <c r="H33" i="6" s="1"/>
  <c r="G33" i="6"/>
  <c r="G30" i="5"/>
  <c r="E30" i="5"/>
  <c r="F30" i="5" s="1"/>
  <c r="H30" i="5" s="1"/>
  <c r="H30" i="4"/>
  <c r="J30" i="4"/>
  <c r="K30" i="4" s="1"/>
  <c r="L30" i="4" s="1"/>
  <c r="D31" i="4" s="1"/>
  <c r="G31" i="8" l="1"/>
  <c r="E31" i="8"/>
  <c r="F31" i="8" s="1"/>
  <c r="J31" i="7"/>
  <c r="K31" i="7" s="1"/>
  <c r="L31" i="7" s="1"/>
  <c r="D32" i="7" s="1"/>
  <c r="J33" i="6"/>
  <c r="K33" i="6" s="1"/>
  <c r="L33" i="6" s="1"/>
  <c r="D34" i="6" s="1"/>
  <c r="K30" i="5"/>
  <c r="L30" i="5" s="1"/>
  <c r="D31" i="5" s="1"/>
  <c r="J30" i="5"/>
  <c r="G31" i="4"/>
  <c r="E31" i="4"/>
  <c r="F31" i="4" s="1"/>
  <c r="H31" i="4" s="1"/>
  <c r="H31" i="8" l="1"/>
  <c r="F32" i="7"/>
  <c r="G32" i="7"/>
  <c r="G34" i="6"/>
  <c r="F34" i="6"/>
  <c r="H34" i="6" s="1"/>
  <c r="E31" i="5"/>
  <c r="F31" i="5" s="1"/>
  <c r="H31" i="5" s="1"/>
  <c r="G31" i="5"/>
  <c r="J31" i="4"/>
  <c r="K31" i="4" s="1"/>
  <c r="L31" i="4" s="1"/>
  <c r="D32" i="4" s="1"/>
  <c r="J31" i="8" l="1"/>
  <c r="K31" i="8" s="1"/>
  <c r="L31" i="8" s="1"/>
  <c r="D32" i="8" s="1"/>
  <c r="H32" i="7"/>
  <c r="J34" i="6"/>
  <c r="K34" i="6" s="1"/>
  <c r="L34" i="6" s="1"/>
  <c r="D35" i="6" s="1"/>
  <c r="J31" i="5"/>
  <c r="K31" i="5" s="1"/>
  <c r="L31" i="5" s="1"/>
  <c r="D32" i="5" s="1"/>
  <c r="G32" i="4"/>
  <c r="F32" i="4"/>
  <c r="G32" i="8" l="1"/>
  <c r="F32" i="8"/>
  <c r="J32" i="7"/>
  <c r="K32" i="7" s="1"/>
  <c r="L32" i="7" s="1"/>
  <c r="D33" i="7" s="1"/>
  <c r="G35" i="6"/>
  <c r="F35" i="6"/>
  <c r="H35" i="6" s="1"/>
  <c r="G32" i="5"/>
  <c r="F32" i="5"/>
  <c r="H32" i="4"/>
  <c r="J32" i="4" s="1"/>
  <c r="K32" i="4" s="1"/>
  <c r="L32" i="4" s="1"/>
  <c r="D33" i="4" s="1"/>
  <c r="H32" i="8" l="1"/>
  <c r="G33" i="7"/>
  <c r="F33" i="7"/>
  <c r="H33" i="7" s="1"/>
  <c r="J35" i="6"/>
  <c r="K35" i="6" s="1"/>
  <c r="L35" i="6" s="1"/>
  <c r="D36" i="6" s="1"/>
  <c r="H32" i="5"/>
  <c r="G33" i="4"/>
  <c r="F33" i="4"/>
  <c r="J32" i="8" l="1"/>
  <c r="K32" i="8" s="1"/>
  <c r="L32" i="8" s="1"/>
  <c r="D33" i="8" s="1"/>
  <c r="J33" i="7"/>
  <c r="K33" i="7" s="1"/>
  <c r="L33" i="7" s="1"/>
  <c r="D34" i="7" s="1"/>
  <c r="F36" i="6"/>
  <c r="G36" i="6"/>
  <c r="J32" i="5"/>
  <c r="K32" i="5" s="1"/>
  <c r="L32" i="5" s="1"/>
  <c r="D33" i="5" s="1"/>
  <c r="H33" i="4"/>
  <c r="F33" i="8" l="1"/>
  <c r="G33" i="8"/>
  <c r="G34" i="7"/>
  <c r="F34" i="7"/>
  <c r="H34" i="7" s="1"/>
  <c r="H36" i="6"/>
  <c r="F33" i="5"/>
  <c r="H33" i="5" s="1"/>
  <c r="G33" i="5"/>
  <c r="J33" i="4"/>
  <c r="K33" i="4" s="1"/>
  <c r="L33" i="4" s="1"/>
  <c r="D34" i="4" s="1"/>
  <c r="H33" i="8" l="1"/>
  <c r="J34" i="7"/>
  <c r="K34" i="7" s="1"/>
  <c r="L34" i="7" s="1"/>
  <c r="D35" i="7" s="1"/>
  <c r="J36" i="6"/>
  <c r="K36" i="6" s="1"/>
  <c r="L36" i="6" s="1"/>
  <c r="D37" i="6" s="1"/>
  <c r="J33" i="5"/>
  <c r="K33" i="5"/>
  <c r="L33" i="5" s="1"/>
  <c r="D34" i="5" s="1"/>
  <c r="G34" i="4"/>
  <c r="F34" i="4"/>
  <c r="J33" i="8" l="1"/>
  <c r="K33" i="8" s="1"/>
  <c r="L33" i="8" s="1"/>
  <c r="D34" i="8" s="1"/>
  <c r="F35" i="7"/>
  <c r="G35" i="7"/>
  <c r="F37" i="6"/>
  <c r="H37" i="6" s="1"/>
  <c r="E37" i="6"/>
  <c r="G37" i="6"/>
  <c r="G34" i="5"/>
  <c r="F34" i="5"/>
  <c r="H34" i="4"/>
  <c r="G34" i="8" l="1"/>
  <c r="F34" i="8"/>
  <c r="H35" i="7"/>
  <c r="J37" i="6"/>
  <c r="K37" i="6" s="1"/>
  <c r="L37" i="6" s="1"/>
  <c r="D38" i="6" s="1"/>
  <c r="H34" i="5"/>
  <c r="J34" i="4"/>
  <c r="K34" i="4" s="1"/>
  <c r="L34" i="4" s="1"/>
  <c r="D35" i="4" s="1"/>
  <c r="H34" i="8" l="1"/>
  <c r="J35" i="7"/>
  <c r="K35" i="7" s="1"/>
  <c r="L35" i="7" s="1"/>
  <c r="D36" i="7" s="1"/>
  <c r="G38" i="6"/>
  <c r="E38" i="6"/>
  <c r="F38" i="6" s="1"/>
  <c r="H38" i="6" s="1"/>
  <c r="K34" i="5"/>
  <c r="L34" i="5" s="1"/>
  <c r="D35" i="5" s="1"/>
  <c r="J34" i="5"/>
  <c r="G35" i="4"/>
  <c r="F35" i="4"/>
  <c r="J34" i="8" l="1"/>
  <c r="K34" i="8" s="1"/>
  <c r="L34" i="8" s="1"/>
  <c r="D35" i="8" s="1"/>
  <c r="G36" i="7"/>
  <c r="F36" i="7"/>
  <c r="H36" i="7" s="1"/>
  <c r="J38" i="6"/>
  <c r="K38" i="6"/>
  <c r="L38" i="6" s="1"/>
  <c r="D39" i="6" s="1"/>
  <c r="F35" i="5"/>
  <c r="H35" i="5" s="1"/>
  <c r="G35" i="5"/>
  <c r="H35" i="4"/>
  <c r="J35" i="4" s="1"/>
  <c r="K35" i="4" s="1"/>
  <c r="L35" i="4" s="1"/>
  <c r="D36" i="4" s="1"/>
  <c r="G35" i="8" l="1"/>
  <c r="F35" i="8"/>
  <c r="J36" i="7"/>
  <c r="K36" i="7" s="1"/>
  <c r="L36" i="7" s="1"/>
  <c r="D37" i="7" s="1"/>
  <c r="G39" i="6"/>
  <c r="E39" i="6"/>
  <c r="F39" i="6" s="1"/>
  <c r="H39" i="6" s="1"/>
  <c r="J35" i="5"/>
  <c r="K35" i="5" s="1"/>
  <c r="L35" i="5" s="1"/>
  <c r="D36" i="5" s="1"/>
  <c r="G36" i="4"/>
  <c r="F36" i="4"/>
  <c r="H36" i="4" s="1"/>
  <c r="H35" i="8" l="1"/>
  <c r="J35" i="8"/>
  <c r="K35" i="8" s="1"/>
  <c r="L35" i="8" s="1"/>
  <c r="D36" i="8" s="1"/>
  <c r="G37" i="7"/>
  <c r="E37" i="7"/>
  <c r="F37" i="7" s="1"/>
  <c r="H37" i="7" s="1"/>
  <c r="J39" i="6"/>
  <c r="K39" i="6" s="1"/>
  <c r="L39" i="6" s="1"/>
  <c r="D40" i="6" s="1"/>
  <c r="G36" i="5"/>
  <c r="F36" i="5"/>
  <c r="H36" i="5" s="1"/>
  <c r="J36" i="4"/>
  <c r="K36" i="4" s="1"/>
  <c r="L36" i="4" s="1"/>
  <c r="D37" i="4" s="1"/>
  <c r="G36" i="8" l="1"/>
  <c r="F36" i="8"/>
  <c r="J37" i="7"/>
  <c r="K37" i="7" s="1"/>
  <c r="L37" i="7" s="1"/>
  <c r="D38" i="7" s="1"/>
  <c r="G40" i="6"/>
  <c r="F40" i="6"/>
  <c r="H40" i="6" s="1"/>
  <c r="K36" i="5"/>
  <c r="L36" i="5" s="1"/>
  <c r="D37" i="5" s="1"/>
  <c r="J36" i="5"/>
  <c r="G37" i="4"/>
  <c r="E37" i="4"/>
  <c r="F37" i="4" s="1"/>
  <c r="H36" i="8" l="1"/>
  <c r="J36" i="8" s="1"/>
  <c r="K36" i="8" s="1"/>
  <c r="L36" i="8" s="1"/>
  <c r="D37" i="8" s="1"/>
  <c r="G38" i="7"/>
  <c r="E38" i="7"/>
  <c r="F38" i="7" s="1"/>
  <c r="H38" i="7" s="1"/>
  <c r="J40" i="6"/>
  <c r="K40" i="6" s="1"/>
  <c r="L40" i="6" s="1"/>
  <c r="D41" i="6" s="1"/>
  <c r="G37" i="5"/>
  <c r="E37" i="5"/>
  <c r="F37" i="5" s="1"/>
  <c r="H37" i="5" s="1"/>
  <c r="H37" i="4"/>
  <c r="J37" i="4" s="1"/>
  <c r="K37" i="4" s="1"/>
  <c r="L37" i="4" s="1"/>
  <c r="D38" i="4" s="1"/>
  <c r="E37" i="8" l="1"/>
  <c r="F37" i="8" s="1"/>
  <c r="G37" i="8"/>
  <c r="J38" i="7"/>
  <c r="K38" i="7" s="1"/>
  <c r="L38" i="7" s="1"/>
  <c r="D39" i="7" s="1"/>
  <c r="G41" i="6"/>
  <c r="F41" i="6"/>
  <c r="K37" i="5"/>
  <c r="L37" i="5" s="1"/>
  <c r="D38" i="5" s="1"/>
  <c r="J37" i="5"/>
  <c r="E38" i="4"/>
  <c r="F38" i="4" s="1"/>
  <c r="G38" i="4"/>
  <c r="H37" i="8" l="1"/>
  <c r="J37" i="8"/>
  <c r="K37" i="8" s="1"/>
  <c r="L37" i="8" s="1"/>
  <c r="D38" i="8" s="1"/>
  <c r="G39" i="7"/>
  <c r="E39" i="7"/>
  <c r="F39" i="7" s="1"/>
  <c r="H39" i="7" s="1"/>
  <c r="H41" i="6"/>
  <c r="G38" i="5"/>
  <c r="E38" i="5"/>
  <c r="F38" i="5" s="1"/>
  <c r="H38" i="5" s="1"/>
  <c r="H38" i="4"/>
  <c r="J38" i="4" s="1"/>
  <c r="K38" i="4" s="1"/>
  <c r="L38" i="4" s="1"/>
  <c r="D39" i="4" s="1"/>
  <c r="G38" i="8" l="1"/>
  <c r="E38" i="8"/>
  <c r="F38" i="8" s="1"/>
  <c r="H38" i="8" s="1"/>
  <c r="J39" i="7"/>
  <c r="K39" i="7" s="1"/>
  <c r="L39" i="7" s="1"/>
  <c r="D40" i="7" s="1"/>
  <c r="K41" i="6"/>
  <c r="L41" i="6" s="1"/>
  <c r="D42" i="6" s="1"/>
  <c r="J41" i="6"/>
  <c r="J38" i="5"/>
  <c r="K38" i="5" s="1"/>
  <c r="L38" i="5" s="1"/>
  <c r="D39" i="5" s="1"/>
  <c r="G39" i="4"/>
  <c r="E39" i="4"/>
  <c r="F39" i="4" s="1"/>
  <c r="H39" i="4" s="1"/>
  <c r="J38" i="8" l="1"/>
  <c r="K38" i="8" s="1"/>
  <c r="L38" i="8" s="1"/>
  <c r="D39" i="8" s="1"/>
  <c r="F40" i="7"/>
  <c r="G40" i="7"/>
  <c r="G42" i="6"/>
  <c r="E42" i="6"/>
  <c r="F42" i="6" s="1"/>
  <c r="H42" i="6" s="1"/>
  <c r="E39" i="5"/>
  <c r="F39" i="5" s="1"/>
  <c r="H39" i="5" s="1"/>
  <c r="G39" i="5"/>
  <c r="J39" i="4"/>
  <c r="K39" i="4" s="1"/>
  <c r="L39" i="4" s="1"/>
  <c r="D40" i="4" s="1"/>
  <c r="G39" i="8" l="1"/>
  <c r="E39" i="8"/>
  <c r="F39" i="8" s="1"/>
  <c r="H39" i="8" s="1"/>
  <c r="H40" i="7"/>
  <c r="J42" i="6"/>
  <c r="K42" i="6" s="1"/>
  <c r="L42" i="6" s="1"/>
  <c r="D43" i="6" s="1"/>
  <c r="J39" i="5"/>
  <c r="K39" i="5" s="1"/>
  <c r="L39" i="5" s="1"/>
  <c r="D40" i="5" s="1"/>
  <c r="G40" i="4"/>
  <c r="F40" i="4"/>
  <c r="H40" i="4" s="1"/>
  <c r="J39" i="8" l="1"/>
  <c r="K39" i="8" s="1"/>
  <c r="L39" i="8" s="1"/>
  <c r="D40" i="8" s="1"/>
  <c r="J40" i="7"/>
  <c r="K40" i="7" s="1"/>
  <c r="L40" i="7" s="1"/>
  <c r="D41" i="7" s="1"/>
  <c r="G43" i="6"/>
  <c r="F43" i="6"/>
  <c r="H43" i="6" s="1"/>
  <c r="F40" i="5"/>
  <c r="G40" i="5"/>
  <c r="J40" i="4"/>
  <c r="K40" i="4" s="1"/>
  <c r="L40" i="4" s="1"/>
  <c r="D41" i="4" s="1"/>
  <c r="G40" i="8" l="1"/>
  <c r="F40" i="8"/>
  <c r="F41" i="7"/>
  <c r="G41" i="7"/>
  <c r="J43" i="6"/>
  <c r="K43" i="6" s="1"/>
  <c r="L43" i="6" s="1"/>
  <c r="D44" i="6" s="1"/>
  <c r="H40" i="5"/>
  <c r="G41" i="4"/>
  <c r="F41" i="4"/>
  <c r="H40" i="8" l="1"/>
  <c r="H41" i="7"/>
  <c r="F44" i="6"/>
  <c r="G44" i="6"/>
  <c r="E44" i="6"/>
  <c r="J40" i="5"/>
  <c r="K40" i="5" s="1"/>
  <c r="L40" i="5" s="1"/>
  <c r="D41" i="5" s="1"/>
  <c r="H41" i="4"/>
  <c r="J41" i="4" s="1"/>
  <c r="K41" i="4" s="1"/>
  <c r="L41" i="4" s="1"/>
  <c r="D42" i="4" s="1"/>
  <c r="J40" i="8" l="1"/>
  <c r="K40" i="8" s="1"/>
  <c r="L40" i="8" s="1"/>
  <c r="D41" i="8" s="1"/>
  <c r="J41" i="7"/>
  <c r="K41" i="7" s="1"/>
  <c r="L41" i="7" s="1"/>
  <c r="D42" i="7" s="1"/>
  <c r="H44" i="6"/>
  <c r="G41" i="5"/>
  <c r="F41" i="5"/>
  <c r="H41" i="5" s="1"/>
  <c r="E42" i="4"/>
  <c r="F42" i="4" s="1"/>
  <c r="G42" i="4"/>
  <c r="G41" i="8" l="1"/>
  <c r="F41" i="8"/>
  <c r="G42" i="7"/>
  <c r="E42" i="7"/>
  <c r="F42" i="7" s="1"/>
  <c r="H42" i="7" s="1"/>
  <c r="J44" i="6"/>
  <c r="K44" i="6"/>
  <c r="L44" i="6" s="1"/>
  <c r="D45" i="6" s="1"/>
  <c r="J41" i="5"/>
  <c r="K41" i="5" s="1"/>
  <c r="L41" i="5" s="1"/>
  <c r="D42" i="5" s="1"/>
  <c r="H42" i="4"/>
  <c r="J42" i="4"/>
  <c r="K42" i="4" s="1"/>
  <c r="L42" i="4" s="1"/>
  <c r="D43" i="4" s="1"/>
  <c r="H41" i="8" l="1"/>
  <c r="J41" i="8" s="1"/>
  <c r="K41" i="8" s="1"/>
  <c r="L41" i="8" s="1"/>
  <c r="D42" i="8" s="1"/>
  <c r="J42" i="7"/>
  <c r="K42" i="7"/>
  <c r="L42" i="7" s="1"/>
  <c r="D43" i="7" s="1"/>
  <c r="G45" i="6"/>
  <c r="E45" i="6"/>
  <c r="F45" i="6" s="1"/>
  <c r="H45" i="6" s="1"/>
  <c r="G42" i="5"/>
  <c r="E42" i="5"/>
  <c r="F42" i="5" s="1"/>
  <c r="H42" i="5" s="1"/>
  <c r="G43" i="4"/>
  <c r="F43" i="4"/>
  <c r="G42" i="8" l="1"/>
  <c r="E42" i="8"/>
  <c r="F42" i="8" s="1"/>
  <c r="G43" i="7"/>
  <c r="F43" i="7"/>
  <c r="J45" i="6"/>
  <c r="K45" i="6" s="1"/>
  <c r="L45" i="6" s="1"/>
  <c r="D46" i="6" s="1"/>
  <c r="J42" i="5"/>
  <c r="K42" i="5" s="1"/>
  <c r="L42" i="5" s="1"/>
  <c r="D43" i="5" s="1"/>
  <c r="H43" i="4"/>
  <c r="J43" i="4"/>
  <c r="K43" i="4" s="1"/>
  <c r="L43" i="4" s="1"/>
  <c r="D44" i="4" s="1"/>
  <c r="H42" i="8" l="1"/>
  <c r="J42" i="8" s="1"/>
  <c r="K42" i="8" s="1"/>
  <c r="L42" i="8" s="1"/>
  <c r="D43" i="8" s="1"/>
  <c r="H43" i="7"/>
  <c r="J43" i="7"/>
  <c r="K43" i="7" s="1"/>
  <c r="L43" i="7" s="1"/>
  <c r="D44" i="7" s="1"/>
  <c r="G46" i="6"/>
  <c r="E46" i="6"/>
  <c r="F46" i="6" s="1"/>
  <c r="H46" i="6" s="1"/>
  <c r="G43" i="5"/>
  <c r="F43" i="5"/>
  <c r="H43" i="5" s="1"/>
  <c r="G44" i="4"/>
  <c r="E44" i="4"/>
  <c r="F44" i="4" s="1"/>
  <c r="H44" i="4" s="1"/>
  <c r="F43" i="8" l="1"/>
  <c r="G43" i="8"/>
  <c r="E44" i="7"/>
  <c r="F44" i="7" s="1"/>
  <c r="G44" i="7"/>
  <c r="J46" i="6"/>
  <c r="K46" i="6" s="1"/>
  <c r="L46" i="6" s="1"/>
  <c r="D47" i="6" s="1"/>
  <c r="J43" i="5"/>
  <c r="K43" i="5" s="1"/>
  <c r="L43" i="5" s="1"/>
  <c r="D44" i="5" s="1"/>
  <c r="J44" i="4"/>
  <c r="K44" i="4" s="1"/>
  <c r="L44" i="4" s="1"/>
  <c r="D45" i="4" s="1"/>
  <c r="H43" i="8" l="1"/>
  <c r="H44" i="7"/>
  <c r="J44" i="7"/>
  <c r="K44" i="7" s="1"/>
  <c r="L44" i="7" s="1"/>
  <c r="D45" i="7" s="1"/>
  <c r="F47" i="6"/>
  <c r="G47" i="6"/>
  <c r="F44" i="5"/>
  <c r="H44" i="5" s="1"/>
  <c r="E44" i="5"/>
  <c r="G44" i="5"/>
  <c r="G45" i="4"/>
  <c r="E45" i="4"/>
  <c r="F45" i="4" s="1"/>
  <c r="H45" i="4" s="1"/>
  <c r="J43" i="8" l="1"/>
  <c r="K43" i="8" s="1"/>
  <c r="L43" i="8" s="1"/>
  <c r="D44" i="8" s="1"/>
  <c r="E45" i="7"/>
  <c r="F45" i="7" s="1"/>
  <c r="G45" i="7"/>
  <c r="H47" i="6"/>
  <c r="J44" i="5"/>
  <c r="K44" i="5" s="1"/>
  <c r="L44" i="5" s="1"/>
  <c r="D45" i="5" s="1"/>
  <c r="J45" i="4"/>
  <c r="K45" i="4" s="1"/>
  <c r="L45" i="4" s="1"/>
  <c r="D46" i="4" s="1"/>
  <c r="E44" i="8" l="1"/>
  <c r="F44" i="8" s="1"/>
  <c r="G44" i="8"/>
  <c r="H45" i="7"/>
  <c r="J45" i="7"/>
  <c r="K45" i="7" s="1"/>
  <c r="L45" i="7" s="1"/>
  <c r="D46" i="7" s="1"/>
  <c r="J47" i="6"/>
  <c r="K47" i="6" s="1"/>
  <c r="L47" i="6" s="1"/>
  <c r="D48" i="6" s="1"/>
  <c r="F45" i="5"/>
  <c r="H45" i="5" s="1"/>
  <c r="G45" i="5"/>
  <c r="E45" i="5"/>
  <c r="E46" i="4"/>
  <c r="F46" i="4" s="1"/>
  <c r="G46" i="4"/>
  <c r="H44" i="8" l="1"/>
  <c r="J44" i="8"/>
  <c r="K44" i="8" s="1"/>
  <c r="L44" i="8" s="1"/>
  <c r="D45" i="8" s="1"/>
  <c r="G46" i="7"/>
  <c r="E46" i="7"/>
  <c r="F46" i="7" s="1"/>
  <c r="H46" i="7" s="1"/>
  <c r="G48" i="6"/>
  <c r="F48" i="6"/>
  <c r="H48" i="6" s="1"/>
  <c r="J45" i="5"/>
  <c r="K45" i="5"/>
  <c r="L45" i="5" s="1"/>
  <c r="D46" i="5" s="1"/>
  <c r="H46" i="4"/>
  <c r="J46" i="4" s="1"/>
  <c r="K46" i="4" s="1"/>
  <c r="L46" i="4" s="1"/>
  <c r="D47" i="4" s="1"/>
  <c r="G45" i="8" l="1"/>
  <c r="E45" i="8"/>
  <c r="F45" i="8" s="1"/>
  <c r="H45" i="8" s="1"/>
  <c r="J46" i="7"/>
  <c r="K46" i="7" s="1"/>
  <c r="L46" i="7" s="1"/>
  <c r="D47" i="7" s="1"/>
  <c r="J48" i="6"/>
  <c r="K48" i="6" s="1"/>
  <c r="L48" i="6" s="1"/>
  <c r="D49" i="6" s="1"/>
  <c r="G46" i="5"/>
  <c r="E46" i="5"/>
  <c r="F46" i="5" s="1"/>
  <c r="H46" i="5" s="1"/>
  <c r="G47" i="4"/>
  <c r="F47" i="4"/>
  <c r="H47" i="4" s="1"/>
  <c r="J45" i="8" l="1"/>
  <c r="K45" i="8"/>
  <c r="L45" i="8" s="1"/>
  <c r="D46" i="8" s="1"/>
  <c r="F47" i="7"/>
  <c r="G47" i="7"/>
  <c r="G49" i="6"/>
  <c r="F49" i="6"/>
  <c r="H49" i="6" s="1"/>
  <c r="J46" i="5"/>
  <c r="K46" i="5" s="1"/>
  <c r="L46" i="5" s="1"/>
  <c r="D47" i="5" s="1"/>
  <c r="J47" i="4"/>
  <c r="K47" i="4" s="1"/>
  <c r="L47" i="4" s="1"/>
  <c r="D48" i="4" s="1"/>
  <c r="G46" i="8" l="1"/>
  <c r="E46" i="8"/>
  <c r="F46" i="8" s="1"/>
  <c r="H46" i="8" s="1"/>
  <c r="H47" i="7"/>
  <c r="J49" i="6"/>
  <c r="K49" i="6" s="1"/>
  <c r="L49" i="6" s="1"/>
  <c r="D50" i="6" s="1"/>
  <c r="G47" i="5"/>
  <c r="F47" i="5"/>
  <c r="G48" i="4"/>
  <c r="F48" i="4"/>
  <c r="J46" i="8" l="1"/>
  <c r="K46" i="8" s="1"/>
  <c r="L46" i="8" s="1"/>
  <c r="D47" i="8" s="1"/>
  <c r="J47" i="7"/>
  <c r="K47" i="7" s="1"/>
  <c r="L47" i="7" s="1"/>
  <c r="D48" i="7" s="1"/>
  <c r="F50" i="6"/>
  <c r="G50" i="6"/>
  <c r="H47" i="5"/>
  <c r="H48" i="4"/>
  <c r="J48" i="4" s="1"/>
  <c r="K48" i="4" s="1"/>
  <c r="L48" i="4" s="1"/>
  <c r="D49" i="4" s="1"/>
  <c r="G47" i="8" l="1"/>
  <c r="F47" i="8"/>
  <c r="G48" i="7"/>
  <c r="F48" i="7"/>
  <c r="H50" i="6"/>
  <c r="J47" i="5"/>
  <c r="K47" i="5" s="1"/>
  <c r="L47" i="5" s="1"/>
  <c r="D48" i="5" s="1"/>
  <c r="G49" i="4"/>
  <c r="F49" i="4"/>
  <c r="H47" i="8" l="1"/>
  <c r="J47" i="8" s="1"/>
  <c r="K47" i="8" s="1"/>
  <c r="L47" i="8" s="1"/>
  <c r="D48" i="8" s="1"/>
  <c r="H48" i="7"/>
  <c r="K50" i="6"/>
  <c r="L50" i="6" s="1"/>
  <c r="D51" i="6" s="1"/>
  <c r="J50" i="6"/>
  <c r="G48" i="5"/>
  <c r="F48" i="5"/>
  <c r="H49" i="4"/>
  <c r="J49" i="4" s="1"/>
  <c r="K49" i="4" s="1"/>
  <c r="L49" i="4" s="1"/>
  <c r="D50" i="4" s="1"/>
  <c r="G48" i="8" l="1"/>
  <c r="F48" i="8"/>
  <c r="J48" i="7"/>
  <c r="K48" i="7" s="1"/>
  <c r="L48" i="7" s="1"/>
  <c r="D49" i="7" s="1"/>
  <c r="F51" i="6"/>
  <c r="G51" i="6"/>
  <c r="H48" i="5"/>
  <c r="G50" i="4"/>
  <c r="F50" i="4"/>
  <c r="H50" i="4" s="1"/>
  <c r="H48" i="8" l="1"/>
  <c r="G49" i="7"/>
  <c r="F49" i="7"/>
  <c r="H51" i="6"/>
  <c r="J48" i="5"/>
  <c r="K48" i="5" s="1"/>
  <c r="L48" i="5" s="1"/>
  <c r="D49" i="5" s="1"/>
  <c r="J50" i="4"/>
  <c r="K50" i="4" s="1"/>
  <c r="L50" i="4" s="1"/>
  <c r="D51" i="4" s="1"/>
  <c r="J48" i="8" l="1"/>
  <c r="K48" i="8" s="1"/>
  <c r="L48" i="8" s="1"/>
  <c r="D49" i="8" s="1"/>
  <c r="H49" i="7"/>
  <c r="J51" i="6"/>
  <c r="K51" i="6" s="1"/>
  <c r="L51" i="6" s="1"/>
  <c r="D52" i="6" s="1"/>
  <c r="G49" i="5"/>
  <c r="F49" i="5"/>
  <c r="H49" i="5" s="1"/>
  <c r="F51" i="4"/>
  <c r="G51" i="4"/>
  <c r="G49" i="8" l="1"/>
  <c r="F49" i="8"/>
  <c r="J49" i="7"/>
  <c r="K49" i="7" s="1"/>
  <c r="L49" i="7" s="1"/>
  <c r="D50" i="7" s="1"/>
  <c r="G52" i="6"/>
  <c r="F52" i="6"/>
  <c r="H52" i="6" s="1"/>
  <c r="J49" i="5"/>
  <c r="K49" i="5" s="1"/>
  <c r="L49" i="5" s="1"/>
  <c r="D50" i="5" s="1"/>
  <c r="H51" i="4"/>
  <c r="H49" i="8" l="1"/>
  <c r="J49" i="8"/>
  <c r="K49" i="8" s="1"/>
  <c r="L49" i="8" s="1"/>
  <c r="D50" i="8" s="1"/>
  <c r="G50" i="7"/>
  <c r="F50" i="7"/>
  <c r="H50" i="7" s="1"/>
  <c r="J52" i="6"/>
  <c r="K52" i="6" s="1"/>
  <c r="L52" i="6" s="1"/>
  <c r="D53" i="6" s="1"/>
  <c r="G50" i="5"/>
  <c r="F50" i="5"/>
  <c r="H50" i="5" s="1"/>
  <c r="J51" i="4"/>
  <c r="K51" i="4" s="1"/>
  <c r="L51" i="4" s="1"/>
  <c r="D52" i="4" s="1"/>
  <c r="G50" i="8" l="1"/>
  <c r="F50" i="8"/>
  <c r="H50" i="8" s="1"/>
  <c r="J50" i="7"/>
  <c r="K50" i="7" s="1"/>
  <c r="L50" i="7" s="1"/>
  <c r="D51" i="7" s="1"/>
  <c r="G53" i="6"/>
  <c r="F53" i="6"/>
  <c r="H53" i="6" s="1"/>
  <c r="J50" i="5"/>
  <c r="K50" i="5"/>
  <c r="L50" i="5" s="1"/>
  <c r="D51" i="5" s="1"/>
  <c r="G52" i="4"/>
  <c r="F52" i="4"/>
  <c r="J50" i="8" l="1"/>
  <c r="K50" i="8" s="1"/>
  <c r="L50" i="8" s="1"/>
  <c r="D51" i="8" s="1"/>
  <c r="G51" i="7"/>
  <c r="F51" i="7"/>
  <c r="J53" i="6"/>
  <c r="K53" i="6" s="1"/>
  <c r="L53" i="6" s="1"/>
  <c r="D54" i="6" s="1"/>
  <c r="F51" i="5"/>
  <c r="H51" i="5" s="1"/>
  <c r="G51" i="5"/>
  <c r="H52" i="4"/>
  <c r="J52" i="4"/>
  <c r="K52" i="4" s="1"/>
  <c r="L52" i="4" s="1"/>
  <c r="D53" i="4" s="1"/>
  <c r="F51" i="8" l="1"/>
  <c r="G51" i="8"/>
  <c r="H51" i="7"/>
  <c r="G54" i="6"/>
  <c r="F54" i="6"/>
  <c r="H54" i="6" s="1"/>
  <c r="J51" i="5"/>
  <c r="K51" i="5" s="1"/>
  <c r="L51" i="5" s="1"/>
  <c r="D52" i="5" s="1"/>
  <c r="G53" i="4"/>
  <c r="F53" i="4"/>
  <c r="H53" i="4" s="1"/>
  <c r="H51" i="8" l="1"/>
  <c r="J51" i="7"/>
  <c r="K51" i="7" s="1"/>
  <c r="L51" i="7" s="1"/>
  <c r="D52" i="7" s="1"/>
  <c r="J54" i="6"/>
  <c r="K54" i="6" s="1"/>
  <c r="L54" i="6" s="1"/>
  <c r="D55" i="6" s="1"/>
  <c r="F52" i="5"/>
  <c r="G52" i="5"/>
  <c r="J53" i="4"/>
  <c r="K53" i="4" s="1"/>
  <c r="L53" i="4" s="1"/>
  <c r="D54" i="4" s="1"/>
  <c r="J51" i="8" l="1"/>
  <c r="K51" i="8" s="1"/>
  <c r="L51" i="8" s="1"/>
  <c r="D52" i="8" s="1"/>
  <c r="G52" i="7"/>
  <c r="F52" i="7"/>
  <c r="G55" i="6"/>
  <c r="F55" i="6"/>
  <c r="H55" i="6" s="1"/>
  <c r="H52" i="5"/>
  <c r="G54" i="4"/>
  <c r="F54" i="4"/>
  <c r="G52" i="8" l="1"/>
  <c r="F52" i="8"/>
  <c r="H52" i="7"/>
  <c r="J52" i="7"/>
  <c r="K52" i="7" s="1"/>
  <c r="L52" i="7" s="1"/>
  <c r="D53" i="7" s="1"/>
  <c r="J55" i="6"/>
  <c r="K55" i="6" s="1"/>
  <c r="L55" i="6" s="1"/>
  <c r="D56" i="6" s="1"/>
  <c r="K52" i="5"/>
  <c r="L52" i="5" s="1"/>
  <c r="D53" i="5" s="1"/>
  <c r="J52" i="5"/>
  <c r="H54" i="4"/>
  <c r="J54" i="4" s="1"/>
  <c r="K54" i="4" s="1"/>
  <c r="L54" i="4" s="1"/>
  <c r="D55" i="4" s="1"/>
  <c r="H52" i="8" l="1"/>
  <c r="J52" i="8"/>
  <c r="K52" i="8" s="1"/>
  <c r="L52" i="8" s="1"/>
  <c r="D53" i="8" s="1"/>
  <c r="F53" i="7"/>
  <c r="G53" i="7"/>
  <c r="E56" i="6"/>
  <c r="F56" i="6" s="1"/>
  <c r="H56" i="6" s="1"/>
  <c r="G56" i="6"/>
  <c r="G53" i="5"/>
  <c r="F53" i="5"/>
  <c r="H53" i="5" s="1"/>
  <c r="G55" i="4"/>
  <c r="F55" i="4"/>
  <c r="H55" i="4" s="1"/>
  <c r="G53" i="8" l="1"/>
  <c r="F53" i="8"/>
  <c r="H53" i="7"/>
  <c r="J56" i="6"/>
  <c r="K56" i="6" s="1"/>
  <c r="L56" i="6" s="1"/>
  <c r="D57" i="6" s="1"/>
  <c r="J53" i="5"/>
  <c r="K53" i="5" s="1"/>
  <c r="L53" i="5" s="1"/>
  <c r="D54" i="5" s="1"/>
  <c r="J55" i="4"/>
  <c r="K55" i="4" s="1"/>
  <c r="L55" i="4" s="1"/>
  <c r="D56" i="4" s="1"/>
  <c r="H53" i="8" l="1"/>
  <c r="J53" i="7"/>
  <c r="K53" i="7" s="1"/>
  <c r="L53" i="7" s="1"/>
  <c r="D54" i="7" s="1"/>
  <c r="G57" i="6"/>
  <c r="E57" i="6"/>
  <c r="F57" i="6" s="1"/>
  <c r="H57" i="6" s="1"/>
  <c r="G54" i="5"/>
  <c r="F54" i="5"/>
  <c r="G56" i="4"/>
  <c r="E56" i="4"/>
  <c r="F56" i="4" s="1"/>
  <c r="H56" i="4" s="1"/>
  <c r="J53" i="8" l="1"/>
  <c r="K53" i="8" s="1"/>
  <c r="L53" i="8" s="1"/>
  <c r="D54" i="8" s="1"/>
  <c r="G54" i="7"/>
  <c r="F54" i="7"/>
  <c r="J57" i="6"/>
  <c r="K57" i="6" s="1"/>
  <c r="L57" i="6" s="1"/>
  <c r="D58" i="6" s="1"/>
  <c r="H54" i="5"/>
  <c r="J56" i="4"/>
  <c r="K56" i="4" s="1"/>
  <c r="L56" i="4" s="1"/>
  <c r="D57" i="4" s="1"/>
  <c r="G54" i="8" l="1"/>
  <c r="F54" i="8"/>
  <c r="H54" i="7"/>
  <c r="J54" i="7" s="1"/>
  <c r="G58" i="6"/>
  <c r="E58" i="6"/>
  <c r="F58" i="6" s="1"/>
  <c r="H58" i="6" s="1"/>
  <c r="J54" i="5"/>
  <c r="K54" i="5" s="1"/>
  <c r="L54" i="5" s="1"/>
  <c r="D55" i="5" s="1"/>
  <c r="G57" i="4"/>
  <c r="E57" i="4"/>
  <c r="F57" i="4" s="1"/>
  <c r="H54" i="8" l="1"/>
  <c r="K54" i="7"/>
  <c r="L54" i="7" s="1"/>
  <c r="D55" i="7" s="1"/>
  <c r="F55" i="7" s="1"/>
  <c r="G55" i="7"/>
  <c r="J58" i="6"/>
  <c r="K58" i="6" s="1"/>
  <c r="L58" i="6" s="1"/>
  <c r="D59" i="6" s="1"/>
  <c r="G55" i="5"/>
  <c r="F55" i="5"/>
  <c r="H55" i="5" s="1"/>
  <c r="H57" i="4"/>
  <c r="J57" i="4"/>
  <c r="K57" i="4" s="1"/>
  <c r="L57" i="4" s="1"/>
  <c r="D58" i="4" s="1"/>
  <c r="J54" i="8" l="1"/>
  <c r="K54" i="8" s="1"/>
  <c r="L54" i="8" s="1"/>
  <c r="D55" i="8" s="1"/>
  <c r="H55" i="7"/>
  <c r="G59" i="6"/>
  <c r="F59" i="6"/>
  <c r="H59" i="6" s="1"/>
  <c r="K55" i="5"/>
  <c r="L55" i="5" s="1"/>
  <c r="D56" i="5" s="1"/>
  <c r="J55" i="5"/>
  <c r="G58" i="4"/>
  <c r="E58" i="4"/>
  <c r="F58" i="4" s="1"/>
  <c r="G55" i="8" l="1"/>
  <c r="F55" i="8"/>
  <c r="J55" i="7"/>
  <c r="K55" i="7" s="1"/>
  <c r="L55" i="7" s="1"/>
  <c r="D56" i="7" s="1"/>
  <c r="K59" i="6"/>
  <c r="L59" i="6" s="1"/>
  <c r="D60" i="6" s="1"/>
  <c r="J59" i="6"/>
  <c r="G56" i="5"/>
  <c r="E56" i="5"/>
  <c r="F56" i="5" s="1"/>
  <c r="H56" i="5" s="1"/>
  <c r="H58" i="4"/>
  <c r="J58" i="4" s="1"/>
  <c r="K58" i="4" s="1"/>
  <c r="L58" i="4" s="1"/>
  <c r="D59" i="4" s="1"/>
  <c r="H55" i="8" l="1"/>
  <c r="G56" i="7"/>
  <c r="E56" i="7"/>
  <c r="F56" i="7" s="1"/>
  <c r="H56" i="7" s="1"/>
  <c r="G60" i="6"/>
  <c r="E60" i="6"/>
  <c r="F60" i="6" s="1"/>
  <c r="H60" i="6" s="1"/>
  <c r="J56" i="5"/>
  <c r="K56" i="5" s="1"/>
  <c r="L56" i="5" s="1"/>
  <c r="D57" i="5" s="1"/>
  <c r="F59" i="4"/>
  <c r="G59" i="4"/>
  <c r="J55" i="8" l="1"/>
  <c r="K55" i="8" s="1"/>
  <c r="L55" i="8" s="1"/>
  <c r="D56" i="8" s="1"/>
  <c r="J56" i="7"/>
  <c r="K56" i="7" s="1"/>
  <c r="L56" i="7" s="1"/>
  <c r="D57" i="7" s="1"/>
  <c r="J60" i="6"/>
  <c r="K60" i="6" s="1"/>
  <c r="L60" i="6" s="1"/>
  <c r="D61" i="6" s="1"/>
  <c r="G57" i="5"/>
  <c r="E57" i="5"/>
  <c r="F57" i="5" s="1"/>
  <c r="H57" i="5" s="1"/>
  <c r="H59" i="4"/>
  <c r="G56" i="8" l="1"/>
  <c r="E56" i="8"/>
  <c r="F56" i="8" s="1"/>
  <c r="G57" i="7"/>
  <c r="E57" i="7"/>
  <c r="F57" i="7" s="1"/>
  <c r="F61" i="6"/>
  <c r="G61" i="6"/>
  <c r="E61" i="6"/>
  <c r="J57" i="5"/>
  <c r="K57" i="5" s="1"/>
  <c r="L57" i="5" s="1"/>
  <c r="D58" i="5" s="1"/>
  <c r="J59" i="4"/>
  <c r="K59" i="4" s="1"/>
  <c r="L59" i="4" s="1"/>
  <c r="D60" i="4" s="1"/>
  <c r="H56" i="8" l="1"/>
  <c r="H57" i="7"/>
  <c r="J57" i="7" s="1"/>
  <c r="K57" i="7" s="1"/>
  <c r="L57" i="7" s="1"/>
  <c r="D58" i="7" s="1"/>
  <c r="H61" i="6"/>
  <c r="G58" i="5"/>
  <c r="E58" i="5"/>
  <c r="F58" i="5" s="1"/>
  <c r="H58" i="5" s="1"/>
  <c r="E60" i="4"/>
  <c r="F60" i="4" s="1"/>
  <c r="G60" i="4"/>
  <c r="J56" i="8" l="1"/>
  <c r="K56" i="8" s="1"/>
  <c r="L56" i="8" s="1"/>
  <c r="D57" i="8" s="1"/>
  <c r="G58" i="7"/>
  <c r="E58" i="7"/>
  <c r="F58" i="7" s="1"/>
  <c r="H58" i="7" s="1"/>
  <c r="K61" i="6"/>
  <c r="L61" i="6" s="1"/>
  <c r="D62" i="6" s="1"/>
  <c r="J61" i="6"/>
  <c r="J58" i="5"/>
  <c r="K58" i="5" s="1"/>
  <c r="L58" i="5" s="1"/>
  <c r="D59" i="5" s="1"/>
  <c r="H60" i="4"/>
  <c r="G57" i="8" l="1"/>
  <c r="E57" i="8"/>
  <c r="F57" i="8" s="1"/>
  <c r="H57" i="8" s="1"/>
  <c r="J57" i="8" s="1"/>
  <c r="K57" i="8" s="1"/>
  <c r="L57" i="8" s="1"/>
  <c r="D58" i="8" s="1"/>
  <c r="J58" i="7"/>
  <c r="K58" i="7" s="1"/>
  <c r="L58" i="7" s="1"/>
  <c r="D59" i="7" s="1"/>
  <c r="E62" i="6"/>
  <c r="F62" i="6" s="1"/>
  <c r="H62" i="6" s="1"/>
  <c r="G62" i="6"/>
  <c r="G59" i="5"/>
  <c r="F59" i="5"/>
  <c r="J60" i="4"/>
  <c r="K60" i="4" s="1"/>
  <c r="L60" i="4" s="1"/>
  <c r="D61" i="4" s="1"/>
  <c r="G58" i="8" l="1"/>
  <c r="E58" i="8"/>
  <c r="F58" i="8" s="1"/>
  <c r="F59" i="7"/>
  <c r="G59" i="7"/>
  <c r="J62" i="6"/>
  <c r="K62" i="6"/>
  <c r="L62" i="6" s="1"/>
  <c r="D63" i="6" s="1"/>
  <c r="H59" i="5"/>
  <c r="G61" i="4"/>
  <c r="E61" i="4"/>
  <c r="F61" i="4" s="1"/>
  <c r="H58" i="8" l="1"/>
  <c r="J58" i="8" s="1"/>
  <c r="K58" i="8" s="1"/>
  <c r="L58" i="8" s="1"/>
  <c r="D59" i="8" s="1"/>
  <c r="H59" i="7"/>
  <c r="G63" i="6"/>
  <c r="F63" i="6"/>
  <c r="H63" i="6" s="1"/>
  <c r="J59" i="5"/>
  <c r="K59" i="5" s="1"/>
  <c r="L59" i="5" s="1"/>
  <c r="D60" i="5" s="1"/>
  <c r="H61" i="4"/>
  <c r="J61" i="4"/>
  <c r="K61" i="4" s="1"/>
  <c r="L61" i="4" s="1"/>
  <c r="D62" i="4" s="1"/>
  <c r="F59" i="8" l="1"/>
  <c r="G59" i="8"/>
  <c r="J59" i="7"/>
  <c r="K59" i="7" s="1"/>
  <c r="L59" i="7" s="1"/>
  <c r="D60" i="7" s="1"/>
  <c r="K63" i="6"/>
  <c r="L63" i="6" s="1"/>
  <c r="D64" i="6" s="1"/>
  <c r="J63" i="6"/>
  <c r="E60" i="5"/>
  <c r="G60" i="5"/>
  <c r="F60" i="5"/>
  <c r="H60" i="5" s="1"/>
  <c r="G62" i="4"/>
  <c r="E62" i="4"/>
  <c r="F62" i="4" s="1"/>
  <c r="H62" i="4" s="1"/>
  <c r="H59" i="8" l="1"/>
  <c r="G60" i="7"/>
  <c r="E60" i="7"/>
  <c r="F60" i="7" s="1"/>
  <c r="F64" i="6"/>
  <c r="G64" i="6"/>
  <c r="J60" i="5"/>
  <c r="K60" i="5" s="1"/>
  <c r="L60" i="5" s="1"/>
  <c r="D61" i="5" s="1"/>
  <c r="J62" i="4"/>
  <c r="K62" i="4" s="1"/>
  <c r="L62" i="4" s="1"/>
  <c r="D63" i="4" s="1"/>
  <c r="J59" i="8" l="1"/>
  <c r="K59" i="8" s="1"/>
  <c r="L59" i="8" s="1"/>
  <c r="D60" i="8" s="1"/>
  <c r="H60" i="7"/>
  <c r="J60" i="7" s="1"/>
  <c r="K60" i="7" s="1"/>
  <c r="L60" i="7" s="1"/>
  <c r="D61" i="7" s="1"/>
  <c r="H64" i="6"/>
  <c r="E61" i="5"/>
  <c r="F61" i="5" s="1"/>
  <c r="H61" i="5" s="1"/>
  <c r="G61" i="5"/>
  <c r="F63" i="4"/>
  <c r="G63" i="4"/>
  <c r="E60" i="8" l="1"/>
  <c r="F60" i="8" s="1"/>
  <c r="G60" i="8"/>
  <c r="G61" i="7"/>
  <c r="E61" i="7"/>
  <c r="F61" i="7" s="1"/>
  <c r="H61" i="7" s="1"/>
  <c r="J64" i="6"/>
  <c r="K64" i="6" s="1"/>
  <c r="L64" i="6" s="1"/>
  <c r="D65" i="6" s="1"/>
  <c r="J61" i="5"/>
  <c r="K61" i="5" s="1"/>
  <c r="L61" i="5" s="1"/>
  <c r="D62" i="5" s="1"/>
  <c r="H63" i="4"/>
  <c r="H60" i="8" l="1"/>
  <c r="J60" i="8" s="1"/>
  <c r="K60" i="8" s="1"/>
  <c r="L60" i="8" s="1"/>
  <c r="D61" i="8" s="1"/>
  <c r="J61" i="7"/>
  <c r="K61" i="7" s="1"/>
  <c r="L61" i="7" s="1"/>
  <c r="D62" i="7" s="1"/>
  <c r="G65" i="6"/>
  <c r="E65" i="6"/>
  <c r="F65" i="6" s="1"/>
  <c r="H65" i="6" s="1"/>
  <c r="G62" i="5"/>
  <c r="E62" i="5"/>
  <c r="F62" i="5" s="1"/>
  <c r="H62" i="5" s="1"/>
  <c r="J63" i="4"/>
  <c r="K63" i="4" s="1"/>
  <c r="L63" i="4" s="1"/>
  <c r="D64" i="4" s="1"/>
  <c r="G61" i="8" l="1"/>
  <c r="E61" i="8"/>
  <c r="F61" i="8" s="1"/>
  <c r="H61" i="8" s="1"/>
  <c r="G62" i="7"/>
  <c r="E62" i="7"/>
  <c r="F62" i="7" s="1"/>
  <c r="J65" i="6"/>
  <c r="K65" i="6" s="1"/>
  <c r="L65" i="6" s="1"/>
  <c r="D66" i="6" s="1"/>
  <c r="J62" i="5"/>
  <c r="K62" i="5"/>
  <c r="L62" i="5" s="1"/>
  <c r="D63" i="5" s="1"/>
  <c r="F64" i="4"/>
  <c r="G64" i="4"/>
  <c r="J61" i="8" l="1"/>
  <c r="K61" i="8" s="1"/>
  <c r="L61" i="8" s="1"/>
  <c r="D62" i="8" s="1"/>
  <c r="H62" i="7"/>
  <c r="J62" i="7" s="1"/>
  <c r="K62" i="7" s="1"/>
  <c r="L62" i="7" s="1"/>
  <c r="D63" i="7" s="1"/>
  <c r="G66" i="6"/>
  <c r="E66" i="6"/>
  <c r="F66" i="6" s="1"/>
  <c r="H66" i="6" s="1"/>
  <c r="F63" i="5"/>
  <c r="H63" i="5" s="1"/>
  <c r="G63" i="5"/>
  <c r="H64" i="4"/>
  <c r="G62" i="8" l="1"/>
  <c r="E62" i="8"/>
  <c r="F62" i="8" s="1"/>
  <c r="H62" i="8" s="1"/>
  <c r="F63" i="7"/>
  <c r="G63" i="7"/>
  <c r="J66" i="6"/>
  <c r="K66" i="6" s="1"/>
  <c r="L66" i="6" s="1"/>
  <c r="D67" i="6" s="1"/>
  <c r="K63" i="5"/>
  <c r="L63" i="5" s="1"/>
  <c r="D64" i="5" s="1"/>
  <c r="J63" i="5"/>
  <c r="J64" i="4"/>
  <c r="K64" i="4" s="1"/>
  <c r="L64" i="4" s="1"/>
  <c r="D65" i="4" s="1"/>
  <c r="J62" i="8" l="1"/>
  <c r="K62" i="8" s="1"/>
  <c r="L62" i="8" s="1"/>
  <c r="D63" i="8" s="1"/>
  <c r="H63" i="7"/>
  <c r="E67" i="6"/>
  <c r="G67" i="6"/>
  <c r="F67" i="6"/>
  <c r="H67" i="6" s="1"/>
  <c r="G64" i="5"/>
  <c r="F64" i="5"/>
  <c r="H64" i="5" s="1"/>
  <c r="G65" i="4"/>
  <c r="E65" i="4"/>
  <c r="F65" i="4" s="1"/>
  <c r="H65" i="4" s="1"/>
  <c r="F63" i="8" l="1"/>
  <c r="G63" i="8"/>
  <c r="J63" i="7"/>
  <c r="K63" i="7" s="1"/>
  <c r="L63" i="7" s="1"/>
  <c r="D64" i="7" s="1"/>
  <c r="J67" i="6"/>
  <c r="K67" i="6" s="1"/>
  <c r="L67" i="6" s="1"/>
  <c r="D68" i="6" s="1"/>
  <c r="J64" i="5"/>
  <c r="K64" i="5" s="1"/>
  <c r="L64" i="5" s="1"/>
  <c r="D65" i="5" s="1"/>
  <c r="J65" i="4"/>
  <c r="K65" i="4" s="1"/>
  <c r="L65" i="4" s="1"/>
  <c r="D66" i="4" s="1"/>
  <c r="H63" i="8" l="1"/>
  <c r="G64" i="7"/>
  <c r="F64" i="7"/>
  <c r="H64" i="7" s="1"/>
  <c r="F68" i="6"/>
  <c r="E68" i="6"/>
  <c r="G68" i="6"/>
  <c r="E65" i="5"/>
  <c r="F65" i="5" s="1"/>
  <c r="H65" i="5" s="1"/>
  <c r="G65" i="5"/>
  <c r="E66" i="4"/>
  <c r="F66" i="4" s="1"/>
  <c r="H66" i="4" s="1"/>
  <c r="G66" i="4"/>
  <c r="J63" i="8" l="1"/>
  <c r="K63" i="8" s="1"/>
  <c r="L63" i="8" s="1"/>
  <c r="D64" i="8" s="1"/>
  <c r="J64" i="7"/>
  <c r="K64" i="7" s="1"/>
  <c r="L64" i="7" s="1"/>
  <c r="D65" i="7" s="1"/>
  <c r="H68" i="6"/>
  <c r="J65" i="5"/>
  <c r="K65" i="5" s="1"/>
  <c r="L65" i="5" s="1"/>
  <c r="D66" i="5" s="1"/>
  <c r="J66" i="4"/>
  <c r="K66" i="4" s="1"/>
  <c r="L66" i="4" s="1"/>
  <c r="D67" i="4" s="1"/>
  <c r="G64" i="8" l="1"/>
  <c r="F64" i="8"/>
  <c r="E65" i="7"/>
  <c r="F65" i="7" s="1"/>
  <c r="H65" i="7" s="1"/>
  <c r="G65" i="7"/>
  <c r="J68" i="6"/>
  <c r="K68" i="6" s="1"/>
  <c r="L68" i="6" s="1"/>
  <c r="D69" i="6" s="1"/>
  <c r="G66" i="5"/>
  <c r="F66" i="5"/>
  <c r="E66" i="5"/>
  <c r="G67" i="4"/>
  <c r="E67" i="4"/>
  <c r="F67" i="4" s="1"/>
  <c r="H67" i="4" s="1"/>
  <c r="H64" i="8" l="1"/>
  <c r="J64" i="8" s="1"/>
  <c r="K64" i="8" s="1"/>
  <c r="L64" i="8" s="1"/>
  <c r="D65" i="8" s="1"/>
  <c r="J65" i="7"/>
  <c r="K65" i="7" s="1"/>
  <c r="L65" i="7" s="1"/>
  <c r="D66" i="7" s="1"/>
  <c r="G69" i="6"/>
  <c r="F69" i="6"/>
  <c r="H69" i="6" s="1"/>
  <c r="H66" i="5"/>
  <c r="J67" i="4"/>
  <c r="K67" i="4" s="1"/>
  <c r="L67" i="4" s="1"/>
  <c r="D68" i="4" s="1"/>
  <c r="G65" i="8" l="1"/>
  <c r="E65" i="8"/>
  <c r="F65" i="8" s="1"/>
  <c r="G66" i="7"/>
  <c r="E66" i="7"/>
  <c r="F66" i="7" s="1"/>
  <c r="H66" i="7" s="1"/>
  <c r="J69" i="6"/>
  <c r="K69" i="6" s="1"/>
  <c r="L69" i="6" s="1"/>
  <c r="D70" i="6" s="1"/>
  <c r="K66" i="5"/>
  <c r="L66" i="5" s="1"/>
  <c r="D67" i="5" s="1"/>
  <c r="J66" i="5"/>
  <c r="G68" i="4"/>
  <c r="E68" i="4"/>
  <c r="F68" i="4" s="1"/>
  <c r="H65" i="8" l="1"/>
  <c r="J65" i="8"/>
  <c r="K65" i="8" s="1"/>
  <c r="L65" i="8" s="1"/>
  <c r="D66" i="8" s="1"/>
  <c r="J66" i="7"/>
  <c r="K66" i="7" s="1"/>
  <c r="L66" i="7" s="1"/>
  <c r="D67" i="7" s="1"/>
  <c r="G70" i="6"/>
  <c r="F70" i="6"/>
  <c r="H70" i="6" s="1"/>
  <c r="G67" i="5"/>
  <c r="E67" i="5"/>
  <c r="F67" i="5" s="1"/>
  <c r="H67" i="5" s="1"/>
  <c r="H68" i="4"/>
  <c r="J68" i="4" s="1"/>
  <c r="K68" i="4" s="1"/>
  <c r="L68" i="4" s="1"/>
  <c r="D69" i="4" s="1"/>
  <c r="E66" i="8" l="1"/>
  <c r="F66" i="8" s="1"/>
  <c r="G66" i="8"/>
  <c r="E67" i="7"/>
  <c r="F67" i="7" s="1"/>
  <c r="G67" i="7"/>
  <c r="K70" i="6"/>
  <c r="L70" i="6" s="1"/>
  <c r="D71" i="6" s="1"/>
  <c r="J70" i="6"/>
  <c r="J67" i="5"/>
  <c r="K67" i="5"/>
  <c r="L67" i="5" s="1"/>
  <c r="D68" i="5" s="1"/>
  <c r="G69" i="4"/>
  <c r="F69" i="4"/>
  <c r="H69" i="4" s="1"/>
  <c r="H66" i="8" l="1"/>
  <c r="J66" i="8" s="1"/>
  <c r="K66" i="8" s="1"/>
  <c r="L66" i="8" s="1"/>
  <c r="D67" i="8" s="1"/>
  <c r="H67" i="7"/>
  <c r="J67" i="7" s="1"/>
  <c r="K67" i="7" s="1"/>
  <c r="L67" i="7" s="1"/>
  <c r="D68" i="7" s="1"/>
  <c r="G71" i="6"/>
  <c r="F71" i="6"/>
  <c r="H71" i="6" s="1"/>
  <c r="G68" i="5"/>
  <c r="E68" i="5"/>
  <c r="F68" i="5" s="1"/>
  <c r="H68" i="5" s="1"/>
  <c r="J69" i="4"/>
  <c r="K69" i="4"/>
  <c r="L69" i="4" s="1"/>
  <c r="D70" i="4" s="1"/>
  <c r="G67" i="8" l="1"/>
  <c r="E67" i="8"/>
  <c r="F67" i="8" s="1"/>
  <c r="H67" i="8" s="1"/>
  <c r="G68" i="7"/>
  <c r="E68" i="7"/>
  <c r="F68" i="7" s="1"/>
  <c r="H68" i="7" s="1"/>
  <c r="K71" i="6"/>
  <c r="L71" i="6" s="1"/>
  <c r="D72" i="6" s="1"/>
  <c r="J71" i="6"/>
  <c r="J68" i="5"/>
  <c r="K68" i="5" s="1"/>
  <c r="L68" i="5" s="1"/>
  <c r="D69" i="5" s="1"/>
  <c r="F70" i="4"/>
  <c r="G70" i="4"/>
  <c r="J67" i="8" l="1"/>
  <c r="K67" i="8" s="1"/>
  <c r="L67" i="8" s="1"/>
  <c r="D68" i="8" s="1"/>
  <c r="J68" i="7"/>
  <c r="K68" i="7" s="1"/>
  <c r="L68" i="7" s="1"/>
  <c r="D69" i="7" s="1"/>
  <c r="E72" i="6"/>
  <c r="G72" i="6"/>
  <c r="F72" i="6"/>
  <c r="H72" i="6" s="1"/>
  <c r="F69" i="5"/>
  <c r="H69" i="5" s="1"/>
  <c r="G69" i="5"/>
  <c r="H70" i="4"/>
  <c r="E68" i="8" l="1"/>
  <c r="F68" i="8" s="1"/>
  <c r="G68" i="8"/>
  <c r="G69" i="7"/>
  <c r="F69" i="7"/>
  <c r="J72" i="6"/>
  <c r="K72" i="6" s="1"/>
  <c r="L72" i="6" s="1"/>
  <c r="D73" i="6" s="1"/>
  <c r="J69" i="5"/>
  <c r="K69" i="5" s="1"/>
  <c r="L69" i="5" s="1"/>
  <c r="D70" i="5" s="1"/>
  <c r="J70" i="4"/>
  <c r="K70" i="4" s="1"/>
  <c r="L70" i="4" s="1"/>
  <c r="D71" i="4" s="1"/>
  <c r="H68" i="8" l="1"/>
  <c r="J68" i="8"/>
  <c r="K68" i="8" s="1"/>
  <c r="L68" i="8" s="1"/>
  <c r="D69" i="8" s="1"/>
  <c r="H69" i="7"/>
  <c r="G73" i="6"/>
  <c r="E73" i="6"/>
  <c r="F73" i="6" s="1"/>
  <c r="H73" i="6" s="1"/>
  <c r="G70" i="5"/>
  <c r="F70" i="5"/>
  <c r="H70" i="5" s="1"/>
  <c r="F71" i="4"/>
  <c r="G71" i="4"/>
  <c r="G69" i="8" l="1"/>
  <c r="F69" i="8"/>
  <c r="J69" i="7"/>
  <c r="K69" i="7" s="1"/>
  <c r="L69" i="7" s="1"/>
  <c r="D70" i="7" s="1"/>
  <c r="J73" i="6"/>
  <c r="K73" i="6" s="1"/>
  <c r="L73" i="6" s="1"/>
  <c r="D74" i="6" s="1"/>
  <c r="J70" i="5"/>
  <c r="K70" i="5"/>
  <c r="L70" i="5" s="1"/>
  <c r="D71" i="5" s="1"/>
  <c r="H71" i="4"/>
  <c r="H69" i="8" l="1"/>
  <c r="J69" i="8" s="1"/>
  <c r="G70" i="7"/>
  <c r="H70" i="7" s="1"/>
  <c r="F70" i="7"/>
  <c r="F74" i="6"/>
  <c r="H74" i="6" s="1"/>
  <c r="G74" i="6"/>
  <c r="G71" i="5"/>
  <c r="F71" i="5"/>
  <c r="J71" i="4"/>
  <c r="K71" i="4" s="1"/>
  <c r="L71" i="4" s="1"/>
  <c r="D72" i="4" s="1"/>
  <c r="K69" i="8" l="1"/>
  <c r="L69" i="8" s="1"/>
  <c r="D70" i="8" s="1"/>
  <c r="G70" i="8" s="1"/>
  <c r="J70" i="7"/>
  <c r="K70" i="7" s="1"/>
  <c r="L70" i="7" s="1"/>
  <c r="D71" i="7" s="1"/>
  <c r="J74" i="6"/>
  <c r="K74" i="6" s="1"/>
  <c r="L74" i="6" s="1"/>
  <c r="D75" i="6" s="1"/>
  <c r="H71" i="5"/>
  <c r="E72" i="4"/>
  <c r="F72" i="4" s="1"/>
  <c r="G72" i="4"/>
  <c r="F70" i="8" l="1"/>
  <c r="H70" i="8" s="1"/>
  <c r="J70" i="8" s="1"/>
  <c r="K70" i="8" s="1"/>
  <c r="L70" i="8" s="1"/>
  <c r="D71" i="8" s="1"/>
  <c r="F71" i="7"/>
  <c r="G71" i="7"/>
  <c r="G75" i="6"/>
  <c r="F75" i="6"/>
  <c r="H75" i="6" s="1"/>
  <c r="J71" i="5"/>
  <c r="K71" i="5" s="1"/>
  <c r="L71" i="5" s="1"/>
  <c r="D72" i="5" s="1"/>
  <c r="H72" i="4"/>
  <c r="F71" i="8" l="1"/>
  <c r="G71" i="8"/>
  <c r="H71" i="7"/>
  <c r="J75" i="6"/>
  <c r="K75" i="6" s="1"/>
  <c r="L75" i="6" s="1"/>
  <c r="D76" i="6" s="1"/>
  <c r="G72" i="5"/>
  <c r="E72" i="5"/>
  <c r="F72" i="5" s="1"/>
  <c r="H72" i="5" s="1"/>
  <c r="J72" i="4"/>
  <c r="K72" i="4" s="1"/>
  <c r="L72" i="4" s="1"/>
  <c r="D73" i="4" s="1"/>
  <c r="H71" i="8" l="1"/>
  <c r="J71" i="7"/>
  <c r="K71" i="7" s="1"/>
  <c r="L71" i="7" s="1"/>
  <c r="D72" i="7" s="1"/>
  <c r="G76" i="6"/>
  <c r="E76" i="6"/>
  <c r="F76" i="6" s="1"/>
  <c r="H76" i="6" s="1"/>
  <c r="J72" i="5"/>
  <c r="K72" i="5" s="1"/>
  <c r="L72" i="5" s="1"/>
  <c r="D73" i="5" s="1"/>
  <c r="G73" i="4"/>
  <c r="E73" i="4"/>
  <c r="F73" i="4" s="1"/>
  <c r="J71" i="8" l="1"/>
  <c r="K71" i="8" s="1"/>
  <c r="L71" i="8" s="1"/>
  <c r="D72" i="8" s="1"/>
  <c r="G72" i="7"/>
  <c r="E72" i="7"/>
  <c r="F72" i="7" s="1"/>
  <c r="H72" i="7" s="1"/>
  <c r="J76" i="6"/>
  <c r="K76" i="6"/>
  <c r="L76" i="6" s="1"/>
  <c r="D77" i="6" s="1"/>
  <c r="F73" i="5"/>
  <c r="H73" i="5" s="1"/>
  <c r="E73" i="5"/>
  <c r="G73" i="5"/>
  <c r="H73" i="4"/>
  <c r="J73" i="4" s="1"/>
  <c r="K73" i="4" s="1"/>
  <c r="L73" i="4" s="1"/>
  <c r="D74" i="4" s="1"/>
  <c r="E72" i="8" l="1"/>
  <c r="G72" i="8"/>
  <c r="F72" i="8"/>
  <c r="J72" i="7"/>
  <c r="K72" i="7" s="1"/>
  <c r="L72" i="7" s="1"/>
  <c r="D73" i="7" s="1"/>
  <c r="G77" i="6"/>
  <c r="E77" i="6"/>
  <c r="F77" i="6" s="1"/>
  <c r="H77" i="6" s="1"/>
  <c r="K73" i="5"/>
  <c r="L73" i="5" s="1"/>
  <c r="D74" i="5" s="1"/>
  <c r="J73" i="5"/>
  <c r="G74" i="4"/>
  <c r="F74" i="4"/>
  <c r="H72" i="8" l="1"/>
  <c r="J72" i="8" s="1"/>
  <c r="K72" i="8" s="1"/>
  <c r="L72" i="8" s="1"/>
  <c r="D73" i="8" s="1"/>
  <c r="G73" i="7"/>
  <c r="E73" i="7"/>
  <c r="F73" i="7" s="1"/>
  <c r="H73" i="7" s="1"/>
  <c r="K77" i="6"/>
  <c r="L77" i="6" s="1"/>
  <c r="D78" i="6" s="1"/>
  <c r="J77" i="6"/>
  <c r="G74" i="5"/>
  <c r="F74" i="5"/>
  <c r="H74" i="5" s="1"/>
  <c r="H74" i="4"/>
  <c r="J74" i="4" s="1"/>
  <c r="K74" i="4" s="1"/>
  <c r="L74" i="4" s="1"/>
  <c r="D75" i="4" s="1"/>
  <c r="G73" i="8" l="1"/>
  <c r="E73" i="8"/>
  <c r="F73" i="8" s="1"/>
  <c r="H73" i="8" s="1"/>
  <c r="J73" i="7"/>
  <c r="K73" i="7" s="1"/>
  <c r="L73" i="7" s="1"/>
  <c r="D74" i="7" s="1"/>
  <c r="G78" i="6"/>
  <c r="E78" i="6"/>
  <c r="F78" i="6" s="1"/>
  <c r="H78" i="6" s="1"/>
  <c r="J74" i="5"/>
  <c r="K74" i="5" s="1"/>
  <c r="L74" i="5" s="1"/>
  <c r="D75" i="5" s="1"/>
  <c r="G75" i="4"/>
  <c r="F75" i="4"/>
  <c r="H75" i="4" s="1"/>
  <c r="J73" i="8" l="1"/>
  <c r="K73" i="8" s="1"/>
  <c r="L73" i="8" s="1"/>
  <c r="D74" i="8" s="1"/>
  <c r="F74" i="7"/>
  <c r="G74" i="7"/>
  <c r="J78" i="6"/>
  <c r="K78" i="6" s="1"/>
  <c r="L78" i="6" s="1"/>
  <c r="D79" i="6" s="1"/>
  <c r="F75" i="5"/>
  <c r="G75" i="5"/>
  <c r="J75" i="4"/>
  <c r="K75" i="4" s="1"/>
  <c r="L75" i="4" s="1"/>
  <c r="D76" i="4" s="1"/>
  <c r="F74" i="8" l="1"/>
  <c r="G74" i="8"/>
  <c r="H74" i="7"/>
  <c r="G79" i="6"/>
  <c r="E79" i="6"/>
  <c r="F79" i="6" s="1"/>
  <c r="H79" i="6" s="1"/>
  <c r="H75" i="5"/>
  <c r="G76" i="4"/>
  <c r="E76" i="4"/>
  <c r="F76" i="4" s="1"/>
  <c r="H74" i="8" l="1"/>
  <c r="J74" i="8" s="1"/>
  <c r="K74" i="8" s="1"/>
  <c r="L74" i="8" s="1"/>
  <c r="D75" i="8" s="1"/>
  <c r="J74" i="7"/>
  <c r="K74" i="7" s="1"/>
  <c r="L74" i="7" s="1"/>
  <c r="D75" i="7" s="1"/>
  <c r="J79" i="6"/>
  <c r="K79" i="6" s="1"/>
  <c r="L79" i="6" s="1"/>
  <c r="D80" i="6" s="1"/>
  <c r="J75" i="5"/>
  <c r="K75" i="5" s="1"/>
  <c r="L75" i="5" s="1"/>
  <c r="D76" i="5" s="1"/>
  <c r="H76" i="4"/>
  <c r="J76" i="4" s="1"/>
  <c r="K76" i="4" s="1"/>
  <c r="L76" i="4" s="1"/>
  <c r="D77" i="4" s="1"/>
  <c r="G75" i="8" l="1"/>
  <c r="F75" i="8"/>
  <c r="H75" i="8" s="1"/>
  <c r="G75" i="7"/>
  <c r="F75" i="7"/>
  <c r="F80" i="6"/>
  <c r="G80" i="6"/>
  <c r="G76" i="5"/>
  <c r="E76" i="5"/>
  <c r="F76" i="5" s="1"/>
  <c r="H76" i="5" s="1"/>
  <c r="G77" i="4"/>
  <c r="E77" i="4"/>
  <c r="F77" i="4" s="1"/>
  <c r="H77" i="4" s="1"/>
  <c r="J75" i="8" l="1"/>
  <c r="K75" i="8" s="1"/>
  <c r="L75" i="8" s="1"/>
  <c r="D76" i="8" s="1"/>
  <c r="H75" i="7"/>
  <c r="J75" i="7" s="1"/>
  <c r="K75" i="7" s="1"/>
  <c r="L75" i="7" s="1"/>
  <c r="D76" i="7" s="1"/>
  <c r="H80" i="6"/>
  <c r="J76" i="5"/>
  <c r="K76" i="5" s="1"/>
  <c r="L76" i="5" s="1"/>
  <c r="D77" i="5" s="1"/>
  <c r="J77" i="4"/>
  <c r="K77" i="4" s="1"/>
  <c r="L77" i="4" s="1"/>
  <c r="D78" i="4" s="1"/>
  <c r="G76" i="8" l="1"/>
  <c r="E76" i="8"/>
  <c r="F76" i="8" s="1"/>
  <c r="G76" i="7"/>
  <c r="E76" i="7"/>
  <c r="F76" i="7" s="1"/>
  <c r="J80" i="6"/>
  <c r="K80" i="6"/>
  <c r="L80" i="6" s="1"/>
  <c r="D81" i="6" s="1"/>
  <c r="G77" i="5"/>
  <c r="E77" i="5"/>
  <c r="F77" i="5" s="1"/>
  <c r="H77" i="5" s="1"/>
  <c r="E78" i="4"/>
  <c r="F78" i="4" s="1"/>
  <c r="G78" i="4"/>
  <c r="H76" i="8" l="1"/>
  <c r="J76" i="8" s="1"/>
  <c r="K76" i="8" s="1"/>
  <c r="L76" i="8" s="1"/>
  <c r="D77" i="8" s="1"/>
  <c r="H76" i="7"/>
  <c r="J76" i="7"/>
  <c r="K76" i="7" s="1"/>
  <c r="L76" i="7" s="1"/>
  <c r="D77" i="7" s="1"/>
  <c r="G81" i="6"/>
  <c r="F81" i="6"/>
  <c r="H81" i="6" s="1"/>
  <c r="J77" i="5"/>
  <c r="K77" i="5"/>
  <c r="L77" i="5" s="1"/>
  <c r="D78" i="5" s="1"/>
  <c r="H78" i="4"/>
  <c r="G77" i="8" l="1"/>
  <c r="E77" i="8"/>
  <c r="F77" i="8" s="1"/>
  <c r="E77" i="7"/>
  <c r="F77" i="7" s="1"/>
  <c r="G77" i="7"/>
  <c r="K81" i="6"/>
  <c r="L81" i="6" s="1"/>
  <c r="D82" i="6" s="1"/>
  <c r="J81" i="6"/>
  <c r="G78" i="5"/>
  <c r="F78" i="5"/>
  <c r="E78" i="5"/>
  <c r="J78" i="4"/>
  <c r="K78" i="4" s="1"/>
  <c r="L78" i="4" s="1"/>
  <c r="D79" i="4" s="1"/>
  <c r="H77" i="8" l="1"/>
  <c r="J77" i="8"/>
  <c r="K77" i="8" s="1"/>
  <c r="L77" i="8" s="1"/>
  <c r="D78" i="8" s="1"/>
  <c r="H77" i="7"/>
  <c r="J77" i="7"/>
  <c r="K77" i="7" s="1"/>
  <c r="L77" i="7" s="1"/>
  <c r="D78" i="7" s="1"/>
  <c r="G82" i="6"/>
  <c r="F82" i="6"/>
  <c r="H78" i="5"/>
  <c r="G79" i="4"/>
  <c r="E79" i="4"/>
  <c r="F79" i="4" s="1"/>
  <c r="H79" i="4" s="1"/>
  <c r="E78" i="8" l="1"/>
  <c r="F78" i="8" s="1"/>
  <c r="G78" i="8"/>
  <c r="G78" i="7"/>
  <c r="E78" i="7"/>
  <c r="F78" i="7" s="1"/>
  <c r="H78" i="7" s="1"/>
  <c r="H82" i="6"/>
  <c r="J78" i="5"/>
  <c r="K78" i="5" s="1"/>
  <c r="L78" i="5" s="1"/>
  <c r="D79" i="5" s="1"/>
  <c r="J79" i="4"/>
  <c r="K79" i="4" s="1"/>
  <c r="L79" i="4" s="1"/>
  <c r="D80" i="4" s="1"/>
  <c r="H78" i="8" l="1"/>
  <c r="J78" i="8" s="1"/>
  <c r="K78" i="8" s="1"/>
  <c r="L78" i="8" s="1"/>
  <c r="D79" i="8" s="1"/>
  <c r="J78" i="7"/>
  <c r="K78" i="7" s="1"/>
  <c r="L78" i="7" s="1"/>
  <c r="D79" i="7" s="1"/>
  <c r="J82" i="6"/>
  <c r="K82" i="6" s="1"/>
  <c r="L82" i="6" s="1"/>
  <c r="D83" i="6" s="1"/>
  <c r="G79" i="5"/>
  <c r="E79" i="5"/>
  <c r="F79" i="5" s="1"/>
  <c r="H79" i="5" s="1"/>
  <c r="G80" i="4"/>
  <c r="F80" i="4"/>
  <c r="G79" i="8" l="1"/>
  <c r="E79" i="8"/>
  <c r="F79" i="8" s="1"/>
  <c r="G79" i="7"/>
  <c r="E79" i="7"/>
  <c r="F79" i="7" s="1"/>
  <c r="H79" i="7" s="1"/>
  <c r="G83" i="6"/>
  <c r="E83" i="6"/>
  <c r="F83" i="6" s="1"/>
  <c r="H83" i="6" s="1"/>
  <c r="J79" i="5"/>
  <c r="K79" i="5" s="1"/>
  <c r="L79" i="5" s="1"/>
  <c r="D80" i="5" s="1"/>
  <c r="H80" i="4"/>
  <c r="J80" i="4"/>
  <c r="K80" i="4" s="1"/>
  <c r="L80" i="4" s="1"/>
  <c r="D81" i="4" s="1"/>
  <c r="H79" i="8" l="1"/>
  <c r="J79" i="8" s="1"/>
  <c r="K79" i="8" s="1"/>
  <c r="L79" i="8" s="1"/>
  <c r="D80" i="8" s="1"/>
  <c r="J79" i="7"/>
  <c r="K79" i="7" s="1"/>
  <c r="L79" i="7" s="1"/>
  <c r="D80" i="7" s="1"/>
  <c r="J83" i="6"/>
  <c r="K83" i="6" s="1"/>
  <c r="L83" i="6" s="1"/>
  <c r="D84" i="6" s="1"/>
  <c r="G80" i="5"/>
  <c r="F80" i="5"/>
  <c r="H80" i="5" s="1"/>
  <c r="G81" i="4"/>
  <c r="F81" i="4"/>
  <c r="F80" i="8" l="1"/>
  <c r="G80" i="8"/>
  <c r="F80" i="7"/>
  <c r="G80" i="7"/>
  <c r="G84" i="6"/>
  <c r="F84" i="6"/>
  <c r="H84" i="6" s="1"/>
  <c r="K80" i="5"/>
  <c r="L80" i="5" s="1"/>
  <c r="D81" i="5" s="1"/>
  <c r="J80" i="5"/>
  <c r="H81" i="4"/>
  <c r="H80" i="8" l="1"/>
  <c r="J80" i="8" s="1"/>
  <c r="K80" i="8" s="1"/>
  <c r="L80" i="8" s="1"/>
  <c r="D81" i="8" s="1"/>
  <c r="H80" i="7"/>
  <c r="K84" i="6"/>
  <c r="L84" i="6" s="1"/>
  <c r="D85" i="6" s="1"/>
  <c r="J84" i="6"/>
  <c r="F81" i="5"/>
  <c r="G81" i="5"/>
  <c r="J81" i="4"/>
  <c r="K81" i="4" s="1"/>
  <c r="L81" i="4" s="1"/>
  <c r="D82" i="4" s="1"/>
  <c r="G81" i="8" l="1"/>
  <c r="F81" i="8"/>
  <c r="J80" i="7"/>
  <c r="K80" i="7" s="1"/>
  <c r="L80" i="7" s="1"/>
  <c r="D81" i="7" s="1"/>
  <c r="F85" i="6"/>
  <c r="G85" i="6"/>
  <c r="H81" i="5"/>
  <c r="G82" i="4"/>
  <c r="F82" i="4"/>
  <c r="H81" i="8" l="1"/>
  <c r="J81" i="8" s="1"/>
  <c r="K81" i="8" s="1"/>
  <c r="L81" i="8" s="1"/>
  <c r="D82" i="8" s="1"/>
  <c r="G81" i="7"/>
  <c r="F81" i="7"/>
  <c r="H81" i="7" s="1"/>
  <c r="H85" i="6"/>
  <c r="J81" i="5"/>
  <c r="K81" i="5" s="1"/>
  <c r="L81" i="5" s="1"/>
  <c r="D82" i="5" s="1"/>
  <c r="H82" i="4"/>
  <c r="J82" i="4" s="1"/>
  <c r="K82" i="4" s="1"/>
  <c r="L82" i="4" s="1"/>
  <c r="D83" i="4" s="1"/>
  <c r="G83" i="4"/>
  <c r="E83" i="4"/>
  <c r="F83" i="4" s="1"/>
  <c r="H83" i="4" s="1"/>
  <c r="F82" i="8" l="1"/>
  <c r="G82" i="8"/>
  <c r="J81" i="7"/>
  <c r="K81" i="7" s="1"/>
  <c r="L81" i="7" s="1"/>
  <c r="D82" i="7" s="1"/>
  <c r="J85" i="6"/>
  <c r="K85" i="6" s="1"/>
  <c r="L85" i="6" s="1"/>
  <c r="D86" i="6" s="1"/>
  <c r="G82" i="5"/>
  <c r="F82" i="5"/>
  <c r="J83" i="4"/>
  <c r="K83" i="4" s="1"/>
  <c r="L83" i="4" s="1"/>
  <c r="D84" i="4" s="1"/>
  <c r="H82" i="8" l="1"/>
  <c r="J82" i="8"/>
  <c r="K82" i="8" s="1"/>
  <c r="L82" i="8" s="1"/>
  <c r="D83" i="8" s="1"/>
  <c r="G82" i="7"/>
  <c r="F82" i="7"/>
  <c r="G86" i="6"/>
  <c r="E86" i="6"/>
  <c r="F86" i="6" s="1"/>
  <c r="H86" i="6" s="1"/>
  <c r="H82" i="5"/>
  <c r="F84" i="4"/>
  <c r="G84" i="4"/>
  <c r="G83" i="8" l="1"/>
  <c r="E83" i="8"/>
  <c r="F83" i="8" s="1"/>
  <c r="H82" i="7"/>
  <c r="J86" i="6"/>
  <c r="K86" i="6"/>
  <c r="L86" i="6" s="1"/>
  <c r="D87" i="6" s="1"/>
  <c r="J82" i="5"/>
  <c r="K82" i="5" s="1"/>
  <c r="L82" i="5" s="1"/>
  <c r="D83" i="5" s="1"/>
  <c r="H84" i="4"/>
  <c r="H83" i="8" l="1"/>
  <c r="J83" i="8" s="1"/>
  <c r="K83" i="8" s="1"/>
  <c r="L83" i="8" s="1"/>
  <c r="D84" i="8" s="1"/>
  <c r="J82" i="7"/>
  <c r="K82" i="7" s="1"/>
  <c r="L82" i="7" s="1"/>
  <c r="D83" i="7" s="1"/>
  <c r="G87" i="6"/>
  <c r="E87" i="6"/>
  <c r="F87" i="6" s="1"/>
  <c r="H87" i="6" s="1"/>
  <c r="G83" i="5"/>
  <c r="E83" i="5"/>
  <c r="F83" i="5" s="1"/>
  <c r="H83" i="5" s="1"/>
  <c r="J84" i="4"/>
  <c r="K84" i="4" s="1"/>
  <c r="L84" i="4" s="1"/>
  <c r="D85" i="4" s="1"/>
  <c r="G84" i="8" l="1"/>
  <c r="F84" i="8"/>
  <c r="E83" i="7"/>
  <c r="F83" i="7" s="1"/>
  <c r="H83" i="7" s="1"/>
  <c r="G83" i="7"/>
  <c r="J87" i="6"/>
  <c r="K87" i="6" s="1"/>
  <c r="L87" i="6" s="1"/>
  <c r="D88" i="6" s="1"/>
  <c r="J83" i="5"/>
  <c r="K83" i="5" s="1"/>
  <c r="L83" i="5" s="1"/>
  <c r="D84" i="5" s="1"/>
  <c r="F85" i="4"/>
  <c r="G85" i="4"/>
  <c r="H84" i="8" l="1"/>
  <c r="J84" i="8" s="1"/>
  <c r="K84" i="8" s="1"/>
  <c r="L84" i="8" s="1"/>
  <c r="D85" i="8" s="1"/>
  <c r="J83" i="7"/>
  <c r="K83" i="7" s="1"/>
  <c r="L83" i="7" s="1"/>
  <c r="D84" i="7" s="1"/>
  <c r="F88" i="6"/>
  <c r="H88" i="6" s="1"/>
  <c r="G88" i="6"/>
  <c r="G84" i="5"/>
  <c r="F84" i="5"/>
  <c r="H84" i="5" s="1"/>
  <c r="H85" i="4"/>
  <c r="G85" i="8" l="1"/>
  <c r="F85" i="8"/>
  <c r="H85" i="8" s="1"/>
  <c r="F84" i="7"/>
  <c r="G84" i="7"/>
  <c r="J88" i="6"/>
  <c r="K88" i="6" s="1"/>
  <c r="L88" i="6" s="1"/>
  <c r="D89" i="6" s="1"/>
  <c r="J84" i="5"/>
  <c r="K84" i="5" s="1"/>
  <c r="L84" i="5" s="1"/>
  <c r="D85" i="5" s="1"/>
  <c r="J85" i="4"/>
  <c r="K85" i="4" s="1"/>
  <c r="L85" i="4" s="1"/>
  <c r="D86" i="4" s="1"/>
  <c r="J85" i="8" l="1"/>
  <c r="K85" i="8" s="1"/>
  <c r="L85" i="8" s="1"/>
  <c r="D86" i="8" s="1"/>
  <c r="H84" i="7"/>
  <c r="J84" i="7" s="1"/>
  <c r="K84" i="7" s="1"/>
  <c r="L84" i="7" s="1"/>
  <c r="D85" i="7" s="1"/>
  <c r="G89" i="6"/>
  <c r="F89" i="6"/>
  <c r="H89" i="6" s="1"/>
  <c r="G85" i="5"/>
  <c r="F85" i="5"/>
  <c r="H85" i="5" s="1"/>
  <c r="G86" i="4"/>
  <c r="E86" i="4"/>
  <c r="F86" i="4" s="1"/>
  <c r="H86" i="4" s="1"/>
  <c r="E86" i="8" l="1"/>
  <c r="F86" i="8" s="1"/>
  <c r="G86" i="8"/>
  <c r="F85" i="7"/>
  <c r="G85" i="7"/>
  <c r="K89" i="6"/>
  <c r="L89" i="6" s="1"/>
  <c r="D90" i="6" s="1"/>
  <c r="J89" i="6"/>
  <c r="K85" i="5"/>
  <c r="L85" i="5" s="1"/>
  <c r="D86" i="5" s="1"/>
  <c r="J85" i="5"/>
  <c r="J86" i="4"/>
  <c r="K86" i="4" s="1"/>
  <c r="L86" i="4" s="1"/>
  <c r="D87" i="4" s="1"/>
  <c r="H86" i="8" l="1"/>
  <c r="J86" i="8" s="1"/>
  <c r="K86" i="8" s="1"/>
  <c r="L86" i="8" s="1"/>
  <c r="D87" i="8" s="1"/>
  <c r="H85" i="7"/>
  <c r="G90" i="6"/>
  <c r="E90" i="6"/>
  <c r="F90" i="6" s="1"/>
  <c r="H90" i="6" s="1"/>
  <c r="G86" i="5"/>
  <c r="E86" i="5"/>
  <c r="F86" i="5" s="1"/>
  <c r="H86" i="5" s="1"/>
  <c r="G87" i="4"/>
  <c r="E87" i="4"/>
  <c r="F87" i="4" s="1"/>
  <c r="H87" i="4" s="1"/>
  <c r="E87" i="8" l="1"/>
  <c r="F87" i="8" s="1"/>
  <c r="G87" i="8"/>
  <c r="J85" i="7"/>
  <c r="K85" i="7" s="1"/>
  <c r="L85" i="7" s="1"/>
  <c r="D86" i="7" s="1"/>
  <c r="J90" i="6"/>
  <c r="K90" i="6" s="1"/>
  <c r="L90" i="6" s="1"/>
  <c r="D91" i="6" s="1"/>
  <c r="J86" i="5"/>
  <c r="K86" i="5" s="1"/>
  <c r="L86" i="5" s="1"/>
  <c r="D87" i="5" s="1"/>
  <c r="J87" i="4"/>
  <c r="K87" i="4" s="1"/>
  <c r="L87" i="4" s="1"/>
  <c r="D88" i="4" s="1"/>
  <c r="H87" i="8" l="1"/>
  <c r="E86" i="7"/>
  <c r="F86" i="7" s="1"/>
  <c r="G86" i="7"/>
  <c r="G91" i="6"/>
  <c r="E91" i="6"/>
  <c r="F91" i="6" s="1"/>
  <c r="H91" i="6" s="1"/>
  <c r="G87" i="5"/>
  <c r="E87" i="5"/>
  <c r="F87" i="5" s="1"/>
  <c r="H87" i="5" s="1"/>
  <c r="G88" i="4"/>
  <c r="F88" i="4"/>
  <c r="H88" i="4" s="1"/>
  <c r="J87" i="8" l="1"/>
  <c r="K87" i="8" s="1"/>
  <c r="L87" i="8" s="1"/>
  <c r="D88" i="8" s="1"/>
  <c r="H86" i="7"/>
  <c r="J86" i="7"/>
  <c r="K86" i="7" s="1"/>
  <c r="L86" i="7" s="1"/>
  <c r="D87" i="7" s="1"/>
  <c r="J91" i="6"/>
  <c r="K91" i="6"/>
  <c r="L91" i="6" s="1"/>
  <c r="D92" i="6" s="1"/>
  <c r="J87" i="5"/>
  <c r="K87" i="5" s="1"/>
  <c r="L87" i="5" s="1"/>
  <c r="D88" i="5" s="1"/>
  <c r="J88" i="4"/>
  <c r="K88" i="4" s="1"/>
  <c r="L88" i="4" s="1"/>
  <c r="D89" i="4" s="1"/>
  <c r="F88" i="8" l="1"/>
  <c r="G88" i="8"/>
  <c r="G87" i="7"/>
  <c r="E87" i="7"/>
  <c r="F87" i="7" s="1"/>
  <c r="H87" i="7" s="1"/>
  <c r="F92" i="6"/>
  <c r="H92" i="6" s="1"/>
  <c r="G92" i="6"/>
  <c r="E92" i="6"/>
  <c r="G88" i="5"/>
  <c r="F88" i="5"/>
  <c r="H88" i="5" s="1"/>
  <c r="G89" i="4"/>
  <c r="F89" i="4"/>
  <c r="H88" i="8" l="1"/>
  <c r="J87" i="7"/>
  <c r="K87" i="7" s="1"/>
  <c r="L87" i="7" s="1"/>
  <c r="D88" i="7" s="1"/>
  <c r="J92" i="6"/>
  <c r="K92" i="6" s="1"/>
  <c r="L92" i="6" s="1"/>
  <c r="D93" i="6" s="1"/>
  <c r="J88" i="5"/>
  <c r="K88" i="5" s="1"/>
  <c r="L88" i="5" s="1"/>
  <c r="D89" i="5" s="1"/>
  <c r="H89" i="4"/>
  <c r="J89" i="4" s="1"/>
  <c r="K89" i="4" s="1"/>
  <c r="L89" i="4" s="1"/>
  <c r="D90" i="4" s="1"/>
  <c r="J88" i="8" l="1"/>
  <c r="K88" i="8"/>
  <c r="L88" i="8" s="1"/>
  <c r="D89" i="8" s="1"/>
  <c r="G88" i="7"/>
  <c r="F88" i="7"/>
  <c r="G93" i="6"/>
  <c r="F93" i="6"/>
  <c r="H93" i="6" s="1"/>
  <c r="E93" i="6"/>
  <c r="G89" i="5"/>
  <c r="F89" i="5"/>
  <c r="H89" i="5" s="1"/>
  <c r="G90" i="4"/>
  <c r="E90" i="4"/>
  <c r="F90" i="4" s="1"/>
  <c r="F89" i="8" l="1"/>
  <c r="G89" i="8"/>
  <c r="H88" i="7"/>
  <c r="J93" i="6"/>
  <c r="K93" i="6" s="1"/>
  <c r="L93" i="6" s="1"/>
  <c r="D94" i="6" s="1"/>
  <c r="K89" i="5"/>
  <c r="L89" i="5" s="1"/>
  <c r="D90" i="5" s="1"/>
  <c r="J89" i="5"/>
  <c r="H90" i="4"/>
  <c r="J90" i="4"/>
  <c r="K90" i="4" s="1"/>
  <c r="L90" i="4" s="1"/>
  <c r="D91" i="4" s="1"/>
  <c r="H89" i="8" l="1"/>
  <c r="J88" i="7"/>
  <c r="K88" i="7" s="1"/>
  <c r="L88" i="7" s="1"/>
  <c r="D89" i="7" s="1"/>
  <c r="G94" i="6"/>
  <c r="E94" i="6"/>
  <c r="F94" i="6" s="1"/>
  <c r="H94" i="6" s="1"/>
  <c r="E90" i="5"/>
  <c r="F90" i="5" s="1"/>
  <c r="H90" i="5" s="1"/>
  <c r="G90" i="5"/>
  <c r="G91" i="4"/>
  <c r="E91" i="4"/>
  <c r="F91" i="4" s="1"/>
  <c r="J89" i="8" l="1"/>
  <c r="K89" i="8" s="1"/>
  <c r="L89" i="8" s="1"/>
  <c r="D90" i="8" s="1"/>
  <c r="G89" i="7"/>
  <c r="F89" i="7"/>
  <c r="K94" i="6"/>
  <c r="L94" i="6" s="1"/>
  <c r="D95" i="6" s="1"/>
  <c r="J94" i="6"/>
  <c r="J90" i="5"/>
  <c r="K90" i="5"/>
  <c r="L90" i="5" s="1"/>
  <c r="D91" i="5" s="1"/>
  <c r="H91" i="4"/>
  <c r="J91" i="4"/>
  <c r="K91" i="4" s="1"/>
  <c r="L91" i="4" s="1"/>
  <c r="D92" i="4" s="1"/>
  <c r="E90" i="8" l="1"/>
  <c r="F90" i="8" s="1"/>
  <c r="G90" i="8"/>
  <c r="H89" i="7"/>
  <c r="G95" i="6"/>
  <c r="E95" i="6"/>
  <c r="F95" i="6" s="1"/>
  <c r="H95" i="6" s="1"/>
  <c r="G91" i="5"/>
  <c r="E91" i="5"/>
  <c r="F91" i="5" s="1"/>
  <c r="H91" i="5" s="1"/>
  <c r="G92" i="4"/>
  <c r="E92" i="4"/>
  <c r="F92" i="4" s="1"/>
  <c r="H90" i="8" l="1"/>
  <c r="J90" i="8"/>
  <c r="K90" i="8" s="1"/>
  <c r="L90" i="8" s="1"/>
  <c r="D91" i="8" s="1"/>
  <c r="J89" i="7"/>
  <c r="K89" i="7" s="1"/>
  <c r="L89" i="7" s="1"/>
  <c r="D90" i="7" s="1"/>
  <c r="J95" i="6"/>
  <c r="K95" i="6" s="1"/>
  <c r="L95" i="6" s="1"/>
  <c r="D96" i="6" s="1"/>
  <c r="J91" i="5"/>
  <c r="K91" i="5" s="1"/>
  <c r="L91" i="5" s="1"/>
  <c r="D92" i="5" s="1"/>
  <c r="H92" i="4"/>
  <c r="J92" i="4" s="1"/>
  <c r="K92" i="4" s="1"/>
  <c r="L92" i="4" s="1"/>
  <c r="D93" i="4" s="1"/>
  <c r="G91" i="8" l="1"/>
  <c r="E91" i="8"/>
  <c r="F91" i="8" s="1"/>
  <c r="H91" i="8" s="1"/>
  <c r="G90" i="7"/>
  <c r="E90" i="7"/>
  <c r="F90" i="7" s="1"/>
  <c r="G96" i="6"/>
  <c r="E96" i="6"/>
  <c r="F96" i="6" s="1"/>
  <c r="H96" i="6" s="1"/>
  <c r="E92" i="5"/>
  <c r="F92" i="5" s="1"/>
  <c r="H92" i="5" s="1"/>
  <c r="G92" i="5"/>
  <c r="G93" i="4"/>
  <c r="E93" i="4"/>
  <c r="F93" i="4" s="1"/>
  <c r="H93" i="4" s="1"/>
  <c r="J91" i="8" l="1"/>
  <c r="K91" i="8" s="1"/>
  <c r="L91" i="8" s="1"/>
  <c r="D92" i="8" s="1"/>
  <c r="H90" i="7"/>
  <c r="J90" i="7"/>
  <c r="K90" i="7" s="1"/>
  <c r="L90" i="7" s="1"/>
  <c r="D91" i="7" s="1"/>
  <c r="J96" i="6"/>
  <c r="K96" i="6" s="1"/>
  <c r="L96" i="6" s="1"/>
  <c r="D97" i="6" s="1"/>
  <c r="J92" i="5"/>
  <c r="K92" i="5" s="1"/>
  <c r="L92" i="5" s="1"/>
  <c r="D93" i="5" s="1"/>
  <c r="J93" i="4"/>
  <c r="K93" i="4" s="1"/>
  <c r="L93" i="4" s="1"/>
  <c r="D94" i="4" s="1"/>
  <c r="E92" i="8" l="1"/>
  <c r="F92" i="8" s="1"/>
  <c r="G92" i="8"/>
  <c r="G91" i="7"/>
  <c r="E91" i="7"/>
  <c r="F91" i="7" s="1"/>
  <c r="H91" i="7" s="1"/>
  <c r="F97" i="6"/>
  <c r="H97" i="6" s="1"/>
  <c r="E97" i="6"/>
  <c r="G97" i="6"/>
  <c r="G93" i="5"/>
  <c r="E93" i="5"/>
  <c r="F93" i="5" s="1"/>
  <c r="H93" i="5" s="1"/>
  <c r="G94" i="4"/>
  <c r="E94" i="4"/>
  <c r="F94" i="4" s="1"/>
  <c r="H94" i="4" s="1"/>
  <c r="H92" i="8" l="1"/>
  <c r="J92" i="8" s="1"/>
  <c r="K92" i="8" s="1"/>
  <c r="L92" i="8" s="1"/>
  <c r="D93" i="8" s="1"/>
  <c r="J91" i="7"/>
  <c r="K91" i="7" s="1"/>
  <c r="L91" i="7" s="1"/>
  <c r="D92" i="7" s="1"/>
  <c r="J97" i="6"/>
  <c r="K97" i="6" s="1"/>
  <c r="L97" i="6" s="1"/>
  <c r="D98" i="6" s="1"/>
  <c r="J93" i="5"/>
  <c r="K93" i="5" s="1"/>
  <c r="L93" i="5" s="1"/>
  <c r="D94" i="5" s="1"/>
  <c r="J94" i="4"/>
  <c r="K94" i="4" s="1"/>
  <c r="L94" i="4" s="1"/>
  <c r="D95" i="4" s="1"/>
  <c r="G93" i="8" l="1"/>
  <c r="E93" i="8"/>
  <c r="F93" i="8" s="1"/>
  <c r="G92" i="7"/>
  <c r="E92" i="7"/>
  <c r="F92" i="7" s="1"/>
  <c r="H92" i="7" s="1"/>
  <c r="F98" i="6"/>
  <c r="G98" i="6"/>
  <c r="E98" i="6"/>
  <c r="E94" i="5"/>
  <c r="F94" i="5" s="1"/>
  <c r="H94" i="5" s="1"/>
  <c r="G94" i="5"/>
  <c r="G95" i="4"/>
  <c r="E95" i="4"/>
  <c r="F95" i="4" s="1"/>
  <c r="H95" i="4" s="1"/>
  <c r="H93" i="8" l="1"/>
  <c r="J93" i="8" s="1"/>
  <c r="K93" i="8" s="1"/>
  <c r="L93" i="8" s="1"/>
  <c r="D94" i="8" s="1"/>
  <c r="J92" i="7"/>
  <c r="K92" i="7" s="1"/>
  <c r="L92" i="7" s="1"/>
  <c r="D93" i="7" s="1"/>
  <c r="H98" i="6"/>
  <c r="J94" i="5"/>
  <c r="K94" i="5" s="1"/>
  <c r="L94" i="5" s="1"/>
  <c r="D95" i="5" s="1"/>
  <c r="J95" i="4"/>
  <c r="K95" i="4" s="1"/>
  <c r="L95" i="4" s="1"/>
  <c r="D96" i="4" s="1"/>
  <c r="G94" i="8" l="1"/>
  <c r="E94" i="8"/>
  <c r="F94" i="8" s="1"/>
  <c r="E93" i="7"/>
  <c r="F93" i="7" s="1"/>
  <c r="G93" i="7"/>
  <c r="K98" i="6"/>
  <c r="L98" i="6" s="1"/>
  <c r="D99" i="6" s="1"/>
  <c r="J98" i="6"/>
  <c r="G95" i="5"/>
  <c r="E95" i="5"/>
  <c r="F95" i="5" s="1"/>
  <c r="H95" i="5" s="1"/>
  <c r="G96" i="4"/>
  <c r="E96" i="4"/>
  <c r="F96" i="4" s="1"/>
  <c r="H94" i="8" l="1"/>
  <c r="J94" i="8" s="1"/>
  <c r="K94" i="8" s="1"/>
  <c r="L94" i="8" s="1"/>
  <c r="D95" i="8" s="1"/>
  <c r="H93" i="7"/>
  <c r="J93" i="7"/>
  <c r="K93" i="7" s="1"/>
  <c r="L93" i="7" s="1"/>
  <c r="D94" i="7" s="1"/>
  <c r="G99" i="6"/>
  <c r="F99" i="6"/>
  <c r="J95" i="5"/>
  <c r="K95" i="5" s="1"/>
  <c r="L95" i="5" s="1"/>
  <c r="D96" i="5" s="1"/>
  <c r="H96" i="4"/>
  <c r="J96" i="4" s="1"/>
  <c r="K96" i="4" s="1"/>
  <c r="L96" i="4" s="1"/>
  <c r="D97" i="4" s="1"/>
  <c r="G95" i="8" l="1"/>
  <c r="E95" i="8"/>
  <c r="F95" i="8" s="1"/>
  <c r="E94" i="7"/>
  <c r="F94" i="7" s="1"/>
  <c r="G94" i="7"/>
  <c r="H99" i="6"/>
  <c r="G96" i="5"/>
  <c r="E96" i="5"/>
  <c r="F96" i="5" s="1"/>
  <c r="H96" i="5" s="1"/>
  <c r="G97" i="4"/>
  <c r="E97" i="4"/>
  <c r="F97" i="4" s="1"/>
  <c r="H95" i="8" l="1"/>
  <c r="J95" i="8"/>
  <c r="K95" i="8" s="1"/>
  <c r="L95" i="8" s="1"/>
  <c r="D96" i="8" s="1"/>
  <c r="H94" i="7"/>
  <c r="J94" i="7" s="1"/>
  <c r="K94" i="7" s="1"/>
  <c r="L94" i="7" s="1"/>
  <c r="D95" i="7" s="1"/>
  <c r="J99" i="6"/>
  <c r="K99" i="6" s="1"/>
  <c r="L99" i="6" s="1"/>
  <c r="D100" i="6" s="1"/>
  <c r="J96" i="5"/>
  <c r="K96" i="5"/>
  <c r="L96" i="5" s="1"/>
  <c r="D97" i="5" s="1"/>
  <c r="H97" i="4"/>
  <c r="J97" i="4"/>
  <c r="K97" i="4" s="1"/>
  <c r="L97" i="4" s="1"/>
  <c r="D98" i="4" s="1"/>
  <c r="G96" i="8" l="1"/>
  <c r="E96" i="8"/>
  <c r="F96" i="8" s="1"/>
  <c r="H96" i="8" s="1"/>
  <c r="G95" i="7"/>
  <c r="E95" i="7"/>
  <c r="F95" i="7" s="1"/>
  <c r="H95" i="7" s="1"/>
  <c r="G100" i="6"/>
  <c r="F100" i="6"/>
  <c r="H100" i="6" s="1"/>
  <c r="E97" i="5"/>
  <c r="G97" i="5"/>
  <c r="F97" i="5"/>
  <c r="H97" i="5" s="1"/>
  <c r="G98" i="4"/>
  <c r="E98" i="4"/>
  <c r="F98" i="4" s="1"/>
  <c r="J96" i="8" l="1"/>
  <c r="K96" i="8" s="1"/>
  <c r="L96" i="8" s="1"/>
  <c r="D97" i="8" s="1"/>
  <c r="J95" i="7"/>
  <c r="K95" i="7"/>
  <c r="L95" i="7" s="1"/>
  <c r="D96" i="7" s="1"/>
  <c r="J100" i="6"/>
  <c r="K100" i="6" s="1"/>
  <c r="L100" i="6" s="1"/>
  <c r="D101" i="6" s="1"/>
  <c r="K97" i="5"/>
  <c r="L97" i="5" s="1"/>
  <c r="D98" i="5" s="1"/>
  <c r="J97" i="5"/>
  <c r="H98" i="4"/>
  <c r="J98" i="4"/>
  <c r="K98" i="4" s="1"/>
  <c r="L98" i="4" s="1"/>
  <c r="D99" i="4" s="1"/>
  <c r="G97" i="8" l="1"/>
  <c r="E97" i="8"/>
  <c r="F97" i="8" s="1"/>
  <c r="H97" i="8" s="1"/>
  <c r="E96" i="7"/>
  <c r="F96" i="7"/>
  <c r="G96" i="7"/>
  <c r="G101" i="6"/>
  <c r="F101" i="6"/>
  <c r="H101" i="6" s="1"/>
  <c r="F98" i="5"/>
  <c r="H98" i="5" s="1"/>
  <c r="E98" i="5"/>
  <c r="G98" i="5"/>
  <c r="G99" i="4"/>
  <c r="F99" i="4"/>
  <c r="H99" i="4" s="1"/>
  <c r="J97" i="8" l="1"/>
  <c r="K97" i="8" s="1"/>
  <c r="L97" i="8" s="1"/>
  <c r="D98" i="8" s="1"/>
  <c r="H96" i="7"/>
  <c r="J96" i="7"/>
  <c r="K96" i="7" s="1"/>
  <c r="L96" i="7" s="1"/>
  <c r="D97" i="7" s="1"/>
  <c r="J101" i="6"/>
  <c r="K101" i="6" s="1"/>
  <c r="L101" i="6" s="1"/>
  <c r="D102" i="6" s="1"/>
  <c r="J98" i="5"/>
  <c r="K98" i="5"/>
  <c r="L98" i="5" s="1"/>
  <c r="D99" i="5" s="1"/>
  <c r="J99" i="4"/>
  <c r="K99" i="4" s="1"/>
  <c r="L99" i="4" s="1"/>
  <c r="D100" i="4" s="1"/>
  <c r="G98" i="8" l="1"/>
  <c r="E98" i="8"/>
  <c r="F98" i="8" s="1"/>
  <c r="H98" i="8" s="1"/>
  <c r="E97" i="7"/>
  <c r="F97" i="7" s="1"/>
  <c r="G97" i="7"/>
  <c r="F102" i="6"/>
  <c r="H102" i="6" s="1"/>
  <c r="G102" i="6"/>
  <c r="G99" i="5"/>
  <c r="F99" i="5"/>
  <c r="G100" i="4"/>
  <c r="F100" i="4"/>
  <c r="H100" i="4" s="1"/>
  <c r="J98" i="8" l="1"/>
  <c r="K98" i="8" s="1"/>
  <c r="L98" i="8" s="1"/>
  <c r="D99" i="8" s="1"/>
  <c r="H97" i="7"/>
  <c r="J97" i="7" s="1"/>
  <c r="J102" i="6"/>
  <c r="K102" i="6" s="1"/>
  <c r="L102" i="6" s="1"/>
  <c r="D103" i="6" s="1"/>
  <c r="H99" i="5"/>
  <c r="J100" i="4"/>
  <c r="K100" i="4" s="1"/>
  <c r="L100" i="4" s="1"/>
  <c r="D101" i="4" s="1"/>
  <c r="G99" i="8" l="1"/>
  <c r="F99" i="8"/>
  <c r="K97" i="7"/>
  <c r="L97" i="7" s="1"/>
  <c r="D98" i="7" s="1"/>
  <c r="G98" i="7" s="1"/>
  <c r="G103" i="6"/>
  <c r="E103" i="6"/>
  <c r="F103" i="6" s="1"/>
  <c r="H103" i="6" s="1"/>
  <c r="J99" i="5"/>
  <c r="K99" i="5"/>
  <c r="L99" i="5" s="1"/>
  <c r="D100" i="5" s="1"/>
  <c r="F101" i="4"/>
  <c r="G101" i="4"/>
  <c r="H99" i="8" l="1"/>
  <c r="J99" i="8" s="1"/>
  <c r="K99" i="8" s="1"/>
  <c r="L99" i="8" s="1"/>
  <c r="D100" i="8" s="1"/>
  <c r="E98" i="7"/>
  <c r="F98" i="7" s="1"/>
  <c r="H98" i="7" s="1"/>
  <c r="J98" i="7" s="1"/>
  <c r="K98" i="7" s="1"/>
  <c r="L98" i="7" s="1"/>
  <c r="D99" i="7" s="1"/>
  <c r="K103" i="6"/>
  <c r="L103" i="6" s="1"/>
  <c r="D104" i="6" s="1"/>
  <c r="J103" i="6"/>
  <c r="G100" i="5"/>
  <c r="F100" i="5"/>
  <c r="H101" i="4"/>
  <c r="F100" i="8" l="1"/>
  <c r="G100" i="8"/>
  <c r="F99" i="7"/>
  <c r="G99" i="7"/>
  <c r="F104" i="6"/>
  <c r="H104" i="6" s="1"/>
  <c r="G104" i="6"/>
  <c r="H100" i="5"/>
  <c r="J101" i="4"/>
  <c r="K101" i="4" s="1"/>
  <c r="L101" i="4" s="1"/>
  <c r="D102" i="4" s="1"/>
  <c r="H100" i="8" l="1"/>
  <c r="H99" i="7"/>
  <c r="J99" i="7" s="1"/>
  <c r="K99" i="7" s="1"/>
  <c r="L99" i="7" s="1"/>
  <c r="D100" i="7" s="1"/>
  <c r="J104" i="6"/>
  <c r="K104" i="6" s="1"/>
  <c r="L104" i="6" s="1"/>
  <c r="D105" i="6" s="1"/>
  <c r="J100" i="5"/>
  <c r="K100" i="5"/>
  <c r="L100" i="5" s="1"/>
  <c r="D101" i="5" s="1"/>
  <c r="G102" i="4"/>
  <c r="F102" i="4"/>
  <c r="H102" i="4" s="1"/>
  <c r="J100" i="8" l="1"/>
  <c r="K100" i="8" s="1"/>
  <c r="L100" i="8" s="1"/>
  <c r="D101" i="8" s="1"/>
  <c r="F100" i="7"/>
  <c r="G100" i="7"/>
  <c r="F105" i="6"/>
  <c r="G105" i="6"/>
  <c r="G101" i="5"/>
  <c r="F101" i="5"/>
  <c r="H101" i="5" s="1"/>
  <c r="J102" i="4"/>
  <c r="K102" i="4" s="1"/>
  <c r="L102" i="4" s="1"/>
  <c r="D103" i="4" s="1"/>
  <c r="F101" i="8" l="1"/>
  <c r="G101" i="8"/>
  <c r="H100" i="7"/>
  <c r="J100" i="7"/>
  <c r="K100" i="7" s="1"/>
  <c r="L100" i="7" s="1"/>
  <c r="D101" i="7" s="1"/>
  <c r="H105" i="6"/>
  <c r="J101" i="5"/>
  <c r="K101" i="5" s="1"/>
  <c r="L101" i="5" s="1"/>
  <c r="D102" i="5" s="1"/>
  <c r="G103" i="4"/>
  <c r="E103" i="4"/>
  <c r="F103" i="4" s="1"/>
  <c r="H101" i="8" l="1"/>
  <c r="G101" i="7"/>
  <c r="F101" i="7"/>
  <c r="K105" i="6"/>
  <c r="L105" i="6" s="1"/>
  <c r="D106" i="6" s="1"/>
  <c r="J105" i="6"/>
  <c r="G102" i="5"/>
  <c r="F102" i="5"/>
  <c r="H102" i="5" s="1"/>
  <c r="H103" i="4"/>
  <c r="J103" i="4"/>
  <c r="K103" i="4" s="1"/>
  <c r="L103" i="4" s="1"/>
  <c r="D104" i="4" s="1"/>
  <c r="J101" i="8" l="1"/>
  <c r="K101" i="8" s="1"/>
  <c r="L101" i="8" s="1"/>
  <c r="D102" i="8" s="1"/>
  <c r="H101" i="7"/>
  <c r="J101" i="7" s="1"/>
  <c r="K101" i="7" s="1"/>
  <c r="L101" i="7" s="1"/>
  <c r="D102" i="7" s="1"/>
  <c r="G106" i="6"/>
  <c r="E106" i="6"/>
  <c r="F106" i="6" s="1"/>
  <c r="H106" i="6" s="1"/>
  <c r="K102" i="5"/>
  <c r="L102" i="5" s="1"/>
  <c r="D103" i="5" s="1"/>
  <c r="J102" i="5"/>
  <c r="G104" i="4"/>
  <c r="F104" i="4"/>
  <c r="G102" i="8" l="1"/>
  <c r="F102" i="8"/>
  <c r="H102" i="8" s="1"/>
  <c r="F102" i="7"/>
  <c r="G102" i="7"/>
  <c r="K106" i="6"/>
  <c r="L106" i="6" s="1"/>
  <c r="D107" i="6" s="1"/>
  <c r="J106" i="6"/>
  <c r="G103" i="5"/>
  <c r="E103" i="5"/>
  <c r="F103" i="5" s="1"/>
  <c r="H103" i="5" s="1"/>
  <c r="H104" i="4"/>
  <c r="J104" i="4" s="1"/>
  <c r="K104" i="4" s="1"/>
  <c r="L104" i="4" s="1"/>
  <c r="D105" i="4" s="1"/>
  <c r="J102" i="8" l="1"/>
  <c r="K102" i="8" s="1"/>
  <c r="L102" i="8" s="1"/>
  <c r="D103" i="8" s="1"/>
  <c r="H102" i="7"/>
  <c r="G107" i="6"/>
  <c r="E107" i="6"/>
  <c r="F107" i="6" s="1"/>
  <c r="H107" i="6" s="1"/>
  <c r="J103" i="5"/>
  <c r="K103" i="5" s="1"/>
  <c r="L103" i="5" s="1"/>
  <c r="D104" i="5" s="1"/>
  <c r="G105" i="4"/>
  <c r="F105" i="4"/>
  <c r="G103" i="8" l="1"/>
  <c r="E103" i="8"/>
  <c r="F103" i="8" s="1"/>
  <c r="H103" i="8" s="1"/>
  <c r="J102" i="7"/>
  <c r="K102" i="7" s="1"/>
  <c r="L102" i="7" s="1"/>
  <c r="D103" i="7" s="1"/>
  <c r="K107" i="6"/>
  <c r="L107" i="6" s="1"/>
  <c r="D108" i="6" s="1"/>
  <c r="J107" i="6"/>
  <c r="F104" i="5"/>
  <c r="H104" i="5" s="1"/>
  <c r="G104" i="5"/>
  <c r="H105" i="4"/>
  <c r="J105" i="4"/>
  <c r="K105" i="4" s="1"/>
  <c r="L105" i="4" s="1"/>
  <c r="D106" i="4" s="1"/>
  <c r="J103" i="8" l="1"/>
  <c r="K103" i="8" s="1"/>
  <c r="L103" i="8" s="1"/>
  <c r="D104" i="8" s="1"/>
  <c r="G103" i="7"/>
  <c r="E103" i="7"/>
  <c r="F103" i="7" s="1"/>
  <c r="H103" i="7" s="1"/>
  <c r="G108" i="6"/>
  <c r="E108" i="6"/>
  <c r="F108" i="6" s="1"/>
  <c r="H108" i="6" s="1"/>
  <c r="J104" i="5"/>
  <c r="K104" i="5" s="1"/>
  <c r="L104" i="5" s="1"/>
  <c r="D105" i="5" s="1"/>
  <c r="G106" i="4"/>
  <c r="E106" i="4"/>
  <c r="F106" i="4" s="1"/>
  <c r="F104" i="8" l="1"/>
  <c r="G104" i="8"/>
  <c r="J103" i="7"/>
  <c r="K103" i="7" s="1"/>
  <c r="L103" i="7" s="1"/>
  <c r="D104" i="7" s="1"/>
  <c r="J108" i="6"/>
  <c r="K108" i="6" s="1"/>
  <c r="L108" i="6" s="1"/>
  <c r="D109" i="6" s="1"/>
  <c r="G105" i="5"/>
  <c r="F105" i="5"/>
  <c r="H105" i="5" s="1"/>
  <c r="H106" i="4"/>
  <c r="J106" i="4"/>
  <c r="K106" i="4" s="1"/>
  <c r="L106" i="4" s="1"/>
  <c r="D107" i="4" s="1"/>
  <c r="H104" i="8" l="1"/>
  <c r="J104" i="8" s="1"/>
  <c r="K104" i="8" s="1"/>
  <c r="L104" i="8" s="1"/>
  <c r="D105" i="8" s="1"/>
  <c r="F104" i="7"/>
  <c r="G104" i="7"/>
  <c r="G109" i="6"/>
  <c r="F109" i="6"/>
  <c r="H109" i="6" s="1"/>
  <c r="E109" i="6"/>
  <c r="J105" i="5"/>
  <c r="K105" i="5" s="1"/>
  <c r="L105" i="5" s="1"/>
  <c r="D106" i="5" s="1"/>
  <c r="G107" i="4"/>
  <c r="E107" i="4"/>
  <c r="F107" i="4" s="1"/>
  <c r="G105" i="8" l="1"/>
  <c r="F105" i="8"/>
  <c r="H105" i="8" s="1"/>
  <c r="H104" i="7"/>
  <c r="J104" i="7" s="1"/>
  <c r="K104" i="7" s="1"/>
  <c r="L104" i="7" s="1"/>
  <c r="D105" i="7" s="1"/>
  <c r="J109" i="6"/>
  <c r="K109" i="6" s="1"/>
  <c r="L109" i="6" s="1"/>
  <c r="D110" i="6" s="1"/>
  <c r="E106" i="5"/>
  <c r="F106" i="5" s="1"/>
  <c r="H106" i="5" s="1"/>
  <c r="G106" i="5"/>
  <c r="H107" i="4"/>
  <c r="J107" i="4" s="1"/>
  <c r="K107" i="4" s="1"/>
  <c r="L107" i="4" s="1"/>
  <c r="D108" i="4" s="1"/>
  <c r="J105" i="8" l="1"/>
  <c r="K105" i="8" s="1"/>
  <c r="L105" i="8" s="1"/>
  <c r="D106" i="8" s="1"/>
  <c r="F105" i="7"/>
  <c r="G105" i="7"/>
  <c r="F110" i="6"/>
  <c r="G110" i="6"/>
  <c r="E110" i="6"/>
  <c r="K106" i="5"/>
  <c r="L106" i="5" s="1"/>
  <c r="D107" i="5" s="1"/>
  <c r="J106" i="5"/>
  <c r="E108" i="4"/>
  <c r="F108" i="4" s="1"/>
  <c r="G108" i="4"/>
  <c r="G106" i="8" l="1"/>
  <c r="E106" i="8"/>
  <c r="F106" i="8" s="1"/>
  <c r="H106" i="8" s="1"/>
  <c r="H105" i="7"/>
  <c r="H110" i="6"/>
  <c r="G107" i="5"/>
  <c r="E107" i="5"/>
  <c r="F107" i="5" s="1"/>
  <c r="H107" i="5" s="1"/>
  <c r="H108" i="4"/>
  <c r="J108" i="4"/>
  <c r="K108" i="4" s="1"/>
  <c r="L108" i="4" s="1"/>
  <c r="D109" i="4" s="1"/>
  <c r="J106" i="8" l="1"/>
  <c r="K106" i="8" s="1"/>
  <c r="L106" i="8" s="1"/>
  <c r="D107" i="8" s="1"/>
  <c r="J105" i="7"/>
  <c r="K105" i="7" s="1"/>
  <c r="L105" i="7" s="1"/>
  <c r="D106" i="7" s="1"/>
  <c r="J110" i="6"/>
  <c r="K110" i="6" s="1"/>
  <c r="L110" i="6" s="1"/>
  <c r="D111" i="6" s="1"/>
  <c r="K107" i="5"/>
  <c r="L107" i="5" s="1"/>
  <c r="D108" i="5" s="1"/>
  <c r="J107" i="5"/>
  <c r="G109" i="4"/>
  <c r="E109" i="4"/>
  <c r="F109" i="4" s="1"/>
  <c r="G107" i="8" l="1"/>
  <c r="E107" i="8"/>
  <c r="F107" i="8" s="1"/>
  <c r="G106" i="7"/>
  <c r="E106" i="7"/>
  <c r="F106" i="7" s="1"/>
  <c r="H106" i="7" s="1"/>
  <c r="F111" i="6"/>
  <c r="G111" i="6"/>
  <c r="F108" i="5"/>
  <c r="H108" i="5" s="1"/>
  <c r="E108" i="5"/>
  <c r="G108" i="5"/>
  <c r="H109" i="4"/>
  <c r="J109" i="4"/>
  <c r="K109" i="4" s="1"/>
  <c r="L109" i="4" s="1"/>
  <c r="D110" i="4" s="1"/>
  <c r="H107" i="8" l="1"/>
  <c r="J107" i="8" s="1"/>
  <c r="K107" i="8" s="1"/>
  <c r="L107" i="8" s="1"/>
  <c r="D108" i="8" s="1"/>
  <c r="J106" i="7"/>
  <c r="K106" i="7" s="1"/>
  <c r="L106" i="7" s="1"/>
  <c r="D107" i="7" s="1"/>
  <c r="H111" i="6"/>
  <c r="J108" i="5"/>
  <c r="K108" i="5" s="1"/>
  <c r="L108" i="5" s="1"/>
  <c r="D109" i="5" s="1"/>
  <c r="G110" i="4"/>
  <c r="E110" i="4"/>
  <c r="F110" i="4" s="1"/>
  <c r="H110" i="4" s="1"/>
  <c r="G108" i="8" l="1"/>
  <c r="E108" i="8"/>
  <c r="F108" i="8" s="1"/>
  <c r="H108" i="8" s="1"/>
  <c r="G107" i="7"/>
  <c r="E107" i="7"/>
  <c r="F107" i="7" s="1"/>
  <c r="H107" i="7" s="1"/>
  <c r="J111" i="6"/>
  <c r="K111" i="6" s="1"/>
  <c r="L111" i="6" s="1"/>
  <c r="D112" i="6" s="1"/>
  <c r="G109" i="5"/>
  <c r="E109" i="5"/>
  <c r="F109" i="5" s="1"/>
  <c r="H109" i="5" s="1"/>
  <c r="J110" i="4"/>
  <c r="K110" i="4" s="1"/>
  <c r="L110" i="4" s="1"/>
  <c r="D111" i="4" s="1"/>
  <c r="J108" i="8" l="1"/>
  <c r="K108" i="8" s="1"/>
  <c r="L108" i="8" s="1"/>
  <c r="D109" i="8" s="1"/>
  <c r="J107" i="7"/>
  <c r="K107" i="7" s="1"/>
  <c r="L107" i="7" s="1"/>
  <c r="D108" i="7" s="1"/>
  <c r="G112" i="6"/>
  <c r="E112" i="6"/>
  <c r="F112" i="6" s="1"/>
  <c r="H112" i="6" s="1"/>
  <c r="K109" i="5"/>
  <c r="L109" i="5" s="1"/>
  <c r="D110" i="5" s="1"/>
  <c r="J109" i="5"/>
  <c r="F111" i="4"/>
  <c r="G111" i="4"/>
  <c r="E109" i="8" l="1"/>
  <c r="F109" i="8" s="1"/>
  <c r="G109" i="8"/>
  <c r="G108" i="7"/>
  <c r="E108" i="7"/>
  <c r="F108" i="7" s="1"/>
  <c r="H108" i="7" s="1"/>
  <c r="J112" i="6"/>
  <c r="K112" i="6" s="1"/>
  <c r="L112" i="6" s="1"/>
  <c r="D113" i="6" s="1"/>
  <c r="G110" i="5"/>
  <c r="E110" i="5"/>
  <c r="F110" i="5" s="1"/>
  <c r="H110" i="5" s="1"/>
  <c r="H111" i="4"/>
  <c r="H109" i="8" l="1"/>
  <c r="J109" i="8" s="1"/>
  <c r="K109" i="8" s="1"/>
  <c r="L109" i="8" s="1"/>
  <c r="D110" i="8" s="1"/>
  <c r="J108" i="7"/>
  <c r="K108" i="7" s="1"/>
  <c r="L108" i="7" s="1"/>
  <c r="D109" i="7" s="1"/>
  <c r="G113" i="6"/>
  <c r="F113" i="6"/>
  <c r="J110" i="5"/>
  <c r="K110" i="5" s="1"/>
  <c r="L110" i="5" s="1"/>
  <c r="D111" i="5" s="1"/>
  <c r="J111" i="4"/>
  <c r="K111" i="4" s="1"/>
  <c r="L111" i="4" s="1"/>
  <c r="D112" i="4" s="1"/>
  <c r="G110" i="8" l="1"/>
  <c r="E110" i="8"/>
  <c r="F110" i="8" s="1"/>
  <c r="G109" i="7"/>
  <c r="E109" i="7"/>
  <c r="F109" i="7" s="1"/>
  <c r="H109" i="7" s="1"/>
  <c r="H113" i="6"/>
  <c r="F111" i="5"/>
  <c r="G111" i="5"/>
  <c r="G112" i="4"/>
  <c r="E112" i="4"/>
  <c r="F112" i="4" s="1"/>
  <c r="H110" i="8" l="1"/>
  <c r="J110" i="8" s="1"/>
  <c r="K110" i="8" s="1"/>
  <c r="L110" i="8" s="1"/>
  <c r="D111" i="8" s="1"/>
  <c r="J109" i="7"/>
  <c r="K109" i="7" s="1"/>
  <c r="L109" i="7" s="1"/>
  <c r="D110" i="7" s="1"/>
  <c r="J113" i="6"/>
  <c r="K113" i="6" s="1"/>
  <c r="L113" i="6" s="1"/>
  <c r="D114" i="6" s="1"/>
  <c r="H111" i="5"/>
  <c r="H112" i="4"/>
  <c r="J112" i="4" s="1"/>
  <c r="K112" i="4" s="1"/>
  <c r="L112" i="4" s="1"/>
  <c r="D113" i="4" s="1"/>
  <c r="F111" i="8" l="1"/>
  <c r="G111" i="8"/>
  <c r="G110" i="7"/>
  <c r="E110" i="7"/>
  <c r="F110" i="7" s="1"/>
  <c r="G114" i="6"/>
  <c r="E114" i="6"/>
  <c r="F114" i="6" s="1"/>
  <c r="H114" i="6" s="1"/>
  <c r="J111" i="5"/>
  <c r="K111" i="5" s="1"/>
  <c r="L111" i="5" s="1"/>
  <c r="D112" i="5" s="1"/>
  <c r="G113" i="4"/>
  <c r="F113" i="4"/>
  <c r="H113" i="4" s="1"/>
  <c r="H111" i="8" l="1"/>
  <c r="H110" i="7"/>
  <c r="J110" i="7" s="1"/>
  <c r="K110" i="7" s="1"/>
  <c r="L110" i="7" s="1"/>
  <c r="D111" i="7" s="1"/>
  <c r="K114" i="6"/>
  <c r="L114" i="6" s="1"/>
  <c r="D115" i="6" s="1"/>
  <c r="J114" i="6"/>
  <c r="G112" i="5"/>
  <c r="E112" i="5"/>
  <c r="F112" i="5" s="1"/>
  <c r="H112" i="5" s="1"/>
  <c r="J113" i="4"/>
  <c r="K113" i="4" s="1"/>
  <c r="L113" i="4" s="1"/>
  <c r="D114" i="4" s="1"/>
  <c r="J111" i="8" l="1"/>
  <c r="K111" i="8" s="1"/>
  <c r="L111" i="8" s="1"/>
  <c r="D112" i="8" s="1"/>
  <c r="F111" i="7"/>
  <c r="G111" i="7"/>
  <c r="G115" i="6"/>
  <c r="E115" i="6"/>
  <c r="F115" i="6" s="1"/>
  <c r="H115" i="6" s="1"/>
  <c r="K112" i="5"/>
  <c r="L112" i="5" s="1"/>
  <c r="D113" i="5" s="1"/>
  <c r="J112" i="5"/>
  <c r="G114" i="4"/>
  <c r="E114" i="4"/>
  <c r="F114" i="4" s="1"/>
  <c r="G112" i="8" l="1"/>
  <c r="E112" i="8"/>
  <c r="F112" i="8" s="1"/>
  <c r="H112" i="8" s="1"/>
  <c r="H111" i="7"/>
  <c r="J115" i="6"/>
  <c r="K115" i="6" s="1"/>
  <c r="L115" i="6" s="1"/>
  <c r="D116" i="6" s="1"/>
  <c r="G113" i="5"/>
  <c r="F113" i="5"/>
  <c r="H113" i="5" s="1"/>
  <c r="H114" i="4"/>
  <c r="J114" i="4"/>
  <c r="K114" i="4" s="1"/>
  <c r="L114" i="4" s="1"/>
  <c r="D115" i="4" s="1"/>
  <c r="J112" i="8" l="1"/>
  <c r="K112" i="8" s="1"/>
  <c r="L112" i="8" s="1"/>
  <c r="D113" i="8" s="1"/>
  <c r="J111" i="7"/>
  <c r="K111" i="7" s="1"/>
  <c r="L111" i="7" s="1"/>
  <c r="D112" i="7" s="1"/>
  <c r="G116" i="6"/>
  <c r="E116" i="6"/>
  <c r="F116" i="6" s="1"/>
  <c r="H116" i="6" s="1"/>
  <c r="J113" i="5"/>
  <c r="K113" i="5" s="1"/>
  <c r="L113" i="5" s="1"/>
  <c r="D114" i="5" s="1"/>
  <c r="G115" i="4"/>
  <c r="E115" i="4"/>
  <c r="F115" i="4" s="1"/>
  <c r="H115" i="4" s="1"/>
  <c r="F113" i="8" l="1"/>
  <c r="G113" i="8"/>
  <c r="G112" i="7"/>
  <c r="E112" i="7"/>
  <c r="F112" i="7" s="1"/>
  <c r="J116" i="6"/>
  <c r="K116" i="6" s="1"/>
  <c r="L116" i="6" s="1"/>
  <c r="D117" i="6" s="1"/>
  <c r="G114" i="5"/>
  <c r="E114" i="5"/>
  <c r="F114" i="5" s="1"/>
  <c r="H114" i="5" s="1"/>
  <c r="J115" i="4"/>
  <c r="K115" i="4" s="1"/>
  <c r="L115" i="4" s="1"/>
  <c r="D116" i="4" s="1"/>
  <c r="H113" i="8" l="1"/>
  <c r="H112" i="7"/>
  <c r="F117" i="6"/>
  <c r="G117" i="6"/>
  <c r="J114" i="5"/>
  <c r="K114" i="5" s="1"/>
  <c r="L114" i="5" s="1"/>
  <c r="D115" i="5" s="1"/>
  <c r="G116" i="4"/>
  <c r="E116" i="4"/>
  <c r="F116" i="4" s="1"/>
  <c r="J113" i="8" l="1"/>
  <c r="K113" i="8" s="1"/>
  <c r="L113" i="8" s="1"/>
  <c r="D114" i="8" s="1"/>
  <c r="J112" i="7"/>
  <c r="K112" i="7" s="1"/>
  <c r="L112" i="7" s="1"/>
  <c r="D113" i="7" s="1"/>
  <c r="H117" i="6"/>
  <c r="G115" i="5"/>
  <c r="E115" i="5"/>
  <c r="F115" i="5" s="1"/>
  <c r="H115" i="5" s="1"/>
  <c r="H116" i="4"/>
  <c r="J116" i="4"/>
  <c r="K116" i="4" s="1"/>
  <c r="L116" i="4" s="1"/>
  <c r="D117" i="4" s="1"/>
  <c r="G114" i="8" l="1"/>
  <c r="E114" i="8"/>
  <c r="F114" i="8" s="1"/>
  <c r="H114" i="8" s="1"/>
  <c r="G113" i="7"/>
  <c r="F113" i="7"/>
  <c r="J117" i="6"/>
  <c r="K117" i="6" s="1"/>
  <c r="L117" i="6" s="1"/>
  <c r="D118" i="6" s="1"/>
  <c r="J115" i="5"/>
  <c r="K115" i="5" s="1"/>
  <c r="L115" i="5" s="1"/>
  <c r="D116" i="5" s="1"/>
  <c r="G117" i="4"/>
  <c r="F117" i="4"/>
  <c r="J114" i="8" l="1"/>
  <c r="K114" i="8" s="1"/>
  <c r="L114" i="8" s="1"/>
  <c r="D115" i="8" s="1"/>
  <c r="H113" i="7"/>
  <c r="J113" i="7"/>
  <c r="K113" i="7" s="1"/>
  <c r="L113" i="7" s="1"/>
  <c r="D114" i="7" s="1"/>
  <c r="G118" i="6"/>
  <c r="E118" i="6"/>
  <c r="F118" i="6" s="1"/>
  <c r="H118" i="6" s="1"/>
  <c r="G116" i="5"/>
  <c r="E116" i="5"/>
  <c r="F116" i="5" s="1"/>
  <c r="H116" i="5" s="1"/>
  <c r="H117" i="4"/>
  <c r="J117" i="4" s="1"/>
  <c r="K117" i="4" s="1"/>
  <c r="L117" i="4" s="1"/>
  <c r="D118" i="4" s="1"/>
  <c r="E115" i="8" l="1"/>
  <c r="F115" i="8" s="1"/>
  <c r="G115" i="8"/>
  <c r="E114" i="7"/>
  <c r="F114" i="7" s="1"/>
  <c r="G114" i="7"/>
  <c r="J118" i="6"/>
  <c r="K118" i="6" s="1"/>
  <c r="L118" i="6" s="1"/>
  <c r="D119" i="6" s="1"/>
  <c r="J116" i="5"/>
  <c r="K116" i="5" s="1"/>
  <c r="L116" i="5" s="1"/>
  <c r="D117" i="5" s="1"/>
  <c r="G118" i="4"/>
  <c r="E118" i="4"/>
  <c r="F118" i="4" s="1"/>
  <c r="H118" i="4" s="1"/>
  <c r="H115" i="8" l="1"/>
  <c r="J115" i="8" s="1"/>
  <c r="K115" i="8" s="1"/>
  <c r="L115" i="8" s="1"/>
  <c r="D116" i="8" s="1"/>
  <c r="H114" i="7"/>
  <c r="J114" i="7"/>
  <c r="K114" i="7" s="1"/>
  <c r="L114" i="7" s="1"/>
  <c r="D115" i="7" s="1"/>
  <c r="G119" i="6"/>
  <c r="F119" i="6"/>
  <c r="F117" i="5"/>
  <c r="G117" i="5"/>
  <c r="J118" i="4"/>
  <c r="K118" i="4" s="1"/>
  <c r="L118" i="4" s="1"/>
  <c r="D119" i="4" s="1"/>
  <c r="G116" i="8" l="1"/>
  <c r="E116" i="8"/>
  <c r="F116" i="8" s="1"/>
  <c r="G115" i="7"/>
  <c r="E115" i="7"/>
  <c r="F115" i="7" s="1"/>
  <c r="H115" i="7" s="1"/>
  <c r="H119" i="6"/>
  <c r="H117" i="5"/>
  <c r="G119" i="4"/>
  <c r="F119" i="4"/>
  <c r="H116" i="8" l="1"/>
  <c r="J115" i="7"/>
  <c r="K115" i="7" s="1"/>
  <c r="L115" i="7" s="1"/>
  <c r="D116" i="7" s="1"/>
  <c r="K119" i="6"/>
  <c r="L119" i="6" s="1"/>
  <c r="D120" i="6" s="1"/>
  <c r="J119" i="6"/>
  <c r="J117" i="5"/>
  <c r="K117" i="5" s="1"/>
  <c r="L117" i="5" s="1"/>
  <c r="D118" i="5" s="1"/>
  <c r="H119" i="4"/>
  <c r="J119" i="4"/>
  <c r="K119" i="4" s="1"/>
  <c r="L119" i="4" s="1"/>
  <c r="D120" i="4" s="1"/>
  <c r="J116" i="8" l="1"/>
  <c r="K116" i="8" s="1"/>
  <c r="L116" i="8" s="1"/>
  <c r="D117" i="8" s="1"/>
  <c r="G116" i="7"/>
  <c r="E116" i="7"/>
  <c r="F116" i="7" s="1"/>
  <c r="H116" i="7" s="1"/>
  <c r="F120" i="6"/>
  <c r="H120" i="6" s="1"/>
  <c r="G120" i="6"/>
  <c r="G118" i="5"/>
  <c r="E118" i="5"/>
  <c r="F118" i="5" s="1"/>
  <c r="H118" i="5" s="1"/>
  <c r="G120" i="4"/>
  <c r="F120" i="4"/>
  <c r="H120" i="4" s="1"/>
  <c r="F117" i="8" l="1"/>
  <c r="G117" i="8"/>
  <c r="J116" i="7"/>
  <c r="K116" i="7" s="1"/>
  <c r="L116" i="7" s="1"/>
  <c r="D117" i="7" s="1"/>
  <c r="J120" i="6"/>
  <c r="K120" i="6" s="1"/>
  <c r="L120" i="6" s="1"/>
  <c r="D121" i="6" s="1"/>
  <c r="J118" i="5"/>
  <c r="K118" i="5" s="1"/>
  <c r="L118" i="5" s="1"/>
  <c r="D119" i="5" s="1"/>
  <c r="J120" i="4"/>
  <c r="K120" i="4" s="1"/>
  <c r="L120" i="4" s="1"/>
  <c r="D121" i="4" s="1"/>
  <c r="H117" i="8" l="1"/>
  <c r="F117" i="7"/>
  <c r="G117" i="7"/>
  <c r="G121" i="6"/>
  <c r="E121" i="6"/>
  <c r="F121" i="6" s="1"/>
  <c r="H121" i="6" s="1"/>
  <c r="G119" i="5"/>
  <c r="F119" i="5"/>
  <c r="H119" i="5" s="1"/>
  <c r="G121" i="4"/>
  <c r="E121" i="4"/>
  <c r="F121" i="4" s="1"/>
  <c r="J117" i="8" l="1"/>
  <c r="K117" i="8" s="1"/>
  <c r="L117" i="8" s="1"/>
  <c r="D118" i="8" s="1"/>
  <c r="H117" i="7"/>
  <c r="J121" i="6"/>
  <c r="K121" i="6" s="1"/>
  <c r="L121" i="6" s="1"/>
  <c r="D122" i="6" s="1"/>
  <c r="K119" i="5"/>
  <c r="L119" i="5" s="1"/>
  <c r="D120" i="5" s="1"/>
  <c r="J119" i="5"/>
  <c r="H121" i="4"/>
  <c r="J121" i="4" s="1"/>
  <c r="K121" i="4" s="1"/>
  <c r="L121" i="4" s="1"/>
  <c r="D122" i="4" s="1"/>
  <c r="G118" i="8" l="1"/>
  <c r="E118" i="8"/>
  <c r="F118" i="8" s="1"/>
  <c r="H118" i="8" s="1"/>
  <c r="J117" i="7"/>
  <c r="K117" i="7" s="1"/>
  <c r="L117" i="7" s="1"/>
  <c r="D118" i="7" s="1"/>
  <c r="G122" i="6"/>
  <c r="E122" i="6"/>
  <c r="F122" i="6" s="1"/>
  <c r="H122" i="6" s="1"/>
  <c r="F120" i="5"/>
  <c r="G120" i="5"/>
  <c r="G122" i="4"/>
  <c r="E122" i="4"/>
  <c r="F122" i="4" s="1"/>
  <c r="J118" i="8" l="1"/>
  <c r="K118" i="8" s="1"/>
  <c r="L118" i="8" s="1"/>
  <c r="D119" i="8" s="1"/>
  <c r="E118" i="7"/>
  <c r="F118" i="7" s="1"/>
  <c r="G118" i="7"/>
  <c r="J122" i="6"/>
  <c r="K122" i="6" s="1"/>
  <c r="L122" i="6" s="1"/>
  <c r="D123" i="6" s="1"/>
  <c r="H120" i="5"/>
  <c r="H122" i="4"/>
  <c r="J122" i="4"/>
  <c r="K122" i="4" s="1"/>
  <c r="L122" i="4" s="1"/>
  <c r="D123" i="4" s="1"/>
  <c r="F119" i="8" l="1"/>
  <c r="G119" i="8"/>
  <c r="H118" i="7"/>
  <c r="J118" i="7"/>
  <c r="K118" i="7" s="1"/>
  <c r="L118" i="7" s="1"/>
  <c r="D119" i="7" s="1"/>
  <c r="G123" i="6"/>
  <c r="E123" i="6"/>
  <c r="F123" i="6" s="1"/>
  <c r="H123" i="6" s="1"/>
  <c r="K120" i="5"/>
  <c r="L120" i="5" s="1"/>
  <c r="D121" i="5" s="1"/>
  <c r="J120" i="5"/>
  <c r="G123" i="4"/>
  <c r="E123" i="4"/>
  <c r="F123" i="4" s="1"/>
  <c r="H119" i="8" l="1"/>
  <c r="G119" i="7"/>
  <c r="F119" i="7"/>
  <c r="H119" i="7" s="1"/>
  <c r="J123" i="6"/>
  <c r="K123" i="6" s="1"/>
  <c r="L123" i="6" s="1"/>
  <c r="D124" i="6" s="1"/>
  <c r="F121" i="5"/>
  <c r="H121" i="5" s="1"/>
  <c r="G121" i="5"/>
  <c r="E121" i="5"/>
  <c r="H123" i="4"/>
  <c r="J123" i="4" s="1"/>
  <c r="K123" i="4" s="1"/>
  <c r="L123" i="4" s="1"/>
  <c r="D124" i="4" s="1"/>
  <c r="J119" i="8" l="1"/>
  <c r="K119" i="8" s="1"/>
  <c r="L119" i="8" s="1"/>
  <c r="D120" i="8" s="1"/>
  <c r="J119" i="7"/>
  <c r="K119" i="7" s="1"/>
  <c r="L119" i="7" s="1"/>
  <c r="D120" i="7" s="1"/>
  <c r="G124" i="6"/>
  <c r="E124" i="6"/>
  <c r="F124" i="6" s="1"/>
  <c r="H124" i="6" s="1"/>
  <c r="J121" i="5"/>
  <c r="K121" i="5" s="1"/>
  <c r="L121" i="5" s="1"/>
  <c r="D122" i="5" s="1"/>
  <c r="G124" i="4"/>
  <c r="E124" i="4"/>
  <c r="F124" i="4" s="1"/>
  <c r="H124" i="4" s="1"/>
  <c r="F120" i="8" l="1"/>
  <c r="G120" i="8"/>
  <c r="F120" i="7"/>
  <c r="G120" i="7"/>
  <c r="J124" i="6"/>
  <c r="K124" i="6" s="1"/>
  <c r="L124" i="6" s="1"/>
  <c r="D125" i="6" s="1"/>
  <c r="E122" i="5"/>
  <c r="F122" i="5" s="1"/>
  <c r="H122" i="5" s="1"/>
  <c r="G122" i="5"/>
  <c r="J124" i="4"/>
  <c r="K124" i="4" s="1"/>
  <c r="L124" i="4" s="1"/>
  <c r="D125" i="4" s="1"/>
  <c r="H120" i="8" l="1"/>
  <c r="H120" i="7"/>
  <c r="G125" i="6"/>
  <c r="E125" i="6"/>
  <c r="F125" i="6" s="1"/>
  <c r="H125" i="6" s="1"/>
  <c r="J122" i="5"/>
  <c r="K122" i="5" s="1"/>
  <c r="L122" i="5" s="1"/>
  <c r="D123" i="5" s="1"/>
  <c r="G125" i="4"/>
  <c r="E125" i="4"/>
  <c r="F125" i="4" s="1"/>
  <c r="H125" i="4" s="1"/>
  <c r="J120" i="8" l="1"/>
  <c r="K120" i="8" s="1"/>
  <c r="L120" i="8" s="1"/>
  <c r="D121" i="8" s="1"/>
  <c r="J120" i="7"/>
  <c r="K120" i="7" s="1"/>
  <c r="L120" i="7" s="1"/>
  <c r="D121" i="7" s="1"/>
  <c r="J125" i="6"/>
  <c r="K125" i="6" s="1"/>
  <c r="L125" i="6" s="1"/>
  <c r="D126" i="6" s="1"/>
  <c r="G123" i="5"/>
  <c r="E123" i="5"/>
  <c r="F123" i="5" s="1"/>
  <c r="H123" i="5" s="1"/>
  <c r="J125" i="4"/>
  <c r="K125" i="4" s="1"/>
  <c r="L125" i="4" s="1"/>
  <c r="D126" i="4" s="1"/>
  <c r="G121" i="8" l="1"/>
  <c r="E121" i="8"/>
  <c r="F121" i="8" s="1"/>
  <c r="H121" i="8" s="1"/>
  <c r="G121" i="7"/>
  <c r="E121" i="7"/>
  <c r="F121" i="7" s="1"/>
  <c r="H121" i="7" s="1"/>
  <c r="G126" i="6"/>
  <c r="E126" i="6"/>
  <c r="F126" i="6" s="1"/>
  <c r="H126" i="6" s="1"/>
  <c r="J123" i="5"/>
  <c r="K123" i="5" s="1"/>
  <c r="L123" i="5" s="1"/>
  <c r="D124" i="5" s="1"/>
  <c r="E126" i="4"/>
  <c r="F126" i="4" s="1"/>
  <c r="G126" i="4"/>
  <c r="J121" i="8" l="1"/>
  <c r="K121" i="8" s="1"/>
  <c r="L121" i="8" s="1"/>
  <c r="D122" i="8" s="1"/>
  <c r="J121" i="7"/>
  <c r="K121" i="7" s="1"/>
  <c r="L121" i="7" s="1"/>
  <c r="D122" i="7" s="1"/>
  <c r="J126" i="6"/>
  <c r="K126" i="6" s="1"/>
  <c r="L126" i="6" s="1"/>
  <c r="D127" i="6" s="1"/>
  <c r="G124" i="5"/>
  <c r="E124" i="5"/>
  <c r="F124" i="5" s="1"/>
  <c r="H124" i="5" s="1"/>
  <c r="H126" i="4"/>
  <c r="J126" i="4" s="1"/>
  <c r="K126" i="4" s="1"/>
  <c r="L126" i="4" s="1"/>
  <c r="D127" i="4" s="1"/>
  <c r="G122" i="8" l="1"/>
  <c r="E122" i="8"/>
  <c r="F122" i="8" s="1"/>
  <c r="H122" i="8" s="1"/>
  <c r="G122" i="7"/>
  <c r="E122" i="7"/>
  <c r="F122" i="7" s="1"/>
  <c r="H122" i="7" s="1"/>
  <c r="G127" i="6"/>
  <c r="E127" i="6"/>
  <c r="F127" i="6" s="1"/>
  <c r="H127" i="6" s="1"/>
  <c r="J124" i="5"/>
  <c r="K124" i="5" s="1"/>
  <c r="L124" i="5" s="1"/>
  <c r="D125" i="5" s="1"/>
  <c r="G127" i="4"/>
  <c r="E127" i="4"/>
  <c r="F127" i="4" s="1"/>
  <c r="H127" i="4" s="1"/>
  <c r="J122" i="8" l="1"/>
  <c r="K122" i="8" s="1"/>
  <c r="L122" i="8" s="1"/>
  <c r="D123" i="8" s="1"/>
  <c r="J122" i="7"/>
  <c r="K122" i="7" s="1"/>
  <c r="L122" i="7" s="1"/>
  <c r="D123" i="7" s="1"/>
  <c r="J127" i="6"/>
  <c r="K127" i="6" s="1"/>
  <c r="L127" i="6" s="1"/>
  <c r="D128" i="6" s="1"/>
  <c r="G125" i="5"/>
  <c r="E125" i="5"/>
  <c r="F125" i="5" s="1"/>
  <c r="H125" i="5" s="1"/>
  <c r="J127" i="4"/>
  <c r="K127" i="4" s="1"/>
  <c r="L127" i="4" s="1"/>
  <c r="D128" i="4" s="1"/>
  <c r="G123" i="8" l="1"/>
  <c r="E123" i="8"/>
  <c r="F123" i="8" s="1"/>
  <c r="H123" i="8" s="1"/>
  <c r="E123" i="7"/>
  <c r="F123" i="7" s="1"/>
  <c r="G123" i="7"/>
  <c r="G128" i="6"/>
  <c r="E128" i="6"/>
  <c r="F128" i="6" s="1"/>
  <c r="H128" i="6" s="1"/>
  <c r="J125" i="5"/>
  <c r="K125" i="5" s="1"/>
  <c r="L125" i="5" s="1"/>
  <c r="D126" i="5" s="1"/>
  <c r="G128" i="4"/>
  <c r="E128" i="4"/>
  <c r="F128" i="4" s="1"/>
  <c r="J123" i="8" l="1"/>
  <c r="K123" i="8" s="1"/>
  <c r="L123" i="8" s="1"/>
  <c r="D124" i="8" s="1"/>
  <c r="H123" i="7"/>
  <c r="J123" i="7"/>
  <c r="K123" i="7"/>
  <c r="L123" i="7" s="1"/>
  <c r="D124" i="7" s="1"/>
  <c r="K128" i="6"/>
  <c r="L128" i="6" s="1"/>
  <c r="D129" i="6" s="1"/>
  <c r="J128" i="6"/>
  <c r="G126" i="5"/>
  <c r="E126" i="5"/>
  <c r="F126" i="5" s="1"/>
  <c r="H126" i="5" s="1"/>
  <c r="H128" i="4"/>
  <c r="J128" i="4" s="1"/>
  <c r="K128" i="4" s="1"/>
  <c r="L128" i="4" s="1"/>
  <c r="D129" i="4" s="1"/>
  <c r="G124" i="8" l="1"/>
  <c r="E124" i="8"/>
  <c r="F124" i="8" s="1"/>
  <c r="H124" i="8" s="1"/>
  <c r="G124" i="7"/>
  <c r="E124" i="7"/>
  <c r="F124" i="7" s="1"/>
  <c r="H124" i="7" s="1"/>
  <c r="F129" i="6"/>
  <c r="E129" i="6"/>
  <c r="G129" i="6"/>
  <c r="J126" i="5"/>
  <c r="K126" i="5" s="1"/>
  <c r="L126" i="5" s="1"/>
  <c r="D127" i="5" s="1"/>
  <c r="G129" i="4"/>
  <c r="E129" i="4"/>
  <c r="F129" i="4" s="1"/>
  <c r="H129" i="4" s="1"/>
  <c r="J124" i="8" l="1"/>
  <c r="K124" i="8" s="1"/>
  <c r="L124" i="8" s="1"/>
  <c r="D125" i="8" s="1"/>
  <c r="J124" i="7"/>
  <c r="K124" i="7" s="1"/>
  <c r="L124" i="7" s="1"/>
  <c r="D125" i="7" s="1"/>
  <c r="H129" i="6"/>
  <c r="G127" i="5"/>
  <c r="E127" i="5"/>
  <c r="F127" i="5" s="1"/>
  <c r="H127" i="5" s="1"/>
  <c r="J129" i="4"/>
  <c r="K129" i="4" s="1"/>
  <c r="L129" i="4" s="1"/>
  <c r="D130" i="4" s="1"/>
  <c r="G125" i="8" l="1"/>
  <c r="E125" i="8"/>
  <c r="F125" i="8" s="1"/>
  <c r="G125" i="7"/>
  <c r="E125" i="7"/>
  <c r="F125" i="7" s="1"/>
  <c r="H125" i="7" s="1"/>
  <c r="J129" i="6"/>
  <c r="K129" i="6" s="1"/>
  <c r="L129" i="6" s="1"/>
  <c r="D130" i="6" s="1"/>
  <c r="J127" i="5"/>
  <c r="K127" i="5" s="1"/>
  <c r="L127" i="5" s="1"/>
  <c r="D128" i="5" s="1"/>
  <c r="G130" i="4"/>
  <c r="E130" i="4"/>
  <c r="F130" i="4" s="1"/>
  <c r="H125" i="8" l="1"/>
  <c r="J125" i="7"/>
  <c r="K125" i="7" s="1"/>
  <c r="L125" i="7" s="1"/>
  <c r="D126" i="7" s="1"/>
  <c r="G130" i="6"/>
  <c r="E130" i="6"/>
  <c r="F130" i="6" s="1"/>
  <c r="H130" i="6" s="1"/>
  <c r="G128" i="5"/>
  <c r="E128" i="5"/>
  <c r="F128" i="5" s="1"/>
  <c r="H128" i="5" s="1"/>
  <c r="H130" i="4"/>
  <c r="J130" i="4"/>
  <c r="K130" i="4" s="1"/>
  <c r="L130" i="4" s="1"/>
  <c r="D131" i="4" s="1"/>
  <c r="J125" i="8" l="1"/>
  <c r="K125" i="8" s="1"/>
  <c r="L125" i="8" s="1"/>
  <c r="D126" i="8" s="1"/>
  <c r="G126" i="7"/>
  <c r="E126" i="7"/>
  <c r="F126" i="7" s="1"/>
  <c r="H126" i="7" s="1"/>
  <c r="J130" i="6"/>
  <c r="K130" i="6" s="1"/>
  <c r="L130" i="6" s="1"/>
  <c r="D131" i="6" s="1"/>
  <c r="K128" i="5"/>
  <c r="L128" i="5" s="1"/>
  <c r="D129" i="5" s="1"/>
  <c r="J128" i="5"/>
  <c r="G131" i="4"/>
  <c r="E131" i="4"/>
  <c r="F131" i="4" s="1"/>
  <c r="G126" i="8" l="1"/>
  <c r="E126" i="8"/>
  <c r="F126" i="8" s="1"/>
  <c r="H126" i="8" s="1"/>
  <c r="J126" i="7"/>
  <c r="K126" i="7" s="1"/>
  <c r="L126" i="7" s="1"/>
  <c r="D127" i="7" s="1"/>
  <c r="G131" i="6"/>
  <c r="E131" i="6"/>
  <c r="F131" i="6" s="1"/>
  <c r="H131" i="6" s="1"/>
  <c r="E129" i="5"/>
  <c r="F129" i="5" s="1"/>
  <c r="H129" i="5" s="1"/>
  <c r="G129" i="5"/>
  <c r="H131" i="4"/>
  <c r="J131" i="4"/>
  <c r="K131" i="4" s="1"/>
  <c r="L131" i="4" s="1"/>
  <c r="D132" i="4" s="1"/>
  <c r="J126" i="8" l="1"/>
  <c r="K126" i="8" s="1"/>
  <c r="L126" i="8" s="1"/>
  <c r="D127" i="8" s="1"/>
  <c r="G127" i="7"/>
  <c r="E127" i="7"/>
  <c r="F127" i="7" s="1"/>
  <c r="H127" i="7" s="1"/>
  <c r="K131" i="6"/>
  <c r="L131" i="6" s="1"/>
  <c r="D132" i="6" s="1"/>
  <c r="J131" i="6"/>
  <c r="K129" i="5"/>
  <c r="L129" i="5" s="1"/>
  <c r="D130" i="5" s="1"/>
  <c r="J129" i="5"/>
  <c r="G132" i="4"/>
  <c r="E132" i="4"/>
  <c r="F132" i="4" s="1"/>
  <c r="G127" i="8" l="1"/>
  <c r="E127" i="8"/>
  <c r="F127" i="8" s="1"/>
  <c r="H127" i="8" s="1"/>
  <c r="J127" i="7"/>
  <c r="K127" i="7" s="1"/>
  <c r="L127" i="7" s="1"/>
  <c r="D128" i="7" s="1"/>
  <c r="G132" i="6"/>
  <c r="E132" i="6"/>
  <c r="F132" i="6" s="1"/>
  <c r="H132" i="6" s="1"/>
  <c r="G130" i="5"/>
  <c r="E130" i="5"/>
  <c r="F130" i="5" s="1"/>
  <c r="H130" i="5" s="1"/>
  <c r="H132" i="4"/>
  <c r="J132" i="4" s="1"/>
  <c r="K132" i="4" s="1"/>
  <c r="L132" i="4" s="1"/>
  <c r="D133" i="4" s="1"/>
  <c r="J127" i="8" l="1"/>
  <c r="K127" i="8" s="1"/>
  <c r="L127" i="8" s="1"/>
  <c r="D128" i="8" s="1"/>
  <c r="G128" i="7"/>
  <c r="E128" i="7"/>
  <c r="F128" i="7" s="1"/>
  <c r="H128" i="7" s="1"/>
  <c r="J132" i="6"/>
  <c r="K132" i="6" s="1"/>
  <c r="L132" i="6" s="1"/>
  <c r="D133" i="6" s="1"/>
  <c r="J130" i="5"/>
  <c r="K130" i="5" s="1"/>
  <c r="L130" i="5" s="1"/>
  <c r="D131" i="5" s="1"/>
  <c r="G133" i="4"/>
  <c r="E133" i="4"/>
  <c r="F133" i="4" s="1"/>
  <c r="G128" i="8" l="1"/>
  <c r="E128" i="8"/>
  <c r="F128" i="8" s="1"/>
  <c r="H128" i="8" s="1"/>
  <c r="J128" i="7"/>
  <c r="K128" i="7" s="1"/>
  <c r="L128" i="7" s="1"/>
  <c r="D129" i="7" s="1"/>
  <c r="G133" i="6"/>
  <c r="E133" i="6"/>
  <c r="F133" i="6" s="1"/>
  <c r="H133" i="6" s="1"/>
  <c r="G131" i="5"/>
  <c r="E131" i="5"/>
  <c r="F131" i="5"/>
  <c r="H131" i="5" s="1"/>
  <c r="H133" i="4"/>
  <c r="J133" i="4" s="1"/>
  <c r="K133" i="4" s="1"/>
  <c r="L133" i="4" s="1"/>
  <c r="D134" i="4" s="1"/>
  <c r="J128" i="8" l="1"/>
  <c r="K128" i="8" s="1"/>
  <c r="L128" i="8" s="1"/>
  <c r="D129" i="8" s="1"/>
  <c r="E129" i="7"/>
  <c r="F129" i="7" s="1"/>
  <c r="G129" i="7"/>
  <c r="K133" i="6"/>
  <c r="L133" i="6" s="1"/>
  <c r="D134" i="6" s="1"/>
  <c r="J133" i="6"/>
  <c r="J131" i="5"/>
  <c r="K131" i="5" s="1"/>
  <c r="L131" i="5" s="1"/>
  <c r="D132" i="5" s="1"/>
  <c r="G134" i="4"/>
  <c r="E134" i="4"/>
  <c r="F134" i="4" s="1"/>
  <c r="G129" i="8" l="1"/>
  <c r="E129" i="8"/>
  <c r="F129" i="8" s="1"/>
  <c r="H129" i="8" s="1"/>
  <c r="H129" i="7"/>
  <c r="J129" i="7"/>
  <c r="K129" i="7" s="1"/>
  <c r="L129" i="7" s="1"/>
  <c r="D130" i="7" s="1"/>
  <c r="G134" i="6"/>
  <c r="E134" i="6"/>
  <c r="F134" i="6" s="1"/>
  <c r="H134" i="6" s="1"/>
  <c r="G132" i="5"/>
  <c r="E132" i="5"/>
  <c r="F132" i="5" s="1"/>
  <c r="H132" i="5" s="1"/>
  <c r="H134" i="4"/>
  <c r="J134" i="4" s="1"/>
  <c r="K134" i="4" s="1"/>
  <c r="L134" i="4" s="1"/>
  <c r="D135" i="4" s="1"/>
  <c r="J129" i="8" l="1"/>
  <c r="K129" i="8" s="1"/>
  <c r="L129" i="8" s="1"/>
  <c r="D130" i="8" s="1"/>
  <c r="G130" i="7"/>
  <c r="E130" i="7"/>
  <c r="F130" i="7" s="1"/>
  <c r="J134" i="6"/>
  <c r="K134" i="6" s="1"/>
  <c r="L134" i="6" s="1"/>
  <c r="D135" i="6" s="1"/>
  <c r="J132" i="5"/>
  <c r="K132" i="5" s="1"/>
  <c r="L132" i="5" s="1"/>
  <c r="D133" i="5" s="1"/>
  <c r="F135" i="4"/>
  <c r="G135" i="4"/>
  <c r="G130" i="8" l="1"/>
  <c r="E130" i="8"/>
  <c r="F130" i="8" s="1"/>
  <c r="H130" i="7"/>
  <c r="F135" i="6"/>
  <c r="G135" i="6"/>
  <c r="G133" i="5"/>
  <c r="E133" i="5"/>
  <c r="F133" i="5" s="1"/>
  <c r="H133" i="5" s="1"/>
  <c r="H135" i="4"/>
  <c r="H130" i="8" l="1"/>
  <c r="J130" i="7"/>
  <c r="K130" i="7" s="1"/>
  <c r="L130" i="7" s="1"/>
  <c r="D131" i="7" s="1"/>
  <c r="H135" i="6"/>
  <c r="J133" i="5"/>
  <c r="K133" i="5" s="1"/>
  <c r="L133" i="5" s="1"/>
  <c r="D134" i="5" s="1"/>
  <c r="J135" i="4"/>
  <c r="K135" i="4" s="1"/>
  <c r="L135" i="4" s="1"/>
  <c r="D136" i="4" s="1"/>
  <c r="J130" i="8" l="1"/>
  <c r="K130" i="8" s="1"/>
  <c r="L130" i="8" s="1"/>
  <c r="D131" i="8" s="1"/>
  <c r="G131" i="7"/>
  <c r="E131" i="7"/>
  <c r="F131" i="7" s="1"/>
  <c r="K135" i="6"/>
  <c r="L135" i="6" s="1"/>
  <c r="D136" i="6" s="1"/>
  <c r="J135" i="6"/>
  <c r="G134" i="5"/>
  <c r="E134" i="5"/>
  <c r="F134" i="5" s="1"/>
  <c r="H134" i="5" s="1"/>
  <c r="F136" i="4"/>
  <c r="G136" i="4"/>
  <c r="G131" i="8" l="1"/>
  <c r="E131" i="8"/>
  <c r="F131" i="8" s="1"/>
  <c r="H131" i="8" s="1"/>
  <c r="H131" i="7"/>
  <c r="F136" i="6"/>
  <c r="H136" i="6" s="1"/>
  <c r="G136" i="6"/>
  <c r="J134" i="5"/>
  <c r="K134" i="5"/>
  <c r="L134" i="5" s="1"/>
  <c r="D135" i="5" s="1"/>
  <c r="H136" i="4"/>
  <c r="J131" i="8" l="1"/>
  <c r="K131" i="8" s="1"/>
  <c r="L131" i="8" s="1"/>
  <c r="D132" i="8" s="1"/>
  <c r="J131" i="7"/>
  <c r="K131" i="7" s="1"/>
  <c r="L131" i="7" s="1"/>
  <c r="D132" i="7" s="1"/>
  <c r="J136" i="6"/>
  <c r="K136" i="6" s="1"/>
  <c r="L136" i="6" s="1"/>
  <c r="D137" i="6" s="1"/>
  <c r="F135" i="5"/>
  <c r="G135" i="5"/>
  <c r="J136" i="4"/>
  <c r="K136" i="4" s="1"/>
  <c r="L136" i="4" s="1"/>
  <c r="D137" i="4" s="1"/>
  <c r="E132" i="8" l="1"/>
  <c r="F132" i="8" s="1"/>
  <c r="G132" i="8"/>
  <c r="E132" i="7"/>
  <c r="F132" i="7" s="1"/>
  <c r="G132" i="7"/>
  <c r="G137" i="6"/>
  <c r="E137" i="6"/>
  <c r="F137" i="6" s="1"/>
  <c r="H137" i="6" s="1"/>
  <c r="H135" i="5"/>
  <c r="G137" i="4"/>
  <c r="E137" i="4"/>
  <c r="F137" i="4" s="1"/>
  <c r="H137" i="4" s="1"/>
  <c r="H132" i="8" l="1"/>
  <c r="H132" i="7"/>
  <c r="J132" i="7"/>
  <c r="K132" i="7" s="1"/>
  <c r="L132" i="7" s="1"/>
  <c r="D133" i="7" s="1"/>
  <c r="J137" i="6"/>
  <c r="K137" i="6" s="1"/>
  <c r="L137" i="6" s="1"/>
  <c r="D138" i="6" s="1"/>
  <c r="J135" i="5"/>
  <c r="K135" i="5" s="1"/>
  <c r="L135" i="5" s="1"/>
  <c r="D136" i="5" s="1"/>
  <c r="J137" i="4"/>
  <c r="K137" i="4" s="1"/>
  <c r="L137" i="4" s="1"/>
  <c r="D138" i="4" s="1"/>
  <c r="J132" i="8" l="1"/>
  <c r="K132" i="8" s="1"/>
  <c r="L132" i="8" s="1"/>
  <c r="D133" i="8" s="1"/>
  <c r="G133" i="7"/>
  <c r="E133" i="7"/>
  <c r="F133" i="7" s="1"/>
  <c r="H133" i="7" s="1"/>
  <c r="F138" i="6"/>
  <c r="H138" i="6" s="1"/>
  <c r="G138" i="6"/>
  <c r="F136" i="5"/>
  <c r="G136" i="5"/>
  <c r="G138" i="4"/>
  <c r="F138" i="4"/>
  <c r="H138" i="4" s="1"/>
  <c r="G133" i="8" l="1"/>
  <c r="E133" i="8"/>
  <c r="F133" i="8" s="1"/>
  <c r="H133" i="8" s="1"/>
  <c r="J133" i="7"/>
  <c r="K133" i="7" s="1"/>
  <c r="L133" i="7" s="1"/>
  <c r="D134" i="7" s="1"/>
  <c r="J138" i="6"/>
  <c r="K138" i="6" s="1"/>
  <c r="L138" i="6" s="1"/>
  <c r="D139" i="6" s="1"/>
  <c r="H136" i="5"/>
  <c r="J138" i="4"/>
  <c r="K138" i="4" s="1"/>
  <c r="L138" i="4" s="1"/>
  <c r="D139" i="4" s="1"/>
  <c r="J133" i="8" l="1"/>
  <c r="K133" i="8" s="1"/>
  <c r="L133" i="8" s="1"/>
  <c r="D134" i="8" s="1"/>
  <c r="G134" i="7"/>
  <c r="E134" i="7"/>
  <c r="F134" i="7" s="1"/>
  <c r="H134" i="7" s="1"/>
  <c r="F139" i="6"/>
  <c r="H139" i="6" s="1"/>
  <c r="G139" i="6"/>
  <c r="E139" i="6"/>
  <c r="K136" i="5"/>
  <c r="L136" i="5" s="1"/>
  <c r="D137" i="5" s="1"/>
  <c r="J136" i="5"/>
  <c r="G139" i="4"/>
  <c r="E139" i="4"/>
  <c r="F139" i="4" s="1"/>
  <c r="G134" i="8" l="1"/>
  <c r="E134" i="8"/>
  <c r="F134" i="8" s="1"/>
  <c r="H134" i="8" s="1"/>
  <c r="J134" i="7"/>
  <c r="K134" i="7" s="1"/>
  <c r="L134" i="7" s="1"/>
  <c r="D135" i="7" s="1"/>
  <c r="K139" i="6"/>
  <c r="L139" i="6" s="1"/>
  <c r="D140" i="6" s="1"/>
  <c r="J139" i="6"/>
  <c r="G137" i="5"/>
  <c r="E137" i="5"/>
  <c r="F137" i="5" s="1"/>
  <c r="H137" i="5" s="1"/>
  <c r="H139" i="4"/>
  <c r="J139" i="4" s="1"/>
  <c r="K139" i="4" s="1"/>
  <c r="L139" i="4" s="1"/>
  <c r="D140" i="4" s="1"/>
  <c r="J134" i="8" l="1"/>
  <c r="K134" i="8" s="1"/>
  <c r="L134" i="8" s="1"/>
  <c r="D135" i="8" s="1"/>
  <c r="F135" i="7"/>
  <c r="G135" i="7"/>
  <c r="F140" i="6"/>
  <c r="G140" i="6"/>
  <c r="J137" i="5"/>
  <c r="K137" i="5" s="1"/>
  <c r="L137" i="5" s="1"/>
  <c r="D138" i="5" s="1"/>
  <c r="F140" i="4"/>
  <c r="G140" i="4"/>
  <c r="F135" i="8" l="1"/>
  <c r="G135" i="8"/>
  <c r="H135" i="7"/>
  <c r="H140" i="6"/>
  <c r="G138" i="5"/>
  <c r="F138" i="5"/>
  <c r="H140" i="4"/>
  <c r="H135" i="8" l="1"/>
  <c r="J135" i="7"/>
  <c r="K135" i="7" s="1"/>
  <c r="L135" i="7" s="1"/>
  <c r="D136" i="7" s="1"/>
  <c r="J140" i="6"/>
  <c r="K140" i="6" s="1"/>
  <c r="L140" i="6" s="1"/>
  <c r="D141" i="6" s="1"/>
  <c r="H138" i="5"/>
  <c r="J140" i="4"/>
  <c r="K140" i="4" s="1"/>
  <c r="L140" i="4" s="1"/>
  <c r="D141" i="4" s="1"/>
  <c r="J135" i="8" l="1"/>
  <c r="K135" i="8" s="1"/>
  <c r="L135" i="8" s="1"/>
  <c r="D136" i="8" s="1"/>
  <c r="F136" i="7"/>
  <c r="G136" i="7"/>
  <c r="F141" i="6"/>
  <c r="H141" i="6" s="1"/>
  <c r="G141" i="6"/>
  <c r="E141" i="6"/>
  <c r="J138" i="5"/>
  <c r="K138" i="5" s="1"/>
  <c r="L138" i="5" s="1"/>
  <c r="D139" i="5" s="1"/>
  <c r="G141" i="4"/>
  <c r="E141" i="4"/>
  <c r="F141" i="4" s="1"/>
  <c r="H141" i="4" s="1"/>
  <c r="G136" i="8" l="1"/>
  <c r="F136" i="8"/>
  <c r="H136" i="8" s="1"/>
  <c r="J136" i="8"/>
  <c r="K136" i="8" s="1"/>
  <c r="L136" i="8" s="1"/>
  <c r="D137" i="8" s="1"/>
  <c r="H136" i="7"/>
  <c r="K141" i="6"/>
  <c r="L141" i="6" s="1"/>
  <c r="D142" i="6" s="1"/>
  <c r="J141" i="6"/>
  <c r="G139" i="5"/>
  <c r="F139" i="5"/>
  <c r="H139" i="5" s="1"/>
  <c r="E139" i="5"/>
  <c r="J141" i="4"/>
  <c r="K141" i="4" s="1"/>
  <c r="L141" i="4" s="1"/>
  <c r="D142" i="4" s="1"/>
  <c r="G137" i="8" l="1"/>
  <c r="E137" i="8"/>
  <c r="F137" i="8" s="1"/>
  <c r="H137" i="8" s="1"/>
  <c r="J136" i="7"/>
  <c r="K136" i="7" s="1"/>
  <c r="L136" i="7" s="1"/>
  <c r="D137" i="7" s="1"/>
  <c r="E142" i="6"/>
  <c r="F142" i="6" s="1"/>
  <c r="H142" i="6" s="1"/>
  <c r="G142" i="6"/>
  <c r="K139" i="5"/>
  <c r="L139" i="5" s="1"/>
  <c r="D140" i="5" s="1"/>
  <c r="J139" i="5"/>
  <c r="G142" i="4"/>
  <c r="E142" i="4"/>
  <c r="F142" i="4" s="1"/>
  <c r="J137" i="8" l="1"/>
  <c r="K137" i="8" s="1"/>
  <c r="L137" i="8" s="1"/>
  <c r="D138" i="8" s="1"/>
  <c r="G137" i="7"/>
  <c r="E137" i="7"/>
  <c r="F137" i="7" s="1"/>
  <c r="H137" i="7" s="1"/>
  <c r="K142" i="6"/>
  <c r="L142" i="6" s="1"/>
  <c r="D143" i="6" s="1"/>
  <c r="J142" i="6"/>
  <c r="F140" i="5"/>
  <c r="H140" i="5" s="1"/>
  <c r="G140" i="5"/>
  <c r="H142" i="4"/>
  <c r="F138" i="8" l="1"/>
  <c r="G138" i="8"/>
  <c r="J137" i="7"/>
  <c r="K137" i="7" s="1"/>
  <c r="L137" i="7" s="1"/>
  <c r="D138" i="7" s="1"/>
  <c r="G143" i="6"/>
  <c r="E143" i="6"/>
  <c r="F143" i="6" s="1"/>
  <c r="H143" i="6" s="1"/>
  <c r="J140" i="5"/>
  <c r="K140" i="5" s="1"/>
  <c r="L140" i="5" s="1"/>
  <c r="D141" i="5" s="1"/>
  <c r="J142" i="4"/>
  <c r="K142" i="4" s="1"/>
  <c r="L142" i="4" s="1"/>
  <c r="D143" i="4" s="1"/>
  <c r="H138" i="8" l="1"/>
  <c r="J138" i="8" s="1"/>
  <c r="K138" i="8" s="1"/>
  <c r="L138" i="8" s="1"/>
  <c r="D139" i="8" s="1"/>
  <c r="F138" i="7"/>
  <c r="G138" i="7"/>
  <c r="J143" i="6"/>
  <c r="K143" i="6" s="1"/>
  <c r="L143" i="6" s="1"/>
  <c r="D144" i="6" s="1"/>
  <c r="G141" i="5"/>
  <c r="E141" i="5"/>
  <c r="F141" i="5" s="1"/>
  <c r="H141" i="5" s="1"/>
  <c r="G143" i="4"/>
  <c r="E143" i="4"/>
  <c r="F143" i="4" s="1"/>
  <c r="H143" i="4" s="1"/>
  <c r="G139" i="8" l="1"/>
  <c r="E139" i="8"/>
  <c r="F139" i="8" s="1"/>
  <c r="H138" i="7"/>
  <c r="G144" i="6"/>
  <c r="E144" i="6"/>
  <c r="F144" i="6" s="1"/>
  <c r="H144" i="6" s="1"/>
  <c r="J141" i="5"/>
  <c r="K141" i="5"/>
  <c r="L141" i="5" s="1"/>
  <c r="D142" i="5" s="1"/>
  <c r="J143" i="4"/>
  <c r="K143" i="4" s="1"/>
  <c r="L143" i="4" s="1"/>
  <c r="D144" i="4" s="1"/>
  <c r="H139" i="8" l="1"/>
  <c r="J139" i="8"/>
  <c r="K139" i="8" s="1"/>
  <c r="L139" i="8" s="1"/>
  <c r="D140" i="8" s="1"/>
  <c r="J138" i="7"/>
  <c r="K138" i="7" s="1"/>
  <c r="L138" i="7" s="1"/>
  <c r="D139" i="7" s="1"/>
  <c r="J144" i="6"/>
  <c r="K144" i="6" s="1"/>
  <c r="L144" i="6" s="1"/>
  <c r="D145" i="6" s="1"/>
  <c r="G142" i="5"/>
  <c r="E142" i="5"/>
  <c r="F142" i="5" s="1"/>
  <c r="H142" i="5" s="1"/>
  <c r="E144" i="4"/>
  <c r="F144" i="4" s="1"/>
  <c r="G144" i="4"/>
  <c r="G140" i="8" l="1"/>
  <c r="F140" i="8"/>
  <c r="H140" i="8" s="1"/>
  <c r="E139" i="7"/>
  <c r="F139" i="7" s="1"/>
  <c r="G139" i="7"/>
  <c r="F145" i="6"/>
  <c r="H145" i="6" s="1"/>
  <c r="E145" i="6"/>
  <c r="G145" i="6"/>
  <c r="J142" i="5"/>
  <c r="K142" i="5" s="1"/>
  <c r="L142" i="5" s="1"/>
  <c r="D143" i="5" s="1"/>
  <c r="H144" i="4"/>
  <c r="J144" i="4" s="1"/>
  <c r="K144" i="4" s="1"/>
  <c r="L144" i="4" s="1"/>
  <c r="D145" i="4" s="1"/>
  <c r="J140" i="8" l="1"/>
  <c r="K140" i="8" s="1"/>
  <c r="L140" i="8" s="1"/>
  <c r="D141" i="8" s="1"/>
  <c r="H139" i="7"/>
  <c r="J139" i="7"/>
  <c r="K139" i="7" s="1"/>
  <c r="L139" i="7" s="1"/>
  <c r="D140" i="7" s="1"/>
  <c r="K145" i="6"/>
  <c r="L145" i="6" s="1"/>
  <c r="D146" i="6" s="1"/>
  <c r="J145" i="6"/>
  <c r="G143" i="5"/>
  <c r="E143" i="5"/>
  <c r="F143" i="5" s="1"/>
  <c r="H143" i="5" s="1"/>
  <c r="G145" i="4"/>
  <c r="E145" i="4"/>
  <c r="F145" i="4" s="1"/>
  <c r="E141" i="8" l="1"/>
  <c r="F141" i="8" s="1"/>
  <c r="G141" i="8"/>
  <c r="G140" i="7"/>
  <c r="F140" i="7"/>
  <c r="H140" i="7" s="1"/>
  <c r="G146" i="6"/>
  <c r="E146" i="6"/>
  <c r="F146" i="6" s="1"/>
  <c r="H146" i="6" s="1"/>
  <c r="J143" i="5"/>
  <c r="K143" i="5" s="1"/>
  <c r="L143" i="5" s="1"/>
  <c r="D144" i="5" s="1"/>
  <c r="H145" i="4"/>
  <c r="J145" i="4"/>
  <c r="K145" i="4" s="1"/>
  <c r="L145" i="4" s="1"/>
  <c r="D146" i="4" s="1"/>
  <c r="H141" i="8" l="1"/>
  <c r="J141" i="8" s="1"/>
  <c r="K141" i="8" s="1"/>
  <c r="L141" i="8" s="1"/>
  <c r="D142" i="8" s="1"/>
  <c r="J140" i="7"/>
  <c r="K140" i="7" s="1"/>
  <c r="L140" i="7" s="1"/>
  <c r="D141" i="7" s="1"/>
  <c r="J146" i="6"/>
  <c r="K146" i="6" s="1"/>
  <c r="L146" i="6" s="1"/>
  <c r="D147" i="6" s="1"/>
  <c r="E144" i="5"/>
  <c r="F144" i="5" s="1"/>
  <c r="H144" i="5" s="1"/>
  <c r="G144" i="5"/>
  <c r="G146" i="4"/>
  <c r="E146" i="4"/>
  <c r="F146" i="4" s="1"/>
  <c r="G142" i="8" l="1"/>
  <c r="E142" i="8"/>
  <c r="F142" i="8" s="1"/>
  <c r="G141" i="7"/>
  <c r="E141" i="7"/>
  <c r="F141" i="7" s="1"/>
  <c r="F147" i="6"/>
  <c r="H147" i="6" s="1"/>
  <c r="G147" i="6"/>
  <c r="K144" i="5"/>
  <c r="L144" i="5" s="1"/>
  <c r="D145" i="5" s="1"/>
  <c r="J144" i="5"/>
  <c r="H146" i="4"/>
  <c r="J146" i="4" s="1"/>
  <c r="K146" i="4" s="1"/>
  <c r="L146" i="4" s="1"/>
  <c r="D147" i="4" s="1"/>
  <c r="H142" i="8" l="1"/>
  <c r="J142" i="8"/>
  <c r="K142" i="8"/>
  <c r="L142" i="8" s="1"/>
  <c r="D143" i="8" s="1"/>
  <c r="H141" i="7"/>
  <c r="J141" i="7" s="1"/>
  <c r="K141" i="7" s="1"/>
  <c r="L141" i="7" s="1"/>
  <c r="D142" i="7" s="1"/>
  <c r="J147" i="6"/>
  <c r="K147" i="6"/>
  <c r="L147" i="6" s="1"/>
  <c r="D148" i="6" s="1"/>
  <c r="G145" i="5"/>
  <c r="E145" i="5"/>
  <c r="F145" i="5" s="1"/>
  <c r="H145" i="5" s="1"/>
  <c r="F147" i="4"/>
  <c r="G147" i="4"/>
  <c r="E143" i="8" l="1"/>
  <c r="F143" i="8" s="1"/>
  <c r="G143" i="8"/>
  <c r="E142" i="7"/>
  <c r="F142" i="7" s="1"/>
  <c r="H142" i="7" s="1"/>
  <c r="G142" i="7"/>
  <c r="F148" i="6"/>
  <c r="G148" i="6"/>
  <c r="J145" i="5"/>
  <c r="K145" i="5" s="1"/>
  <c r="L145" i="5" s="1"/>
  <c r="D146" i="5" s="1"/>
  <c r="H147" i="4"/>
  <c r="H143" i="8" l="1"/>
  <c r="J143" i="8" s="1"/>
  <c r="K143" i="8" s="1"/>
  <c r="L143" i="8" s="1"/>
  <c r="D144" i="8" s="1"/>
  <c r="J142" i="7"/>
  <c r="K142" i="7" s="1"/>
  <c r="L142" i="7" s="1"/>
  <c r="D143" i="7" s="1"/>
  <c r="H148" i="6"/>
  <c r="E146" i="5"/>
  <c r="F146" i="5" s="1"/>
  <c r="H146" i="5" s="1"/>
  <c r="G146" i="5"/>
  <c r="J147" i="4"/>
  <c r="K147" i="4" s="1"/>
  <c r="L147" i="4" s="1"/>
  <c r="D148" i="4" s="1"/>
  <c r="E144" i="8" l="1"/>
  <c r="F144" i="8" s="1"/>
  <c r="G144" i="8"/>
  <c r="G143" i="7"/>
  <c r="E143" i="7"/>
  <c r="F143" i="7" s="1"/>
  <c r="H143" i="7" s="1"/>
  <c r="J148" i="6"/>
  <c r="K148" i="6" s="1"/>
  <c r="L148" i="6" s="1"/>
  <c r="D149" i="6" s="1"/>
  <c r="J146" i="5"/>
  <c r="K146" i="5" s="1"/>
  <c r="L146" i="5" s="1"/>
  <c r="D147" i="5" s="1"/>
  <c r="F148" i="4"/>
  <c r="G148" i="4"/>
  <c r="H144" i="8" l="1"/>
  <c r="J143" i="7"/>
  <c r="K143" i="7" s="1"/>
  <c r="L143" i="7" s="1"/>
  <c r="D144" i="7" s="1"/>
  <c r="G149" i="6"/>
  <c r="F149" i="6"/>
  <c r="G147" i="5"/>
  <c r="F147" i="5"/>
  <c r="H147" i="5" s="1"/>
  <c r="H148" i="4"/>
  <c r="J144" i="8" l="1"/>
  <c r="K144" i="8" s="1"/>
  <c r="L144" i="8" s="1"/>
  <c r="D145" i="8" s="1"/>
  <c r="E144" i="7"/>
  <c r="G144" i="7"/>
  <c r="F144" i="7"/>
  <c r="H144" i="7" s="1"/>
  <c r="H149" i="6"/>
  <c r="J147" i="5"/>
  <c r="K147" i="5"/>
  <c r="L147" i="5" s="1"/>
  <c r="D148" i="5" s="1"/>
  <c r="J148" i="4"/>
  <c r="K148" i="4" s="1"/>
  <c r="L148" i="4" s="1"/>
  <c r="D149" i="4" s="1"/>
  <c r="G145" i="8" l="1"/>
  <c r="E145" i="8"/>
  <c r="F145" i="8" s="1"/>
  <c r="H145" i="8" s="1"/>
  <c r="J144" i="7"/>
  <c r="K144" i="7" s="1"/>
  <c r="L144" i="7" s="1"/>
  <c r="D145" i="7" s="1"/>
  <c r="J149" i="6"/>
  <c r="K149" i="6" s="1"/>
  <c r="L149" i="6" s="1"/>
  <c r="D150" i="6" s="1"/>
  <c r="F148" i="5"/>
  <c r="G148" i="5"/>
  <c r="G149" i="4"/>
  <c r="F149" i="4"/>
  <c r="J145" i="8" l="1"/>
  <c r="K145" i="8" s="1"/>
  <c r="L145" i="8" s="1"/>
  <c r="D146" i="8" s="1"/>
  <c r="G145" i="7"/>
  <c r="E145" i="7"/>
  <c r="F145" i="7" s="1"/>
  <c r="H145" i="7" s="1"/>
  <c r="E150" i="6"/>
  <c r="F150" i="6" s="1"/>
  <c r="H150" i="6" s="1"/>
  <c r="G150" i="6"/>
  <c r="H148" i="5"/>
  <c r="H149" i="4"/>
  <c r="G146" i="8" l="1"/>
  <c r="E146" i="8"/>
  <c r="F146" i="8" s="1"/>
  <c r="H146" i="8" s="1"/>
  <c r="J145" i="7"/>
  <c r="K145" i="7" s="1"/>
  <c r="L145" i="7" s="1"/>
  <c r="D146" i="7" s="1"/>
  <c r="J150" i="6"/>
  <c r="K150" i="6" s="1"/>
  <c r="L150" i="6" s="1"/>
  <c r="D151" i="6" s="1"/>
  <c r="K148" i="5"/>
  <c r="L148" i="5" s="1"/>
  <c r="D149" i="5" s="1"/>
  <c r="J148" i="5"/>
  <c r="J149" i="4"/>
  <c r="K149" i="4" s="1"/>
  <c r="L149" i="4" s="1"/>
  <c r="D150" i="4" s="1"/>
  <c r="J146" i="8" l="1"/>
  <c r="K146" i="8" s="1"/>
  <c r="L146" i="8" s="1"/>
  <c r="D147" i="8" s="1"/>
  <c r="G146" i="7"/>
  <c r="E146" i="7"/>
  <c r="F146" i="7" s="1"/>
  <c r="H146" i="7" s="1"/>
  <c r="G151" i="6"/>
  <c r="F151" i="6"/>
  <c r="H151" i="6" s="1"/>
  <c r="G149" i="5"/>
  <c r="F149" i="5"/>
  <c r="G150" i="4"/>
  <c r="E150" i="4"/>
  <c r="F150" i="4" s="1"/>
  <c r="F147" i="8" l="1"/>
  <c r="G147" i="8"/>
  <c r="J146" i="7"/>
  <c r="K146" i="7" s="1"/>
  <c r="L146" i="7" s="1"/>
  <c r="D147" i="7" s="1"/>
  <c r="J151" i="6"/>
  <c r="K151" i="6" s="1"/>
  <c r="L151" i="6" s="1"/>
  <c r="D152" i="6" s="1"/>
  <c r="H149" i="5"/>
  <c r="H150" i="4"/>
  <c r="J150" i="4" s="1"/>
  <c r="K150" i="4" s="1"/>
  <c r="L150" i="4" s="1"/>
  <c r="D151" i="4" s="1"/>
  <c r="H147" i="8" l="1"/>
  <c r="F147" i="7"/>
  <c r="G147" i="7"/>
  <c r="G152" i="6"/>
  <c r="F152" i="6"/>
  <c r="J149" i="5"/>
  <c r="K149" i="5" s="1"/>
  <c r="L149" i="5" s="1"/>
  <c r="D150" i="5" s="1"/>
  <c r="F151" i="4"/>
  <c r="G151" i="4"/>
  <c r="J147" i="8" l="1"/>
  <c r="K147" i="8" s="1"/>
  <c r="L147" i="8" s="1"/>
  <c r="D148" i="8" s="1"/>
  <c r="H147" i="7"/>
  <c r="H152" i="6"/>
  <c r="E150" i="5"/>
  <c r="G150" i="5"/>
  <c r="F150" i="5"/>
  <c r="H151" i="4"/>
  <c r="G148" i="8" l="1"/>
  <c r="F148" i="8"/>
  <c r="J147" i="7"/>
  <c r="K147" i="7"/>
  <c r="L147" i="7" s="1"/>
  <c r="D148" i="7" s="1"/>
  <c r="J152" i="6"/>
  <c r="K152" i="6" s="1"/>
  <c r="L152" i="6" s="1"/>
  <c r="D153" i="6" s="1"/>
  <c r="H150" i="5"/>
  <c r="J151" i="4"/>
  <c r="K151" i="4" s="1"/>
  <c r="L151" i="4" s="1"/>
  <c r="D152" i="4" s="1"/>
  <c r="H148" i="8" l="1"/>
  <c r="G148" i="7"/>
  <c r="F148" i="7"/>
  <c r="F153" i="6"/>
  <c r="E153" i="6"/>
  <c r="G153" i="6"/>
  <c r="K150" i="5"/>
  <c r="L150" i="5" s="1"/>
  <c r="D151" i="5" s="1"/>
  <c r="J150" i="5"/>
  <c r="G152" i="4"/>
  <c r="F152" i="4"/>
  <c r="J148" i="8" l="1"/>
  <c r="K148" i="8" s="1"/>
  <c r="L148" i="8" s="1"/>
  <c r="D149" i="8" s="1"/>
  <c r="H148" i="7"/>
  <c r="J148" i="7"/>
  <c r="K148" i="7" s="1"/>
  <c r="L148" i="7" s="1"/>
  <c r="D149" i="7" s="1"/>
  <c r="H153" i="6"/>
  <c r="G151" i="5"/>
  <c r="F151" i="5"/>
  <c r="H152" i="4"/>
  <c r="J152" i="4"/>
  <c r="K152" i="4" s="1"/>
  <c r="L152" i="4" s="1"/>
  <c r="D153" i="4" s="1"/>
  <c r="F149" i="8" l="1"/>
  <c r="G149" i="8"/>
  <c r="F149" i="7"/>
  <c r="G149" i="7"/>
  <c r="J153" i="6"/>
  <c r="K153" i="6"/>
  <c r="L153" i="6" s="1"/>
  <c r="D154" i="6" s="1"/>
  <c r="H151" i="5"/>
  <c r="E153" i="4"/>
  <c r="F153" i="4" s="1"/>
  <c r="G153" i="4"/>
  <c r="H149" i="8" l="1"/>
  <c r="J149" i="8" s="1"/>
  <c r="K149" i="8" s="1"/>
  <c r="L149" i="8" s="1"/>
  <c r="D150" i="8" s="1"/>
  <c r="H149" i="7"/>
  <c r="G154" i="6"/>
  <c r="E154" i="6"/>
  <c r="F154" i="6" s="1"/>
  <c r="H154" i="6" s="1"/>
  <c r="J151" i="5"/>
  <c r="K151" i="5" s="1"/>
  <c r="L151" i="5" s="1"/>
  <c r="D152" i="5" s="1"/>
  <c r="H153" i="4"/>
  <c r="J153" i="4"/>
  <c r="K153" i="4" s="1"/>
  <c r="L153" i="4" s="1"/>
  <c r="D154" i="4" s="1"/>
  <c r="E150" i="8" l="1"/>
  <c r="F150" i="8" s="1"/>
  <c r="G150" i="8"/>
  <c r="J149" i="7"/>
  <c r="K149" i="7" s="1"/>
  <c r="L149" i="7" s="1"/>
  <c r="D150" i="7" s="1"/>
  <c r="J154" i="6"/>
  <c r="K154" i="6" s="1"/>
  <c r="L154" i="6" s="1"/>
  <c r="D155" i="6" s="1"/>
  <c r="G152" i="5"/>
  <c r="F152" i="5"/>
  <c r="H152" i="5" s="1"/>
  <c r="G154" i="4"/>
  <c r="E154" i="4"/>
  <c r="F154" i="4" s="1"/>
  <c r="H154" i="4" s="1"/>
  <c r="H150" i="8" l="1"/>
  <c r="J150" i="8"/>
  <c r="K150" i="8" s="1"/>
  <c r="L150" i="8" s="1"/>
  <c r="D151" i="8" s="1"/>
  <c r="E150" i="7"/>
  <c r="G150" i="7"/>
  <c r="F150" i="7"/>
  <c r="G155" i="6"/>
  <c r="F155" i="6"/>
  <c r="H155" i="6" s="1"/>
  <c r="K152" i="5"/>
  <c r="L152" i="5" s="1"/>
  <c r="D153" i="5" s="1"/>
  <c r="J152" i="5"/>
  <c r="J154" i="4"/>
  <c r="K154" i="4" s="1"/>
  <c r="L154" i="4" s="1"/>
  <c r="D155" i="4" s="1"/>
  <c r="G151" i="8" l="1"/>
  <c r="F151" i="8"/>
  <c r="H150" i="7"/>
  <c r="J150" i="7"/>
  <c r="K150" i="7" s="1"/>
  <c r="L150" i="7" s="1"/>
  <c r="D151" i="7" s="1"/>
  <c r="K155" i="6"/>
  <c r="L155" i="6" s="1"/>
  <c r="D156" i="6" s="1"/>
  <c r="J155" i="6"/>
  <c r="G153" i="5"/>
  <c r="E153" i="5"/>
  <c r="F153" i="5" s="1"/>
  <c r="H153" i="5" s="1"/>
  <c r="G155" i="4"/>
  <c r="F155" i="4"/>
  <c r="H155" i="4" s="1"/>
  <c r="H151" i="8" l="1"/>
  <c r="J151" i="8"/>
  <c r="K151" i="8" s="1"/>
  <c r="L151" i="8" s="1"/>
  <c r="D152" i="8" s="1"/>
  <c r="G151" i="7"/>
  <c r="F151" i="7"/>
  <c r="E156" i="6"/>
  <c r="G156" i="6"/>
  <c r="F156" i="6"/>
  <c r="H156" i="6" s="1"/>
  <c r="J153" i="5"/>
  <c r="K153" i="5"/>
  <c r="L153" i="5" s="1"/>
  <c r="D154" i="5" s="1"/>
  <c r="J155" i="4"/>
  <c r="K155" i="4" s="1"/>
  <c r="L155" i="4" s="1"/>
  <c r="D156" i="4" s="1"/>
  <c r="G152" i="8" l="1"/>
  <c r="F152" i="8"/>
  <c r="H152" i="8" s="1"/>
  <c r="H151" i="7"/>
  <c r="J151" i="7" s="1"/>
  <c r="K151" i="7" s="1"/>
  <c r="L151" i="7" s="1"/>
  <c r="D152" i="7" s="1"/>
  <c r="J156" i="6"/>
  <c r="K156" i="6" s="1"/>
  <c r="L156" i="6" s="1"/>
  <c r="D157" i="6" s="1"/>
  <c r="E154" i="5"/>
  <c r="F154" i="5" s="1"/>
  <c r="H154" i="5" s="1"/>
  <c r="G154" i="5"/>
  <c r="G156" i="4"/>
  <c r="E156" i="4"/>
  <c r="F156" i="4" s="1"/>
  <c r="H156" i="4" s="1"/>
  <c r="J152" i="8" l="1"/>
  <c r="K152" i="8" s="1"/>
  <c r="L152" i="8" s="1"/>
  <c r="D153" i="8" s="1"/>
  <c r="G152" i="7"/>
  <c r="F152" i="7"/>
  <c r="H152" i="7" s="1"/>
  <c r="G157" i="6"/>
  <c r="E157" i="6"/>
  <c r="F157" i="6" s="1"/>
  <c r="H157" i="6" s="1"/>
  <c r="J154" i="5"/>
  <c r="K154" i="5" s="1"/>
  <c r="L154" i="5" s="1"/>
  <c r="D155" i="5" s="1"/>
  <c r="J156" i="4"/>
  <c r="K156" i="4" s="1"/>
  <c r="L156" i="4" s="1"/>
  <c r="D157" i="4" s="1"/>
  <c r="G153" i="8" l="1"/>
  <c r="E153" i="8"/>
  <c r="F153" i="8" s="1"/>
  <c r="H153" i="8" s="1"/>
  <c r="J152" i="7"/>
  <c r="K152" i="7" s="1"/>
  <c r="L152" i="7" s="1"/>
  <c r="D153" i="7" s="1"/>
  <c r="J157" i="6"/>
  <c r="K157" i="6" s="1"/>
  <c r="L157" i="6" s="1"/>
  <c r="D158" i="6" s="1"/>
  <c r="G155" i="5"/>
  <c r="F155" i="5"/>
  <c r="H155" i="5" s="1"/>
  <c r="E157" i="4"/>
  <c r="F157" i="4" s="1"/>
  <c r="G157" i="4"/>
  <c r="J153" i="8" l="1"/>
  <c r="K153" i="8" s="1"/>
  <c r="L153" i="8" s="1"/>
  <c r="D154" i="8" s="1"/>
  <c r="E153" i="7"/>
  <c r="F153" i="7" s="1"/>
  <c r="G153" i="7"/>
  <c r="G158" i="6"/>
  <c r="F158" i="6"/>
  <c r="J155" i="5"/>
  <c r="K155" i="5" s="1"/>
  <c r="L155" i="5" s="1"/>
  <c r="D156" i="5" s="1"/>
  <c r="H157" i="4"/>
  <c r="J157" i="4"/>
  <c r="K157" i="4" s="1"/>
  <c r="L157" i="4" s="1"/>
  <c r="D158" i="4" s="1"/>
  <c r="G154" i="8" l="1"/>
  <c r="E154" i="8"/>
  <c r="F154" i="8" s="1"/>
  <c r="H154" i="8" s="1"/>
  <c r="H153" i="7"/>
  <c r="J153" i="7" s="1"/>
  <c r="H158" i="6"/>
  <c r="E156" i="5"/>
  <c r="F156" i="5" s="1"/>
  <c r="H156" i="5" s="1"/>
  <c r="G156" i="5"/>
  <c r="G158" i="4"/>
  <c r="F158" i="4"/>
  <c r="J154" i="8" l="1"/>
  <c r="K154" i="8" s="1"/>
  <c r="L154" i="8" s="1"/>
  <c r="D155" i="8" s="1"/>
  <c r="K153" i="7"/>
  <c r="L153" i="7" s="1"/>
  <c r="D154" i="7" s="1"/>
  <c r="G154" i="7"/>
  <c r="E154" i="7"/>
  <c r="F154" i="7" s="1"/>
  <c r="H154" i="7" s="1"/>
  <c r="K158" i="6"/>
  <c r="L158" i="6" s="1"/>
  <c r="D159" i="6" s="1"/>
  <c r="J158" i="6"/>
  <c r="J156" i="5"/>
  <c r="K156" i="5" s="1"/>
  <c r="L156" i="5" s="1"/>
  <c r="D157" i="5" s="1"/>
  <c r="H158" i="4"/>
  <c r="G155" i="8" l="1"/>
  <c r="F155" i="8"/>
  <c r="J154" i="7"/>
  <c r="K154" i="7" s="1"/>
  <c r="L154" i="7" s="1"/>
  <c r="D155" i="7" s="1"/>
  <c r="G159" i="6"/>
  <c r="E159" i="6"/>
  <c r="F159" i="6" s="1"/>
  <c r="H159" i="6" s="1"/>
  <c r="G157" i="5"/>
  <c r="E157" i="5"/>
  <c r="F157" i="5" s="1"/>
  <c r="H157" i="5" s="1"/>
  <c r="J158" i="4"/>
  <c r="K158" i="4" s="1"/>
  <c r="L158" i="4" s="1"/>
  <c r="D159" i="4" s="1"/>
  <c r="H155" i="8" l="1"/>
  <c r="G155" i="7"/>
  <c r="F155" i="7"/>
  <c r="H155" i="7" s="1"/>
  <c r="J159" i="6"/>
  <c r="K159" i="6" s="1"/>
  <c r="L159" i="6" s="1"/>
  <c r="D160" i="6" s="1"/>
  <c r="K157" i="5"/>
  <c r="L157" i="5" s="1"/>
  <c r="D158" i="5" s="1"/>
  <c r="J157" i="5"/>
  <c r="G159" i="4"/>
  <c r="E159" i="4"/>
  <c r="F159" i="4" s="1"/>
  <c r="H159" i="4" s="1"/>
  <c r="J155" i="8" l="1"/>
  <c r="K155" i="8" s="1"/>
  <c r="L155" i="8" s="1"/>
  <c r="D156" i="8" s="1"/>
  <c r="J155" i="7"/>
  <c r="K155" i="7" s="1"/>
  <c r="L155" i="7" s="1"/>
  <c r="D156" i="7" s="1"/>
  <c r="G160" i="6"/>
  <c r="F160" i="6"/>
  <c r="H160" i="6" s="1"/>
  <c r="G158" i="5"/>
  <c r="F158" i="5"/>
  <c r="H158" i="5" s="1"/>
  <c r="J159" i="4"/>
  <c r="K159" i="4" s="1"/>
  <c r="L159" i="4" s="1"/>
  <c r="D160" i="4" s="1"/>
  <c r="E156" i="8" l="1"/>
  <c r="F156" i="8" s="1"/>
  <c r="G156" i="8"/>
  <c r="E156" i="7"/>
  <c r="F156" i="7" s="1"/>
  <c r="G156" i="7"/>
  <c r="J160" i="6"/>
  <c r="K160" i="6" s="1"/>
  <c r="L160" i="6" s="1"/>
  <c r="D161" i="6" s="1"/>
  <c r="K158" i="5"/>
  <c r="L158" i="5" s="1"/>
  <c r="D159" i="5" s="1"/>
  <c r="J158" i="5"/>
  <c r="G160" i="4"/>
  <c r="F160" i="4"/>
  <c r="H156" i="8" l="1"/>
  <c r="J156" i="8" s="1"/>
  <c r="K156" i="8" s="1"/>
  <c r="L156" i="8" s="1"/>
  <c r="D157" i="8" s="1"/>
  <c r="H156" i="7"/>
  <c r="J156" i="7"/>
  <c r="K156" i="7" s="1"/>
  <c r="L156" i="7" s="1"/>
  <c r="D157" i="7" s="1"/>
  <c r="G161" i="6"/>
  <c r="E161" i="6"/>
  <c r="F161" i="6" s="1"/>
  <c r="H161" i="6" s="1"/>
  <c r="G159" i="5"/>
  <c r="F159" i="5"/>
  <c r="H159" i="5" s="1"/>
  <c r="E159" i="5"/>
  <c r="H160" i="4"/>
  <c r="J160" i="4" s="1"/>
  <c r="K160" i="4" s="1"/>
  <c r="L160" i="4" s="1"/>
  <c r="D161" i="4" s="1"/>
  <c r="G157" i="8" l="1"/>
  <c r="E157" i="8"/>
  <c r="F157" i="8" s="1"/>
  <c r="H157" i="8" s="1"/>
  <c r="G157" i="7"/>
  <c r="E157" i="7"/>
  <c r="F157" i="7" s="1"/>
  <c r="H157" i="7" s="1"/>
  <c r="K161" i="6"/>
  <c r="L161" i="6" s="1"/>
  <c r="D162" i="6" s="1"/>
  <c r="J161" i="6"/>
  <c r="J159" i="5"/>
  <c r="K159" i="5" s="1"/>
  <c r="L159" i="5" s="1"/>
  <c r="D160" i="5" s="1"/>
  <c r="G161" i="4"/>
  <c r="E161" i="4"/>
  <c r="F161" i="4" s="1"/>
  <c r="J157" i="8" l="1"/>
  <c r="K157" i="8" s="1"/>
  <c r="L157" i="8" s="1"/>
  <c r="D158" i="8" s="1"/>
  <c r="J157" i="7"/>
  <c r="K157" i="7" s="1"/>
  <c r="L157" i="7" s="1"/>
  <c r="D158" i="7" s="1"/>
  <c r="G162" i="6"/>
  <c r="F162" i="6"/>
  <c r="H162" i="6" s="1"/>
  <c r="G160" i="5"/>
  <c r="F160" i="5"/>
  <c r="H161" i="4"/>
  <c r="J161" i="4" s="1"/>
  <c r="K161" i="4" s="1"/>
  <c r="L161" i="4" s="1"/>
  <c r="D162" i="4" s="1"/>
  <c r="G158" i="8" l="1"/>
  <c r="F158" i="8"/>
  <c r="G158" i="7"/>
  <c r="F158" i="7"/>
  <c r="J162" i="6"/>
  <c r="K162" i="6" s="1"/>
  <c r="L162" i="6" s="1"/>
  <c r="D163" i="6" s="1"/>
  <c r="H160" i="5"/>
  <c r="G162" i="4"/>
  <c r="F162" i="4"/>
  <c r="H158" i="8" l="1"/>
  <c r="J158" i="8" s="1"/>
  <c r="K158" i="8" s="1"/>
  <c r="L158" i="8" s="1"/>
  <c r="D159" i="8" s="1"/>
  <c r="H158" i="7"/>
  <c r="J158" i="7"/>
  <c r="K158" i="7" s="1"/>
  <c r="L158" i="7" s="1"/>
  <c r="D159" i="7" s="1"/>
  <c r="G163" i="6"/>
  <c r="E163" i="6"/>
  <c r="F163" i="6" s="1"/>
  <c r="H163" i="6" s="1"/>
  <c r="J160" i="5"/>
  <c r="K160" i="5" s="1"/>
  <c r="L160" i="5" s="1"/>
  <c r="D161" i="5" s="1"/>
  <c r="H162" i="4"/>
  <c r="J162" i="4"/>
  <c r="K162" i="4" s="1"/>
  <c r="L162" i="4" s="1"/>
  <c r="D163" i="4" s="1"/>
  <c r="G159" i="8" l="1"/>
  <c r="E159" i="8"/>
  <c r="F159" i="8" s="1"/>
  <c r="G159" i="7"/>
  <c r="E159" i="7"/>
  <c r="F159" i="7" s="1"/>
  <c r="H159" i="7" s="1"/>
  <c r="J163" i="6"/>
  <c r="K163" i="6" s="1"/>
  <c r="L163" i="6" s="1"/>
  <c r="D164" i="6" s="1"/>
  <c r="G161" i="5"/>
  <c r="E161" i="5"/>
  <c r="F161" i="5"/>
  <c r="H161" i="5" s="1"/>
  <c r="E163" i="4"/>
  <c r="F163" i="4" s="1"/>
  <c r="G163" i="4"/>
  <c r="H159" i="8" l="1"/>
  <c r="J159" i="8"/>
  <c r="K159" i="8" s="1"/>
  <c r="L159" i="8" s="1"/>
  <c r="D160" i="8" s="1"/>
  <c r="J159" i="7"/>
  <c r="K159" i="7"/>
  <c r="L159" i="7" s="1"/>
  <c r="D160" i="7" s="1"/>
  <c r="G164" i="6"/>
  <c r="E164" i="6"/>
  <c r="F164" i="6" s="1"/>
  <c r="H164" i="6" s="1"/>
  <c r="J161" i="5"/>
  <c r="K161" i="5" s="1"/>
  <c r="L161" i="5" s="1"/>
  <c r="D162" i="5" s="1"/>
  <c r="H163" i="4"/>
  <c r="J163" i="4" s="1"/>
  <c r="K163" i="4" s="1"/>
  <c r="L163" i="4" s="1"/>
  <c r="D164" i="4" s="1"/>
  <c r="G160" i="8" l="1"/>
  <c r="F160" i="8"/>
  <c r="G160" i="7"/>
  <c r="F160" i="7"/>
  <c r="J164" i="6"/>
  <c r="K164" i="6" s="1"/>
  <c r="L164" i="6" s="1"/>
  <c r="D165" i="6" s="1"/>
  <c r="G162" i="5"/>
  <c r="F162" i="5"/>
  <c r="H162" i="5" s="1"/>
  <c r="G164" i="4"/>
  <c r="E164" i="4"/>
  <c r="F164" i="4" s="1"/>
  <c r="H164" i="4" s="1"/>
  <c r="H160" i="8" l="1"/>
  <c r="H160" i="7"/>
  <c r="G165" i="6"/>
  <c r="F165" i="6"/>
  <c r="H165" i="6" s="1"/>
  <c r="J162" i="5"/>
  <c r="K162" i="5" s="1"/>
  <c r="L162" i="5" s="1"/>
  <c r="D163" i="5" s="1"/>
  <c r="J164" i="4"/>
  <c r="K164" i="4" s="1"/>
  <c r="L164" i="4" s="1"/>
  <c r="D165" i="4" s="1"/>
  <c r="J160" i="8" l="1"/>
  <c r="K160" i="8" s="1"/>
  <c r="L160" i="8" s="1"/>
  <c r="D161" i="8" s="1"/>
  <c r="J160" i="7"/>
  <c r="K160" i="7" s="1"/>
  <c r="L160" i="7" s="1"/>
  <c r="D161" i="7" s="1"/>
  <c r="J165" i="6"/>
  <c r="K165" i="6"/>
  <c r="L165" i="6" s="1"/>
  <c r="D166" i="6" s="1"/>
  <c r="G163" i="5"/>
  <c r="E163" i="5"/>
  <c r="F163" i="5" s="1"/>
  <c r="H163" i="5" s="1"/>
  <c r="G165" i="4"/>
  <c r="F165" i="4"/>
  <c r="G161" i="8" l="1"/>
  <c r="E161" i="8"/>
  <c r="F161" i="8" s="1"/>
  <c r="H161" i="8" s="1"/>
  <c r="E161" i="7"/>
  <c r="F161" i="7" s="1"/>
  <c r="G161" i="7"/>
  <c r="G166" i="6"/>
  <c r="E166" i="6"/>
  <c r="F166" i="6" s="1"/>
  <c r="H166" i="6" s="1"/>
  <c r="J163" i="5"/>
  <c r="K163" i="5" s="1"/>
  <c r="L163" i="5" s="1"/>
  <c r="D164" i="5" s="1"/>
  <c r="H165" i="4"/>
  <c r="J161" i="8" l="1"/>
  <c r="K161" i="8" s="1"/>
  <c r="L161" i="8" s="1"/>
  <c r="D162" i="8" s="1"/>
  <c r="H161" i="7"/>
  <c r="J161" i="7"/>
  <c r="K161" i="7" s="1"/>
  <c r="L161" i="7" s="1"/>
  <c r="D162" i="7" s="1"/>
  <c r="J166" i="6"/>
  <c r="K166" i="6" s="1"/>
  <c r="L166" i="6" s="1"/>
  <c r="D167" i="6" s="1"/>
  <c r="G164" i="5"/>
  <c r="E164" i="5"/>
  <c r="F164" i="5" s="1"/>
  <c r="H164" i="5" s="1"/>
  <c r="J165" i="4"/>
  <c r="K165" i="4"/>
  <c r="L165" i="4" s="1"/>
  <c r="D166" i="4" s="1"/>
  <c r="F162" i="8" l="1"/>
  <c r="G162" i="8"/>
  <c r="G162" i="7"/>
  <c r="F162" i="7"/>
  <c r="G167" i="6"/>
  <c r="F167" i="6"/>
  <c r="E167" i="6"/>
  <c r="J164" i="5"/>
  <c r="K164" i="5" s="1"/>
  <c r="L164" i="5" s="1"/>
  <c r="D165" i="5" s="1"/>
  <c r="G166" i="4"/>
  <c r="E166" i="4"/>
  <c r="F166" i="4" s="1"/>
  <c r="H166" i="4" s="1"/>
  <c r="H162" i="8" l="1"/>
  <c r="J162" i="8" s="1"/>
  <c r="K162" i="8" s="1"/>
  <c r="L162" i="8" s="1"/>
  <c r="D163" i="8" s="1"/>
  <c r="H162" i="7"/>
  <c r="J162" i="7"/>
  <c r="K162" i="7" s="1"/>
  <c r="L162" i="7" s="1"/>
  <c r="D163" i="7" s="1"/>
  <c r="H167" i="6"/>
  <c r="G165" i="5"/>
  <c r="F165" i="5"/>
  <c r="H165" i="5" s="1"/>
  <c r="J166" i="4"/>
  <c r="K166" i="4" s="1"/>
  <c r="L166" i="4" s="1"/>
  <c r="D167" i="4" s="1"/>
  <c r="G163" i="8" l="1"/>
  <c r="E163" i="8"/>
  <c r="F163" i="8" s="1"/>
  <c r="H163" i="8" s="1"/>
  <c r="G163" i="7"/>
  <c r="E163" i="7"/>
  <c r="F163" i="7" s="1"/>
  <c r="H163" i="7" s="1"/>
  <c r="J167" i="6"/>
  <c r="K167" i="6" s="1"/>
  <c r="L167" i="6" s="1"/>
  <c r="D168" i="6" s="1"/>
  <c r="J165" i="5"/>
  <c r="K165" i="5" s="1"/>
  <c r="L165" i="5" s="1"/>
  <c r="D166" i="5" s="1"/>
  <c r="G167" i="4"/>
  <c r="E167" i="4"/>
  <c r="F167" i="4" s="1"/>
  <c r="J163" i="8" l="1"/>
  <c r="K163" i="8" s="1"/>
  <c r="L163" i="8" s="1"/>
  <c r="D164" i="8" s="1"/>
  <c r="J163" i="7"/>
  <c r="K163" i="7" s="1"/>
  <c r="L163" i="7" s="1"/>
  <c r="D164" i="7" s="1"/>
  <c r="G168" i="6"/>
  <c r="F168" i="6"/>
  <c r="H168" i="6" s="1"/>
  <c r="G166" i="5"/>
  <c r="E166" i="5"/>
  <c r="F166" i="5" s="1"/>
  <c r="H166" i="5" s="1"/>
  <c r="H167" i="4"/>
  <c r="J167" i="4"/>
  <c r="K167" i="4" s="1"/>
  <c r="L167" i="4" s="1"/>
  <c r="D168" i="4" s="1"/>
  <c r="G164" i="8" l="1"/>
  <c r="E164" i="8"/>
  <c r="F164" i="8" s="1"/>
  <c r="G164" i="7"/>
  <c r="E164" i="7"/>
  <c r="F164" i="7" s="1"/>
  <c r="H164" i="7" s="1"/>
  <c r="J168" i="6"/>
  <c r="K168" i="6" s="1"/>
  <c r="L168" i="6" s="1"/>
  <c r="D169" i="6" s="1"/>
  <c r="J166" i="5"/>
  <c r="K166" i="5" s="1"/>
  <c r="L166" i="5" s="1"/>
  <c r="D167" i="5" s="1"/>
  <c r="G168" i="4"/>
  <c r="F168" i="4"/>
  <c r="H164" i="8" l="1"/>
  <c r="J164" i="8" s="1"/>
  <c r="K164" i="8" s="1"/>
  <c r="L164" i="8" s="1"/>
  <c r="D165" i="8" s="1"/>
  <c r="J164" i="7"/>
  <c r="K164" i="7" s="1"/>
  <c r="L164" i="7" s="1"/>
  <c r="D165" i="7" s="1"/>
  <c r="G169" i="6"/>
  <c r="F169" i="6"/>
  <c r="H169" i="6" s="1"/>
  <c r="G167" i="5"/>
  <c r="E167" i="5"/>
  <c r="F167" i="5" s="1"/>
  <c r="H167" i="5" s="1"/>
  <c r="H168" i="4"/>
  <c r="J168" i="4" s="1"/>
  <c r="K168" i="4" s="1"/>
  <c r="L168" i="4" s="1"/>
  <c r="D169" i="4" s="1"/>
  <c r="G165" i="8" l="1"/>
  <c r="F165" i="8"/>
  <c r="H165" i="8" s="1"/>
  <c r="G165" i="7"/>
  <c r="F165" i="7"/>
  <c r="H165" i="7" s="1"/>
  <c r="K169" i="6"/>
  <c r="L169" i="6" s="1"/>
  <c r="D170" i="6" s="1"/>
  <c r="J169" i="6"/>
  <c r="J167" i="5"/>
  <c r="K167" i="5" s="1"/>
  <c r="L167" i="5" s="1"/>
  <c r="D168" i="5" s="1"/>
  <c r="F169" i="4"/>
  <c r="G169" i="4"/>
  <c r="J165" i="8" l="1"/>
  <c r="K165" i="8" s="1"/>
  <c r="L165" i="8" s="1"/>
  <c r="D166" i="8" s="1"/>
  <c r="J165" i="7"/>
  <c r="K165" i="7" s="1"/>
  <c r="L165" i="7" s="1"/>
  <c r="D166" i="7" s="1"/>
  <c r="G170" i="6"/>
  <c r="E170" i="6"/>
  <c r="F170" i="6" s="1"/>
  <c r="H170" i="6" s="1"/>
  <c r="G168" i="5"/>
  <c r="F168" i="5"/>
  <c r="H169" i="4"/>
  <c r="G166" i="8" l="1"/>
  <c r="E166" i="8"/>
  <c r="F166" i="8" s="1"/>
  <c r="H166" i="8" s="1"/>
  <c r="G166" i="7"/>
  <c r="E166" i="7"/>
  <c r="F166" i="7" s="1"/>
  <c r="H166" i="7" s="1"/>
  <c r="J170" i="6"/>
  <c r="K170" i="6"/>
  <c r="L170" i="6" s="1"/>
  <c r="D171" i="6" s="1"/>
  <c r="H168" i="5"/>
  <c r="J169" i="4"/>
  <c r="K169" i="4" s="1"/>
  <c r="L169" i="4" s="1"/>
  <c r="D170" i="4" s="1"/>
  <c r="J166" i="8" l="1"/>
  <c r="K166" i="8" s="1"/>
  <c r="L166" i="8" s="1"/>
  <c r="D167" i="8" s="1"/>
  <c r="J166" i="7"/>
  <c r="K166" i="7" s="1"/>
  <c r="L166" i="7" s="1"/>
  <c r="D167" i="7" s="1"/>
  <c r="G171" i="6"/>
  <c r="F171" i="6"/>
  <c r="J168" i="5"/>
  <c r="K168" i="5" s="1"/>
  <c r="L168" i="5" s="1"/>
  <c r="D169" i="5" s="1"/>
  <c r="G170" i="4"/>
  <c r="E170" i="4"/>
  <c r="F170" i="4" s="1"/>
  <c r="G167" i="8" l="1"/>
  <c r="E167" i="8"/>
  <c r="F167" i="8" s="1"/>
  <c r="H167" i="8" s="1"/>
  <c r="E167" i="7"/>
  <c r="G167" i="7"/>
  <c r="F167" i="7"/>
  <c r="H171" i="6"/>
  <c r="G169" i="5"/>
  <c r="F169" i="5"/>
  <c r="H169" i="5" s="1"/>
  <c r="H170" i="4"/>
  <c r="J170" i="4"/>
  <c r="K170" i="4" s="1"/>
  <c r="L170" i="4" s="1"/>
  <c r="D171" i="4" s="1"/>
  <c r="J167" i="8" l="1"/>
  <c r="K167" i="8" s="1"/>
  <c r="L167" i="8" s="1"/>
  <c r="D168" i="8" s="1"/>
  <c r="H167" i="7"/>
  <c r="J171" i="6"/>
  <c r="K171" i="6"/>
  <c r="L171" i="6" s="1"/>
  <c r="D172" i="6" s="1"/>
  <c r="K169" i="5"/>
  <c r="L169" i="5" s="1"/>
  <c r="D170" i="5" s="1"/>
  <c r="J169" i="5"/>
  <c r="G171" i="4"/>
  <c r="F171" i="4"/>
  <c r="H171" i="4" s="1"/>
  <c r="F168" i="8" l="1"/>
  <c r="G168" i="8"/>
  <c r="J167" i="7"/>
  <c r="K167" i="7" s="1"/>
  <c r="L167" i="7" s="1"/>
  <c r="D168" i="7" s="1"/>
  <c r="G172" i="6"/>
  <c r="E172" i="6"/>
  <c r="F172" i="6" s="1"/>
  <c r="H172" i="6" s="1"/>
  <c r="G170" i="5"/>
  <c r="E170" i="5"/>
  <c r="F170" i="5" s="1"/>
  <c r="H170" i="5" s="1"/>
  <c r="J171" i="4"/>
  <c r="K171" i="4" s="1"/>
  <c r="L171" i="4" s="1"/>
  <c r="D172" i="4" s="1"/>
  <c r="H168" i="8" l="1"/>
  <c r="G168" i="7"/>
  <c r="F168" i="7"/>
  <c r="H168" i="7" s="1"/>
  <c r="J172" i="6"/>
  <c r="K172" i="6" s="1"/>
  <c r="L172" i="6" s="1"/>
  <c r="D173" i="6" s="1"/>
  <c r="J170" i="5"/>
  <c r="K170" i="5"/>
  <c r="L170" i="5" s="1"/>
  <c r="D171" i="5" s="1"/>
  <c r="G172" i="4"/>
  <c r="E172" i="4"/>
  <c r="F172" i="4" s="1"/>
  <c r="H172" i="4" s="1"/>
  <c r="J168" i="8" l="1"/>
  <c r="K168" i="8" s="1"/>
  <c r="L168" i="8" s="1"/>
  <c r="D169" i="8" s="1"/>
  <c r="J168" i="7"/>
  <c r="K168" i="7" s="1"/>
  <c r="L168" i="7" s="1"/>
  <c r="D169" i="7" s="1"/>
  <c r="G173" i="6"/>
  <c r="E173" i="6"/>
  <c r="F173" i="6" s="1"/>
  <c r="H173" i="6" s="1"/>
  <c r="G171" i="5"/>
  <c r="F171" i="5"/>
  <c r="H171" i="5" s="1"/>
  <c r="J172" i="4"/>
  <c r="K172" i="4" s="1"/>
  <c r="L172" i="4" s="1"/>
  <c r="D173" i="4" s="1"/>
  <c r="G169" i="8" l="1"/>
  <c r="F169" i="8"/>
  <c r="G169" i="7"/>
  <c r="F169" i="7"/>
  <c r="H169" i="7" s="1"/>
  <c r="J173" i="6"/>
  <c r="K173" i="6" s="1"/>
  <c r="L173" i="6" s="1"/>
  <c r="D174" i="6" s="1"/>
  <c r="J171" i="5"/>
  <c r="K171" i="5" s="1"/>
  <c r="L171" i="5" s="1"/>
  <c r="D172" i="5" s="1"/>
  <c r="G173" i="4"/>
  <c r="E173" i="4"/>
  <c r="F173" i="4" s="1"/>
  <c r="H173" i="4" s="1"/>
  <c r="H169" i="8" l="1"/>
  <c r="J169" i="8"/>
  <c r="K169" i="8" s="1"/>
  <c r="L169" i="8" s="1"/>
  <c r="D170" i="8" s="1"/>
  <c r="J169" i="7"/>
  <c r="K169" i="7" s="1"/>
  <c r="L169" i="7" s="1"/>
  <c r="D170" i="7" s="1"/>
  <c r="G174" i="6"/>
  <c r="F174" i="6"/>
  <c r="H174" i="6" s="1"/>
  <c r="G172" i="5"/>
  <c r="E172" i="5"/>
  <c r="F172" i="5" s="1"/>
  <c r="H172" i="5" s="1"/>
  <c r="J173" i="4"/>
  <c r="K173" i="4" s="1"/>
  <c r="L173" i="4" s="1"/>
  <c r="D174" i="4" s="1"/>
  <c r="G170" i="8" l="1"/>
  <c r="E170" i="8"/>
  <c r="F170" i="8" s="1"/>
  <c r="G170" i="7"/>
  <c r="E170" i="7"/>
  <c r="F170" i="7" s="1"/>
  <c r="H170" i="7" s="1"/>
  <c r="J174" i="6"/>
  <c r="K174" i="6" s="1"/>
  <c r="L174" i="6" s="1"/>
  <c r="D175" i="6" s="1"/>
  <c r="K172" i="5"/>
  <c r="L172" i="5" s="1"/>
  <c r="D173" i="5" s="1"/>
  <c r="J172" i="5"/>
  <c r="G174" i="4"/>
  <c r="F174" i="4"/>
  <c r="H170" i="8" l="1"/>
  <c r="J170" i="8" s="1"/>
  <c r="K170" i="8" s="1"/>
  <c r="L170" i="8" s="1"/>
  <c r="D171" i="8" s="1"/>
  <c r="J170" i="7"/>
  <c r="K170" i="7" s="1"/>
  <c r="L170" i="7" s="1"/>
  <c r="D171" i="7" s="1"/>
  <c r="G175" i="6"/>
  <c r="E175" i="6"/>
  <c r="F175" i="6" s="1"/>
  <c r="H175" i="6" s="1"/>
  <c r="G173" i="5"/>
  <c r="E173" i="5"/>
  <c r="F173" i="5" s="1"/>
  <c r="H173" i="5" s="1"/>
  <c r="H174" i="4"/>
  <c r="J174" i="4"/>
  <c r="K174" i="4" s="1"/>
  <c r="L174" i="4" s="1"/>
  <c r="D175" i="4" s="1"/>
  <c r="G171" i="8" l="1"/>
  <c r="F171" i="8"/>
  <c r="G171" i="7"/>
  <c r="F171" i="7"/>
  <c r="H171" i="7" s="1"/>
  <c r="J175" i="6"/>
  <c r="K175" i="6" s="1"/>
  <c r="L175" i="6" s="1"/>
  <c r="D176" i="6" s="1"/>
  <c r="J173" i="5"/>
  <c r="K173" i="5" s="1"/>
  <c r="L173" i="5" s="1"/>
  <c r="D174" i="5" s="1"/>
  <c r="G175" i="4"/>
  <c r="E175" i="4"/>
  <c r="F175" i="4" s="1"/>
  <c r="H175" i="4" s="1"/>
  <c r="H171" i="8" l="1"/>
  <c r="J171" i="8" s="1"/>
  <c r="K171" i="8" s="1"/>
  <c r="L171" i="8" s="1"/>
  <c r="D172" i="8" s="1"/>
  <c r="J171" i="7"/>
  <c r="K171" i="7"/>
  <c r="L171" i="7" s="1"/>
  <c r="D172" i="7" s="1"/>
  <c r="G176" i="6"/>
  <c r="E176" i="6"/>
  <c r="F176" i="6" s="1"/>
  <c r="H176" i="6" s="1"/>
  <c r="G174" i="5"/>
  <c r="F174" i="5"/>
  <c r="H174" i="5" s="1"/>
  <c r="J175" i="4"/>
  <c r="K175" i="4" s="1"/>
  <c r="L175" i="4" s="1"/>
  <c r="D176" i="4" s="1"/>
  <c r="G172" i="8" l="1"/>
  <c r="E172" i="8"/>
  <c r="F172" i="8" s="1"/>
  <c r="H172" i="8" s="1"/>
  <c r="G172" i="7"/>
  <c r="E172" i="7"/>
  <c r="F172" i="7" s="1"/>
  <c r="H172" i="7" s="1"/>
  <c r="J176" i="6"/>
  <c r="K176" i="6" s="1"/>
  <c r="L176" i="6" s="1"/>
  <c r="D177" i="6" s="1"/>
  <c r="K174" i="5"/>
  <c r="L174" i="5" s="1"/>
  <c r="D175" i="5" s="1"/>
  <c r="J174" i="5"/>
  <c r="G176" i="4"/>
  <c r="E176" i="4"/>
  <c r="F176" i="4" s="1"/>
  <c r="H176" i="4" s="1"/>
  <c r="J172" i="8" l="1"/>
  <c r="K172" i="8" s="1"/>
  <c r="L172" i="8" s="1"/>
  <c r="D173" i="8" s="1"/>
  <c r="J172" i="7"/>
  <c r="K172" i="7" s="1"/>
  <c r="L172" i="7" s="1"/>
  <c r="D173" i="7" s="1"/>
  <c r="G177" i="6"/>
  <c r="E177" i="6"/>
  <c r="F177" i="6" s="1"/>
  <c r="H177" i="6" s="1"/>
  <c r="G175" i="5"/>
  <c r="E175" i="5"/>
  <c r="F175" i="5" s="1"/>
  <c r="H175" i="5" s="1"/>
  <c r="J176" i="4"/>
  <c r="K176" i="4" s="1"/>
  <c r="L176" i="4" s="1"/>
  <c r="D177" i="4" s="1"/>
  <c r="G173" i="8" l="1"/>
  <c r="E173" i="8"/>
  <c r="F173" i="8" s="1"/>
  <c r="H173" i="8" s="1"/>
  <c r="E173" i="7"/>
  <c r="F173" i="7" s="1"/>
  <c r="G173" i="7"/>
  <c r="J177" i="6"/>
  <c r="K177" i="6" s="1"/>
  <c r="L177" i="6" s="1"/>
  <c r="D178" i="6" s="1"/>
  <c r="J175" i="5"/>
  <c r="K175" i="5" s="1"/>
  <c r="L175" i="5" s="1"/>
  <c r="D176" i="5" s="1"/>
  <c r="G177" i="4"/>
  <c r="E177" i="4"/>
  <c r="F177" i="4" s="1"/>
  <c r="J173" i="8" l="1"/>
  <c r="K173" i="8" s="1"/>
  <c r="L173" i="8" s="1"/>
  <c r="D174" i="8" s="1"/>
  <c r="H173" i="7"/>
  <c r="J173" i="7"/>
  <c r="K173" i="7" s="1"/>
  <c r="L173" i="7" s="1"/>
  <c r="D174" i="7" s="1"/>
  <c r="G178" i="6"/>
  <c r="E178" i="6"/>
  <c r="F178" i="6" s="1"/>
  <c r="H178" i="6" s="1"/>
  <c r="G176" i="5"/>
  <c r="E176" i="5"/>
  <c r="F176" i="5" s="1"/>
  <c r="H176" i="5" s="1"/>
  <c r="H177" i="4"/>
  <c r="J177" i="4" s="1"/>
  <c r="K177" i="4" s="1"/>
  <c r="L177" i="4" s="1"/>
  <c r="D178" i="4" s="1"/>
  <c r="F174" i="8" l="1"/>
  <c r="G174" i="8"/>
  <c r="G174" i="7"/>
  <c r="F174" i="7"/>
  <c r="H174" i="7" s="1"/>
  <c r="K178" i="6"/>
  <c r="L178" i="6" s="1"/>
  <c r="D179" i="6" s="1"/>
  <c r="J178" i="6"/>
  <c r="J176" i="5"/>
  <c r="K176" i="5" s="1"/>
  <c r="L176" i="5" s="1"/>
  <c r="D177" i="5" s="1"/>
  <c r="G178" i="4"/>
  <c r="E178" i="4"/>
  <c r="F178" i="4" s="1"/>
  <c r="H174" i="8" l="1"/>
  <c r="J174" i="8" s="1"/>
  <c r="K174" i="8" s="1"/>
  <c r="L174" i="8" s="1"/>
  <c r="D175" i="8" s="1"/>
  <c r="J174" i="7"/>
  <c r="K174" i="7" s="1"/>
  <c r="L174" i="7" s="1"/>
  <c r="D175" i="7" s="1"/>
  <c r="G179" i="6"/>
  <c r="F179" i="6"/>
  <c r="H179" i="6" s="1"/>
  <c r="E179" i="6"/>
  <c r="G177" i="5"/>
  <c r="E177" i="5"/>
  <c r="F177" i="5" s="1"/>
  <c r="H177" i="5" s="1"/>
  <c r="H178" i="4"/>
  <c r="J178" i="4"/>
  <c r="K178" i="4" s="1"/>
  <c r="L178" i="4" s="1"/>
  <c r="D179" i="4" s="1"/>
  <c r="G175" i="8" l="1"/>
  <c r="E175" i="8"/>
  <c r="F175" i="8" s="1"/>
  <c r="H175" i="8" s="1"/>
  <c r="G175" i="7"/>
  <c r="E175" i="7"/>
  <c r="F175" i="7" s="1"/>
  <c r="J179" i="6"/>
  <c r="K179" i="6" s="1"/>
  <c r="L179" i="6" s="1"/>
  <c r="D180" i="6" s="1"/>
  <c r="J177" i="5"/>
  <c r="K177" i="5"/>
  <c r="L177" i="5" s="1"/>
  <c r="D178" i="5" s="1"/>
  <c r="G179" i="4"/>
  <c r="E179" i="4"/>
  <c r="F179" i="4" s="1"/>
  <c r="J175" i="8" l="1"/>
  <c r="K175" i="8" s="1"/>
  <c r="L175" i="8" s="1"/>
  <c r="D176" i="8" s="1"/>
  <c r="H175" i="7"/>
  <c r="E180" i="6"/>
  <c r="G180" i="6"/>
  <c r="F180" i="6"/>
  <c r="H180" i="6" s="1"/>
  <c r="G178" i="5"/>
  <c r="E178" i="5"/>
  <c r="F178" i="5" s="1"/>
  <c r="H178" i="5" s="1"/>
  <c r="H179" i="4"/>
  <c r="J179" i="4"/>
  <c r="K179" i="4" s="1"/>
  <c r="L179" i="4" s="1"/>
  <c r="D180" i="4" s="1"/>
  <c r="G176" i="8" l="1"/>
  <c r="E176" i="8"/>
  <c r="F176" i="8" s="1"/>
  <c r="H176" i="8" s="1"/>
  <c r="J175" i="7"/>
  <c r="K175" i="7" s="1"/>
  <c r="L175" i="7" s="1"/>
  <c r="D176" i="7" s="1"/>
  <c r="J180" i="6"/>
  <c r="K180" i="6" s="1"/>
  <c r="L180" i="6" s="1"/>
  <c r="D181" i="6" s="1"/>
  <c r="J178" i="5"/>
  <c r="K178" i="5" s="1"/>
  <c r="L178" i="5" s="1"/>
  <c r="D179" i="5" s="1"/>
  <c r="E180" i="4"/>
  <c r="F180" i="4" s="1"/>
  <c r="G180" i="4"/>
  <c r="J176" i="8" l="1"/>
  <c r="K176" i="8" s="1"/>
  <c r="L176" i="8" s="1"/>
  <c r="D177" i="8" s="1"/>
  <c r="G176" i="7"/>
  <c r="E176" i="7"/>
  <c r="F176" i="7" s="1"/>
  <c r="H176" i="7" s="1"/>
  <c r="G181" i="6"/>
  <c r="E181" i="6"/>
  <c r="F181" i="6" s="1"/>
  <c r="H181" i="6" s="1"/>
  <c r="G179" i="5"/>
  <c r="E179" i="5"/>
  <c r="F179" i="5" s="1"/>
  <c r="H179" i="5" s="1"/>
  <c r="H180" i="4"/>
  <c r="G177" i="8" l="1"/>
  <c r="E177" i="8"/>
  <c r="F177" i="8" s="1"/>
  <c r="H177" i="8" s="1"/>
  <c r="J176" i="7"/>
  <c r="K176" i="7"/>
  <c r="L176" i="7" s="1"/>
  <c r="D177" i="7" s="1"/>
  <c r="J181" i="6"/>
  <c r="K181" i="6" s="1"/>
  <c r="L181" i="6" s="1"/>
  <c r="D182" i="6" s="1"/>
  <c r="J179" i="5"/>
  <c r="K179" i="5" s="1"/>
  <c r="L179" i="5" s="1"/>
  <c r="D180" i="5" s="1"/>
  <c r="J180" i="4"/>
  <c r="K180" i="4" s="1"/>
  <c r="L180" i="4" s="1"/>
  <c r="D181" i="4" s="1"/>
  <c r="J177" i="8" l="1"/>
  <c r="K177" i="8" s="1"/>
  <c r="L177" i="8" s="1"/>
  <c r="D178" i="8" s="1"/>
  <c r="G177" i="7"/>
  <c r="E177" i="7"/>
  <c r="F177" i="7" s="1"/>
  <c r="H177" i="7" s="1"/>
  <c r="G182" i="6"/>
  <c r="E182" i="6"/>
  <c r="F182" i="6" s="1"/>
  <c r="H182" i="6" s="1"/>
  <c r="E180" i="5"/>
  <c r="F180" i="5" s="1"/>
  <c r="H180" i="5" s="1"/>
  <c r="G180" i="5"/>
  <c r="G181" i="4"/>
  <c r="E181" i="4"/>
  <c r="F181" i="4" s="1"/>
  <c r="G178" i="8" l="1"/>
  <c r="E178" i="8"/>
  <c r="F178" i="8" s="1"/>
  <c r="H178" i="8" s="1"/>
  <c r="J177" i="7"/>
  <c r="K177" i="7" s="1"/>
  <c r="L177" i="7" s="1"/>
  <c r="D178" i="7" s="1"/>
  <c r="K182" i="6"/>
  <c r="L182" i="6" s="1"/>
  <c r="D183" i="6" s="1"/>
  <c r="J182" i="6"/>
  <c r="K180" i="5"/>
  <c r="L180" i="5" s="1"/>
  <c r="D181" i="5" s="1"/>
  <c r="J180" i="5"/>
  <c r="H181" i="4"/>
  <c r="J181" i="4" s="1"/>
  <c r="K181" i="4" s="1"/>
  <c r="L181" i="4" s="1"/>
  <c r="D182" i="4" s="1"/>
  <c r="J178" i="8" l="1"/>
  <c r="K178" i="8" s="1"/>
  <c r="L178" i="8" s="1"/>
  <c r="D179" i="8" s="1"/>
  <c r="G178" i="7"/>
  <c r="E178" i="7"/>
  <c r="F178" i="7" s="1"/>
  <c r="H178" i="7" s="1"/>
  <c r="G183" i="6"/>
  <c r="E183" i="6"/>
  <c r="F183" i="6" s="1"/>
  <c r="H183" i="6" s="1"/>
  <c r="G181" i="5"/>
  <c r="E181" i="5"/>
  <c r="F181" i="5" s="1"/>
  <c r="H181" i="5" s="1"/>
  <c r="G182" i="4"/>
  <c r="E182" i="4"/>
  <c r="F182" i="4" s="1"/>
  <c r="H182" i="4" s="1"/>
  <c r="G179" i="8" l="1"/>
  <c r="E179" i="8"/>
  <c r="F179" i="8" s="1"/>
  <c r="J178" i="7"/>
  <c r="K178" i="7" s="1"/>
  <c r="L178" i="7" s="1"/>
  <c r="D179" i="7" s="1"/>
  <c r="J183" i="6"/>
  <c r="K183" i="6" s="1"/>
  <c r="L183" i="6" s="1"/>
  <c r="D184" i="6" s="1"/>
  <c r="J181" i="5"/>
  <c r="K181" i="5" s="1"/>
  <c r="L181" i="5" s="1"/>
  <c r="D182" i="5" s="1"/>
  <c r="J182" i="4"/>
  <c r="K182" i="4" s="1"/>
  <c r="L182" i="4" s="1"/>
  <c r="D183" i="4" s="1"/>
  <c r="H179" i="8" l="1"/>
  <c r="J179" i="8" s="1"/>
  <c r="K179" i="8" s="1"/>
  <c r="L179" i="8" s="1"/>
  <c r="D180" i="8" s="1"/>
  <c r="E179" i="7"/>
  <c r="F179" i="7" s="1"/>
  <c r="G179" i="7"/>
  <c r="G184" i="6"/>
  <c r="E184" i="6"/>
  <c r="F184" i="6" s="1"/>
  <c r="H184" i="6" s="1"/>
  <c r="G182" i="5"/>
  <c r="E182" i="5"/>
  <c r="F182" i="5" s="1"/>
  <c r="H182" i="5" s="1"/>
  <c r="G183" i="4"/>
  <c r="E183" i="4"/>
  <c r="F183" i="4" s="1"/>
  <c r="H183" i="4" s="1"/>
  <c r="E180" i="8" l="1"/>
  <c r="F180" i="8" s="1"/>
  <c r="G180" i="8"/>
  <c r="H179" i="7"/>
  <c r="J184" i="6"/>
  <c r="K184" i="6" s="1"/>
  <c r="L184" i="6" s="1"/>
  <c r="J182" i="5"/>
  <c r="K182" i="5" s="1"/>
  <c r="L182" i="5" s="1"/>
  <c r="D183" i="5" s="1"/>
  <c r="J183" i="4"/>
  <c r="K183" i="4" s="1"/>
  <c r="L183" i="4" s="1"/>
  <c r="D184" i="4" s="1"/>
  <c r="H180" i="8" l="1"/>
  <c r="J179" i="7"/>
  <c r="K179" i="7" s="1"/>
  <c r="L179" i="7" s="1"/>
  <c r="D180" i="7" s="1"/>
  <c r="G183" i="5"/>
  <c r="E183" i="5"/>
  <c r="F183" i="5" s="1"/>
  <c r="H183" i="5" s="1"/>
  <c r="G184" i="4"/>
  <c r="E184" i="4"/>
  <c r="F184" i="4" s="1"/>
  <c r="H184" i="4" s="1"/>
  <c r="J180" i="8" l="1"/>
  <c r="K180" i="8" s="1"/>
  <c r="L180" i="8" s="1"/>
  <c r="D181" i="8" s="1"/>
  <c r="E180" i="7"/>
  <c r="G180" i="7"/>
  <c r="F180" i="7"/>
  <c r="H180" i="7" s="1"/>
  <c r="J183" i="5"/>
  <c r="K183" i="5"/>
  <c r="L183" i="5" s="1"/>
  <c r="D184" i="5" s="1"/>
  <c r="J184" i="4"/>
  <c r="K184" i="4" s="1"/>
  <c r="L184" i="4" s="1"/>
  <c r="G181" i="8" l="1"/>
  <c r="E181" i="8"/>
  <c r="F181" i="8" s="1"/>
  <c r="J180" i="7"/>
  <c r="K180" i="7" s="1"/>
  <c r="L180" i="7" s="1"/>
  <c r="D181" i="7" s="1"/>
  <c r="G184" i="5"/>
  <c r="E184" i="5"/>
  <c r="F184" i="5" s="1"/>
  <c r="H184" i="5" s="1"/>
  <c r="H181" i="8" l="1"/>
  <c r="J181" i="8"/>
  <c r="K181" i="8" s="1"/>
  <c r="L181" i="8" s="1"/>
  <c r="D182" i="8" s="1"/>
  <c r="G181" i="7"/>
  <c r="E181" i="7"/>
  <c r="F181" i="7" s="1"/>
  <c r="J184" i="5"/>
  <c r="K184" i="5" s="1"/>
  <c r="L184" i="5" s="1"/>
  <c r="G182" i="8" l="1"/>
  <c r="E182" i="8"/>
  <c r="F182" i="8" s="1"/>
  <c r="H181" i="7"/>
  <c r="J181" i="7"/>
  <c r="K181" i="7" s="1"/>
  <c r="L181" i="7" s="1"/>
  <c r="D182" i="7" s="1"/>
  <c r="H182" i="8" l="1"/>
  <c r="J182" i="8"/>
  <c r="K182" i="8" s="1"/>
  <c r="L182" i="8" s="1"/>
  <c r="D183" i="8" s="1"/>
  <c r="G182" i="7"/>
  <c r="E182" i="7"/>
  <c r="F182" i="7" s="1"/>
  <c r="H182" i="7" s="1"/>
  <c r="G183" i="8" l="1"/>
  <c r="E183" i="8"/>
  <c r="F183" i="8" s="1"/>
  <c r="H183" i="8" s="1"/>
  <c r="J182" i="7"/>
  <c r="K182" i="7"/>
  <c r="L182" i="7" s="1"/>
  <c r="D183" i="7" s="1"/>
  <c r="J183" i="8" l="1"/>
  <c r="K183" i="8"/>
  <c r="L183" i="8" s="1"/>
  <c r="D184" i="8" s="1"/>
  <c r="G183" i="7"/>
  <c r="E183" i="7"/>
  <c r="F183" i="7" s="1"/>
  <c r="G184" i="8" l="1"/>
  <c r="E184" i="8"/>
  <c r="F184" i="8" s="1"/>
  <c r="H184" i="8" s="1"/>
  <c r="H183" i="7"/>
  <c r="J183" i="7"/>
  <c r="K183" i="7" s="1"/>
  <c r="L183" i="7" s="1"/>
  <c r="D184" i="7" s="1"/>
  <c r="J184" i="8" l="1"/>
  <c r="K184" i="8" s="1"/>
  <c r="L184" i="8" s="1"/>
  <c r="G184" i="7"/>
  <c r="E184" i="7"/>
  <c r="F184" i="7" s="1"/>
  <c r="H184" i="7" s="1"/>
  <c r="J184" i="7" l="1"/>
  <c r="K184" i="7" s="1"/>
  <c r="L184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C24C8D-54EC-4B63-BD73-EF1C5CD21090}" keepAlive="1" name="Zapytanie — pogoda" description="Połączenie z zapytaniem „pogoda” w skoroszycie." type="5" refreshedVersion="0" background="1">
    <dbPr connection="Provider=Microsoft.Mashup.OleDb.1;Data Source=$Workbook$;Location=pogoda;Extended Properties=&quot;&quot;" command="SELECT * FROM [pogoda]"/>
  </connection>
  <connection id="2" xr16:uid="{90579E2C-D267-4FD0-8111-15B6BE1773FB}" keepAlive="1" name="Zapytanie — pogoda (2)" description="Połączenie z zapytaniem „pogoda (2)” w skoroszycie." type="5" refreshedVersion="8" background="1" saveData="1">
    <dbPr connection="Provider=Microsoft.Mashup.OleDb.1;Data Source=$Workbook$;Location=&quot;pogoda (2)&quot;;Extended Properties=&quot;&quot;" command="SELECT * FROM [pogoda (2)]"/>
  </connection>
  <connection id="3" xr16:uid="{B4941267-363A-4D85-B2A2-694D4C9C1C37}" keepAlive="1" name="Zapytanie — pogoda (3)" description="Połączenie z zapytaniem „pogoda (3)” w skoroszycie." type="5" refreshedVersion="8" background="1" saveData="1">
    <dbPr connection="Provider=Microsoft.Mashup.OleDb.1;Data Source=$Workbook$;Location=&quot;pogoda (3)&quot;;Extended Properties=&quot;&quot;" command="SELECT * FROM [pogoda (3)]"/>
  </connection>
  <connection id="4" xr16:uid="{A7E5B738-3AC5-49BB-AA6B-98D75F178883}" keepAlive="1" name="Zapytanie — pogoda (4)" description="Połączenie z zapytaniem „pogoda (4)” w skoroszycie." type="5" refreshedVersion="8" background="1" saveData="1">
    <dbPr connection="Provider=Microsoft.Mashup.OleDb.1;Data Source=$Workbook$;Location=&quot;pogoda (4)&quot;;Extended Properties=&quot;&quot;" command="SELECT * FROM [pogoda (4)]"/>
  </connection>
  <connection id="5" xr16:uid="{CF12A766-7414-447E-AEE1-260FBB24DA61}" keepAlive="1" name="Zapytanie — pogoda (5)" description="Połączenie z zapytaniem „pogoda (5)” w skoroszycie." type="5" refreshedVersion="8" background="1" saveData="1">
    <dbPr connection="Provider=Microsoft.Mashup.OleDb.1;Data Source=$Workbook$;Location=&quot;pogoda (5)&quot;;Extended Properties=&quot;&quot;" command="SELECT * FROM [pogoda (5)]"/>
  </connection>
  <connection id="6" xr16:uid="{A547E848-CDBA-432E-A043-4ECDA432F3D9}" keepAlive="1" name="Zapytanie — pogoda (6)" description="Połączenie z zapytaniem „pogoda (6)” w skoroszycie." type="5" refreshedVersion="8" background="1" saveData="1">
    <dbPr connection="Provider=Microsoft.Mashup.OleDb.1;Data Source=$Workbook$;Location=&quot;pogoda (6)&quot;;Extended Properties=&quot;&quot;" command="SELECT * FROM [pogoda (6)]"/>
  </connection>
  <connection id="7" xr16:uid="{70CEE93F-BF21-4B4E-B8C6-408CC30CE7DE}" keepAlive="1" name="Zapytanie — pogoda (7)" description="Połączenie z zapytaniem „pogoda (7)” w skoroszycie." type="5" refreshedVersion="8" background="1" saveData="1">
    <dbPr connection="Provider=Microsoft.Mashup.OleDb.1;Data Source=$Workbook$;Location=&quot;pogoda (7)&quot;;Extended Properties=&quot;&quot;" command="SELECT * FROM [pogoda (7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<sst xmlns="http://schemas.openxmlformats.org/spreadsheetml/2006/main" count="103" uniqueCount="32">
  <si>
    <t>temperatura_srednia</t>
  </si>
  <si>
    <t>opady</t>
  </si>
  <si>
    <t>ile_dolewaja</t>
  </si>
  <si>
    <t>stan_przed_dolaniem</t>
  </si>
  <si>
    <t>maks_pojemność</t>
  </si>
  <si>
    <t>stan_po_dolaniu</t>
  </si>
  <si>
    <t>ubytek</t>
  </si>
  <si>
    <t>dzienne parowanie</t>
  </si>
  <si>
    <t>stan_po_ubytku</t>
  </si>
  <si>
    <t>data</t>
  </si>
  <si>
    <t>ile_podlewamy</t>
  </si>
  <si>
    <t>stan_po_podlaniu</t>
  </si>
  <si>
    <t>ile_dolać_do_podlania</t>
  </si>
  <si>
    <t>stan_po_dolaniu_do_podlania</t>
  </si>
  <si>
    <t>ile_pogoda_dolała</t>
  </si>
  <si>
    <t>Suma końcowa</t>
  </si>
  <si>
    <t>kwi</t>
  </si>
  <si>
    <t>maj</t>
  </si>
  <si>
    <t>cze</t>
  </si>
  <si>
    <t>lip</t>
  </si>
  <si>
    <t>sie</t>
  </si>
  <si>
    <t>wrz</t>
  </si>
  <si>
    <t>dzień</t>
  </si>
  <si>
    <t>stan_wody</t>
  </si>
  <si>
    <t>miesiąc</t>
  </si>
  <si>
    <t>liczba dolanych litrów wody</t>
  </si>
  <si>
    <t>liczba dolanych m3 wody</t>
  </si>
  <si>
    <t>cena</t>
  </si>
  <si>
    <t>czy_temp_mniejsza_rowna_15</t>
  </si>
  <si>
    <t>temp_wieksza_15_opady_nie_przekraczaja_0_61</t>
  </si>
  <si>
    <t>temp_wieksza_15_opady_przekraczaja_0_612</t>
  </si>
  <si>
    <t>temp_mniejsza_rowna_15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</si>
</sst>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0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64" fontId="0" fillId="2" borderId="0" xfId="0" applyNumberFormat="1" applyFill="1"/>
    <xf numFmtId="0" fontId="1" fillId="2" borderId="1" xfId="0" applyFont="1" applyFill="1" applyBorder="1"/>
  </cellXfs>
  <cellStyles count="1">
    <cellStyle name="Normalny" xfId="0" builtinId="0"/>
  </cellStyles>
  <dxfs count="56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[Zadanie5.xlsx]2!Tabela przestawna2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Kształtowanie się ilości wody w zbiorniku w okresie od 1 kwietnia do 30 września 2015 roku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'2'!$O$1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'2'!$N$2:$N$185</c:f>
              <c:strCache>
                <c:ptCount val="183"/>
                <c:pt idx="0">
                  <c:v>01.04.2015</c:v>
                </c:pt>
                <c:pt idx="1">
                  <c:v>02.04.2015</c:v>
                </c:pt>
                <c:pt idx="2">
                  <c:v>03.04.2015</c:v>
                </c:pt>
                <c:pt idx="3">
                  <c:v>04.04.2015</c:v>
                </c:pt>
                <c:pt idx="4">
                  <c:v>05.04.2015</c:v>
                </c:pt>
                <c:pt idx="5">
                  <c:v>06.04.2015</c:v>
                </c:pt>
                <c:pt idx="6">
                  <c:v>07.04.2015</c:v>
                </c:pt>
                <c:pt idx="7">
                  <c:v>08.04.2015</c:v>
                </c:pt>
                <c:pt idx="8">
                  <c:v>09.04.2015</c:v>
                </c:pt>
                <c:pt idx="9">
                  <c:v>10.04.2015</c:v>
                </c:pt>
                <c:pt idx="10">
                  <c:v>11.04.2015</c:v>
                </c:pt>
                <c:pt idx="11">
                  <c:v>12.04.2015</c:v>
                </c:pt>
                <c:pt idx="12">
                  <c:v>13.04.2015</c:v>
                </c:pt>
                <c:pt idx="13">
                  <c:v>14.04.2015</c:v>
                </c:pt>
                <c:pt idx="14">
                  <c:v>15.04.2015</c:v>
                </c:pt>
                <c:pt idx="15">
                  <c:v>16.04.2015</c:v>
                </c:pt>
                <c:pt idx="16">
                  <c:v>17.04.2015</c:v>
                </c:pt>
                <c:pt idx="17">
                  <c:v>18.04.2015</c:v>
                </c:pt>
                <c:pt idx="18">
                  <c:v>19.04.2015</c:v>
                </c:pt>
                <c:pt idx="19">
                  <c:v>20.04.2015</c:v>
                </c:pt>
                <c:pt idx="20">
                  <c:v>21.04.2015</c:v>
                </c:pt>
                <c:pt idx="21">
                  <c:v>22.04.2015</c:v>
                </c:pt>
                <c:pt idx="22">
                  <c:v>23.04.2015</c:v>
                </c:pt>
                <c:pt idx="23">
                  <c:v>24.04.2015</c:v>
                </c:pt>
                <c:pt idx="24">
                  <c:v>25.04.2015</c:v>
                </c:pt>
                <c:pt idx="25">
                  <c:v>26.04.2015</c:v>
                </c:pt>
                <c:pt idx="26">
                  <c:v>27.04.2015</c:v>
                </c:pt>
                <c:pt idx="27">
                  <c:v>28.04.2015</c:v>
                </c:pt>
                <c:pt idx="28">
                  <c:v>29.04.2015</c:v>
                </c:pt>
                <c:pt idx="29">
                  <c:v>30.04.2015</c:v>
                </c:pt>
                <c:pt idx="30">
                  <c:v>01.05.2015</c:v>
                </c:pt>
                <c:pt idx="31">
                  <c:v>02.05.2015</c:v>
                </c:pt>
                <c:pt idx="32">
                  <c:v>03.05.2015</c:v>
                </c:pt>
                <c:pt idx="33">
                  <c:v>04.05.2015</c:v>
                </c:pt>
                <c:pt idx="34">
                  <c:v>05.05.2015</c:v>
                </c:pt>
                <c:pt idx="35">
                  <c:v>06.05.2015</c:v>
                </c:pt>
                <c:pt idx="36">
                  <c:v>07.05.2015</c:v>
                </c:pt>
                <c:pt idx="37">
                  <c:v>08.05.2015</c:v>
                </c:pt>
                <c:pt idx="38">
                  <c:v>09.05.2015</c:v>
                </c:pt>
                <c:pt idx="39">
                  <c:v>10.05.2015</c:v>
                </c:pt>
                <c:pt idx="40">
                  <c:v>11.05.2015</c:v>
                </c:pt>
                <c:pt idx="41">
                  <c:v>12.05.2015</c:v>
                </c:pt>
                <c:pt idx="42">
                  <c:v>13.05.2015</c:v>
                </c:pt>
                <c:pt idx="43">
                  <c:v>14.05.2015</c:v>
                </c:pt>
                <c:pt idx="44">
                  <c:v>15.05.2015</c:v>
                </c:pt>
                <c:pt idx="45">
                  <c:v>16.05.2015</c:v>
                </c:pt>
                <c:pt idx="46">
                  <c:v>17.05.2015</c:v>
                </c:pt>
                <c:pt idx="47">
                  <c:v>18.05.2015</c:v>
                </c:pt>
                <c:pt idx="48">
                  <c:v>19.05.2015</c:v>
                </c:pt>
                <c:pt idx="49">
                  <c:v>20.05.2015</c:v>
                </c:pt>
                <c:pt idx="50">
                  <c:v>21.05.2015</c:v>
                </c:pt>
                <c:pt idx="51">
                  <c:v>22.05.2015</c:v>
                </c:pt>
                <c:pt idx="52">
                  <c:v>23.05.2015</c:v>
                </c:pt>
                <c:pt idx="53">
                  <c:v>24.05.2015</c:v>
                </c:pt>
                <c:pt idx="54">
                  <c:v>25.05.2015</c:v>
                </c:pt>
                <c:pt idx="55">
                  <c:v>26.05.2015</c:v>
                </c:pt>
                <c:pt idx="56">
                  <c:v>27.05.2015</c:v>
                </c:pt>
                <c:pt idx="57">
                  <c:v>28.05.2015</c:v>
                </c:pt>
                <c:pt idx="58">
                  <c:v>29.05.2015</c:v>
                </c:pt>
                <c:pt idx="59">
                  <c:v>30.05.2015</c:v>
                </c:pt>
                <c:pt idx="60">
                  <c:v>31.05.2015</c:v>
                </c:pt>
                <c:pt idx="61">
                  <c:v>01.06.2015</c:v>
                </c:pt>
                <c:pt idx="62">
                  <c:v>02.06.2015</c:v>
                </c:pt>
                <c:pt idx="63">
                  <c:v>03.06.2015</c:v>
                </c:pt>
                <c:pt idx="64">
                  <c:v>04.06.2015</c:v>
                </c:pt>
                <c:pt idx="65">
                  <c:v>05.06.2015</c:v>
                </c:pt>
                <c:pt idx="66">
                  <c:v>06.06.2015</c:v>
                </c:pt>
                <c:pt idx="67">
                  <c:v>07.06.2015</c:v>
                </c:pt>
                <c:pt idx="68">
                  <c:v>08.06.2015</c:v>
                </c:pt>
                <c:pt idx="69">
                  <c:v>09.06.2015</c:v>
                </c:pt>
                <c:pt idx="70">
                  <c:v>10.06.2015</c:v>
                </c:pt>
                <c:pt idx="71">
                  <c:v>11.06.2015</c:v>
                </c:pt>
                <c:pt idx="72">
                  <c:v>12.06.2015</c:v>
                </c:pt>
                <c:pt idx="73">
                  <c:v>13.06.2015</c:v>
                </c:pt>
                <c:pt idx="74">
                  <c:v>14.06.2015</c:v>
                </c:pt>
                <c:pt idx="75">
                  <c:v>15.06.2015</c:v>
                </c:pt>
                <c:pt idx="76">
                  <c:v>16.06.2015</c:v>
                </c:pt>
                <c:pt idx="77">
                  <c:v>17.06.2015</c:v>
                </c:pt>
                <c:pt idx="78">
                  <c:v>18.06.2015</c:v>
                </c:pt>
                <c:pt idx="79">
                  <c:v>19.06.2015</c:v>
                </c:pt>
                <c:pt idx="80">
                  <c:v>20.06.2015</c:v>
                </c:pt>
                <c:pt idx="81">
                  <c:v>21.06.2015</c:v>
                </c:pt>
                <c:pt idx="82">
                  <c:v>22.06.2015</c:v>
                </c:pt>
                <c:pt idx="83">
                  <c:v>23.06.2015</c:v>
                </c:pt>
                <c:pt idx="84">
                  <c:v>24.06.2015</c:v>
                </c:pt>
                <c:pt idx="85">
                  <c:v>25.06.2015</c:v>
                </c:pt>
                <c:pt idx="86">
                  <c:v>26.06.2015</c:v>
                </c:pt>
                <c:pt idx="87">
                  <c:v>27.06.2015</c:v>
                </c:pt>
                <c:pt idx="88">
                  <c:v>28.06.2015</c:v>
                </c:pt>
                <c:pt idx="89">
                  <c:v>29.06.2015</c:v>
                </c:pt>
                <c:pt idx="90">
                  <c:v>30.06.2015</c:v>
                </c:pt>
                <c:pt idx="91">
                  <c:v>01.07.2015</c:v>
                </c:pt>
                <c:pt idx="92">
                  <c:v>02.07.2015</c:v>
                </c:pt>
                <c:pt idx="93">
                  <c:v>03.07.2015</c:v>
                </c:pt>
                <c:pt idx="94">
                  <c:v>04.07.2015</c:v>
                </c:pt>
                <c:pt idx="95">
                  <c:v>05.07.2015</c:v>
                </c:pt>
                <c:pt idx="96">
                  <c:v>06.07.2015</c:v>
                </c:pt>
                <c:pt idx="97">
                  <c:v>07.07.2015</c:v>
                </c:pt>
                <c:pt idx="98">
                  <c:v>08.07.2015</c:v>
                </c:pt>
                <c:pt idx="99">
                  <c:v>09.07.2015</c:v>
                </c:pt>
                <c:pt idx="100">
                  <c:v>10.07.2015</c:v>
                </c:pt>
                <c:pt idx="101">
                  <c:v>11.07.2015</c:v>
                </c:pt>
                <c:pt idx="102">
                  <c:v>12.07.2015</c:v>
                </c:pt>
                <c:pt idx="103">
                  <c:v>13.07.2015</c:v>
                </c:pt>
                <c:pt idx="104">
                  <c:v>14.07.2015</c:v>
                </c:pt>
                <c:pt idx="105">
                  <c:v>15.07.2015</c:v>
                </c:pt>
                <c:pt idx="106">
                  <c:v>16.07.2015</c:v>
                </c:pt>
                <c:pt idx="107">
                  <c:v>17.07.2015</c:v>
                </c:pt>
                <c:pt idx="108">
                  <c:v>18.07.2015</c:v>
                </c:pt>
                <c:pt idx="109">
                  <c:v>19.07.2015</c:v>
                </c:pt>
                <c:pt idx="110">
                  <c:v>20.07.2015</c:v>
                </c:pt>
                <c:pt idx="111">
                  <c:v>21.07.2015</c:v>
                </c:pt>
                <c:pt idx="112">
                  <c:v>22.07.2015</c:v>
                </c:pt>
                <c:pt idx="113">
                  <c:v>23.07.2015</c:v>
                </c:pt>
                <c:pt idx="114">
                  <c:v>24.07.2015</c:v>
                </c:pt>
                <c:pt idx="115">
                  <c:v>25.07.2015</c:v>
                </c:pt>
                <c:pt idx="116">
                  <c:v>26.07.2015</c:v>
                </c:pt>
                <c:pt idx="117">
                  <c:v>27.07.2015</c:v>
                </c:pt>
                <c:pt idx="118">
                  <c:v>28.07.2015</c:v>
                </c:pt>
                <c:pt idx="119">
                  <c:v>29.07.2015</c:v>
                </c:pt>
                <c:pt idx="120">
                  <c:v>30.07.2015</c:v>
                </c:pt>
                <c:pt idx="121">
                  <c:v>31.07.2015</c:v>
                </c:pt>
                <c:pt idx="122">
                  <c:v>01.08.2015</c:v>
                </c:pt>
                <c:pt idx="123">
                  <c:v>02.08.2015</c:v>
                </c:pt>
                <c:pt idx="124">
                  <c:v>03.08.2015</c:v>
                </c:pt>
                <c:pt idx="125">
                  <c:v>04.08.2015</c:v>
                </c:pt>
                <c:pt idx="126">
                  <c:v>05.08.2015</c:v>
                </c:pt>
                <c:pt idx="127">
                  <c:v>06.08.2015</c:v>
                </c:pt>
                <c:pt idx="128">
                  <c:v>07.08.2015</c:v>
                </c:pt>
                <c:pt idx="129">
                  <c:v>08.08.2015</c:v>
                </c:pt>
                <c:pt idx="130">
                  <c:v>09.08.2015</c:v>
                </c:pt>
                <c:pt idx="131">
                  <c:v>10.08.2015</c:v>
                </c:pt>
                <c:pt idx="132">
                  <c:v>11.08.2015</c:v>
                </c:pt>
                <c:pt idx="133">
                  <c:v>12.08.2015</c:v>
                </c:pt>
                <c:pt idx="134">
                  <c:v>13.08.2015</c:v>
                </c:pt>
                <c:pt idx="135">
                  <c:v>14.08.2015</c:v>
                </c:pt>
                <c:pt idx="136">
                  <c:v>15.08.2015</c:v>
                </c:pt>
                <c:pt idx="137">
                  <c:v>16.08.2015</c:v>
                </c:pt>
                <c:pt idx="138">
                  <c:v>17.08.2015</c:v>
                </c:pt>
                <c:pt idx="139">
                  <c:v>18.08.2015</c:v>
                </c:pt>
                <c:pt idx="140">
                  <c:v>19.08.2015</c:v>
                </c:pt>
                <c:pt idx="141">
                  <c:v>20.08.2015</c:v>
                </c:pt>
                <c:pt idx="142">
                  <c:v>21.08.2015</c:v>
                </c:pt>
                <c:pt idx="143">
                  <c:v>22.08.2015</c:v>
                </c:pt>
                <c:pt idx="144">
                  <c:v>23.08.2015</c:v>
                </c:pt>
                <c:pt idx="145">
                  <c:v>24.08.2015</c:v>
                </c:pt>
                <c:pt idx="146">
                  <c:v>25.08.2015</c:v>
                </c:pt>
                <c:pt idx="147">
                  <c:v>26.08.2015</c:v>
                </c:pt>
                <c:pt idx="148">
                  <c:v>27.08.2015</c:v>
                </c:pt>
                <c:pt idx="149">
                  <c:v>28.08.2015</c:v>
                </c:pt>
                <c:pt idx="150">
                  <c:v>29.08.2015</c:v>
                </c:pt>
                <c:pt idx="151">
                  <c:v>30.08.2015</c:v>
                </c:pt>
                <c:pt idx="152">
                  <c:v>31.08.2015</c:v>
                </c:pt>
                <c:pt idx="153">
                  <c:v>01.09.2015</c:v>
                </c:pt>
                <c:pt idx="154">
                  <c:v>02.09.2015</c:v>
                </c:pt>
                <c:pt idx="155">
                  <c:v>03.09.2015</c:v>
                </c:pt>
                <c:pt idx="156">
                  <c:v>04.09.2015</c:v>
                </c:pt>
                <c:pt idx="157">
                  <c:v>05.09.2015</c:v>
                </c:pt>
                <c:pt idx="158">
                  <c:v>06.09.2015</c:v>
                </c:pt>
                <c:pt idx="159">
                  <c:v>07.09.2015</c:v>
                </c:pt>
                <c:pt idx="160">
                  <c:v>08.09.2015</c:v>
                </c:pt>
                <c:pt idx="161">
                  <c:v>09.09.2015</c:v>
                </c:pt>
                <c:pt idx="162">
                  <c:v>10.09.2015</c:v>
                </c:pt>
                <c:pt idx="163">
                  <c:v>11.09.2015</c:v>
                </c:pt>
                <c:pt idx="164">
                  <c:v>12.09.2015</c:v>
                </c:pt>
                <c:pt idx="165">
                  <c:v>13.09.2015</c:v>
                </c:pt>
                <c:pt idx="166">
                  <c:v>14.09.2015</c:v>
                </c:pt>
                <c:pt idx="167">
                  <c:v>15.09.2015</c:v>
                </c:pt>
                <c:pt idx="168">
                  <c:v>16.09.2015</c:v>
                </c:pt>
                <c:pt idx="169">
                  <c:v>17.09.2015</c:v>
                </c:pt>
                <c:pt idx="170">
                  <c:v>18.09.2015</c:v>
                </c:pt>
                <c:pt idx="171">
                  <c:v>19.09.2015</c:v>
                </c:pt>
                <c:pt idx="172">
                  <c:v>20.09.2015</c:v>
                </c:pt>
                <c:pt idx="173">
                  <c:v>21.09.2015</c:v>
                </c:pt>
                <c:pt idx="174">
                  <c:v>22.09.2015</c:v>
                </c:pt>
                <c:pt idx="175">
                  <c:v>23.09.2015</c:v>
                </c:pt>
                <c:pt idx="176">
                  <c:v>24.09.2015</c:v>
                </c:pt>
                <c:pt idx="177">
                  <c:v>25.09.2015</c:v>
                </c:pt>
                <c:pt idx="178">
                  <c:v>26.09.2015</c:v>
                </c:pt>
                <c:pt idx="179">
                  <c:v>27.09.2015</c:v>
                </c:pt>
                <c:pt idx="180">
                  <c:v>28.09.2015</c:v>
                </c:pt>
                <c:pt idx="181">
                  <c:v>29.09.2015</c:v>
                </c:pt>
                <c:pt idx="182">
                  <c:v>30.09.2015</c:v>
                </c:pt>
              </c:strCache>
            </c:strRef>
          </c:cat>
          <c:val>
            <c:numRef>
              <c:f>'2'!$O$2:$O$185</c:f>
              <c:numCache>
                <c:formatCode>General</c:formatCode>
                <c:ptCount val="183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25000</c:v>
                </c:pt>
                <c:pt idx="4">
                  <c:v>24961</c:v>
                </c:pt>
                <c:pt idx="5">
                  <c:v>24901</c:v>
                </c:pt>
                <c:pt idx="6">
                  <c:v>25000</c:v>
                </c:pt>
                <c:pt idx="7">
                  <c:v>25000</c:v>
                </c:pt>
                <c:pt idx="8">
                  <c:v>25000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24889</c:v>
                </c:pt>
                <c:pt idx="14">
                  <c:v>24497</c:v>
                </c:pt>
                <c:pt idx="15">
                  <c:v>24264</c:v>
                </c:pt>
                <c:pt idx="16">
                  <c:v>24157</c:v>
                </c:pt>
                <c:pt idx="17">
                  <c:v>24099</c:v>
                </c:pt>
                <c:pt idx="18">
                  <c:v>23965</c:v>
                </c:pt>
                <c:pt idx="19">
                  <c:v>24665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12520</c:v>
                </c:pt>
                <c:pt idx="26">
                  <c:v>13220</c:v>
                </c:pt>
                <c:pt idx="27">
                  <c:v>14620</c:v>
                </c:pt>
                <c:pt idx="28">
                  <c:v>14538</c:v>
                </c:pt>
                <c:pt idx="29">
                  <c:v>14400</c:v>
                </c:pt>
                <c:pt idx="30">
                  <c:v>17200</c:v>
                </c:pt>
                <c:pt idx="31">
                  <c:v>20700</c:v>
                </c:pt>
                <c:pt idx="32">
                  <c:v>23500</c:v>
                </c:pt>
                <c:pt idx="33">
                  <c:v>23780</c:v>
                </c:pt>
                <c:pt idx="34">
                  <c:v>12060</c:v>
                </c:pt>
                <c:pt idx="35">
                  <c:v>13000</c:v>
                </c:pt>
                <c:pt idx="36">
                  <c:v>12795</c:v>
                </c:pt>
                <c:pt idx="37">
                  <c:v>12673</c:v>
                </c:pt>
                <c:pt idx="38">
                  <c:v>12883</c:v>
                </c:pt>
                <c:pt idx="39">
                  <c:v>12953</c:v>
                </c:pt>
                <c:pt idx="40">
                  <c:v>12811</c:v>
                </c:pt>
                <c:pt idx="41">
                  <c:v>14911</c:v>
                </c:pt>
                <c:pt idx="42">
                  <c:v>14725</c:v>
                </c:pt>
                <c:pt idx="43">
                  <c:v>14585</c:v>
                </c:pt>
                <c:pt idx="44">
                  <c:v>14403</c:v>
                </c:pt>
                <c:pt idx="45">
                  <c:v>15663</c:v>
                </c:pt>
                <c:pt idx="46">
                  <c:v>17623</c:v>
                </c:pt>
                <c:pt idx="47">
                  <c:v>18953</c:v>
                </c:pt>
                <c:pt idx="48">
                  <c:v>20493</c:v>
                </c:pt>
                <c:pt idx="49">
                  <c:v>22103</c:v>
                </c:pt>
                <c:pt idx="50">
                  <c:v>25000</c:v>
                </c:pt>
                <c:pt idx="51">
                  <c:v>25000</c:v>
                </c:pt>
                <c:pt idx="52">
                  <c:v>25000</c:v>
                </c:pt>
                <c:pt idx="53">
                  <c:v>25000</c:v>
                </c:pt>
                <c:pt idx="54">
                  <c:v>24564</c:v>
                </c:pt>
                <c:pt idx="55">
                  <c:v>24177</c:v>
                </c:pt>
                <c:pt idx="56">
                  <c:v>23947</c:v>
                </c:pt>
                <c:pt idx="57">
                  <c:v>24017</c:v>
                </c:pt>
                <c:pt idx="58">
                  <c:v>23639</c:v>
                </c:pt>
                <c:pt idx="59">
                  <c:v>23306</c:v>
                </c:pt>
                <c:pt idx="60">
                  <c:v>23015</c:v>
                </c:pt>
                <c:pt idx="61">
                  <c:v>25000</c:v>
                </c:pt>
                <c:pt idx="62">
                  <c:v>25000</c:v>
                </c:pt>
                <c:pt idx="63">
                  <c:v>12226</c:v>
                </c:pt>
                <c:pt idx="64">
                  <c:v>12012</c:v>
                </c:pt>
                <c:pt idx="65">
                  <c:v>13000</c:v>
                </c:pt>
                <c:pt idx="66">
                  <c:v>597</c:v>
                </c:pt>
                <c:pt idx="67">
                  <c:v>6197</c:v>
                </c:pt>
                <c:pt idx="68">
                  <c:v>10327</c:v>
                </c:pt>
                <c:pt idx="69">
                  <c:v>13827</c:v>
                </c:pt>
                <c:pt idx="70">
                  <c:v>1561</c:v>
                </c:pt>
                <c:pt idx="71">
                  <c:v>13000</c:v>
                </c:pt>
                <c:pt idx="72">
                  <c:v>16500</c:v>
                </c:pt>
                <c:pt idx="73">
                  <c:v>17200</c:v>
                </c:pt>
                <c:pt idx="74">
                  <c:v>4667</c:v>
                </c:pt>
                <c:pt idx="75">
                  <c:v>13000</c:v>
                </c:pt>
                <c:pt idx="76">
                  <c:v>12837</c:v>
                </c:pt>
                <c:pt idx="77">
                  <c:v>12635</c:v>
                </c:pt>
                <c:pt idx="78">
                  <c:v>845</c:v>
                </c:pt>
                <c:pt idx="79">
                  <c:v>2945</c:v>
                </c:pt>
                <c:pt idx="80">
                  <c:v>4345</c:v>
                </c:pt>
                <c:pt idx="81">
                  <c:v>4290</c:v>
                </c:pt>
                <c:pt idx="82">
                  <c:v>6390</c:v>
                </c:pt>
                <c:pt idx="83">
                  <c:v>8490</c:v>
                </c:pt>
                <c:pt idx="84">
                  <c:v>8384</c:v>
                </c:pt>
                <c:pt idx="85">
                  <c:v>13000</c:v>
                </c:pt>
                <c:pt idx="86">
                  <c:v>17900</c:v>
                </c:pt>
                <c:pt idx="87">
                  <c:v>22100</c:v>
                </c:pt>
                <c:pt idx="88">
                  <c:v>9675</c:v>
                </c:pt>
                <c:pt idx="89">
                  <c:v>13000</c:v>
                </c:pt>
                <c:pt idx="90">
                  <c:v>677</c:v>
                </c:pt>
                <c:pt idx="91">
                  <c:v>13000</c:v>
                </c:pt>
                <c:pt idx="92">
                  <c:v>651</c:v>
                </c:pt>
                <c:pt idx="93">
                  <c:v>13000</c:v>
                </c:pt>
                <c:pt idx="94">
                  <c:v>512</c:v>
                </c:pt>
                <c:pt idx="95">
                  <c:v>13000</c:v>
                </c:pt>
                <c:pt idx="96">
                  <c:v>597</c:v>
                </c:pt>
                <c:pt idx="97">
                  <c:v>13197</c:v>
                </c:pt>
                <c:pt idx="98">
                  <c:v>15297</c:v>
                </c:pt>
                <c:pt idx="99">
                  <c:v>3437</c:v>
                </c:pt>
                <c:pt idx="100">
                  <c:v>11977</c:v>
                </c:pt>
                <c:pt idx="101">
                  <c:v>13000</c:v>
                </c:pt>
                <c:pt idx="102">
                  <c:v>14400</c:v>
                </c:pt>
                <c:pt idx="103">
                  <c:v>22800</c:v>
                </c:pt>
                <c:pt idx="104">
                  <c:v>10277</c:v>
                </c:pt>
                <c:pt idx="105">
                  <c:v>13000</c:v>
                </c:pt>
                <c:pt idx="106">
                  <c:v>750</c:v>
                </c:pt>
                <c:pt idx="107">
                  <c:v>13000</c:v>
                </c:pt>
                <c:pt idx="108">
                  <c:v>482</c:v>
                </c:pt>
                <c:pt idx="109">
                  <c:v>13082</c:v>
                </c:pt>
                <c:pt idx="110">
                  <c:v>756</c:v>
                </c:pt>
                <c:pt idx="111">
                  <c:v>4956</c:v>
                </c:pt>
                <c:pt idx="112">
                  <c:v>13000</c:v>
                </c:pt>
                <c:pt idx="113">
                  <c:v>651</c:v>
                </c:pt>
                <c:pt idx="114">
                  <c:v>13000</c:v>
                </c:pt>
                <c:pt idx="115">
                  <c:v>1070</c:v>
                </c:pt>
                <c:pt idx="116">
                  <c:v>13000</c:v>
                </c:pt>
                <c:pt idx="117">
                  <c:v>1070</c:v>
                </c:pt>
                <c:pt idx="118">
                  <c:v>13000</c:v>
                </c:pt>
                <c:pt idx="119">
                  <c:v>702</c:v>
                </c:pt>
                <c:pt idx="120">
                  <c:v>690</c:v>
                </c:pt>
                <c:pt idx="121">
                  <c:v>679</c:v>
                </c:pt>
                <c:pt idx="122">
                  <c:v>13000</c:v>
                </c:pt>
                <c:pt idx="123">
                  <c:v>597</c:v>
                </c:pt>
                <c:pt idx="124">
                  <c:v>13000</c:v>
                </c:pt>
                <c:pt idx="125">
                  <c:v>512</c:v>
                </c:pt>
                <c:pt idx="126">
                  <c:v>13000</c:v>
                </c:pt>
                <c:pt idx="127">
                  <c:v>541</c:v>
                </c:pt>
                <c:pt idx="128">
                  <c:v>13000</c:v>
                </c:pt>
                <c:pt idx="129">
                  <c:v>422</c:v>
                </c:pt>
                <c:pt idx="130">
                  <c:v>13000</c:v>
                </c:pt>
                <c:pt idx="131">
                  <c:v>541</c:v>
                </c:pt>
                <c:pt idx="132">
                  <c:v>13000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9400</c:v>
                </c:pt>
                <c:pt idx="137">
                  <c:v>13000</c:v>
                </c:pt>
                <c:pt idx="138">
                  <c:v>1140</c:v>
                </c:pt>
                <c:pt idx="139">
                  <c:v>13000</c:v>
                </c:pt>
                <c:pt idx="140">
                  <c:v>677</c:v>
                </c:pt>
                <c:pt idx="141">
                  <c:v>13000</c:v>
                </c:pt>
                <c:pt idx="142">
                  <c:v>702</c:v>
                </c:pt>
                <c:pt idx="143">
                  <c:v>13000</c:v>
                </c:pt>
                <c:pt idx="144">
                  <c:v>677</c:v>
                </c:pt>
                <c:pt idx="145">
                  <c:v>4527</c:v>
                </c:pt>
                <c:pt idx="146">
                  <c:v>17127</c:v>
                </c:pt>
                <c:pt idx="147">
                  <c:v>25000</c:v>
                </c:pt>
                <c:pt idx="148">
                  <c:v>12172</c:v>
                </c:pt>
                <c:pt idx="149">
                  <c:v>242</c:v>
                </c:pt>
                <c:pt idx="150">
                  <c:v>10042</c:v>
                </c:pt>
                <c:pt idx="151">
                  <c:v>13000</c:v>
                </c:pt>
                <c:pt idx="152">
                  <c:v>482</c:v>
                </c:pt>
                <c:pt idx="153">
                  <c:v>1882</c:v>
                </c:pt>
                <c:pt idx="154">
                  <c:v>13000</c:v>
                </c:pt>
                <c:pt idx="155">
                  <c:v>726</c:v>
                </c:pt>
                <c:pt idx="156">
                  <c:v>13000</c:v>
                </c:pt>
                <c:pt idx="157">
                  <c:v>12773</c:v>
                </c:pt>
                <c:pt idx="158">
                  <c:v>15573</c:v>
                </c:pt>
                <c:pt idx="159">
                  <c:v>15354</c:v>
                </c:pt>
                <c:pt idx="160">
                  <c:v>18154</c:v>
                </c:pt>
                <c:pt idx="161">
                  <c:v>17955</c:v>
                </c:pt>
                <c:pt idx="162">
                  <c:v>17731</c:v>
                </c:pt>
                <c:pt idx="163">
                  <c:v>5801</c:v>
                </c:pt>
                <c:pt idx="164">
                  <c:v>13000</c:v>
                </c:pt>
                <c:pt idx="165">
                  <c:v>702</c:v>
                </c:pt>
                <c:pt idx="166">
                  <c:v>2802</c:v>
                </c:pt>
                <c:pt idx="167">
                  <c:v>13000</c:v>
                </c:pt>
                <c:pt idx="168">
                  <c:v>702</c:v>
                </c:pt>
                <c:pt idx="169">
                  <c:v>13000</c:v>
                </c:pt>
                <c:pt idx="170">
                  <c:v>750</c:v>
                </c:pt>
                <c:pt idx="171">
                  <c:v>736</c:v>
                </c:pt>
                <c:pt idx="172">
                  <c:v>2136</c:v>
                </c:pt>
                <c:pt idx="173">
                  <c:v>2109</c:v>
                </c:pt>
                <c:pt idx="174">
                  <c:v>2079</c:v>
                </c:pt>
                <c:pt idx="175">
                  <c:v>2042</c:v>
                </c:pt>
                <c:pt idx="176">
                  <c:v>2006</c:v>
                </c:pt>
                <c:pt idx="177">
                  <c:v>1974</c:v>
                </c:pt>
                <c:pt idx="178">
                  <c:v>1949</c:v>
                </c:pt>
                <c:pt idx="179">
                  <c:v>1927</c:v>
                </c:pt>
                <c:pt idx="180">
                  <c:v>1908</c:v>
                </c:pt>
                <c:pt idx="181">
                  <c:v>1889</c:v>
                </c:pt>
                <c:pt idx="182">
                  <c:v>1871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EEA-A8B3-6689CC99C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459471"/>
        <c:axId val="1067458511"/>
      </c:lineChart>
      <c:catAx>
        <c:axId val="1067459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7458511"/>
        <c:crosses val="autoZero"/>
        <c:auto val="1"/>
        <c:lblAlgn val="ctr"/>
        <c:lblOffset val="100"/>
        <c:noMultiLvlLbl val="0"/>
      </c:catAx>
      <c:valAx>
        <c:axId val="10674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wody w zbiorniku w litrach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745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257175</xdr:colOff>
      <xdr:row>5</xdr:row>
      <xdr:rowOff>180974</xdr:rowOff>
    </xdr:from>
    <xdr:to>
      <xdr:col>28</xdr:col>
      <xdr:colOff>152400</xdr:colOff>
      <xdr:row>31</xdr:row>
      <xdr:rowOff>133350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CAA7AE2-006B-9A9E-8C14-723F8A0D1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67.88683599537" createdVersion="8" refreshedVersion="8" minRefreshableVersion="3" recordCount="183" xr:uid="{C9870AAA-2F34-4F6B-B496-57D7280F32CD}">
  <cacheSource type="worksheet">
    <worksheetSource name="pogoda46"/>
  </cacheSource>
  <cacheFields count="14">
    <cacheField name="data" numFmtId="14">
      <sharedItems containsSemiMixedTypes="0" containsNonDate="0" containsDate="1" containsString="0" minDate="2015-04-01T00:00:00" maxDate="2015-10-01T00:00:00" count="183"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</sharedItems>
      <fieldGroup par="13"/>
    </cacheField>
    <cacheField name="temperatura_srednia" numFmtId="0">
      <sharedItems containsSemiMixedTypes="0" containsString="0" containsNumber="1" containsInteger="1" minValue="2" maxValue="33"/>
    </cacheField>
    <cacheField name="opady" numFmtId="0">
      <sharedItems containsSemiMixedTypes="0" containsString="0" containsNumber="1" minValue="0" maxValue="18"/>
    </cacheField>
    <cacheField name="stan_przed_dolaniem" numFmtId="0">
      <sharedItems containsSemiMixedTypes="0" containsString="0" containsNumber="1" containsInteger="1" minValue="242" maxValue="25000"/>
    </cacheField>
    <cacheField name="ubytek" numFmtId="0">
      <sharedItems containsSemiMixedTypes="0" containsString="0" containsNumber="1" containsInteger="1" minValue="0" maxValue="828"/>
    </cacheField>
    <cacheField name="stan_po_ubytku" numFmtId="0">
      <sharedItems containsSemiMixedTypes="0" containsString="0" containsNumber="1" containsInteger="1" minValue="242" maxValue="25000"/>
    </cacheField>
    <cacheField name="ile_pogoda_dolała" numFmtId="0">
      <sharedItems containsSemiMixedTypes="0" containsString="0" containsNumber="1" minValue="0" maxValue="12600"/>
    </cacheField>
    <cacheField name="stan_po_dolaniu" numFmtId="0">
      <sharedItems containsSemiMixedTypes="0" containsString="0" containsNumber="1" containsInteger="1" minValue="407" maxValue="25000"/>
    </cacheField>
    <cacheField name="ile_podlewamy" numFmtId="0">
      <sharedItems containsSemiMixedTypes="0" containsString="0" containsNumber="1" containsInteger="1" minValue="0" maxValue="24000"/>
    </cacheField>
    <cacheField name="ile_dolać_do_podlania" numFmtId="0">
      <sharedItems containsSemiMixedTypes="0" containsString="0" containsNumber="1" containsInteger="1" minValue="0" maxValue="24593"/>
    </cacheField>
    <cacheField name="stan_po_dolaniu_do_podlania" numFmtId="0">
      <sharedItems containsSemiMixedTypes="0" containsString="0" containsNumber="1" containsInteger="1" minValue="679" maxValue="25000"/>
    </cacheField>
    <cacheField name="stan_po_podlaniu" numFmtId="0">
      <sharedItems containsSemiMixedTypes="0" containsString="0" containsNumber="1" containsInteger="1" minValue="242" maxValue="25000"/>
    </cacheField>
    <cacheField name="Dni (data)" numFmtId="0" databaseField="0">
      <fieldGroup base="0">
        <rangePr groupBy="days" startDate="2015-04-01T00:00:00" endDate="2015-10-01T00:00:00"/>
        <groupItems count="368">
          <s v="&lt;01.04.2015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15"/>
        </groupItems>
      </fieldGroup>
    </cacheField>
    <cacheField name="Miesiące (data)" numFmtId="0" databaseField="0">
      <fieldGroup base="0">
        <rangePr groupBy="months" startDate="2015-04-01T00:00:00" endDate="2015-10-01T00:00:00"/>
        <groupItems count="14">
          <s v="&lt;01.04.201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67.890736921298" createdVersion="8" refreshedVersion="8" minRefreshableVersion="3" recordCount="183" xr:uid="{91BC6F6A-BEA3-4902-BE9B-68C332425AF5}">
  <cacheSource type="worksheet">
    <worksheetSource name="pogoda47"/>
  </cacheSource>
  <cacheFields count="14">
    <cacheField name="data" numFmtId="14">
      <sharedItems containsSemiMixedTypes="0" containsNonDate="0" containsDate="1" containsString="0" minDate="2015-04-01T00:00:00" maxDate="2015-10-01T00:00:00" count="183"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</sharedItems>
      <fieldGroup par="13"/>
    </cacheField>
    <cacheField name="temperatura_srednia" numFmtId="0">
      <sharedItems containsSemiMixedTypes="0" containsString="0" containsNumber="1" containsInteger="1" minValue="2" maxValue="33"/>
    </cacheField>
    <cacheField name="opady" numFmtId="0">
      <sharedItems containsSemiMixedTypes="0" containsString="0" containsNumber="1" minValue="0" maxValue="18"/>
    </cacheField>
    <cacheField name="stan_przed_dolaniem" numFmtId="0">
      <sharedItems containsSemiMixedTypes="0" containsString="0" containsNumber="1" containsInteger="1" minValue="242" maxValue="25000"/>
    </cacheField>
    <cacheField name="ubytek" numFmtId="0">
      <sharedItems containsSemiMixedTypes="0" containsString="0" containsNumber="1" containsInteger="1" minValue="0" maxValue="828"/>
    </cacheField>
    <cacheField name="stan_po_ubytku" numFmtId="0">
      <sharedItems containsSemiMixedTypes="0" containsString="0" containsNumber="1" containsInteger="1" minValue="242" maxValue="25000"/>
    </cacheField>
    <cacheField name="ile_pogoda_dolała" numFmtId="0">
      <sharedItems containsSemiMixedTypes="0" containsString="0" containsNumber="1" minValue="0" maxValue="12600"/>
    </cacheField>
    <cacheField name="stan_po_dolaniu" numFmtId="0">
      <sharedItems containsSemiMixedTypes="0" containsString="0" containsNumber="1" containsInteger="1" minValue="407" maxValue="25000"/>
    </cacheField>
    <cacheField name="ile_podlewamy" numFmtId="0">
      <sharedItems containsSemiMixedTypes="0" containsString="0" containsNumber="1" containsInteger="1" minValue="0" maxValue="24000"/>
    </cacheField>
    <cacheField name="ile_dolać_do_podlania" numFmtId="0">
      <sharedItems containsSemiMixedTypes="0" containsString="0" containsNumber="1" containsInteger="1" minValue="0" maxValue="24593"/>
    </cacheField>
    <cacheField name="stan_po_dolaniu_do_podlania" numFmtId="0">
      <sharedItems containsSemiMixedTypes="0" containsString="0" containsNumber="1" containsInteger="1" minValue="679" maxValue="25000"/>
    </cacheField>
    <cacheField name="stan_po_podlaniu" numFmtId="0">
      <sharedItems containsSemiMixedTypes="0" containsString="0" containsNumber="1" containsInteger="1" minValue="242" maxValue="25000"/>
    </cacheField>
    <cacheField name="Dni (data)" numFmtId="0" databaseField="0">
      <fieldGroup base="0">
        <rangePr groupBy="days" startDate="2015-04-01T00:00:00" endDate="2015-10-01T00:00:00"/>
        <groupItems count="368">
          <s v="&lt;01.04.2015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15"/>
        </groupItems>
      </fieldGroup>
    </cacheField>
    <cacheField name="Miesiące (data)" numFmtId="0" databaseField="0">
      <fieldGroup base="0">
        <rangePr groupBy="months" startDate="2015-04-01T00:00:00" endDate="2015-10-01T00:00:00"/>
        <groupItems count="14">
          <s v="&lt;01.04.201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4"/>
    <n v="2"/>
    <n v="25000"/>
    <n v="0"/>
    <n v="25000"/>
    <n v="0"/>
    <n v="25000"/>
    <n v="0"/>
    <n v="0"/>
    <n v="25000"/>
    <n v="25000"/>
  </r>
  <r>
    <x v="1"/>
    <n v="2"/>
    <n v="6"/>
    <n v="25000"/>
    <n v="0"/>
    <n v="25000"/>
    <n v="0"/>
    <n v="25000"/>
    <n v="0"/>
    <n v="0"/>
    <n v="25000"/>
    <n v="25000"/>
  </r>
  <r>
    <x v="2"/>
    <n v="4"/>
    <n v="1"/>
    <n v="25000"/>
    <n v="0"/>
    <n v="25000"/>
    <n v="0"/>
    <n v="25000"/>
    <n v="0"/>
    <n v="0"/>
    <n v="25000"/>
    <n v="25000"/>
  </r>
  <r>
    <x v="3"/>
    <n v="4"/>
    <n v="0.8"/>
    <n v="25000"/>
    <n v="0"/>
    <n v="25000"/>
    <n v="0"/>
    <n v="25000"/>
    <n v="0"/>
    <n v="0"/>
    <n v="25000"/>
    <n v="25000"/>
  </r>
  <r>
    <x v="4"/>
    <n v="3"/>
    <n v="0"/>
    <n v="25000"/>
    <n v="39"/>
    <n v="24961"/>
    <n v="0"/>
    <n v="24961"/>
    <n v="0"/>
    <n v="0"/>
    <n v="24961"/>
    <n v="24961"/>
  </r>
  <r>
    <x v="5"/>
    <n v="4"/>
    <n v="0"/>
    <n v="24961"/>
    <n v="60"/>
    <n v="24901"/>
    <n v="0"/>
    <n v="24901"/>
    <n v="0"/>
    <n v="0"/>
    <n v="24901"/>
    <n v="24901"/>
  </r>
  <r>
    <x v="6"/>
    <n v="4"/>
    <n v="1"/>
    <n v="24901"/>
    <n v="0"/>
    <n v="24901"/>
    <n v="99"/>
    <n v="25000"/>
    <n v="0"/>
    <n v="0"/>
    <n v="25000"/>
    <n v="25000"/>
  </r>
  <r>
    <x v="7"/>
    <n v="8"/>
    <n v="1"/>
    <n v="25000"/>
    <n v="0"/>
    <n v="25000"/>
    <n v="0"/>
    <n v="25000"/>
    <n v="0"/>
    <n v="0"/>
    <n v="25000"/>
    <n v="25000"/>
  </r>
  <r>
    <x v="8"/>
    <n v="6"/>
    <n v="2"/>
    <n v="25000"/>
    <n v="0"/>
    <n v="25000"/>
    <n v="0"/>
    <n v="25000"/>
    <n v="0"/>
    <n v="0"/>
    <n v="25000"/>
    <n v="25000"/>
  </r>
  <r>
    <x v="9"/>
    <n v="9"/>
    <n v="2"/>
    <n v="25000"/>
    <n v="0"/>
    <n v="25000"/>
    <n v="0"/>
    <n v="25000"/>
    <n v="0"/>
    <n v="0"/>
    <n v="25000"/>
    <n v="25000"/>
  </r>
  <r>
    <x v="10"/>
    <n v="12"/>
    <n v="3"/>
    <n v="25000"/>
    <n v="0"/>
    <n v="25000"/>
    <n v="0"/>
    <n v="25000"/>
    <n v="0"/>
    <n v="0"/>
    <n v="25000"/>
    <n v="25000"/>
  </r>
  <r>
    <x v="11"/>
    <n v="10"/>
    <n v="2"/>
    <n v="25000"/>
    <n v="0"/>
    <n v="25000"/>
    <n v="0"/>
    <n v="25000"/>
    <n v="0"/>
    <n v="0"/>
    <n v="25000"/>
    <n v="25000"/>
  </r>
  <r>
    <x v="12"/>
    <n v="8"/>
    <n v="1"/>
    <n v="25000"/>
    <n v="0"/>
    <n v="25000"/>
    <n v="0"/>
    <n v="25000"/>
    <n v="0"/>
    <n v="0"/>
    <n v="25000"/>
    <n v="25000"/>
  </r>
  <r>
    <x v="13"/>
    <n v="6"/>
    <n v="0"/>
    <n v="25000"/>
    <n v="111"/>
    <n v="24889"/>
    <n v="0"/>
    <n v="24889"/>
    <n v="0"/>
    <n v="0"/>
    <n v="24889"/>
    <n v="24889"/>
  </r>
  <r>
    <x v="14"/>
    <n v="14"/>
    <n v="0"/>
    <n v="24889"/>
    <n v="392"/>
    <n v="24497"/>
    <n v="0"/>
    <n v="24497"/>
    <n v="0"/>
    <n v="0"/>
    <n v="24497"/>
    <n v="24497"/>
  </r>
  <r>
    <x v="15"/>
    <n v="10"/>
    <n v="0"/>
    <n v="24497"/>
    <n v="233"/>
    <n v="24264"/>
    <n v="0"/>
    <n v="24264"/>
    <n v="0"/>
    <n v="0"/>
    <n v="24264"/>
    <n v="24264"/>
  </r>
  <r>
    <x v="16"/>
    <n v="6"/>
    <n v="0"/>
    <n v="24264"/>
    <n v="107"/>
    <n v="24157"/>
    <n v="0"/>
    <n v="24157"/>
    <n v="0"/>
    <n v="0"/>
    <n v="24157"/>
    <n v="24157"/>
  </r>
  <r>
    <x v="17"/>
    <n v="4"/>
    <n v="0"/>
    <n v="24157"/>
    <n v="58"/>
    <n v="24099"/>
    <n v="0"/>
    <n v="24099"/>
    <n v="0"/>
    <n v="0"/>
    <n v="24099"/>
    <n v="24099"/>
  </r>
  <r>
    <x v="18"/>
    <n v="7"/>
    <n v="0"/>
    <n v="24099"/>
    <n v="134"/>
    <n v="23965"/>
    <n v="0"/>
    <n v="23965"/>
    <n v="0"/>
    <n v="0"/>
    <n v="23965"/>
    <n v="23965"/>
  </r>
  <r>
    <x v="19"/>
    <n v="10"/>
    <n v="1"/>
    <n v="23965"/>
    <n v="0"/>
    <n v="23965"/>
    <n v="700"/>
    <n v="24665"/>
    <n v="0"/>
    <n v="0"/>
    <n v="24665"/>
    <n v="24665"/>
  </r>
  <r>
    <x v="20"/>
    <n v="11"/>
    <n v="3.2"/>
    <n v="24665"/>
    <n v="0"/>
    <n v="24665"/>
    <n v="335"/>
    <n v="25000"/>
    <n v="0"/>
    <n v="0"/>
    <n v="25000"/>
    <n v="25000"/>
  </r>
  <r>
    <x v="21"/>
    <n v="8"/>
    <n v="2.2000000000000002"/>
    <n v="25000"/>
    <n v="0"/>
    <n v="25000"/>
    <n v="0"/>
    <n v="25000"/>
    <n v="0"/>
    <n v="0"/>
    <n v="25000"/>
    <n v="25000"/>
  </r>
  <r>
    <x v="22"/>
    <n v="11"/>
    <n v="1"/>
    <n v="25000"/>
    <n v="0"/>
    <n v="25000"/>
    <n v="0"/>
    <n v="25000"/>
    <n v="0"/>
    <n v="0"/>
    <n v="25000"/>
    <n v="25000"/>
  </r>
  <r>
    <x v="23"/>
    <n v="12"/>
    <n v="1"/>
    <n v="25000"/>
    <n v="0"/>
    <n v="25000"/>
    <n v="0"/>
    <n v="25000"/>
    <n v="0"/>
    <n v="0"/>
    <n v="25000"/>
    <n v="25000"/>
  </r>
  <r>
    <x v="24"/>
    <n v="14"/>
    <n v="1"/>
    <n v="25000"/>
    <n v="0"/>
    <n v="25000"/>
    <n v="0"/>
    <n v="25000"/>
    <n v="0"/>
    <n v="0"/>
    <n v="25000"/>
    <n v="25000"/>
  </r>
  <r>
    <x v="25"/>
    <n v="16"/>
    <n v="0"/>
    <n v="25000"/>
    <n v="480"/>
    <n v="24520"/>
    <n v="0"/>
    <n v="24520"/>
    <n v="12000"/>
    <n v="0"/>
    <n v="24520"/>
    <n v="12520"/>
  </r>
  <r>
    <x v="26"/>
    <n v="16"/>
    <n v="1"/>
    <n v="12520"/>
    <n v="0"/>
    <n v="12520"/>
    <n v="700"/>
    <n v="13220"/>
    <n v="0"/>
    <n v="0"/>
    <n v="13220"/>
    <n v="13220"/>
  </r>
  <r>
    <x v="27"/>
    <n v="6"/>
    <n v="2"/>
    <n v="13220"/>
    <n v="0"/>
    <n v="13220"/>
    <n v="1400"/>
    <n v="14620"/>
    <n v="0"/>
    <n v="0"/>
    <n v="14620"/>
    <n v="14620"/>
  </r>
  <r>
    <x v="28"/>
    <n v="7"/>
    <n v="0"/>
    <n v="14620"/>
    <n v="82"/>
    <n v="14538"/>
    <n v="0"/>
    <n v="14538"/>
    <n v="0"/>
    <n v="0"/>
    <n v="14538"/>
    <n v="14538"/>
  </r>
  <r>
    <x v="29"/>
    <n v="10"/>
    <n v="0"/>
    <n v="14538"/>
    <n v="138"/>
    <n v="14400"/>
    <n v="0"/>
    <n v="14400"/>
    <n v="0"/>
    <n v="0"/>
    <n v="14400"/>
    <n v="14400"/>
  </r>
  <r>
    <x v="30"/>
    <n v="10"/>
    <n v="4"/>
    <n v="14400"/>
    <n v="0"/>
    <n v="14400"/>
    <n v="2800"/>
    <n v="17200"/>
    <n v="0"/>
    <n v="0"/>
    <n v="17200"/>
    <n v="17200"/>
  </r>
  <r>
    <x v="31"/>
    <n v="7"/>
    <n v="5"/>
    <n v="17200"/>
    <n v="0"/>
    <n v="17200"/>
    <n v="3500"/>
    <n v="20700"/>
    <n v="0"/>
    <n v="0"/>
    <n v="20700"/>
    <n v="20700"/>
  </r>
  <r>
    <x v="32"/>
    <n v="9"/>
    <n v="4"/>
    <n v="20700"/>
    <n v="0"/>
    <n v="20700"/>
    <n v="2800"/>
    <n v="23500"/>
    <n v="0"/>
    <n v="0"/>
    <n v="23500"/>
    <n v="23500"/>
  </r>
  <r>
    <x v="33"/>
    <n v="15"/>
    <n v="0.4"/>
    <n v="23500"/>
    <n v="0"/>
    <n v="23500"/>
    <n v="280"/>
    <n v="23780"/>
    <n v="0"/>
    <n v="0"/>
    <n v="23780"/>
    <n v="23780"/>
  </r>
  <r>
    <x v="34"/>
    <n v="18"/>
    <n v="0.4"/>
    <n v="23780"/>
    <n v="0"/>
    <n v="23780"/>
    <n v="280"/>
    <n v="24060"/>
    <n v="12000"/>
    <n v="0"/>
    <n v="24060"/>
    <n v="12060"/>
  </r>
  <r>
    <x v="35"/>
    <n v="16"/>
    <n v="0"/>
    <n v="12060"/>
    <n v="232"/>
    <n v="11828"/>
    <n v="0"/>
    <n v="11828"/>
    <n v="12000"/>
    <n v="13172"/>
    <n v="25000"/>
    <n v="13000"/>
  </r>
  <r>
    <x v="36"/>
    <n v="14"/>
    <n v="0"/>
    <n v="13000"/>
    <n v="205"/>
    <n v="12795"/>
    <n v="0"/>
    <n v="12795"/>
    <n v="0"/>
    <n v="0"/>
    <n v="12795"/>
    <n v="12795"/>
  </r>
  <r>
    <x v="37"/>
    <n v="10"/>
    <n v="0"/>
    <n v="12795"/>
    <n v="122"/>
    <n v="12673"/>
    <n v="0"/>
    <n v="12673"/>
    <n v="0"/>
    <n v="0"/>
    <n v="12673"/>
    <n v="12673"/>
  </r>
  <r>
    <x v="38"/>
    <n v="14"/>
    <n v="0.3"/>
    <n v="12673"/>
    <n v="0"/>
    <n v="12673"/>
    <n v="210"/>
    <n v="12883"/>
    <n v="0"/>
    <n v="0"/>
    <n v="12883"/>
    <n v="12883"/>
  </r>
  <r>
    <x v="39"/>
    <n v="12"/>
    <n v="0.1"/>
    <n v="12883"/>
    <n v="0"/>
    <n v="12883"/>
    <n v="70"/>
    <n v="12953"/>
    <n v="0"/>
    <n v="0"/>
    <n v="12953"/>
    <n v="12953"/>
  </r>
  <r>
    <x v="40"/>
    <n v="11"/>
    <n v="0"/>
    <n v="12953"/>
    <n v="142"/>
    <n v="12811"/>
    <n v="0"/>
    <n v="12811"/>
    <n v="0"/>
    <n v="0"/>
    <n v="12811"/>
    <n v="12811"/>
  </r>
  <r>
    <x v="41"/>
    <n v="16"/>
    <n v="3"/>
    <n v="12811"/>
    <n v="0"/>
    <n v="12811"/>
    <n v="2100"/>
    <n v="14911"/>
    <n v="0"/>
    <n v="0"/>
    <n v="14911"/>
    <n v="14911"/>
  </r>
  <r>
    <x v="42"/>
    <n v="12"/>
    <n v="0"/>
    <n v="14911"/>
    <n v="186"/>
    <n v="14725"/>
    <n v="0"/>
    <n v="14725"/>
    <n v="0"/>
    <n v="0"/>
    <n v="14725"/>
    <n v="14725"/>
  </r>
  <r>
    <x v="43"/>
    <n v="10"/>
    <n v="0"/>
    <n v="14725"/>
    <n v="140"/>
    <n v="14585"/>
    <n v="0"/>
    <n v="14585"/>
    <n v="0"/>
    <n v="0"/>
    <n v="14585"/>
    <n v="14585"/>
  </r>
  <r>
    <x v="44"/>
    <n v="12"/>
    <n v="0"/>
    <n v="14585"/>
    <n v="182"/>
    <n v="14403"/>
    <n v="0"/>
    <n v="14403"/>
    <n v="0"/>
    <n v="0"/>
    <n v="14403"/>
    <n v="14403"/>
  </r>
  <r>
    <x v="45"/>
    <n v="10"/>
    <n v="1.8"/>
    <n v="14403"/>
    <n v="0"/>
    <n v="14403"/>
    <n v="1260"/>
    <n v="15663"/>
    <n v="0"/>
    <n v="0"/>
    <n v="15663"/>
    <n v="15663"/>
  </r>
  <r>
    <x v="46"/>
    <n v="11"/>
    <n v="2.8"/>
    <n v="15663"/>
    <n v="0"/>
    <n v="15663"/>
    <n v="1959.9999999999998"/>
    <n v="17623"/>
    <n v="0"/>
    <n v="0"/>
    <n v="17623"/>
    <n v="17623"/>
  </r>
  <r>
    <x v="47"/>
    <n v="12"/>
    <n v="1.9"/>
    <n v="17623"/>
    <n v="0"/>
    <n v="17623"/>
    <n v="1330"/>
    <n v="18953"/>
    <n v="0"/>
    <n v="0"/>
    <n v="18953"/>
    <n v="18953"/>
  </r>
  <r>
    <x v="48"/>
    <n v="16"/>
    <n v="2.2000000000000002"/>
    <n v="18953"/>
    <n v="0"/>
    <n v="18953"/>
    <n v="1540.0000000000002"/>
    <n v="20493"/>
    <n v="0"/>
    <n v="0"/>
    <n v="20493"/>
    <n v="20493"/>
  </r>
  <r>
    <x v="49"/>
    <n v="13"/>
    <n v="2.2999999999999998"/>
    <n v="20493"/>
    <n v="0"/>
    <n v="20493"/>
    <n v="1609.9999999999998"/>
    <n v="22103"/>
    <n v="0"/>
    <n v="0"/>
    <n v="22103"/>
    <n v="22103"/>
  </r>
  <r>
    <x v="50"/>
    <n v="11"/>
    <n v="5.4"/>
    <n v="22103"/>
    <n v="0"/>
    <n v="22103"/>
    <n v="2897"/>
    <n v="25000"/>
    <n v="0"/>
    <n v="0"/>
    <n v="25000"/>
    <n v="25000"/>
  </r>
  <r>
    <x v="51"/>
    <n v="12"/>
    <n v="5.5"/>
    <n v="25000"/>
    <n v="0"/>
    <n v="25000"/>
    <n v="0"/>
    <n v="25000"/>
    <n v="0"/>
    <n v="0"/>
    <n v="25000"/>
    <n v="25000"/>
  </r>
  <r>
    <x v="52"/>
    <n v="12"/>
    <n v="5.2"/>
    <n v="25000"/>
    <n v="0"/>
    <n v="25000"/>
    <n v="0"/>
    <n v="25000"/>
    <n v="0"/>
    <n v="0"/>
    <n v="25000"/>
    <n v="25000"/>
  </r>
  <r>
    <x v="53"/>
    <n v="14"/>
    <n v="3"/>
    <n v="25000"/>
    <n v="0"/>
    <n v="25000"/>
    <n v="0"/>
    <n v="25000"/>
    <n v="0"/>
    <n v="0"/>
    <n v="25000"/>
    <n v="25000"/>
  </r>
  <r>
    <x v="54"/>
    <n v="15"/>
    <n v="0"/>
    <n v="25000"/>
    <n v="436"/>
    <n v="24564"/>
    <n v="0"/>
    <n v="24564"/>
    <n v="0"/>
    <n v="0"/>
    <n v="24564"/>
    <n v="24564"/>
  </r>
  <r>
    <x v="55"/>
    <n v="14"/>
    <n v="0"/>
    <n v="24564"/>
    <n v="387"/>
    <n v="24177"/>
    <n v="0"/>
    <n v="24177"/>
    <n v="0"/>
    <n v="0"/>
    <n v="24177"/>
    <n v="24177"/>
  </r>
  <r>
    <x v="56"/>
    <n v="10"/>
    <n v="0"/>
    <n v="24177"/>
    <n v="230"/>
    <n v="23947"/>
    <n v="0"/>
    <n v="23947"/>
    <n v="0"/>
    <n v="0"/>
    <n v="23947"/>
    <n v="23947"/>
  </r>
  <r>
    <x v="57"/>
    <n v="12"/>
    <n v="0.1"/>
    <n v="23947"/>
    <n v="0"/>
    <n v="23947"/>
    <n v="70"/>
    <n v="24017"/>
    <n v="0"/>
    <n v="0"/>
    <n v="24017"/>
    <n v="24017"/>
  </r>
  <r>
    <x v="58"/>
    <n v="14"/>
    <n v="0"/>
    <n v="24017"/>
    <n v="378"/>
    <n v="23639"/>
    <n v="0"/>
    <n v="23639"/>
    <n v="0"/>
    <n v="0"/>
    <n v="23639"/>
    <n v="23639"/>
  </r>
  <r>
    <x v="59"/>
    <n v="13"/>
    <n v="0"/>
    <n v="23639"/>
    <n v="333"/>
    <n v="23306"/>
    <n v="0"/>
    <n v="23306"/>
    <n v="0"/>
    <n v="0"/>
    <n v="23306"/>
    <n v="23306"/>
  </r>
  <r>
    <x v="60"/>
    <n v="12"/>
    <n v="0"/>
    <n v="23306"/>
    <n v="291"/>
    <n v="23015"/>
    <n v="0"/>
    <n v="23015"/>
    <n v="0"/>
    <n v="0"/>
    <n v="23015"/>
    <n v="23015"/>
  </r>
  <r>
    <x v="61"/>
    <n v="18"/>
    <n v="4"/>
    <n v="23015"/>
    <n v="0"/>
    <n v="23015"/>
    <n v="1985"/>
    <n v="25000"/>
    <n v="0"/>
    <n v="0"/>
    <n v="25000"/>
    <n v="25000"/>
  </r>
  <r>
    <x v="62"/>
    <n v="18"/>
    <n v="3"/>
    <n v="25000"/>
    <n v="0"/>
    <n v="25000"/>
    <n v="0"/>
    <n v="25000"/>
    <n v="0"/>
    <n v="0"/>
    <n v="25000"/>
    <n v="25000"/>
  </r>
  <r>
    <x v="63"/>
    <n v="22"/>
    <n v="0"/>
    <n v="25000"/>
    <n v="774"/>
    <n v="24226"/>
    <n v="0"/>
    <n v="24226"/>
    <n v="12000"/>
    <n v="0"/>
    <n v="24226"/>
    <n v="12226"/>
  </r>
  <r>
    <x v="64"/>
    <n v="15"/>
    <n v="0"/>
    <n v="12226"/>
    <n v="214"/>
    <n v="12012"/>
    <n v="0"/>
    <n v="12012"/>
    <n v="0"/>
    <n v="0"/>
    <n v="12012"/>
    <n v="12012"/>
  </r>
  <r>
    <x v="65"/>
    <n v="18"/>
    <n v="0"/>
    <n v="12012"/>
    <n v="276"/>
    <n v="11736"/>
    <n v="0"/>
    <n v="11736"/>
    <n v="12000"/>
    <n v="13264"/>
    <n v="25000"/>
    <n v="13000"/>
  </r>
  <r>
    <x v="66"/>
    <n v="22"/>
    <n v="0"/>
    <n v="13000"/>
    <n v="403"/>
    <n v="12597"/>
    <n v="0"/>
    <n v="12597"/>
    <n v="12000"/>
    <n v="0"/>
    <n v="12597"/>
    <n v="597"/>
  </r>
  <r>
    <x v="67"/>
    <n v="14"/>
    <n v="8"/>
    <n v="597"/>
    <n v="0"/>
    <n v="597"/>
    <n v="5600"/>
    <n v="6197"/>
    <n v="0"/>
    <n v="0"/>
    <n v="6197"/>
    <n v="6197"/>
  </r>
  <r>
    <x v="68"/>
    <n v="14"/>
    <n v="5.9"/>
    <n v="6197"/>
    <n v="0"/>
    <n v="6197"/>
    <n v="4130"/>
    <n v="10327"/>
    <n v="0"/>
    <n v="0"/>
    <n v="10327"/>
    <n v="10327"/>
  </r>
  <r>
    <x v="69"/>
    <n v="12"/>
    <n v="5"/>
    <n v="10327"/>
    <n v="0"/>
    <n v="10327"/>
    <n v="3500"/>
    <n v="13827"/>
    <n v="0"/>
    <n v="0"/>
    <n v="13827"/>
    <n v="13827"/>
  </r>
  <r>
    <x v="70"/>
    <n v="16"/>
    <n v="0"/>
    <n v="13827"/>
    <n v="266"/>
    <n v="13561"/>
    <n v="0"/>
    <n v="13561"/>
    <n v="12000"/>
    <n v="0"/>
    <n v="13561"/>
    <n v="1561"/>
  </r>
  <r>
    <x v="71"/>
    <n v="16"/>
    <n v="0"/>
    <n v="1561"/>
    <n v="30"/>
    <n v="1531"/>
    <n v="0"/>
    <n v="1531"/>
    <n v="12000"/>
    <n v="23469"/>
    <n v="25000"/>
    <n v="13000"/>
  </r>
  <r>
    <x v="72"/>
    <n v="18"/>
    <n v="5"/>
    <n v="13000"/>
    <n v="0"/>
    <n v="13000"/>
    <n v="3500"/>
    <n v="16500"/>
    <n v="0"/>
    <n v="0"/>
    <n v="16500"/>
    <n v="16500"/>
  </r>
  <r>
    <x v="73"/>
    <n v="19"/>
    <n v="1"/>
    <n v="16500"/>
    <n v="0"/>
    <n v="16500"/>
    <n v="700"/>
    <n v="17200"/>
    <n v="0"/>
    <n v="0"/>
    <n v="17200"/>
    <n v="17200"/>
  </r>
  <r>
    <x v="74"/>
    <n v="22"/>
    <n v="0"/>
    <n v="17200"/>
    <n v="533"/>
    <n v="16667"/>
    <n v="0"/>
    <n v="16667"/>
    <n v="12000"/>
    <n v="0"/>
    <n v="16667"/>
    <n v="4667"/>
  </r>
  <r>
    <x v="75"/>
    <n v="16"/>
    <n v="0"/>
    <n v="4667"/>
    <n v="90"/>
    <n v="4577"/>
    <n v="0"/>
    <n v="4577"/>
    <n v="12000"/>
    <n v="20423"/>
    <n v="25000"/>
    <n v="13000"/>
  </r>
  <r>
    <x v="76"/>
    <n v="12"/>
    <n v="0"/>
    <n v="13000"/>
    <n v="163"/>
    <n v="12837"/>
    <n v="0"/>
    <n v="12837"/>
    <n v="0"/>
    <n v="0"/>
    <n v="12837"/>
    <n v="12837"/>
  </r>
  <r>
    <x v="77"/>
    <n v="14"/>
    <n v="0"/>
    <n v="12837"/>
    <n v="202"/>
    <n v="12635"/>
    <n v="0"/>
    <n v="12635"/>
    <n v="0"/>
    <n v="0"/>
    <n v="12635"/>
    <n v="12635"/>
  </r>
  <r>
    <x v="78"/>
    <n v="16"/>
    <n v="0.3"/>
    <n v="12635"/>
    <n v="0"/>
    <n v="12635"/>
    <n v="210"/>
    <n v="12845"/>
    <n v="12000"/>
    <n v="0"/>
    <n v="12845"/>
    <n v="845"/>
  </r>
  <r>
    <x v="79"/>
    <n v="12"/>
    <n v="3"/>
    <n v="845"/>
    <n v="0"/>
    <n v="845"/>
    <n v="2100"/>
    <n v="2945"/>
    <n v="0"/>
    <n v="0"/>
    <n v="2945"/>
    <n v="2945"/>
  </r>
  <r>
    <x v="80"/>
    <n v="13"/>
    <n v="2"/>
    <n v="2945"/>
    <n v="0"/>
    <n v="2945"/>
    <n v="1400"/>
    <n v="4345"/>
    <n v="0"/>
    <n v="0"/>
    <n v="4345"/>
    <n v="4345"/>
  </r>
  <r>
    <x v="81"/>
    <n v="12"/>
    <n v="0"/>
    <n v="4345"/>
    <n v="55"/>
    <n v="4290"/>
    <n v="0"/>
    <n v="4290"/>
    <n v="0"/>
    <n v="0"/>
    <n v="4290"/>
    <n v="4290"/>
  </r>
  <r>
    <x v="82"/>
    <n v="12"/>
    <n v="3"/>
    <n v="4290"/>
    <n v="0"/>
    <n v="4290"/>
    <n v="2100"/>
    <n v="6390"/>
    <n v="0"/>
    <n v="0"/>
    <n v="6390"/>
    <n v="6390"/>
  </r>
  <r>
    <x v="83"/>
    <n v="13"/>
    <n v="3"/>
    <n v="6390"/>
    <n v="0"/>
    <n v="6390"/>
    <n v="2100"/>
    <n v="8490"/>
    <n v="0"/>
    <n v="0"/>
    <n v="8490"/>
    <n v="8490"/>
  </r>
  <r>
    <x v="84"/>
    <n v="12"/>
    <n v="0"/>
    <n v="8490"/>
    <n v="106"/>
    <n v="8384"/>
    <n v="0"/>
    <n v="8384"/>
    <n v="0"/>
    <n v="0"/>
    <n v="8384"/>
    <n v="8384"/>
  </r>
  <r>
    <x v="85"/>
    <n v="16"/>
    <n v="0"/>
    <n v="8384"/>
    <n v="161"/>
    <n v="8223"/>
    <n v="0"/>
    <n v="8223"/>
    <n v="12000"/>
    <n v="16777"/>
    <n v="25000"/>
    <n v="13000"/>
  </r>
  <r>
    <x v="86"/>
    <n v="16"/>
    <n v="7"/>
    <n v="13000"/>
    <n v="0"/>
    <n v="13000"/>
    <n v="4900"/>
    <n v="17900"/>
    <n v="0"/>
    <n v="0"/>
    <n v="17900"/>
    <n v="17900"/>
  </r>
  <r>
    <x v="87"/>
    <n v="18"/>
    <n v="6"/>
    <n v="17900"/>
    <n v="0"/>
    <n v="17900"/>
    <n v="4200"/>
    <n v="22100"/>
    <n v="0"/>
    <n v="0"/>
    <n v="22100"/>
    <n v="22100"/>
  </r>
  <r>
    <x v="88"/>
    <n v="16"/>
    <n v="0"/>
    <n v="22100"/>
    <n v="425"/>
    <n v="21675"/>
    <n v="0"/>
    <n v="21675"/>
    <n v="12000"/>
    <n v="0"/>
    <n v="21675"/>
    <n v="9675"/>
  </r>
  <r>
    <x v="89"/>
    <n v="16"/>
    <n v="0"/>
    <n v="9675"/>
    <n v="186"/>
    <n v="9489"/>
    <n v="0"/>
    <n v="9489"/>
    <n v="12000"/>
    <n v="15511"/>
    <n v="25000"/>
    <n v="13000"/>
  </r>
  <r>
    <x v="90"/>
    <n v="19"/>
    <n v="0"/>
    <n v="13000"/>
    <n v="323"/>
    <n v="12677"/>
    <n v="0"/>
    <n v="12677"/>
    <n v="12000"/>
    <n v="0"/>
    <n v="12677"/>
    <n v="677"/>
  </r>
  <r>
    <x v="91"/>
    <n v="18"/>
    <n v="0"/>
    <n v="677"/>
    <n v="16"/>
    <n v="661"/>
    <n v="0"/>
    <n v="661"/>
    <n v="12000"/>
    <n v="24339"/>
    <n v="25000"/>
    <n v="13000"/>
  </r>
  <r>
    <x v="92"/>
    <n v="20"/>
    <n v="0"/>
    <n v="13000"/>
    <n v="349"/>
    <n v="12651"/>
    <n v="0"/>
    <n v="12651"/>
    <n v="12000"/>
    <n v="0"/>
    <n v="12651"/>
    <n v="651"/>
  </r>
  <r>
    <x v="93"/>
    <n v="22"/>
    <n v="0"/>
    <n v="651"/>
    <n v="21"/>
    <n v="630"/>
    <n v="0"/>
    <n v="630"/>
    <n v="12000"/>
    <n v="24370"/>
    <n v="25000"/>
    <n v="13000"/>
  </r>
  <r>
    <x v="94"/>
    <n v="25"/>
    <n v="0"/>
    <n v="13000"/>
    <n v="488"/>
    <n v="12512"/>
    <n v="0"/>
    <n v="12512"/>
    <n v="12000"/>
    <n v="0"/>
    <n v="12512"/>
    <n v="512"/>
  </r>
  <r>
    <x v="95"/>
    <n v="26"/>
    <n v="0"/>
    <n v="512"/>
    <n v="21"/>
    <n v="491"/>
    <n v="0"/>
    <n v="491"/>
    <n v="12000"/>
    <n v="24509"/>
    <n v="25000"/>
    <n v="13000"/>
  </r>
  <r>
    <x v="96"/>
    <n v="22"/>
    <n v="0"/>
    <n v="13000"/>
    <n v="403"/>
    <n v="12597"/>
    <n v="0"/>
    <n v="12597"/>
    <n v="12000"/>
    <n v="0"/>
    <n v="12597"/>
    <n v="597"/>
  </r>
  <r>
    <x v="97"/>
    <n v="22"/>
    <n v="18"/>
    <n v="597"/>
    <n v="0"/>
    <n v="597"/>
    <n v="12600"/>
    <n v="13197"/>
    <n v="0"/>
    <n v="0"/>
    <n v="13197"/>
    <n v="13197"/>
  </r>
  <r>
    <x v="98"/>
    <n v="20"/>
    <n v="3"/>
    <n v="13197"/>
    <n v="0"/>
    <n v="13197"/>
    <n v="2100"/>
    <n v="15297"/>
    <n v="0"/>
    <n v="0"/>
    <n v="15297"/>
    <n v="15297"/>
  </r>
  <r>
    <x v="99"/>
    <n v="16"/>
    <n v="0.2"/>
    <n v="15297"/>
    <n v="0"/>
    <n v="15297"/>
    <n v="140"/>
    <n v="15437"/>
    <n v="12000"/>
    <n v="0"/>
    <n v="15437"/>
    <n v="3437"/>
  </r>
  <r>
    <x v="100"/>
    <n v="13"/>
    <n v="12.2"/>
    <n v="3437"/>
    <n v="0"/>
    <n v="3437"/>
    <n v="8540"/>
    <n v="11977"/>
    <n v="0"/>
    <n v="0"/>
    <n v="11977"/>
    <n v="11977"/>
  </r>
  <r>
    <x v="101"/>
    <n v="16"/>
    <n v="0"/>
    <n v="11977"/>
    <n v="230"/>
    <n v="11747"/>
    <n v="0"/>
    <n v="11747"/>
    <n v="12000"/>
    <n v="13253"/>
    <n v="25000"/>
    <n v="13000"/>
  </r>
  <r>
    <x v="102"/>
    <n v="18"/>
    <n v="2"/>
    <n v="13000"/>
    <n v="0"/>
    <n v="13000"/>
    <n v="1400"/>
    <n v="14400"/>
    <n v="0"/>
    <n v="0"/>
    <n v="14400"/>
    <n v="14400"/>
  </r>
  <r>
    <x v="103"/>
    <n v="18"/>
    <n v="12"/>
    <n v="14400"/>
    <n v="0"/>
    <n v="14400"/>
    <n v="8400"/>
    <n v="22800"/>
    <n v="0"/>
    <n v="0"/>
    <n v="22800"/>
    <n v="22800"/>
  </r>
  <r>
    <x v="104"/>
    <n v="18"/>
    <n v="0"/>
    <n v="22800"/>
    <n v="523"/>
    <n v="22277"/>
    <n v="0"/>
    <n v="22277"/>
    <n v="12000"/>
    <n v="0"/>
    <n v="22277"/>
    <n v="10277"/>
  </r>
  <r>
    <x v="105"/>
    <n v="18"/>
    <n v="0"/>
    <n v="10277"/>
    <n v="236"/>
    <n v="10041"/>
    <n v="0"/>
    <n v="10041"/>
    <n v="12000"/>
    <n v="14959"/>
    <n v="25000"/>
    <n v="13000"/>
  </r>
  <r>
    <x v="106"/>
    <n v="16"/>
    <n v="0"/>
    <n v="13000"/>
    <n v="250"/>
    <n v="12750"/>
    <n v="0"/>
    <n v="12750"/>
    <n v="12000"/>
    <n v="0"/>
    <n v="12750"/>
    <n v="750"/>
  </r>
  <r>
    <x v="107"/>
    <n v="21"/>
    <n v="0"/>
    <n v="750"/>
    <n v="22"/>
    <n v="728"/>
    <n v="0"/>
    <n v="728"/>
    <n v="12000"/>
    <n v="24272"/>
    <n v="25000"/>
    <n v="13000"/>
  </r>
  <r>
    <x v="108"/>
    <n v="26"/>
    <n v="0"/>
    <n v="13000"/>
    <n v="518"/>
    <n v="12482"/>
    <n v="0"/>
    <n v="12482"/>
    <n v="12000"/>
    <n v="0"/>
    <n v="12482"/>
    <n v="482"/>
  </r>
  <r>
    <x v="109"/>
    <n v="23"/>
    <n v="18"/>
    <n v="482"/>
    <n v="0"/>
    <n v="482"/>
    <n v="12600"/>
    <n v="13082"/>
    <n v="0"/>
    <n v="0"/>
    <n v="13082"/>
    <n v="13082"/>
  </r>
  <r>
    <x v="110"/>
    <n v="19"/>
    <n v="0"/>
    <n v="13082"/>
    <n v="326"/>
    <n v="12756"/>
    <n v="0"/>
    <n v="12756"/>
    <n v="12000"/>
    <n v="0"/>
    <n v="12756"/>
    <n v="756"/>
  </r>
  <r>
    <x v="111"/>
    <n v="20"/>
    <n v="6"/>
    <n v="756"/>
    <n v="0"/>
    <n v="756"/>
    <n v="4200"/>
    <n v="4956"/>
    <n v="0"/>
    <n v="0"/>
    <n v="4956"/>
    <n v="4956"/>
  </r>
  <r>
    <x v="112"/>
    <n v="22"/>
    <n v="0"/>
    <n v="4956"/>
    <n v="154"/>
    <n v="4802"/>
    <n v="0"/>
    <n v="4802"/>
    <n v="12000"/>
    <n v="20198"/>
    <n v="25000"/>
    <n v="13000"/>
  </r>
  <r>
    <x v="113"/>
    <n v="20"/>
    <n v="0"/>
    <n v="13000"/>
    <n v="349"/>
    <n v="12651"/>
    <n v="0"/>
    <n v="12651"/>
    <n v="12000"/>
    <n v="0"/>
    <n v="12651"/>
    <n v="651"/>
  </r>
  <r>
    <x v="114"/>
    <n v="20"/>
    <n v="0"/>
    <n v="651"/>
    <n v="18"/>
    <n v="633"/>
    <n v="0"/>
    <n v="633"/>
    <n v="12000"/>
    <n v="24367"/>
    <n v="25000"/>
    <n v="13000"/>
  </r>
  <r>
    <x v="115"/>
    <n v="23"/>
    <n v="0.1"/>
    <n v="13000"/>
    <n v="0"/>
    <n v="13000"/>
    <n v="70"/>
    <n v="13070"/>
    <n v="12000"/>
    <n v="0"/>
    <n v="13070"/>
    <n v="1070"/>
  </r>
  <r>
    <x v="116"/>
    <n v="16"/>
    <n v="0"/>
    <n v="1070"/>
    <n v="21"/>
    <n v="1049"/>
    <n v="0"/>
    <n v="1049"/>
    <n v="12000"/>
    <n v="23951"/>
    <n v="25000"/>
    <n v="13000"/>
  </r>
  <r>
    <x v="117"/>
    <n v="16"/>
    <n v="0.1"/>
    <n v="13000"/>
    <n v="0"/>
    <n v="13000"/>
    <n v="70"/>
    <n v="13070"/>
    <n v="12000"/>
    <n v="0"/>
    <n v="13070"/>
    <n v="1070"/>
  </r>
  <r>
    <x v="118"/>
    <n v="18"/>
    <n v="0.3"/>
    <n v="1070"/>
    <n v="0"/>
    <n v="1070"/>
    <n v="210"/>
    <n v="1280"/>
    <n v="12000"/>
    <n v="23720"/>
    <n v="25000"/>
    <n v="13000"/>
  </r>
  <r>
    <x v="119"/>
    <n v="18"/>
    <n v="0"/>
    <n v="13000"/>
    <n v="298"/>
    <n v="12702"/>
    <n v="0"/>
    <n v="12702"/>
    <n v="12000"/>
    <n v="0"/>
    <n v="12702"/>
    <n v="702"/>
  </r>
  <r>
    <x v="120"/>
    <n v="14"/>
    <n v="0"/>
    <n v="702"/>
    <n v="12"/>
    <n v="690"/>
    <n v="0"/>
    <n v="690"/>
    <n v="0"/>
    <n v="0"/>
    <n v="690"/>
    <n v="690"/>
  </r>
  <r>
    <x v="121"/>
    <n v="14"/>
    <n v="0"/>
    <n v="690"/>
    <n v="11"/>
    <n v="679"/>
    <n v="0"/>
    <n v="679"/>
    <n v="0"/>
    <n v="0"/>
    <n v="679"/>
    <n v="679"/>
  </r>
  <r>
    <x v="122"/>
    <n v="16"/>
    <n v="0"/>
    <n v="679"/>
    <n v="14"/>
    <n v="665"/>
    <n v="0"/>
    <n v="665"/>
    <n v="12000"/>
    <n v="24335"/>
    <n v="25000"/>
    <n v="13000"/>
  </r>
  <r>
    <x v="123"/>
    <n v="22"/>
    <n v="0"/>
    <n v="13000"/>
    <n v="403"/>
    <n v="12597"/>
    <n v="0"/>
    <n v="12597"/>
    <n v="12000"/>
    <n v="0"/>
    <n v="12597"/>
    <n v="597"/>
  </r>
  <r>
    <x v="124"/>
    <n v="22"/>
    <n v="0"/>
    <n v="597"/>
    <n v="19"/>
    <n v="578"/>
    <n v="0"/>
    <n v="578"/>
    <n v="12000"/>
    <n v="24422"/>
    <n v="25000"/>
    <n v="13000"/>
  </r>
  <r>
    <x v="125"/>
    <n v="25"/>
    <n v="0"/>
    <n v="13000"/>
    <n v="488"/>
    <n v="12512"/>
    <n v="0"/>
    <n v="12512"/>
    <n v="12000"/>
    <n v="0"/>
    <n v="12512"/>
    <n v="512"/>
  </r>
  <r>
    <x v="126"/>
    <n v="24"/>
    <n v="0"/>
    <n v="512"/>
    <n v="19"/>
    <n v="493"/>
    <n v="0"/>
    <n v="493"/>
    <n v="12000"/>
    <n v="24507"/>
    <n v="25000"/>
    <n v="13000"/>
  </r>
  <r>
    <x v="127"/>
    <n v="24"/>
    <n v="0"/>
    <n v="13000"/>
    <n v="459"/>
    <n v="12541"/>
    <n v="0"/>
    <n v="12541"/>
    <n v="12000"/>
    <n v="0"/>
    <n v="12541"/>
    <n v="541"/>
  </r>
  <r>
    <x v="128"/>
    <n v="28"/>
    <n v="0"/>
    <n v="541"/>
    <n v="25"/>
    <n v="516"/>
    <n v="0"/>
    <n v="516"/>
    <n v="12000"/>
    <n v="24484"/>
    <n v="25000"/>
    <n v="13000"/>
  </r>
  <r>
    <x v="129"/>
    <n v="28"/>
    <n v="0"/>
    <n v="13000"/>
    <n v="578"/>
    <n v="12422"/>
    <n v="0"/>
    <n v="12422"/>
    <n v="12000"/>
    <n v="0"/>
    <n v="12422"/>
    <n v="422"/>
  </r>
  <r>
    <x v="130"/>
    <n v="24"/>
    <n v="0"/>
    <n v="422"/>
    <n v="15"/>
    <n v="407"/>
    <n v="0"/>
    <n v="407"/>
    <n v="12000"/>
    <n v="24593"/>
    <n v="25000"/>
    <n v="13000"/>
  </r>
  <r>
    <x v="131"/>
    <n v="24"/>
    <n v="0"/>
    <n v="13000"/>
    <n v="459"/>
    <n v="12541"/>
    <n v="0"/>
    <n v="12541"/>
    <n v="12000"/>
    <n v="0"/>
    <n v="12541"/>
    <n v="541"/>
  </r>
  <r>
    <x v="132"/>
    <n v="26"/>
    <n v="0"/>
    <n v="541"/>
    <n v="22"/>
    <n v="519"/>
    <n v="0"/>
    <n v="519"/>
    <n v="12000"/>
    <n v="24481"/>
    <n v="25000"/>
    <n v="13000"/>
  </r>
  <r>
    <x v="133"/>
    <n v="32"/>
    <n v="0.6"/>
    <n v="13000"/>
    <n v="0"/>
    <n v="13000"/>
    <n v="420"/>
    <n v="13420"/>
    <n v="24000"/>
    <n v="11580"/>
    <n v="25000"/>
    <n v="1000"/>
  </r>
  <r>
    <x v="134"/>
    <n v="31"/>
    <n v="0.1"/>
    <n v="1000"/>
    <n v="0"/>
    <n v="1000"/>
    <n v="70"/>
    <n v="1070"/>
    <n v="24000"/>
    <n v="23930"/>
    <n v="25000"/>
    <n v="1000"/>
  </r>
  <r>
    <x v="135"/>
    <n v="33"/>
    <n v="0"/>
    <n v="1000"/>
    <n v="57"/>
    <n v="943"/>
    <n v="0"/>
    <n v="943"/>
    <n v="24000"/>
    <n v="24057"/>
    <n v="25000"/>
    <n v="1000"/>
  </r>
  <r>
    <x v="136"/>
    <n v="31"/>
    <n v="12"/>
    <n v="1000"/>
    <n v="0"/>
    <n v="1000"/>
    <n v="8400"/>
    <n v="9400"/>
    <n v="0"/>
    <n v="0"/>
    <n v="9400"/>
    <n v="9400"/>
  </r>
  <r>
    <x v="137"/>
    <n v="22"/>
    <n v="0"/>
    <n v="9400"/>
    <n v="291"/>
    <n v="9109"/>
    <n v="0"/>
    <n v="9109"/>
    <n v="12000"/>
    <n v="15891"/>
    <n v="25000"/>
    <n v="13000"/>
  </r>
  <r>
    <x v="138"/>
    <n v="24"/>
    <n v="0.2"/>
    <n v="13000"/>
    <n v="0"/>
    <n v="13000"/>
    <n v="140"/>
    <n v="13140"/>
    <n v="12000"/>
    <n v="0"/>
    <n v="13140"/>
    <n v="1140"/>
  </r>
  <r>
    <x v="139"/>
    <n v="22"/>
    <n v="0"/>
    <n v="1140"/>
    <n v="36"/>
    <n v="1104"/>
    <n v="0"/>
    <n v="1104"/>
    <n v="12000"/>
    <n v="23896"/>
    <n v="25000"/>
    <n v="13000"/>
  </r>
  <r>
    <x v="140"/>
    <n v="19"/>
    <n v="0"/>
    <n v="13000"/>
    <n v="323"/>
    <n v="12677"/>
    <n v="0"/>
    <n v="12677"/>
    <n v="12000"/>
    <n v="0"/>
    <n v="12677"/>
    <n v="677"/>
  </r>
  <r>
    <x v="141"/>
    <n v="18"/>
    <n v="0"/>
    <n v="677"/>
    <n v="16"/>
    <n v="661"/>
    <n v="0"/>
    <n v="661"/>
    <n v="12000"/>
    <n v="24339"/>
    <n v="25000"/>
    <n v="13000"/>
  </r>
  <r>
    <x v="142"/>
    <n v="18"/>
    <n v="0"/>
    <n v="13000"/>
    <n v="298"/>
    <n v="12702"/>
    <n v="0"/>
    <n v="12702"/>
    <n v="12000"/>
    <n v="0"/>
    <n v="12702"/>
    <n v="702"/>
  </r>
  <r>
    <x v="143"/>
    <n v="18"/>
    <n v="0"/>
    <n v="702"/>
    <n v="17"/>
    <n v="685"/>
    <n v="0"/>
    <n v="685"/>
    <n v="12000"/>
    <n v="24315"/>
    <n v="25000"/>
    <n v="13000"/>
  </r>
  <r>
    <x v="144"/>
    <n v="19"/>
    <n v="0"/>
    <n v="13000"/>
    <n v="323"/>
    <n v="12677"/>
    <n v="0"/>
    <n v="12677"/>
    <n v="12000"/>
    <n v="0"/>
    <n v="12677"/>
    <n v="677"/>
  </r>
  <r>
    <x v="145"/>
    <n v="21"/>
    <n v="5.5"/>
    <n v="677"/>
    <n v="0"/>
    <n v="677"/>
    <n v="3850"/>
    <n v="4527"/>
    <n v="0"/>
    <n v="0"/>
    <n v="4527"/>
    <n v="4527"/>
  </r>
  <r>
    <x v="146"/>
    <n v="18"/>
    <n v="18"/>
    <n v="4527"/>
    <n v="0"/>
    <n v="4527"/>
    <n v="12600"/>
    <n v="17127"/>
    <n v="0"/>
    <n v="0"/>
    <n v="17127"/>
    <n v="17127"/>
  </r>
  <r>
    <x v="147"/>
    <n v="19"/>
    <n v="12"/>
    <n v="17127"/>
    <n v="0"/>
    <n v="17127"/>
    <n v="7873"/>
    <n v="25000"/>
    <n v="0"/>
    <n v="0"/>
    <n v="25000"/>
    <n v="25000"/>
  </r>
  <r>
    <x v="148"/>
    <n v="23"/>
    <n v="0"/>
    <n v="25000"/>
    <n v="828"/>
    <n v="24172"/>
    <n v="0"/>
    <n v="24172"/>
    <n v="12000"/>
    <n v="0"/>
    <n v="24172"/>
    <n v="12172"/>
  </r>
  <r>
    <x v="149"/>
    <n v="17"/>
    <n v="0.1"/>
    <n v="12172"/>
    <n v="0"/>
    <n v="12172"/>
    <n v="70"/>
    <n v="12242"/>
    <n v="12000"/>
    <n v="0"/>
    <n v="12242"/>
    <n v="242"/>
  </r>
  <r>
    <x v="150"/>
    <n v="16"/>
    <n v="14"/>
    <n v="242"/>
    <n v="0"/>
    <n v="242"/>
    <n v="9800"/>
    <n v="10042"/>
    <n v="0"/>
    <n v="0"/>
    <n v="10042"/>
    <n v="10042"/>
  </r>
  <r>
    <x v="151"/>
    <n v="22"/>
    <n v="0"/>
    <n v="10042"/>
    <n v="311"/>
    <n v="9731"/>
    <n v="0"/>
    <n v="9731"/>
    <n v="12000"/>
    <n v="15269"/>
    <n v="25000"/>
    <n v="13000"/>
  </r>
  <r>
    <x v="152"/>
    <n v="26"/>
    <n v="0"/>
    <n v="13000"/>
    <n v="518"/>
    <n v="12482"/>
    <n v="0"/>
    <n v="12482"/>
    <n v="12000"/>
    <n v="0"/>
    <n v="12482"/>
    <n v="482"/>
  </r>
  <r>
    <x v="153"/>
    <n v="27"/>
    <n v="2"/>
    <n v="482"/>
    <n v="0"/>
    <n v="482"/>
    <n v="1400"/>
    <n v="1882"/>
    <n v="0"/>
    <n v="0"/>
    <n v="1882"/>
    <n v="1882"/>
  </r>
  <r>
    <x v="154"/>
    <n v="18"/>
    <n v="0"/>
    <n v="1882"/>
    <n v="44"/>
    <n v="1838"/>
    <n v="0"/>
    <n v="1838"/>
    <n v="12000"/>
    <n v="23162"/>
    <n v="25000"/>
    <n v="13000"/>
  </r>
  <r>
    <x v="155"/>
    <n v="17"/>
    <n v="0"/>
    <n v="13000"/>
    <n v="274"/>
    <n v="12726"/>
    <n v="0"/>
    <n v="12726"/>
    <n v="12000"/>
    <n v="0"/>
    <n v="12726"/>
    <n v="726"/>
  </r>
  <r>
    <x v="156"/>
    <n v="16"/>
    <n v="0.1"/>
    <n v="726"/>
    <n v="0"/>
    <n v="726"/>
    <n v="70"/>
    <n v="796"/>
    <n v="12000"/>
    <n v="24204"/>
    <n v="25000"/>
    <n v="13000"/>
  </r>
  <r>
    <x v="157"/>
    <n v="15"/>
    <n v="0"/>
    <n v="13000"/>
    <n v="227"/>
    <n v="12773"/>
    <n v="0"/>
    <n v="12773"/>
    <n v="0"/>
    <n v="0"/>
    <n v="12773"/>
    <n v="12773"/>
  </r>
  <r>
    <x v="158"/>
    <n v="12"/>
    <n v="4"/>
    <n v="12773"/>
    <n v="0"/>
    <n v="12773"/>
    <n v="2800"/>
    <n v="15573"/>
    <n v="0"/>
    <n v="0"/>
    <n v="15573"/>
    <n v="15573"/>
  </r>
  <r>
    <x v="159"/>
    <n v="13"/>
    <n v="0"/>
    <n v="15573"/>
    <n v="219"/>
    <n v="15354"/>
    <n v="0"/>
    <n v="15354"/>
    <n v="0"/>
    <n v="0"/>
    <n v="15354"/>
    <n v="15354"/>
  </r>
  <r>
    <x v="160"/>
    <n v="11"/>
    <n v="4"/>
    <n v="15354"/>
    <n v="0"/>
    <n v="15354"/>
    <n v="2800"/>
    <n v="18154"/>
    <n v="0"/>
    <n v="0"/>
    <n v="18154"/>
    <n v="18154"/>
  </r>
  <r>
    <x v="161"/>
    <n v="11"/>
    <n v="0"/>
    <n v="18154"/>
    <n v="199"/>
    <n v="17955"/>
    <n v="0"/>
    <n v="17955"/>
    <n v="0"/>
    <n v="0"/>
    <n v="17955"/>
    <n v="17955"/>
  </r>
  <r>
    <x v="162"/>
    <n v="12"/>
    <n v="0"/>
    <n v="17955"/>
    <n v="224"/>
    <n v="17731"/>
    <n v="0"/>
    <n v="17731"/>
    <n v="0"/>
    <n v="0"/>
    <n v="17731"/>
    <n v="17731"/>
  </r>
  <r>
    <x v="163"/>
    <n v="16"/>
    <n v="0.1"/>
    <n v="17731"/>
    <n v="0"/>
    <n v="17731"/>
    <n v="70"/>
    <n v="17801"/>
    <n v="12000"/>
    <n v="0"/>
    <n v="17801"/>
    <n v="5801"/>
  </r>
  <r>
    <x v="164"/>
    <n v="18"/>
    <n v="0"/>
    <n v="5801"/>
    <n v="133"/>
    <n v="5668"/>
    <n v="0"/>
    <n v="5668"/>
    <n v="12000"/>
    <n v="19332"/>
    <n v="25000"/>
    <n v="13000"/>
  </r>
  <r>
    <x v="165"/>
    <n v="18"/>
    <n v="0"/>
    <n v="13000"/>
    <n v="298"/>
    <n v="12702"/>
    <n v="0"/>
    <n v="12702"/>
    <n v="12000"/>
    <n v="0"/>
    <n v="12702"/>
    <n v="702"/>
  </r>
  <r>
    <x v="166"/>
    <n v="19"/>
    <n v="3"/>
    <n v="702"/>
    <n v="0"/>
    <n v="702"/>
    <n v="2100"/>
    <n v="2802"/>
    <n v="0"/>
    <n v="0"/>
    <n v="2802"/>
    <n v="2802"/>
  </r>
  <r>
    <x v="167"/>
    <n v="16"/>
    <n v="0.1"/>
    <n v="2802"/>
    <n v="0"/>
    <n v="2802"/>
    <n v="70"/>
    <n v="2872"/>
    <n v="12000"/>
    <n v="22128"/>
    <n v="25000"/>
    <n v="13000"/>
  </r>
  <r>
    <x v="168"/>
    <n v="18"/>
    <n v="0"/>
    <n v="13000"/>
    <n v="298"/>
    <n v="12702"/>
    <n v="0"/>
    <n v="12702"/>
    <n v="12000"/>
    <n v="0"/>
    <n v="12702"/>
    <n v="702"/>
  </r>
  <r>
    <x v="169"/>
    <n v="22"/>
    <n v="0.5"/>
    <n v="702"/>
    <n v="0"/>
    <n v="702"/>
    <n v="350"/>
    <n v="1052"/>
    <n v="12000"/>
    <n v="23948"/>
    <n v="25000"/>
    <n v="13000"/>
  </r>
  <r>
    <x v="170"/>
    <n v="16"/>
    <n v="0"/>
    <n v="13000"/>
    <n v="250"/>
    <n v="12750"/>
    <n v="0"/>
    <n v="12750"/>
    <n v="12000"/>
    <n v="0"/>
    <n v="12750"/>
    <n v="750"/>
  </r>
  <r>
    <x v="171"/>
    <n v="15"/>
    <n v="0"/>
    <n v="750"/>
    <n v="14"/>
    <n v="736"/>
    <n v="0"/>
    <n v="736"/>
    <n v="0"/>
    <n v="0"/>
    <n v="736"/>
    <n v="736"/>
  </r>
  <r>
    <x v="172"/>
    <n v="14"/>
    <n v="2"/>
    <n v="736"/>
    <n v="0"/>
    <n v="736"/>
    <n v="1400"/>
    <n v="2136"/>
    <n v="0"/>
    <n v="0"/>
    <n v="2136"/>
    <n v="2136"/>
  </r>
  <r>
    <x v="173"/>
    <n v="12"/>
    <n v="0"/>
    <n v="2136"/>
    <n v="27"/>
    <n v="2109"/>
    <n v="0"/>
    <n v="2109"/>
    <n v="0"/>
    <n v="0"/>
    <n v="2109"/>
    <n v="2109"/>
  </r>
  <r>
    <x v="174"/>
    <n v="13"/>
    <n v="0"/>
    <n v="2109"/>
    <n v="30"/>
    <n v="2079"/>
    <n v="0"/>
    <n v="2079"/>
    <n v="0"/>
    <n v="0"/>
    <n v="2079"/>
    <n v="2079"/>
  </r>
  <r>
    <x v="175"/>
    <n v="15"/>
    <n v="0"/>
    <n v="2079"/>
    <n v="37"/>
    <n v="2042"/>
    <n v="0"/>
    <n v="2042"/>
    <n v="0"/>
    <n v="0"/>
    <n v="2042"/>
    <n v="2042"/>
  </r>
  <r>
    <x v="176"/>
    <n v="15"/>
    <n v="0"/>
    <n v="2042"/>
    <n v="36"/>
    <n v="2006"/>
    <n v="0"/>
    <n v="2006"/>
    <n v="0"/>
    <n v="0"/>
    <n v="2006"/>
    <n v="2006"/>
  </r>
  <r>
    <x v="177"/>
    <n v="14"/>
    <n v="0"/>
    <n v="2006"/>
    <n v="32"/>
    <n v="1974"/>
    <n v="0"/>
    <n v="1974"/>
    <n v="0"/>
    <n v="0"/>
    <n v="1974"/>
    <n v="1974"/>
  </r>
  <r>
    <x v="178"/>
    <n v="12"/>
    <n v="0"/>
    <n v="1974"/>
    <n v="25"/>
    <n v="1949"/>
    <n v="0"/>
    <n v="1949"/>
    <n v="0"/>
    <n v="0"/>
    <n v="1949"/>
    <n v="1949"/>
  </r>
  <r>
    <x v="179"/>
    <n v="11"/>
    <n v="0"/>
    <n v="1949"/>
    <n v="22"/>
    <n v="1927"/>
    <n v="0"/>
    <n v="1927"/>
    <n v="0"/>
    <n v="0"/>
    <n v="1927"/>
    <n v="1927"/>
  </r>
  <r>
    <x v="180"/>
    <n v="10"/>
    <n v="0"/>
    <n v="1927"/>
    <n v="19"/>
    <n v="1908"/>
    <n v="0"/>
    <n v="1908"/>
    <n v="0"/>
    <n v="0"/>
    <n v="1908"/>
    <n v="1908"/>
  </r>
  <r>
    <x v="181"/>
    <n v="10"/>
    <n v="0"/>
    <n v="1908"/>
    <n v="19"/>
    <n v="1889"/>
    <n v="0"/>
    <n v="1889"/>
    <n v="0"/>
    <n v="0"/>
    <n v="1889"/>
    <n v="1889"/>
  </r>
  <r>
    <x v="182"/>
    <n v="10"/>
    <n v="0"/>
    <n v="1889"/>
    <n v="18"/>
    <n v="1871"/>
    <n v="0"/>
    <n v="1871"/>
    <n v="0"/>
    <n v="0"/>
    <n v="1871"/>
    <n v="187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n v="4"/>
    <n v="2"/>
    <n v="25000"/>
    <n v="0"/>
    <n v="25000"/>
    <n v="0"/>
    <n v="25000"/>
    <n v="0"/>
    <n v="0"/>
    <n v="25000"/>
    <n v="25000"/>
  </r>
  <r>
    <x v="1"/>
    <n v="2"/>
    <n v="6"/>
    <n v="25000"/>
    <n v="0"/>
    <n v="25000"/>
    <n v="0"/>
    <n v="25000"/>
    <n v="0"/>
    <n v="0"/>
    <n v="25000"/>
    <n v="25000"/>
  </r>
  <r>
    <x v="2"/>
    <n v="4"/>
    <n v="1"/>
    <n v="25000"/>
    <n v="0"/>
    <n v="25000"/>
    <n v="0"/>
    <n v="25000"/>
    <n v="0"/>
    <n v="0"/>
    <n v="25000"/>
    <n v="25000"/>
  </r>
  <r>
    <x v="3"/>
    <n v="4"/>
    <n v="0.8"/>
    <n v="25000"/>
    <n v="0"/>
    <n v="25000"/>
    <n v="0"/>
    <n v="25000"/>
    <n v="0"/>
    <n v="0"/>
    <n v="25000"/>
    <n v="25000"/>
  </r>
  <r>
    <x v="4"/>
    <n v="3"/>
    <n v="0"/>
    <n v="25000"/>
    <n v="39"/>
    <n v="24961"/>
    <n v="0"/>
    <n v="24961"/>
    <n v="0"/>
    <n v="0"/>
    <n v="24961"/>
    <n v="24961"/>
  </r>
  <r>
    <x v="5"/>
    <n v="4"/>
    <n v="0"/>
    <n v="24961"/>
    <n v="60"/>
    <n v="24901"/>
    <n v="0"/>
    <n v="24901"/>
    <n v="0"/>
    <n v="0"/>
    <n v="24901"/>
    <n v="24901"/>
  </r>
  <r>
    <x v="6"/>
    <n v="4"/>
    <n v="1"/>
    <n v="24901"/>
    <n v="0"/>
    <n v="24901"/>
    <n v="99"/>
    <n v="25000"/>
    <n v="0"/>
    <n v="0"/>
    <n v="25000"/>
    <n v="25000"/>
  </r>
  <r>
    <x v="7"/>
    <n v="8"/>
    <n v="1"/>
    <n v="25000"/>
    <n v="0"/>
    <n v="25000"/>
    <n v="0"/>
    <n v="25000"/>
    <n v="0"/>
    <n v="0"/>
    <n v="25000"/>
    <n v="25000"/>
  </r>
  <r>
    <x v="8"/>
    <n v="6"/>
    <n v="2"/>
    <n v="25000"/>
    <n v="0"/>
    <n v="25000"/>
    <n v="0"/>
    <n v="25000"/>
    <n v="0"/>
    <n v="0"/>
    <n v="25000"/>
    <n v="25000"/>
  </r>
  <r>
    <x v="9"/>
    <n v="9"/>
    <n v="2"/>
    <n v="25000"/>
    <n v="0"/>
    <n v="25000"/>
    <n v="0"/>
    <n v="25000"/>
    <n v="0"/>
    <n v="0"/>
    <n v="25000"/>
    <n v="25000"/>
  </r>
  <r>
    <x v="10"/>
    <n v="12"/>
    <n v="3"/>
    <n v="25000"/>
    <n v="0"/>
    <n v="25000"/>
    <n v="0"/>
    <n v="25000"/>
    <n v="0"/>
    <n v="0"/>
    <n v="25000"/>
    <n v="25000"/>
  </r>
  <r>
    <x v="11"/>
    <n v="10"/>
    <n v="2"/>
    <n v="25000"/>
    <n v="0"/>
    <n v="25000"/>
    <n v="0"/>
    <n v="25000"/>
    <n v="0"/>
    <n v="0"/>
    <n v="25000"/>
    <n v="25000"/>
  </r>
  <r>
    <x v="12"/>
    <n v="8"/>
    <n v="1"/>
    <n v="25000"/>
    <n v="0"/>
    <n v="25000"/>
    <n v="0"/>
    <n v="25000"/>
    <n v="0"/>
    <n v="0"/>
    <n v="25000"/>
    <n v="25000"/>
  </r>
  <r>
    <x v="13"/>
    <n v="6"/>
    <n v="0"/>
    <n v="25000"/>
    <n v="111"/>
    <n v="24889"/>
    <n v="0"/>
    <n v="24889"/>
    <n v="0"/>
    <n v="0"/>
    <n v="24889"/>
    <n v="24889"/>
  </r>
  <r>
    <x v="14"/>
    <n v="14"/>
    <n v="0"/>
    <n v="24889"/>
    <n v="392"/>
    <n v="24497"/>
    <n v="0"/>
    <n v="24497"/>
    <n v="0"/>
    <n v="0"/>
    <n v="24497"/>
    <n v="24497"/>
  </r>
  <r>
    <x v="15"/>
    <n v="10"/>
    <n v="0"/>
    <n v="24497"/>
    <n v="233"/>
    <n v="24264"/>
    <n v="0"/>
    <n v="24264"/>
    <n v="0"/>
    <n v="0"/>
    <n v="24264"/>
    <n v="24264"/>
  </r>
  <r>
    <x v="16"/>
    <n v="6"/>
    <n v="0"/>
    <n v="24264"/>
    <n v="107"/>
    <n v="24157"/>
    <n v="0"/>
    <n v="24157"/>
    <n v="0"/>
    <n v="0"/>
    <n v="24157"/>
    <n v="24157"/>
  </r>
  <r>
    <x v="17"/>
    <n v="4"/>
    <n v="0"/>
    <n v="24157"/>
    <n v="58"/>
    <n v="24099"/>
    <n v="0"/>
    <n v="24099"/>
    <n v="0"/>
    <n v="0"/>
    <n v="24099"/>
    <n v="24099"/>
  </r>
  <r>
    <x v="18"/>
    <n v="7"/>
    <n v="0"/>
    <n v="24099"/>
    <n v="134"/>
    <n v="23965"/>
    <n v="0"/>
    <n v="23965"/>
    <n v="0"/>
    <n v="0"/>
    <n v="23965"/>
    <n v="23965"/>
  </r>
  <r>
    <x v="19"/>
    <n v="10"/>
    <n v="1"/>
    <n v="23965"/>
    <n v="0"/>
    <n v="23965"/>
    <n v="700"/>
    <n v="24665"/>
    <n v="0"/>
    <n v="0"/>
    <n v="24665"/>
    <n v="24665"/>
  </r>
  <r>
    <x v="20"/>
    <n v="11"/>
    <n v="3.2"/>
    <n v="24665"/>
    <n v="0"/>
    <n v="24665"/>
    <n v="335"/>
    <n v="25000"/>
    <n v="0"/>
    <n v="0"/>
    <n v="25000"/>
    <n v="25000"/>
  </r>
  <r>
    <x v="21"/>
    <n v="8"/>
    <n v="2.2000000000000002"/>
    <n v="25000"/>
    <n v="0"/>
    <n v="25000"/>
    <n v="0"/>
    <n v="25000"/>
    <n v="0"/>
    <n v="0"/>
    <n v="25000"/>
    <n v="25000"/>
  </r>
  <r>
    <x v="22"/>
    <n v="11"/>
    <n v="1"/>
    <n v="25000"/>
    <n v="0"/>
    <n v="25000"/>
    <n v="0"/>
    <n v="25000"/>
    <n v="0"/>
    <n v="0"/>
    <n v="25000"/>
    <n v="25000"/>
  </r>
  <r>
    <x v="23"/>
    <n v="12"/>
    <n v="1"/>
    <n v="25000"/>
    <n v="0"/>
    <n v="25000"/>
    <n v="0"/>
    <n v="25000"/>
    <n v="0"/>
    <n v="0"/>
    <n v="25000"/>
    <n v="25000"/>
  </r>
  <r>
    <x v="24"/>
    <n v="14"/>
    <n v="1"/>
    <n v="25000"/>
    <n v="0"/>
    <n v="25000"/>
    <n v="0"/>
    <n v="25000"/>
    <n v="0"/>
    <n v="0"/>
    <n v="25000"/>
    <n v="25000"/>
  </r>
  <r>
    <x v="25"/>
    <n v="16"/>
    <n v="0"/>
    <n v="25000"/>
    <n v="480"/>
    <n v="24520"/>
    <n v="0"/>
    <n v="24520"/>
    <n v="12000"/>
    <n v="0"/>
    <n v="24520"/>
    <n v="12520"/>
  </r>
  <r>
    <x v="26"/>
    <n v="16"/>
    <n v="1"/>
    <n v="12520"/>
    <n v="0"/>
    <n v="12520"/>
    <n v="700"/>
    <n v="13220"/>
    <n v="0"/>
    <n v="0"/>
    <n v="13220"/>
    <n v="13220"/>
  </r>
  <r>
    <x v="27"/>
    <n v="6"/>
    <n v="2"/>
    <n v="13220"/>
    <n v="0"/>
    <n v="13220"/>
    <n v="1400"/>
    <n v="14620"/>
    <n v="0"/>
    <n v="0"/>
    <n v="14620"/>
    <n v="14620"/>
  </r>
  <r>
    <x v="28"/>
    <n v="7"/>
    <n v="0"/>
    <n v="14620"/>
    <n v="82"/>
    <n v="14538"/>
    <n v="0"/>
    <n v="14538"/>
    <n v="0"/>
    <n v="0"/>
    <n v="14538"/>
    <n v="14538"/>
  </r>
  <r>
    <x v="29"/>
    <n v="10"/>
    <n v="0"/>
    <n v="14538"/>
    <n v="138"/>
    <n v="14400"/>
    <n v="0"/>
    <n v="14400"/>
    <n v="0"/>
    <n v="0"/>
    <n v="14400"/>
    <n v="14400"/>
  </r>
  <r>
    <x v="30"/>
    <n v="10"/>
    <n v="4"/>
    <n v="14400"/>
    <n v="0"/>
    <n v="14400"/>
    <n v="2800"/>
    <n v="17200"/>
    <n v="0"/>
    <n v="0"/>
    <n v="17200"/>
    <n v="17200"/>
  </r>
  <r>
    <x v="31"/>
    <n v="7"/>
    <n v="5"/>
    <n v="17200"/>
    <n v="0"/>
    <n v="17200"/>
    <n v="3500"/>
    <n v="20700"/>
    <n v="0"/>
    <n v="0"/>
    <n v="20700"/>
    <n v="20700"/>
  </r>
  <r>
    <x v="32"/>
    <n v="9"/>
    <n v="4"/>
    <n v="20700"/>
    <n v="0"/>
    <n v="20700"/>
    <n v="2800"/>
    <n v="23500"/>
    <n v="0"/>
    <n v="0"/>
    <n v="23500"/>
    <n v="23500"/>
  </r>
  <r>
    <x v="33"/>
    <n v="15"/>
    <n v="0.4"/>
    <n v="23500"/>
    <n v="0"/>
    <n v="23500"/>
    <n v="280"/>
    <n v="23780"/>
    <n v="0"/>
    <n v="0"/>
    <n v="23780"/>
    <n v="23780"/>
  </r>
  <r>
    <x v="34"/>
    <n v="18"/>
    <n v="0.4"/>
    <n v="23780"/>
    <n v="0"/>
    <n v="23780"/>
    <n v="280"/>
    <n v="24060"/>
    <n v="12000"/>
    <n v="0"/>
    <n v="24060"/>
    <n v="12060"/>
  </r>
  <r>
    <x v="35"/>
    <n v="16"/>
    <n v="0"/>
    <n v="12060"/>
    <n v="232"/>
    <n v="11828"/>
    <n v="0"/>
    <n v="11828"/>
    <n v="12000"/>
    <n v="13172"/>
    <n v="25000"/>
    <n v="13000"/>
  </r>
  <r>
    <x v="36"/>
    <n v="14"/>
    <n v="0"/>
    <n v="13000"/>
    <n v="205"/>
    <n v="12795"/>
    <n v="0"/>
    <n v="12795"/>
    <n v="0"/>
    <n v="0"/>
    <n v="12795"/>
    <n v="12795"/>
  </r>
  <r>
    <x v="37"/>
    <n v="10"/>
    <n v="0"/>
    <n v="12795"/>
    <n v="122"/>
    <n v="12673"/>
    <n v="0"/>
    <n v="12673"/>
    <n v="0"/>
    <n v="0"/>
    <n v="12673"/>
    <n v="12673"/>
  </r>
  <r>
    <x v="38"/>
    <n v="14"/>
    <n v="0.3"/>
    <n v="12673"/>
    <n v="0"/>
    <n v="12673"/>
    <n v="210"/>
    <n v="12883"/>
    <n v="0"/>
    <n v="0"/>
    <n v="12883"/>
    <n v="12883"/>
  </r>
  <r>
    <x v="39"/>
    <n v="12"/>
    <n v="0.1"/>
    <n v="12883"/>
    <n v="0"/>
    <n v="12883"/>
    <n v="70"/>
    <n v="12953"/>
    <n v="0"/>
    <n v="0"/>
    <n v="12953"/>
    <n v="12953"/>
  </r>
  <r>
    <x v="40"/>
    <n v="11"/>
    <n v="0"/>
    <n v="12953"/>
    <n v="142"/>
    <n v="12811"/>
    <n v="0"/>
    <n v="12811"/>
    <n v="0"/>
    <n v="0"/>
    <n v="12811"/>
    <n v="12811"/>
  </r>
  <r>
    <x v="41"/>
    <n v="16"/>
    <n v="3"/>
    <n v="12811"/>
    <n v="0"/>
    <n v="12811"/>
    <n v="2100"/>
    <n v="14911"/>
    <n v="0"/>
    <n v="0"/>
    <n v="14911"/>
    <n v="14911"/>
  </r>
  <r>
    <x v="42"/>
    <n v="12"/>
    <n v="0"/>
    <n v="14911"/>
    <n v="186"/>
    <n v="14725"/>
    <n v="0"/>
    <n v="14725"/>
    <n v="0"/>
    <n v="0"/>
    <n v="14725"/>
    <n v="14725"/>
  </r>
  <r>
    <x v="43"/>
    <n v="10"/>
    <n v="0"/>
    <n v="14725"/>
    <n v="140"/>
    <n v="14585"/>
    <n v="0"/>
    <n v="14585"/>
    <n v="0"/>
    <n v="0"/>
    <n v="14585"/>
    <n v="14585"/>
  </r>
  <r>
    <x v="44"/>
    <n v="12"/>
    <n v="0"/>
    <n v="14585"/>
    <n v="182"/>
    <n v="14403"/>
    <n v="0"/>
    <n v="14403"/>
    <n v="0"/>
    <n v="0"/>
    <n v="14403"/>
    <n v="14403"/>
  </r>
  <r>
    <x v="45"/>
    <n v="10"/>
    <n v="1.8"/>
    <n v="14403"/>
    <n v="0"/>
    <n v="14403"/>
    <n v="1260"/>
    <n v="15663"/>
    <n v="0"/>
    <n v="0"/>
    <n v="15663"/>
    <n v="15663"/>
  </r>
  <r>
    <x v="46"/>
    <n v="11"/>
    <n v="2.8"/>
    <n v="15663"/>
    <n v="0"/>
    <n v="15663"/>
    <n v="1959.9999999999998"/>
    <n v="17623"/>
    <n v="0"/>
    <n v="0"/>
    <n v="17623"/>
    <n v="17623"/>
  </r>
  <r>
    <x v="47"/>
    <n v="12"/>
    <n v="1.9"/>
    <n v="17623"/>
    <n v="0"/>
    <n v="17623"/>
    <n v="1330"/>
    <n v="18953"/>
    <n v="0"/>
    <n v="0"/>
    <n v="18953"/>
    <n v="18953"/>
  </r>
  <r>
    <x v="48"/>
    <n v="16"/>
    <n v="2.2000000000000002"/>
    <n v="18953"/>
    <n v="0"/>
    <n v="18953"/>
    <n v="1540.0000000000002"/>
    <n v="20493"/>
    <n v="0"/>
    <n v="0"/>
    <n v="20493"/>
    <n v="20493"/>
  </r>
  <r>
    <x v="49"/>
    <n v="13"/>
    <n v="2.2999999999999998"/>
    <n v="20493"/>
    <n v="0"/>
    <n v="20493"/>
    <n v="1609.9999999999998"/>
    <n v="22103"/>
    <n v="0"/>
    <n v="0"/>
    <n v="22103"/>
    <n v="22103"/>
  </r>
  <r>
    <x v="50"/>
    <n v="11"/>
    <n v="5.4"/>
    <n v="22103"/>
    <n v="0"/>
    <n v="22103"/>
    <n v="2897"/>
    <n v="25000"/>
    <n v="0"/>
    <n v="0"/>
    <n v="25000"/>
    <n v="25000"/>
  </r>
  <r>
    <x v="51"/>
    <n v="12"/>
    <n v="5.5"/>
    <n v="25000"/>
    <n v="0"/>
    <n v="25000"/>
    <n v="0"/>
    <n v="25000"/>
    <n v="0"/>
    <n v="0"/>
    <n v="25000"/>
    <n v="25000"/>
  </r>
  <r>
    <x v="52"/>
    <n v="12"/>
    <n v="5.2"/>
    <n v="25000"/>
    <n v="0"/>
    <n v="25000"/>
    <n v="0"/>
    <n v="25000"/>
    <n v="0"/>
    <n v="0"/>
    <n v="25000"/>
    <n v="25000"/>
  </r>
  <r>
    <x v="53"/>
    <n v="14"/>
    <n v="3"/>
    <n v="25000"/>
    <n v="0"/>
    <n v="25000"/>
    <n v="0"/>
    <n v="25000"/>
    <n v="0"/>
    <n v="0"/>
    <n v="25000"/>
    <n v="25000"/>
  </r>
  <r>
    <x v="54"/>
    <n v="15"/>
    <n v="0"/>
    <n v="25000"/>
    <n v="436"/>
    <n v="24564"/>
    <n v="0"/>
    <n v="24564"/>
    <n v="0"/>
    <n v="0"/>
    <n v="24564"/>
    <n v="24564"/>
  </r>
  <r>
    <x v="55"/>
    <n v="14"/>
    <n v="0"/>
    <n v="24564"/>
    <n v="387"/>
    <n v="24177"/>
    <n v="0"/>
    <n v="24177"/>
    <n v="0"/>
    <n v="0"/>
    <n v="24177"/>
    <n v="24177"/>
  </r>
  <r>
    <x v="56"/>
    <n v="10"/>
    <n v="0"/>
    <n v="24177"/>
    <n v="230"/>
    <n v="23947"/>
    <n v="0"/>
    <n v="23947"/>
    <n v="0"/>
    <n v="0"/>
    <n v="23947"/>
    <n v="23947"/>
  </r>
  <r>
    <x v="57"/>
    <n v="12"/>
    <n v="0.1"/>
    <n v="23947"/>
    <n v="0"/>
    <n v="23947"/>
    <n v="70"/>
    <n v="24017"/>
    <n v="0"/>
    <n v="0"/>
    <n v="24017"/>
    <n v="24017"/>
  </r>
  <r>
    <x v="58"/>
    <n v="14"/>
    <n v="0"/>
    <n v="24017"/>
    <n v="378"/>
    <n v="23639"/>
    <n v="0"/>
    <n v="23639"/>
    <n v="0"/>
    <n v="0"/>
    <n v="23639"/>
    <n v="23639"/>
  </r>
  <r>
    <x v="59"/>
    <n v="13"/>
    <n v="0"/>
    <n v="23639"/>
    <n v="333"/>
    <n v="23306"/>
    <n v="0"/>
    <n v="23306"/>
    <n v="0"/>
    <n v="0"/>
    <n v="23306"/>
    <n v="23306"/>
  </r>
  <r>
    <x v="60"/>
    <n v="12"/>
    <n v="0"/>
    <n v="23306"/>
    <n v="291"/>
    <n v="23015"/>
    <n v="0"/>
    <n v="23015"/>
    <n v="0"/>
    <n v="0"/>
    <n v="23015"/>
    <n v="23015"/>
  </r>
  <r>
    <x v="61"/>
    <n v="18"/>
    <n v="4"/>
    <n v="23015"/>
    <n v="0"/>
    <n v="23015"/>
    <n v="1985"/>
    <n v="25000"/>
    <n v="0"/>
    <n v="0"/>
    <n v="25000"/>
    <n v="25000"/>
  </r>
  <r>
    <x v="62"/>
    <n v="18"/>
    <n v="3"/>
    <n v="25000"/>
    <n v="0"/>
    <n v="25000"/>
    <n v="0"/>
    <n v="25000"/>
    <n v="0"/>
    <n v="0"/>
    <n v="25000"/>
    <n v="25000"/>
  </r>
  <r>
    <x v="63"/>
    <n v="22"/>
    <n v="0"/>
    <n v="25000"/>
    <n v="774"/>
    <n v="24226"/>
    <n v="0"/>
    <n v="24226"/>
    <n v="12000"/>
    <n v="0"/>
    <n v="24226"/>
    <n v="12226"/>
  </r>
  <r>
    <x v="64"/>
    <n v="15"/>
    <n v="0"/>
    <n v="12226"/>
    <n v="214"/>
    <n v="12012"/>
    <n v="0"/>
    <n v="12012"/>
    <n v="0"/>
    <n v="0"/>
    <n v="12012"/>
    <n v="12012"/>
  </r>
  <r>
    <x v="65"/>
    <n v="18"/>
    <n v="0"/>
    <n v="12012"/>
    <n v="276"/>
    <n v="11736"/>
    <n v="0"/>
    <n v="11736"/>
    <n v="12000"/>
    <n v="13264"/>
    <n v="25000"/>
    <n v="13000"/>
  </r>
  <r>
    <x v="66"/>
    <n v="22"/>
    <n v="0"/>
    <n v="13000"/>
    <n v="403"/>
    <n v="12597"/>
    <n v="0"/>
    <n v="12597"/>
    <n v="12000"/>
    <n v="0"/>
    <n v="12597"/>
    <n v="597"/>
  </r>
  <r>
    <x v="67"/>
    <n v="14"/>
    <n v="8"/>
    <n v="597"/>
    <n v="0"/>
    <n v="597"/>
    <n v="5600"/>
    <n v="6197"/>
    <n v="0"/>
    <n v="0"/>
    <n v="6197"/>
    <n v="6197"/>
  </r>
  <r>
    <x v="68"/>
    <n v="14"/>
    <n v="5.9"/>
    <n v="6197"/>
    <n v="0"/>
    <n v="6197"/>
    <n v="4130"/>
    <n v="10327"/>
    <n v="0"/>
    <n v="0"/>
    <n v="10327"/>
    <n v="10327"/>
  </r>
  <r>
    <x v="69"/>
    <n v="12"/>
    <n v="5"/>
    <n v="10327"/>
    <n v="0"/>
    <n v="10327"/>
    <n v="3500"/>
    <n v="13827"/>
    <n v="0"/>
    <n v="0"/>
    <n v="13827"/>
    <n v="13827"/>
  </r>
  <r>
    <x v="70"/>
    <n v="16"/>
    <n v="0"/>
    <n v="13827"/>
    <n v="266"/>
    <n v="13561"/>
    <n v="0"/>
    <n v="13561"/>
    <n v="12000"/>
    <n v="0"/>
    <n v="13561"/>
    <n v="1561"/>
  </r>
  <r>
    <x v="71"/>
    <n v="16"/>
    <n v="0"/>
    <n v="1561"/>
    <n v="30"/>
    <n v="1531"/>
    <n v="0"/>
    <n v="1531"/>
    <n v="12000"/>
    <n v="23469"/>
    <n v="25000"/>
    <n v="13000"/>
  </r>
  <r>
    <x v="72"/>
    <n v="18"/>
    <n v="5"/>
    <n v="13000"/>
    <n v="0"/>
    <n v="13000"/>
    <n v="3500"/>
    <n v="16500"/>
    <n v="0"/>
    <n v="0"/>
    <n v="16500"/>
    <n v="16500"/>
  </r>
  <r>
    <x v="73"/>
    <n v="19"/>
    <n v="1"/>
    <n v="16500"/>
    <n v="0"/>
    <n v="16500"/>
    <n v="700"/>
    <n v="17200"/>
    <n v="0"/>
    <n v="0"/>
    <n v="17200"/>
    <n v="17200"/>
  </r>
  <r>
    <x v="74"/>
    <n v="22"/>
    <n v="0"/>
    <n v="17200"/>
    <n v="533"/>
    <n v="16667"/>
    <n v="0"/>
    <n v="16667"/>
    <n v="12000"/>
    <n v="0"/>
    <n v="16667"/>
    <n v="4667"/>
  </r>
  <r>
    <x v="75"/>
    <n v="16"/>
    <n v="0"/>
    <n v="4667"/>
    <n v="90"/>
    <n v="4577"/>
    <n v="0"/>
    <n v="4577"/>
    <n v="12000"/>
    <n v="20423"/>
    <n v="25000"/>
    <n v="13000"/>
  </r>
  <r>
    <x v="76"/>
    <n v="12"/>
    <n v="0"/>
    <n v="13000"/>
    <n v="163"/>
    <n v="12837"/>
    <n v="0"/>
    <n v="12837"/>
    <n v="0"/>
    <n v="0"/>
    <n v="12837"/>
    <n v="12837"/>
  </r>
  <r>
    <x v="77"/>
    <n v="14"/>
    <n v="0"/>
    <n v="12837"/>
    <n v="202"/>
    <n v="12635"/>
    <n v="0"/>
    <n v="12635"/>
    <n v="0"/>
    <n v="0"/>
    <n v="12635"/>
    <n v="12635"/>
  </r>
  <r>
    <x v="78"/>
    <n v="16"/>
    <n v="0.3"/>
    <n v="12635"/>
    <n v="0"/>
    <n v="12635"/>
    <n v="210"/>
    <n v="12845"/>
    <n v="12000"/>
    <n v="0"/>
    <n v="12845"/>
    <n v="845"/>
  </r>
  <r>
    <x v="79"/>
    <n v="12"/>
    <n v="3"/>
    <n v="845"/>
    <n v="0"/>
    <n v="845"/>
    <n v="2100"/>
    <n v="2945"/>
    <n v="0"/>
    <n v="0"/>
    <n v="2945"/>
    <n v="2945"/>
  </r>
  <r>
    <x v="80"/>
    <n v="13"/>
    <n v="2"/>
    <n v="2945"/>
    <n v="0"/>
    <n v="2945"/>
    <n v="1400"/>
    <n v="4345"/>
    <n v="0"/>
    <n v="0"/>
    <n v="4345"/>
    <n v="4345"/>
  </r>
  <r>
    <x v="81"/>
    <n v="12"/>
    <n v="0"/>
    <n v="4345"/>
    <n v="55"/>
    <n v="4290"/>
    <n v="0"/>
    <n v="4290"/>
    <n v="0"/>
    <n v="0"/>
    <n v="4290"/>
    <n v="4290"/>
  </r>
  <r>
    <x v="82"/>
    <n v="12"/>
    <n v="3"/>
    <n v="4290"/>
    <n v="0"/>
    <n v="4290"/>
    <n v="2100"/>
    <n v="6390"/>
    <n v="0"/>
    <n v="0"/>
    <n v="6390"/>
    <n v="6390"/>
  </r>
  <r>
    <x v="83"/>
    <n v="13"/>
    <n v="3"/>
    <n v="6390"/>
    <n v="0"/>
    <n v="6390"/>
    <n v="2100"/>
    <n v="8490"/>
    <n v="0"/>
    <n v="0"/>
    <n v="8490"/>
    <n v="8490"/>
  </r>
  <r>
    <x v="84"/>
    <n v="12"/>
    <n v="0"/>
    <n v="8490"/>
    <n v="106"/>
    <n v="8384"/>
    <n v="0"/>
    <n v="8384"/>
    <n v="0"/>
    <n v="0"/>
    <n v="8384"/>
    <n v="8384"/>
  </r>
  <r>
    <x v="85"/>
    <n v="16"/>
    <n v="0"/>
    <n v="8384"/>
    <n v="161"/>
    <n v="8223"/>
    <n v="0"/>
    <n v="8223"/>
    <n v="12000"/>
    <n v="16777"/>
    <n v="25000"/>
    <n v="13000"/>
  </r>
  <r>
    <x v="86"/>
    <n v="16"/>
    <n v="7"/>
    <n v="13000"/>
    <n v="0"/>
    <n v="13000"/>
    <n v="4900"/>
    <n v="17900"/>
    <n v="0"/>
    <n v="0"/>
    <n v="17900"/>
    <n v="17900"/>
  </r>
  <r>
    <x v="87"/>
    <n v="18"/>
    <n v="6"/>
    <n v="17900"/>
    <n v="0"/>
    <n v="17900"/>
    <n v="4200"/>
    <n v="22100"/>
    <n v="0"/>
    <n v="0"/>
    <n v="22100"/>
    <n v="22100"/>
  </r>
  <r>
    <x v="88"/>
    <n v="16"/>
    <n v="0"/>
    <n v="22100"/>
    <n v="425"/>
    <n v="21675"/>
    <n v="0"/>
    <n v="21675"/>
    <n v="12000"/>
    <n v="0"/>
    <n v="21675"/>
    <n v="9675"/>
  </r>
  <r>
    <x v="89"/>
    <n v="16"/>
    <n v="0"/>
    <n v="9675"/>
    <n v="186"/>
    <n v="9489"/>
    <n v="0"/>
    <n v="9489"/>
    <n v="12000"/>
    <n v="15511"/>
    <n v="25000"/>
    <n v="13000"/>
  </r>
  <r>
    <x v="90"/>
    <n v="19"/>
    <n v="0"/>
    <n v="13000"/>
    <n v="323"/>
    <n v="12677"/>
    <n v="0"/>
    <n v="12677"/>
    <n v="12000"/>
    <n v="0"/>
    <n v="12677"/>
    <n v="677"/>
  </r>
  <r>
    <x v="91"/>
    <n v="18"/>
    <n v="0"/>
    <n v="677"/>
    <n v="16"/>
    <n v="661"/>
    <n v="0"/>
    <n v="661"/>
    <n v="12000"/>
    <n v="24339"/>
    <n v="25000"/>
    <n v="13000"/>
  </r>
  <r>
    <x v="92"/>
    <n v="20"/>
    <n v="0"/>
    <n v="13000"/>
    <n v="349"/>
    <n v="12651"/>
    <n v="0"/>
    <n v="12651"/>
    <n v="12000"/>
    <n v="0"/>
    <n v="12651"/>
    <n v="651"/>
  </r>
  <r>
    <x v="93"/>
    <n v="22"/>
    <n v="0"/>
    <n v="651"/>
    <n v="21"/>
    <n v="630"/>
    <n v="0"/>
    <n v="630"/>
    <n v="12000"/>
    <n v="24370"/>
    <n v="25000"/>
    <n v="13000"/>
  </r>
  <r>
    <x v="94"/>
    <n v="25"/>
    <n v="0"/>
    <n v="13000"/>
    <n v="488"/>
    <n v="12512"/>
    <n v="0"/>
    <n v="12512"/>
    <n v="12000"/>
    <n v="0"/>
    <n v="12512"/>
    <n v="512"/>
  </r>
  <r>
    <x v="95"/>
    <n v="26"/>
    <n v="0"/>
    <n v="512"/>
    <n v="21"/>
    <n v="491"/>
    <n v="0"/>
    <n v="491"/>
    <n v="12000"/>
    <n v="24509"/>
    <n v="25000"/>
    <n v="13000"/>
  </r>
  <r>
    <x v="96"/>
    <n v="22"/>
    <n v="0"/>
    <n v="13000"/>
    <n v="403"/>
    <n v="12597"/>
    <n v="0"/>
    <n v="12597"/>
    <n v="12000"/>
    <n v="0"/>
    <n v="12597"/>
    <n v="597"/>
  </r>
  <r>
    <x v="97"/>
    <n v="22"/>
    <n v="18"/>
    <n v="597"/>
    <n v="0"/>
    <n v="597"/>
    <n v="12600"/>
    <n v="13197"/>
    <n v="0"/>
    <n v="0"/>
    <n v="13197"/>
    <n v="13197"/>
  </r>
  <r>
    <x v="98"/>
    <n v="20"/>
    <n v="3"/>
    <n v="13197"/>
    <n v="0"/>
    <n v="13197"/>
    <n v="2100"/>
    <n v="15297"/>
    <n v="0"/>
    <n v="0"/>
    <n v="15297"/>
    <n v="15297"/>
  </r>
  <r>
    <x v="99"/>
    <n v="16"/>
    <n v="0.2"/>
    <n v="15297"/>
    <n v="0"/>
    <n v="15297"/>
    <n v="140"/>
    <n v="15437"/>
    <n v="12000"/>
    <n v="0"/>
    <n v="15437"/>
    <n v="3437"/>
  </r>
  <r>
    <x v="100"/>
    <n v="13"/>
    <n v="12.2"/>
    <n v="3437"/>
    <n v="0"/>
    <n v="3437"/>
    <n v="8540"/>
    <n v="11977"/>
    <n v="0"/>
    <n v="0"/>
    <n v="11977"/>
    <n v="11977"/>
  </r>
  <r>
    <x v="101"/>
    <n v="16"/>
    <n v="0"/>
    <n v="11977"/>
    <n v="230"/>
    <n v="11747"/>
    <n v="0"/>
    <n v="11747"/>
    <n v="12000"/>
    <n v="13253"/>
    <n v="25000"/>
    <n v="13000"/>
  </r>
  <r>
    <x v="102"/>
    <n v="18"/>
    <n v="2"/>
    <n v="13000"/>
    <n v="0"/>
    <n v="13000"/>
    <n v="1400"/>
    <n v="14400"/>
    <n v="0"/>
    <n v="0"/>
    <n v="14400"/>
    <n v="14400"/>
  </r>
  <r>
    <x v="103"/>
    <n v="18"/>
    <n v="12"/>
    <n v="14400"/>
    <n v="0"/>
    <n v="14400"/>
    <n v="8400"/>
    <n v="22800"/>
    <n v="0"/>
    <n v="0"/>
    <n v="22800"/>
    <n v="22800"/>
  </r>
  <r>
    <x v="104"/>
    <n v="18"/>
    <n v="0"/>
    <n v="22800"/>
    <n v="523"/>
    <n v="22277"/>
    <n v="0"/>
    <n v="22277"/>
    <n v="12000"/>
    <n v="0"/>
    <n v="22277"/>
    <n v="10277"/>
  </r>
  <r>
    <x v="105"/>
    <n v="18"/>
    <n v="0"/>
    <n v="10277"/>
    <n v="236"/>
    <n v="10041"/>
    <n v="0"/>
    <n v="10041"/>
    <n v="12000"/>
    <n v="14959"/>
    <n v="25000"/>
    <n v="13000"/>
  </r>
  <r>
    <x v="106"/>
    <n v="16"/>
    <n v="0"/>
    <n v="13000"/>
    <n v="250"/>
    <n v="12750"/>
    <n v="0"/>
    <n v="12750"/>
    <n v="12000"/>
    <n v="0"/>
    <n v="12750"/>
    <n v="750"/>
  </r>
  <r>
    <x v="107"/>
    <n v="21"/>
    <n v="0"/>
    <n v="750"/>
    <n v="22"/>
    <n v="728"/>
    <n v="0"/>
    <n v="728"/>
    <n v="12000"/>
    <n v="24272"/>
    <n v="25000"/>
    <n v="13000"/>
  </r>
  <r>
    <x v="108"/>
    <n v="26"/>
    <n v="0"/>
    <n v="13000"/>
    <n v="518"/>
    <n v="12482"/>
    <n v="0"/>
    <n v="12482"/>
    <n v="12000"/>
    <n v="0"/>
    <n v="12482"/>
    <n v="482"/>
  </r>
  <r>
    <x v="109"/>
    <n v="23"/>
    <n v="18"/>
    <n v="482"/>
    <n v="0"/>
    <n v="482"/>
    <n v="12600"/>
    <n v="13082"/>
    <n v="0"/>
    <n v="0"/>
    <n v="13082"/>
    <n v="13082"/>
  </r>
  <r>
    <x v="110"/>
    <n v="19"/>
    <n v="0"/>
    <n v="13082"/>
    <n v="326"/>
    <n v="12756"/>
    <n v="0"/>
    <n v="12756"/>
    <n v="12000"/>
    <n v="0"/>
    <n v="12756"/>
    <n v="756"/>
  </r>
  <r>
    <x v="111"/>
    <n v="20"/>
    <n v="6"/>
    <n v="756"/>
    <n v="0"/>
    <n v="756"/>
    <n v="4200"/>
    <n v="4956"/>
    <n v="0"/>
    <n v="0"/>
    <n v="4956"/>
    <n v="4956"/>
  </r>
  <r>
    <x v="112"/>
    <n v="22"/>
    <n v="0"/>
    <n v="4956"/>
    <n v="154"/>
    <n v="4802"/>
    <n v="0"/>
    <n v="4802"/>
    <n v="12000"/>
    <n v="20198"/>
    <n v="25000"/>
    <n v="13000"/>
  </r>
  <r>
    <x v="113"/>
    <n v="20"/>
    <n v="0"/>
    <n v="13000"/>
    <n v="349"/>
    <n v="12651"/>
    <n v="0"/>
    <n v="12651"/>
    <n v="12000"/>
    <n v="0"/>
    <n v="12651"/>
    <n v="651"/>
  </r>
  <r>
    <x v="114"/>
    <n v="20"/>
    <n v="0"/>
    <n v="651"/>
    <n v="18"/>
    <n v="633"/>
    <n v="0"/>
    <n v="633"/>
    <n v="12000"/>
    <n v="24367"/>
    <n v="25000"/>
    <n v="13000"/>
  </r>
  <r>
    <x v="115"/>
    <n v="23"/>
    <n v="0.1"/>
    <n v="13000"/>
    <n v="0"/>
    <n v="13000"/>
    <n v="70"/>
    <n v="13070"/>
    <n v="12000"/>
    <n v="0"/>
    <n v="13070"/>
    <n v="1070"/>
  </r>
  <r>
    <x v="116"/>
    <n v="16"/>
    <n v="0"/>
    <n v="1070"/>
    <n v="21"/>
    <n v="1049"/>
    <n v="0"/>
    <n v="1049"/>
    <n v="12000"/>
    <n v="23951"/>
    <n v="25000"/>
    <n v="13000"/>
  </r>
  <r>
    <x v="117"/>
    <n v="16"/>
    <n v="0.1"/>
    <n v="13000"/>
    <n v="0"/>
    <n v="13000"/>
    <n v="70"/>
    <n v="13070"/>
    <n v="12000"/>
    <n v="0"/>
    <n v="13070"/>
    <n v="1070"/>
  </r>
  <r>
    <x v="118"/>
    <n v="18"/>
    <n v="0.3"/>
    <n v="1070"/>
    <n v="0"/>
    <n v="1070"/>
    <n v="210"/>
    <n v="1280"/>
    <n v="12000"/>
    <n v="23720"/>
    <n v="25000"/>
    <n v="13000"/>
  </r>
  <r>
    <x v="119"/>
    <n v="18"/>
    <n v="0"/>
    <n v="13000"/>
    <n v="298"/>
    <n v="12702"/>
    <n v="0"/>
    <n v="12702"/>
    <n v="12000"/>
    <n v="0"/>
    <n v="12702"/>
    <n v="702"/>
  </r>
  <r>
    <x v="120"/>
    <n v="14"/>
    <n v="0"/>
    <n v="702"/>
    <n v="12"/>
    <n v="690"/>
    <n v="0"/>
    <n v="690"/>
    <n v="0"/>
    <n v="0"/>
    <n v="690"/>
    <n v="690"/>
  </r>
  <r>
    <x v="121"/>
    <n v="14"/>
    <n v="0"/>
    <n v="690"/>
    <n v="11"/>
    <n v="679"/>
    <n v="0"/>
    <n v="679"/>
    <n v="0"/>
    <n v="0"/>
    <n v="679"/>
    <n v="679"/>
  </r>
  <r>
    <x v="122"/>
    <n v="16"/>
    <n v="0"/>
    <n v="679"/>
    <n v="14"/>
    <n v="665"/>
    <n v="0"/>
    <n v="665"/>
    <n v="12000"/>
    <n v="24335"/>
    <n v="25000"/>
    <n v="13000"/>
  </r>
  <r>
    <x v="123"/>
    <n v="22"/>
    <n v="0"/>
    <n v="13000"/>
    <n v="403"/>
    <n v="12597"/>
    <n v="0"/>
    <n v="12597"/>
    <n v="12000"/>
    <n v="0"/>
    <n v="12597"/>
    <n v="597"/>
  </r>
  <r>
    <x v="124"/>
    <n v="22"/>
    <n v="0"/>
    <n v="597"/>
    <n v="19"/>
    <n v="578"/>
    <n v="0"/>
    <n v="578"/>
    <n v="12000"/>
    <n v="24422"/>
    <n v="25000"/>
    <n v="13000"/>
  </r>
  <r>
    <x v="125"/>
    <n v="25"/>
    <n v="0"/>
    <n v="13000"/>
    <n v="488"/>
    <n v="12512"/>
    <n v="0"/>
    <n v="12512"/>
    <n v="12000"/>
    <n v="0"/>
    <n v="12512"/>
    <n v="512"/>
  </r>
  <r>
    <x v="126"/>
    <n v="24"/>
    <n v="0"/>
    <n v="512"/>
    <n v="19"/>
    <n v="493"/>
    <n v="0"/>
    <n v="493"/>
    <n v="12000"/>
    <n v="24507"/>
    <n v="25000"/>
    <n v="13000"/>
  </r>
  <r>
    <x v="127"/>
    <n v="24"/>
    <n v="0"/>
    <n v="13000"/>
    <n v="459"/>
    <n v="12541"/>
    <n v="0"/>
    <n v="12541"/>
    <n v="12000"/>
    <n v="0"/>
    <n v="12541"/>
    <n v="541"/>
  </r>
  <r>
    <x v="128"/>
    <n v="28"/>
    <n v="0"/>
    <n v="541"/>
    <n v="25"/>
    <n v="516"/>
    <n v="0"/>
    <n v="516"/>
    <n v="12000"/>
    <n v="24484"/>
    <n v="25000"/>
    <n v="13000"/>
  </r>
  <r>
    <x v="129"/>
    <n v="28"/>
    <n v="0"/>
    <n v="13000"/>
    <n v="578"/>
    <n v="12422"/>
    <n v="0"/>
    <n v="12422"/>
    <n v="12000"/>
    <n v="0"/>
    <n v="12422"/>
    <n v="422"/>
  </r>
  <r>
    <x v="130"/>
    <n v="24"/>
    <n v="0"/>
    <n v="422"/>
    <n v="15"/>
    <n v="407"/>
    <n v="0"/>
    <n v="407"/>
    <n v="12000"/>
    <n v="24593"/>
    <n v="25000"/>
    <n v="13000"/>
  </r>
  <r>
    <x v="131"/>
    <n v="24"/>
    <n v="0"/>
    <n v="13000"/>
    <n v="459"/>
    <n v="12541"/>
    <n v="0"/>
    <n v="12541"/>
    <n v="12000"/>
    <n v="0"/>
    <n v="12541"/>
    <n v="541"/>
  </r>
  <r>
    <x v="132"/>
    <n v="26"/>
    <n v="0"/>
    <n v="541"/>
    <n v="22"/>
    <n v="519"/>
    <n v="0"/>
    <n v="519"/>
    <n v="12000"/>
    <n v="24481"/>
    <n v="25000"/>
    <n v="13000"/>
  </r>
  <r>
    <x v="133"/>
    <n v="32"/>
    <n v="0.6"/>
    <n v="13000"/>
    <n v="0"/>
    <n v="13000"/>
    <n v="420"/>
    <n v="13420"/>
    <n v="24000"/>
    <n v="11580"/>
    <n v="25000"/>
    <n v="1000"/>
  </r>
  <r>
    <x v="134"/>
    <n v="31"/>
    <n v="0.1"/>
    <n v="1000"/>
    <n v="0"/>
    <n v="1000"/>
    <n v="70"/>
    <n v="1070"/>
    <n v="24000"/>
    <n v="23930"/>
    <n v="25000"/>
    <n v="1000"/>
  </r>
  <r>
    <x v="135"/>
    <n v="33"/>
    <n v="0"/>
    <n v="1000"/>
    <n v="57"/>
    <n v="943"/>
    <n v="0"/>
    <n v="943"/>
    <n v="24000"/>
    <n v="24057"/>
    <n v="25000"/>
    <n v="1000"/>
  </r>
  <r>
    <x v="136"/>
    <n v="31"/>
    <n v="12"/>
    <n v="1000"/>
    <n v="0"/>
    <n v="1000"/>
    <n v="8400"/>
    <n v="9400"/>
    <n v="0"/>
    <n v="0"/>
    <n v="9400"/>
    <n v="9400"/>
  </r>
  <r>
    <x v="137"/>
    <n v="22"/>
    <n v="0"/>
    <n v="9400"/>
    <n v="291"/>
    <n v="9109"/>
    <n v="0"/>
    <n v="9109"/>
    <n v="12000"/>
    <n v="15891"/>
    <n v="25000"/>
    <n v="13000"/>
  </r>
  <r>
    <x v="138"/>
    <n v="24"/>
    <n v="0.2"/>
    <n v="13000"/>
    <n v="0"/>
    <n v="13000"/>
    <n v="140"/>
    <n v="13140"/>
    <n v="12000"/>
    <n v="0"/>
    <n v="13140"/>
    <n v="1140"/>
  </r>
  <r>
    <x v="139"/>
    <n v="22"/>
    <n v="0"/>
    <n v="1140"/>
    <n v="36"/>
    <n v="1104"/>
    <n v="0"/>
    <n v="1104"/>
    <n v="12000"/>
    <n v="23896"/>
    <n v="25000"/>
    <n v="13000"/>
  </r>
  <r>
    <x v="140"/>
    <n v="19"/>
    <n v="0"/>
    <n v="13000"/>
    <n v="323"/>
    <n v="12677"/>
    <n v="0"/>
    <n v="12677"/>
    <n v="12000"/>
    <n v="0"/>
    <n v="12677"/>
    <n v="677"/>
  </r>
  <r>
    <x v="141"/>
    <n v="18"/>
    <n v="0"/>
    <n v="677"/>
    <n v="16"/>
    <n v="661"/>
    <n v="0"/>
    <n v="661"/>
    <n v="12000"/>
    <n v="24339"/>
    <n v="25000"/>
    <n v="13000"/>
  </r>
  <r>
    <x v="142"/>
    <n v="18"/>
    <n v="0"/>
    <n v="13000"/>
    <n v="298"/>
    <n v="12702"/>
    <n v="0"/>
    <n v="12702"/>
    <n v="12000"/>
    <n v="0"/>
    <n v="12702"/>
    <n v="702"/>
  </r>
  <r>
    <x v="143"/>
    <n v="18"/>
    <n v="0"/>
    <n v="702"/>
    <n v="17"/>
    <n v="685"/>
    <n v="0"/>
    <n v="685"/>
    <n v="12000"/>
    <n v="24315"/>
    <n v="25000"/>
    <n v="13000"/>
  </r>
  <r>
    <x v="144"/>
    <n v="19"/>
    <n v="0"/>
    <n v="13000"/>
    <n v="323"/>
    <n v="12677"/>
    <n v="0"/>
    <n v="12677"/>
    <n v="12000"/>
    <n v="0"/>
    <n v="12677"/>
    <n v="677"/>
  </r>
  <r>
    <x v="145"/>
    <n v="21"/>
    <n v="5.5"/>
    <n v="677"/>
    <n v="0"/>
    <n v="677"/>
    <n v="3850"/>
    <n v="4527"/>
    <n v="0"/>
    <n v="0"/>
    <n v="4527"/>
    <n v="4527"/>
  </r>
  <r>
    <x v="146"/>
    <n v="18"/>
    <n v="18"/>
    <n v="4527"/>
    <n v="0"/>
    <n v="4527"/>
    <n v="12600"/>
    <n v="17127"/>
    <n v="0"/>
    <n v="0"/>
    <n v="17127"/>
    <n v="17127"/>
  </r>
  <r>
    <x v="147"/>
    <n v="19"/>
    <n v="12"/>
    <n v="17127"/>
    <n v="0"/>
    <n v="17127"/>
    <n v="7873"/>
    <n v="25000"/>
    <n v="0"/>
    <n v="0"/>
    <n v="25000"/>
    <n v="25000"/>
  </r>
  <r>
    <x v="148"/>
    <n v="23"/>
    <n v="0"/>
    <n v="25000"/>
    <n v="828"/>
    <n v="24172"/>
    <n v="0"/>
    <n v="24172"/>
    <n v="12000"/>
    <n v="0"/>
    <n v="24172"/>
    <n v="12172"/>
  </r>
  <r>
    <x v="149"/>
    <n v="17"/>
    <n v="0.1"/>
    <n v="12172"/>
    <n v="0"/>
    <n v="12172"/>
    <n v="70"/>
    <n v="12242"/>
    <n v="12000"/>
    <n v="0"/>
    <n v="12242"/>
    <n v="242"/>
  </r>
  <r>
    <x v="150"/>
    <n v="16"/>
    <n v="14"/>
    <n v="242"/>
    <n v="0"/>
    <n v="242"/>
    <n v="9800"/>
    <n v="10042"/>
    <n v="0"/>
    <n v="0"/>
    <n v="10042"/>
    <n v="10042"/>
  </r>
  <r>
    <x v="151"/>
    <n v="22"/>
    <n v="0"/>
    <n v="10042"/>
    <n v="311"/>
    <n v="9731"/>
    <n v="0"/>
    <n v="9731"/>
    <n v="12000"/>
    <n v="15269"/>
    <n v="25000"/>
    <n v="13000"/>
  </r>
  <r>
    <x v="152"/>
    <n v="26"/>
    <n v="0"/>
    <n v="13000"/>
    <n v="518"/>
    <n v="12482"/>
    <n v="0"/>
    <n v="12482"/>
    <n v="12000"/>
    <n v="0"/>
    <n v="12482"/>
    <n v="482"/>
  </r>
  <r>
    <x v="153"/>
    <n v="27"/>
    <n v="2"/>
    <n v="482"/>
    <n v="0"/>
    <n v="482"/>
    <n v="1400"/>
    <n v="1882"/>
    <n v="0"/>
    <n v="0"/>
    <n v="1882"/>
    <n v="1882"/>
  </r>
  <r>
    <x v="154"/>
    <n v="18"/>
    <n v="0"/>
    <n v="1882"/>
    <n v="44"/>
    <n v="1838"/>
    <n v="0"/>
    <n v="1838"/>
    <n v="12000"/>
    <n v="23162"/>
    <n v="25000"/>
    <n v="13000"/>
  </r>
  <r>
    <x v="155"/>
    <n v="17"/>
    <n v="0"/>
    <n v="13000"/>
    <n v="274"/>
    <n v="12726"/>
    <n v="0"/>
    <n v="12726"/>
    <n v="12000"/>
    <n v="0"/>
    <n v="12726"/>
    <n v="726"/>
  </r>
  <r>
    <x v="156"/>
    <n v="16"/>
    <n v="0.1"/>
    <n v="726"/>
    <n v="0"/>
    <n v="726"/>
    <n v="70"/>
    <n v="796"/>
    <n v="12000"/>
    <n v="24204"/>
    <n v="25000"/>
    <n v="13000"/>
  </r>
  <r>
    <x v="157"/>
    <n v="15"/>
    <n v="0"/>
    <n v="13000"/>
    <n v="227"/>
    <n v="12773"/>
    <n v="0"/>
    <n v="12773"/>
    <n v="0"/>
    <n v="0"/>
    <n v="12773"/>
    <n v="12773"/>
  </r>
  <r>
    <x v="158"/>
    <n v="12"/>
    <n v="4"/>
    <n v="12773"/>
    <n v="0"/>
    <n v="12773"/>
    <n v="2800"/>
    <n v="15573"/>
    <n v="0"/>
    <n v="0"/>
    <n v="15573"/>
    <n v="15573"/>
  </r>
  <r>
    <x v="159"/>
    <n v="13"/>
    <n v="0"/>
    <n v="15573"/>
    <n v="219"/>
    <n v="15354"/>
    <n v="0"/>
    <n v="15354"/>
    <n v="0"/>
    <n v="0"/>
    <n v="15354"/>
    <n v="15354"/>
  </r>
  <r>
    <x v="160"/>
    <n v="11"/>
    <n v="4"/>
    <n v="15354"/>
    <n v="0"/>
    <n v="15354"/>
    <n v="2800"/>
    <n v="18154"/>
    <n v="0"/>
    <n v="0"/>
    <n v="18154"/>
    <n v="18154"/>
  </r>
  <r>
    <x v="161"/>
    <n v="11"/>
    <n v="0"/>
    <n v="18154"/>
    <n v="199"/>
    <n v="17955"/>
    <n v="0"/>
    <n v="17955"/>
    <n v="0"/>
    <n v="0"/>
    <n v="17955"/>
    <n v="17955"/>
  </r>
  <r>
    <x v="162"/>
    <n v="12"/>
    <n v="0"/>
    <n v="17955"/>
    <n v="224"/>
    <n v="17731"/>
    <n v="0"/>
    <n v="17731"/>
    <n v="0"/>
    <n v="0"/>
    <n v="17731"/>
    <n v="17731"/>
  </r>
  <r>
    <x v="163"/>
    <n v="16"/>
    <n v="0.1"/>
    <n v="17731"/>
    <n v="0"/>
    <n v="17731"/>
    <n v="70"/>
    <n v="17801"/>
    <n v="12000"/>
    <n v="0"/>
    <n v="17801"/>
    <n v="5801"/>
  </r>
  <r>
    <x v="164"/>
    <n v="18"/>
    <n v="0"/>
    <n v="5801"/>
    <n v="133"/>
    <n v="5668"/>
    <n v="0"/>
    <n v="5668"/>
    <n v="12000"/>
    <n v="19332"/>
    <n v="25000"/>
    <n v="13000"/>
  </r>
  <r>
    <x v="165"/>
    <n v="18"/>
    <n v="0"/>
    <n v="13000"/>
    <n v="298"/>
    <n v="12702"/>
    <n v="0"/>
    <n v="12702"/>
    <n v="12000"/>
    <n v="0"/>
    <n v="12702"/>
    <n v="702"/>
  </r>
  <r>
    <x v="166"/>
    <n v="19"/>
    <n v="3"/>
    <n v="702"/>
    <n v="0"/>
    <n v="702"/>
    <n v="2100"/>
    <n v="2802"/>
    <n v="0"/>
    <n v="0"/>
    <n v="2802"/>
    <n v="2802"/>
  </r>
  <r>
    <x v="167"/>
    <n v="16"/>
    <n v="0.1"/>
    <n v="2802"/>
    <n v="0"/>
    <n v="2802"/>
    <n v="70"/>
    <n v="2872"/>
    <n v="12000"/>
    <n v="22128"/>
    <n v="25000"/>
    <n v="13000"/>
  </r>
  <r>
    <x v="168"/>
    <n v="18"/>
    <n v="0"/>
    <n v="13000"/>
    <n v="298"/>
    <n v="12702"/>
    <n v="0"/>
    <n v="12702"/>
    <n v="12000"/>
    <n v="0"/>
    <n v="12702"/>
    <n v="702"/>
  </r>
  <r>
    <x v="169"/>
    <n v="22"/>
    <n v="0.5"/>
    <n v="702"/>
    <n v="0"/>
    <n v="702"/>
    <n v="350"/>
    <n v="1052"/>
    <n v="12000"/>
    <n v="23948"/>
    <n v="25000"/>
    <n v="13000"/>
  </r>
  <r>
    <x v="170"/>
    <n v="16"/>
    <n v="0"/>
    <n v="13000"/>
    <n v="250"/>
    <n v="12750"/>
    <n v="0"/>
    <n v="12750"/>
    <n v="12000"/>
    <n v="0"/>
    <n v="12750"/>
    <n v="750"/>
  </r>
  <r>
    <x v="171"/>
    <n v="15"/>
    <n v="0"/>
    <n v="750"/>
    <n v="14"/>
    <n v="736"/>
    <n v="0"/>
    <n v="736"/>
    <n v="0"/>
    <n v="0"/>
    <n v="736"/>
    <n v="736"/>
  </r>
  <r>
    <x v="172"/>
    <n v="14"/>
    <n v="2"/>
    <n v="736"/>
    <n v="0"/>
    <n v="736"/>
    <n v="1400"/>
    <n v="2136"/>
    <n v="0"/>
    <n v="0"/>
    <n v="2136"/>
    <n v="2136"/>
  </r>
  <r>
    <x v="173"/>
    <n v="12"/>
    <n v="0"/>
    <n v="2136"/>
    <n v="27"/>
    <n v="2109"/>
    <n v="0"/>
    <n v="2109"/>
    <n v="0"/>
    <n v="0"/>
    <n v="2109"/>
    <n v="2109"/>
  </r>
  <r>
    <x v="174"/>
    <n v="13"/>
    <n v="0"/>
    <n v="2109"/>
    <n v="30"/>
    <n v="2079"/>
    <n v="0"/>
    <n v="2079"/>
    <n v="0"/>
    <n v="0"/>
    <n v="2079"/>
    <n v="2079"/>
  </r>
  <r>
    <x v="175"/>
    <n v="15"/>
    <n v="0"/>
    <n v="2079"/>
    <n v="37"/>
    <n v="2042"/>
    <n v="0"/>
    <n v="2042"/>
    <n v="0"/>
    <n v="0"/>
    <n v="2042"/>
    <n v="2042"/>
  </r>
  <r>
    <x v="176"/>
    <n v="15"/>
    <n v="0"/>
    <n v="2042"/>
    <n v="36"/>
    <n v="2006"/>
    <n v="0"/>
    <n v="2006"/>
    <n v="0"/>
    <n v="0"/>
    <n v="2006"/>
    <n v="2006"/>
  </r>
  <r>
    <x v="177"/>
    <n v="14"/>
    <n v="0"/>
    <n v="2006"/>
    <n v="32"/>
    <n v="1974"/>
    <n v="0"/>
    <n v="1974"/>
    <n v="0"/>
    <n v="0"/>
    <n v="1974"/>
    <n v="1974"/>
  </r>
  <r>
    <x v="178"/>
    <n v="12"/>
    <n v="0"/>
    <n v="1974"/>
    <n v="25"/>
    <n v="1949"/>
    <n v="0"/>
    <n v="1949"/>
    <n v="0"/>
    <n v="0"/>
    <n v="1949"/>
    <n v="1949"/>
  </r>
  <r>
    <x v="179"/>
    <n v="11"/>
    <n v="0"/>
    <n v="1949"/>
    <n v="22"/>
    <n v="1927"/>
    <n v="0"/>
    <n v="1927"/>
    <n v="0"/>
    <n v="0"/>
    <n v="1927"/>
    <n v="1927"/>
  </r>
  <r>
    <x v="180"/>
    <n v="10"/>
    <n v="0"/>
    <n v="1927"/>
    <n v="19"/>
    <n v="1908"/>
    <n v="0"/>
    <n v="1908"/>
    <n v="0"/>
    <n v="0"/>
    <n v="1908"/>
    <n v="1908"/>
  </r>
  <r>
    <x v="181"/>
    <n v="10"/>
    <n v="0"/>
    <n v="1908"/>
    <n v="19"/>
    <n v="1889"/>
    <n v="0"/>
    <n v="1889"/>
    <n v="0"/>
    <n v="0"/>
    <n v="1889"/>
    <n v="1889"/>
  </r>
  <r>
    <x v="182"/>
    <n v="10"/>
    <n v="0"/>
    <n v="1889"/>
    <n v="18"/>
    <n v="1871"/>
    <n v="0"/>
    <n v="1871"/>
    <n v="0"/>
    <n v="0"/>
    <n v="1871"/>
    <n v="18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FE43A-F393-47E7-98A9-58289EB40DB3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 rowHeaderCaption="dzień">
  <location ref="N1:O185" firstHeaderRow="1" firstDataRow="1" firstDataCol="1"/>
  <pivotFields count="14">
    <pivotField axis="axisRow"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Items count="1">
    <i/>
  </colItems>
  <dataFields count="1">
    <dataField name="stan_wody" fld="1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58825-4C5B-4F50-81DA-ECA1D90EFAA3}" name="Tabela przestawna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miesiąc">
  <location ref="N2:O9" firstHeaderRow="1" firstDataRow="1" firstDataCol="1"/>
  <pivotFields count="14">
    <pivotField numFmtId="14" showAll="0">
      <items count="1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7"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liczba dolanych litrów wody" fld="9" baseField="0" baseItem="0"/>
  </dataFields>
  <formats count="2">
    <format dxfId="35">
      <pivotArea dataOnly="0" labelOnly="1" fieldPosition="0">
        <references count="1">
          <reference field="13" count="6">
            <x v="4"/>
            <x v="5"/>
            <x v="6"/>
            <x v="7"/>
            <x v="8"/>
            <x v="9"/>
          </reference>
        </references>
      </pivotArea>
    </format>
    <format dxfId="34">
      <pivotArea field="13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3B8F12E-FDAC-4500-9C2E-DC81F27E030E}" autoFormatId="16" applyNumberFormats="0" applyBorderFormats="0" applyFontFormats="0" applyPatternFormats="0" applyAlignmentFormats="0" applyWidthHeightFormats="0">
  <queryTableRefresh nextId="15" unboundColumnsLeft="1" unboundColumnsRight="9">
    <queryTableFields count="12">
      <queryTableField id="13" dataBound="0" tableColumnId="13"/>
      <queryTableField id="1" name="temperatura_srednia" tableColumnId="1"/>
      <queryTableField id="2" name="opady" tableColumnId="2"/>
      <queryTableField id="4" dataBound="0" tableColumnId="4"/>
      <queryTableField id="6" dataBound="0" tableColumnId="6"/>
      <queryTableField id="8" dataBound="0" tableColumnId="8"/>
      <queryTableField id="3" dataBound="0" tableColumnId="3"/>
      <queryTableField id="5" dataBound="0" tableColumnId="5"/>
      <queryTableField id="9" dataBound="0" tableColumnId="9"/>
      <queryTableField id="11" dataBound="0" tableColumnId="11"/>
      <queryTableField id="12" dataBound="0" tableColumnId="12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A83D02D-2F52-4F5F-8DBA-D233487F8AA0}" autoFormatId="16" applyNumberFormats="0" applyBorderFormats="0" applyFontFormats="0" applyPatternFormats="0" applyAlignmentFormats="0" applyWidthHeightFormats="0">
  <queryTableRefresh nextId="15" unboundColumnsLeft="1" unboundColumnsRight="9">
    <queryTableFields count="12">
      <queryTableField id="13" dataBound="0" tableColumnId="13"/>
      <queryTableField id="1" name="temperatura_srednia" tableColumnId="1"/>
      <queryTableField id="2" name="opady" tableColumnId="2"/>
      <queryTableField id="4" dataBound="0" tableColumnId="4"/>
      <queryTableField id="6" dataBound="0" tableColumnId="6"/>
      <queryTableField id="8" dataBound="0" tableColumnId="8"/>
      <queryTableField id="3" dataBound="0" tableColumnId="3"/>
      <queryTableField id="5" dataBound="0" tableColumnId="5"/>
      <queryTableField id="9" dataBound="0" tableColumnId="9"/>
      <queryTableField id="11" dataBound="0" tableColumnId="11"/>
      <queryTableField id="12" dataBound="0" tableColumnId="12"/>
      <queryTableField id="10" dataBound="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D5280A2-4472-4724-8ADB-0EB8D707C5F5}" autoFormatId="16" applyNumberFormats="0" applyBorderFormats="0" applyFontFormats="0" applyPatternFormats="0" applyAlignmentFormats="0" applyWidthHeightFormats="0">
  <queryTableRefresh nextId="16" unboundColumnsLeft="1" unboundColumnsRight="9">
    <queryTableFields count="12">
      <queryTableField id="13" dataBound="0" tableColumnId="13"/>
      <queryTableField id="1" name="temperatura_srednia" tableColumnId="1"/>
      <queryTableField id="2" name="opady" tableColumnId="2"/>
      <queryTableField id="4" dataBound="0" tableColumnId="4"/>
      <queryTableField id="6" dataBound="0" tableColumnId="6"/>
      <queryTableField id="8" dataBound="0" tableColumnId="8"/>
      <queryTableField id="3" dataBound="0" tableColumnId="3"/>
      <queryTableField id="5" dataBound="0" tableColumnId="5"/>
      <queryTableField id="9" dataBound="0" tableColumnId="9"/>
      <queryTableField id="11" dataBound="0" tableColumnId="11"/>
      <queryTableField id="12" dataBound="0" tableColumnId="12"/>
      <queryTableField id="10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4132574-60DA-4138-8C82-E87B80A00685}" autoFormatId="16" applyNumberFormats="0" applyBorderFormats="0" applyFontFormats="0" applyPatternFormats="0" applyAlignmentFormats="0" applyWidthHeightFormats="0">
  <queryTableRefresh nextId="18" unboundColumnsLeft="1" unboundColumnsRight="12">
    <queryTableFields count="15">
      <queryTableField id="13" dataBound="0" tableColumnId="13"/>
      <queryTableField id="1" name="temperatura_srednia" tableColumnId="1"/>
      <queryTableField id="2" name="opady" tableColumnId="2"/>
      <queryTableField id="4" dataBound="0" tableColumnId="4"/>
      <queryTableField id="6" dataBound="0" tableColumnId="6"/>
      <queryTableField id="8" dataBound="0" tableColumnId="8"/>
      <queryTableField id="3" dataBound="0" tableColumnId="3"/>
      <queryTableField id="5" dataBound="0" tableColumnId="5"/>
      <queryTableField id="9" dataBound="0" tableColumnId="9"/>
      <queryTableField id="11" dataBound="0" tableColumnId="11"/>
      <queryTableField id="12" dataBound="0" tableColumnId="12"/>
      <queryTableField id="10" dataBound="0" tableColumnId="10"/>
      <queryTableField id="15" dataBound="0" tableColumnId="14"/>
      <queryTableField id="16" dataBound="0" tableColumnId="15"/>
      <queryTableField id="17" dataBound="0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B91A4B4-AFBD-414C-BC7C-29922167B912}" autoFormatId="16" applyNumberFormats="0" applyBorderFormats="0" applyFontFormats="0" applyPatternFormats="0" applyAlignmentFormats="0" applyWidthHeightFormats="0">
  <queryTableRefresh nextId="15" unboundColumnsLeft="1" unboundColumnsRight="9">
    <queryTableFields count="12">
      <queryTableField id="13" dataBound="0" tableColumnId="13"/>
      <queryTableField id="1" name="temperatura_srednia" tableColumnId="1"/>
      <queryTableField id="2" name="opady" tableColumnId="2"/>
      <queryTableField id="4" dataBound="0" tableColumnId="4"/>
      <queryTableField id="6" dataBound="0" tableColumnId="6"/>
      <queryTableField id="8" dataBound="0" tableColumnId="8"/>
      <queryTableField id="3" dataBound="0" tableColumnId="3"/>
      <queryTableField id="5" dataBound="0" tableColumnId="5"/>
      <queryTableField id="9" dataBound="0" tableColumnId="9"/>
      <queryTableField id="11" dataBound="0" tableColumnId="11"/>
      <queryTableField id="12" dataBound="0" tableColumnId="12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A9A6EB-2492-427B-B05E-1C76F7603C76}" name="pogoda45" displayName="pogoda45" ref="A1:L184" tableType="queryTable" totalsRowShown="0">
  <autoFilter ref="A1:L184" xr:uid="{A19AE2AD-FEE8-4F49-B182-AED471A17727}"/>
  <tableColumns count="12">
    <tableColumn id="13" xr3:uid="{446CFE50-EA03-4D9A-96CE-05BDC514AA96}" uniqueName="13" name="data" queryTableFieldId="13" dataDxfId="55"/>
    <tableColumn id="1" xr3:uid="{10D652BB-3CDB-4236-9C4E-57A874719C6B}" uniqueName="1" name="temperatura_srednia" queryTableFieldId="1"/>
    <tableColumn id="2" xr3:uid="{CBCB6C2B-22AB-44BF-893E-4FE86E213146}" uniqueName="2" name="opady" queryTableFieldId="2"/>
    <tableColumn id="4" xr3:uid="{051BF982-D2D2-460A-B0F5-EA7D25F9F6B7}" uniqueName="4" name="stan_przed_dolaniem" queryTableFieldId="4" dataDxfId="54">
      <calculatedColumnFormula>$AB$2</calculatedColumnFormula>
    </tableColumn>
    <tableColumn id="6" xr3:uid="{E992A64A-DE56-479B-94F6-2479F55C4388}" uniqueName="6" name="ubytek" queryTableFieldId="6" dataDxfId="53">
      <calculatedColumnFormula>IF(C2=0,ROUNDUP($AB$3*POWER(pogoda45[[#This Row],[temperatura_srednia]],1.5)*pogoda45[[#This Row],[stan_przed_dolaniem]],0),0)</calculatedColumnFormula>
    </tableColumn>
    <tableColumn id="8" xr3:uid="{0CD3CB1A-964C-406C-A561-2B914C31966D}" uniqueName="8" name="stan_po_ubytku" queryTableFieldId="8" dataDxfId="52">
      <calculatedColumnFormula>pogoda45[[#This Row],[stan_przed_dolaniem]]-pogoda45[[#This Row],[ubytek]]</calculatedColumnFormula>
    </tableColumn>
    <tableColumn id="3" xr3:uid="{4CF7F730-E48A-49BD-B722-72C4175FB6E8}" uniqueName="3" name="ile_pogoda_dolała" queryTableFieldId="3" dataDxfId="51">
      <calculatedColumnFormula>IF(pogoda45[[#This Row],[opady]]*$AB$1+D2&gt;$AB$2,$AB$2-pogoda45[[#This Row],[stan_przed_dolaniem]],pogoda45[[#This Row],[opady]]*$AB$1)</calculatedColumnFormula>
    </tableColumn>
    <tableColumn id="5" xr3:uid="{C368163D-603D-47E9-BA68-402A5BAA6D13}" uniqueName="5" name="stan_po_dolaniu" queryTableFieldId="5" dataDxfId="50">
      <calculatedColumnFormula>pogoda45[[#This Row],[stan_po_ubytku]]+pogoda45[[#This Row],[ile_pogoda_dolała]]</calculatedColumnFormula>
    </tableColumn>
    <tableColumn id="9" xr3:uid="{FB563AF4-B22C-43ED-B7C5-AF457B5966BB}" uniqueName="9" name="ile_podlewamy" queryTableFieldId="9" dataDxfId="49">
      <calculatedColumnFormula array="1">_xlfn.IFS(OR(pogoda45[[#This Row],[temperatura_srednia]]&lt;=15,pogoda45[[#This Row],[opady]]&gt;0.61),0,pogoda45[[#This Row],[temperatura_srednia]]&gt;30,24000,pogoda45[[#This Row],[temperatura_srednia]]&gt;15,12000)</calculatedColumnFormula>
    </tableColumn>
    <tableColumn id="11" xr3:uid="{4D5FBA48-4FB5-46E1-8A1C-0785C75ABE5E}" uniqueName="11" name="ile_dolać_do_podlania" queryTableFieldId="11" dataDxfId="48">
      <calculatedColumnFormula>IF(pogoda45[[#This Row],[stan_po_dolaniu]]&lt;pogoda45[[#This Row],[ile_podlewamy]],$AB$2-pogoda45[[#This Row],[stan_po_dolaniu]],0)</calculatedColumnFormula>
    </tableColumn>
    <tableColumn id="12" xr3:uid="{BFE0CFA3-C8E7-4B32-9306-3713731D39CF}" uniqueName="12" name="stan_po_dolaniu_do_podlania" queryTableFieldId="12" dataDxfId="47">
      <calculatedColumnFormula>pogoda45[[#This Row],[stan_po_dolaniu]]+pogoda45[[#This Row],[ile_dolać_do_podlania]]</calculatedColumnFormula>
    </tableColumn>
    <tableColumn id="10" xr3:uid="{8BBBC794-D041-474D-BB8C-510FF903E20B}" uniqueName="10" name="stan_po_podlaniu" queryTableFieldId="10" dataDxfId="46">
      <calculatedColumnFormula>pogoda45[[#This Row],[stan_po_dolaniu_do_podlania]]-pogoda45[[#This Row],[ile_podlewamy]]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8A116B-40F2-4767-8F9C-B392906242A1}" name="pogoda46" displayName="pogoda46" ref="A1:L184" tableType="queryTable" totalsRowShown="0">
  <autoFilter ref="A1:L184" xr:uid="{A19AE2AD-FEE8-4F49-B182-AED471A17727}"/>
  <tableColumns count="12">
    <tableColumn id="13" xr3:uid="{8326A12D-5F24-41DB-B01A-E69A739196FE}" uniqueName="13" name="data" queryTableFieldId="13" dataDxfId="45"/>
    <tableColumn id="1" xr3:uid="{6B616E10-CA20-4BF0-B9F0-42F93180748C}" uniqueName="1" name="temperatura_srednia" queryTableFieldId="1"/>
    <tableColumn id="2" xr3:uid="{E732F9B2-034A-4899-93AD-A3F88AB82152}" uniqueName="2" name="opady" queryTableFieldId="2"/>
    <tableColumn id="4" xr3:uid="{B37C9608-38FB-4C06-BA4C-11230403BCDB}" uniqueName="4" name="stan_przed_dolaniem" queryTableFieldId="4" dataDxfId="44">
      <calculatedColumnFormula>$AB$2</calculatedColumnFormula>
    </tableColumn>
    <tableColumn id="6" xr3:uid="{A463AC7E-8EF9-434A-ACEF-923B90F0A09B}" uniqueName="6" name="ubytek" queryTableFieldId="6" dataDxfId="43">
      <calculatedColumnFormula>IF(C2=0,ROUNDUP($AB$3*POWER(pogoda46[[#This Row],[temperatura_srednia]],1.5)*pogoda46[[#This Row],[stan_przed_dolaniem]],0),0)</calculatedColumnFormula>
    </tableColumn>
    <tableColumn id="8" xr3:uid="{63513029-EFA5-4964-A44A-28758C940B22}" uniqueName="8" name="stan_po_ubytku" queryTableFieldId="8" dataDxfId="42">
      <calculatedColumnFormula>pogoda46[[#This Row],[stan_przed_dolaniem]]-pogoda46[[#This Row],[ubytek]]</calculatedColumnFormula>
    </tableColumn>
    <tableColumn id="3" xr3:uid="{384CDA33-0147-47C6-8519-DC07FA1CFBAF}" uniqueName="3" name="ile_pogoda_dolała" queryTableFieldId="3" dataDxfId="41">
      <calculatedColumnFormula>IF(pogoda46[[#This Row],[opady]]*$AB$1+D2&gt;$AB$2,$AB$2-pogoda46[[#This Row],[stan_przed_dolaniem]],pogoda46[[#This Row],[opady]]*$AB$1)</calculatedColumnFormula>
    </tableColumn>
    <tableColumn id="5" xr3:uid="{0C438581-49C2-4B76-9D7B-0EE08E3A400A}" uniqueName="5" name="stan_po_dolaniu" queryTableFieldId="5" dataDxfId="40">
      <calculatedColumnFormula>pogoda46[[#This Row],[stan_po_ubytku]]+pogoda46[[#This Row],[ile_pogoda_dolała]]</calculatedColumnFormula>
    </tableColumn>
    <tableColumn id="9" xr3:uid="{0D19404C-A082-41DE-84DB-BE78DCF9C9CB}" uniqueName="9" name="ile_podlewamy" queryTableFieldId="9" dataDxfId="39">
      <calculatedColumnFormula array="1">_xlfn.IFS(OR(pogoda46[[#This Row],[temperatura_srednia]]&lt;=15,pogoda46[[#This Row],[opady]]&gt;0.61),0,pogoda46[[#This Row],[temperatura_srednia]]&gt;30,24000,pogoda46[[#This Row],[temperatura_srednia]]&gt;15,12000)</calculatedColumnFormula>
    </tableColumn>
    <tableColumn id="11" xr3:uid="{901232A1-4B0A-4033-94B9-1D7FF90CCC44}" uniqueName="11" name="ile_dolać_do_podlania" queryTableFieldId="11" dataDxfId="38">
      <calculatedColumnFormula>IF(pogoda46[[#This Row],[stan_po_dolaniu]]&lt;pogoda46[[#This Row],[ile_podlewamy]],$AB$2-pogoda46[[#This Row],[stan_po_dolaniu]],0)</calculatedColumnFormula>
    </tableColumn>
    <tableColumn id="12" xr3:uid="{6F14A464-B09C-4658-9F78-49A248657619}" uniqueName="12" name="stan_po_dolaniu_do_podlania" queryTableFieldId="12" dataDxfId="37">
      <calculatedColumnFormula>pogoda46[[#This Row],[stan_po_dolaniu]]+pogoda46[[#This Row],[ile_dolać_do_podlania]]</calculatedColumnFormula>
    </tableColumn>
    <tableColumn id="10" xr3:uid="{AD5AA4FF-8B29-4C36-B450-C6B1F82142DD}" uniqueName="10" name="stan_po_podlaniu" queryTableFieldId="10" dataDxfId="36">
      <calculatedColumnFormula>pogoda46[[#This Row],[stan_po_dolaniu_do_podlania]]-pogoda46[[#This Row],[ile_podlewamy]]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EAE60B-BCCC-4A30-8229-D52E01066F21}" name="pogoda47" displayName="pogoda47" ref="A1:L184" tableType="queryTable" totalsRowShown="0">
  <autoFilter ref="A1:L184" xr:uid="{A19AE2AD-FEE8-4F49-B182-AED471A17727}"/>
  <tableColumns count="12">
    <tableColumn id="13" xr3:uid="{C3708234-A1F1-4498-B398-9FDB96793E5A}" uniqueName="13" name="data" queryTableFieldId="13" dataDxfId="33"/>
    <tableColumn id="1" xr3:uid="{2748B31B-9480-4CD4-AAA6-EF52CAFB0579}" uniqueName="1" name="temperatura_srednia" queryTableFieldId="1"/>
    <tableColumn id="2" xr3:uid="{403AC803-0170-450C-B7B7-5784809563EC}" uniqueName="2" name="opady" queryTableFieldId="2"/>
    <tableColumn id="4" xr3:uid="{BA61D488-DC12-4673-88CA-10DBA14DE29E}" uniqueName="4" name="stan_przed_dolaniem" queryTableFieldId="4" dataDxfId="32">
      <calculatedColumnFormula>$AA$2</calculatedColumnFormula>
    </tableColumn>
    <tableColumn id="6" xr3:uid="{54DB4256-6999-40D5-8D24-77BD96BEC4B2}" uniqueName="6" name="ubytek" queryTableFieldId="6" dataDxfId="31">
      <calculatedColumnFormula>IF(C2=0,ROUNDUP($AA$3*POWER(pogoda47[[#This Row],[temperatura_srednia]],1.5)*pogoda47[[#This Row],[stan_przed_dolaniem]],0),0)</calculatedColumnFormula>
    </tableColumn>
    <tableColumn id="8" xr3:uid="{524ADD92-D4FC-423A-8967-79E43CA2288B}" uniqueName="8" name="stan_po_ubytku" queryTableFieldId="8" dataDxfId="30">
      <calculatedColumnFormula>pogoda47[[#This Row],[stan_przed_dolaniem]]-pogoda47[[#This Row],[ubytek]]</calculatedColumnFormula>
    </tableColumn>
    <tableColumn id="3" xr3:uid="{61E0D6EE-4B1E-4C92-9834-AE5CF2DB015E}" uniqueName="3" name="ile_pogoda_dolała" queryTableFieldId="3" dataDxfId="29">
      <calculatedColumnFormula>IF(pogoda47[[#This Row],[opady]]*$AA$1+D2&gt;$AA$2,$AA$2-pogoda47[[#This Row],[stan_przed_dolaniem]],pogoda47[[#This Row],[opady]]*$AA$1)</calculatedColumnFormula>
    </tableColumn>
    <tableColumn id="5" xr3:uid="{52557EA5-00F0-4994-B16E-D394E4DD2B26}" uniqueName="5" name="stan_po_dolaniu" queryTableFieldId="5" dataDxfId="28">
      <calculatedColumnFormula>pogoda47[[#This Row],[stan_po_ubytku]]+pogoda47[[#This Row],[ile_pogoda_dolała]]</calculatedColumnFormula>
    </tableColumn>
    <tableColumn id="9" xr3:uid="{953139B6-362B-4F90-B6BE-14F10731F72B}" uniqueName="9" name="ile_podlewamy" queryTableFieldId="9" dataDxfId="27">
      <calculatedColumnFormula array="1">_xlfn.IFS(OR(pogoda47[[#This Row],[temperatura_srednia]]&lt;=15,pogoda47[[#This Row],[opady]]&gt;0.61),0,pogoda47[[#This Row],[temperatura_srednia]]&gt;30,24000,pogoda47[[#This Row],[temperatura_srednia]]&gt;15,12000)</calculatedColumnFormula>
    </tableColumn>
    <tableColumn id="11" xr3:uid="{E217EA88-7494-479A-9604-62C7A80FB8CB}" uniqueName="11" name="ile_dolać_do_podlania" queryTableFieldId="11" dataDxfId="26">
      <calculatedColumnFormula>IF(pogoda47[[#This Row],[stan_po_dolaniu]]&lt;pogoda47[[#This Row],[ile_podlewamy]],$AA$2-pogoda47[[#This Row],[stan_po_dolaniu]],0)</calculatedColumnFormula>
    </tableColumn>
    <tableColumn id="12" xr3:uid="{C283C5F2-2049-4B1B-9074-C3709650FE2E}" uniqueName="12" name="stan_po_dolaniu_do_podlania" queryTableFieldId="12" dataDxfId="25">
      <calculatedColumnFormula>pogoda47[[#This Row],[stan_po_dolaniu]]+pogoda47[[#This Row],[ile_dolać_do_podlania]]</calculatedColumnFormula>
    </tableColumn>
    <tableColumn id="10" xr3:uid="{1B514483-A5B9-4130-9A6D-CA7004DD42EB}" uniqueName="10" name="stan_po_podlaniu" queryTableFieldId="10" dataDxfId="24">
      <calculatedColumnFormula>pogoda47[[#This Row],[stan_po_dolaniu_do_podlania]]-pogoda47[[#This Row],[ile_podlewamy]]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0959B6-F39C-41AD-8838-EDD0AE416C97}" name="pogoda48" displayName="pogoda48" ref="A1:O185" tableType="queryTable" totalsRowShown="0">
  <autoFilter ref="A1:O185" xr:uid="{A19AE2AD-FEE8-4F49-B182-AED471A17727}"/>
  <tableColumns count="15">
    <tableColumn id="13" xr3:uid="{798A3CC8-C3CE-442F-9185-8059451F60FB}" uniqueName="13" name="data" queryTableFieldId="13" dataDxfId="23"/>
    <tableColumn id="1" xr3:uid="{9BCCB310-F07E-46BB-9C2E-B3D42BA98B5E}" uniqueName="1" name="temperatura_srednia" queryTableFieldId="1"/>
    <tableColumn id="2" xr3:uid="{6AE13C08-B7B4-490A-A175-6A54FDAC99D5}" uniqueName="2" name="opady" queryTableFieldId="2"/>
    <tableColumn id="4" xr3:uid="{54D0E9FE-2872-4881-8E15-2BB0F122DE50}" uniqueName="4" name="stan_przed_dolaniem" queryTableFieldId="4" dataDxfId="22">
      <calculatedColumnFormula>$AB$2</calculatedColumnFormula>
    </tableColumn>
    <tableColumn id="6" xr3:uid="{A220B575-AF5E-4DAD-83C8-B8D46A174009}" uniqueName="6" name="ubytek" queryTableFieldId="6" dataDxfId="21">
      <calculatedColumnFormula>IF(C2=0,ROUNDUP($AB$3*POWER(pogoda48[[#This Row],[temperatura_srednia]],1.5)*pogoda48[[#This Row],[stan_przed_dolaniem]],0),0)</calculatedColumnFormula>
    </tableColumn>
    <tableColumn id="8" xr3:uid="{14953D6B-6AE4-4CEF-8845-694B3CE0300E}" uniqueName="8" name="stan_po_ubytku" queryTableFieldId="8" dataDxfId="20">
      <calculatedColumnFormula>pogoda48[[#This Row],[stan_przed_dolaniem]]-pogoda48[[#This Row],[ubytek]]</calculatedColumnFormula>
    </tableColumn>
    <tableColumn id="3" xr3:uid="{AE2CC190-275D-41C6-BD31-9FC1D382AE3E}" uniqueName="3" name="ile_pogoda_dolała" queryTableFieldId="3" dataDxfId="19">
      <calculatedColumnFormula>IF(pogoda48[[#This Row],[opady]]*$AB$1+D2&gt;$AB$2,$AB$2-pogoda48[[#This Row],[stan_przed_dolaniem]],pogoda48[[#This Row],[opady]]*$AB$1)</calculatedColumnFormula>
    </tableColumn>
    <tableColumn id="5" xr3:uid="{1E38D2F7-1050-4533-B74D-8A8CEFC1E842}" uniqueName="5" name="stan_po_dolaniu" queryTableFieldId="5" dataDxfId="18">
      <calculatedColumnFormula>pogoda48[[#This Row],[stan_po_ubytku]]+pogoda48[[#This Row],[ile_pogoda_dolała]]</calculatedColumnFormula>
    </tableColumn>
    <tableColumn id="9" xr3:uid="{68012721-D955-4766-B74E-1625656E9342}" uniqueName="9" name="ile_podlewamy" queryTableFieldId="9" dataDxfId="17">
      <calculatedColumnFormula array="1">_xlfn.IFS(OR(pogoda48[[#This Row],[temperatura_srednia]]&lt;=15,pogoda48[[#This Row],[opady]]&gt;0.61),0,pogoda48[[#This Row],[temperatura_srednia]]&gt;30,24000,pogoda48[[#This Row],[temperatura_srednia]]&gt;15,12000)</calculatedColumnFormula>
    </tableColumn>
    <tableColumn id="11" xr3:uid="{245019DA-7431-4311-974E-894F14907C1A}" uniqueName="11" name="ile_dolać_do_podlania" queryTableFieldId="11" dataDxfId="16">
      <calculatedColumnFormula>IF(pogoda48[[#This Row],[stan_po_dolaniu]]&lt;pogoda48[[#This Row],[ile_podlewamy]],$AB$2-pogoda48[[#This Row],[stan_po_dolaniu]],0)</calculatedColumnFormula>
    </tableColumn>
    <tableColumn id="12" xr3:uid="{BDC34F1F-4598-4366-A501-ECAAA71D373A}" uniqueName="12" name="stan_po_dolaniu_do_podlania" queryTableFieldId="12" dataDxfId="15">
      <calculatedColumnFormula>pogoda48[[#This Row],[stan_po_dolaniu]]+pogoda48[[#This Row],[ile_dolać_do_podlania]]</calculatedColumnFormula>
    </tableColumn>
    <tableColumn id="10" xr3:uid="{3F8545F2-6C24-40BD-9294-8B370A4EA700}" uniqueName="10" name="stan_po_podlaniu" queryTableFieldId="10" dataDxfId="14">
      <calculatedColumnFormula>pogoda48[[#This Row],[stan_po_dolaniu_do_podlania]]-pogoda48[[#This Row],[ile_podlewamy]]</calculatedColumnFormula>
    </tableColumn>
    <tableColumn id="14" xr3:uid="{E808176B-FE88-4586-96E6-4BBD760313BA}" uniqueName="14" name="czy_temp_mniejsza_rowna_15" queryTableFieldId="15" dataDxfId="13">
      <calculatedColumnFormula>IF(pogoda48[[#This Row],[temperatura_srednia]]&lt;=15,1,0)</calculatedColumnFormula>
    </tableColumn>
    <tableColumn id="15" xr3:uid="{47FE331E-35DE-4CC9-993E-EB40FA6510FC}" uniqueName="15" name="temp_wieksza_15_opady_nie_przekraczaja_0_61" queryTableFieldId="16" dataDxfId="12">
      <calculatedColumnFormula>IF(AND(pogoda48[[#This Row],[temperatura_srednia]]&gt;15,pogoda48[[#This Row],[opady]]&lt;=0.61),1,0)</calculatedColumnFormula>
    </tableColumn>
    <tableColumn id="16" xr3:uid="{284C7595-1DFC-42BE-9D6E-B17D71B3A783}" uniqueName="16" name="temp_wieksza_15_opady_przekraczaja_0_612" queryTableFieldId="17" dataDxfId="11">
      <calculatedColumnFormula>IF(AND(pogoda48[[#This Row],[temperatura_srednia]]&gt;15,pogoda48[[#This Row],[opady]]&gt;0.61),1,0)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DD9D0-5081-42F2-AF93-D8F09C38C49B}" name="pogoda4" displayName="pogoda4" ref="A1:L184" tableType="queryTable" totalsRowShown="0">
  <autoFilter ref="A1:L184" xr:uid="{A19AE2AD-FEE8-4F49-B182-AED471A17727}"/>
  <tableColumns count="12">
    <tableColumn id="13" xr3:uid="{B423D7C3-29EE-4D6C-826C-512CF8A61B29}" uniqueName="13" name="data" queryTableFieldId="13" dataDxfId="10"/>
    <tableColumn id="1" xr3:uid="{375CC658-EBED-4047-921B-E91B0AFB0F98}" uniqueName="1" name="temperatura_srednia" queryTableFieldId="1"/>
    <tableColumn id="2" xr3:uid="{6803631C-0E24-49F5-8834-B5C85E143023}" uniqueName="2" name="opady" queryTableFieldId="2"/>
    <tableColumn id="4" xr3:uid="{443CE8CB-49B6-4BBA-9A43-1D50485302BB}" uniqueName="4" name="stan_przed_dolaniem" queryTableFieldId="4" dataDxfId="9">
      <calculatedColumnFormula>$AB$2</calculatedColumnFormula>
    </tableColumn>
    <tableColumn id="6" xr3:uid="{A7A5B173-93E6-4D73-B50B-15FE806B7A57}" uniqueName="6" name="ubytek" queryTableFieldId="6" dataDxfId="8">
      <calculatedColumnFormula>IF(C2=0,ROUNDUP($AB$3*POWER(pogoda4[[#This Row],[temperatura_srednia]],1.5)*pogoda4[[#This Row],[stan_przed_dolaniem]],0),0)</calculatedColumnFormula>
    </tableColumn>
    <tableColumn id="8" xr3:uid="{AD972721-B7E3-4E59-9628-CC10FEB28C7D}" uniqueName="8" name="stan_po_ubytku" queryTableFieldId="8" dataDxfId="7">
      <calculatedColumnFormula>pogoda4[[#This Row],[stan_przed_dolaniem]]-pogoda4[[#This Row],[ubytek]]</calculatedColumnFormula>
    </tableColumn>
    <tableColumn id="3" xr3:uid="{FB56FBAF-2AB1-447A-8816-4AADB86055C4}" uniqueName="3" name="ile_pogoda_dolała" queryTableFieldId="3" dataDxfId="6">
      <calculatedColumnFormula>IF(pogoda4[[#This Row],[opady]]*$AB$1+D2&gt;$AB$2,$AB$2-pogoda4[[#This Row],[stan_przed_dolaniem]],pogoda4[[#This Row],[opady]]*$AB$1)</calculatedColumnFormula>
    </tableColumn>
    <tableColumn id="5" xr3:uid="{DB7214C5-0847-4E0D-AE85-DA413F50C55E}" uniqueName="5" name="stan_po_dolaniu" queryTableFieldId="5" dataDxfId="5">
      <calculatedColumnFormula>pogoda4[[#This Row],[stan_po_ubytku]]+pogoda4[[#This Row],[ile_pogoda_dolała]]</calculatedColumnFormula>
    </tableColumn>
    <tableColumn id="9" xr3:uid="{10AEF4F2-B098-4720-B227-C1B462665DE3}" uniqueName="9" name="ile_podlewamy" queryTableFieldId="9" dataDxfId="4">
      <calculatedColumnFormula array="1">_xlfn.IFS(OR(pogoda4[[#This Row],[temperatura_srednia]]&lt;=15,pogoda4[[#This Row],[opady]]&gt;0.61),0,pogoda4[[#This Row],[temperatura_srednia]]&gt;30,24000,pogoda4[[#This Row],[temperatura_srednia]]&gt;15,12000)</calculatedColumnFormula>
    </tableColumn>
    <tableColumn id="11" xr3:uid="{1C95E75B-EA42-40FE-9409-61FD60EFC24E}" uniqueName="11" name="ile_dolać_do_podlania" queryTableFieldId="11" dataDxfId="3">
      <calculatedColumnFormula>IF(pogoda4[[#This Row],[stan_po_dolaniu]]&lt;pogoda4[[#This Row],[ile_podlewamy]],$AB$2-pogoda4[[#This Row],[stan_po_dolaniu]],0)</calculatedColumnFormula>
    </tableColumn>
    <tableColumn id="12" xr3:uid="{72246590-D920-4EA0-ADF5-E3490E63EC9A}" uniqueName="12" name="stan_po_dolaniu_do_podlania" queryTableFieldId="12" dataDxfId="2">
      <calculatedColumnFormula>pogoda4[[#This Row],[stan_po_dolaniu]]+pogoda4[[#This Row],[ile_dolać_do_podlania]]</calculatedColumnFormula>
    </tableColumn>
    <tableColumn id="10" xr3:uid="{18AA9B76-3CC9-4F4C-B0FC-BEA0332FB82A}" uniqueName="10" name="stan_po_podlaniu" queryTableFieldId="10" dataDxfId="1">
      <calculatedColumnFormula>pogoda4[[#This Row],[stan_po_dolaniu_do_podlania]]-pogoda4[[#This Row],[ile_podlewamy]]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714A-9DC4-4568-B361-A592C62BD226}">
  <dimension ref="A1:AB184"/>
  <sheetViews>
    <sheetView tabSelected="1" topLeftCell="A13" workbookViewId="0">
      <selection activeCell="M22" sqref="M22"/>
    </sheetView>
  </sheetViews>
  <sheetFormatPr defaultRowHeight="15" x14ac:dyDescent="0.25"/>
  <cols>
    <col min="1" max="1" width="22.28515625" customWidth="1"/>
    <col min="2" max="2" width="22.28515625" bestFit="1" customWidth="1"/>
    <col min="4" max="4" width="8.7109375" bestFit="1" customWidth="1"/>
    <col min="5" max="5" width="22.7109375" bestFit="1" customWidth="1"/>
    <col min="6" max="6" width="9.42578125" bestFit="1" customWidth="1"/>
    <col min="7" max="7" width="17.5703125" bestFit="1" customWidth="1"/>
    <col min="8" max="8" width="19.85546875" bestFit="1" customWidth="1"/>
    <col min="9" max="9" width="18.140625" bestFit="1" customWidth="1"/>
    <col min="10" max="10" width="17.140625" bestFit="1" customWidth="1"/>
    <col min="11" max="11" width="23.7109375" bestFit="1" customWidth="1"/>
    <col min="12" max="12" width="30.5703125" bestFit="1" customWidth="1"/>
    <col min="13" max="13" width="19.28515625" bestFit="1" customWidth="1"/>
    <col min="28" max="28" width="18.28515625" bestFit="1" customWidth="1"/>
    <col min="29" max="29" width="6.140625" bestFit="1" customWidth="1"/>
  </cols>
  <sheetData>
    <row r="1" spans="1:28" x14ac:dyDescent="0.25">
      <c r="A1" t="s">
        <v>9</v>
      </c>
      <c r="B1" t="s">
        <v>0</v>
      </c>
      <c r="C1" t="s">
        <v>1</v>
      </c>
      <c r="D1" t="s">
        <v>3</v>
      </c>
      <c r="E1" t="s">
        <v>6</v>
      </c>
      <c r="F1" t="s">
        <v>8</v>
      </c>
      <c r="G1" t="s">
        <v>14</v>
      </c>
      <c r="H1" t="s">
        <v>5</v>
      </c>
      <c r="I1" t="s">
        <v>10</v>
      </c>
      <c r="J1" t="s">
        <v>12</v>
      </c>
      <c r="K1" t="s">
        <v>13</v>
      </c>
      <c r="L1" t="s">
        <v>11</v>
      </c>
      <c r="AA1" t="s">
        <v>2</v>
      </c>
      <c r="AB1">
        <v>700</v>
      </c>
    </row>
    <row r="2" spans="1:28" x14ac:dyDescent="0.25">
      <c r="A2" s="2">
        <v>42095</v>
      </c>
      <c r="B2">
        <v>4</v>
      </c>
      <c r="C2">
        <v>2</v>
      </c>
      <c r="D2">
        <v>25000</v>
      </c>
      <c r="E2">
        <f>IF(C2=0,ROUNDUP($AB$3*POWER(pogoda45[[#This Row],[temperatura_srednia]],1.5)*pogoda45[[#This Row],[stan_przed_dolaniem]],0),0)</f>
        <v>0</v>
      </c>
      <c r="F2">
        <f>pogoda45[[#This Row],[stan_przed_dolaniem]]-pogoda45[[#This Row],[ubytek]]</f>
        <v>25000</v>
      </c>
      <c r="G2">
        <f>IF(pogoda45[[#This Row],[opady]]*$AB$1+D2&gt;$AB$2,$AB$2-pogoda45[[#This Row],[stan_przed_dolaniem]],pogoda45[[#This Row],[opady]]*$AB$1)</f>
        <v>0</v>
      </c>
      <c r="H2">
        <f>pogoda45[[#This Row],[stan_po_ubytku]]+pogoda45[[#This Row],[ile_pogoda_dolała]]</f>
        <v>25000</v>
      </c>
      <c r="I2" cm="1">
        <f t="array" ref="I2">_xlfn.IFS(OR(pogoda45[[#This Row],[temperatura_srednia]]&lt;=15,pogoda45[[#This Row],[opady]]&gt;0.61),0,pogoda45[[#This Row],[temperatura_srednia]]&gt;30,24000,pogoda45[[#This Row],[temperatura_srednia]]&gt;15,12000)</f>
        <v>0</v>
      </c>
      <c r="J2">
        <f>IF(pogoda45[[#This Row],[stan_po_dolaniu]]&lt;pogoda45[[#This Row],[ile_podlewamy]],$AB$2-pogoda45[[#This Row],[stan_po_dolaniu]],0)</f>
        <v>0</v>
      </c>
      <c r="K2">
        <f>pogoda45[[#This Row],[stan_po_dolaniu]]+pogoda45[[#This Row],[ile_dolać_do_podlania]]</f>
        <v>25000</v>
      </c>
      <c r="L2">
        <f>pogoda45[[#This Row],[stan_po_dolaniu_do_podlania]]-pogoda45[[#This Row],[ile_podlewamy]]</f>
        <v>25000</v>
      </c>
      <c r="AA2" t="s">
        <v>4</v>
      </c>
      <c r="AB2">
        <v>25000</v>
      </c>
    </row>
    <row r="3" spans="1:28" x14ac:dyDescent="0.25">
      <c r="A3" s="2">
        <v>42096</v>
      </c>
      <c r="B3">
        <v>2</v>
      </c>
      <c r="C3">
        <v>6</v>
      </c>
      <c r="D3">
        <f>L2</f>
        <v>25000</v>
      </c>
      <c r="E3">
        <f>IF(C3=0,ROUNDUP($AB$3*POWER(pogoda45[[#This Row],[temperatura_srednia]],1.5)*pogoda45[[#This Row],[stan_przed_dolaniem]],0),0)</f>
        <v>0</v>
      </c>
      <c r="F3">
        <f>pogoda45[[#This Row],[stan_przed_dolaniem]]-pogoda45[[#This Row],[ubytek]]</f>
        <v>25000</v>
      </c>
      <c r="G3">
        <f>IF(pogoda45[[#This Row],[opady]]*$AB$1+D3&gt;$AB$2,$AB$2-pogoda45[[#This Row],[stan_przed_dolaniem]],pogoda45[[#This Row],[opady]]*$AB$1)</f>
        <v>0</v>
      </c>
      <c r="H3">
        <f>pogoda45[[#This Row],[stan_po_ubytku]]+pogoda45[[#This Row],[ile_pogoda_dolała]]</f>
        <v>25000</v>
      </c>
      <c r="I3" cm="1">
        <f t="array" ref="I3">_xlfn.IFS(OR(pogoda45[[#This Row],[temperatura_srednia]]&lt;=15,pogoda45[[#This Row],[opady]]&gt;0.61),0,pogoda45[[#This Row],[temperatura_srednia]]&gt;30,24000,pogoda45[[#This Row],[temperatura_srednia]]&gt;15,12000)</f>
        <v>0</v>
      </c>
      <c r="J3">
        <f>IF(pogoda45[[#This Row],[stan_po_dolaniu]]&lt;pogoda45[[#This Row],[ile_podlewamy]],$AB$2-pogoda45[[#This Row],[stan_po_dolaniu]],0)</f>
        <v>0</v>
      </c>
      <c r="K3">
        <f>pogoda45[[#This Row],[stan_po_dolaniu]]+pogoda45[[#This Row],[ile_dolać_do_podlania]]</f>
        <v>25000</v>
      </c>
      <c r="L3">
        <f>pogoda45[[#This Row],[stan_po_dolaniu_do_podlania]]-pogoda45[[#This Row],[ile_podlewamy]]</f>
        <v>25000</v>
      </c>
      <c r="AA3" t="s">
        <v>7</v>
      </c>
      <c r="AB3" s="1">
        <v>2.9999999999999997E-4</v>
      </c>
    </row>
    <row r="4" spans="1:28" x14ac:dyDescent="0.25">
      <c r="A4" s="2">
        <v>42097</v>
      </c>
      <c r="B4">
        <v>4</v>
      </c>
      <c r="C4">
        <v>1</v>
      </c>
      <c r="D4">
        <f t="shared" ref="D4:D67" si="0">L3</f>
        <v>25000</v>
      </c>
      <c r="E4">
        <f>IF(C4=0,ROUNDUP($AB$3*POWER(pogoda45[[#This Row],[temperatura_srednia]],1.5)*pogoda45[[#This Row],[stan_przed_dolaniem]],0),0)</f>
        <v>0</v>
      </c>
      <c r="F4">
        <f>pogoda45[[#This Row],[stan_przed_dolaniem]]-pogoda45[[#This Row],[ubytek]]</f>
        <v>25000</v>
      </c>
      <c r="G4">
        <f>IF(pogoda45[[#This Row],[opady]]*$AB$1+D4&gt;$AB$2,$AB$2-pogoda45[[#This Row],[stan_przed_dolaniem]],pogoda45[[#This Row],[opady]]*$AB$1)</f>
        <v>0</v>
      </c>
      <c r="H4">
        <f>pogoda45[[#This Row],[stan_po_ubytku]]+pogoda45[[#This Row],[ile_pogoda_dolała]]</f>
        <v>25000</v>
      </c>
      <c r="I4" cm="1">
        <f t="array" ref="I4">_xlfn.IFS(OR(pogoda45[[#This Row],[temperatura_srednia]]&lt;=15,pogoda45[[#This Row],[opady]]&gt;0.61),0,pogoda45[[#This Row],[temperatura_srednia]]&gt;30,24000,pogoda45[[#This Row],[temperatura_srednia]]&gt;15,12000)</f>
        <v>0</v>
      </c>
      <c r="J4">
        <f>IF(pogoda45[[#This Row],[stan_po_dolaniu]]&lt;pogoda45[[#This Row],[ile_podlewamy]],$AB$2-pogoda45[[#This Row],[stan_po_dolaniu]],0)</f>
        <v>0</v>
      </c>
      <c r="K4">
        <f>pogoda45[[#This Row],[stan_po_dolaniu]]+pogoda45[[#This Row],[ile_dolać_do_podlania]]</f>
        <v>25000</v>
      </c>
      <c r="L4">
        <f>pogoda45[[#This Row],[stan_po_dolaniu_do_podlania]]-pogoda45[[#This Row],[ile_podlewamy]]</f>
        <v>25000</v>
      </c>
    </row>
    <row r="5" spans="1:28" x14ac:dyDescent="0.25">
      <c r="A5" s="2">
        <v>42098</v>
      </c>
      <c r="B5">
        <v>4</v>
      </c>
      <c r="C5">
        <v>0.8</v>
      </c>
      <c r="D5">
        <f t="shared" si="0"/>
        <v>25000</v>
      </c>
      <c r="E5">
        <f>IF(C5=0,ROUNDUP($AB$3*POWER(pogoda45[[#This Row],[temperatura_srednia]],1.5)*pogoda45[[#This Row],[stan_przed_dolaniem]],0),0)</f>
        <v>0</v>
      </c>
      <c r="F5">
        <f>pogoda45[[#This Row],[stan_przed_dolaniem]]-pogoda45[[#This Row],[ubytek]]</f>
        <v>25000</v>
      </c>
      <c r="G5">
        <f>IF(pogoda45[[#This Row],[opady]]*$AB$1+D5&gt;$AB$2,$AB$2-pogoda45[[#This Row],[stan_przed_dolaniem]],pogoda45[[#This Row],[opady]]*$AB$1)</f>
        <v>0</v>
      </c>
      <c r="H5">
        <f>pogoda45[[#This Row],[stan_po_ubytku]]+pogoda45[[#This Row],[ile_pogoda_dolała]]</f>
        <v>25000</v>
      </c>
      <c r="I5" cm="1">
        <f t="array" ref="I5">_xlfn.IFS(OR(pogoda45[[#This Row],[temperatura_srednia]]&lt;=15,pogoda45[[#This Row],[opady]]&gt;0.61),0,pogoda45[[#This Row],[temperatura_srednia]]&gt;30,24000,pogoda45[[#This Row],[temperatura_srednia]]&gt;15,12000)</f>
        <v>0</v>
      </c>
      <c r="J5">
        <f>IF(pogoda45[[#This Row],[stan_po_dolaniu]]&lt;pogoda45[[#This Row],[ile_podlewamy]],$AB$2-pogoda45[[#This Row],[stan_po_dolaniu]],0)</f>
        <v>0</v>
      </c>
      <c r="K5">
        <f>pogoda45[[#This Row],[stan_po_dolaniu]]+pogoda45[[#This Row],[ile_dolać_do_podlania]]</f>
        <v>25000</v>
      </c>
      <c r="L5">
        <f>pogoda45[[#This Row],[stan_po_dolaniu_do_podlania]]-pogoda45[[#This Row],[ile_podlewamy]]</f>
        <v>25000</v>
      </c>
    </row>
    <row r="6" spans="1:28" x14ac:dyDescent="0.25">
      <c r="A6" s="2">
        <v>42099</v>
      </c>
      <c r="B6">
        <v>3</v>
      </c>
      <c r="C6">
        <v>0</v>
      </c>
      <c r="D6">
        <f t="shared" si="0"/>
        <v>25000</v>
      </c>
      <c r="E6">
        <f>IF(C6=0,ROUNDUP($AB$3*POWER(pogoda45[[#This Row],[temperatura_srednia]],1.5)*pogoda45[[#This Row],[stan_przed_dolaniem]],0),0)</f>
        <v>39</v>
      </c>
      <c r="F6">
        <f>pogoda45[[#This Row],[stan_przed_dolaniem]]-pogoda45[[#This Row],[ubytek]]</f>
        <v>24961</v>
      </c>
      <c r="G6">
        <f>IF(pogoda45[[#This Row],[opady]]*$AB$1+D6&gt;$AB$2,$AB$2-pogoda45[[#This Row],[stan_przed_dolaniem]],pogoda45[[#This Row],[opady]]*$AB$1)</f>
        <v>0</v>
      </c>
      <c r="H6">
        <f>pogoda45[[#This Row],[stan_po_ubytku]]+pogoda45[[#This Row],[ile_pogoda_dolała]]</f>
        <v>24961</v>
      </c>
      <c r="I6" cm="1">
        <f t="array" ref="I6">_xlfn.IFS(OR(pogoda45[[#This Row],[temperatura_srednia]]&lt;=15,pogoda45[[#This Row],[opady]]&gt;0.61),0,pogoda45[[#This Row],[temperatura_srednia]]&gt;30,24000,pogoda45[[#This Row],[temperatura_srednia]]&gt;15,12000)</f>
        <v>0</v>
      </c>
      <c r="J6">
        <f>IF(pogoda45[[#This Row],[stan_po_dolaniu]]&lt;pogoda45[[#This Row],[ile_podlewamy]],$AB$2-pogoda45[[#This Row],[stan_po_dolaniu]],0)</f>
        <v>0</v>
      </c>
      <c r="K6">
        <f>pogoda45[[#This Row],[stan_po_dolaniu]]+pogoda45[[#This Row],[ile_dolać_do_podlania]]</f>
        <v>24961</v>
      </c>
      <c r="L6">
        <f>pogoda45[[#This Row],[stan_po_dolaniu_do_podlania]]-pogoda45[[#This Row],[ile_podlewamy]]</f>
        <v>24961</v>
      </c>
    </row>
    <row r="7" spans="1:28" x14ac:dyDescent="0.25">
      <c r="A7" s="2">
        <v>42100</v>
      </c>
      <c r="B7">
        <v>4</v>
      </c>
      <c r="C7">
        <v>0</v>
      </c>
      <c r="D7">
        <f t="shared" si="0"/>
        <v>24961</v>
      </c>
      <c r="E7">
        <f>IF(C7=0,ROUNDUP($AB$3*POWER(pogoda45[[#This Row],[temperatura_srednia]],1.5)*pogoda45[[#This Row],[stan_przed_dolaniem]],0),0)</f>
        <v>60</v>
      </c>
      <c r="F7">
        <f>pogoda45[[#This Row],[stan_przed_dolaniem]]-pogoda45[[#This Row],[ubytek]]</f>
        <v>24901</v>
      </c>
      <c r="G7">
        <f>IF(pogoda45[[#This Row],[opady]]*$AB$1+D7&gt;$AB$2,$AB$2-pogoda45[[#This Row],[stan_przed_dolaniem]],pogoda45[[#This Row],[opady]]*$AB$1)</f>
        <v>0</v>
      </c>
      <c r="H7">
        <f>pogoda45[[#This Row],[stan_po_ubytku]]+pogoda45[[#This Row],[ile_pogoda_dolała]]</f>
        <v>24901</v>
      </c>
      <c r="I7" cm="1">
        <f t="array" ref="I7">_xlfn.IFS(OR(pogoda45[[#This Row],[temperatura_srednia]]&lt;=15,pogoda45[[#This Row],[opady]]&gt;0.61),0,pogoda45[[#This Row],[temperatura_srednia]]&gt;30,24000,pogoda45[[#This Row],[temperatura_srednia]]&gt;15,12000)</f>
        <v>0</v>
      </c>
      <c r="J7">
        <f>IF(pogoda45[[#This Row],[stan_po_dolaniu]]&lt;pogoda45[[#This Row],[ile_podlewamy]],$AB$2-pogoda45[[#This Row],[stan_po_dolaniu]],0)</f>
        <v>0</v>
      </c>
      <c r="K7">
        <f>pogoda45[[#This Row],[stan_po_dolaniu]]+pogoda45[[#This Row],[ile_dolać_do_podlania]]</f>
        <v>24901</v>
      </c>
      <c r="L7">
        <f>pogoda45[[#This Row],[stan_po_dolaniu_do_podlania]]-pogoda45[[#This Row],[ile_podlewamy]]</f>
        <v>24901</v>
      </c>
    </row>
    <row r="8" spans="1:28" x14ac:dyDescent="0.25">
      <c r="A8" s="2">
        <v>42101</v>
      </c>
      <c r="B8">
        <v>4</v>
      </c>
      <c r="C8">
        <v>1</v>
      </c>
      <c r="D8">
        <f t="shared" si="0"/>
        <v>24901</v>
      </c>
      <c r="E8">
        <f>IF(C8=0,ROUNDUP($AB$3*POWER(pogoda45[[#This Row],[temperatura_srednia]],1.5)*pogoda45[[#This Row],[stan_przed_dolaniem]],0),0)</f>
        <v>0</v>
      </c>
      <c r="F8">
        <f>pogoda45[[#This Row],[stan_przed_dolaniem]]-pogoda45[[#This Row],[ubytek]]</f>
        <v>24901</v>
      </c>
      <c r="G8">
        <f>IF(pogoda45[[#This Row],[opady]]*$AB$1+D8&gt;$AB$2,$AB$2-pogoda45[[#This Row],[stan_przed_dolaniem]],pogoda45[[#This Row],[opady]]*$AB$1)</f>
        <v>99</v>
      </c>
      <c r="H8">
        <f>pogoda45[[#This Row],[stan_po_ubytku]]+pogoda45[[#This Row],[ile_pogoda_dolała]]</f>
        <v>25000</v>
      </c>
      <c r="I8" cm="1">
        <f t="array" ref="I8">_xlfn.IFS(OR(pogoda45[[#This Row],[temperatura_srednia]]&lt;=15,pogoda45[[#This Row],[opady]]&gt;0.61),0,pogoda45[[#This Row],[temperatura_srednia]]&gt;30,24000,pogoda45[[#This Row],[temperatura_srednia]]&gt;15,12000)</f>
        <v>0</v>
      </c>
      <c r="J8">
        <f>IF(pogoda45[[#This Row],[stan_po_dolaniu]]&lt;pogoda45[[#This Row],[ile_podlewamy]],$AB$2-pogoda45[[#This Row],[stan_po_dolaniu]],0)</f>
        <v>0</v>
      </c>
      <c r="K8">
        <f>pogoda45[[#This Row],[stan_po_dolaniu]]+pogoda45[[#This Row],[ile_dolać_do_podlania]]</f>
        <v>25000</v>
      </c>
      <c r="L8">
        <f>pogoda45[[#This Row],[stan_po_dolaniu_do_podlania]]-pogoda45[[#This Row],[ile_podlewamy]]</f>
        <v>25000</v>
      </c>
    </row>
    <row r="9" spans="1:28" x14ac:dyDescent="0.25">
      <c r="A9" s="2">
        <v>42102</v>
      </c>
      <c r="B9">
        <v>8</v>
      </c>
      <c r="C9">
        <v>1</v>
      </c>
      <c r="D9">
        <f t="shared" si="0"/>
        <v>25000</v>
      </c>
      <c r="E9">
        <f>IF(C9=0,ROUNDUP($AB$3*POWER(pogoda45[[#This Row],[temperatura_srednia]],1.5)*pogoda45[[#This Row],[stan_przed_dolaniem]],0),0)</f>
        <v>0</v>
      </c>
      <c r="F9">
        <f>pogoda45[[#This Row],[stan_przed_dolaniem]]-pogoda45[[#This Row],[ubytek]]</f>
        <v>25000</v>
      </c>
      <c r="G9">
        <f>IF(pogoda45[[#This Row],[opady]]*$AB$1+D9&gt;$AB$2,$AB$2-pogoda45[[#This Row],[stan_przed_dolaniem]],pogoda45[[#This Row],[opady]]*$AB$1)</f>
        <v>0</v>
      </c>
      <c r="H9">
        <f>pogoda45[[#This Row],[stan_po_ubytku]]+pogoda45[[#This Row],[ile_pogoda_dolała]]</f>
        <v>25000</v>
      </c>
      <c r="I9" cm="1">
        <f t="array" ref="I9">_xlfn.IFS(OR(pogoda45[[#This Row],[temperatura_srednia]]&lt;=15,pogoda45[[#This Row],[opady]]&gt;0.61),0,pogoda45[[#This Row],[temperatura_srednia]]&gt;30,24000,pogoda45[[#This Row],[temperatura_srednia]]&gt;15,12000)</f>
        <v>0</v>
      </c>
      <c r="J9">
        <f>IF(pogoda45[[#This Row],[stan_po_dolaniu]]&lt;pogoda45[[#This Row],[ile_podlewamy]],$AB$2-pogoda45[[#This Row],[stan_po_dolaniu]],0)</f>
        <v>0</v>
      </c>
      <c r="K9">
        <f>pogoda45[[#This Row],[stan_po_dolaniu]]+pogoda45[[#This Row],[ile_dolać_do_podlania]]</f>
        <v>25000</v>
      </c>
      <c r="L9">
        <f>pogoda45[[#This Row],[stan_po_dolaniu_do_podlania]]-pogoda45[[#This Row],[ile_podlewamy]]</f>
        <v>25000</v>
      </c>
    </row>
    <row r="10" spans="1:28" x14ac:dyDescent="0.25">
      <c r="A10" s="2">
        <v>42103</v>
      </c>
      <c r="B10">
        <v>6</v>
      </c>
      <c r="C10">
        <v>2</v>
      </c>
      <c r="D10">
        <f t="shared" si="0"/>
        <v>25000</v>
      </c>
      <c r="E10">
        <f>IF(C10=0,ROUNDUP($AB$3*POWER(pogoda45[[#This Row],[temperatura_srednia]],1.5)*pogoda45[[#This Row],[stan_przed_dolaniem]],0),0)</f>
        <v>0</v>
      </c>
      <c r="F10">
        <f>pogoda45[[#This Row],[stan_przed_dolaniem]]-pogoda45[[#This Row],[ubytek]]</f>
        <v>25000</v>
      </c>
      <c r="G10">
        <f>IF(pogoda45[[#This Row],[opady]]*$AB$1+D10&gt;$AB$2,$AB$2-pogoda45[[#This Row],[stan_przed_dolaniem]],pogoda45[[#This Row],[opady]]*$AB$1)</f>
        <v>0</v>
      </c>
      <c r="H10">
        <f>pogoda45[[#This Row],[stan_po_ubytku]]+pogoda45[[#This Row],[ile_pogoda_dolała]]</f>
        <v>25000</v>
      </c>
      <c r="I10" cm="1">
        <f t="array" ref="I10">_xlfn.IFS(OR(pogoda45[[#This Row],[temperatura_srednia]]&lt;=15,pogoda45[[#This Row],[opady]]&gt;0.61),0,pogoda45[[#This Row],[temperatura_srednia]]&gt;30,24000,pogoda45[[#This Row],[temperatura_srednia]]&gt;15,12000)</f>
        <v>0</v>
      </c>
      <c r="J10">
        <f>IF(pogoda45[[#This Row],[stan_po_dolaniu]]&lt;pogoda45[[#This Row],[ile_podlewamy]],$AB$2-pogoda45[[#This Row],[stan_po_dolaniu]],0)</f>
        <v>0</v>
      </c>
      <c r="K10">
        <f>pogoda45[[#This Row],[stan_po_dolaniu]]+pogoda45[[#This Row],[ile_dolać_do_podlania]]</f>
        <v>25000</v>
      </c>
      <c r="L10">
        <f>pogoda45[[#This Row],[stan_po_dolaniu_do_podlania]]-pogoda45[[#This Row],[ile_podlewamy]]</f>
        <v>25000</v>
      </c>
    </row>
    <row r="11" spans="1:28" x14ac:dyDescent="0.25">
      <c r="A11" s="2">
        <v>42104</v>
      </c>
      <c r="B11">
        <v>9</v>
      </c>
      <c r="C11">
        <v>2</v>
      </c>
      <c r="D11">
        <f t="shared" si="0"/>
        <v>25000</v>
      </c>
      <c r="E11">
        <f>IF(C11=0,ROUNDUP($AB$3*POWER(pogoda45[[#This Row],[temperatura_srednia]],1.5)*pogoda45[[#This Row],[stan_przed_dolaniem]],0),0)</f>
        <v>0</v>
      </c>
      <c r="F11">
        <f>pogoda45[[#This Row],[stan_przed_dolaniem]]-pogoda45[[#This Row],[ubytek]]</f>
        <v>25000</v>
      </c>
      <c r="G11">
        <f>IF(pogoda45[[#This Row],[opady]]*$AB$1+D11&gt;$AB$2,$AB$2-pogoda45[[#This Row],[stan_przed_dolaniem]],pogoda45[[#This Row],[opady]]*$AB$1)</f>
        <v>0</v>
      </c>
      <c r="H11">
        <f>pogoda45[[#This Row],[stan_po_ubytku]]+pogoda45[[#This Row],[ile_pogoda_dolała]]</f>
        <v>25000</v>
      </c>
      <c r="I11" cm="1">
        <f t="array" ref="I11">_xlfn.IFS(OR(pogoda45[[#This Row],[temperatura_srednia]]&lt;=15,pogoda45[[#This Row],[opady]]&gt;0.61),0,pogoda45[[#This Row],[temperatura_srednia]]&gt;30,24000,pogoda45[[#This Row],[temperatura_srednia]]&gt;15,12000)</f>
        <v>0</v>
      </c>
      <c r="J11">
        <f>IF(pogoda45[[#This Row],[stan_po_dolaniu]]&lt;pogoda45[[#This Row],[ile_podlewamy]],$AB$2-pogoda45[[#This Row],[stan_po_dolaniu]],0)</f>
        <v>0</v>
      </c>
      <c r="K11">
        <f>pogoda45[[#This Row],[stan_po_dolaniu]]+pogoda45[[#This Row],[ile_dolać_do_podlania]]</f>
        <v>25000</v>
      </c>
      <c r="L11">
        <f>pogoda45[[#This Row],[stan_po_dolaniu_do_podlania]]-pogoda45[[#This Row],[ile_podlewamy]]</f>
        <v>25000</v>
      </c>
    </row>
    <row r="12" spans="1:28" x14ac:dyDescent="0.25">
      <c r="A12" s="2">
        <v>42105</v>
      </c>
      <c r="B12">
        <v>12</v>
      </c>
      <c r="C12">
        <v>3</v>
      </c>
      <c r="D12">
        <f t="shared" si="0"/>
        <v>25000</v>
      </c>
      <c r="E12">
        <f>IF(C12=0,ROUNDUP($AB$3*POWER(pogoda45[[#This Row],[temperatura_srednia]],1.5)*pogoda45[[#This Row],[stan_przed_dolaniem]],0),0)</f>
        <v>0</v>
      </c>
      <c r="F12">
        <f>pogoda45[[#This Row],[stan_przed_dolaniem]]-pogoda45[[#This Row],[ubytek]]</f>
        <v>25000</v>
      </c>
      <c r="G12">
        <f>IF(pogoda45[[#This Row],[opady]]*$AB$1+D12&gt;$AB$2,$AB$2-pogoda45[[#This Row],[stan_przed_dolaniem]],pogoda45[[#This Row],[opady]]*$AB$1)</f>
        <v>0</v>
      </c>
      <c r="H12">
        <f>pogoda45[[#This Row],[stan_po_ubytku]]+pogoda45[[#This Row],[ile_pogoda_dolała]]</f>
        <v>25000</v>
      </c>
      <c r="I12" cm="1">
        <f t="array" ref="I12">_xlfn.IFS(OR(pogoda45[[#This Row],[temperatura_srednia]]&lt;=15,pogoda45[[#This Row],[opady]]&gt;0.61),0,pogoda45[[#This Row],[temperatura_srednia]]&gt;30,24000,pogoda45[[#This Row],[temperatura_srednia]]&gt;15,12000)</f>
        <v>0</v>
      </c>
      <c r="J12">
        <f>IF(pogoda45[[#This Row],[stan_po_dolaniu]]&lt;pogoda45[[#This Row],[ile_podlewamy]],$AB$2-pogoda45[[#This Row],[stan_po_dolaniu]],0)</f>
        <v>0</v>
      </c>
      <c r="K12">
        <f>pogoda45[[#This Row],[stan_po_dolaniu]]+pogoda45[[#This Row],[ile_dolać_do_podlania]]</f>
        <v>25000</v>
      </c>
      <c r="L12">
        <f>pogoda45[[#This Row],[stan_po_dolaniu_do_podlania]]-pogoda45[[#This Row],[ile_podlewamy]]</f>
        <v>25000</v>
      </c>
    </row>
    <row r="13" spans="1:28" x14ac:dyDescent="0.25">
      <c r="A13" s="2">
        <v>42106</v>
      </c>
      <c r="B13">
        <v>10</v>
      </c>
      <c r="C13">
        <v>2</v>
      </c>
      <c r="D13">
        <f t="shared" si="0"/>
        <v>25000</v>
      </c>
      <c r="E13">
        <f>IF(C13=0,ROUNDUP($AB$3*POWER(pogoda45[[#This Row],[temperatura_srednia]],1.5)*pogoda45[[#This Row],[stan_przed_dolaniem]],0),0)</f>
        <v>0</v>
      </c>
      <c r="F13">
        <f>pogoda45[[#This Row],[stan_przed_dolaniem]]-pogoda45[[#This Row],[ubytek]]</f>
        <v>25000</v>
      </c>
      <c r="G13">
        <f>IF(pogoda45[[#This Row],[opady]]*$AB$1+D13&gt;$AB$2,$AB$2-pogoda45[[#This Row],[stan_przed_dolaniem]],pogoda45[[#This Row],[opady]]*$AB$1)</f>
        <v>0</v>
      </c>
      <c r="H13">
        <f>pogoda45[[#This Row],[stan_po_ubytku]]+pogoda45[[#This Row],[ile_pogoda_dolała]]</f>
        <v>25000</v>
      </c>
      <c r="I13" cm="1">
        <f t="array" ref="I13">_xlfn.IFS(OR(pogoda45[[#This Row],[temperatura_srednia]]&lt;=15,pogoda45[[#This Row],[opady]]&gt;0.61),0,pogoda45[[#This Row],[temperatura_srednia]]&gt;30,24000,pogoda45[[#This Row],[temperatura_srednia]]&gt;15,12000)</f>
        <v>0</v>
      </c>
      <c r="J13">
        <f>IF(pogoda45[[#This Row],[stan_po_dolaniu]]&lt;pogoda45[[#This Row],[ile_podlewamy]],$AB$2-pogoda45[[#This Row],[stan_po_dolaniu]],0)</f>
        <v>0</v>
      </c>
      <c r="K13">
        <f>pogoda45[[#This Row],[stan_po_dolaniu]]+pogoda45[[#This Row],[ile_dolać_do_podlania]]</f>
        <v>25000</v>
      </c>
      <c r="L13">
        <f>pogoda45[[#This Row],[stan_po_dolaniu_do_podlania]]-pogoda45[[#This Row],[ile_podlewamy]]</f>
        <v>25000</v>
      </c>
    </row>
    <row r="14" spans="1:28" x14ac:dyDescent="0.25">
      <c r="A14" s="2">
        <v>42107</v>
      </c>
      <c r="B14">
        <v>8</v>
      </c>
      <c r="C14">
        <v>1</v>
      </c>
      <c r="D14">
        <f t="shared" si="0"/>
        <v>25000</v>
      </c>
      <c r="E14">
        <f>IF(C14=0,ROUNDUP($AB$3*POWER(pogoda45[[#This Row],[temperatura_srednia]],1.5)*pogoda45[[#This Row],[stan_przed_dolaniem]],0),0)</f>
        <v>0</v>
      </c>
      <c r="F14">
        <f>pogoda45[[#This Row],[stan_przed_dolaniem]]-pogoda45[[#This Row],[ubytek]]</f>
        <v>25000</v>
      </c>
      <c r="G14">
        <f>IF(pogoda45[[#This Row],[opady]]*$AB$1+D14&gt;$AB$2,$AB$2-pogoda45[[#This Row],[stan_przed_dolaniem]],pogoda45[[#This Row],[opady]]*$AB$1)</f>
        <v>0</v>
      </c>
      <c r="H14">
        <f>pogoda45[[#This Row],[stan_po_ubytku]]+pogoda45[[#This Row],[ile_pogoda_dolała]]</f>
        <v>25000</v>
      </c>
      <c r="I14" cm="1">
        <f t="array" ref="I14">_xlfn.IFS(OR(pogoda45[[#This Row],[temperatura_srednia]]&lt;=15,pogoda45[[#This Row],[opady]]&gt;0.61),0,pogoda45[[#This Row],[temperatura_srednia]]&gt;30,24000,pogoda45[[#This Row],[temperatura_srednia]]&gt;15,12000)</f>
        <v>0</v>
      </c>
      <c r="J14">
        <f>IF(pogoda45[[#This Row],[stan_po_dolaniu]]&lt;pogoda45[[#This Row],[ile_podlewamy]],$AB$2-pogoda45[[#This Row],[stan_po_dolaniu]],0)</f>
        <v>0</v>
      </c>
      <c r="K14">
        <f>pogoda45[[#This Row],[stan_po_dolaniu]]+pogoda45[[#This Row],[ile_dolać_do_podlania]]</f>
        <v>25000</v>
      </c>
      <c r="L14">
        <f>pogoda45[[#This Row],[stan_po_dolaniu_do_podlania]]-pogoda45[[#This Row],[ile_podlewamy]]</f>
        <v>25000</v>
      </c>
    </row>
    <row r="15" spans="1:28" x14ac:dyDescent="0.25">
      <c r="A15" s="2">
        <v>42108</v>
      </c>
      <c r="B15">
        <v>6</v>
      </c>
      <c r="C15">
        <v>0</v>
      </c>
      <c r="D15">
        <f t="shared" si="0"/>
        <v>25000</v>
      </c>
      <c r="E15">
        <f>IF(C15=0,ROUNDUP($AB$3*POWER(pogoda45[[#This Row],[temperatura_srednia]],1.5)*pogoda45[[#This Row],[stan_przed_dolaniem]],0),0)</f>
        <v>111</v>
      </c>
      <c r="F15">
        <f>pogoda45[[#This Row],[stan_przed_dolaniem]]-pogoda45[[#This Row],[ubytek]]</f>
        <v>24889</v>
      </c>
      <c r="G15">
        <f>IF(pogoda45[[#This Row],[opady]]*$AB$1+D15&gt;$AB$2,$AB$2-pogoda45[[#This Row],[stan_przed_dolaniem]],pogoda45[[#This Row],[opady]]*$AB$1)</f>
        <v>0</v>
      </c>
      <c r="H15">
        <f>pogoda45[[#This Row],[stan_po_ubytku]]+pogoda45[[#This Row],[ile_pogoda_dolała]]</f>
        <v>24889</v>
      </c>
      <c r="I15" cm="1">
        <f t="array" ref="I15">_xlfn.IFS(OR(pogoda45[[#This Row],[temperatura_srednia]]&lt;=15,pogoda45[[#This Row],[opady]]&gt;0.61),0,pogoda45[[#This Row],[temperatura_srednia]]&gt;30,24000,pogoda45[[#This Row],[temperatura_srednia]]&gt;15,12000)</f>
        <v>0</v>
      </c>
      <c r="J15">
        <f>IF(pogoda45[[#This Row],[stan_po_dolaniu]]&lt;pogoda45[[#This Row],[ile_podlewamy]],$AB$2-pogoda45[[#This Row],[stan_po_dolaniu]],0)</f>
        <v>0</v>
      </c>
      <c r="K15">
        <f>pogoda45[[#This Row],[stan_po_dolaniu]]+pogoda45[[#This Row],[ile_dolać_do_podlania]]</f>
        <v>24889</v>
      </c>
      <c r="L15">
        <f>pogoda45[[#This Row],[stan_po_dolaniu_do_podlania]]-pogoda45[[#This Row],[ile_podlewamy]]</f>
        <v>24889</v>
      </c>
    </row>
    <row r="16" spans="1:28" x14ac:dyDescent="0.25">
      <c r="A16" s="2">
        <v>42109</v>
      </c>
      <c r="B16">
        <v>14</v>
      </c>
      <c r="C16">
        <v>0</v>
      </c>
      <c r="D16">
        <f t="shared" si="0"/>
        <v>24889</v>
      </c>
      <c r="E16">
        <f>IF(C16=0,ROUNDUP($AB$3*POWER(pogoda45[[#This Row],[temperatura_srednia]],1.5)*pogoda45[[#This Row],[stan_przed_dolaniem]],0),0)</f>
        <v>392</v>
      </c>
      <c r="F16">
        <f>pogoda45[[#This Row],[stan_przed_dolaniem]]-pogoda45[[#This Row],[ubytek]]</f>
        <v>24497</v>
      </c>
      <c r="G16">
        <f>IF(pogoda45[[#This Row],[opady]]*$AB$1+D16&gt;$AB$2,$AB$2-pogoda45[[#This Row],[stan_przed_dolaniem]],pogoda45[[#This Row],[opady]]*$AB$1)</f>
        <v>0</v>
      </c>
      <c r="H16">
        <f>pogoda45[[#This Row],[stan_po_ubytku]]+pogoda45[[#This Row],[ile_pogoda_dolała]]</f>
        <v>24497</v>
      </c>
      <c r="I16" cm="1">
        <f t="array" ref="I16">_xlfn.IFS(OR(pogoda45[[#This Row],[temperatura_srednia]]&lt;=15,pogoda45[[#This Row],[opady]]&gt;0.61),0,pogoda45[[#This Row],[temperatura_srednia]]&gt;30,24000,pogoda45[[#This Row],[temperatura_srednia]]&gt;15,12000)</f>
        <v>0</v>
      </c>
      <c r="J16">
        <f>IF(pogoda45[[#This Row],[stan_po_dolaniu]]&lt;pogoda45[[#This Row],[ile_podlewamy]],$AB$2-pogoda45[[#This Row],[stan_po_dolaniu]],0)</f>
        <v>0</v>
      </c>
      <c r="K16">
        <f>pogoda45[[#This Row],[stan_po_dolaniu]]+pogoda45[[#This Row],[ile_dolać_do_podlania]]</f>
        <v>24497</v>
      </c>
      <c r="L16">
        <f>pogoda45[[#This Row],[stan_po_dolaniu_do_podlania]]-pogoda45[[#This Row],[ile_podlewamy]]</f>
        <v>24497</v>
      </c>
    </row>
    <row r="17" spans="1:12" x14ac:dyDescent="0.25">
      <c r="A17" s="2">
        <v>42110</v>
      </c>
      <c r="B17">
        <v>10</v>
      </c>
      <c r="C17">
        <v>0</v>
      </c>
      <c r="D17">
        <f t="shared" si="0"/>
        <v>24497</v>
      </c>
      <c r="E17">
        <f>IF(C17=0,ROUNDUP($AB$3*POWER(pogoda45[[#This Row],[temperatura_srednia]],1.5)*pogoda45[[#This Row],[stan_przed_dolaniem]],0),0)</f>
        <v>233</v>
      </c>
      <c r="F17">
        <f>pogoda45[[#This Row],[stan_przed_dolaniem]]-pogoda45[[#This Row],[ubytek]]</f>
        <v>24264</v>
      </c>
      <c r="G17">
        <f>IF(pogoda45[[#This Row],[opady]]*$AB$1+D17&gt;$AB$2,$AB$2-pogoda45[[#This Row],[stan_przed_dolaniem]],pogoda45[[#This Row],[opady]]*$AB$1)</f>
        <v>0</v>
      </c>
      <c r="H17">
        <f>pogoda45[[#This Row],[stan_po_ubytku]]+pogoda45[[#This Row],[ile_pogoda_dolała]]</f>
        <v>24264</v>
      </c>
      <c r="I17" cm="1">
        <f t="array" ref="I17">_xlfn.IFS(OR(pogoda45[[#This Row],[temperatura_srednia]]&lt;=15,pogoda45[[#This Row],[opady]]&gt;0.61),0,pogoda45[[#This Row],[temperatura_srednia]]&gt;30,24000,pogoda45[[#This Row],[temperatura_srednia]]&gt;15,12000)</f>
        <v>0</v>
      </c>
      <c r="J17">
        <f>IF(pogoda45[[#This Row],[stan_po_dolaniu]]&lt;pogoda45[[#This Row],[ile_podlewamy]],$AB$2-pogoda45[[#This Row],[stan_po_dolaniu]],0)</f>
        <v>0</v>
      </c>
      <c r="K17">
        <f>pogoda45[[#This Row],[stan_po_dolaniu]]+pogoda45[[#This Row],[ile_dolać_do_podlania]]</f>
        <v>24264</v>
      </c>
      <c r="L17">
        <f>pogoda45[[#This Row],[stan_po_dolaniu_do_podlania]]-pogoda45[[#This Row],[ile_podlewamy]]</f>
        <v>24264</v>
      </c>
    </row>
    <row r="18" spans="1:12" x14ac:dyDescent="0.25">
      <c r="A18" s="2">
        <v>42111</v>
      </c>
      <c r="B18">
        <v>6</v>
      </c>
      <c r="C18">
        <v>0</v>
      </c>
      <c r="D18">
        <f t="shared" si="0"/>
        <v>24264</v>
      </c>
      <c r="E18">
        <f>IF(C18=0,ROUNDUP($AB$3*POWER(pogoda45[[#This Row],[temperatura_srednia]],1.5)*pogoda45[[#This Row],[stan_przed_dolaniem]],0),0)</f>
        <v>107</v>
      </c>
      <c r="F18">
        <f>pogoda45[[#This Row],[stan_przed_dolaniem]]-pogoda45[[#This Row],[ubytek]]</f>
        <v>24157</v>
      </c>
      <c r="G18">
        <f>IF(pogoda45[[#This Row],[opady]]*$AB$1+D18&gt;$AB$2,$AB$2-pogoda45[[#This Row],[stan_przed_dolaniem]],pogoda45[[#This Row],[opady]]*$AB$1)</f>
        <v>0</v>
      </c>
      <c r="H18">
        <f>pogoda45[[#This Row],[stan_po_ubytku]]+pogoda45[[#This Row],[ile_pogoda_dolała]]</f>
        <v>24157</v>
      </c>
      <c r="I18" cm="1">
        <f t="array" ref="I18">_xlfn.IFS(OR(pogoda45[[#This Row],[temperatura_srednia]]&lt;=15,pogoda45[[#This Row],[opady]]&gt;0.61),0,pogoda45[[#This Row],[temperatura_srednia]]&gt;30,24000,pogoda45[[#This Row],[temperatura_srednia]]&gt;15,12000)</f>
        <v>0</v>
      </c>
      <c r="J18">
        <f>IF(pogoda45[[#This Row],[stan_po_dolaniu]]&lt;pogoda45[[#This Row],[ile_podlewamy]],$AB$2-pogoda45[[#This Row],[stan_po_dolaniu]],0)</f>
        <v>0</v>
      </c>
      <c r="K18">
        <f>pogoda45[[#This Row],[stan_po_dolaniu]]+pogoda45[[#This Row],[ile_dolać_do_podlania]]</f>
        <v>24157</v>
      </c>
      <c r="L18">
        <f>pogoda45[[#This Row],[stan_po_dolaniu_do_podlania]]-pogoda45[[#This Row],[ile_podlewamy]]</f>
        <v>24157</v>
      </c>
    </row>
    <row r="19" spans="1:12" x14ac:dyDescent="0.25">
      <c r="A19" s="2">
        <v>42112</v>
      </c>
      <c r="B19">
        <v>4</v>
      </c>
      <c r="C19">
        <v>0</v>
      </c>
      <c r="D19">
        <f t="shared" si="0"/>
        <v>24157</v>
      </c>
      <c r="E19">
        <f>IF(C19=0,ROUNDUP($AB$3*POWER(pogoda45[[#This Row],[temperatura_srednia]],1.5)*pogoda45[[#This Row],[stan_przed_dolaniem]],0),0)</f>
        <v>58</v>
      </c>
      <c r="F19">
        <f>pogoda45[[#This Row],[stan_przed_dolaniem]]-pogoda45[[#This Row],[ubytek]]</f>
        <v>24099</v>
      </c>
      <c r="G19">
        <f>IF(pogoda45[[#This Row],[opady]]*$AB$1+D19&gt;$AB$2,$AB$2-pogoda45[[#This Row],[stan_przed_dolaniem]],pogoda45[[#This Row],[opady]]*$AB$1)</f>
        <v>0</v>
      </c>
      <c r="H19">
        <f>pogoda45[[#This Row],[stan_po_ubytku]]+pogoda45[[#This Row],[ile_pogoda_dolała]]</f>
        <v>24099</v>
      </c>
      <c r="I19" cm="1">
        <f t="array" ref="I19">_xlfn.IFS(OR(pogoda45[[#This Row],[temperatura_srednia]]&lt;=15,pogoda45[[#This Row],[opady]]&gt;0.61),0,pogoda45[[#This Row],[temperatura_srednia]]&gt;30,24000,pogoda45[[#This Row],[temperatura_srednia]]&gt;15,12000)</f>
        <v>0</v>
      </c>
      <c r="J19">
        <f>IF(pogoda45[[#This Row],[stan_po_dolaniu]]&lt;pogoda45[[#This Row],[ile_podlewamy]],$AB$2-pogoda45[[#This Row],[stan_po_dolaniu]],0)</f>
        <v>0</v>
      </c>
      <c r="K19">
        <f>pogoda45[[#This Row],[stan_po_dolaniu]]+pogoda45[[#This Row],[ile_dolać_do_podlania]]</f>
        <v>24099</v>
      </c>
      <c r="L19">
        <f>pogoda45[[#This Row],[stan_po_dolaniu_do_podlania]]-pogoda45[[#This Row],[ile_podlewamy]]</f>
        <v>24099</v>
      </c>
    </row>
    <row r="20" spans="1:12" x14ac:dyDescent="0.25">
      <c r="A20" s="2">
        <v>42113</v>
      </c>
      <c r="B20">
        <v>7</v>
      </c>
      <c r="C20">
        <v>0</v>
      </c>
      <c r="D20">
        <f t="shared" si="0"/>
        <v>24099</v>
      </c>
      <c r="E20">
        <f>IF(C20=0,ROUNDUP($AB$3*POWER(pogoda45[[#This Row],[temperatura_srednia]],1.5)*pogoda45[[#This Row],[stan_przed_dolaniem]],0),0)</f>
        <v>134</v>
      </c>
      <c r="F20">
        <f>pogoda45[[#This Row],[stan_przed_dolaniem]]-pogoda45[[#This Row],[ubytek]]</f>
        <v>23965</v>
      </c>
      <c r="G20">
        <f>IF(pogoda45[[#This Row],[opady]]*$AB$1+D20&gt;$AB$2,$AB$2-pogoda45[[#This Row],[stan_przed_dolaniem]],pogoda45[[#This Row],[opady]]*$AB$1)</f>
        <v>0</v>
      </c>
      <c r="H20">
        <f>pogoda45[[#This Row],[stan_po_ubytku]]+pogoda45[[#This Row],[ile_pogoda_dolała]]</f>
        <v>23965</v>
      </c>
      <c r="I20" cm="1">
        <f t="array" ref="I20">_xlfn.IFS(OR(pogoda45[[#This Row],[temperatura_srednia]]&lt;=15,pogoda45[[#This Row],[opady]]&gt;0.61),0,pogoda45[[#This Row],[temperatura_srednia]]&gt;30,24000,pogoda45[[#This Row],[temperatura_srednia]]&gt;15,12000)</f>
        <v>0</v>
      </c>
      <c r="J20">
        <f>IF(pogoda45[[#This Row],[stan_po_dolaniu]]&lt;pogoda45[[#This Row],[ile_podlewamy]],$AB$2-pogoda45[[#This Row],[stan_po_dolaniu]],0)</f>
        <v>0</v>
      </c>
      <c r="K20">
        <f>pogoda45[[#This Row],[stan_po_dolaniu]]+pogoda45[[#This Row],[ile_dolać_do_podlania]]</f>
        <v>23965</v>
      </c>
      <c r="L20">
        <f>pogoda45[[#This Row],[stan_po_dolaniu_do_podlania]]-pogoda45[[#This Row],[ile_podlewamy]]</f>
        <v>23965</v>
      </c>
    </row>
    <row r="21" spans="1:12" x14ac:dyDescent="0.25">
      <c r="A21" s="2">
        <v>42114</v>
      </c>
      <c r="B21">
        <v>10</v>
      </c>
      <c r="C21">
        <v>1</v>
      </c>
      <c r="D21">
        <f t="shared" si="0"/>
        <v>23965</v>
      </c>
      <c r="E21">
        <f>IF(C21=0,ROUNDUP($AB$3*POWER(pogoda45[[#This Row],[temperatura_srednia]],1.5)*pogoda45[[#This Row],[stan_przed_dolaniem]],0),0)</f>
        <v>0</v>
      </c>
      <c r="F21">
        <f>pogoda45[[#This Row],[stan_przed_dolaniem]]-pogoda45[[#This Row],[ubytek]]</f>
        <v>23965</v>
      </c>
      <c r="G21">
        <f>IF(pogoda45[[#This Row],[opady]]*$AB$1+D21&gt;$AB$2,$AB$2-pogoda45[[#This Row],[stan_przed_dolaniem]],pogoda45[[#This Row],[opady]]*$AB$1)</f>
        <v>700</v>
      </c>
      <c r="H21">
        <f>pogoda45[[#This Row],[stan_po_ubytku]]+pogoda45[[#This Row],[ile_pogoda_dolała]]</f>
        <v>24665</v>
      </c>
      <c r="I21" cm="1">
        <f t="array" ref="I21">_xlfn.IFS(OR(pogoda45[[#This Row],[temperatura_srednia]]&lt;=15,pogoda45[[#This Row],[opady]]&gt;0.61),0,pogoda45[[#This Row],[temperatura_srednia]]&gt;30,24000,pogoda45[[#This Row],[temperatura_srednia]]&gt;15,12000)</f>
        <v>0</v>
      </c>
      <c r="J21">
        <f>IF(pogoda45[[#This Row],[stan_po_dolaniu]]&lt;pogoda45[[#This Row],[ile_podlewamy]],$AB$2-pogoda45[[#This Row],[stan_po_dolaniu]],0)</f>
        <v>0</v>
      </c>
      <c r="K21">
        <f>pogoda45[[#This Row],[stan_po_dolaniu]]+pogoda45[[#This Row],[ile_dolać_do_podlania]]</f>
        <v>24665</v>
      </c>
      <c r="L21">
        <f>pogoda45[[#This Row],[stan_po_dolaniu_do_podlania]]-pogoda45[[#This Row],[ile_podlewamy]]</f>
        <v>24665</v>
      </c>
    </row>
    <row r="22" spans="1:12" x14ac:dyDescent="0.25">
      <c r="A22" s="2">
        <v>42115</v>
      </c>
      <c r="B22">
        <v>11</v>
      </c>
      <c r="C22">
        <v>3.2</v>
      </c>
      <c r="D22">
        <f t="shared" si="0"/>
        <v>24665</v>
      </c>
      <c r="E22">
        <f>IF(C22=0,ROUNDUP($AB$3*POWER(pogoda45[[#This Row],[temperatura_srednia]],1.5)*pogoda45[[#This Row],[stan_przed_dolaniem]],0),0)</f>
        <v>0</v>
      </c>
      <c r="F22">
        <f>pogoda45[[#This Row],[stan_przed_dolaniem]]-pogoda45[[#This Row],[ubytek]]</f>
        <v>24665</v>
      </c>
      <c r="G22">
        <f>IF(pogoda45[[#This Row],[opady]]*$AB$1+D22&gt;$AB$2,$AB$2-pogoda45[[#This Row],[stan_przed_dolaniem]],pogoda45[[#This Row],[opady]]*$AB$1)</f>
        <v>335</v>
      </c>
      <c r="H22">
        <f>pogoda45[[#This Row],[stan_po_ubytku]]+pogoda45[[#This Row],[ile_pogoda_dolała]]</f>
        <v>25000</v>
      </c>
      <c r="I22" cm="1">
        <f t="array" ref="I22">_xlfn.IFS(OR(pogoda45[[#This Row],[temperatura_srednia]]&lt;=15,pogoda45[[#This Row],[opady]]&gt;0.61),0,pogoda45[[#This Row],[temperatura_srednia]]&gt;30,24000,pogoda45[[#This Row],[temperatura_srednia]]&gt;15,12000)</f>
        <v>0</v>
      </c>
      <c r="J22">
        <f>IF(pogoda45[[#This Row],[stan_po_dolaniu]]&lt;pogoda45[[#This Row],[ile_podlewamy]],$AB$2-pogoda45[[#This Row],[stan_po_dolaniu]],0)</f>
        <v>0</v>
      </c>
      <c r="K22">
        <f>pogoda45[[#This Row],[stan_po_dolaniu]]+pogoda45[[#This Row],[ile_dolać_do_podlania]]</f>
        <v>25000</v>
      </c>
      <c r="L22">
        <f>pogoda45[[#This Row],[stan_po_dolaniu_do_podlania]]-pogoda45[[#This Row],[ile_podlewamy]]</f>
        <v>25000</v>
      </c>
    </row>
    <row r="23" spans="1:12" x14ac:dyDescent="0.25">
      <c r="A23" s="2">
        <v>42116</v>
      </c>
      <c r="B23">
        <v>8</v>
      </c>
      <c r="C23">
        <v>2.2000000000000002</v>
      </c>
      <c r="D23">
        <f t="shared" si="0"/>
        <v>25000</v>
      </c>
      <c r="E23">
        <f>IF(C23=0,ROUNDUP($AB$3*POWER(pogoda45[[#This Row],[temperatura_srednia]],1.5)*pogoda45[[#This Row],[stan_przed_dolaniem]],0),0)</f>
        <v>0</v>
      </c>
      <c r="F23">
        <f>pogoda45[[#This Row],[stan_przed_dolaniem]]-pogoda45[[#This Row],[ubytek]]</f>
        <v>25000</v>
      </c>
      <c r="G23">
        <f>IF(pogoda45[[#This Row],[opady]]*$AB$1+D23&gt;$AB$2,$AB$2-pogoda45[[#This Row],[stan_przed_dolaniem]],pogoda45[[#This Row],[opady]]*$AB$1)</f>
        <v>0</v>
      </c>
      <c r="H23">
        <f>pogoda45[[#This Row],[stan_po_ubytku]]+pogoda45[[#This Row],[ile_pogoda_dolała]]</f>
        <v>25000</v>
      </c>
      <c r="I23" cm="1">
        <f t="array" ref="I23">_xlfn.IFS(OR(pogoda45[[#This Row],[temperatura_srednia]]&lt;=15,pogoda45[[#This Row],[opady]]&gt;0.61),0,pogoda45[[#This Row],[temperatura_srednia]]&gt;30,24000,pogoda45[[#This Row],[temperatura_srednia]]&gt;15,12000)</f>
        <v>0</v>
      </c>
      <c r="J23">
        <f>IF(pogoda45[[#This Row],[stan_po_dolaniu]]&lt;pogoda45[[#This Row],[ile_podlewamy]],$AB$2-pogoda45[[#This Row],[stan_po_dolaniu]],0)</f>
        <v>0</v>
      </c>
      <c r="K23">
        <f>pogoda45[[#This Row],[stan_po_dolaniu]]+pogoda45[[#This Row],[ile_dolać_do_podlania]]</f>
        <v>25000</v>
      </c>
      <c r="L23">
        <f>pogoda45[[#This Row],[stan_po_dolaniu_do_podlania]]-pogoda45[[#This Row],[ile_podlewamy]]</f>
        <v>25000</v>
      </c>
    </row>
    <row r="24" spans="1:12" x14ac:dyDescent="0.25">
      <c r="A24" s="2">
        <v>42117</v>
      </c>
      <c r="B24">
        <v>11</v>
      </c>
      <c r="C24">
        <v>1</v>
      </c>
      <c r="D24">
        <f t="shared" si="0"/>
        <v>25000</v>
      </c>
      <c r="E24">
        <f>IF(C24=0,ROUNDUP($AB$3*POWER(pogoda45[[#This Row],[temperatura_srednia]],1.5)*pogoda45[[#This Row],[stan_przed_dolaniem]],0),0)</f>
        <v>0</v>
      </c>
      <c r="F24">
        <f>pogoda45[[#This Row],[stan_przed_dolaniem]]-pogoda45[[#This Row],[ubytek]]</f>
        <v>25000</v>
      </c>
      <c r="G24">
        <f>IF(pogoda45[[#This Row],[opady]]*$AB$1+D24&gt;$AB$2,$AB$2-pogoda45[[#This Row],[stan_przed_dolaniem]],pogoda45[[#This Row],[opady]]*$AB$1)</f>
        <v>0</v>
      </c>
      <c r="H24">
        <f>pogoda45[[#This Row],[stan_po_ubytku]]+pogoda45[[#This Row],[ile_pogoda_dolała]]</f>
        <v>25000</v>
      </c>
      <c r="I24" cm="1">
        <f t="array" ref="I24">_xlfn.IFS(OR(pogoda45[[#This Row],[temperatura_srednia]]&lt;=15,pogoda45[[#This Row],[opady]]&gt;0.61),0,pogoda45[[#This Row],[temperatura_srednia]]&gt;30,24000,pogoda45[[#This Row],[temperatura_srednia]]&gt;15,12000)</f>
        <v>0</v>
      </c>
      <c r="J24">
        <f>IF(pogoda45[[#This Row],[stan_po_dolaniu]]&lt;pogoda45[[#This Row],[ile_podlewamy]],$AB$2-pogoda45[[#This Row],[stan_po_dolaniu]],0)</f>
        <v>0</v>
      </c>
      <c r="K24">
        <f>pogoda45[[#This Row],[stan_po_dolaniu]]+pogoda45[[#This Row],[ile_dolać_do_podlania]]</f>
        <v>25000</v>
      </c>
      <c r="L24">
        <f>pogoda45[[#This Row],[stan_po_dolaniu_do_podlania]]-pogoda45[[#This Row],[ile_podlewamy]]</f>
        <v>25000</v>
      </c>
    </row>
    <row r="25" spans="1:12" x14ac:dyDescent="0.25">
      <c r="A25" s="2">
        <v>42118</v>
      </c>
      <c r="B25">
        <v>12</v>
      </c>
      <c r="C25">
        <v>1</v>
      </c>
      <c r="D25">
        <f t="shared" si="0"/>
        <v>25000</v>
      </c>
      <c r="E25">
        <f>IF(C25=0,ROUNDUP($AB$3*POWER(pogoda45[[#This Row],[temperatura_srednia]],1.5)*pogoda45[[#This Row],[stan_przed_dolaniem]],0),0)</f>
        <v>0</v>
      </c>
      <c r="F25">
        <f>pogoda45[[#This Row],[stan_przed_dolaniem]]-pogoda45[[#This Row],[ubytek]]</f>
        <v>25000</v>
      </c>
      <c r="G25">
        <f>IF(pogoda45[[#This Row],[opady]]*$AB$1+D25&gt;$AB$2,$AB$2-pogoda45[[#This Row],[stan_przed_dolaniem]],pogoda45[[#This Row],[opady]]*$AB$1)</f>
        <v>0</v>
      </c>
      <c r="H25">
        <f>pogoda45[[#This Row],[stan_po_ubytku]]+pogoda45[[#This Row],[ile_pogoda_dolała]]</f>
        <v>25000</v>
      </c>
      <c r="I25" cm="1">
        <f t="array" ref="I25">_xlfn.IFS(OR(pogoda45[[#This Row],[temperatura_srednia]]&lt;=15,pogoda45[[#This Row],[opady]]&gt;0.61),0,pogoda45[[#This Row],[temperatura_srednia]]&gt;30,24000,pogoda45[[#This Row],[temperatura_srednia]]&gt;15,12000)</f>
        <v>0</v>
      </c>
      <c r="J25">
        <f>IF(pogoda45[[#This Row],[stan_po_dolaniu]]&lt;pogoda45[[#This Row],[ile_podlewamy]],$AB$2-pogoda45[[#This Row],[stan_po_dolaniu]],0)</f>
        <v>0</v>
      </c>
      <c r="K25">
        <f>pogoda45[[#This Row],[stan_po_dolaniu]]+pogoda45[[#This Row],[ile_dolać_do_podlania]]</f>
        <v>25000</v>
      </c>
      <c r="L25">
        <f>pogoda45[[#This Row],[stan_po_dolaniu_do_podlania]]-pogoda45[[#This Row],[ile_podlewamy]]</f>
        <v>25000</v>
      </c>
    </row>
    <row r="26" spans="1:12" x14ac:dyDescent="0.25">
      <c r="A26" s="2">
        <v>42119</v>
      </c>
      <c r="B26">
        <v>14</v>
      </c>
      <c r="C26">
        <v>1</v>
      </c>
      <c r="D26">
        <f t="shared" si="0"/>
        <v>25000</v>
      </c>
      <c r="E26">
        <f>IF(C26=0,ROUNDUP($AB$3*POWER(pogoda45[[#This Row],[temperatura_srednia]],1.5)*pogoda45[[#This Row],[stan_przed_dolaniem]],0),0)</f>
        <v>0</v>
      </c>
      <c r="F26">
        <f>pogoda45[[#This Row],[stan_przed_dolaniem]]-pogoda45[[#This Row],[ubytek]]</f>
        <v>25000</v>
      </c>
      <c r="G26">
        <f>IF(pogoda45[[#This Row],[opady]]*$AB$1+D26&gt;$AB$2,$AB$2-pogoda45[[#This Row],[stan_przed_dolaniem]],pogoda45[[#This Row],[opady]]*$AB$1)</f>
        <v>0</v>
      </c>
      <c r="H26">
        <f>pogoda45[[#This Row],[stan_po_ubytku]]+pogoda45[[#This Row],[ile_pogoda_dolała]]</f>
        <v>25000</v>
      </c>
      <c r="I26" cm="1">
        <f t="array" ref="I26">_xlfn.IFS(OR(pogoda45[[#This Row],[temperatura_srednia]]&lt;=15,pogoda45[[#This Row],[opady]]&gt;0.61),0,pogoda45[[#This Row],[temperatura_srednia]]&gt;30,24000,pogoda45[[#This Row],[temperatura_srednia]]&gt;15,12000)</f>
        <v>0</v>
      </c>
      <c r="J26">
        <f>IF(pogoda45[[#This Row],[stan_po_dolaniu]]&lt;pogoda45[[#This Row],[ile_podlewamy]],$AB$2-pogoda45[[#This Row],[stan_po_dolaniu]],0)</f>
        <v>0</v>
      </c>
      <c r="K26">
        <f>pogoda45[[#This Row],[stan_po_dolaniu]]+pogoda45[[#This Row],[ile_dolać_do_podlania]]</f>
        <v>25000</v>
      </c>
      <c r="L26">
        <f>pogoda45[[#This Row],[stan_po_dolaniu_do_podlania]]-pogoda45[[#This Row],[ile_podlewamy]]</f>
        <v>25000</v>
      </c>
    </row>
    <row r="27" spans="1:12" x14ac:dyDescent="0.25">
      <c r="A27" s="2">
        <v>42120</v>
      </c>
      <c r="B27">
        <v>16</v>
      </c>
      <c r="C27">
        <v>0</v>
      </c>
      <c r="D27">
        <f t="shared" si="0"/>
        <v>25000</v>
      </c>
      <c r="E27">
        <f>IF(C27=0,ROUNDUP($AB$3*POWER(pogoda45[[#This Row],[temperatura_srednia]],1.5)*pogoda45[[#This Row],[stan_przed_dolaniem]],0),0)</f>
        <v>480</v>
      </c>
      <c r="F27">
        <f>pogoda45[[#This Row],[stan_przed_dolaniem]]-pogoda45[[#This Row],[ubytek]]</f>
        <v>24520</v>
      </c>
      <c r="G27">
        <f>IF(pogoda45[[#This Row],[opady]]*$AB$1+D27&gt;$AB$2,$AB$2-pogoda45[[#This Row],[stan_przed_dolaniem]],pogoda45[[#This Row],[opady]]*$AB$1)</f>
        <v>0</v>
      </c>
      <c r="H27">
        <f>pogoda45[[#This Row],[stan_po_ubytku]]+pogoda45[[#This Row],[ile_pogoda_dolała]]</f>
        <v>24520</v>
      </c>
      <c r="I27" cm="1">
        <f t="array" ref="I27">_xlfn.IFS(OR(pogoda45[[#This Row],[temperatura_srednia]]&lt;=15,pogoda45[[#This Row],[opady]]&gt;0.61),0,pogoda45[[#This Row],[temperatura_srednia]]&gt;30,24000,pogoda45[[#This Row],[temperatura_srednia]]&gt;15,12000)</f>
        <v>12000</v>
      </c>
      <c r="J27">
        <f>IF(pogoda45[[#This Row],[stan_po_dolaniu]]&lt;pogoda45[[#This Row],[ile_podlewamy]],$AB$2-pogoda45[[#This Row],[stan_po_dolaniu]],0)</f>
        <v>0</v>
      </c>
      <c r="K27">
        <f>pogoda45[[#This Row],[stan_po_dolaniu]]+pogoda45[[#This Row],[ile_dolać_do_podlania]]</f>
        <v>24520</v>
      </c>
      <c r="L27">
        <f>pogoda45[[#This Row],[stan_po_dolaniu_do_podlania]]-pogoda45[[#This Row],[ile_podlewamy]]</f>
        <v>12520</v>
      </c>
    </row>
    <row r="28" spans="1:12" x14ac:dyDescent="0.25">
      <c r="A28" s="2">
        <v>42121</v>
      </c>
      <c r="B28">
        <v>16</v>
      </c>
      <c r="C28">
        <v>1</v>
      </c>
      <c r="D28">
        <f t="shared" si="0"/>
        <v>12520</v>
      </c>
      <c r="E28">
        <f>IF(C28=0,ROUNDUP($AB$3*POWER(pogoda45[[#This Row],[temperatura_srednia]],1.5)*pogoda45[[#This Row],[stan_przed_dolaniem]],0),0)</f>
        <v>0</v>
      </c>
      <c r="F28">
        <f>pogoda45[[#This Row],[stan_przed_dolaniem]]-pogoda45[[#This Row],[ubytek]]</f>
        <v>12520</v>
      </c>
      <c r="G28">
        <f>IF(pogoda45[[#This Row],[opady]]*$AB$1+D28&gt;$AB$2,$AB$2-pogoda45[[#This Row],[stan_przed_dolaniem]],pogoda45[[#This Row],[opady]]*$AB$1)</f>
        <v>700</v>
      </c>
      <c r="H28">
        <f>pogoda45[[#This Row],[stan_po_ubytku]]+pogoda45[[#This Row],[ile_pogoda_dolała]]</f>
        <v>13220</v>
      </c>
      <c r="I28" cm="1">
        <f t="array" ref="I28">_xlfn.IFS(OR(pogoda45[[#This Row],[temperatura_srednia]]&lt;=15,pogoda45[[#This Row],[opady]]&gt;0.61),0,pogoda45[[#This Row],[temperatura_srednia]]&gt;30,24000,pogoda45[[#This Row],[temperatura_srednia]]&gt;15,12000)</f>
        <v>0</v>
      </c>
      <c r="J28">
        <f>IF(pogoda45[[#This Row],[stan_po_dolaniu]]&lt;pogoda45[[#This Row],[ile_podlewamy]],$AB$2-pogoda45[[#This Row],[stan_po_dolaniu]],0)</f>
        <v>0</v>
      </c>
      <c r="K28">
        <f>pogoda45[[#This Row],[stan_po_dolaniu]]+pogoda45[[#This Row],[ile_dolać_do_podlania]]</f>
        <v>13220</v>
      </c>
      <c r="L28">
        <f>pogoda45[[#This Row],[stan_po_dolaniu_do_podlania]]-pogoda45[[#This Row],[ile_podlewamy]]</f>
        <v>13220</v>
      </c>
    </row>
    <row r="29" spans="1:12" x14ac:dyDescent="0.25">
      <c r="A29" s="2">
        <v>42122</v>
      </c>
      <c r="B29">
        <v>6</v>
      </c>
      <c r="C29">
        <v>2</v>
      </c>
      <c r="D29">
        <f t="shared" si="0"/>
        <v>13220</v>
      </c>
      <c r="E29">
        <f>IF(C29=0,ROUNDUP($AB$3*POWER(pogoda45[[#This Row],[temperatura_srednia]],1.5)*pogoda45[[#This Row],[stan_przed_dolaniem]],0),0)</f>
        <v>0</v>
      </c>
      <c r="F29">
        <f>pogoda45[[#This Row],[stan_przed_dolaniem]]-pogoda45[[#This Row],[ubytek]]</f>
        <v>13220</v>
      </c>
      <c r="G29">
        <f>IF(pogoda45[[#This Row],[opady]]*$AB$1+D29&gt;$AB$2,$AB$2-pogoda45[[#This Row],[stan_przed_dolaniem]],pogoda45[[#This Row],[opady]]*$AB$1)</f>
        <v>1400</v>
      </c>
      <c r="H29">
        <f>pogoda45[[#This Row],[stan_po_ubytku]]+pogoda45[[#This Row],[ile_pogoda_dolała]]</f>
        <v>14620</v>
      </c>
      <c r="I29" cm="1">
        <f t="array" ref="I29">_xlfn.IFS(OR(pogoda45[[#This Row],[temperatura_srednia]]&lt;=15,pogoda45[[#This Row],[opady]]&gt;0.61),0,pogoda45[[#This Row],[temperatura_srednia]]&gt;30,24000,pogoda45[[#This Row],[temperatura_srednia]]&gt;15,12000)</f>
        <v>0</v>
      </c>
      <c r="J29">
        <f>IF(pogoda45[[#This Row],[stan_po_dolaniu]]&lt;pogoda45[[#This Row],[ile_podlewamy]],$AB$2-pogoda45[[#This Row],[stan_po_dolaniu]],0)</f>
        <v>0</v>
      </c>
      <c r="K29">
        <f>pogoda45[[#This Row],[stan_po_dolaniu]]+pogoda45[[#This Row],[ile_dolać_do_podlania]]</f>
        <v>14620</v>
      </c>
      <c r="L29">
        <f>pogoda45[[#This Row],[stan_po_dolaniu_do_podlania]]-pogoda45[[#This Row],[ile_podlewamy]]</f>
        <v>14620</v>
      </c>
    </row>
    <row r="30" spans="1:12" x14ac:dyDescent="0.25">
      <c r="A30" s="2">
        <v>42123</v>
      </c>
      <c r="B30">
        <v>7</v>
      </c>
      <c r="C30">
        <v>0</v>
      </c>
      <c r="D30">
        <f t="shared" si="0"/>
        <v>14620</v>
      </c>
      <c r="E30">
        <f>IF(C30=0,ROUNDUP($AB$3*POWER(pogoda45[[#This Row],[temperatura_srednia]],1.5)*pogoda45[[#This Row],[stan_przed_dolaniem]],0),0)</f>
        <v>82</v>
      </c>
      <c r="F30">
        <f>pogoda45[[#This Row],[stan_przed_dolaniem]]-pogoda45[[#This Row],[ubytek]]</f>
        <v>14538</v>
      </c>
      <c r="G30">
        <f>IF(pogoda45[[#This Row],[opady]]*$AB$1+D30&gt;$AB$2,$AB$2-pogoda45[[#This Row],[stan_przed_dolaniem]],pogoda45[[#This Row],[opady]]*$AB$1)</f>
        <v>0</v>
      </c>
      <c r="H30">
        <f>pogoda45[[#This Row],[stan_po_ubytku]]+pogoda45[[#This Row],[ile_pogoda_dolała]]</f>
        <v>14538</v>
      </c>
      <c r="I30" cm="1">
        <f t="array" ref="I30">_xlfn.IFS(OR(pogoda45[[#This Row],[temperatura_srednia]]&lt;=15,pogoda45[[#This Row],[opady]]&gt;0.61),0,pogoda45[[#This Row],[temperatura_srednia]]&gt;30,24000,pogoda45[[#This Row],[temperatura_srednia]]&gt;15,12000)</f>
        <v>0</v>
      </c>
      <c r="J30">
        <f>IF(pogoda45[[#This Row],[stan_po_dolaniu]]&lt;pogoda45[[#This Row],[ile_podlewamy]],$AB$2-pogoda45[[#This Row],[stan_po_dolaniu]],0)</f>
        <v>0</v>
      </c>
      <c r="K30">
        <f>pogoda45[[#This Row],[stan_po_dolaniu]]+pogoda45[[#This Row],[ile_dolać_do_podlania]]</f>
        <v>14538</v>
      </c>
      <c r="L30">
        <f>pogoda45[[#This Row],[stan_po_dolaniu_do_podlania]]-pogoda45[[#This Row],[ile_podlewamy]]</f>
        <v>14538</v>
      </c>
    </row>
    <row r="31" spans="1:12" x14ac:dyDescent="0.25">
      <c r="A31" s="2">
        <v>42124</v>
      </c>
      <c r="B31">
        <v>10</v>
      </c>
      <c r="C31">
        <v>0</v>
      </c>
      <c r="D31">
        <f t="shared" si="0"/>
        <v>14538</v>
      </c>
      <c r="E31">
        <f>IF(C31=0,ROUNDUP($AB$3*POWER(pogoda45[[#This Row],[temperatura_srednia]],1.5)*pogoda45[[#This Row],[stan_przed_dolaniem]],0),0)</f>
        <v>138</v>
      </c>
      <c r="F31">
        <f>pogoda45[[#This Row],[stan_przed_dolaniem]]-pogoda45[[#This Row],[ubytek]]</f>
        <v>14400</v>
      </c>
      <c r="G31">
        <f>IF(pogoda45[[#This Row],[opady]]*$AB$1+D31&gt;$AB$2,$AB$2-pogoda45[[#This Row],[stan_przed_dolaniem]],pogoda45[[#This Row],[opady]]*$AB$1)</f>
        <v>0</v>
      </c>
      <c r="H31">
        <f>pogoda45[[#This Row],[stan_po_ubytku]]+pogoda45[[#This Row],[ile_pogoda_dolała]]</f>
        <v>14400</v>
      </c>
      <c r="I31" cm="1">
        <f t="array" ref="I31">_xlfn.IFS(OR(pogoda45[[#This Row],[temperatura_srednia]]&lt;=15,pogoda45[[#This Row],[opady]]&gt;0.61),0,pogoda45[[#This Row],[temperatura_srednia]]&gt;30,24000,pogoda45[[#This Row],[temperatura_srednia]]&gt;15,12000)</f>
        <v>0</v>
      </c>
      <c r="J31">
        <f>IF(pogoda45[[#This Row],[stan_po_dolaniu]]&lt;pogoda45[[#This Row],[ile_podlewamy]],$AB$2-pogoda45[[#This Row],[stan_po_dolaniu]],0)</f>
        <v>0</v>
      </c>
      <c r="K31">
        <f>pogoda45[[#This Row],[stan_po_dolaniu]]+pogoda45[[#This Row],[ile_dolać_do_podlania]]</f>
        <v>14400</v>
      </c>
      <c r="L31">
        <f>pogoda45[[#This Row],[stan_po_dolaniu_do_podlania]]-pogoda45[[#This Row],[ile_podlewamy]]</f>
        <v>14400</v>
      </c>
    </row>
    <row r="32" spans="1:12" x14ac:dyDescent="0.25">
      <c r="A32" s="2">
        <v>42125</v>
      </c>
      <c r="B32">
        <v>10</v>
      </c>
      <c r="C32">
        <v>4</v>
      </c>
      <c r="D32">
        <f t="shared" si="0"/>
        <v>14400</v>
      </c>
      <c r="E32">
        <f>IF(C32=0,ROUNDUP($AB$3*POWER(pogoda45[[#This Row],[temperatura_srednia]],1.5)*pogoda45[[#This Row],[stan_przed_dolaniem]],0),0)</f>
        <v>0</v>
      </c>
      <c r="F32">
        <f>pogoda45[[#This Row],[stan_przed_dolaniem]]-pogoda45[[#This Row],[ubytek]]</f>
        <v>14400</v>
      </c>
      <c r="G32">
        <f>IF(pogoda45[[#This Row],[opady]]*$AB$1+D32&gt;$AB$2,$AB$2-pogoda45[[#This Row],[stan_przed_dolaniem]],pogoda45[[#This Row],[opady]]*$AB$1)</f>
        <v>2800</v>
      </c>
      <c r="H32">
        <f>pogoda45[[#This Row],[stan_po_ubytku]]+pogoda45[[#This Row],[ile_pogoda_dolała]]</f>
        <v>17200</v>
      </c>
      <c r="I32" cm="1">
        <f t="array" ref="I32">_xlfn.IFS(OR(pogoda45[[#This Row],[temperatura_srednia]]&lt;=15,pogoda45[[#This Row],[opady]]&gt;0.61),0,pogoda45[[#This Row],[temperatura_srednia]]&gt;30,24000,pogoda45[[#This Row],[temperatura_srednia]]&gt;15,12000)</f>
        <v>0</v>
      </c>
      <c r="J32">
        <f>IF(pogoda45[[#This Row],[stan_po_dolaniu]]&lt;pogoda45[[#This Row],[ile_podlewamy]],$AB$2-pogoda45[[#This Row],[stan_po_dolaniu]],0)</f>
        <v>0</v>
      </c>
      <c r="K32">
        <f>pogoda45[[#This Row],[stan_po_dolaniu]]+pogoda45[[#This Row],[ile_dolać_do_podlania]]</f>
        <v>17200</v>
      </c>
      <c r="L32">
        <f>pogoda45[[#This Row],[stan_po_dolaniu_do_podlania]]-pogoda45[[#This Row],[ile_podlewamy]]</f>
        <v>17200</v>
      </c>
    </row>
    <row r="33" spans="1:12" x14ac:dyDescent="0.25">
      <c r="A33" s="2">
        <v>42126</v>
      </c>
      <c r="B33">
        <v>7</v>
      </c>
      <c r="C33">
        <v>5</v>
      </c>
      <c r="D33">
        <f t="shared" si="0"/>
        <v>17200</v>
      </c>
      <c r="E33">
        <f>IF(C33=0,ROUNDUP($AB$3*POWER(pogoda45[[#This Row],[temperatura_srednia]],1.5)*pogoda45[[#This Row],[stan_przed_dolaniem]],0),0)</f>
        <v>0</v>
      </c>
      <c r="F33">
        <f>pogoda45[[#This Row],[stan_przed_dolaniem]]-pogoda45[[#This Row],[ubytek]]</f>
        <v>17200</v>
      </c>
      <c r="G33">
        <f>IF(pogoda45[[#This Row],[opady]]*$AB$1+D33&gt;$AB$2,$AB$2-pogoda45[[#This Row],[stan_przed_dolaniem]],pogoda45[[#This Row],[opady]]*$AB$1)</f>
        <v>3500</v>
      </c>
      <c r="H33">
        <f>pogoda45[[#This Row],[stan_po_ubytku]]+pogoda45[[#This Row],[ile_pogoda_dolała]]</f>
        <v>20700</v>
      </c>
      <c r="I33" cm="1">
        <f t="array" ref="I33">_xlfn.IFS(OR(pogoda45[[#This Row],[temperatura_srednia]]&lt;=15,pogoda45[[#This Row],[opady]]&gt;0.61),0,pogoda45[[#This Row],[temperatura_srednia]]&gt;30,24000,pogoda45[[#This Row],[temperatura_srednia]]&gt;15,12000)</f>
        <v>0</v>
      </c>
      <c r="J33">
        <f>IF(pogoda45[[#This Row],[stan_po_dolaniu]]&lt;pogoda45[[#This Row],[ile_podlewamy]],$AB$2-pogoda45[[#This Row],[stan_po_dolaniu]],0)</f>
        <v>0</v>
      </c>
      <c r="K33">
        <f>pogoda45[[#This Row],[stan_po_dolaniu]]+pogoda45[[#This Row],[ile_dolać_do_podlania]]</f>
        <v>20700</v>
      </c>
      <c r="L33">
        <f>pogoda45[[#This Row],[stan_po_dolaniu_do_podlania]]-pogoda45[[#This Row],[ile_podlewamy]]</f>
        <v>20700</v>
      </c>
    </row>
    <row r="34" spans="1:12" x14ac:dyDescent="0.25">
      <c r="A34" s="2">
        <v>42127</v>
      </c>
      <c r="B34">
        <v>9</v>
      </c>
      <c r="C34">
        <v>4</v>
      </c>
      <c r="D34">
        <f t="shared" si="0"/>
        <v>20700</v>
      </c>
      <c r="E34">
        <f>IF(C34=0,ROUNDUP($AB$3*POWER(pogoda45[[#This Row],[temperatura_srednia]],1.5)*pogoda45[[#This Row],[stan_przed_dolaniem]],0),0)</f>
        <v>0</v>
      </c>
      <c r="F34">
        <f>pogoda45[[#This Row],[stan_przed_dolaniem]]-pogoda45[[#This Row],[ubytek]]</f>
        <v>20700</v>
      </c>
      <c r="G34">
        <f>IF(pogoda45[[#This Row],[opady]]*$AB$1+D34&gt;$AB$2,$AB$2-pogoda45[[#This Row],[stan_przed_dolaniem]],pogoda45[[#This Row],[opady]]*$AB$1)</f>
        <v>2800</v>
      </c>
      <c r="H34">
        <f>pogoda45[[#This Row],[stan_po_ubytku]]+pogoda45[[#This Row],[ile_pogoda_dolała]]</f>
        <v>23500</v>
      </c>
      <c r="I34" cm="1">
        <f t="array" ref="I34">_xlfn.IFS(OR(pogoda45[[#This Row],[temperatura_srednia]]&lt;=15,pogoda45[[#This Row],[opady]]&gt;0.61),0,pogoda45[[#This Row],[temperatura_srednia]]&gt;30,24000,pogoda45[[#This Row],[temperatura_srednia]]&gt;15,12000)</f>
        <v>0</v>
      </c>
      <c r="J34">
        <f>IF(pogoda45[[#This Row],[stan_po_dolaniu]]&lt;pogoda45[[#This Row],[ile_podlewamy]],$AB$2-pogoda45[[#This Row],[stan_po_dolaniu]],0)</f>
        <v>0</v>
      </c>
      <c r="K34">
        <f>pogoda45[[#This Row],[stan_po_dolaniu]]+pogoda45[[#This Row],[ile_dolać_do_podlania]]</f>
        <v>23500</v>
      </c>
      <c r="L34">
        <f>pogoda45[[#This Row],[stan_po_dolaniu_do_podlania]]-pogoda45[[#This Row],[ile_podlewamy]]</f>
        <v>23500</v>
      </c>
    </row>
    <row r="35" spans="1:12" x14ac:dyDescent="0.25">
      <c r="A35" s="2">
        <v>42128</v>
      </c>
      <c r="B35">
        <v>15</v>
      </c>
      <c r="C35">
        <v>0.4</v>
      </c>
      <c r="D35">
        <f t="shared" si="0"/>
        <v>23500</v>
      </c>
      <c r="E35">
        <f>IF(C35=0,ROUNDUP($AB$3*POWER(pogoda45[[#This Row],[temperatura_srednia]],1.5)*pogoda45[[#This Row],[stan_przed_dolaniem]],0),0)</f>
        <v>0</v>
      </c>
      <c r="F35">
        <f>pogoda45[[#This Row],[stan_przed_dolaniem]]-pogoda45[[#This Row],[ubytek]]</f>
        <v>23500</v>
      </c>
      <c r="G35">
        <f>IF(pogoda45[[#This Row],[opady]]*$AB$1+D35&gt;$AB$2,$AB$2-pogoda45[[#This Row],[stan_przed_dolaniem]],pogoda45[[#This Row],[opady]]*$AB$1)</f>
        <v>280</v>
      </c>
      <c r="H35">
        <f>pogoda45[[#This Row],[stan_po_ubytku]]+pogoda45[[#This Row],[ile_pogoda_dolała]]</f>
        <v>23780</v>
      </c>
      <c r="I35" cm="1">
        <f t="array" ref="I35">_xlfn.IFS(OR(pogoda45[[#This Row],[temperatura_srednia]]&lt;=15,pogoda45[[#This Row],[opady]]&gt;0.61),0,pogoda45[[#This Row],[temperatura_srednia]]&gt;30,24000,pogoda45[[#This Row],[temperatura_srednia]]&gt;15,12000)</f>
        <v>0</v>
      </c>
      <c r="J35">
        <f>IF(pogoda45[[#This Row],[stan_po_dolaniu]]&lt;pogoda45[[#This Row],[ile_podlewamy]],$AB$2-pogoda45[[#This Row],[stan_po_dolaniu]],0)</f>
        <v>0</v>
      </c>
      <c r="K35">
        <f>pogoda45[[#This Row],[stan_po_dolaniu]]+pogoda45[[#This Row],[ile_dolać_do_podlania]]</f>
        <v>23780</v>
      </c>
      <c r="L35">
        <f>pogoda45[[#This Row],[stan_po_dolaniu_do_podlania]]-pogoda45[[#This Row],[ile_podlewamy]]</f>
        <v>23780</v>
      </c>
    </row>
    <row r="36" spans="1:12" x14ac:dyDescent="0.25">
      <c r="A36" s="2">
        <v>42129</v>
      </c>
      <c r="B36">
        <v>18</v>
      </c>
      <c r="C36">
        <v>0.4</v>
      </c>
      <c r="D36">
        <f t="shared" si="0"/>
        <v>23780</v>
      </c>
      <c r="E36">
        <f>IF(C36=0,ROUNDUP($AB$3*POWER(pogoda45[[#This Row],[temperatura_srednia]],1.5)*pogoda45[[#This Row],[stan_przed_dolaniem]],0),0)</f>
        <v>0</v>
      </c>
      <c r="F36">
        <f>pogoda45[[#This Row],[stan_przed_dolaniem]]-pogoda45[[#This Row],[ubytek]]</f>
        <v>23780</v>
      </c>
      <c r="G36">
        <f>IF(pogoda45[[#This Row],[opady]]*$AB$1+D36&gt;$AB$2,$AB$2-pogoda45[[#This Row],[stan_przed_dolaniem]],pogoda45[[#This Row],[opady]]*$AB$1)</f>
        <v>280</v>
      </c>
      <c r="H36">
        <f>pogoda45[[#This Row],[stan_po_ubytku]]+pogoda45[[#This Row],[ile_pogoda_dolała]]</f>
        <v>24060</v>
      </c>
      <c r="I36" cm="1">
        <f t="array" ref="I36">_xlfn.IFS(OR(pogoda45[[#This Row],[temperatura_srednia]]&lt;=15,pogoda45[[#This Row],[opady]]&gt;0.61),0,pogoda45[[#This Row],[temperatura_srednia]]&gt;30,24000,pogoda45[[#This Row],[temperatura_srednia]]&gt;15,12000)</f>
        <v>12000</v>
      </c>
      <c r="J36">
        <f>IF(pogoda45[[#This Row],[stan_po_dolaniu]]&lt;pogoda45[[#This Row],[ile_podlewamy]],$AB$2-pogoda45[[#This Row],[stan_po_dolaniu]],0)</f>
        <v>0</v>
      </c>
      <c r="K36">
        <f>pogoda45[[#This Row],[stan_po_dolaniu]]+pogoda45[[#This Row],[ile_dolać_do_podlania]]</f>
        <v>24060</v>
      </c>
      <c r="L36">
        <f>pogoda45[[#This Row],[stan_po_dolaniu_do_podlania]]-pogoda45[[#This Row],[ile_podlewamy]]</f>
        <v>12060</v>
      </c>
    </row>
    <row r="37" spans="1:12" x14ac:dyDescent="0.25">
      <c r="A37" s="3">
        <v>42130</v>
      </c>
      <c r="B37">
        <v>16</v>
      </c>
      <c r="C37">
        <v>0</v>
      </c>
      <c r="D37">
        <f t="shared" si="0"/>
        <v>12060</v>
      </c>
      <c r="E37">
        <f>IF(C37=0,ROUNDUP($AB$3*POWER(pogoda45[[#This Row],[temperatura_srednia]],1.5)*pogoda45[[#This Row],[stan_przed_dolaniem]],0),0)</f>
        <v>232</v>
      </c>
      <c r="F37">
        <f>pogoda45[[#This Row],[stan_przed_dolaniem]]-pogoda45[[#This Row],[ubytek]]</f>
        <v>11828</v>
      </c>
      <c r="G37">
        <f>IF(pogoda45[[#This Row],[opady]]*$AB$1+D37&gt;$AB$2,$AB$2-pogoda45[[#This Row],[stan_przed_dolaniem]],pogoda45[[#This Row],[opady]]*$AB$1)</f>
        <v>0</v>
      </c>
      <c r="H37">
        <f>pogoda45[[#This Row],[stan_po_ubytku]]+pogoda45[[#This Row],[ile_pogoda_dolała]]</f>
        <v>11828</v>
      </c>
      <c r="I37" cm="1">
        <f t="array" ref="I37">_xlfn.IFS(OR(pogoda45[[#This Row],[temperatura_srednia]]&lt;=15,pogoda45[[#This Row],[opady]]&gt;0.61),0,pogoda45[[#This Row],[temperatura_srednia]]&gt;30,24000,pogoda45[[#This Row],[temperatura_srednia]]&gt;15,12000)</f>
        <v>12000</v>
      </c>
      <c r="J37" s="8">
        <f>IF(pogoda45[[#This Row],[stan_po_dolaniu]]&lt;pogoda45[[#This Row],[ile_podlewamy]],$AB$2-pogoda45[[#This Row],[stan_po_dolaniu]],0)</f>
        <v>13172</v>
      </c>
      <c r="K37">
        <f>pogoda45[[#This Row],[stan_po_dolaniu]]+pogoda45[[#This Row],[ile_dolać_do_podlania]]</f>
        <v>25000</v>
      </c>
      <c r="L37">
        <f>pogoda45[[#This Row],[stan_po_dolaniu_do_podlania]]-pogoda45[[#This Row],[ile_podlewamy]]</f>
        <v>13000</v>
      </c>
    </row>
    <row r="38" spans="1:12" x14ac:dyDescent="0.25">
      <c r="A38" s="2">
        <v>42131</v>
      </c>
      <c r="B38">
        <v>14</v>
      </c>
      <c r="C38">
        <v>0</v>
      </c>
      <c r="D38">
        <f t="shared" si="0"/>
        <v>13000</v>
      </c>
      <c r="E38">
        <f>IF(C38=0,ROUNDUP($AB$3*POWER(pogoda45[[#This Row],[temperatura_srednia]],1.5)*pogoda45[[#This Row],[stan_przed_dolaniem]],0),0)</f>
        <v>205</v>
      </c>
      <c r="F38">
        <f>pogoda45[[#This Row],[stan_przed_dolaniem]]-pogoda45[[#This Row],[ubytek]]</f>
        <v>12795</v>
      </c>
      <c r="G38">
        <f>IF(pogoda45[[#This Row],[opady]]*$AB$1+D38&gt;$AB$2,$AB$2-pogoda45[[#This Row],[stan_przed_dolaniem]],pogoda45[[#This Row],[opady]]*$AB$1)</f>
        <v>0</v>
      </c>
      <c r="H38">
        <f>pogoda45[[#This Row],[stan_po_ubytku]]+pogoda45[[#This Row],[ile_pogoda_dolała]]</f>
        <v>12795</v>
      </c>
      <c r="I38" cm="1">
        <f t="array" ref="I38">_xlfn.IFS(OR(pogoda45[[#This Row],[temperatura_srednia]]&lt;=15,pogoda45[[#This Row],[opady]]&gt;0.61),0,pogoda45[[#This Row],[temperatura_srednia]]&gt;30,24000,pogoda45[[#This Row],[temperatura_srednia]]&gt;15,12000)</f>
        <v>0</v>
      </c>
      <c r="J38">
        <f>IF(pogoda45[[#This Row],[stan_po_dolaniu]]&lt;pogoda45[[#This Row],[ile_podlewamy]],$AB$2-pogoda45[[#This Row],[stan_po_dolaniu]],0)</f>
        <v>0</v>
      </c>
      <c r="K38">
        <f>pogoda45[[#This Row],[stan_po_dolaniu]]+pogoda45[[#This Row],[ile_dolać_do_podlania]]</f>
        <v>12795</v>
      </c>
      <c r="L38">
        <f>pogoda45[[#This Row],[stan_po_dolaniu_do_podlania]]-pogoda45[[#This Row],[ile_podlewamy]]</f>
        <v>12795</v>
      </c>
    </row>
    <row r="39" spans="1:12" x14ac:dyDescent="0.25">
      <c r="A39" s="2">
        <v>42132</v>
      </c>
      <c r="B39">
        <v>10</v>
      </c>
      <c r="C39">
        <v>0</v>
      </c>
      <c r="D39">
        <f t="shared" si="0"/>
        <v>12795</v>
      </c>
      <c r="E39">
        <f>IF(C39=0,ROUNDUP($AB$3*POWER(pogoda45[[#This Row],[temperatura_srednia]],1.5)*pogoda45[[#This Row],[stan_przed_dolaniem]],0),0)</f>
        <v>122</v>
      </c>
      <c r="F39">
        <f>pogoda45[[#This Row],[stan_przed_dolaniem]]-pogoda45[[#This Row],[ubytek]]</f>
        <v>12673</v>
      </c>
      <c r="G39">
        <f>IF(pogoda45[[#This Row],[opady]]*$AB$1+D39&gt;$AB$2,$AB$2-pogoda45[[#This Row],[stan_przed_dolaniem]],pogoda45[[#This Row],[opady]]*$AB$1)</f>
        <v>0</v>
      </c>
      <c r="H39">
        <f>pogoda45[[#This Row],[stan_po_ubytku]]+pogoda45[[#This Row],[ile_pogoda_dolała]]</f>
        <v>12673</v>
      </c>
      <c r="I39" cm="1">
        <f t="array" ref="I39">_xlfn.IFS(OR(pogoda45[[#This Row],[temperatura_srednia]]&lt;=15,pogoda45[[#This Row],[opady]]&gt;0.61),0,pogoda45[[#This Row],[temperatura_srednia]]&gt;30,24000,pogoda45[[#This Row],[temperatura_srednia]]&gt;15,12000)</f>
        <v>0</v>
      </c>
      <c r="J39">
        <f>IF(pogoda45[[#This Row],[stan_po_dolaniu]]&lt;pogoda45[[#This Row],[ile_podlewamy]],$AB$2-pogoda45[[#This Row],[stan_po_dolaniu]],0)</f>
        <v>0</v>
      </c>
      <c r="K39">
        <f>pogoda45[[#This Row],[stan_po_dolaniu]]+pogoda45[[#This Row],[ile_dolać_do_podlania]]</f>
        <v>12673</v>
      </c>
      <c r="L39">
        <f>pogoda45[[#This Row],[stan_po_dolaniu_do_podlania]]-pogoda45[[#This Row],[ile_podlewamy]]</f>
        <v>12673</v>
      </c>
    </row>
    <row r="40" spans="1:12" x14ac:dyDescent="0.25">
      <c r="A40" s="2">
        <v>42133</v>
      </c>
      <c r="B40">
        <v>14</v>
      </c>
      <c r="C40">
        <v>0.3</v>
      </c>
      <c r="D40">
        <f t="shared" si="0"/>
        <v>12673</v>
      </c>
      <c r="E40">
        <f>IF(C40=0,ROUNDUP($AB$3*POWER(pogoda45[[#This Row],[temperatura_srednia]],1.5)*pogoda45[[#This Row],[stan_przed_dolaniem]],0),0)</f>
        <v>0</v>
      </c>
      <c r="F40">
        <f>pogoda45[[#This Row],[stan_przed_dolaniem]]-pogoda45[[#This Row],[ubytek]]</f>
        <v>12673</v>
      </c>
      <c r="G40">
        <f>IF(pogoda45[[#This Row],[opady]]*$AB$1+D40&gt;$AB$2,$AB$2-pogoda45[[#This Row],[stan_przed_dolaniem]],pogoda45[[#This Row],[opady]]*$AB$1)</f>
        <v>210</v>
      </c>
      <c r="H40">
        <f>pogoda45[[#This Row],[stan_po_ubytku]]+pogoda45[[#This Row],[ile_pogoda_dolała]]</f>
        <v>12883</v>
      </c>
      <c r="I40" cm="1">
        <f t="array" ref="I40">_xlfn.IFS(OR(pogoda45[[#This Row],[temperatura_srednia]]&lt;=15,pogoda45[[#This Row],[opady]]&gt;0.61),0,pogoda45[[#This Row],[temperatura_srednia]]&gt;30,24000,pogoda45[[#This Row],[temperatura_srednia]]&gt;15,12000)</f>
        <v>0</v>
      </c>
      <c r="J40">
        <f>IF(pogoda45[[#This Row],[stan_po_dolaniu]]&lt;pogoda45[[#This Row],[ile_podlewamy]],$AB$2-pogoda45[[#This Row],[stan_po_dolaniu]],0)</f>
        <v>0</v>
      </c>
      <c r="K40">
        <f>pogoda45[[#This Row],[stan_po_dolaniu]]+pogoda45[[#This Row],[ile_dolać_do_podlania]]</f>
        <v>12883</v>
      </c>
      <c r="L40">
        <f>pogoda45[[#This Row],[stan_po_dolaniu_do_podlania]]-pogoda45[[#This Row],[ile_podlewamy]]</f>
        <v>12883</v>
      </c>
    </row>
    <row r="41" spans="1:12" x14ac:dyDescent="0.25">
      <c r="A41" s="2">
        <v>42134</v>
      </c>
      <c r="B41">
        <v>12</v>
      </c>
      <c r="C41">
        <v>0.1</v>
      </c>
      <c r="D41">
        <f t="shared" si="0"/>
        <v>12883</v>
      </c>
      <c r="E41">
        <f>IF(C41=0,ROUNDUP($AB$3*POWER(pogoda45[[#This Row],[temperatura_srednia]],1.5)*pogoda45[[#This Row],[stan_przed_dolaniem]],0),0)</f>
        <v>0</v>
      </c>
      <c r="F41">
        <f>pogoda45[[#This Row],[stan_przed_dolaniem]]-pogoda45[[#This Row],[ubytek]]</f>
        <v>12883</v>
      </c>
      <c r="G41">
        <f>IF(pogoda45[[#This Row],[opady]]*$AB$1+D41&gt;$AB$2,$AB$2-pogoda45[[#This Row],[stan_przed_dolaniem]],pogoda45[[#This Row],[opady]]*$AB$1)</f>
        <v>70</v>
      </c>
      <c r="H41">
        <f>pogoda45[[#This Row],[stan_po_ubytku]]+pogoda45[[#This Row],[ile_pogoda_dolała]]</f>
        <v>12953</v>
      </c>
      <c r="I41" cm="1">
        <f t="array" ref="I41">_xlfn.IFS(OR(pogoda45[[#This Row],[temperatura_srednia]]&lt;=15,pogoda45[[#This Row],[opady]]&gt;0.61),0,pogoda45[[#This Row],[temperatura_srednia]]&gt;30,24000,pogoda45[[#This Row],[temperatura_srednia]]&gt;15,12000)</f>
        <v>0</v>
      </c>
      <c r="J41">
        <f>IF(pogoda45[[#This Row],[stan_po_dolaniu]]&lt;pogoda45[[#This Row],[ile_podlewamy]],$AB$2-pogoda45[[#This Row],[stan_po_dolaniu]],0)</f>
        <v>0</v>
      </c>
      <c r="K41">
        <f>pogoda45[[#This Row],[stan_po_dolaniu]]+pogoda45[[#This Row],[ile_dolać_do_podlania]]</f>
        <v>12953</v>
      </c>
      <c r="L41">
        <f>pogoda45[[#This Row],[stan_po_dolaniu_do_podlania]]-pogoda45[[#This Row],[ile_podlewamy]]</f>
        <v>12953</v>
      </c>
    </row>
    <row r="42" spans="1:12" x14ac:dyDescent="0.25">
      <c r="A42" s="2">
        <v>42135</v>
      </c>
      <c r="B42">
        <v>11</v>
      </c>
      <c r="C42">
        <v>0</v>
      </c>
      <c r="D42">
        <f t="shared" si="0"/>
        <v>12953</v>
      </c>
      <c r="E42">
        <f>IF(C42=0,ROUNDUP($AB$3*POWER(pogoda45[[#This Row],[temperatura_srednia]],1.5)*pogoda45[[#This Row],[stan_przed_dolaniem]],0),0)</f>
        <v>142</v>
      </c>
      <c r="F42">
        <f>pogoda45[[#This Row],[stan_przed_dolaniem]]-pogoda45[[#This Row],[ubytek]]</f>
        <v>12811</v>
      </c>
      <c r="G42">
        <f>IF(pogoda45[[#This Row],[opady]]*$AB$1+D42&gt;$AB$2,$AB$2-pogoda45[[#This Row],[stan_przed_dolaniem]],pogoda45[[#This Row],[opady]]*$AB$1)</f>
        <v>0</v>
      </c>
      <c r="H42">
        <f>pogoda45[[#This Row],[stan_po_ubytku]]+pogoda45[[#This Row],[ile_pogoda_dolała]]</f>
        <v>12811</v>
      </c>
      <c r="I42" cm="1">
        <f t="array" ref="I42">_xlfn.IFS(OR(pogoda45[[#This Row],[temperatura_srednia]]&lt;=15,pogoda45[[#This Row],[opady]]&gt;0.61),0,pogoda45[[#This Row],[temperatura_srednia]]&gt;30,24000,pogoda45[[#This Row],[temperatura_srednia]]&gt;15,12000)</f>
        <v>0</v>
      </c>
      <c r="J42">
        <f>IF(pogoda45[[#This Row],[stan_po_dolaniu]]&lt;pogoda45[[#This Row],[ile_podlewamy]],$AB$2-pogoda45[[#This Row],[stan_po_dolaniu]],0)</f>
        <v>0</v>
      </c>
      <c r="K42">
        <f>pogoda45[[#This Row],[stan_po_dolaniu]]+pogoda45[[#This Row],[ile_dolać_do_podlania]]</f>
        <v>12811</v>
      </c>
      <c r="L42">
        <f>pogoda45[[#This Row],[stan_po_dolaniu_do_podlania]]-pogoda45[[#This Row],[ile_podlewamy]]</f>
        <v>12811</v>
      </c>
    </row>
    <row r="43" spans="1:12" x14ac:dyDescent="0.25">
      <c r="A43" s="2">
        <v>42136</v>
      </c>
      <c r="B43">
        <v>16</v>
      </c>
      <c r="C43">
        <v>3</v>
      </c>
      <c r="D43">
        <f t="shared" si="0"/>
        <v>12811</v>
      </c>
      <c r="E43">
        <f>IF(C43=0,ROUNDUP($AB$3*POWER(pogoda45[[#This Row],[temperatura_srednia]],1.5)*pogoda45[[#This Row],[stan_przed_dolaniem]],0),0)</f>
        <v>0</v>
      </c>
      <c r="F43">
        <f>pogoda45[[#This Row],[stan_przed_dolaniem]]-pogoda45[[#This Row],[ubytek]]</f>
        <v>12811</v>
      </c>
      <c r="G43">
        <f>IF(pogoda45[[#This Row],[opady]]*$AB$1+D43&gt;$AB$2,$AB$2-pogoda45[[#This Row],[stan_przed_dolaniem]],pogoda45[[#This Row],[opady]]*$AB$1)</f>
        <v>2100</v>
      </c>
      <c r="H43">
        <f>pogoda45[[#This Row],[stan_po_ubytku]]+pogoda45[[#This Row],[ile_pogoda_dolała]]</f>
        <v>14911</v>
      </c>
      <c r="I43" cm="1">
        <f t="array" ref="I43">_xlfn.IFS(OR(pogoda45[[#This Row],[temperatura_srednia]]&lt;=15,pogoda45[[#This Row],[opady]]&gt;0.61),0,pogoda45[[#This Row],[temperatura_srednia]]&gt;30,24000,pogoda45[[#This Row],[temperatura_srednia]]&gt;15,12000)</f>
        <v>0</v>
      </c>
      <c r="J43">
        <f>IF(pogoda45[[#This Row],[stan_po_dolaniu]]&lt;pogoda45[[#This Row],[ile_podlewamy]],$AB$2-pogoda45[[#This Row],[stan_po_dolaniu]],0)</f>
        <v>0</v>
      </c>
      <c r="K43">
        <f>pogoda45[[#This Row],[stan_po_dolaniu]]+pogoda45[[#This Row],[ile_dolać_do_podlania]]</f>
        <v>14911</v>
      </c>
      <c r="L43">
        <f>pogoda45[[#This Row],[stan_po_dolaniu_do_podlania]]-pogoda45[[#This Row],[ile_podlewamy]]</f>
        <v>14911</v>
      </c>
    </row>
    <row r="44" spans="1:12" x14ac:dyDescent="0.25">
      <c r="A44" s="2">
        <v>42137</v>
      </c>
      <c r="B44">
        <v>12</v>
      </c>
      <c r="C44">
        <v>0</v>
      </c>
      <c r="D44">
        <f t="shared" si="0"/>
        <v>14911</v>
      </c>
      <c r="E44">
        <f>IF(C44=0,ROUNDUP($AB$3*POWER(pogoda45[[#This Row],[temperatura_srednia]],1.5)*pogoda45[[#This Row],[stan_przed_dolaniem]],0),0)</f>
        <v>186</v>
      </c>
      <c r="F44">
        <f>pogoda45[[#This Row],[stan_przed_dolaniem]]-pogoda45[[#This Row],[ubytek]]</f>
        <v>14725</v>
      </c>
      <c r="G44">
        <f>IF(pogoda45[[#This Row],[opady]]*$AB$1+D44&gt;$AB$2,$AB$2-pogoda45[[#This Row],[stan_przed_dolaniem]],pogoda45[[#This Row],[opady]]*$AB$1)</f>
        <v>0</v>
      </c>
      <c r="H44">
        <f>pogoda45[[#This Row],[stan_po_ubytku]]+pogoda45[[#This Row],[ile_pogoda_dolała]]</f>
        <v>14725</v>
      </c>
      <c r="I44" cm="1">
        <f t="array" ref="I44">_xlfn.IFS(OR(pogoda45[[#This Row],[temperatura_srednia]]&lt;=15,pogoda45[[#This Row],[opady]]&gt;0.61),0,pogoda45[[#This Row],[temperatura_srednia]]&gt;30,24000,pogoda45[[#This Row],[temperatura_srednia]]&gt;15,12000)</f>
        <v>0</v>
      </c>
      <c r="J44">
        <f>IF(pogoda45[[#This Row],[stan_po_dolaniu]]&lt;pogoda45[[#This Row],[ile_podlewamy]],$AB$2-pogoda45[[#This Row],[stan_po_dolaniu]],0)</f>
        <v>0</v>
      </c>
      <c r="K44">
        <f>pogoda45[[#This Row],[stan_po_dolaniu]]+pogoda45[[#This Row],[ile_dolać_do_podlania]]</f>
        <v>14725</v>
      </c>
      <c r="L44">
        <f>pogoda45[[#This Row],[stan_po_dolaniu_do_podlania]]-pogoda45[[#This Row],[ile_podlewamy]]</f>
        <v>14725</v>
      </c>
    </row>
    <row r="45" spans="1:12" x14ac:dyDescent="0.25">
      <c r="A45" s="2">
        <v>42138</v>
      </c>
      <c r="B45">
        <v>10</v>
      </c>
      <c r="C45">
        <v>0</v>
      </c>
      <c r="D45">
        <f t="shared" si="0"/>
        <v>14725</v>
      </c>
      <c r="E45">
        <f>IF(C45=0,ROUNDUP($AB$3*POWER(pogoda45[[#This Row],[temperatura_srednia]],1.5)*pogoda45[[#This Row],[stan_przed_dolaniem]],0),0)</f>
        <v>140</v>
      </c>
      <c r="F45">
        <f>pogoda45[[#This Row],[stan_przed_dolaniem]]-pogoda45[[#This Row],[ubytek]]</f>
        <v>14585</v>
      </c>
      <c r="G45">
        <f>IF(pogoda45[[#This Row],[opady]]*$AB$1+D45&gt;$AB$2,$AB$2-pogoda45[[#This Row],[stan_przed_dolaniem]],pogoda45[[#This Row],[opady]]*$AB$1)</f>
        <v>0</v>
      </c>
      <c r="H45">
        <f>pogoda45[[#This Row],[stan_po_ubytku]]+pogoda45[[#This Row],[ile_pogoda_dolała]]</f>
        <v>14585</v>
      </c>
      <c r="I45" cm="1">
        <f t="array" ref="I45">_xlfn.IFS(OR(pogoda45[[#This Row],[temperatura_srednia]]&lt;=15,pogoda45[[#This Row],[opady]]&gt;0.61),0,pogoda45[[#This Row],[temperatura_srednia]]&gt;30,24000,pogoda45[[#This Row],[temperatura_srednia]]&gt;15,12000)</f>
        <v>0</v>
      </c>
      <c r="J45">
        <f>IF(pogoda45[[#This Row],[stan_po_dolaniu]]&lt;pogoda45[[#This Row],[ile_podlewamy]],$AB$2-pogoda45[[#This Row],[stan_po_dolaniu]],0)</f>
        <v>0</v>
      </c>
      <c r="K45">
        <f>pogoda45[[#This Row],[stan_po_dolaniu]]+pogoda45[[#This Row],[ile_dolać_do_podlania]]</f>
        <v>14585</v>
      </c>
      <c r="L45">
        <f>pogoda45[[#This Row],[stan_po_dolaniu_do_podlania]]-pogoda45[[#This Row],[ile_podlewamy]]</f>
        <v>14585</v>
      </c>
    </row>
    <row r="46" spans="1:12" x14ac:dyDescent="0.25">
      <c r="A46" s="2">
        <v>42139</v>
      </c>
      <c r="B46">
        <v>12</v>
      </c>
      <c r="C46">
        <v>0</v>
      </c>
      <c r="D46">
        <f t="shared" si="0"/>
        <v>14585</v>
      </c>
      <c r="E46">
        <f>IF(C46=0,ROUNDUP($AB$3*POWER(pogoda45[[#This Row],[temperatura_srednia]],1.5)*pogoda45[[#This Row],[stan_przed_dolaniem]],0),0)</f>
        <v>182</v>
      </c>
      <c r="F46">
        <f>pogoda45[[#This Row],[stan_przed_dolaniem]]-pogoda45[[#This Row],[ubytek]]</f>
        <v>14403</v>
      </c>
      <c r="G46">
        <f>IF(pogoda45[[#This Row],[opady]]*$AB$1+D46&gt;$AB$2,$AB$2-pogoda45[[#This Row],[stan_przed_dolaniem]],pogoda45[[#This Row],[opady]]*$AB$1)</f>
        <v>0</v>
      </c>
      <c r="H46">
        <f>pogoda45[[#This Row],[stan_po_ubytku]]+pogoda45[[#This Row],[ile_pogoda_dolała]]</f>
        <v>14403</v>
      </c>
      <c r="I46" cm="1">
        <f t="array" ref="I46">_xlfn.IFS(OR(pogoda45[[#This Row],[temperatura_srednia]]&lt;=15,pogoda45[[#This Row],[opady]]&gt;0.61),0,pogoda45[[#This Row],[temperatura_srednia]]&gt;30,24000,pogoda45[[#This Row],[temperatura_srednia]]&gt;15,12000)</f>
        <v>0</v>
      </c>
      <c r="J46">
        <f>IF(pogoda45[[#This Row],[stan_po_dolaniu]]&lt;pogoda45[[#This Row],[ile_podlewamy]],$AB$2-pogoda45[[#This Row],[stan_po_dolaniu]],0)</f>
        <v>0</v>
      </c>
      <c r="K46">
        <f>pogoda45[[#This Row],[stan_po_dolaniu]]+pogoda45[[#This Row],[ile_dolać_do_podlania]]</f>
        <v>14403</v>
      </c>
      <c r="L46">
        <f>pogoda45[[#This Row],[stan_po_dolaniu_do_podlania]]-pogoda45[[#This Row],[ile_podlewamy]]</f>
        <v>14403</v>
      </c>
    </row>
    <row r="47" spans="1:12" x14ac:dyDescent="0.25">
      <c r="A47" s="2">
        <v>42140</v>
      </c>
      <c r="B47">
        <v>10</v>
      </c>
      <c r="C47">
        <v>1.8</v>
      </c>
      <c r="D47">
        <f t="shared" si="0"/>
        <v>14403</v>
      </c>
      <c r="E47">
        <f>IF(C47=0,ROUNDUP($AB$3*POWER(pogoda45[[#This Row],[temperatura_srednia]],1.5)*pogoda45[[#This Row],[stan_przed_dolaniem]],0),0)</f>
        <v>0</v>
      </c>
      <c r="F47">
        <f>pogoda45[[#This Row],[stan_przed_dolaniem]]-pogoda45[[#This Row],[ubytek]]</f>
        <v>14403</v>
      </c>
      <c r="G47">
        <f>IF(pogoda45[[#This Row],[opady]]*$AB$1+D47&gt;$AB$2,$AB$2-pogoda45[[#This Row],[stan_przed_dolaniem]],pogoda45[[#This Row],[opady]]*$AB$1)</f>
        <v>1260</v>
      </c>
      <c r="H47">
        <f>pogoda45[[#This Row],[stan_po_ubytku]]+pogoda45[[#This Row],[ile_pogoda_dolała]]</f>
        <v>15663</v>
      </c>
      <c r="I47" cm="1">
        <f t="array" ref="I47">_xlfn.IFS(OR(pogoda45[[#This Row],[temperatura_srednia]]&lt;=15,pogoda45[[#This Row],[opady]]&gt;0.61),0,pogoda45[[#This Row],[temperatura_srednia]]&gt;30,24000,pogoda45[[#This Row],[temperatura_srednia]]&gt;15,12000)</f>
        <v>0</v>
      </c>
      <c r="J47">
        <f>IF(pogoda45[[#This Row],[stan_po_dolaniu]]&lt;pogoda45[[#This Row],[ile_podlewamy]],$AB$2-pogoda45[[#This Row],[stan_po_dolaniu]],0)</f>
        <v>0</v>
      </c>
      <c r="K47">
        <f>pogoda45[[#This Row],[stan_po_dolaniu]]+pogoda45[[#This Row],[ile_dolać_do_podlania]]</f>
        <v>15663</v>
      </c>
      <c r="L47">
        <f>pogoda45[[#This Row],[stan_po_dolaniu_do_podlania]]-pogoda45[[#This Row],[ile_podlewamy]]</f>
        <v>15663</v>
      </c>
    </row>
    <row r="48" spans="1:12" x14ac:dyDescent="0.25">
      <c r="A48" s="2">
        <v>42141</v>
      </c>
      <c r="B48">
        <v>11</v>
      </c>
      <c r="C48">
        <v>2.8</v>
      </c>
      <c r="D48">
        <f t="shared" si="0"/>
        <v>15663</v>
      </c>
      <c r="E48">
        <f>IF(C48=0,ROUNDUP($AB$3*POWER(pogoda45[[#This Row],[temperatura_srednia]],1.5)*pogoda45[[#This Row],[stan_przed_dolaniem]],0),0)</f>
        <v>0</v>
      </c>
      <c r="F48">
        <f>pogoda45[[#This Row],[stan_przed_dolaniem]]-pogoda45[[#This Row],[ubytek]]</f>
        <v>15663</v>
      </c>
      <c r="G48">
        <f>IF(pogoda45[[#This Row],[opady]]*$AB$1+D48&gt;$AB$2,$AB$2-pogoda45[[#This Row],[stan_przed_dolaniem]],pogoda45[[#This Row],[opady]]*$AB$1)</f>
        <v>1959.9999999999998</v>
      </c>
      <c r="H48">
        <f>pogoda45[[#This Row],[stan_po_ubytku]]+pogoda45[[#This Row],[ile_pogoda_dolała]]</f>
        <v>17623</v>
      </c>
      <c r="I48" cm="1">
        <f t="array" ref="I48">_xlfn.IFS(OR(pogoda45[[#This Row],[temperatura_srednia]]&lt;=15,pogoda45[[#This Row],[opady]]&gt;0.61),0,pogoda45[[#This Row],[temperatura_srednia]]&gt;30,24000,pogoda45[[#This Row],[temperatura_srednia]]&gt;15,12000)</f>
        <v>0</v>
      </c>
      <c r="J48">
        <f>IF(pogoda45[[#This Row],[stan_po_dolaniu]]&lt;pogoda45[[#This Row],[ile_podlewamy]],$AB$2-pogoda45[[#This Row],[stan_po_dolaniu]],0)</f>
        <v>0</v>
      </c>
      <c r="K48">
        <f>pogoda45[[#This Row],[stan_po_dolaniu]]+pogoda45[[#This Row],[ile_dolać_do_podlania]]</f>
        <v>17623</v>
      </c>
      <c r="L48">
        <f>pogoda45[[#This Row],[stan_po_dolaniu_do_podlania]]-pogoda45[[#This Row],[ile_podlewamy]]</f>
        <v>17623</v>
      </c>
    </row>
    <row r="49" spans="1:12" x14ac:dyDescent="0.25">
      <c r="A49" s="2">
        <v>42142</v>
      </c>
      <c r="B49">
        <v>12</v>
      </c>
      <c r="C49">
        <v>1.9</v>
      </c>
      <c r="D49">
        <f t="shared" si="0"/>
        <v>17623</v>
      </c>
      <c r="E49">
        <f>IF(C49=0,ROUNDUP($AB$3*POWER(pogoda45[[#This Row],[temperatura_srednia]],1.5)*pogoda45[[#This Row],[stan_przed_dolaniem]],0),0)</f>
        <v>0</v>
      </c>
      <c r="F49">
        <f>pogoda45[[#This Row],[stan_przed_dolaniem]]-pogoda45[[#This Row],[ubytek]]</f>
        <v>17623</v>
      </c>
      <c r="G49">
        <f>IF(pogoda45[[#This Row],[opady]]*$AB$1+D49&gt;$AB$2,$AB$2-pogoda45[[#This Row],[stan_przed_dolaniem]],pogoda45[[#This Row],[opady]]*$AB$1)</f>
        <v>1330</v>
      </c>
      <c r="H49">
        <f>pogoda45[[#This Row],[stan_po_ubytku]]+pogoda45[[#This Row],[ile_pogoda_dolała]]</f>
        <v>18953</v>
      </c>
      <c r="I49" cm="1">
        <f t="array" ref="I49">_xlfn.IFS(OR(pogoda45[[#This Row],[temperatura_srednia]]&lt;=15,pogoda45[[#This Row],[opady]]&gt;0.61),0,pogoda45[[#This Row],[temperatura_srednia]]&gt;30,24000,pogoda45[[#This Row],[temperatura_srednia]]&gt;15,12000)</f>
        <v>0</v>
      </c>
      <c r="J49">
        <f>IF(pogoda45[[#This Row],[stan_po_dolaniu]]&lt;pogoda45[[#This Row],[ile_podlewamy]],$AB$2-pogoda45[[#This Row],[stan_po_dolaniu]],0)</f>
        <v>0</v>
      </c>
      <c r="K49">
        <f>pogoda45[[#This Row],[stan_po_dolaniu]]+pogoda45[[#This Row],[ile_dolać_do_podlania]]</f>
        <v>18953</v>
      </c>
      <c r="L49">
        <f>pogoda45[[#This Row],[stan_po_dolaniu_do_podlania]]-pogoda45[[#This Row],[ile_podlewamy]]</f>
        <v>18953</v>
      </c>
    </row>
    <row r="50" spans="1:12" x14ac:dyDescent="0.25">
      <c r="A50" s="2">
        <v>42143</v>
      </c>
      <c r="B50">
        <v>16</v>
      </c>
      <c r="C50">
        <v>2.2000000000000002</v>
      </c>
      <c r="D50">
        <f t="shared" si="0"/>
        <v>18953</v>
      </c>
      <c r="E50">
        <f>IF(C50=0,ROUNDUP($AB$3*POWER(pogoda45[[#This Row],[temperatura_srednia]],1.5)*pogoda45[[#This Row],[stan_przed_dolaniem]],0),0)</f>
        <v>0</v>
      </c>
      <c r="F50">
        <f>pogoda45[[#This Row],[stan_przed_dolaniem]]-pogoda45[[#This Row],[ubytek]]</f>
        <v>18953</v>
      </c>
      <c r="G50">
        <f>IF(pogoda45[[#This Row],[opady]]*$AB$1+D50&gt;$AB$2,$AB$2-pogoda45[[#This Row],[stan_przed_dolaniem]],pogoda45[[#This Row],[opady]]*$AB$1)</f>
        <v>1540.0000000000002</v>
      </c>
      <c r="H50">
        <f>pogoda45[[#This Row],[stan_po_ubytku]]+pogoda45[[#This Row],[ile_pogoda_dolała]]</f>
        <v>20493</v>
      </c>
      <c r="I50" cm="1">
        <f t="array" ref="I50">_xlfn.IFS(OR(pogoda45[[#This Row],[temperatura_srednia]]&lt;=15,pogoda45[[#This Row],[opady]]&gt;0.61),0,pogoda45[[#This Row],[temperatura_srednia]]&gt;30,24000,pogoda45[[#This Row],[temperatura_srednia]]&gt;15,12000)</f>
        <v>0</v>
      </c>
      <c r="J50">
        <f>IF(pogoda45[[#This Row],[stan_po_dolaniu]]&lt;pogoda45[[#This Row],[ile_podlewamy]],$AB$2-pogoda45[[#This Row],[stan_po_dolaniu]],0)</f>
        <v>0</v>
      </c>
      <c r="K50">
        <f>pogoda45[[#This Row],[stan_po_dolaniu]]+pogoda45[[#This Row],[ile_dolać_do_podlania]]</f>
        <v>20493</v>
      </c>
      <c r="L50">
        <f>pogoda45[[#This Row],[stan_po_dolaniu_do_podlania]]-pogoda45[[#This Row],[ile_podlewamy]]</f>
        <v>20493</v>
      </c>
    </row>
    <row r="51" spans="1:12" x14ac:dyDescent="0.25">
      <c r="A51" s="2">
        <v>42144</v>
      </c>
      <c r="B51">
        <v>13</v>
      </c>
      <c r="C51">
        <v>2.2999999999999998</v>
      </c>
      <c r="D51">
        <f t="shared" si="0"/>
        <v>20493</v>
      </c>
      <c r="E51">
        <f>IF(C51=0,ROUNDUP($AB$3*POWER(pogoda45[[#This Row],[temperatura_srednia]],1.5)*pogoda45[[#This Row],[stan_przed_dolaniem]],0),0)</f>
        <v>0</v>
      </c>
      <c r="F51">
        <f>pogoda45[[#This Row],[stan_przed_dolaniem]]-pogoda45[[#This Row],[ubytek]]</f>
        <v>20493</v>
      </c>
      <c r="G51">
        <f>IF(pogoda45[[#This Row],[opady]]*$AB$1+D51&gt;$AB$2,$AB$2-pogoda45[[#This Row],[stan_przed_dolaniem]],pogoda45[[#This Row],[opady]]*$AB$1)</f>
        <v>1609.9999999999998</v>
      </c>
      <c r="H51">
        <f>pogoda45[[#This Row],[stan_po_ubytku]]+pogoda45[[#This Row],[ile_pogoda_dolała]]</f>
        <v>22103</v>
      </c>
      <c r="I51" cm="1">
        <f t="array" ref="I51">_xlfn.IFS(OR(pogoda45[[#This Row],[temperatura_srednia]]&lt;=15,pogoda45[[#This Row],[opady]]&gt;0.61),0,pogoda45[[#This Row],[temperatura_srednia]]&gt;30,24000,pogoda45[[#This Row],[temperatura_srednia]]&gt;15,12000)</f>
        <v>0</v>
      </c>
      <c r="J51">
        <f>IF(pogoda45[[#This Row],[stan_po_dolaniu]]&lt;pogoda45[[#This Row],[ile_podlewamy]],$AB$2-pogoda45[[#This Row],[stan_po_dolaniu]],0)</f>
        <v>0</v>
      </c>
      <c r="K51">
        <f>pogoda45[[#This Row],[stan_po_dolaniu]]+pogoda45[[#This Row],[ile_dolać_do_podlania]]</f>
        <v>22103</v>
      </c>
      <c r="L51">
        <f>pogoda45[[#This Row],[stan_po_dolaniu_do_podlania]]-pogoda45[[#This Row],[ile_podlewamy]]</f>
        <v>22103</v>
      </c>
    </row>
    <row r="52" spans="1:12" x14ac:dyDescent="0.25">
      <c r="A52" s="2">
        <v>42145</v>
      </c>
      <c r="B52">
        <v>11</v>
      </c>
      <c r="C52">
        <v>5.4</v>
      </c>
      <c r="D52">
        <f t="shared" si="0"/>
        <v>22103</v>
      </c>
      <c r="E52">
        <f>IF(C52=0,ROUNDUP($AB$3*POWER(pogoda45[[#This Row],[temperatura_srednia]],1.5)*pogoda45[[#This Row],[stan_przed_dolaniem]],0),0)</f>
        <v>0</v>
      </c>
      <c r="F52">
        <f>pogoda45[[#This Row],[stan_przed_dolaniem]]-pogoda45[[#This Row],[ubytek]]</f>
        <v>22103</v>
      </c>
      <c r="G52">
        <f>IF(pogoda45[[#This Row],[opady]]*$AB$1+D52&gt;$AB$2,$AB$2-pogoda45[[#This Row],[stan_przed_dolaniem]],pogoda45[[#This Row],[opady]]*$AB$1)</f>
        <v>2897</v>
      </c>
      <c r="H52">
        <f>pogoda45[[#This Row],[stan_po_ubytku]]+pogoda45[[#This Row],[ile_pogoda_dolała]]</f>
        <v>25000</v>
      </c>
      <c r="I52" cm="1">
        <f t="array" ref="I52">_xlfn.IFS(OR(pogoda45[[#This Row],[temperatura_srednia]]&lt;=15,pogoda45[[#This Row],[opady]]&gt;0.61),0,pogoda45[[#This Row],[temperatura_srednia]]&gt;30,24000,pogoda45[[#This Row],[temperatura_srednia]]&gt;15,12000)</f>
        <v>0</v>
      </c>
      <c r="J52">
        <f>IF(pogoda45[[#This Row],[stan_po_dolaniu]]&lt;pogoda45[[#This Row],[ile_podlewamy]],$AB$2-pogoda45[[#This Row],[stan_po_dolaniu]],0)</f>
        <v>0</v>
      </c>
      <c r="K52">
        <f>pogoda45[[#This Row],[stan_po_dolaniu]]+pogoda45[[#This Row],[ile_dolać_do_podlania]]</f>
        <v>25000</v>
      </c>
      <c r="L52">
        <f>pogoda45[[#This Row],[stan_po_dolaniu_do_podlania]]-pogoda45[[#This Row],[ile_podlewamy]]</f>
        <v>25000</v>
      </c>
    </row>
    <row r="53" spans="1:12" x14ac:dyDescent="0.25">
      <c r="A53" s="2">
        <v>42146</v>
      </c>
      <c r="B53">
        <v>12</v>
      </c>
      <c r="C53">
        <v>5.5</v>
      </c>
      <c r="D53">
        <f t="shared" si="0"/>
        <v>25000</v>
      </c>
      <c r="E53">
        <f>IF(C53=0,ROUNDUP($AB$3*POWER(pogoda45[[#This Row],[temperatura_srednia]],1.5)*pogoda45[[#This Row],[stan_przed_dolaniem]],0),0)</f>
        <v>0</v>
      </c>
      <c r="F53">
        <f>pogoda45[[#This Row],[stan_przed_dolaniem]]-pogoda45[[#This Row],[ubytek]]</f>
        <v>25000</v>
      </c>
      <c r="G53">
        <f>IF(pogoda45[[#This Row],[opady]]*$AB$1+D53&gt;$AB$2,$AB$2-pogoda45[[#This Row],[stan_przed_dolaniem]],pogoda45[[#This Row],[opady]]*$AB$1)</f>
        <v>0</v>
      </c>
      <c r="H53">
        <f>pogoda45[[#This Row],[stan_po_ubytku]]+pogoda45[[#This Row],[ile_pogoda_dolała]]</f>
        <v>25000</v>
      </c>
      <c r="I53" cm="1">
        <f t="array" ref="I53">_xlfn.IFS(OR(pogoda45[[#This Row],[temperatura_srednia]]&lt;=15,pogoda45[[#This Row],[opady]]&gt;0.61),0,pogoda45[[#This Row],[temperatura_srednia]]&gt;30,24000,pogoda45[[#This Row],[temperatura_srednia]]&gt;15,12000)</f>
        <v>0</v>
      </c>
      <c r="J53">
        <f>IF(pogoda45[[#This Row],[stan_po_dolaniu]]&lt;pogoda45[[#This Row],[ile_podlewamy]],$AB$2-pogoda45[[#This Row],[stan_po_dolaniu]],0)</f>
        <v>0</v>
      </c>
      <c r="K53">
        <f>pogoda45[[#This Row],[stan_po_dolaniu]]+pogoda45[[#This Row],[ile_dolać_do_podlania]]</f>
        <v>25000</v>
      </c>
      <c r="L53">
        <f>pogoda45[[#This Row],[stan_po_dolaniu_do_podlania]]-pogoda45[[#This Row],[ile_podlewamy]]</f>
        <v>25000</v>
      </c>
    </row>
    <row r="54" spans="1:12" x14ac:dyDescent="0.25">
      <c r="A54" s="2">
        <v>42147</v>
      </c>
      <c r="B54">
        <v>12</v>
      </c>
      <c r="C54">
        <v>5.2</v>
      </c>
      <c r="D54">
        <f t="shared" si="0"/>
        <v>25000</v>
      </c>
      <c r="E54">
        <f>IF(C54=0,ROUNDUP($AB$3*POWER(pogoda45[[#This Row],[temperatura_srednia]],1.5)*pogoda45[[#This Row],[stan_przed_dolaniem]],0),0)</f>
        <v>0</v>
      </c>
      <c r="F54">
        <f>pogoda45[[#This Row],[stan_przed_dolaniem]]-pogoda45[[#This Row],[ubytek]]</f>
        <v>25000</v>
      </c>
      <c r="G54">
        <f>IF(pogoda45[[#This Row],[opady]]*$AB$1+D54&gt;$AB$2,$AB$2-pogoda45[[#This Row],[stan_przed_dolaniem]],pogoda45[[#This Row],[opady]]*$AB$1)</f>
        <v>0</v>
      </c>
      <c r="H54">
        <f>pogoda45[[#This Row],[stan_po_ubytku]]+pogoda45[[#This Row],[ile_pogoda_dolała]]</f>
        <v>25000</v>
      </c>
      <c r="I54" cm="1">
        <f t="array" ref="I54">_xlfn.IFS(OR(pogoda45[[#This Row],[temperatura_srednia]]&lt;=15,pogoda45[[#This Row],[opady]]&gt;0.61),0,pogoda45[[#This Row],[temperatura_srednia]]&gt;30,24000,pogoda45[[#This Row],[temperatura_srednia]]&gt;15,12000)</f>
        <v>0</v>
      </c>
      <c r="J54">
        <f>IF(pogoda45[[#This Row],[stan_po_dolaniu]]&lt;pogoda45[[#This Row],[ile_podlewamy]],$AB$2-pogoda45[[#This Row],[stan_po_dolaniu]],0)</f>
        <v>0</v>
      </c>
      <c r="K54">
        <f>pogoda45[[#This Row],[stan_po_dolaniu]]+pogoda45[[#This Row],[ile_dolać_do_podlania]]</f>
        <v>25000</v>
      </c>
      <c r="L54">
        <f>pogoda45[[#This Row],[stan_po_dolaniu_do_podlania]]-pogoda45[[#This Row],[ile_podlewamy]]</f>
        <v>25000</v>
      </c>
    </row>
    <row r="55" spans="1:12" x14ac:dyDescent="0.25">
      <c r="A55" s="2">
        <v>42148</v>
      </c>
      <c r="B55">
        <v>14</v>
      </c>
      <c r="C55">
        <v>3</v>
      </c>
      <c r="D55">
        <f t="shared" si="0"/>
        <v>25000</v>
      </c>
      <c r="E55">
        <f>IF(C55=0,ROUNDUP($AB$3*POWER(pogoda45[[#This Row],[temperatura_srednia]],1.5)*pogoda45[[#This Row],[stan_przed_dolaniem]],0),0)</f>
        <v>0</v>
      </c>
      <c r="F55">
        <f>pogoda45[[#This Row],[stan_przed_dolaniem]]-pogoda45[[#This Row],[ubytek]]</f>
        <v>25000</v>
      </c>
      <c r="G55">
        <f>IF(pogoda45[[#This Row],[opady]]*$AB$1+D55&gt;$AB$2,$AB$2-pogoda45[[#This Row],[stan_przed_dolaniem]],pogoda45[[#This Row],[opady]]*$AB$1)</f>
        <v>0</v>
      </c>
      <c r="H55">
        <f>pogoda45[[#This Row],[stan_po_ubytku]]+pogoda45[[#This Row],[ile_pogoda_dolała]]</f>
        <v>25000</v>
      </c>
      <c r="I55" cm="1">
        <f t="array" ref="I55">_xlfn.IFS(OR(pogoda45[[#This Row],[temperatura_srednia]]&lt;=15,pogoda45[[#This Row],[opady]]&gt;0.61),0,pogoda45[[#This Row],[temperatura_srednia]]&gt;30,24000,pogoda45[[#This Row],[temperatura_srednia]]&gt;15,12000)</f>
        <v>0</v>
      </c>
      <c r="J55">
        <f>IF(pogoda45[[#This Row],[stan_po_dolaniu]]&lt;pogoda45[[#This Row],[ile_podlewamy]],$AB$2-pogoda45[[#This Row],[stan_po_dolaniu]],0)</f>
        <v>0</v>
      </c>
      <c r="K55">
        <f>pogoda45[[#This Row],[stan_po_dolaniu]]+pogoda45[[#This Row],[ile_dolać_do_podlania]]</f>
        <v>25000</v>
      </c>
      <c r="L55">
        <f>pogoda45[[#This Row],[stan_po_dolaniu_do_podlania]]-pogoda45[[#This Row],[ile_podlewamy]]</f>
        <v>25000</v>
      </c>
    </row>
    <row r="56" spans="1:12" x14ac:dyDescent="0.25">
      <c r="A56" s="2">
        <v>42149</v>
      </c>
      <c r="B56">
        <v>15</v>
      </c>
      <c r="C56">
        <v>0</v>
      </c>
      <c r="D56">
        <f t="shared" si="0"/>
        <v>25000</v>
      </c>
      <c r="E56">
        <f>IF(C56=0,ROUNDUP($AB$3*POWER(pogoda45[[#This Row],[temperatura_srednia]],1.5)*pogoda45[[#This Row],[stan_przed_dolaniem]],0),0)</f>
        <v>436</v>
      </c>
      <c r="F56">
        <f>pogoda45[[#This Row],[stan_przed_dolaniem]]-pogoda45[[#This Row],[ubytek]]</f>
        <v>24564</v>
      </c>
      <c r="G56">
        <f>IF(pogoda45[[#This Row],[opady]]*$AB$1+D56&gt;$AB$2,$AB$2-pogoda45[[#This Row],[stan_przed_dolaniem]],pogoda45[[#This Row],[opady]]*$AB$1)</f>
        <v>0</v>
      </c>
      <c r="H56">
        <f>pogoda45[[#This Row],[stan_po_ubytku]]+pogoda45[[#This Row],[ile_pogoda_dolała]]</f>
        <v>24564</v>
      </c>
      <c r="I56" cm="1">
        <f t="array" ref="I56">_xlfn.IFS(OR(pogoda45[[#This Row],[temperatura_srednia]]&lt;=15,pogoda45[[#This Row],[opady]]&gt;0.61),0,pogoda45[[#This Row],[temperatura_srednia]]&gt;30,24000,pogoda45[[#This Row],[temperatura_srednia]]&gt;15,12000)</f>
        <v>0</v>
      </c>
      <c r="J56">
        <f>IF(pogoda45[[#This Row],[stan_po_dolaniu]]&lt;pogoda45[[#This Row],[ile_podlewamy]],$AB$2-pogoda45[[#This Row],[stan_po_dolaniu]],0)</f>
        <v>0</v>
      </c>
      <c r="K56">
        <f>pogoda45[[#This Row],[stan_po_dolaniu]]+pogoda45[[#This Row],[ile_dolać_do_podlania]]</f>
        <v>24564</v>
      </c>
      <c r="L56">
        <f>pogoda45[[#This Row],[stan_po_dolaniu_do_podlania]]-pogoda45[[#This Row],[ile_podlewamy]]</f>
        <v>24564</v>
      </c>
    </row>
    <row r="57" spans="1:12" x14ac:dyDescent="0.25">
      <c r="A57" s="2">
        <v>42150</v>
      </c>
      <c r="B57">
        <v>14</v>
      </c>
      <c r="C57">
        <v>0</v>
      </c>
      <c r="D57">
        <f t="shared" si="0"/>
        <v>24564</v>
      </c>
      <c r="E57">
        <f>IF(C57=0,ROUNDUP($AB$3*POWER(pogoda45[[#This Row],[temperatura_srednia]],1.5)*pogoda45[[#This Row],[stan_przed_dolaniem]],0),0)</f>
        <v>387</v>
      </c>
      <c r="F57">
        <f>pogoda45[[#This Row],[stan_przed_dolaniem]]-pogoda45[[#This Row],[ubytek]]</f>
        <v>24177</v>
      </c>
      <c r="G57">
        <f>IF(pogoda45[[#This Row],[opady]]*$AB$1+D57&gt;$AB$2,$AB$2-pogoda45[[#This Row],[stan_przed_dolaniem]],pogoda45[[#This Row],[opady]]*$AB$1)</f>
        <v>0</v>
      </c>
      <c r="H57">
        <f>pogoda45[[#This Row],[stan_po_ubytku]]+pogoda45[[#This Row],[ile_pogoda_dolała]]</f>
        <v>24177</v>
      </c>
      <c r="I57" cm="1">
        <f t="array" ref="I57">_xlfn.IFS(OR(pogoda45[[#This Row],[temperatura_srednia]]&lt;=15,pogoda45[[#This Row],[opady]]&gt;0.61),0,pogoda45[[#This Row],[temperatura_srednia]]&gt;30,24000,pogoda45[[#This Row],[temperatura_srednia]]&gt;15,12000)</f>
        <v>0</v>
      </c>
      <c r="J57">
        <f>IF(pogoda45[[#This Row],[stan_po_dolaniu]]&lt;pogoda45[[#This Row],[ile_podlewamy]],$AB$2-pogoda45[[#This Row],[stan_po_dolaniu]],0)</f>
        <v>0</v>
      </c>
      <c r="K57">
        <f>pogoda45[[#This Row],[stan_po_dolaniu]]+pogoda45[[#This Row],[ile_dolać_do_podlania]]</f>
        <v>24177</v>
      </c>
      <c r="L57">
        <f>pogoda45[[#This Row],[stan_po_dolaniu_do_podlania]]-pogoda45[[#This Row],[ile_podlewamy]]</f>
        <v>24177</v>
      </c>
    </row>
    <row r="58" spans="1:12" x14ac:dyDescent="0.25">
      <c r="A58" s="2">
        <v>42151</v>
      </c>
      <c r="B58">
        <v>10</v>
      </c>
      <c r="C58">
        <v>0</v>
      </c>
      <c r="D58">
        <f t="shared" si="0"/>
        <v>24177</v>
      </c>
      <c r="E58">
        <f>IF(C58=0,ROUNDUP($AB$3*POWER(pogoda45[[#This Row],[temperatura_srednia]],1.5)*pogoda45[[#This Row],[stan_przed_dolaniem]],0),0)</f>
        <v>230</v>
      </c>
      <c r="F58">
        <f>pogoda45[[#This Row],[stan_przed_dolaniem]]-pogoda45[[#This Row],[ubytek]]</f>
        <v>23947</v>
      </c>
      <c r="G58">
        <f>IF(pogoda45[[#This Row],[opady]]*$AB$1+D58&gt;$AB$2,$AB$2-pogoda45[[#This Row],[stan_przed_dolaniem]],pogoda45[[#This Row],[opady]]*$AB$1)</f>
        <v>0</v>
      </c>
      <c r="H58">
        <f>pogoda45[[#This Row],[stan_po_ubytku]]+pogoda45[[#This Row],[ile_pogoda_dolała]]</f>
        <v>23947</v>
      </c>
      <c r="I58" cm="1">
        <f t="array" ref="I58">_xlfn.IFS(OR(pogoda45[[#This Row],[temperatura_srednia]]&lt;=15,pogoda45[[#This Row],[opady]]&gt;0.61),0,pogoda45[[#This Row],[temperatura_srednia]]&gt;30,24000,pogoda45[[#This Row],[temperatura_srednia]]&gt;15,12000)</f>
        <v>0</v>
      </c>
      <c r="J58">
        <f>IF(pogoda45[[#This Row],[stan_po_dolaniu]]&lt;pogoda45[[#This Row],[ile_podlewamy]],$AB$2-pogoda45[[#This Row],[stan_po_dolaniu]],0)</f>
        <v>0</v>
      </c>
      <c r="K58">
        <f>pogoda45[[#This Row],[stan_po_dolaniu]]+pogoda45[[#This Row],[ile_dolać_do_podlania]]</f>
        <v>23947</v>
      </c>
      <c r="L58">
        <f>pogoda45[[#This Row],[stan_po_dolaniu_do_podlania]]-pogoda45[[#This Row],[ile_podlewamy]]</f>
        <v>23947</v>
      </c>
    </row>
    <row r="59" spans="1:12" x14ac:dyDescent="0.25">
      <c r="A59" s="2">
        <v>42152</v>
      </c>
      <c r="B59">
        <v>12</v>
      </c>
      <c r="C59">
        <v>0.1</v>
      </c>
      <c r="D59">
        <f t="shared" si="0"/>
        <v>23947</v>
      </c>
      <c r="E59">
        <f>IF(C59=0,ROUNDUP($AB$3*POWER(pogoda45[[#This Row],[temperatura_srednia]],1.5)*pogoda45[[#This Row],[stan_przed_dolaniem]],0),0)</f>
        <v>0</v>
      </c>
      <c r="F59">
        <f>pogoda45[[#This Row],[stan_przed_dolaniem]]-pogoda45[[#This Row],[ubytek]]</f>
        <v>23947</v>
      </c>
      <c r="G59">
        <f>IF(pogoda45[[#This Row],[opady]]*$AB$1+D59&gt;$AB$2,$AB$2-pogoda45[[#This Row],[stan_przed_dolaniem]],pogoda45[[#This Row],[opady]]*$AB$1)</f>
        <v>70</v>
      </c>
      <c r="H59">
        <f>pogoda45[[#This Row],[stan_po_ubytku]]+pogoda45[[#This Row],[ile_pogoda_dolała]]</f>
        <v>24017</v>
      </c>
      <c r="I59" cm="1">
        <f t="array" ref="I59">_xlfn.IFS(OR(pogoda45[[#This Row],[temperatura_srednia]]&lt;=15,pogoda45[[#This Row],[opady]]&gt;0.61),0,pogoda45[[#This Row],[temperatura_srednia]]&gt;30,24000,pogoda45[[#This Row],[temperatura_srednia]]&gt;15,12000)</f>
        <v>0</v>
      </c>
      <c r="J59">
        <f>IF(pogoda45[[#This Row],[stan_po_dolaniu]]&lt;pogoda45[[#This Row],[ile_podlewamy]],$AB$2-pogoda45[[#This Row],[stan_po_dolaniu]],0)</f>
        <v>0</v>
      </c>
      <c r="K59">
        <f>pogoda45[[#This Row],[stan_po_dolaniu]]+pogoda45[[#This Row],[ile_dolać_do_podlania]]</f>
        <v>24017</v>
      </c>
      <c r="L59">
        <f>pogoda45[[#This Row],[stan_po_dolaniu_do_podlania]]-pogoda45[[#This Row],[ile_podlewamy]]</f>
        <v>24017</v>
      </c>
    </row>
    <row r="60" spans="1:12" x14ac:dyDescent="0.25">
      <c r="A60" s="2">
        <v>42153</v>
      </c>
      <c r="B60">
        <v>14</v>
      </c>
      <c r="C60">
        <v>0</v>
      </c>
      <c r="D60">
        <f t="shared" si="0"/>
        <v>24017</v>
      </c>
      <c r="E60">
        <f>IF(C60=0,ROUNDUP($AB$3*POWER(pogoda45[[#This Row],[temperatura_srednia]],1.5)*pogoda45[[#This Row],[stan_przed_dolaniem]],0),0)</f>
        <v>378</v>
      </c>
      <c r="F60">
        <f>pogoda45[[#This Row],[stan_przed_dolaniem]]-pogoda45[[#This Row],[ubytek]]</f>
        <v>23639</v>
      </c>
      <c r="G60">
        <f>IF(pogoda45[[#This Row],[opady]]*$AB$1+D60&gt;$AB$2,$AB$2-pogoda45[[#This Row],[stan_przed_dolaniem]],pogoda45[[#This Row],[opady]]*$AB$1)</f>
        <v>0</v>
      </c>
      <c r="H60">
        <f>pogoda45[[#This Row],[stan_po_ubytku]]+pogoda45[[#This Row],[ile_pogoda_dolała]]</f>
        <v>23639</v>
      </c>
      <c r="I60" cm="1">
        <f t="array" ref="I60">_xlfn.IFS(OR(pogoda45[[#This Row],[temperatura_srednia]]&lt;=15,pogoda45[[#This Row],[opady]]&gt;0.61),0,pogoda45[[#This Row],[temperatura_srednia]]&gt;30,24000,pogoda45[[#This Row],[temperatura_srednia]]&gt;15,12000)</f>
        <v>0</v>
      </c>
      <c r="J60">
        <f>IF(pogoda45[[#This Row],[stan_po_dolaniu]]&lt;pogoda45[[#This Row],[ile_podlewamy]],$AB$2-pogoda45[[#This Row],[stan_po_dolaniu]],0)</f>
        <v>0</v>
      </c>
      <c r="K60">
        <f>pogoda45[[#This Row],[stan_po_dolaniu]]+pogoda45[[#This Row],[ile_dolać_do_podlania]]</f>
        <v>23639</v>
      </c>
      <c r="L60">
        <f>pogoda45[[#This Row],[stan_po_dolaniu_do_podlania]]-pogoda45[[#This Row],[ile_podlewamy]]</f>
        <v>23639</v>
      </c>
    </row>
    <row r="61" spans="1:12" x14ac:dyDescent="0.25">
      <c r="A61" s="2">
        <v>42154</v>
      </c>
      <c r="B61">
        <v>13</v>
      </c>
      <c r="C61">
        <v>0</v>
      </c>
      <c r="D61">
        <f t="shared" si="0"/>
        <v>23639</v>
      </c>
      <c r="E61">
        <f>IF(C61=0,ROUNDUP($AB$3*POWER(pogoda45[[#This Row],[temperatura_srednia]],1.5)*pogoda45[[#This Row],[stan_przed_dolaniem]],0),0)</f>
        <v>333</v>
      </c>
      <c r="F61">
        <f>pogoda45[[#This Row],[stan_przed_dolaniem]]-pogoda45[[#This Row],[ubytek]]</f>
        <v>23306</v>
      </c>
      <c r="G61">
        <f>IF(pogoda45[[#This Row],[opady]]*$AB$1+D61&gt;$AB$2,$AB$2-pogoda45[[#This Row],[stan_przed_dolaniem]],pogoda45[[#This Row],[opady]]*$AB$1)</f>
        <v>0</v>
      </c>
      <c r="H61">
        <f>pogoda45[[#This Row],[stan_po_ubytku]]+pogoda45[[#This Row],[ile_pogoda_dolała]]</f>
        <v>23306</v>
      </c>
      <c r="I61" cm="1">
        <f t="array" ref="I61">_xlfn.IFS(OR(pogoda45[[#This Row],[temperatura_srednia]]&lt;=15,pogoda45[[#This Row],[opady]]&gt;0.61),0,pogoda45[[#This Row],[temperatura_srednia]]&gt;30,24000,pogoda45[[#This Row],[temperatura_srednia]]&gt;15,12000)</f>
        <v>0</v>
      </c>
      <c r="J61">
        <f>IF(pogoda45[[#This Row],[stan_po_dolaniu]]&lt;pogoda45[[#This Row],[ile_podlewamy]],$AB$2-pogoda45[[#This Row],[stan_po_dolaniu]],0)</f>
        <v>0</v>
      </c>
      <c r="K61">
        <f>pogoda45[[#This Row],[stan_po_dolaniu]]+pogoda45[[#This Row],[ile_dolać_do_podlania]]</f>
        <v>23306</v>
      </c>
      <c r="L61">
        <f>pogoda45[[#This Row],[stan_po_dolaniu_do_podlania]]-pogoda45[[#This Row],[ile_podlewamy]]</f>
        <v>23306</v>
      </c>
    </row>
    <row r="62" spans="1:12" x14ac:dyDescent="0.25">
      <c r="A62" s="2">
        <v>42155</v>
      </c>
      <c r="B62">
        <v>12</v>
      </c>
      <c r="C62">
        <v>0</v>
      </c>
      <c r="D62">
        <f t="shared" si="0"/>
        <v>23306</v>
      </c>
      <c r="E62">
        <f>IF(C62=0,ROUNDUP($AB$3*POWER(pogoda45[[#This Row],[temperatura_srednia]],1.5)*pogoda45[[#This Row],[stan_przed_dolaniem]],0),0)</f>
        <v>291</v>
      </c>
      <c r="F62">
        <f>pogoda45[[#This Row],[stan_przed_dolaniem]]-pogoda45[[#This Row],[ubytek]]</f>
        <v>23015</v>
      </c>
      <c r="G62">
        <f>IF(pogoda45[[#This Row],[opady]]*$AB$1+D62&gt;$AB$2,$AB$2-pogoda45[[#This Row],[stan_przed_dolaniem]],pogoda45[[#This Row],[opady]]*$AB$1)</f>
        <v>0</v>
      </c>
      <c r="H62">
        <f>pogoda45[[#This Row],[stan_po_ubytku]]+pogoda45[[#This Row],[ile_pogoda_dolała]]</f>
        <v>23015</v>
      </c>
      <c r="I62" cm="1">
        <f t="array" ref="I62">_xlfn.IFS(OR(pogoda45[[#This Row],[temperatura_srednia]]&lt;=15,pogoda45[[#This Row],[opady]]&gt;0.61),0,pogoda45[[#This Row],[temperatura_srednia]]&gt;30,24000,pogoda45[[#This Row],[temperatura_srednia]]&gt;15,12000)</f>
        <v>0</v>
      </c>
      <c r="J62">
        <f>IF(pogoda45[[#This Row],[stan_po_dolaniu]]&lt;pogoda45[[#This Row],[ile_podlewamy]],$AB$2-pogoda45[[#This Row],[stan_po_dolaniu]],0)</f>
        <v>0</v>
      </c>
      <c r="K62">
        <f>pogoda45[[#This Row],[stan_po_dolaniu]]+pogoda45[[#This Row],[ile_dolać_do_podlania]]</f>
        <v>23015</v>
      </c>
      <c r="L62">
        <f>pogoda45[[#This Row],[stan_po_dolaniu_do_podlania]]-pogoda45[[#This Row],[ile_podlewamy]]</f>
        <v>23015</v>
      </c>
    </row>
    <row r="63" spans="1:12" x14ac:dyDescent="0.25">
      <c r="A63" s="2">
        <v>42156</v>
      </c>
      <c r="B63">
        <v>18</v>
      </c>
      <c r="C63">
        <v>4</v>
      </c>
      <c r="D63">
        <f t="shared" si="0"/>
        <v>23015</v>
      </c>
      <c r="E63">
        <f>IF(C63=0,ROUNDUP($AB$3*POWER(pogoda45[[#This Row],[temperatura_srednia]],1.5)*pogoda45[[#This Row],[stan_przed_dolaniem]],0),0)</f>
        <v>0</v>
      </c>
      <c r="F63">
        <f>pogoda45[[#This Row],[stan_przed_dolaniem]]-pogoda45[[#This Row],[ubytek]]</f>
        <v>23015</v>
      </c>
      <c r="G63">
        <f>IF(pogoda45[[#This Row],[opady]]*$AB$1+D63&gt;$AB$2,$AB$2-pogoda45[[#This Row],[stan_przed_dolaniem]],pogoda45[[#This Row],[opady]]*$AB$1)</f>
        <v>1985</v>
      </c>
      <c r="H63">
        <f>pogoda45[[#This Row],[stan_po_ubytku]]+pogoda45[[#This Row],[ile_pogoda_dolała]]</f>
        <v>25000</v>
      </c>
      <c r="I63" cm="1">
        <f t="array" ref="I63">_xlfn.IFS(OR(pogoda45[[#This Row],[temperatura_srednia]]&lt;=15,pogoda45[[#This Row],[opady]]&gt;0.61),0,pogoda45[[#This Row],[temperatura_srednia]]&gt;30,24000,pogoda45[[#This Row],[temperatura_srednia]]&gt;15,12000)</f>
        <v>0</v>
      </c>
      <c r="J63">
        <f>IF(pogoda45[[#This Row],[stan_po_dolaniu]]&lt;pogoda45[[#This Row],[ile_podlewamy]],$AB$2-pogoda45[[#This Row],[stan_po_dolaniu]],0)</f>
        <v>0</v>
      </c>
      <c r="K63">
        <f>pogoda45[[#This Row],[stan_po_dolaniu]]+pogoda45[[#This Row],[ile_dolać_do_podlania]]</f>
        <v>25000</v>
      </c>
      <c r="L63">
        <f>pogoda45[[#This Row],[stan_po_dolaniu_do_podlania]]-pogoda45[[#This Row],[ile_podlewamy]]</f>
        <v>25000</v>
      </c>
    </row>
    <row r="64" spans="1:12" x14ac:dyDescent="0.25">
      <c r="A64" s="2">
        <v>42157</v>
      </c>
      <c r="B64">
        <v>18</v>
      </c>
      <c r="C64">
        <v>3</v>
      </c>
      <c r="D64">
        <f t="shared" si="0"/>
        <v>25000</v>
      </c>
      <c r="E64">
        <f>IF(C64=0,ROUNDUP($AB$3*POWER(pogoda45[[#This Row],[temperatura_srednia]],1.5)*pogoda45[[#This Row],[stan_przed_dolaniem]],0),0)</f>
        <v>0</v>
      </c>
      <c r="F64">
        <f>pogoda45[[#This Row],[stan_przed_dolaniem]]-pogoda45[[#This Row],[ubytek]]</f>
        <v>25000</v>
      </c>
      <c r="G64">
        <f>IF(pogoda45[[#This Row],[opady]]*$AB$1+D64&gt;$AB$2,$AB$2-pogoda45[[#This Row],[stan_przed_dolaniem]],pogoda45[[#This Row],[opady]]*$AB$1)</f>
        <v>0</v>
      </c>
      <c r="H64">
        <f>pogoda45[[#This Row],[stan_po_ubytku]]+pogoda45[[#This Row],[ile_pogoda_dolała]]</f>
        <v>25000</v>
      </c>
      <c r="I64" cm="1">
        <f t="array" ref="I64">_xlfn.IFS(OR(pogoda45[[#This Row],[temperatura_srednia]]&lt;=15,pogoda45[[#This Row],[opady]]&gt;0.61),0,pogoda45[[#This Row],[temperatura_srednia]]&gt;30,24000,pogoda45[[#This Row],[temperatura_srednia]]&gt;15,12000)</f>
        <v>0</v>
      </c>
      <c r="J64">
        <f>IF(pogoda45[[#This Row],[stan_po_dolaniu]]&lt;pogoda45[[#This Row],[ile_podlewamy]],$AB$2-pogoda45[[#This Row],[stan_po_dolaniu]],0)</f>
        <v>0</v>
      </c>
      <c r="K64">
        <f>pogoda45[[#This Row],[stan_po_dolaniu]]+pogoda45[[#This Row],[ile_dolać_do_podlania]]</f>
        <v>25000</v>
      </c>
      <c r="L64">
        <f>pogoda45[[#This Row],[stan_po_dolaniu_do_podlania]]-pogoda45[[#This Row],[ile_podlewamy]]</f>
        <v>25000</v>
      </c>
    </row>
    <row r="65" spans="1:12" x14ac:dyDescent="0.25">
      <c r="A65" s="2">
        <v>42158</v>
      </c>
      <c r="B65">
        <v>22</v>
      </c>
      <c r="C65">
        <v>0</v>
      </c>
      <c r="D65">
        <f t="shared" si="0"/>
        <v>25000</v>
      </c>
      <c r="E65">
        <f>IF(C65=0,ROUNDUP($AB$3*POWER(pogoda45[[#This Row],[temperatura_srednia]],1.5)*pogoda45[[#This Row],[stan_przed_dolaniem]],0),0)</f>
        <v>774</v>
      </c>
      <c r="F65">
        <f>pogoda45[[#This Row],[stan_przed_dolaniem]]-pogoda45[[#This Row],[ubytek]]</f>
        <v>24226</v>
      </c>
      <c r="G65">
        <f>IF(pogoda45[[#This Row],[opady]]*$AB$1+D65&gt;$AB$2,$AB$2-pogoda45[[#This Row],[stan_przed_dolaniem]],pogoda45[[#This Row],[opady]]*$AB$1)</f>
        <v>0</v>
      </c>
      <c r="H65">
        <f>pogoda45[[#This Row],[stan_po_ubytku]]+pogoda45[[#This Row],[ile_pogoda_dolała]]</f>
        <v>24226</v>
      </c>
      <c r="I65" cm="1">
        <f t="array" ref="I65">_xlfn.IFS(OR(pogoda45[[#This Row],[temperatura_srednia]]&lt;=15,pogoda45[[#This Row],[opady]]&gt;0.61),0,pogoda45[[#This Row],[temperatura_srednia]]&gt;30,24000,pogoda45[[#This Row],[temperatura_srednia]]&gt;15,12000)</f>
        <v>12000</v>
      </c>
      <c r="J65">
        <f>IF(pogoda45[[#This Row],[stan_po_dolaniu]]&lt;pogoda45[[#This Row],[ile_podlewamy]],$AB$2-pogoda45[[#This Row],[stan_po_dolaniu]],0)</f>
        <v>0</v>
      </c>
      <c r="K65">
        <f>pogoda45[[#This Row],[stan_po_dolaniu]]+pogoda45[[#This Row],[ile_dolać_do_podlania]]</f>
        <v>24226</v>
      </c>
      <c r="L65">
        <f>pogoda45[[#This Row],[stan_po_dolaniu_do_podlania]]-pogoda45[[#This Row],[ile_podlewamy]]</f>
        <v>12226</v>
      </c>
    </row>
    <row r="66" spans="1:12" x14ac:dyDescent="0.25">
      <c r="A66" s="2">
        <v>42159</v>
      </c>
      <c r="B66">
        <v>15</v>
      </c>
      <c r="C66">
        <v>0</v>
      </c>
      <c r="D66">
        <f t="shared" si="0"/>
        <v>12226</v>
      </c>
      <c r="E66">
        <f>IF(C66=0,ROUNDUP($AB$3*POWER(pogoda45[[#This Row],[temperatura_srednia]],1.5)*pogoda45[[#This Row],[stan_przed_dolaniem]],0),0)</f>
        <v>214</v>
      </c>
      <c r="F66">
        <f>pogoda45[[#This Row],[stan_przed_dolaniem]]-pogoda45[[#This Row],[ubytek]]</f>
        <v>12012</v>
      </c>
      <c r="G66">
        <f>IF(pogoda45[[#This Row],[opady]]*$AB$1+D66&gt;$AB$2,$AB$2-pogoda45[[#This Row],[stan_przed_dolaniem]],pogoda45[[#This Row],[opady]]*$AB$1)</f>
        <v>0</v>
      </c>
      <c r="H66">
        <f>pogoda45[[#This Row],[stan_po_ubytku]]+pogoda45[[#This Row],[ile_pogoda_dolała]]</f>
        <v>12012</v>
      </c>
      <c r="I66" cm="1">
        <f t="array" ref="I66">_xlfn.IFS(OR(pogoda45[[#This Row],[temperatura_srednia]]&lt;=15,pogoda45[[#This Row],[opady]]&gt;0.61),0,pogoda45[[#This Row],[temperatura_srednia]]&gt;30,24000,pogoda45[[#This Row],[temperatura_srednia]]&gt;15,12000)</f>
        <v>0</v>
      </c>
      <c r="J66">
        <f>IF(pogoda45[[#This Row],[stan_po_dolaniu]]&lt;pogoda45[[#This Row],[ile_podlewamy]],$AB$2-pogoda45[[#This Row],[stan_po_dolaniu]],0)</f>
        <v>0</v>
      </c>
      <c r="K66">
        <f>pogoda45[[#This Row],[stan_po_dolaniu]]+pogoda45[[#This Row],[ile_dolać_do_podlania]]</f>
        <v>12012</v>
      </c>
      <c r="L66">
        <f>pogoda45[[#This Row],[stan_po_dolaniu_do_podlania]]-pogoda45[[#This Row],[ile_podlewamy]]</f>
        <v>12012</v>
      </c>
    </row>
    <row r="67" spans="1:12" x14ac:dyDescent="0.25">
      <c r="A67" s="2">
        <v>42160</v>
      </c>
      <c r="B67">
        <v>18</v>
      </c>
      <c r="C67">
        <v>0</v>
      </c>
      <c r="D67">
        <f t="shared" si="0"/>
        <v>12012</v>
      </c>
      <c r="E67">
        <f>IF(C67=0,ROUNDUP($AB$3*POWER(pogoda45[[#This Row],[temperatura_srednia]],1.5)*pogoda45[[#This Row],[stan_przed_dolaniem]],0),0)</f>
        <v>276</v>
      </c>
      <c r="F67">
        <f>pogoda45[[#This Row],[stan_przed_dolaniem]]-pogoda45[[#This Row],[ubytek]]</f>
        <v>11736</v>
      </c>
      <c r="G67">
        <f>IF(pogoda45[[#This Row],[opady]]*$AB$1+D67&gt;$AB$2,$AB$2-pogoda45[[#This Row],[stan_przed_dolaniem]],pogoda45[[#This Row],[opady]]*$AB$1)</f>
        <v>0</v>
      </c>
      <c r="H67">
        <f>pogoda45[[#This Row],[stan_po_ubytku]]+pogoda45[[#This Row],[ile_pogoda_dolała]]</f>
        <v>11736</v>
      </c>
      <c r="I67" cm="1">
        <f t="array" ref="I67">_xlfn.IFS(OR(pogoda45[[#This Row],[temperatura_srednia]]&lt;=15,pogoda45[[#This Row],[opady]]&gt;0.61),0,pogoda45[[#This Row],[temperatura_srednia]]&gt;30,24000,pogoda45[[#This Row],[temperatura_srednia]]&gt;15,12000)</f>
        <v>12000</v>
      </c>
      <c r="J67">
        <f>IF(pogoda45[[#This Row],[stan_po_dolaniu]]&lt;pogoda45[[#This Row],[ile_podlewamy]],$AB$2-pogoda45[[#This Row],[stan_po_dolaniu]],0)</f>
        <v>13264</v>
      </c>
      <c r="K67">
        <f>pogoda45[[#This Row],[stan_po_dolaniu]]+pogoda45[[#This Row],[ile_dolać_do_podlania]]</f>
        <v>25000</v>
      </c>
      <c r="L67">
        <f>pogoda45[[#This Row],[stan_po_dolaniu_do_podlania]]-pogoda45[[#This Row],[ile_podlewamy]]</f>
        <v>13000</v>
      </c>
    </row>
    <row r="68" spans="1:12" x14ac:dyDescent="0.25">
      <c r="A68" s="2">
        <v>42161</v>
      </c>
      <c r="B68">
        <v>22</v>
      </c>
      <c r="C68">
        <v>0</v>
      </c>
      <c r="D68">
        <f t="shared" ref="D68:D131" si="1">L67</f>
        <v>13000</v>
      </c>
      <c r="E68">
        <f>IF(C68=0,ROUNDUP($AB$3*POWER(pogoda45[[#This Row],[temperatura_srednia]],1.5)*pogoda45[[#This Row],[stan_przed_dolaniem]],0),0)</f>
        <v>403</v>
      </c>
      <c r="F68">
        <f>pogoda45[[#This Row],[stan_przed_dolaniem]]-pogoda45[[#This Row],[ubytek]]</f>
        <v>12597</v>
      </c>
      <c r="G68">
        <f>IF(pogoda45[[#This Row],[opady]]*$AB$1+D68&gt;$AB$2,$AB$2-pogoda45[[#This Row],[stan_przed_dolaniem]],pogoda45[[#This Row],[opady]]*$AB$1)</f>
        <v>0</v>
      </c>
      <c r="H68">
        <f>pogoda45[[#This Row],[stan_po_ubytku]]+pogoda45[[#This Row],[ile_pogoda_dolała]]</f>
        <v>12597</v>
      </c>
      <c r="I68" cm="1">
        <f t="array" ref="I68">_xlfn.IFS(OR(pogoda45[[#This Row],[temperatura_srednia]]&lt;=15,pogoda45[[#This Row],[opady]]&gt;0.61),0,pogoda45[[#This Row],[temperatura_srednia]]&gt;30,24000,pogoda45[[#This Row],[temperatura_srednia]]&gt;15,12000)</f>
        <v>12000</v>
      </c>
      <c r="J68">
        <f>IF(pogoda45[[#This Row],[stan_po_dolaniu]]&lt;pogoda45[[#This Row],[ile_podlewamy]],$AB$2-pogoda45[[#This Row],[stan_po_dolaniu]],0)</f>
        <v>0</v>
      </c>
      <c r="K68">
        <f>pogoda45[[#This Row],[stan_po_dolaniu]]+pogoda45[[#This Row],[ile_dolać_do_podlania]]</f>
        <v>12597</v>
      </c>
      <c r="L68">
        <f>pogoda45[[#This Row],[stan_po_dolaniu_do_podlania]]-pogoda45[[#This Row],[ile_podlewamy]]</f>
        <v>597</v>
      </c>
    </row>
    <row r="69" spans="1:12" x14ac:dyDescent="0.25">
      <c r="A69" s="2">
        <v>42162</v>
      </c>
      <c r="B69">
        <v>14</v>
      </c>
      <c r="C69">
        <v>8</v>
      </c>
      <c r="D69">
        <f t="shared" si="1"/>
        <v>597</v>
      </c>
      <c r="E69">
        <f>IF(C69=0,ROUNDUP($AB$3*POWER(pogoda45[[#This Row],[temperatura_srednia]],1.5)*pogoda45[[#This Row],[stan_przed_dolaniem]],0),0)</f>
        <v>0</v>
      </c>
      <c r="F69">
        <f>pogoda45[[#This Row],[stan_przed_dolaniem]]-pogoda45[[#This Row],[ubytek]]</f>
        <v>597</v>
      </c>
      <c r="G69">
        <f>IF(pogoda45[[#This Row],[opady]]*$AB$1+D69&gt;$AB$2,$AB$2-pogoda45[[#This Row],[stan_przed_dolaniem]],pogoda45[[#This Row],[opady]]*$AB$1)</f>
        <v>5600</v>
      </c>
      <c r="H69">
        <f>pogoda45[[#This Row],[stan_po_ubytku]]+pogoda45[[#This Row],[ile_pogoda_dolała]]</f>
        <v>6197</v>
      </c>
      <c r="I69" cm="1">
        <f t="array" ref="I69">_xlfn.IFS(OR(pogoda45[[#This Row],[temperatura_srednia]]&lt;=15,pogoda45[[#This Row],[opady]]&gt;0.61),0,pogoda45[[#This Row],[temperatura_srednia]]&gt;30,24000,pogoda45[[#This Row],[temperatura_srednia]]&gt;15,12000)</f>
        <v>0</v>
      </c>
      <c r="J69">
        <f>IF(pogoda45[[#This Row],[stan_po_dolaniu]]&lt;pogoda45[[#This Row],[ile_podlewamy]],$AB$2-pogoda45[[#This Row],[stan_po_dolaniu]],0)</f>
        <v>0</v>
      </c>
      <c r="K69">
        <f>pogoda45[[#This Row],[stan_po_dolaniu]]+pogoda45[[#This Row],[ile_dolać_do_podlania]]</f>
        <v>6197</v>
      </c>
      <c r="L69">
        <f>pogoda45[[#This Row],[stan_po_dolaniu_do_podlania]]-pogoda45[[#This Row],[ile_podlewamy]]</f>
        <v>6197</v>
      </c>
    </row>
    <row r="70" spans="1:12" x14ac:dyDescent="0.25">
      <c r="A70" s="2">
        <v>42163</v>
      </c>
      <c r="B70">
        <v>14</v>
      </c>
      <c r="C70">
        <v>5.9</v>
      </c>
      <c r="D70">
        <f t="shared" si="1"/>
        <v>6197</v>
      </c>
      <c r="E70">
        <f>IF(C70=0,ROUNDUP($AB$3*POWER(pogoda45[[#This Row],[temperatura_srednia]],1.5)*pogoda45[[#This Row],[stan_przed_dolaniem]],0),0)</f>
        <v>0</v>
      </c>
      <c r="F70">
        <f>pogoda45[[#This Row],[stan_przed_dolaniem]]-pogoda45[[#This Row],[ubytek]]</f>
        <v>6197</v>
      </c>
      <c r="G70">
        <f>IF(pogoda45[[#This Row],[opady]]*$AB$1+D70&gt;$AB$2,$AB$2-pogoda45[[#This Row],[stan_przed_dolaniem]],pogoda45[[#This Row],[opady]]*$AB$1)</f>
        <v>4130</v>
      </c>
      <c r="H70">
        <f>pogoda45[[#This Row],[stan_po_ubytku]]+pogoda45[[#This Row],[ile_pogoda_dolała]]</f>
        <v>10327</v>
      </c>
      <c r="I70" cm="1">
        <f t="array" ref="I70">_xlfn.IFS(OR(pogoda45[[#This Row],[temperatura_srednia]]&lt;=15,pogoda45[[#This Row],[opady]]&gt;0.61),0,pogoda45[[#This Row],[temperatura_srednia]]&gt;30,24000,pogoda45[[#This Row],[temperatura_srednia]]&gt;15,12000)</f>
        <v>0</v>
      </c>
      <c r="J70">
        <f>IF(pogoda45[[#This Row],[stan_po_dolaniu]]&lt;pogoda45[[#This Row],[ile_podlewamy]],$AB$2-pogoda45[[#This Row],[stan_po_dolaniu]],0)</f>
        <v>0</v>
      </c>
      <c r="K70">
        <f>pogoda45[[#This Row],[stan_po_dolaniu]]+pogoda45[[#This Row],[ile_dolać_do_podlania]]</f>
        <v>10327</v>
      </c>
      <c r="L70">
        <f>pogoda45[[#This Row],[stan_po_dolaniu_do_podlania]]-pogoda45[[#This Row],[ile_podlewamy]]</f>
        <v>10327</v>
      </c>
    </row>
    <row r="71" spans="1:12" x14ac:dyDescent="0.25">
      <c r="A71" s="2">
        <v>42164</v>
      </c>
      <c r="B71">
        <v>12</v>
      </c>
      <c r="C71">
        <v>5</v>
      </c>
      <c r="D71">
        <f t="shared" si="1"/>
        <v>10327</v>
      </c>
      <c r="E71">
        <f>IF(C71=0,ROUNDUP($AB$3*POWER(pogoda45[[#This Row],[temperatura_srednia]],1.5)*pogoda45[[#This Row],[stan_przed_dolaniem]],0),0)</f>
        <v>0</v>
      </c>
      <c r="F71">
        <f>pogoda45[[#This Row],[stan_przed_dolaniem]]-pogoda45[[#This Row],[ubytek]]</f>
        <v>10327</v>
      </c>
      <c r="G71">
        <f>IF(pogoda45[[#This Row],[opady]]*$AB$1+D71&gt;$AB$2,$AB$2-pogoda45[[#This Row],[stan_przed_dolaniem]],pogoda45[[#This Row],[opady]]*$AB$1)</f>
        <v>3500</v>
      </c>
      <c r="H71">
        <f>pogoda45[[#This Row],[stan_po_ubytku]]+pogoda45[[#This Row],[ile_pogoda_dolała]]</f>
        <v>13827</v>
      </c>
      <c r="I71" cm="1">
        <f t="array" ref="I71">_xlfn.IFS(OR(pogoda45[[#This Row],[temperatura_srednia]]&lt;=15,pogoda45[[#This Row],[opady]]&gt;0.61),0,pogoda45[[#This Row],[temperatura_srednia]]&gt;30,24000,pogoda45[[#This Row],[temperatura_srednia]]&gt;15,12000)</f>
        <v>0</v>
      </c>
      <c r="J71">
        <f>IF(pogoda45[[#This Row],[stan_po_dolaniu]]&lt;pogoda45[[#This Row],[ile_podlewamy]],$AB$2-pogoda45[[#This Row],[stan_po_dolaniu]],0)</f>
        <v>0</v>
      </c>
      <c r="K71">
        <f>pogoda45[[#This Row],[stan_po_dolaniu]]+pogoda45[[#This Row],[ile_dolać_do_podlania]]</f>
        <v>13827</v>
      </c>
      <c r="L71">
        <f>pogoda45[[#This Row],[stan_po_dolaniu_do_podlania]]-pogoda45[[#This Row],[ile_podlewamy]]</f>
        <v>13827</v>
      </c>
    </row>
    <row r="72" spans="1:12" x14ac:dyDescent="0.25">
      <c r="A72" s="2">
        <v>42165</v>
      </c>
      <c r="B72">
        <v>16</v>
      </c>
      <c r="C72">
        <v>0</v>
      </c>
      <c r="D72">
        <f t="shared" si="1"/>
        <v>13827</v>
      </c>
      <c r="E72">
        <f>IF(C72=0,ROUNDUP($AB$3*POWER(pogoda45[[#This Row],[temperatura_srednia]],1.5)*pogoda45[[#This Row],[stan_przed_dolaniem]],0),0)</f>
        <v>266</v>
      </c>
      <c r="F72">
        <f>pogoda45[[#This Row],[stan_przed_dolaniem]]-pogoda45[[#This Row],[ubytek]]</f>
        <v>13561</v>
      </c>
      <c r="G72">
        <f>IF(pogoda45[[#This Row],[opady]]*$AB$1+D72&gt;$AB$2,$AB$2-pogoda45[[#This Row],[stan_przed_dolaniem]],pogoda45[[#This Row],[opady]]*$AB$1)</f>
        <v>0</v>
      </c>
      <c r="H72">
        <f>pogoda45[[#This Row],[stan_po_ubytku]]+pogoda45[[#This Row],[ile_pogoda_dolała]]</f>
        <v>13561</v>
      </c>
      <c r="I72" cm="1">
        <f t="array" ref="I72">_xlfn.IFS(OR(pogoda45[[#This Row],[temperatura_srednia]]&lt;=15,pogoda45[[#This Row],[opady]]&gt;0.61),0,pogoda45[[#This Row],[temperatura_srednia]]&gt;30,24000,pogoda45[[#This Row],[temperatura_srednia]]&gt;15,12000)</f>
        <v>12000</v>
      </c>
      <c r="J72">
        <f>IF(pogoda45[[#This Row],[stan_po_dolaniu]]&lt;pogoda45[[#This Row],[ile_podlewamy]],$AB$2-pogoda45[[#This Row],[stan_po_dolaniu]],0)</f>
        <v>0</v>
      </c>
      <c r="K72">
        <f>pogoda45[[#This Row],[stan_po_dolaniu]]+pogoda45[[#This Row],[ile_dolać_do_podlania]]</f>
        <v>13561</v>
      </c>
      <c r="L72">
        <f>pogoda45[[#This Row],[stan_po_dolaniu_do_podlania]]-pogoda45[[#This Row],[ile_podlewamy]]</f>
        <v>1561</v>
      </c>
    </row>
    <row r="73" spans="1:12" x14ac:dyDescent="0.25">
      <c r="A73" s="2">
        <v>42166</v>
      </c>
      <c r="B73">
        <v>16</v>
      </c>
      <c r="C73">
        <v>0</v>
      </c>
      <c r="D73">
        <f t="shared" si="1"/>
        <v>1561</v>
      </c>
      <c r="E73">
        <f>IF(C73=0,ROUNDUP($AB$3*POWER(pogoda45[[#This Row],[temperatura_srednia]],1.5)*pogoda45[[#This Row],[stan_przed_dolaniem]],0),0)</f>
        <v>30</v>
      </c>
      <c r="F73">
        <f>pogoda45[[#This Row],[stan_przed_dolaniem]]-pogoda45[[#This Row],[ubytek]]</f>
        <v>1531</v>
      </c>
      <c r="G73">
        <f>IF(pogoda45[[#This Row],[opady]]*$AB$1+D73&gt;$AB$2,$AB$2-pogoda45[[#This Row],[stan_przed_dolaniem]],pogoda45[[#This Row],[opady]]*$AB$1)</f>
        <v>0</v>
      </c>
      <c r="H73">
        <f>pogoda45[[#This Row],[stan_po_ubytku]]+pogoda45[[#This Row],[ile_pogoda_dolała]]</f>
        <v>1531</v>
      </c>
      <c r="I73" cm="1">
        <f t="array" ref="I73">_xlfn.IFS(OR(pogoda45[[#This Row],[temperatura_srednia]]&lt;=15,pogoda45[[#This Row],[opady]]&gt;0.61),0,pogoda45[[#This Row],[temperatura_srednia]]&gt;30,24000,pogoda45[[#This Row],[temperatura_srednia]]&gt;15,12000)</f>
        <v>12000</v>
      </c>
      <c r="J73">
        <f>IF(pogoda45[[#This Row],[stan_po_dolaniu]]&lt;pogoda45[[#This Row],[ile_podlewamy]],$AB$2-pogoda45[[#This Row],[stan_po_dolaniu]],0)</f>
        <v>23469</v>
      </c>
      <c r="K73">
        <f>pogoda45[[#This Row],[stan_po_dolaniu]]+pogoda45[[#This Row],[ile_dolać_do_podlania]]</f>
        <v>25000</v>
      </c>
      <c r="L73">
        <f>pogoda45[[#This Row],[stan_po_dolaniu_do_podlania]]-pogoda45[[#This Row],[ile_podlewamy]]</f>
        <v>13000</v>
      </c>
    </row>
    <row r="74" spans="1:12" x14ac:dyDescent="0.25">
      <c r="A74" s="2">
        <v>42167</v>
      </c>
      <c r="B74">
        <v>18</v>
      </c>
      <c r="C74">
        <v>5</v>
      </c>
      <c r="D74">
        <f t="shared" si="1"/>
        <v>13000</v>
      </c>
      <c r="E74">
        <f>IF(C74=0,ROUNDUP($AB$3*POWER(pogoda45[[#This Row],[temperatura_srednia]],1.5)*pogoda45[[#This Row],[stan_przed_dolaniem]],0),0)</f>
        <v>0</v>
      </c>
      <c r="F74">
        <f>pogoda45[[#This Row],[stan_przed_dolaniem]]-pogoda45[[#This Row],[ubytek]]</f>
        <v>13000</v>
      </c>
      <c r="G74">
        <f>IF(pogoda45[[#This Row],[opady]]*$AB$1+D74&gt;$AB$2,$AB$2-pogoda45[[#This Row],[stan_przed_dolaniem]],pogoda45[[#This Row],[opady]]*$AB$1)</f>
        <v>3500</v>
      </c>
      <c r="H74">
        <f>pogoda45[[#This Row],[stan_po_ubytku]]+pogoda45[[#This Row],[ile_pogoda_dolała]]</f>
        <v>16500</v>
      </c>
      <c r="I74" cm="1">
        <f t="array" ref="I74">_xlfn.IFS(OR(pogoda45[[#This Row],[temperatura_srednia]]&lt;=15,pogoda45[[#This Row],[opady]]&gt;0.61),0,pogoda45[[#This Row],[temperatura_srednia]]&gt;30,24000,pogoda45[[#This Row],[temperatura_srednia]]&gt;15,12000)</f>
        <v>0</v>
      </c>
      <c r="J74">
        <f>IF(pogoda45[[#This Row],[stan_po_dolaniu]]&lt;pogoda45[[#This Row],[ile_podlewamy]],$AB$2-pogoda45[[#This Row],[stan_po_dolaniu]],0)</f>
        <v>0</v>
      </c>
      <c r="K74">
        <f>pogoda45[[#This Row],[stan_po_dolaniu]]+pogoda45[[#This Row],[ile_dolać_do_podlania]]</f>
        <v>16500</v>
      </c>
      <c r="L74">
        <f>pogoda45[[#This Row],[stan_po_dolaniu_do_podlania]]-pogoda45[[#This Row],[ile_podlewamy]]</f>
        <v>16500</v>
      </c>
    </row>
    <row r="75" spans="1:12" x14ac:dyDescent="0.25">
      <c r="A75" s="2">
        <v>42168</v>
      </c>
      <c r="B75">
        <v>19</v>
      </c>
      <c r="C75">
        <v>1</v>
      </c>
      <c r="D75">
        <f t="shared" si="1"/>
        <v>16500</v>
      </c>
      <c r="E75">
        <f>IF(C75=0,ROUNDUP($AB$3*POWER(pogoda45[[#This Row],[temperatura_srednia]],1.5)*pogoda45[[#This Row],[stan_przed_dolaniem]],0),0)</f>
        <v>0</v>
      </c>
      <c r="F75">
        <f>pogoda45[[#This Row],[stan_przed_dolaniem]]-pogoda45[[#This Row],[ubytek]]</f>
        <v>16500</v>
      </c>
      <c r="G75">
        <f>IF(pogoda45[[#This Row],[opady]]*$AB$1+D75&gt;$AB$2,$AB$2-pogoda45[[#This Row],[stan_przed_dolaniem]],pogoda45[[#This Row],[opady]]*$AB$1)</f>
        <v>700</v>
      </c>
      <c r="H75">
        <f>pogoda45[[#This Row],[stan_po_ubytku]]+pogoda45[[#This Row],[ile_pogoda_dolała]]</f>
        <v>17200</v>
      </c>
      <c r="I75" cm="1">
        <f t="array" ref="I75">_xlfn.IFS(OR(pogoda45[[#This Row],[temperatura_srednia]]&lt;=15,pogoda45[[#This Row],[opady]]&gt;0.61),0,pogoda45[[#This Row],[temperatura_srednia]]&gt;30,24000,pogoda45[[#This Row],[temperatura_srednia]]&gt;15,12000)</f>
        <v>0</v>
      </c>
      <c r="J75">
        <f>IF(pogoda45[[#This Row],[stan_po_dolaniu]]&lt;pogoda45[[#This Row],[ile_podlewamy]],$AB$2-pogoda45[[#This Row],[stan_po_dolaniu]],0)</f>
        <v>0</v>
      </c>
      <c r="K75">
        <f>pogoda45[[#This Row],[stan_po_dolaniu]]+pogoda45[[#This Row],[ile_dolać_do_podlania]]</f>
        <v>17200</v>
      </c>
      <c r="L75">
        <f>pogoda45[[#This Row],[stan_po_dolaniu_do_podlania]]-pogoda45[[#This Row],[ile_podlewamy]]</f>
        <v>17200</v>
      </c>
    </row>
    <row r="76" spans="1:12" x14ac:dyDescent="0.25">
      <c r="A76" s="2">
        <v>42169</v>
      </c>
      <c r="B76">
        <v>22</v>
      </c>
      <c r="C76">
        <v>0</v>
      </c>
      <c r="D76">
        <f t="shared" si="1"/>
        <v>17200</v>
      </c>
      <c r="E76">
        <f>IF(C76=0,ROUNDUP($AB$3*POWER(pogoda45[[#This Row],[temperatura_srednia]],1.5)*pogoda45[[#This Row],[stan_przed_dolaniem]],0),0)</f>
        <v>533</v>
      </c>
      <c r="F76">
        <f>pogoda45[[#This Row],[stan_przed_dolaniem]]-pogoda45[[#This Row],[ubytek]]</f>
        <v>16667</v>
      </c>
      <c r="G76">
        <f>IF(pogoda45[[#This Row],[opady]]*$AB$1+D76&gt;$AB$2,$AB$2-pogoda45[[#This Row],[stan_przed_dolaniem]],pogoda45[[#This Row],[opady]]*$AB$1)</f>
        <v>0</v>
      </c>
      <c r="H76">
        <f>pogoda45[[#This Row],[stan_po_ubytku]]+pogoda45[[#This Row],[ile_pogoda_dolała]]</f>
        <v>16667</v>
      </c>
      <c r="I76" cm="1">
        <f t="array" ref="I76">_xlfn.IFS(OR(pogoda45[[#This Row],[temperatura_srednia]]&lt;=15,pogoda45[[#This Row],[opady]]&gt;0.61),0,pogoda45[[#This Row],[temperatura_srednia]]&gt;30,24000,pogoda45[[#This Row],[temperatura_srednia]]&gt;15,12000)</f>
        <v>12000</v>
      </c>
      <c r="J76">
        <f>IF(pogoda45[[#This Row],[stan_po_dolaniu]]&lt;pogoda45[[#This Row],[ile_podlewamy]],$AB$2-pogoda45[[#This Row],[stan_po_dolaniu]],0)</f>
        <v>0</v>
      </c>
      <c r="K76">
        <f>pogoda45[[#This Row],[stan_po_dolaniu]]+pogoda45[[#This Row],[ile_dolać_do_podlania]]</f>
        <v>16667</v>
      </c>
      <c r="L76">
        <f>pogoda45[[#This Row],[stan_po_dolaniu_do_podlania]]-pogoda45[[#This Row],[ile_podlewamy]]</f>
        <v>4667</v>
      </c>
    </row>
    <row r="77" spans="1:12" x14ac:dyDescent="0.25">
      <c r="A77" s="2">
        <v>42170</v>
      </c>
      <c r="B77">
        <v>16</v>
      </c>
      <c r="C77">
        <v>0</v>
      </c>
      <c r="D77">
        <f t="shared" si="1"/>
        <v>4667</v>
      </c>
      <c r="E77">
        <f>IF(C77=0,ROUNDUP($AB$3*POWER(pogoda45[[#This Row],[temperatura_srednia]],1.5)*pogoda45[[#This Row],[stan_przed_dolaniem]],0),0)</f>
        <v>90</v>
      </c>
      <c r="F77">
        <f>pogoda45[[#This Row],[stan_przed_dolaniem]]-pogoda45[[#This Row],[ubytek]]</f>
        <v>4577</v>
      </c>
      <c r="G77">
        <f>IF(pogoda45[[#This Row],[opady]]*$AB$1+D77&gt;$AB$2,$AB$2-pogoda45[[#This Row],[stan_przed_dolaniem]],pogoda45[[#This Row],[opady]]*$AB$1)</f>
        <v>0</v>
      </c>
      <c r="H77">
        <f>pogoda45[[#This Row],[stan_po_ubytku]]+pogoda45[[#This Row],[ile_pogoda_dolała]]</f>
        <v>4577</v>
      </c>
      <c r="I77" cm="1">
        <f t="array" ref="I77">_xlfn.IFS(OR(pogoda45[[#This Row],[temperatura_srednia]]&lt;=15,pogoda45[[#This Row],[opady]]&gt;0.61),0,pogoda45[[#This Row],[temperatura_srednia]]&gt;30,24000,pogoda45[[#This Row],[temperatura_srednia]]&gt;15,12000)</f>
        <v>12000</v>
      </c>
      <c r="J77">
        <f>IF(pogoda45[[#This Row],[stan_po_dolaniu]]&lt;pogoda45[[#This Row],[ile_podlewamy]],$AB$2-pogoda45[[#This Row],[stan_po_dolaniu]],0)</f>
        <v>20423</v>
      </c>
      <c r="K77">
        <f>pogoda45[[#This Row],[stan_po_dolaniu]]+pogoda45[[#This Row],[ile_dolać_do_podlania]]</f>
        <v>25000</v>
      </c>
      <c r="L77">
        <f>pogoda45[[#This Row],[stan_po_dolaniu_do_podlania]]-pogoda45[[#This Row],[ile_podlewamy]]</f>
        <v>13000</v>
      </c>
    </row>
    <row r="78" spans="1:12" x14ac:dyDescent="0.25">
      <c r="A78" s="2">
        <v>42171</v>
      </c>
      <c r="B78">
        <v>12</v>
      </c>
      <c r="C78">
        <v>0</v>
      </c>
      <c r="D78">
        <f t="shared" si="1"/>
        <v>13000</v>
      </c>
      <c r="E78">
        <f>IF(C78=0,ROUNDUP($AB$3*POWER(pogoda45[[#This Row],[temperatura_srednia]],1.5)*pogoda45[[#This Row],[stan_przed_dolaniem]],0),0)</f>
        <v>163</v>
      </c>
      <c r="F78">
        <f>pogoda45[[#This Row],[stan_przed_dolaniem]]-pogoda45[[#This Row],[ubytek]]</f>
        <v>12837</v>
      </c>
      <c r="G78">
        <f>IF(pogoda45[[#This Row],[opady]]*$AB$1+D78&gt;$AB$2,$AB$2-pogoda45[[#This Row],[stan_przed_dolaniem]],pogoda45[[#This Row],[opady]]*$AB$1)</f>
        <v>0</v>
      </c>
      <c r="H78">
        <f>pogoda45[[#This Row],[stan_po_ubytku]]+pogoda45[[#This Row],[ile_pogoda_dolała]]</f>
        <v>12837</v>
      </c>
      <c r="I78" cm="1">
        <f t="array" ref="I78">_xlfn.IFS(OR(pogoda45[[#This Row],[temperatura_srednia]]&lt;=15,pogoda45[[#This Row],[opady]]&gt;0.61),0,pogoda45[[#This Row],[temperatura_srednia]]&gt;30,24000,pogoda45[[#This Row],[temperatura_srednia]]&gt;15,12000)</f>
        <v>0</v>
      </c>
      <c r="J78">
        <f>IF(pogoda45[[#This Row],[stan_po_dolaniu]]&lt;pogoda45[[#This Row],[ile_podlewamy]],$AB$2-pogoda45[[#This Row],[stan_po_dolaniu]],0)</f>
        <v>0</v>
      </c>
      <c r="K78">
        <f>pogoda45[[#This Row],[stan_po_dolaniu]]+pogoda45[[#This Row],[ile_dolać_do_podlania]]</f>
        <v>12837</v>
      </c>
      <c r="L78">
        <f>pogoda45[[#This Row],[stan_po_dolaniu_do_podlania]]-pogoda45[[#This Row],[ile_podlewamy]]</f>
        <v>12837</v>
      </c>
    </row>
    <row r="79" spans="1:12" x14ac:dyDescent="0.25">
      <c r="A79" s="2">
        <v>42172</v>
      </c>
      <c r="B79">
        <v>14</v>
      </c>
      <c r="C79">
        <v>0</v>
      </c>
      <c r="D79">
        <f t="shared" si="1"/>
        <v>12837</v>
      </c>
      <c r="E79">
        <f>IF(C79=0,ROUNDUP($AB$3*POWER(pogoda45[[#This Row],[temperatura_srednia]],1.5)*pogoda45[[#This Row],[stan_przed_dolaniem]],0),0)</f>
        <v>202</v>
      </c>
      <c r="F79">
        <f>pogoda45[[#This Row],[stan_przed_dolaniem]]-pogoda45[[#This Row],[ubytek]]</f>
        <v>12635</v>
      </c>
      <c r="G79">
        <f>IF(pogoda45[[#This Row],[opady]]*$AB$1+D79&gt;$AB$2,$AB$2-pogoda45[[#This Row],[stan_przed_dolaniem]],pogoda45[[#This Row],[opady]]*$AB$1)</f>
        <v>0</v>
      </c>
      <c r="H79">
        <f>pogoda45[[#This Row],[stan_po_ubytku]]+pogoda45[[#This Row],[ile_pogoda_dolała]]</f>
        <v>12635</v>
      </c>
      <c r="I79" cm="1">
        <f t="array" ref="I79">_xlfn.IFS(OR(pogoda45[[#This Row],[temperatura_srednia]]&lt;=15,pogoda45[[#This Row],[opady]]&gt;0.61),0,pogoda45[[#This Row],[temperatura_srednia]]&gt;30,24000,pogoda45[[#This Row],[temperatura_srednia]]&gt;15,12000)</f>
        <v>0</v>
      </c>
      <c r="J79">
        <f>IF(pogoda45[[#This Row],[stan_po_dolaniu]]&lt;pogoda45[[#This Row],[ile_podlewamy]],$AB$2-pogoda45[[#This Row],[stan_po_dolaniu]],0)</f>
        <v>0</v>
      </c>
      <c r="K79">
        <f>pogoda45[[#This Row],[stan_po_dolaniu]]+pogoda45[[#This Row],[ile_dolać_do_podlania]]</f>
        <v>12635</v>
      </c>
      <c r="L79">
        <f>pogoda45[[#This Row],[stan_po_dolaniu_do_podlania]]-pogoda45[[#This Row],[ile_podlewamy]]</f>
        <v>12635</v>
      </c>
    </row>
    <row r="80" spans="1:12" x14ac:dyDescent="0.25">
      <c r="A80" s="2">
        <v>42173</v>
      </c>
      <c r="B80">
        <v>16</v>
      </c>
      <c r="C80">
        <v>0.3</v>
      </c>
      <c r="D80">
        <f t="shared" si="1"/>
        <v>12635</v>
      </c>
      <c r="E80">
        <f>IF(C80=0,ROUNDUP($AB$3*POWER(pogoda45[[#This Row],[temperatura_srednia]],1.5)*pogoda45[[#This Row],[stan_przed_dolaniem]],0),0)</f>
        <v>0</v>
      </c>
      <c r="F80">
        <f>pogoda45[[#This Row],[stan_przed_dolaniem]]-pogoda45[[#This Row],[ubytek]]</f>
        <v>12635</v>
      </c>
      <c r="G80">
        <f>IF(pogoda45[[#This Row],[opady]]*$AB$1+D80&gt;$AB$2,$AB$2-pogoda45[[#This Row],[stan_przed_dolaniem]],pogoda45[[#This Row],[opady]]*$AB$1)</f>
        <v>210</v>
      </c>
      <c r="H80">
        <f>pogoda45[[#This Row],[stan_po_ubytku]]+pogoda45[[#This Row],[ile_pogoda_dolała]]</f>
        <v>12845</v>
      </c>
      <c r="I80" cm="1">
        <f t="array" ref="I80">_xlfn.IFS(OR(pogoda45[[#This Row],[temperatura_srednia]]&lt;=15,pogoda45[[#This Row],[opady]]&gt;0.61),0,pogoda45[[#This Row],[temperatura_srednia]]&gt;30,24000,pogoda45[[#This Row],[temperatura_srednia]]&gt;15,12000)</f>
        <v>12000</v>
      </c>
      <c r="J80">
        <f>IF(pogoda45[[#This Row],[stan_po_dolaniu]]&lt;pogoda45[[#This Row],[ile_podlewamy]],$AB$2-pogoda45[[#This Row],[stan_po_dolaniu]],0)</f>
        <v>0</v>
      </c>
      <c r="K80">
        <f>pogoda45[[#This Row],[stan_po_dolaniu]]+pogoda45[[#This Row],[ile_dolać_do_podlania]]</f>
        <v>12845</v>
      </c>
      <c r="L80">
        <f>pogoda45[[#This Row],[stan_po_dolaniu_do_podlania]]-pogoda45[[#This Row],[ile_podlewamy]]</f>
        <v>845</v>
      </c>
    </row>
    <row r="81" spans="1:12" x14ac:dyDescent="0.25">
      <c r="A81" s="2">
        <v>42174</v>
      </c>
      <c r="B81">
        <v>12</v>
      </c>
      <c r="C81">
        <v>3</v>
      </c>
      <c r="D81">
        <f t="shared" si="1"/>
        <v>845</v>
      </c>
      <c r="E81">
        <f>IF(C81=0,ROUNDUP($AB$3*POWER(pogoda45[[#This Row],[temperatura_srednia]],1.5)*pogoda45[[#This Row],[stan_przed_dolaniem]],0),0)</f>
        <v>0</v>
      </c>
      <c r="F81">
        <f>pogoda45[[#This Row],[stan_przed_dolaniem]]-pogoda45[[#This Row],[ubytek]]</f>
        <v>845</v>
      </c>
      <c r="G81">
        <f>IF(pogoda45[[#This Row],[opady]]*$AB$1+D81&gt;$AB$2,$AB$2-pogoda45[[#This Row],[stan_przed_dolaniem]],pogoda45[[#This Row],[opady]]*$AB$1)</f>
        <v>2100</v>
      </c>
      <c r="H81">
        <f>pogoda45[[#This Row],[stan_po_ubytku]]+pogoda45[[#This Row],[ile_pogoda_dolała]]</f>
        <v>2945</v>
      </c>
      <c r="I81" cm="1">
        <f t="array" ref="I81">_xlfn.IFS(OR(pogoda45[[#This Row],[temperatura_srednia]]&lt;=15,pogoda45[[#This Row],[opady]]&gt;0.61),0,pogoda45[[#This Row],[temperatura_srednia]]&gt;30,24000,pogoda45[[#This Row],[temperatura_srednia]]&gt;15,12000)</f>
        <v>0</v>
      </c>
      <c r="J81">
        <f>IF(pogoda45[[#This Row],[stan_po_dolaniu]]&lt;pogoda45[[#This Row],[ile_podlewamy]],$AB$2-pogoda45[[#This Row],[stan_po_dolaniu]],0)</f>
        <v>0</v>
      </c>
      <c r="K81">
        <f>pogoda45[[#This Row],[stan_po_dolaniu]]+pogoda45[[#This Row],[ile_dolać_do_podlania]]</f>
        <v>2945</v>
      </c>
      <c r="L81">
        <f>pogoda45[[#This Row],[stan_po_dolaniu_do_podlania]]-pogoda45[[#This Row],[ile_podlewamy]]</f>
        <v>2945</v>
      </c>
    </row>
    <row r="82" spans="1:12" x14ac:dyDescent="0.25">
      <c r="A82" s="2">
        <v>42175</v>
      </c>
      <c r="B82">
        <v>13</v>
      </c>
      <c r="C82">
        <v>2</v>
      </c>
      <c r="D82">
        <f t="shared" si="1"/>
        <v>2945</v>
      </c>
      <c r="E82">
        <f>IF(C82=0,ROUNDUP($AB$3*POWER(pogoda45[[#This Row],[temperatura_srednia]],1.5)*pogoda45[[#This Row],[stan_przed_dolaniem]],0),0)</f>
        <v>0</v>
      </c>
      <c r="F82">
        <f>pogoda45[[#This Row],[stan_przed_dolaniem]]-pogoda45[[#This Row],[ubytek]]</f>
        <v>2945</v>
      </c>
      <c r="G82">
        <f>IF(pogoda45[[#This Row],[opady]]*$AB$1+D82&gt;$AB$2,$AB$2-pogoda45[[#This Row],[stan_przed_dolaniem]],pogoda45[[#This Row],[opady]]*$AB$1)</f>
        <v>1400</v>
      </c>
      <c r="H82">
        <f>pogoda45[[#This Row],[stan_po_ubytku]]+pogoda45[[#This Row],[ile_pogoda_dolała]]</f>
        <v>4345</v>
      </c>
      <c r="I82" cm="1">
        <f t="array" ref="I82">_xlfn.IFS(OR(pogoda45[[#This Row],[temperatura_srednia]]&lt;=15,pogoda45[[#This Row],[opady]]&gt;0.61),0,pogoda45[[#This Row],[temperatura_srednia]]&gt;30,24000,pogoda45[[#This Row],[temperatura_srednia]]&gt;15,12000)</f>
        <v>0</v>
      </c>
      <c r="J82">
        <f>IF(pogoda45[[#This Row],[stan_po_dolaniu]]&lt;pogoda45[[#This Row],[ile_podlewamy]],$AB$2-pogoda45[[#This Row],[stan_po_dolaniu]],0)</f>
        <v>0</v>
      </c>
      <c r="K82">
        <f>pogoda45[[#This Row],[stan_po_dolaniu]]+pogoda45[[#This Row],[ile_dolać_do_podlania]]</f>
        <v>4345</v>
      </c>
      <c r="L82">
        <f>pogoda45[[#This Row],[stan_po_dolaniu_do_podlania]]-pogoda45[[#This Row],[ile_podlewamy]]</f>
        <v>4345</v>
      </c>
    </row>
    <row r="83" spans="1:12" x14ac:dyDescent="0.25">
      <c r="A83" s="2">
        <v>42176</v>
      </c>
      <c r="B83">
        <v>12</v>
      </c>
      <c r="C83">
        <v>0</v>
      </c>
      <c r="D83">
        <f t="shared" si="1"/>
        <v>4345</v>
      </c>
      <c r="E83">
        <f>IF(C83=0,ROUNDUP($AB$3*POWER(pogoda45[[#This Row],[temperatura_srednia]],1.5)*pogoda45[[#This Row],[stan_przed_dolaniem]],0),0)</f>
        <v>55</v>
      </c>
      <c r="F83">
        <f>pogoda45[[#This Row],[stan_przed_dolaniem]]-pogoda45[[#This Row],[ubytek]]</f>
        <v>4290</v>
      </c>
      <c r="G83">
        <f>IF(pogoda45[[#This Row],[opady]]*$AB$1+D83&gt;$AB$2,$AB$2-pogoda45[[#This Row],[stan_przed_dolaniem]],pogoda45[[#This Row],[opady]]*$AB$1)</f>
        <v>0</v>
      </c>
      <c r="H83">
        <f>pogoda45[[#This Row],[stan_po_ubytku]]+pogoda45[[#This Row],[ile_pogoda_dolała]]</f>
        <v>4290</v>
      </c>
      <c r="I83" cm="1">
        <f t="array" ref="I83">_xlfn.IFS(OR(pogoda45[[#This Row],[temperatura_srednia]]&lt;=15,pogoda45[[#This Row],[opady]]&gt;0.61),0,pogoda45[[#This Row],[temperatura_srednia]]&gt;30,24000,pogoda45[[#This Row],[temperatura_srednia]]&gt;15,12000)</f>
        <v>0</v>
      </c>
      <c r="J83">
        <f>IF(pogoda45[[#This Row],[stan_po_dolaniu]]&lt;pogoda45[[#This Row],[ile_podlewamy]],$AB$2-pogoda45[[#This Row],[stan_po_dolaniu]],0)</f>
        <v>0</v>
      </c>
      <c r="K83">
        <f>pogoda45[[#This Row],[stan_po_dolaniu]]+pogoda45[[#This Row],[ile_dolać_do_podlania]]</f>
        <v>4290</v>
      </c>
      <c r="L83">
        <f>pogoda45[[#This Row],[stan_po_dolaniu_do_podlania]]-pogoda45[[#This Row],[ile_podlewamy]]</f>
        <v>4290</v>
      </c>
    </row>
    <row r="84" spans="1:12" x14ac:dyDescent="0.25">
      <c r="A84" s="2">
        <v>42177</v>
      </c>
      <c r="B84">
        <v>12</v>
      </c>
      <c r="C84">
        <v>3</v>
      </c>
      <c r="D84">
        <f t="shared" si="1"/>
        <v>4290</v>
      </c>
      <c r="E84">
        <f>IF(C84=0,ROUNDUP($AB$3*POWER(pogoda45[[#This Row],[temperatura_srednia]],1.5)*pogoda45[[#This Row],[stan_przed_dolaniem]],0),0)</f>
        <v>0</v>
      </c>
      <c r="F84">
        <f>pogoda45[[#This Row],[stan_przed_dolaniem]]-pogoda45[[#This Row],[ubytek]]</f>
        <v>4290</v>
      </c>
      <c r="G84">
        <f>IF(pogoda45[[#This Row],[opady]]*$AB$1+D84&gt;$AB$2,$AB$2-pogoda45[[#This Row],[stan_przed_dolaniem]],pogoda45[[#This Row],[opady]]*$AB$1)</f>
        <v>2100</v>
      </c>
      <c r="H84">
        <f>pogoda45[[#This Row],[stan_po_ubytku]]+pogoda45[[#This Row],[ile_pogoda_dolała]]</f>
        <v>6390</v>
      </c>
      <c r="I84" cm="1">
        <f t="array" ref="I84">_xlfn.IFS(OR(pogoda45[[#This Row],[temperatura_srednia]]&lt;=15,pogoda45[[#This Row],[opady]]&gt;0.61),0,pogoda45[[#This Row],[temperatura_srednia]]&gt;30,24000,pogoda45[[#This Row],[temperatura_srednia]]&gt;15,12000)</f>
        <v>0</v>
      </c>
      <c r="J84">
        <f>IF(pogoda45[[#This Row],[stan_po_dolaniu]]&lt;pogoda45[[#This Row],[ile_podlewamy]],$AB$2-pogoda45[[#This Row],[stan_po_dolaniu]],0)</f>
        <v>0</v>
      </c>
      <c r="K84">
        <f>pogoda45[[#This Row],[stan_po_dolaniu]]+pogoda45[[#This Row],[ile_dolać_do_podlania]]</f>
        <v>6390</v>
      </c>
      <c r="L84">
        <f>pogoda45[[#This Row],[stan_po_dolaniu_do_podlania]]-pogoda45[[#This Row],[ile_podlewamy]]</f>
        <v>6390</v>
      </c>
    </row>
    <row r="85" spans="1:12" x14ac:dyDescent="0.25">
      <c r="A85" s="2">
        <v>42178</v>
      </c>
      <c r="B85">
        <v>13</v>
      </c>
      <c r="C85">
        <v>3</v>
      </c>
      <c r="D85">
        <f t="shared" si="1"/>
        <v>6390</v>
      </c>
      <c r="E85">
        <f>IF(C85=0,ROUNDUP($AB$3*POWER(pogoda45[[#This Row],[temperatura_srednia]],1.5)*pogoda45[[#This Row],[stan_przed_dolaniem]],0),0)</f>
        <v>0</v>
      </c>
      <c r="F85">
        <f>pogoda45[[#This Row],[stan_przed_dolaniem]]-pogoda45[[#This Row],[ubytek]]</f>
        <v>6390</v>
      </c>
      <c r="G85">
        <f>IF(pogoda45[[#This Row],[opady]]*$AB$1+D85&gt;$AB$2,$AB$2-pogoda45[[#This Row],[stan_przed_dolaniem]],pogoda45[[#This Row],[opady]]*$AB$1)</f>
        <v>2100</v>
      </c>
      <c r="H85">
        <f>pogoda45[[#This Row],[stan_po_ubytku]]+pogoda45[[#This Row],[ile_pogoda_dolała]]</f>
        <v>8490</v>
      </c>
      <c r="I85" cm="1">
        <f t="array" ref="I85">_xlfn.IFS(OR(pogoda45[[#This Row],[temperatura_srednia]]&lt;=15,pogoda45[[#This Row],[opady]]&gt;0.61),0,pogoda45[[#This Row],[temperatura_srednia]]&gt;30,24000,pogoda45[[#This Row],[temperatura_srednia]]&gt;15,12000)</f>
        <v>0</v>
      </c>
      <c r="J85">
        <f>IF(pogoda45[[#This Row],[stan_po_dolaniu]]&lt;pogoda45[[#This Row],[ile_podlewamy]],$AB$2-pogoda45[[#This Row],[stan_po_dolaniu]],0)</f>
        <v>0</v>
      </c>
      <c r="K85">
        <f>pogoda45[[#This Row],[stan_po_dolaniu]]+pogoda45[[#This Row],[ile_dolać_do_podlania]]</f>
        <v>8490</v>
      </c>
      <c r="L85">
        <f>pogoda45[[#This Row],[stan_po_dolaniu_do_podlania]]-pogoda45[[#This Row],[ile_podlewamy]]</f>
        <v>8490</v>
      </c>
    </row>
    <row r="86" spans="1:12" x14ac:dyDescent="0.25">
      <c r="A86" s="2">
        <v>42179</v>
      </c>
      <c r="B86">
        <v>12</v>
      </c>
      <c r="C86">
        <v>0</v>
      </c>
      <c r="D86">
        <f t="shared" si="1"/>
        <v>8490</v>
      </c>
      <c r="E86">
        <f>IF(C86=0,ROUNDUP($AB$3*POWER(pogoda45[[#This Row],[temperatura_srednia]],1.5)*pogoda45[[#This Row],[stan_przed_dolaniem]],0),0)</f>
        <v>106</v>
      </c>
      <c r="F86">
        <f>pogoda45[[#This Row],[stan_przed_dolaniem]]-pogoda45[[#This Row],[ubytek]]</f>
        <v>8384</v>
      </c>
      <c r="G86">
        <f>IF(pogoda45[[#This Row],[opady]]*$AB$1+D86&gt;$AB$2,$AB$2-pogoda45[[#This Row],[stan_przed_dolaniem]],pogoda45[[#This Row],[opady]]*$AB$1)</f>
        <v>0</v>
      </c>
      <c r="H86">
        <f>pogoda45[[#This Row],[stan_po_ubytku]]+pogoda45[[#This Row],[ile_pogoda_dolała]]</f>
        <v>8384</v>
      </c>
      <c r="I86" cm="1">
        <f t="array" ref="I86">_xlfn.IFS(OR(pogoda45[[#This Row],[temperatura_srednia]]&lt;=15,pogoda45[[#This Row],[opady]]&gt;0.61),0,pogoda45[[#This Row],[temperatura_srednia]]&gt;30,24000,pogoda45[[#This Row],[temperatura_srednia]]&gt;15,12000)</f>
        <v>0</v>
      </c>
      <c r="J86">
        <f>IF(pogoda45[[#This Row],[stan_po_dolaniu]]&lt;pogoda45[[#This Row],[ile_podlewamy]],$AB$2-pogoda45[[#This Row],[stan_po_dolaniu]],0)</f>
        <v>0</v>
      </c>
      <c r="K86">
        <f>pogoda45[[#This Row],[stan_po_dolaniu]]+pogoda45[[#This Row],[ile_dolać_do_podlania]]</f>
        <v>8384</v>
      </c>
      <c r="L86">
        <f>pogoda45[[#This Row],[stan_po_dolaniu_do_podlania]]-pogoda45[[#This Row],[ile_podlewamy]]</f>
        <v>8384</v>
      </c>
    </row>
    <row r="87" spans="1:12" x14ac:dyDescent="0.25">
      <c r="A87" s="2">
        <v>42180</v>
      </c>
      <c r="B87">
        <v>16</v>
      </c>
      <c r="C87">
        <v>0</v>
      </c>
      <c r="D87">
        <f t="shared" si="1"/>
        <v>8384</v>
      </c>
      <c r="E87">
        <f>IF(C87=0,ROUNDUP($AB$3*POWER(pogoda45[[#This Row],[temperatura_srednia]],1.5)*pogoda45[[#This Row],[stan_przed_dolaniem]],0),0)</f>
        <v>161</v>
      </c>
      <c r="F87">
        <f>pogoda45[[#This Row],[stan_przed_dolaniem]]-pogoda45[[#This Row],[ubytek]]</f>
        <v>8223</v>
      </c>
      <c r="G87">
        <f>IF(pogoda45[[#This Row],[opady]]*$AB$1+D87&gt;$AB$2,$AB$2-pogoda45[[#This Row],[stan_przed_dolaniem]],pogoda45[[#This Row],[opady]]*$AB$1)</f>
        <v>0</v>
      </c>
      <c r="H87">
        <f>pogoda45[[#This Row],[stan_po_ubytku]]+pogoda45[[#This Row],[ile_pogoda_dolała]]</f>
        <v>8223</v>
      </c>
      <c r="I87" cm="1">
        <f t="array" ref="I87">_xlfn.IFS(OR(pogoda45[[#This Row],[temperatura_srednia]]&lt;=15,pogoda45[[#This Row],[opady]]&gt;0.61),0,pogoda45[[#This Row],[temperatura_srednia]]&gt;30,24000,pogoda45[[#This Row],[temperatura_srednia]]&gt;15,12000)</f>
        <v>12000</v>
      </c>
      <c r="J87">
        <f>IF(pogoda45[[#This Row],[stan_po_dolaniu]]&lt;pogoda45[[#This Row],[ile_podlewamy]],$AB$2-pogoda45[[#This Row],[stan_po_dolaniu]],0)</f>
        <v>16777</v>
      </c>
      <c r="K87">
        <f>pogoda45[[#This Row],[stan_po_dolaniu]]+pogoda45[[#This Row],[ile_dolać_do_podlania]]</f>
        <v>25000</v>
      </c>
      <c r="L87">
        <f>pogoda45[[#This Row],[stan_po_dolaniu_do_podlania]]-pogoda45[[#This Row],[ile_podlewamy]]</f>
        <v>13000</v>
      </c>
    </row>
    <row r="88" spans="1:12" x14ac:dyDescent="0.25">
      <c r="A88" s="2">
        <v>42181</v>
      </c>
      <c r="B88">
        <v>16</v>
      </c>
      <c r="C88">
        <v>7</v>
      </c>
      <c r="D88">
        <f t="shared" si="1"/>
        <v>13000</v>
      </c>
      <c r="E88">
        <f>IF(C88=0,ROUNDUP($AB$3*POWER(pogoda45[[#This Row],[temperatura_srednia]],1.5)*pogoda45[[#This Row],[stan_przed_dolaniem]],0),0)</f>
        <v>0</v>
      </c>
      <c r="F88">
        <f>pogoda45[[#This Row],[stan_przed_dolaniem]]-pogoda45[[#This Row],[ubytek]]</f>
        <v>13000</v>
      </c>
      <c r="G88">
        <f>IF(pogoda45[[#This Row],[opady]]*$AB$1+D88&gt;$AB$2,$AB$2-pogoda45[[#This Row],[stan_przed_dolaniem]],pogoda45[[#This Row],[opady]]*$AB$1)</f>
        <v>4900</v>
      </c>
      <c r="H88">
        <f>pogoda45[[#This Row],[stan_po_ubytku]]+pogoda45[[#This Row],[ile_pogoda_dolała]]</f>
        <v>17900</v>
      </c>
      <c r="I88" cm="1">
        <f t="array" ref="I88">_xlfn.IFS(OR(pogoda45[[#This Row],[temperatura_srednia]]&lt;=15,pogoda45[[#This Row],[opady]]&gt;0.61),0,pogoda45[[#This Row],[temperatura_srednia]]&gt;30,24000,pogoda45[[#This Row],[temperatura_srednia]]&gt;15,12000)</f>
        <v>0</v>
      </c>
      <c r="J88">
        <f>IF(pogoda45[[#This Row],[stan_po_dolaniu]]&lt;pogoda45[[#This Row],[ile_podlewamy]],$AB$2-pogoda45[[#This Row],[stan_po_dolaniu]],0)</f>
        <v>0</v>
      </c>
      <c r="K88">
        <f>pogoda45[[#This Row],[stan_po_dolaniu]]+pogoda45[[#This Row],[ile_dolać_do_podlania]]</f>
        <v>17900</v>
      </c>
      <c r="L88">
        <f>pogoda45[[#This Row],[stan_po_dolaniu_do_podlania]]-pogoda45[[#This Row],[ile_podlewamy]]</f>
        <v>17900</v>
      </c>
    </row>
    <row r="89" spans="1:12" x14ac:dyDescent="0.25">
      <c r="A89" s="2">
        <v>42182</v>
      </c>
      <c r="B89">
        <v>18</v>
      </c>
      <c r="C89">
        <v>6</v>
      </c>
      <c r="D89">
        <f t="shared" si="1"/>
        <v>17900</v>
      </c>
      <c r="E89">
        <f>IF(C89=0,ROUNDUP($AB$3*POWER(pogoda45[[#This Row],[temperatura_srednia]],1.5)*pogoda45[[#This Row],[stan_przed_dolaniem]],0),0)</f>
        <v>0</v>
      </c>
      <c r="F89">
        <f>pogoda45[[#This Row],[stan_przed_dolaniem]]-pogoda45[[#This Row],[ubytek]]</f>
        <v>17900</v>
      </c>
      <c r="G89">
        <f>IF(pogoda45[[#This Row],[opady]]*$AB$1+D89&gt;$AB$2,$AB$2-pogoda45[[#This Row],[stan_przed_dolaniem]],pogoda45[[#This Row],[opady]]*$AB$1)</f>
        <v>4200</v>
      </c>
      <c r="H89">
        <f>pogoda45[[#This Row],[stan_po_ubytku]]+pogoda45[[#This Row],[ile_pogoda_dolała]]</f>
        <v>22100</v>
      </c>
      <c r="I89" cm="1">
        <f t="array" ref="I89">_xlfn.IFS(OR(pogoda45[[#This Row],[temperatura_srednia]]&lt;=15,pogoda45[[#This Row],[opady]]&gt;0.61),0,pogoda45[[#This Row],[temperatura_srednia]]&gt;30,24000,pogoda45[[#This Row],[temperatura_srednia]]&gt;15,12000)</f>
        <v>0</v>
      </c>
      <c r="J89">
        <f>IF(pogoda45[[#This Row],[stan_po_dolaniu]]&lt;pogoda45[[#This Row],[ile_podlewamy]],$AB$2-pogoda45[[#This Row],[stan_po_dolaniu]],0)</f>
        <v>0</v>
      </c>
      <c r="K89">
        <f>pogoda45[[#This Row],[stan_po_dolaniu]]+pogoda45[[#This Row],[ile_dolać_do_podlania]]</f>
        <v>22100</v>
      </c>
      <c r="L89">
        <f>pogoda45[[#This Row],[stan_po_dolaniu_do_podlania]]-pogoda45[[#This Row],[ile_podlewamy]]</f>
        <v>22100</v>
      </c>
    </row>
    <row r="90" spans="1:12" x14ac:dyDescent="0.25">
      <c r="A90" s="2">
        <v>42183</v>
      </c>
      <c r="B90">
        <v>16</v>
      </c>
      <c r="C90">
        <v>0</v>
      </c>
      <c r="D90">
        <f t="shared" si="1"/>
        <v>22100</v>
      </c>
      <c r="E90">
        <f>IF(C90=0,ROUNDUP($AB$3*POWER(pogoda45[[#This Row],[temperatura_srednia]],1.5)*pogoda45[[#This Row],[stan_przed_dolaniem]],0),0)</f>
        <v>425</v>
      </c>
      <c r="F90">
        <f>pogoda45[[#This Row],[stan_przed_dolaniem]]-pogoda45[[#This Row],[ubytek]]</f>
        <v>21675</v>
      </c>
      <c r="G90">
        <f>IF(pogoda45[[#This Row],[opady]]*$AB$1+D90&gt;$AB$2,$AB$2-pogoda45[[#This Row],[stan_przed_dolaniem]],pogoda45[[#This Row],[opady]]*$AB$1)</f>
        <v>0</v>
      </c>
      <c r="H90">
        <f>pogoda45[[#This Row],[stan_po_ubytku]]+pogoda45[[#This Row],[ile_pogoda_dolała]]</f>
        <v>21675</v>
      </c>
      <c r="I90" cm="1">
        <f t="array" ref="I90">_xlfn.IFS(OR(pogoda45[[#This Row],[temperatura_srednia]]&lt;=15,pogoda45[[#This Row],[opady]]&gt;0.61),0,pogoda45[[#This Row],[temperatura_srednia]]&gt;30,24000,pogoda45[[#This Row],[temperatura_srednia]]&gt;15,12000)</f>
        <v>12000</v>
      </c>
      <c r="J90">
        <f>IF(pogoda45[[#This Row],[stan_po_dolaniu]]&lt;pogoda45[[#This Row],[ile_podlewamy]],$AB$2-pogoda45[[#This Row],[stan_po_dolaniu]],0)</f>
        <v>0</v>
      </c>
      <c r="K90">
        <f>pogoda45[[#This Row],[stan_po_dolaniu]]+pogoda45[[#This Row],[ile_dolać_do_podlania]]</f>
        <v>21675</v>
      </c>
      <c r="L90">
        <f>pogoda45[[#This Row],[stan_po_dolaniu_do_podlania]]-pogoda45[[#This Row],[ile_podlewamy]]</f>
        <v>9675</v>
      </c>
    </row>
    <row r="91" spans="1:12" x14ac:dyDescent="0.25">
      <c r="A91" s="2">
        <v>42184</v>
      </c>
      <c r="B91">
        <v>16</v>
      </c>
      <c r="C91">
        <v>0</v>
      </c>
      <c r="D91">
        <f t="shared" si="1"/>
        <v>9675</v>
      </c>
      <c r="E91">
        <f>IF(C91=0,ROUNDUP($AB$3*POWER(pogoda45[[#This Row],[temperatura_srednia]],1.5)*pogoda45[[#This Row],[stan_przed_dolaniem]],0),0)</f>
        <v>186</v>
      </c>
      <c r="F91">
        <f>pogoda45[[#This Row],[stan_przed_dolaniem]]-pogoda45[[#This Row],[ubytek]]</f>
        <v>9489</v>
      </c>
      <c r="G91">
        <f>IF(pogoda45[[#This Row],[opady]]*$AB$1+D91&gt;$AB$2,$AB$2-pogoda45[[#This Row],[stan_przed_dolaniem]],pogoda45[[#This Row],[opady]]*$AB$1)</f>
        <v>0</v>
      </c>
      <c r="H91">
        <f>pogoda45[[#This Row],[stan_po_ubytku]]+pogoda45[[#This Row],[ile_pogoda_dolała]]</f>
        <v>9489</v>
      </c>
      <c r="I91" cm="1">
        <f t="array" ref="I91">_xlfn.IFS(OR(pogoda45[[#This Row],[temperatura_srednia]]&lt;=15,pogoda45[[#This Row],[opady]]&gt;0.61),0,pogoda45[[#This Row],[temperatura_srednia]]&gt;30,24000,pogoda45[[#This Row],[temperatura_srednia]]&gt;15,12000)</f>
        <v>12000</v>
      </c>
      <c r="J91">
        <f>IF(pogoda45[[#This Row],[stan_po_dolaniu]]&lt;pogoda45[[#This Row],[ile_podlewamy]],$AB$2-pogoda45[[#This Row],[stan_po_dolaniu]],0)</f>
        <v>15511</v>
      </c>
      <c r="K91">
        <f>pogoda45[[#This Row],[stan_po_dolaniu]]+pogoda45[[#This Row],[ile_dolać_do_podlania]]</f>
        <v>25000</v>
      </c>
      <c r="L91">
        <f>pogoda45[[#This Row],[stan_po_dolaniu_do_podlania]]-pogoda45[[#This Row],[ile_podlewamy]]</f>
        <v>13000</v>
      </c>
    </row>
    <row r="92" spans="1:12" x14ac:dyDescent="0.25">
      <c r="A92" s="2">
        <v>42185</v>
      </c>
      <c r="B92">
        <v>19</v>
      </c>
      <c r="C92">
        <v>0</v>
      </c>
      <c r="D92">
        <f t="shared" si="1"/>
        <v>13000</v>
      </c>
      <c r="E92">
        <f>IF(C92=0,ROUNDUP($AB$3*POWER(pogoda45[[#This Row],[temperatura_srednia]],1.5)*pogoda45[[#This Row],[stan_przed_dolaniem]],0),0)</f>
        <v>323</v>
      </c>
      <c r="F92">
        <f>pogoda45[[#This Row],[stan_przed_dolaniem]]-pogoda45[[#This Row],[ubytek]]</f>
        <v>12677</v>
      </c>
      <c r="G92">
        <f>IF(pogoda45[[#This Row],[opady]]*$AB$1+D92&gt;$AB$2,$AB$2-pogoda45[[#This Row],[stan_przed_dolaniem]],pogoda45[[#This Row],[opady]]*$AB$1)</f>
        <v>0</v>
      </c>
      <c r="H92">
        <f>pogoda45[[#This Row],[stan_po_ubytku]]+pogoda45[[#This Row],[ile_pogoda_dolała]]</f>
        <v>12677</v>
      </c>
      <c r="I92" cm="1">
        <f t="array" ref="I92">_xlfn.IFS(OR(pogoda45[[#This Row],[temperatura_srednia]]&lt;=15,pogoda45[[#This Row],[opady]]&gt;0.61),0,pogoda45[[#This Row],[temperatura_srednia]]&gt;30,24000,pogoda45[[#This Row],[temperatura_srednia]]&gt;15,12000)</f>
        <v>12000</v>
      </c>
      <c r="J92">
        <f>IF(pogoda45[[#This Row],[stan_po_dolaniu]]&lt;pogoda45[[#This Row],[ile_podlewamy]],$AB$2-pogoda45[[#This Row],[stan_po_dolaniu]],0)</f>
        <v>0</v>
      </c>
      <c r="K92">
        <f>pogoda45[[#This Row],[stan_po_dolaniu]]+pogoda45[[#This Row],[ile_dolać_do_podlania]]</f>
        <v>12677</v>
      </c>
      <c r="L92">
        <f>pogoda45[[#This Row],[stan_po_dolaniu_do_podlania]]-pogoda45[[#This Row],[ile_podlewamy]]</f>
        <v>677</v>
      </c>
    </row>
    <row r="93" spans="1:12" x14ac:dyDescent="0.25">
      <c r="A93" s="2">
        <v>42186</v>
      </c>
      <c r="B93">
        <v>18</v>
      </c>
      <c r="C93">
        <v>0</v>
      </c>
      <c r="D93">
        <f t="shared" si="1"/>
        <v>677</v>
      </c>
      <c r="E93">
        <f>IF(C93=0,ROUNDUP($AB$3*POWER(pogoda45[[#This Row],[temperatura_srednia]],1.5)*pogoda45[[#This Row],[stan_przed_dolaniem]],0),0)</f>
        <v>16</v>
      </c>
      <c r="F93">
        <f>pogoda45[[#This Row],[stan_przed_dolaniem]]-pogoda45[[#This Row],[ubytek]]</f>
        <v>661</v>
      </c>
      <c r="G93">
        <f>IF(pogoda45[[#This Row],[opady]]*$AB$1+D93&gt;$AB$2,$AB$2-pogoda45[[#This Row],[stan_przed_dolaniem]],pogoda45[[#This Row],[opady]]*$AB$1)</f>
        <v>0</v>
      </c>
      <c r="H93">
        <f>pogoda45[[#This Row],[stan_po_ubytku]]+pogoda45[[#This Row],[ile_pogoda_dolała]]</f>
        <v>661</v>
      </c>
      <c r="I93" cm="1">
        <f t="array" ref="I93">_xlfn.IFS(OR(pogoda45[[#This Row],[temperatura_srednia]]&lt;=15,pogoda45[[#This Row],[opady]]&gt;0.61),0,pogoda45[[#This Row],[temperatura_srednia]]&gt;30,24000,pogoda45[[#This Row],[temperatura_srednia]]&gt;15,12000)</f>
        <v>12000</v>
      </c>
      <c r="J93">
        <f>IF(pogoda45[[#This Row],[stan_po_dolaniu]]&lt;pogoda45[[#This Row],[ile_podlewamy]],$AB$2-pogoda45[[#This Row],[stan_po_dolaniu]],0)</f>
        <v>24339</v>
      </c>
      <c r="K93">
        <f>pogoda45[[#This Row],[stan_po_dolaniu]]+pogoda45[[#This Row],[ile_dolać_do_podlania]]</f>
        <v>25000</v>
      </c>
      <c r="L93">
        <f>pogoda45[[#This Row],[stan_po_dolaniu_do_podlania]]-pogoda45[[#This Row],[ile_podlewamy]]</f>
        <v>13000</v>
      </c>
    </row>
    <row r="94" spans="1:12" x14ac:dyDescent="0.25">
      <c r="A94" s="2">
        <v>42187</v>
      </c>
      <c r="B94">
        <v>20</v>
      </c>
      <c r="C94">
        <v>0</v>
      </c>
      <c r="D94">
        <f t="shared" si="1"/>
        <v>13000</v>
      </c>
      <c r="E94">
        <f>IF(C94=0,ROUNDUP($AB$3*POWER(pogoda45[[#This Row],[temperatura_srednia]],1.5)*pogoda45[[#This Row],[stan_przed_dolaniem]],0),0)</f>
        <v>349</v>
      </c>
      <c r="F94">
        <f>pogoda45[[#This Row],[stan_przed_dolaniem]]-pogoda45[[#This Row],[ubytek]]</f>
        <v>12651</v>
      </c>
      <c r="G94">
        <f>IF(pogoda45[[#This Row],[opady]]*$AB$1+D94&gt;$AB$2,$AB$2-pogoda45[[#This Row],[stan_przed_dolaniem]],pogoda45[[#This Row],[opady]]*$AB$1)</f>
        <v>0</v>
      </c>
      <c r="H94">
        <f>pogoda45[[#This Row],[stan_po_ubytku]]+pogoda45[[#This Row],[ile_pogoda_dolała]]</f>
        <v>12651</v>
      </c>
      <c r="I94" cm="1">
        <f t="array" ref="I94">_xlfn.IFS(OR(pogoda45[[#This Row],[temperatura_srednia]]&lt;=15,pogoda45[[#This Row],[opady]]&gt;0.61),0,pogoda45[[#This Row],[temperatura_srednia]]&gt;30,24000,pogoda45[[#This Row],[temperatura_srednia]]&gt;15,12000)</f>
        <v>12000</v>
      </c>
      <c r="J94">
        <f>IF(pogoda45[[#This Row],[stan_po_dolaniu]]&lt;pogoda45[[#This Row],[ile_podlewamy]],$AB$2-pogoda45[[#This Row],[stan_po_dolaniu]],0)</f>
        <v>0</v>
      </c>
      <c r="K94">
        <f>pogoda45[[#This Row],[stan_po_dolaniu]]+pogoda45[[#This Row],[ile_dolać_do_podlania]]</f>
        <v>12651</v>
      </c>
      <c r="L94">
        <f>pogoda45[[#This Row],[stan_po_dolaniu_do_podlania]]-pogoda45[[#This Row],[ile_podlewamy]]</f>
        <v>651</v>
      </c>
    </row>
    <row r="95" spans="1:12" x14ac:dyDescent="0.25">
      <c r="A95" s="2">
        <v>42188</v>
      </c>
      <c r="B95">
        <v>22</v>
      </c>
      <c r="C95">
        <v>0</v>
      </c>
      <c r="D95">
        <f t="shared" si="1"/>
        <v>651</v>
      </c>
      <c r="E95">
        <f>IF(C95=0,ROUNDUP($AB$3*POWER(pogoda45[[#This Row],[temperatura_srednia]],1.5)*pogoda45[[#This Row],[stan_przed_dolaniem]],0),0)</f>
        <v>21</v>
      </c>
      <c r="F95">
        <f>pogoda45[[#This Row],[stan_przed_dolaniem]]-pogoda45[[#This Row],[ubytek]]</f>
        <v>630</v>
      </c>
      <c r="G95">
        <f>IF(pogoda45[[#This Row],[opady]]*$AB$1+D95&gt;$AB$2,$AB$2-pogoda45[[#This Row],[stan_przed_dolaniem]],pogoda45[[#This Row],[opady]]*$AB$1)</f>
        <v>0</v>
      </c>
      <c r="H95">
        <f>pogoda45[[#This Row],[stan_po_ubytku]]+pogoda45[[#This Row],[ile_pogoda_dolała]]</f>
        <v>630</v>
      </c>
      <c r="I95" cm="1">
        <f t="array" ref="I95">_xlfn.IFS(OR(pogoda45[[#This Row],[temperatura_srednia]]&lt;=15,pogoda45[[#This Row],[opady]]&gt;0.61),0,pogoda45[[#This Row],[temperatura_srednia]]&gt;30,24000,pogoda45[[#This Row],[temperatura_srednia]]&gt;15,12000)</f>
        <v>12000</v>
      </c>
      <c r="J95">
        <f>IF(pogoda45[[#This Row],[stan_po_dolaniu]]&lt;pogoda45[[#This Row],[ile_podlewamy]],$AB$2-pogoda45[[#This Row],[stan_po_dolaniu]],0)</f>
        <v>24370</v>
      </c>
      <c r="K95">
        <f>pogoda45[[#This Row],[stan_po_dolaniu]]+pogoda45[[#This Row],[ile_dolać_do_podlania]]</f>
        <v>25000</v>
      </c>
      <c r="L95">
        <f>pogoda45[[#This Row],[stan_po_dolaniu_do_podlania]]-pogoda45[[#This Row],[ile_podlewamy]]</f>
        <v>13000</v>
      </c>
    </row>
    <row r="96" spans="1:12" x14ac:dyDescent="0.25">
      <c r="A96" s="2">
        <v>42189</v>
      </c>
      <c r="B96">
        <v>25</v>
      </c>
      <c r="C96">
        <v>0</v>
      </c>
      <c r="D96">
        <f t="shared" si="1"/>
        <v>13000</v>
      </c>
      <c r="E96">
        <f>IF(C96=0,ROUNDUP($AB$3*POWER(pogoda45[[#This Row],[temperatura_srednia]],1.5)*pogoda45[[#This Row],[stan_przed_dolaniem]],0),0)</f>
        <v>488</v>
      </c>
      <c r="F96">
        <f>pogoda45[[#This Row],[stan_przed_dolaniem]]-pogoda45[[#This Row],[ubytek]]</f>
        <v>12512</v>
      </c>
      <c r="G96">
        <f>IF(pogoda45[[#This Row],[opady]]*$AB$1+D96&gt;$AB$2,$AB$2-pogoda45[[#This Row],[stan_przed_dolaniem]],pogoda45[[#This Row],[opady]]*$AB$1)</f>
        <v>0</v>
      </c>
      <c r="H96">
        <f>pogoda45[[#This Row],[stan_po_ubytku]]+pogoda45[[#This Row],[ile_pogoda_dolała]]</f>
        <v>12512</v>
      </c>
      <c r="I96" cm="1">
        <f t="array" ref="I96">_xlfn.IFS(OR(pogoda45[[#This Row],[temperatura_srednia]]&lt;=15,pogoda45[[#This Row],[opady]]&gt;0.61),0,pogoda45[[#This Row],[temperatura_srednia]]&gt;30,24000,pogoda45[[#This Row],[temperatura_srednia]]&gt;15,12000)</f>
        <v>12000</v>
      </c>
      <c r="J96">
        <f>IF(pogoda45[[#This Row],[stan_po_dolaniu]]&lt;pogoda45[[#This Row],[ile_podlewamy]],$AB$2-pogoda45[[#This Row],[stan_po_dolaniu]],0)</f>
        <v>0</v>
      </c>
      <c r="K96">
        <f>pogoda45[[#This Row],[stan_po_dolaniu]]+pogoda45[[#This Row],[ile_dolać_do_podlania]]</f>
        <v>12512</v>
      </c>
      <c r="L96">
        <f>pogoda45[[#This Row],[stan_po_dolaniu_do_podlania]]-pogoda45[[#This Row],[ile_podlewamy]]</f>
        <v>512</v>
      </c>
    </row>
    <row r="97" spans="1:12" x14ac:dyDescent="0.25">
      <c r="A97" s="2">
        <v>42190</v>
      </c>
      <c r="B97">
        <v>26</v>
      </c>
      <c r="C97">
        <v>0</v>
      </c>
      <c r="D97">
        <f t="shared" si="1"/>
        <v>512</v>
      </c>
      <c r="E97">
        <f>IF(C97=0,ROUNDUP($AB$3*POWER(pogoda45[[#This Row],[temperatura_srednia]],1.5)*pogoda45[[#This Row],[stan_przed_dolaniem]],0),0)</f>
        <v>21</v>
      </c>
      <c r="F97">
        <f>pogoda45[[#This Row],[stan_przed_dolaniem]]-pogoda45[[#This Row],[ubytek]]</f>
        <v>491</v>
      </c>
      <c r="G97">
        <f>IF(pogoda45[[#This Row],[opady]]*$AB$1+D97&gt;$AB$2,$AB$2-pogoda45[[#This Row],[stan_przed_dolaniem]],pogoda45[[#This Row],[opady]]*$AB$1)</f>
        <v>0</v>
      </c>
      <c r="H97">
        <f>pogoda45[[#This Row],[stan_po_ubytku]]+pogoda45[[#This Row],[ile_pogoda_dolała]]</f>
        <v>491</v>
      </c>
      <c r="I97" cm="1">
        <f t="array" ref="I97">_xlfn.IFS(OR(pogoda45[[#This Row],[temperatura_srednia]]&lt;=15,pogoda45[[#This Row],[opady]]&gt;0.61),0,pogoda45[[#This Row],[temperatura_srednia]]&gt;30,24000,pogoda45[[#This Row],[temperatura_srednia]]&gt;15,12000)</f>
        <v>12000</v>
      </c>
      <c r="J97">
        <f>IF(pogoda45[[#This Row],[stan_po_dolaniu]]&lt;pogoda45[[#This Row],[ile_podlewamy]],$AB$2-pogoda45[[#This Row],[stan_po_dolaniu]],0)</f>
        <v>24509</v>
      </c>
      <c r="K97">
        <f>pogoda45[[#This Row],[stan_po_dolaniu]]+pogoda45[[#This Row],[ile_dolać_do_podlania]]</f>
        <v>25000</v>
      </c>
      <c r="L97">
        <f>pogoda45[[#This Row],[stan_po_dolaniu_do_podlania]]-pogoda45[[#This Row],[ile_podlewamy]]</f>
        <v>13000</v>
      </c>
    </row>
    <row r="98" spans="1:12" x14ac:dyDescent="0.25">
      <c r="A98" s="2">
        <v>42191</v>
      </c>
      <c r="B98">
        <v>22</v>
      </c>
      <c r="C98">
        <v>0</v>
      </c>
      <c r="D98">
        <f t="shared" si="1"/>
        <v>13000</v>
      </c>
      <c r="E98">
        <f>IF(C98=0,ROUNDUP($AB$3*POWER(pogoda45[[#This Row],[temperatura_srednia]],1.5)*pogoda45[[#This Row],[stan_przed_dolaniem]],0),0)</f>
        <v>403</v>
      </c>
      <c r="F98">
        <f>pogoda45[[#This Row],[stan_przed_dolaniem]]-pogoda45[[#This Row],[ubytek]]</f>
        <v>12597</v>
      </c>
      <c r="G98">
        <f>IF(pogoda45[[#This Row],[opady]]*$AB$1+D98&gt;$AB$2,$AB$2-pogoda45[[#This Row],[stan_przed_dolaniem]],pogoda45[[#This Row],[opady]]*$AB$1)</f>
        <v>0</v>
      </c>
      <c r="H98">
        <f>pogoda45[[#This Row],[stan_po_ubytku]]+pogoda45[[#This Row],[ile_pogoda_dolała]]</f>
        <v>12597</v>
      </c>
      <c r="I98" cm="1">
        <f t="array" ref="I98">_xlfn.IFS(OR(pogoda45[[#This Row],[temperatura_srednia]]&lt;=15,pogoda45[[#This Row],[opady]]&gt;0.61),0,pogoda45[[#This Row],[temperatura_srednia]]&gt;30,24000,pogoda45[[#This Row],[temperatura_srednia]]&gt;15,12000)</f>
        <v>12000</v>
      </c>
      <c r="J98">
        <f>IF(pogoda45[[#This Row],[stan_po_dolaniu]]&lt;pogoda45[[#This Row],[ile_podlewamy]],$AB$2-pogoda45[[#This Row],[stan_po_dolaniu]],0)</f>
        <v>0</v>
      </c>
      <c r="K98">
        <f>pogoda45[[#This Row],[stan_po_dolaniu]]+pogoda45[[#This Row],[ile_dolać_do_podlania]]</f>
        <v>12597</v>
      </c>
      <c r="L98">
        <f>pogoda45[[#This Row],[stan_po_dolaniu_do_podlania]]-pogoda45[[#This Row],[ile_podlewamy]]</f>
        <v>597</v>
      </c>
    </row>
    <row r="99" spans="1:12" x14ac:dyDescent="0.25">
      <c r="A99" s="2">
        <v>42192</v>
      </c>
      <c r="B99">
        <v>22</v>
      </c>
      <c r="C99">
        <v>18</v>
      </c>
      <c r="D99">
        <f t="shared" si="1"/>
        <v>597</v>
      </c>
      <c r="E99">
        <f>IF(C99=0,ROUNDUP($AB$3*POWER(pogoda45[[#This Row],[temperatura_srednia]],1.5)*pogoda45[[#This Row],[stan_przed_dolaniem]],0),0)</f>
        <v>0</v>
      </c>
      <c r="F99">
        <f>pogoda45[[#This Row],[stan_przed_dolaniem]]-pogoda45[[#This Row],[ubytek]]</f>
        <v>597</v>
      </c>
      <c r="G99">
        <f>IF(pogoda45[[#This Row],[opady]]*$AB$1+D99&gt;$AB$2,$AB$2-pogoda45[[#This Row],[stan_przed_dolaniem]],pogoda45[[#This Row],[opady]]*$AB$1)</f>
        <v>12600</v>
      </c>
      <c r="H99">
        <f>pogoda45[[#This Row],[stan_po_ubytku]]+pogoda45[[#This Row],[ile_pogoda_dolała]]</f>
        <v>13197</v>
      </c>
      <c r="I99" cm="1">
        <f t="array" ref="I99">_xlfn.IFS(OR(pogoda45[[#This Row],[temperatura_srednia]]&lt;=15,pogoda45[[#This Row],[opady]]&gt;0.61),0,pogoda45[[#This Row],[temperatura_srednia]]&gt;30,24000,pogoda45[[#This Row],[temperatura_srednia]]&gt;15,12000)</f>
        <v>0</v>
      </c>
      <c r="J99">
        <f>IF(pogoda45[[#This Row],[stan_po_dolaniu]]&lt;pogoda45[[#This Row],[ile_podlewamy]],$AB$2-pogoda45[[#This Row],[stan_po_dolaniu]],0)</f>
        <v>0</v>
      </c>
      <c r="K99">
        <f>pogoda45[[#This Row],[stan_po_dolaniu]]+pogoda45[[#This Row],[ile_dolać_do_podlania]]</f>
        <v>13197</v>
      </c>
      <c r="L99">
        <f>pogoda45[[#This Row],[stan_po_dolaniu_do_podlania]]-pogoda45[[#This Row],[ile_podlewamy]]</f>
        <v>13197</v>
      </c>
    </row>
    <row r="100" spans="1:12" x14ac:dyDescent="0.25">
      <c r="A100" s="2">
        <v>42193</v>
      </c>
      <c r="B100">
        <v>20</v>
      </c>
      <c r="C100">
        <v>3</v>
      </c>
      <c r="D100">
        <f t="shared" si="1"/>
        <v>13197</v>
      </c>
      <c r="E100">
        <f>IF(C100=0,ROUNDUP($AB$3*POWER(pogoda45[[#This Row],[temperatura_srednia]],1.5)*pogoda45[[#This Row],[stan_przed_dolaniem]],0),0)</f>
        <v>0</v>
      </c>
      <c r="F100">
        <f>pogoda45[[#This Row],[stan_przed_dolaniem]]-pogoda45[[#This Row],[ubytek]]</f>
        <v>13197</v>
      </c>
      <c r="G100">
        <f>IF(pogoda45[[#This Row],[opady]]*$AB$1+D100&gt;$AB$2,$AB$2-pogoda45[[#This Row],[stan_przed_dolaniem]],pogoda45[[#This Row],[opady]]*$AB$1)</f>
        <v>2100</v>
      </c>
      <c r="H100">
        <f>pogoda45[[#This Row],[stan_po_ubytku]]+pogoda45[[#This Row],[ile_pogoda_dolała]]</f>
        <v>15297</v>
      </c>
      <c r="I100" cm="1">
        <f t="array" ref="I100">_xlfn.IFS(OR(pogoda45[[#This Row],[temperatura_srednia]]&lt;=15,pogoda45[[#This Row],[opady]]&gt;0.61),0,pogoda45[[#This Row],[temperatura_srednia]]&gt;30,24000,pogoda45[[#This Row],[temperatura_srednia]]&gt;15,12000)</f>
        <v>0</v>
      </c>
      <c r="J100">
        <f>IF(pogoda45[[#This Row],[stan_po_dolaniu]]&lt;pogoda45[[#This Row],[ile_podlewamy]],$AB$2-pogoda45[[#This Row],[stan_po_dolaniu]],0)</f>
        <v>0</v>
      </c>
      <c r="K100">
        <f>pogoda45[[#This Row],[stan_po_dolaniu]]+pogoda45[[#This Row],[ile_dolać_do_podlania]]</f>
        <v>15297</v>
      </c>
      <c r="L100">
        <f>pogoda45[[#This Row],[stan_po_dolaniu_do_podlania]]-pogoda45[[#This Row],[ile_podlewamy]]</f>
        <v>15297</v>
      </c>
    </row>
    <row r="101" spans="1:12" x14ac:dyDescent="0.25">
      <c r="A101" s="2">
        <v>42194</v>
      </c>
      <c r="B101">
        <v>16</v>
      </c>
      <c r="C101">
        <v>0.2</v>
      </c>
      <c r="D101">
        <f t="shared" si="1"/>
        <v>15297</v>
      </c>
      <c r="E101">
        <f>IF(C101=0,ROUNDUP($AB$3*POWER(pogoda45[[#This Row],[temperatura_srednia]],1.5)*pogoda45[[#This Row],[stan_przed_dolaniem]],0),0)</f>
        <v>0</v>
      </c>
      <c r="F101">
        <f>pogoda45[[#This Row],[stan_przed_dolaniem]]-pogoda45[[#This Row],[ubytek]]</f>
        <v>15297</v>
      </c>
      <c r="G101">
        <f>IF(pogoda45[[#This Row],[opady]]*$AB$1+D101&gt;$AB$2,$AB$2-pogoda45[[#This Row],[stan_przed_dolaniem]],pogoda45[[#This Row],[opady]]*$AB$1)</f>
        <v>140</v>
      </c>
      <c r="H101">
        <f>pogoda45[[#This Row],[stan_po_ubytku]]+pogoda45[[#This Row],[ile_pogoda_dolała]]</f>
        <v>15437</v>
      </c>
      <c r="I101" cm="1">
        <f t="array" ref="I101">_xlfn.IFS(OR(pogoda45[[#This Row],[temperatura_srednia]]&lt;=15,pogoda45[[#This Row],[opady]]&gt;0.61),0,pogoda45[[#This Row],[temperatura_srednia]]&gt;30,24000,pogoda45[[#This Row],[temperatura_srednia]]&gt;15,12000)</f>
        <v>12000</v>
      </c>
      <c r="J101">
        <f>IF(pogoda45[[#This Row],[stan_po_dolaniu]]&lt;pogoda45[[#This Row],[ile_podlewamy]],$AB$2-pogoda45[[#This Row],[stan_po_dolaniu]],0)</f>
        <v>0</v>
      </c>
      <c r="K101">
        <f>pogoda45[[#This Row],[stan_po_dolaniu]]+pogoda45[[#This Row],[ile_dolać_do_podlania]]</f>
        <v>15437</v>
      </c>
      <c r="L101">
        <f>pogoda45[[#This Row],[stan_po_dolaniu_do_podlania]]-pogoda45[[#This Row],[ile_podlewamy]]</f>
        <v>3437</v>
      </c>
    </row>
    <row r="102" spans="1:12" x14ac:dyDescent="0.25">
      <c r="A102" s="2">
        <v>42195</v>
      </c>
      <c r="B102">
        <v>13</v>
      </c>
      <c r="C102">
        <v>12.2</v>
      </c>
      <c r="D102">
        <f t="shared" si="1"/>
        <v>3437</v>
      </c>
      <c r="E102">
        <f>IF(C102=0,ROUNDUP($AB$3*POWER(pogoda45[[#This Row],[temperatura_srednia]],1.5)*pogoda45[[#This Row],[stan_przed_dolaniem]],0),0)</f>
        <v>0</v>
      </c>
      <c r="F102">
        <f>pogoda45[[#This Row],[stan_przed_dolaniem]]-pogoda45[[#This Row],[ubytek]]</f>
        <v>3437</v>
      </c>
      <c r="G102">
        <f>IF(pogoda45[[#This Row],[opady]]*$AB$1+D102&gt;$AB$2,$AB$2-pogoda45[[#This Row],[stan_przed_dolaniem]],pogoda45[[#This Row],[opady]]*$AB$1)</f>
        <v>8540</v>
      </c>
      <c r="H102">
        <f>pogoda45[[#This Row],[stan_po_ubytku]]+pogoda45[[#This Row],[ile_pogoda_dolała]]</f>
        <v>11977</v>
      </c>
      <c r="I102" cm="1">
        <f t="array" ref="I102">_xlfn.IFS(OR(pogoda45[[#This Row],[temperatura_srednia]]&lt;=15,pogoda45[[#This Row],[opady]]&gt;0.61),0,pogoda45[[#This Row],[temperatura_srednia]]&gt;30,24000,pogoda45[[#This Row],[temperatura_srednia]]&gt;15,12000)</f>
        <v>0</v>
      </c>
      <c r="J102">
        <f>IF(pogoda45[[#This Row],[stan_po_dolaniu]]&lt;pogoda45[[#This Row],[ile_podlewamy]],$AB$2-pogoda45[[#This Row],[stan_po_dolaniu]],0)</f>
        <v>0</v>
      </c>
      <c r="K102">
        <f>pogoda45[[#This Row],[stan_po_dolaniu]]+pogoda45[[#This Row],[ile_dolać_do_podlania]]</f>
        <v>11977</v>
      </c>
      <c r="L102">
        <f>pogoda45[[#This Row],[stan_po_dolaniu_do_podlania]]-pogoda45[[#This Row],[ile_podlewamy]]</f>
        <v>11977</v>
      </c>
    </row>
    <row r="103" spans="1:12" x14ac:dyDescent="0.25">
      <c r="A103" s="2">
        <v>42196</v>
      </c>
      <c r="B103">
        <v>16</v>
      </c>
      <c r="C103">
        <v>0</v>
      </c>
      <c r="D103">
        <f t="shared" si="1"/>
        <v>11977</v>
      </c>
      <c r="E103">
        <f>IF(C103=0,ROUNDUP($AB$3*POWER(pogoda45[[#This Row],[temperatura_srednia]],1.5)*pogoda45[[#This Row],[stan_przed_dolaniem]],0),0)</f>
        <v>230</v>
      </c>
      <c r="F103">
        <f>pogoda45[[#This Row],[stan_przed_dolaniem]]-pogoda45[[#This Row],[ubytek]]</f>
        <v>11747</v>
      </c>
      <c r="G103">
        <f>IF(pogoda45[[#This Row],[opady]]*$AB$1+D103&gt;$AB$2,$AB$2-pogoda45[[#This Row],[stan_przed_dolaniem]],pogoda45[[#This Row],[opady]]*$AB$1)</f>
        <v>0</v>
      </c>
      <c r="H103">
        <f>pogoda45[[#This Row],[stan_po_ubytku]]+pogoda45[[#This Row],[ile_pogoda_dolała]]</f>
        <v>11747</v>
      </c>
      <c r="I103" cm="1">
        <f t="array" ref="I103">_xlfn.IFS(OR(pogoda45[[#This Row],[temperatura_srednia]]&lt;=15,pogoda45[[#This Row],[opady]]&gt;0.61),0,pogoda45[[#This Row],[temperatura_srednia]]&gt;30,24000,pogoda45[[#This Row],[temperatura_srednia]]&gt;15,12000)</f>
        <v>12000</v>
      </c>
      <c r="J103">
        <f>IF(pogoda45[[#This Row],[stan_po_dolaniu]]&lt;pogoda45[[#This Row],[ile_podlewamy]],$AB$2-pogoda45[[#This Row],[stan_po_dolaniu]],0)</f>
        <v>13253</v>
      </c>
      <c r="K103">
        <f>pogoda45[[#This Row],[stan_po_dolaniu]]+pogoda45[[#This Row],[ile_dolać_do_podlania]]</f>
        <v>25000</v>
      </c>
      <c r="L103">
        <f>pogoda45[[#This Row],[stan_po_dolaniu_do_podlania]]-pogoda45[[#This Row],[ile_podlewamy]]</f>
        <v>13000</v>
      </c>
    </row>
    <row r="104" spans="1:12" x14ac:dyDescent="0.25">
      <c r="A104" s="2">
        <v>42197</v>
      </c>
      <c r="B104">
        <v>18</v>
      </c>
      <c r="C104">
        <v>2</v>
      </c>
      <c r="D104">
        <f t="shared" si="1"/>
        <v>13000</v>
      </c>
      <c r="E104">
        <f>IF(C104=0,ROUNDUP($AB$3*POWER(pogoda45[[#This Row],[temperatura_srednia]],1.5)*pogoda45[[#This Row],[stan_przed_dolaniem]],0),0)</f>
        <v>0</v>
      </c>
      <c r="F104">
        <f>pogoda45[[#This Row],[stan_przed_dolaniem]]-pogoda45[[#This Row],[ubytek]]</f>
        <v>13000</v>
      </c>
      <c r="G104">
        <f>IF(pogoda45[[#This Row],[opady]]*$AB$1+D104&gt;$AB$2,$AB$2-pogoda45[[#This Row],[stan_przed_dolaniem]],pogoda45[[#This Row],[opady]]*$AB$1)</f>
        <v>1400</v>
      </c>
      <c r="H104">
        <f>pogoda45[[#This Row],[stan_po_ubytku]]+pogoda45[[#This Row],[ile_pogoda_dolała]]</f>
        <v>14400</v>
      </c>
      <c r="I104" cm="1">
        <f t="array" ref="I104">_xlfn.IFS(OR(pogoda45[[#This Row],[temperatura_srednia]]&lt;=15,pogoda45[[#This Row],[opady]]&gt;0.61),0,pogoda45[[#This Row],[temperatura_srednia]]&gt;30,24000,pogoda45[[#This Row],[temperatura_srednia]]&gt;15,12000)</f>
        <v>0</v>
      </c>
      <c r="J104">
        <f>IF(pogoda45[[#This Row],[stan_po_dolaniu]]&lt;pogoda45[[#This Row],[ile_podlewamy]],$AB$2-pogoda45[[#This Row],[stan_po_dolaniu]],0)</f>
        <v>0</v>
      </c>
      <c r="K104">
        <f>pogoda45[[#This Row],[stan_po_dolaniu]]+pogoda45[[#This Row],[ile_dolać_do_podlania]]</f>
        <v>14400</v>
      </c>
      <c r="L104">
        <f>pogoda45[[#This Row],[stan_po_dolaniu_do_podlania]]-pogoda45[[#This Row],[ile_podlewamy]]</f>
        <v>14400</v>
      </c>
    </row>
    <row r="105" spans="1:12" x14ac:dyDescent="0.25">
      <c r="A105" s="2">
        <v>42198</v>
      </c>
      <c r="B105">
        <v>18</v>
      </c>
      <c r="C105">
        <v>12</v>
      </c>
      <c r="D105">
        <f t="shared" si="1"/>
        <v>14400</v>
      </c>
      <c r="E105">
        <f>IF(C105=0,ROUNDUP($AB$3*POWER(pogoda45[[#This Row],[temperatura_srednia]],1.5)*pogoda45[[#This Row],[stan_przed_dolaniem]],0),0)</f>
        <v>0</v>
      </c>
      <c r="F105">
        <f>pogoda45[[#This Row],[stan_przed_dolaniem]]-pogoda45[[#This Row],[ubytek]]</f>
        <v>14400</v>
      </c>
      <c r="G105">
        <f>IF(pogoda45[[#This Row],[opady]]*$AB$1+D105&gt;$AB$2,$AB$2-pogoda45[[#This Row],[stan_przed_dolaniem]],pogoda45[[#This Row],[opady]]*$AB$1)</f>
        <v>8400</v>
      </c>
      <c r="H105">
        <f>pogoda45[[#This Row],[stan_po_ubytku]]+pogoda45[[#This Row],[ile_pogoda_dolała]]</f>
        <v>22800</v>
      </c>
      <c r="I105" cm="1">
        <f t="array" ref="I105">_xlfn.IFS(OR(pogoda45[[#This Row],[temperatura_srednia]]&lt;=15,pogoda45[[#This Row],[opady]]&gt;0.61),0,pogoda45[[#This Row],[temperatura_srednia]]&gt;30,24000,pogoda45[[#This Row],[temperatura_srednia]]&gt;15,12000)</f>
        <v>0</v>
      </c>
      <c r="J105">
        <f>IF(pogoda45[[#This Row],[stan_po_dolaniu]]&lt;pogoda45[[#This Row],[ile_podlewamy]],$AB$2-pogoda45[[#This Row],[stan_po_dolaniu]],0)</f>
        <v>0</v>
      </c>
      <c r="K105">
        <f>pogoda45[[#This Row],[stan_po_dolaniu]]+pogoda45[[#This Row],[ile_dolać_do_podlania]]</f>
        <v>22800</v>
      </c>
      <c r="L105">
        <f>pogoda45[[#This Row],[stan_po_dolaniu_do_podlania]]-pogoda45[[#This Row],[ile_podlewamy]]</f>
        <v>22800</v>
      </c>
    </row>
    <row r="106" spans="1:12" x14ac:dyDescent="0.25">
      <c r="A106" s="2">
        <v>42199</v>
      </c>
      <c r="B106">
        <v>18</v>
      </c>
      <c r="C106">
        <v>0</v>
      </c>
      <c r="D106">
        <f t="shared" si="1"/>
        <v>22800</v>
      </c>
      <c r="E106">
        <f>IF(C106=0,ROUNDUP($AB$3*POWER(pogoda45[[#This Row],[temperatura_srednia]],1.5)*pogoda45[[#This Row],[stan_przed_dolaniem]],0),0)</f>
        <v>523</v>
      </c>
      <c r="F106">
        <f>pogoda45[[#This Row],[stan_przed_dolaniem]]-pogoda45[[#This Row],[ubytek]]</f>
        <v>22277</v>
      </c>
      <c r="G106">
        <f>IF(pogoda45[[#This Row],[opady]]*$AB$1+D106&gt;$AB$2,$AB$2-pogoda45[[#This Row],[stan_przed_dolaniem]],pogoda45[[#This Row],[opady]]*$AB$1)</f>
        <v>0</v>
      </c>
      <c r="H106">
        <f>pogoda45[[#This Row],[stan_po_ubytku]]+pogoda45[[#This Row],[ile_pogoda_dolała]]</f>
        <v>22277</v>
      </c>
      <c r="I106" cm="1">
        <f t="array" ref="I106">_xlfn.IFS(OR(pogoda45[[#This Row],[temperatura_srednia]]&lt;=15,pogoda45[[#This Row],[opady]]&gt;0.61),0,pogoda45[[#This Row],[temperatura_srednia]]&gt;30,24000,pogoda45[[#This Row],[temperatura_srednia]]&gt;15,12000)</f>
        <v>12000</v>
      </c>
      <c r="J106">
        <f>IF(pogoda45[[#This Row],[stan_po_dolaniu]]&lt;pogoda45[[#This Row],[ile_podlewamy]],$AB$2-pogoda45[[#This Row],[stan_po_dolaniu]],0)</f>
        <v>0</v>
      </c>
      <c r="K106">
        <f>pogoda45[[#This Row],[stan_po_dolaniu]]+pogoda45[[#This Row],[ile_dolać_do_podlania]]</f>
        <v>22277</v>
      </c>
      <c r="L106">
        <f>pogoda45[[#This Row],[stan_po_dolaniu_do_podlania]]-pogoda45[[#This Row],[ile_podlewamy]]</f>
        <v>10277</v>
      </c>
    </row>
    <row r="107" spans="1:12" x14ac:dyDescent="0.25">
      <c r="A107" s="2">
        <v>42200</v>
      </c>
      <c r="B107">
        <v>18</v>
      </c>
      <c r="C107">
        <v>0</v>
      </c>
      <c r="D107">
        <f t="shared" si="1"/>
        <v>10277</v>
      </c>
      <c r="E107">
        <f>IF(C107=0,ROUNDUP($AB$3*POWER(pogoda45[[#This Row],[temperatura_srednia]],1.5)*pogoda45[[#This Row],[stan_przed_dolaniem]],0),0)</f>
        <v>236</v>
      </c>
      <c r="F107">
        <f>pogoda45[[#This Row],[stan_przed_dolaniem]]-pogoda45[[#This Row],[ubytek]]</f>
        <v>10041</v>
      </c>
      <c r="G107">
        <f>IF(pogoda45[[#This Row],[opady]]*$AB$1+D107&gt;$AB$2,$AB$2-pogoda45[[#This Row],[stan_przed_dolaniem]],pogoda45[[#This Row],[opady]]*$AB$1)</f>
        <v>0</v>
      </c>
      <c r="H107">
        <f>pogoda45[[#This Row],[stan_po_ubytku]]+pogoda45[[#This Row],[ile_pogoda_dolała]]</f>
        <v>10041</v>
      </c>
      <c r="I107" cm="1">
        <f t="array" ref="I107">_xlfn.IFS(OR(pogoda45[[#This Row],[temperatura_srednia]]&lt;=15,pogoda45[[#This Row],[opady]]&gt;0.61),0,pogoda45[[#This Row],[temperatura_srednia]]&gt;30,24000,pogoda45[[#This Row],[temperatura_srednia]]&gt;15,12000)</f>
        <v>12000</v>
      </c>
      <c r="J107">
        <f>IF(pogoda45[[#This Row],[stan_po_dolaniu]]&lt;pogoda45[[#This Row],[ile_podlewamy]],$AB$2-pogoda45[[#This Row],[stan_po_dolaniu]],0)</f>
        <v>14959</v>
      </c>
      <c r="K107">
        <f>pogoda45[[#This Row],[stan_po_dolaniu]]+pogoda45[[#This Row],[ile_dolać_do_podlania]]</f>
        <v>25000</v>
      </c>
      <c r="L107">
        <f>pogoda45[[#This Row],[stan_po_dolaniu_do_podlania]]-pogoda45[[#This Row],[ile_podlewamy]]</f>
        <v>13000</v>
      </c>
    </row>
    <row r="108" spans="1:12" x14ac:dyDescent="0.25">
      <c r="A108" s="2">
        <v>42201</v>
      </c>
      <c r="B108">
        <v>16</v>
      </c>
      <c r="C108">
        <v>0</v>
      </c>
      <c r="D108">
        <f t="shared" si="1"/>
        <v>13000</v>
      </c>
      <c r="E108">
        <f>IF(C108=0,ROUNDUP($AB$3*POWER(pogoda45[[#This Row],[temperatura_srednia]],1.5)*pogoda45[[#This Row],[stan_przed_dolaniem]],0),0)</f>
        <v>250</v>
      </c>
      <c r="F108">
        <f>pogoda45[[#This Row],[stan_przed_dolaniem]]-pogoda45[[#This Row],[ubytek]]</f>
        <v>12750</v>
      </c>
      <c r="G108">
        <f>IF(pogoda45[[#This Row],[opady]]*$AB$1+D108&gt;$AB$2,$AB$2-pogoda45[[#This Row],[stan_przed_dolaniem]],pogoda45[[#This Row],[opady]]*$AB$1)</f>
        <v>0</v>
      </c>
      <c r="H108">
        <f>pogoda45[[#This Row],[stan_po_ubytku]]+pogoda45[[#This Row],[ile_pogoda_dolała]]</f>
        <v>12750</v>
      </c>
      <c r="I108" cm="1">
        <f t="array" ref="I108">_xlfn.IFS(OR(pogoda45[[#This Row],[temperatura_srednia]]&lt;=15,pogoda45[[#This Row],[opady]]&gt;0.61),0,pogoda45[[#This Row],[temperatura_srednia]]&gt;30,24000,pogoda45[[#This Row],[temperatura_srednia]]&gt;15,12000)</f>
        <v>12000</v>
      </c>
      <c r="J108">
        <f>IF(pogoda45[[#This Row],[stan_po_dolaniu]]&lt;pogoda45[[#This Row],[ile_podlewamy]],$AB$2-pogoda45[[#This Row],[stan_po_dolaniu]],0)</f>
        <v>0</v>
      </c>
      <c r="K108">
        <f>pogoda45[[#This Row],[stan_po_dolaniu]]+pogoda45[[#This Row],[ile_dolać_do_podlania]]</f>
        <v>12750</v>
      </c>
      <c r="L108">
        <f>pogoda45[[#This Row],[stan_po_dolaniu_do_podlania]]-pogoda45[[#This Row],[ile_podlewamy]]</f>
        <v>750</v>
      </c>
    </row>
    <row r="109" spans="1:12" x14ac:dyDescent="0.25">
      <c r="A109" s="2">
        <v>42202</v>
      </c>
      <c r="B109">
        <v>21</v>
      </c>
      <c r="C109">
        <v>0</v>
      </c>
      <c r="D109">
        <f t="shared" si="1"/>
        <v>750</v>
      </c>
      <c r="E109">
        <f>IF(C109=0,ROUNDUP($AB$3*POWER(pogoda45[[#This Row],[temperatura_srednia]],1.5)*pogoda45[[#This Row],[stan_przed_dolaniem]],0),0)</f>
        <v>22</v>
      </c>
      <c r="F109">
        <f>pogoda45[[#This Row],[stan_przed_dolaniem]]-pogoda45[[#This Row],[ubytek]]</f>
        <v>728</v>
      </c>
      <c r="G109">
        <f>IF(pogoda45[[#This Row],[opady]]*$AB$1+D109&gt;$AB$2,$AB$2-pogoda45[[#This Row],[stan_przed_dolaniem]],pogoda45[[#This Row],[opady]]*$AB$1)</f>
        <v>0</v>
      </c>
      <c r="H109">
        <f>pogoda45[[#This Row],[stan_po_ubytku]]+pogoda45[[#This Row],[ile_pogoda_dolała]]</f>
        <v>728</v>
      </c>
      <c r="I109" cm="1">
        <f t="array" ref="I109">_xlfn.IFS(OR(pogoda45[[#This Row],[temperatura_srednia]]&lt;=15,pogoda45[[#This Row],[opady]]&gt;0.61),0,pogoda45[[#This Row],[temperatura_srednia]]&gt;30,24000,pogoda45[[#This Row],[temperatura_srednia]]&gt;15,12000)</f>
        <v>12000</v>
      </c>
      <c r="J109">
        <f>IF(pogoda45[[#This Row],[stan_po_dolaniu]]&lt;pogoda45[[#This Row],[ile_podlewamy]],$AB$2-pogoda45[[#This Row],[stan_po_dolaniu]],0)</f>
        <v>24272</v>
      </c>
      <c r="K109">
        <f>pogoda45[[#This Row],[stan_po_dolaniu]]+pogoda45[[#This Row],[ile_dolać_do_podlania]]</f>
        <v>25000</v>
      </c>
      <c r="L109">
        <f>pogoda45[[#This Row],[stan_po_dolaniu_do_podlania]]-pogoda45[[#This Row],[ile_podlewamy]]</f>
        <v>13000</v>
      </c>
    </row>
    <row r="110" spans="1:12" x14ac:dyDescent="0.25">
      <c r="A110" s="2">
        <v>42203</v>
      </c>
      <c r="B110">
        <v>26</v>
      </c>
      <c r="C110">
        <v>0</v>
      </c>
      <c r="D110">
        <f t="shared" si="1"/>
        <v>13000</v>
      </c>
      <c r="E110">
        <f>IF(C110=0,ROUNDUP($AB$3*POWER(pogoda45[[#This Row],[temperatura_srednia]],1.5)*pogoda45[[#This Row],[stan_przed_dolaniem]],0),0)</f>
        <v>518</v>
      </c>
      <c r="F110">
        <f>pogoda45[[#This Row],[stan_przed_dolaniem]]-pogoda45[[#This Row],[ubytek]]</f>
        <v>12482</v>
      </c>
      <c r="G110">
        <f>IF(pogoda45[[#This Row],[opady]]*$AB$1+D110&gt;$AB$2,$AB$2-pogoda45[[#This Row],[stan_przed_dolaniem]],pogoda45[[#This Row],[opady]]*$AB$1)</f>
        <v>0</v>
      </c>
      <c r="H110">
        <f>pogoda45[[#This Row],[stan_po_ubytku]]+pogoda45[[#This Row],[ile_pogoda_dolała]]</f>
        <v>12482</v>
      </c>
      <c r="I110" cm="1">
        <f t="array" ref="I110">_xlfn.IFS(OR(pogoda45[[#This Row],[temperatura_srednia]]&lt;=15,pogoda45[[#This Row],[opady]]&gt;0.61),0,pogoda45[[#This Row],[temperatura_srednia]]&gt;30,24000,pogoda45[[#This Row],[temperatura_srednia]]&gt;15,12000)</f>
        <v>12000</v>
      </c>
      <c r="J110">
        <f>IF(pogoda45[[#This Row],[stan_po_dolaniu]]&lt;pogoda45[[#This Row],[ile_podlewamy]],$AB$2-pogoda45[[#This Row],[stan_po_dolaniu]],0)</f>
        <v>0</v>
      </c>
      <c r="K110">
        <f>pogoda45[[#This Row],[stan_po_dolaniu]]+pogoda45[[#This Row],[ile_dolać_do_podlania]]</f>
        <v>12482</v>
      </c>
      <c r="L110">
        <f>pogoda45[[#This Row],[stan_po_dolaniu_do_podlania]]-pogoda45[[#This Row],[ile_podlewamy]]</f>
        <v>482</v>
      </c>
    </row>
    <row r="111" spans="1:12" x14ac:dyDescent="0.25">
      <c r="A111" s="2">
        <v>42204</v>
      </c>
      <c r="B111">
        <v>23</v>
      </c>
      <c r="C111">
        <v>18</v>
      </c>
      <c r="D111">
        <f t="shared" si="1"/>
        <v>482</v>
      </c>
      <c r="E111">
        <f>IF(C111=0,ROUNDUP($AB$3*POWER(pogoda45[[#This Row],[temperatura_srednia]],1.5)*pogoda45[[#This Row],[stan_przed_dolaniem]],0),0)</f>
        <v>0</v>
      </c>
      <c r="F111">
        <f>pogoda45[[#This Row],[stan_przed_dolaniem]]-pogoda45[[#This Row],[ubytek]]</f>
        <v>482</v>
      </c>
      <c r="G111">
        <f>IF(pogoda45[[#This Row],[opady]]*$AB$1+D111&gt;$AB$2,$AB$2-pogoda45[[#This Row],[stan_przed_dolaniem]],pogoda45[[#This Row],[opady]]*$AB$1)</f>
        <v>12600</v>
      </c>
      <c r="H111">
        <f>pogoda45[[#This Row],[stan_po_ubytku]]+pogoda45[[#This Row],[ile_pogoda_dolała]]</f>
        <v>13082</v>
      </c>
      <c r="I111" cm="1">
        <f t="array" ref="I111">_xlfn.IFS(OR(pogoda45[[#This Row],[temperatura_srednia]]&lt;=15,pogoda45[[#This Row],[opady]]&gt;0.61),0,pogoda45[[#This Row],[temperatura_srednia]]&gt;30,24000,pogoda45[[#This Row],[temperatura_srednia]]&gt;15,12000)</f>
        <v>0</v>
      </c>
      <c r="J111">
        <f>IF(pogoda45[[#This Row],[stan_po_dolaniu]]&lt;pogoda45[[#This Row],[ile_podlewamy]],$AB$2-pogoda45[[#This Row],[stan_po_dolaniu]],0)</f>
        <v>0</v>
      </c>
      <c r="K111">
        <f>pogoda45[[#This Row],[stan_po_dolaniu]]+pogoda45[[#This Row],[ile_dolać_do_podlania]]</f>
        <v>13082</v>
      </c>
      <c r="L111">
        <f>pogoda45[[#This Row],[stan_po_dolaniu_do_podlania]]-pogoda45[[#This Row],[ile_podlewamy]]</f>
        <v>13082</v>
      </c>
    </row>
    <row r="112" spans="1:12" x14ac:dyDescent="0.25">
      <c r="A112" s="2">
        <v>42205</v>
      </c>
      <c r="B112">
        <v>19</v>
      </c>
      <c r="C112">
        <v>0</v>
      </c>
      <c r="D112">
        <f t="shared" si="1"/>
        <v>13082</v>
      </c>
      <c r="E112">
        <f>IF(C112=0,ROUNDUP($AB$3*POWER(pogoda45[[#This Row],[temperatura_srednia]],1.5)*pogoda45[[#This Row],[stan_przed_dolaniem]],0),0)</f>
        <v>326</v>
      </c>
      <c r="F112">
        <f>pogoda45[[#This Row],[stan_przed_dolaniem]]-pogoda45[[#This Row],[ubytek]]</f>
        <v>12756</v>
      </c>
      <c r="G112">
        <f>IF(pogoda45[[#This Row],[opady]]*$AB$1+D112&gt;$AB$2,$AB$2-pogoda45[[#This Row],[stan_przed_dolaniem]],pogoda45[[#This Row],[opady]]*$AB$1)</f>
        <v>0</v>
      </c>
      <c r="H112">
        <f>pogoda45[[#This Row],[stan_po_ubytku]]+pogoda45[[#This Row],[ile_pogoda_dolała]]</f>
        <v>12756</v>
      </c>
      <c r="I112" cm="1">
        <f t="array" ref="I112">_xlfn.IFS(OR(pogoda45[[#This Row],[temperatura_srednia]]&lt;=15,pogoda45[[#This Row],[opady]]&gt;0.61),0,pogoda45[[#This Row],[temperatura_srednia]]&gt;30,24000,pogoda45[[#This Row],[temperatura_srednia]]&gt;15,12000)</f>
        <v>12000</v>
      </c>
      <c r="J112">
        <f>IF(pogoda45[[#This Row],[stan_po_dolaniu]]&lt;pogoda45[[#This Row],[ile_podlewamy]],$AB$2-pogoda45[[#This Row],[stan_po_dolaniu]],0)</f>
        <v>0</v>
      </c>
      <c r="K112">
        <f>pogoda45[[#This Row],[stan_po_dolaniu]]+pogoda45[[#This Row],[ile_dolać_do_podlania]]</f>
        <v>12756</v>
      </c>
      <c r="L112">
        <f>pogoda45[[#This Row],[stan_po_dolaniu_do_podlania]]-pogoda45[[#This Row],[ile_podlewamy]]</f>
        <v>756</v>
      </c>
    </row>
    <row r="113" spans="1:12" x14ac:dyDescent="0.25">
      <c r="A113" s="2">
        <v>42206</v>
      </c>
      <c r="B113">
        <v>20</v>
      </c>
      <c r="C113">
        <v>6</v>
      </c>
      <c r="D113">
        <f t="shared" si="1"/>
        <v>756</v>
      </c>
      <c r="E113">
        <f>IF(C113=0,ROUNDUP($AB$3*POWER(pogoda45[[#This Row],[temperatura_srednia]],1.5)*pogoda45[[#This Row],[stan_przed_dolaniem]],0),0)</f>
        <v>0</v>
      </c>
      <c r="F113">
        <f>pogoda45[[#This Row],[stan_przed_dolaniem]]-pogoda45[[#This Row],[ubytek]]</f>
        <v>756</v>
      </c>
      <c r="G113">
        <f>IF(pogoda45[[#This Row],[opady]]*$AB$1+D113&gt;$AB$2,$AB$2-pogoda45[[#This Row],[stan_przed_dolaniem]],pogoda45[[#This Row],[opady]]*$AB$1)</f>
        <v>4200</v>
      </c>
      <c r="H113">
        <f>pogoda45[[#This Row],[stan_po_ubytku]]+pogoda45[[#This Row],[ile_pogoda_dolała]]</f>
        <v>4956</v>
      </c>
      <c r="I113" cm="1">
        <f t="array" ref="I113">_xlfn.IFS(OR(pogoda45[[#This Row],[temperatura_srednia]]&lt;=15,pogoda45[[#This Row],[opady]]&gt;0.61),0,pogoda45[[#This Row],[temperatura_srednia]]&gt;30,24000,pogoda45[[#This Row],[temperatura_srednia]]&gt;15,12000)</f>
        <v>0</v>
      </c>
      <c r="J113">
        <f>IF(pogoda45[[#This Row],[stan_po_dolaniu]]&lt;pogoda45[[#This Row],[ile_podlewamy]],$AB$2-pogoda45[[#This Row],[stan_po_dolaniu]],0)</f>
        <v>0</v>
      </c>
      <c r="K113">
        <f>pogoda45[[#This Row],[stan_po_dolaniu]]+pogoda45[[#This Row],[ile_dolać_do_podlania]]</f>
        <v>4956</v>
      </c>
      <c r="L113">
        <f>pogoda45[[#This Row],[stan_po_dolaniu_do_podlania]]-pogoda45[[#This Row],[ile_podlewamy]]</f>
        <v>4956</v>
      </c>
    </row>
    <row r="114" spans="1:12" x14ac:dyDescent="0.25">
      <c r="A114" s="2">
        <v>42207</v>
      </c>
      <c r="B114">
        <v>22</v>
      </c>
      <c r="C114">
        <v>0</v>
      </c>
      <c r="D114">
        <f t="shared" si="1"/>
        <v>4956</v>
      </c>
      <c r="E114">
        <f>IF(C114=0,ROUNDUP($AB$3*POWER(pogoda45[[#This Row],[temperatura_srednia]],1.5)*pogoda45[[#This Row],[stan_przed_dolaniem]],0),0)</f>
        <v>154</v>
      </c>
      <c r="F114">
        <f>pogoda45[[#This Row],[stan_przed_dolaniem]]-pogoda45[[#This Row],[ubytek]]</f>
        <v>4802</v>
      </c>
      <c r="G114">
        <f>IF(pogoda45[[#This Row],[opady]]*$AB$1+D114&gt;$AB$2,$AB$2-pogoda45[[#This Row],[stan_przed_dolaniem]],pogoda45[[#This Row],[opady]]*$AB$1)</f>
        <v>0</v>
      </c>
      <c r="H114">
        <f>pogoda45[[#This Row],[stan_po_ubytku]]+pogoda45[[#This Row],[ile_pogoda_dolała]]</f>
        <v>4802</v>
      </c>
      <c r="I114" cm="1">
        <f t="array" ref="I114">_xlfn.IFS(OR(pogoda45[[#This Row],[temperatura_srednia]]&lt;=15,pogoda45[[#This Row],[opady]]&gt;0.61),0,pogoda45[[#This Row],[temperatura_srednia]]&gt;30,24000,pogoda45[[#This Row],[temperatura_srednia]]&gt;15,12000)</f>
        <v>12000</v>
      </c>
      <c r="J114">
        <f>IF(pogoda45[[#This Row],[stan_po_dolaniu]]&lt;pogoda45[[#This Row],[ile_podlewamy]],$AB$2-pogoda45[[#This Row],[stan_po_dolaniu]],0)</f>
        <v>20198</v>
      </c>
      <c r="K114">
        <f>pogoda45[[#This Row],[stan_po_dolaniu]]+pogoda45[[#This Row],[ile_dolać_do_podlania]]</f>
        <v>25000</v>
      </c>
      <c r="L114">
        <f>pogoda45[[#This Row],[stan_po_dolaniu_do_podlania]]-pogoda45[[#This Row],[ile_podlewamy]]</f>
        <v>13000</v>
      </c>
    </row>
    <row r="115" spans="1:12" x14ac:dyDescent="0.25">
      <c r="A115" s="2">
        <v>42208</v>
      </c>
      <c r="B115">
        <v>20</v>
      </c>
      <c r="C115">
        <v>0</v>
      </c>
      <c r="D115">
        <f t="shared" si="1"/>
        <v>13000</v>
      </c>
      <c r="E115">
        <f>IF(C115=0,ROUNDUP($AB$3*POWER(pogoda45[[#This Row],[temperatura_srednia]],1.5)*pogoda45[[#This Row],[stan_przed_dolaniem]],0),0)</f>
        <v>349</v>
      </c>
      <c r="F115">
        <f>pogoda45[[#This Row],[stan_przed_dolaniem]]-pogoda45[[#This Row],[ubytek]]</f>
        <v>12651</v>
      </c>
      <c r="G115">
        <f>IF(pogoda45[[#This Row],[opady]]*$AB$1+D115&gt;$AB$2,$AB$2-pogoda45[[#This Row],[stan_przed_dolaniem]],pogoda45[[#This Row],[opady]]*$AB$1)</f>
        <v>0</v>
      </c>
      <c r="H115">
        <f>pogoda45[[#This Row],[stan_po_ubytku]]+pogoda45[[#This Row],[ile_pogoda_dolała]]</f>
        <v>12651</v>
      </c>
      <c r="I115" cm="1">
        <f t="array" ref="I115">_xlfn.IFS(OR(pogoda45[[#This Row],[temperatura_srednia]]&lt;=15,pogoda45[[#This Row],[opady]]&gt;0.61),0,pogoda45[[#This Row],[temperatura_srednia]]&gt;30,24000,pogoda45[[#This Row],[temperatura_srednia]]&gt;15,12000)</f>
        <v>12000</v>
      </c>
      <c r="J115">
        <f>IF(pogoda45[[#This Row],[stan_po_dolaniu]]&lt;pogoda45[[#This Row],[ile_podlewamy]],$AB$2-pogoda45[[#This Row],[stan_po_dolaniu]],0)</f>
        <v>0</v>
      </c>
      <c r="K115">
        <f>pogoda45[[#This Row],[stan_po_dolaniu]]+pogoda45[[#This Row],[ile_dolać_do_podlania]]</f>
        <v>12651</v>
      </c>
      <c r="L115">
        <f>pogoda45[[#This Row],[stan_po_dolaniu_do_podlania]]-pogoda45[[#This Row],[ile_podlewamy]]</f>
        <v>651</v>
      </c>
    </row>
    <row r="116" spans="1:12" x14ac:dyDescent="0.25">
      <c r="A116" s="2">
        <v>42209</v>
      </c>
      <c r="B116">
        <v>20</v>
      </c>
      <c r="C116">
        <v>0</v>
      </c>
      <c r="D116">
        <f t="shared" si="1"/>
        <v>651</v>
      </c>
      <c r="E116">
        <f>IF(C116=0,ROUNDUP($AB$3*POWER(pogoda45[[#This Row],[temperatura_srednia]],1.5)*pogoda45[[#This Row],[stan_przed_dolaniem]],0),0)</f>
        <v>18</v>
      </c>
      <c r="F116">
        <f>pogoda45[[#This Row],[stan_przed_dolaniem]]-pogoda45[[#This Row],[ubytek]]</f>
        <v>633</v>
      </c>
      <c r="G116">
        <f>IF(pogoda45[[#This Row],[opady]]*$AB$1+D116&gt;$AB$2,$AB$2-pogoda45[[#This Row],[stan_przed_dolaniem]],pogoda45[[#This Row],[opady]]*$AB$1)</f>
        <v>0</v>
      </c>
      <c r="H116">
        <f>pogoda45[[#This Row],[stan_po_ubytku]]+pogoda45[[#This Row],[ile_pogoda_dolała]]</f>
        <v>633</v>
      </c>
      <c r="I116" cm="1">
        <f t="array" ref="I116">_xlfn.IFS(OR(pogoda45[[#This Row],[temperatura_srednia]]&lt;=15,pogoda45[[#This Row],[opady]]&gt;0.61),0,pogoda45[[#This Row],[temperatura_srednia]]&gt;30,24000,pogoda45[[#This Row],[temperatura_srednia]]&gt;15,12000)</f>
        <v>12000</v>
      </c>
      <c r="J116">
        <f>IF(pogoda45[[#This Row],[stan_po_dolaniu]]&lt;pogoda45[[#This Row],[ile_podlewamy]],$AB$2-pogoda45[[#This Row],[stan_po_dolaniu]],0)</f>
        <v>24367</v>
      </c>
      <c r="K116">
        <f>pogoda45[[#This Row],[stan_po_dolaniu]]+pogoda45[[#This Row],[ile_dolać_do_podlania]]</f>
        <v>25000</v>
      </c>
      <c r="L116">
        <f>pogoda45[[#This Row],[stan_po_dolaniu_do_podlania]]-pogoda45[[#This Row],[ile_podlewamy]]</f>
        <v>13000</v>
      </c>
    </row>
    <row r="117" spans="1:12" x14ac:dyDescent="0.25">
      <c r="A117" s="2">
        <v>42210</v>
      </c>
      <c r="B117">
        <v>23</v>
      </c>
      <c r="C117">
        <v>0.1</v>
      </c>
      <c r="D117">
        <f t="shared" si="1"/>
        <v>13000</v>
      </c>
      <c r="E117">
        <f>IF(C117=0,ROUNDUP($AB$3*POWER(pogoda45[[#This Row],[temperatura_srednia]],1.5)*pogoda45[[#This Row],[stan_przed_dolaniem]],0),0)</f>
        <v>0</v>
      </c>
      <c r="F117">
        <f>pogoda45[[#This Row],[stan_przed_dolaniem]]-pogoda45[[#This Row],[ubytek]]</f>
        <v>13000</v>
      </c>
      <c r="G117">
        <f>IF(pogoda45[[#This Row],[opady]]*$AB$1+D117&gt;$AB$2,$AB$2-pogoda45[[#This Row],[stan_przed_dolaniem]],pogoda45[[#This Row],[opady]]*$AB$1)</f>
        <v>70</v>
      </c>
      <c r="H117">
        <f>pogoda45[[#This Row],[stan_po_ubytku]]+pogoda45[[#This Row],[ile_pogoda_dolała]]</f>
        <v>13070</v>
      </c>
      <c r="I117" cm="1">
        <f t="array" ref="I117">_xlfn.IFS(OR(pogoda45[[#This Row],[temperatura_srednia]]&lt;=15,pogoda45[[#This Row],[opady]]&gt;0.61),0,pogoda45[[#This Row],[temperatura_srednia]]&gt;30,24000,pogoda45[[#This Row],[temperatura_srednia]]&gt;15,12000)</f>
        <v>12000</v>
      </c>
      <c r="J117">
        <f>IF(pogoda45[[#This Row],[stan_po_dolaniu]]&lt;pogoda45[[#This Row],[ile_podlewamy]],$AB$2-pogoda45[[#This Row],[stan_po_dolaniu]],0)</f>
        <v>0</v>
      </c>
      <c r="K117">
        <f>pogoda45[[#This Row],[stan_po_dolaniu]]+pogoda45[[#This Row],[ile_dolać_do_podlania]]</f>
        <v>13070</v>
      </c>
      <c r="L117">
        <f>pogoda45[[#This Row],[stan_po_dolaniu_do_podlania]]-pogoda45[[#This Row],[ile_podlewamy]]</f>
        <v>1070</v>
      </c>
    </row>
    <row r="118" spans="1:12" x14ac:dyDescent="0.25">
      <c r="A118" s="2">
        <v>42211</v>
      </c>
      <c r="B118">
        <v>16</v>
      </c>
      <c r="C118">
        <v>0</v>
      </c>
      <c r="D118">
        <f t="shared" si="1"/>
        <v>1070</v>
      </c>
      <c r="E118">
        <f>IF(C118=0,ROUNDUP($AB$3*POWER(pogoda45[[#This Row],[temperatura_srednia]],1.5)*pogoda45[[#This Row],[stan_przed_dolaniem]],0),0)</f>
        <v>21</v>
      </c>
      <c r="F118">
        <f>pogoda45[[#This Row],[stan_przed_dolaniem]]-pogoda45[[#This Row],[ubytek]]</f>
        <v>1049</v>
      </c>
      <c r="G118">
        <f>IF(pogoda45[[#This Row],[opady]]*$AB$1+D118&gt;$AB$2,$AB$2-pogoda45[[#This Row],[stan_przed_dolaniem]],pogoda45[[#This Row],[opady]]*$AB$1)</f>
        <v>0</v>
      </c>
      <c r="H118">
        <f>pogoda45[[#This Row],[stan_po_ubytku]]+pogoda45[[#This Row],[ile_pogoda_dolała]]</f>
        <v>1049</v>
      </c>
      <c r="I118" cm="1">
        <f t="array" ref="I118">_xlfn.IFS(OR(pogoda45[[#This Row],[temperatura_srednia]]&lt;=15,pogoda45[[#This Row],[opady]]&gt;0.61),0,pogoda45[[#This Row],[temperatura_srednia]]&gt;30,24000,pogoda45[[#This Row],[temperatura_srednia]]&gt;15,12000)</f>
        <v>12000</v>
      </c>
      <c r="J118">
        <f>IF(pogoda45[[#This Row],[stan_po_dolaniu]]&lt;pogoda45[[#This Row],[ile_podlewamy]],$AB$2-pogoda45[[#This Row],[stan_po_dolaniu]],0)</f>
        <v>23951</v>
      </c>
      <c r="K118">
        <f>pogoda45[[#This Row],[stan_po_dolaniu]]+pogoda45[[#This Row],[ile_dolać_do_podlania]]</f>
        <v>25000</v>
      </c>
      <c r="L118">
        <f>pogoda45[[#This Row],[stan_po_dolaniu_do_podlania]]-pogoda45[[#This Row],[ile_podlewamy]]</f>
        <v>13000</v>
      </c>
    </row>
    <row r="119" spans="1:12" x14ac:dyDescent="0.25">
      <c r="A119" s="2">
        <v>42212</v>
      </c>
      <c r="B119">
        <v>16</v>
      </c>
      <c r="C119">
        <v>0.1</v>
      </c>
      <c r="D119">
        <f t="shared" si="1"/>
        <v>13000</v>
      </c>
      <c r="E119">
        <f>IF(C119=0,ROUNDUP($AB$3*POWER(pogoda45[[#This Row],[temperatura_srednia]],1.5)*pogoda45[[#This Row],[stan_przed_dolaniem]],0),0)</f>
        <v>0</v>
      </c>
      <c r="F119">
        <f>pogoda45[[#This Row],[stan_przed_dolaniem]]-pogoda45[[#This Row],[ubytek]]</f>
        <v>13000</v>
      </c>
      <c r="G119">
        <f>IF(pogoda45[[#This Row],[opady]]*$AB$1+D119&gt;$AB$2,$AB$2-pogoda45[[#This Row],[stan_przed_dolaniem]],pogoda45[[#This Row],[opady]]*$AB$1)</f>
        <v>70</v>
      </c>
      <c r="H119">
        <f>pogoda45[[#This Row],[stan_po_ubytku]]+pogoda45[[#This Row],[ile_pogoda_dolała]]</f>
        <v>13070</v>
      </c>
      <c r="I119" cm="1">
        <f t="array" ref="I119">_xlfn.IFS(OR(pogoda45[[#This Row],[temperatura_srednia]]&lt;=15,pogoda45[[#This Row],[opady]]&gt;0.61),0,pogoda45[[#This Row],[temperatura_srednia]]&gt;30,24000,pogoda45[[#This Row],[temperatura_srednia]]&gt;15,12000)</f>
        <v>12000</v>
      </c>
      <c r="J119">
        <f>IF(pogoda45[[#This Row],[stan_po_dolaniu]]&lt;pogoda45[[#This Row],[ile_podlewamy]],$AB$2-pogoda45[[#This Row],[stan_po_dolaniu]],0)</f>
        <v>0</v>
      </c>
      <c r="K119">
        <f>pogoda45[[#This Row],[stan_po_dolaniu]]+pogoda45[[#This Row],[ile_dolać_do_podlania]]</f>
        <v>13070</v>
      </c>
      <c r="L119">
        <f>pogoda45[[#This Row],[stan_po_dolaniu_do_podlania]]-pogoda45[[#This Row],[ile_podlewamy]]</f>
        <v>1070</v>
      </c>
    </row>
    <row r="120" spans="1:12" x14ac:dyDescent="0.25">
      <c r="A120" s="2">
        <v>42213</v>
      </c>
      <c r="B120">
        <v>18</v>
      </c>
      <c r="C120">
        <v>0.3</v>
      </c>
      <c r="D120">
        <f t="shared" si="1"/>
        <v>1070</v>
      </c>
      <c r="E120">
        <f>IF(C120=0,ROUNDUP($AB$3*POWER(pogoda45[[#This Row],[temperatura_srednia]],1.5)*pogoda45[[#This Row],[stan_przed_dolaniem]],0),0)</f>
        <v>0</v>
      </c>
      <c r="F120">
        <f>pogoda45[[#This Row],[stan_przed_dolaniem]]-pogoda45[[#This Row],[ubytek]]</f>
        <v>1070</v>
      </c>
      <c r="G120">
        <f>IF(pogoda45[[#This Row],[opady]]*$AB$1+D120&gt;$AB$2,$AB$2-pogoda45[[#This Row],[stan_przed_dolaniem]],pogoda45[[#This Row],[opady]]*$AB$1)</f>
        <v>210</v>
      </c>
      <c r="H120">
        <f>pogoda45[[#This Row],[stan_po_ubytku]]+pogoda45[[#This Row],[ile_pogoda_dolała]]</f>
        <v>1280</v>
      </c>
      <c r="I120" cm="1">
        <f t="array" ref="I120">_xlfn.IFS(OR(pogoda45[[#This Row],[temperatura_srednia]]&lt;=15,pogoda45[[#This Row],[opady]]&gt;0.61),0,pogoda45[[#This Row],[temperatura_srednia]]&gt;30,24000,pogoda45[[#This Row],[temperatura_srednia]]&gt;15,12000)</f>
        <v>12000</v>
      </c>
      <c r="J120">
        <f>IF(pogoda45[[#This Row],[stan_po_dolaniu]]&lt;pogoda45[[#This Row],[ile_podlewamy]],$AB$2-pogoda45[[#This Row],[stan_po_dolaniu]],0)</f>
        <v>23720</v>
      </c>
      <c r="K120">
        <f>pogoda45[[#This Row],[stan_po_dolaniu]]+pogoda45[[#This Row],[ile_dolać_do_podlania]]</f>
        <v>25000</v>
      </c>
      <c r="L120">
        <f>pogoda45[[#This Row],[stan_po_dolaniu_do_podlania]]-pogoda45[[#This Row],[ile_podlewamy]]</f>
        <v>13000</v>
      </c>
    </row>
    <row r="121" spans="1:12" x14ac:dyDescent="0.25">
      <c r="A121" s="2">
        <v>42214</v>
      </c>
      <c r="B121">
        <v>18</v>
      </c>
      <c r="C121">
        <v>0</v>
      </c>
      <c r="D121">
        <f t="shared" si="1"/>
        <v>13000</v>
      </c>
      <c r="E121">
        <f>IF(C121=0,ROUNDUP($AB$3*POWER(pogoda45[[#This Row],[temperatura_srednia]],1.5)*pogoda45[[#This Row],[stan_przed_dolaniem]],0),0)</f>
        <v>298</v>
      </c>
      <c r="F121">
        <f>pogoda45[[#This Row],[stan_przed_dolaniem]]-pogoda45[[#This Row],[ubytek]]</f>
        <v>12702</v>
      </c>
      <c r="G121">
        <f>IF(pogoda45[[#This Row],[opady]]*$AB$1+D121&gt;$AB$2,$AB$2-pogoda45[[#This Row],[stan_przed_dolaniem]],pogoda45[[#This Row],[opady]]*$AB$1)</f>
        <v>0</v>
      </c>
      <c r="H121">
        <f>pogoda45[[#This Row],[stan_po_ubytku]]+pogoda45[[#This Row],[ile_pogoda_dolała]]</f>
        <v>12702</v>
      </c>
      <c r="I121" cm="1">
        <f t="array" ref="I121">_xlfn.IFS(OR(pogoda45[[#This Row],[temperatura_srednia]]&lt;=15,pogoda45[[#This Row],[opady]]&gt;0.61),0,pogoda45[[#This Row],[temperatura_srednia]]&gt;30,24000,pogoda45[[#This Row],[temperatura_srednia]]&gt;15,12000)</f>
        <v>12000</v>
      </c>
      <c r="J121">
        <f>IF(pogoda45[[#This Row],[stan_po_dolaniu]]&lt;pogoda45[[#This Row],[ile_podlewamy]],$AB$2-pogoda45[[#This Row],[stan_po_dolaniu]],0)</f>
        <v>0</v>
      </c>
      <c r="K121">
        <f>pogoda45[[#This Row],[stan_po_dolaniu]]+pogoda45[[#This Row],[ile_dolać_do_podlania]]</f>
        <v>12702</v>
      </c>
      <c r="L121">
        <f>pogoda45[[#This Row],[stan_po_dolaniu_do_podlania]]-pogoda45[[#This Row],[ile_podlewamy]]</f>
        <v>702</v>
      </c>
    </row>
    <row r="122" spans="1:12" x14ac:dyDescent="0.25">
      <c r="A122" s="2">
        <v>42215</v>
      </c>
      <c r="B122">
        <v>14</v>
      </c>
      <c r="C122">
        <v>0</v>
      </c>
      <c r="D122">
        <f t="shared" si="1"/>
        <v>702</v>
      </c>
      <c r="E122">
        <f>IF(C122=0,ROUNDUP($AB$3*POWER(pogoda45[[#This Row],[temperatura_srednia]],1.5)*pogoda45[[#This Row],[stan_przed_dolaniem]],0),0)</f>
        <v>12</v>
      </c>
      <c r="F122">
        <f>pogoda45[[#This Row],[stan_przed_dolaniem]]-pogoda45[[#This Row],[ubytek]]</f>
        <v>690</v>
      </c>
      <c r="G122">
        <f>IF(pogoda45[[#This Row],[opady]]*$AB$1+D122&gt;$AB$2,$AB$2-pogoda45[[#This Row],[stan_przed_dolaniem]],pogoda45[[#This Row],[opady]]*$AB$1)</f>
        <v>0</v>
      </c>
      <c r="H122">
        <f>pogoda45[[#This Row],[stan_po_ubytku]]+pogoda45[[#This Row],[ile_pogoda_dolała]]</f>
        <v>690</v>
      </c>
      <c r="I122" cm="1">
        <f t="array" ref="I122">_xlfn.IFS(OR(pogoda45[[#This Row],[temperatura_srednia]]&lt;=15,pogoda45[[#This Row],[opady]]&gt;0.61),0,pogoda45[[#This Row],[temperatura_srednia]]&gt;30,24000,pogoda45[[#This Row],[temperatura_srednia]]&gt;15,12000)</f>
        <v>0</v>
      </c>
      <c r="J122">
        <f>IF(pogoda45[[#This Row],[stan_po_dolaniu]]&lt;pogoda45[[#This Row],[ile_podlewamy]],$AB$2-pogoda45[[#This Row],[stan_po_dolaniu]],0)</f>
        <v>0</v>
      </c>
      <c r="K122">
        <f>pogoda45[[#This Row],[stan_po_dolaniu]]+pogoda45[[#This Row],[ile_dolać_do_podlania]]</f>
        <v>690</v>
      </c>
      <c r="L122">
        <f>pogoda45[[#This Row],[stan_po_dolaniu_do_podlania]]-pogoda45[[#This Row],[ile_podlewamy]]</f>
        <v>690</v>
      </c>
    </row>
    <row r="123" spans="1:12" x14ac:dyDescent="0.25">
      <c r="A123" s="2">
        <v>42216</v>
      </c>
      <c r="B123">
        <v>14</v>
      </c>
      <c r="C123">
        <v>0</v>
      </c>
      <c r="D123">
        <f t="shared" si="1"/>
        <v>690</v>
      </c>
      <c r="E123">
        <f>IF(C123=0,ROUNDUP($AB$3*POWER(pogoda45[[#This Row],[temperatura_srednia]],1.5)*pogoda45[[#This Row],[stan_przed_dolaniem]],0),0)</f>
        <v>11</v>
      </c>
      <c r="F123">
        <f>pogoda45[[#This Row],[stan_przed_dolaniem]]-pogoda45[[#This Row],[ubytek]]</f>
        <v>679</v>
      </c>
      <c r="G123">
        <f>IF(pogoda45[[#This Row],[opady]]*$AB$1+D123&gt;$AB$2,$AB$2-pogoda45[[#This Row],[stan_przed_dolaniem]],pogoda45[[#This Row],[opady]]*$AB$1)</f>
        <v>0</v>
      </c>
      <c r="H123">
        <f>pogoda45[[#This Row],[stan_po_ubytku]]+pogoda45[[#This Row],[ile_pogoda_dolała]]</f>
        <v>679</v>
      </c>
      <c r="I123" cm="1">
        <f t="array" ref="I123">_xlfn.IFS(OR(pogoda45[[#This Row],[temperatura_srednia]]&lt;=15,pogoda45[[#This Row],[opady]]&gt;0.61),0,pogoda45[[#This Row],[temperatura_srednia]]&gt;30,24000,pogoda45[[#This Row],[temperatura_srednia]]&gt;15,12000)</f>
        <v>0</v>
      </c>
      <c r="J123">
        <f>IF(pogoda45[[#This Row],[stan_po_dolaniu]]&lt;pogoda45[[#This Row],[ile_podlewamy]],$AB$2-pogoda45[[#This Row],[stan_po_dolaniu]],0)</f>
        <v>0</v>
      </c>
      <c r="K123">
        <f>pogoda45[[#This Row],[stan_po_dolaniu]]+pogoda45[[#This Row],[ile_dolać_do_podlania]]</f>
        <v>679</v>
      </c>
      <c r="L123">
        <f>pogoda45[[#This Row],[stan_po_dolaniu_do_podlania]]-pogoda45[[#This Row],[ile_podlewamy]]</f>
        <v>679</v>
      </c>
    </row>
    <row r="124" spans="1:12" x14ac:dyDescent="0.25">
      <c r="A124" s="2">
        <v>42217</v>
      </c>
      <c r="B124">
        <v>16</v>
      </c>
      <c r="C124">
        <v>0</v>
      </c>
      <c r="D124">
        <f t="shared" si="1"/>
        <v>679</v>
      </c>
      <c r="E124">
        <f>IF(C124=0,ROUNDUP($AB$3*POWER(pogoda45[[#This Row],[temperatura_srednia]],1.5)*pogoda45[[#This Row],[stan_przed_dolaniem]],0),0)</f>
        <v>14</v>
      </c>
      <c r="F124">
        <f>pogoda45[[#This Row],[stan_przed_dolaniem]]-pogoda45[[#This Row],[ubytek]]</f>
        <v>665</v>
      </c>
      <c r="G124">
        <f>IF(pogoda45[[#This Row],[opady]]*$AB$1+D124&gt;$AB$2,$AB$2-pogoda45[[#This Row],[stan_przed_dolaniem]],pogoda45[[#This Row],[opady]]*$AB$1)</f>
        <v>0</v>
      </c>
      <c r="H124">
        <f>pogoda45[[#This Row],[stan_po_ubytku]]+pogoda45[[#This Row],[ile_pogoda_dolała]]</f>
        <v>665</v>
      </c>
      <c r="I124" cm="1">
        <f t="array" ref="I124">_xlfn.IFS(OR(pogoda45[[#This Row],[temperatura_srednia]]&lt;=15,pogoda45[[#This Row],[opady]]&gt;0.61),0,pogoda45[[#This Row],[temperatura_srednia]]&gt;30,24000,pogoda45[[#This Row],[temperatura_srednia]]&gt;15,12000)</f>
        <v>12000</v>
      </c>
      <c r="J124">
        <f>IF(pogoda45[[#This Row],[stan_po_dolaniu]]&lt;pogoda45[[#This Row],[ile_podlewamy]],$AB$2-pogoda45[[#This Row],[stan_po_dolaniu]],0)</f>
        <v>24335</v>
      </c>
      <c r="K124">
        <f>pogoda45[[#This Row],[stan_po_dolaniu]]+pogoda45[[#This Row],[ile_dolać_do_podlania]]</f>
        <v>25000</v>
      </c>
      <c r="L124">
        <f>pogoda45[[#This Row],[stan_po_dolaniu_do_podlania]]-pogoda45[[#This Row],[ile_podlewamy]]</f>
        <v>13000</v>
      </c>
    </row>
    <row r="125" spans="1:12" x14ac:dyDescent="0.25">
      <c r="A125" s="2">
        <v>42218</v>
      </c>
      <c r="B125">
        <v>22</v>
      </c>
      <c r="C125">
        <v>0</v>
      </c>
      <c r="D125">
        <f t="shared" si="1"/>
        <v>13000</v>
      </c>
      <c r="E125">
        <f>IF(C125=0,ROUNDUP($AB$3*POWER(pogoda45[[#This Row],[temperatura_srednia]],1.5)*pogoda45[[#This Row],[stan_przed_dolaniem]],0),0)</f>
        <v>403</v>
      </c>
      <c r="F125">
        <f>pogoda45[[#This Row],[stan_przed_dolaniem]]-pogoda45[[#This Row],[ubytek]]</f>
        <v>12597</v>
      </c>
      <c r="G125">
        <f>IF(pogoda45[[#This Row],[opady]]*$AB$1+D125&gt;$AB$2,$AB$2-pogoda45[[#This Row],[stan_przed_dolaniem]],pogoda45[[#This Row],[opady]]*$AB$1)</f>
        <v>0</v>
      </c>
      <c r="H125">
        <f>pogoda45[[#This Row],[stan_po_ubytku]]+pogoda45[[#This Row],[ile_pogoda_dolała]]</f>
        <v>12597</v>
      </c>
      <c r="I125" cm="1">
        <f t="array" ref="I125">_xlfn.IFS(OR(pogoda45[[#This Row],[temperatura_srednia]]&lt;=15,pogoda45[[#This Row],[opady]]&gt;0.61),0,pogoda45[[#This Row],[temperatura_srednia]]&gt;30,24000,pogoda45[[#This Row],[temperatura_srednia]]&gt;15,12000)</f>
        <v>12000</v>
      </c>
      <c r="J125">
        <f>IF(pogoda45[[#This Row],[stan_po_dolaniu]]&lt;pogoda45[[#This Row],[ile_podlewamy]],$AB$2-pogoda45[[#This Row],[stan_po_dolaniu]],0)</f>
        <v>0</v>
      </c>
      <c r="K125">
        <f>pogoda45[[#This Row],[stan_po_dolaniu]]+pogoda45[[#This Row],[ile_dolać_do_podlania]]</f>
        <v>12597</v>
      </c>
      <c r="L125">
        <f>pogoda45[[#This Row],[stan_po_dolaniu_do_podlania]]-pogoda45[[#This Row],[ile_podlewamy]]</f>
        <v>597</v>
      </c>
    </row>
    <row r="126" spans="1:12" x14ac:dyDescent="0.25">
      <c r="A126" s="2">
        <v>42219</v>
      </c>
      <c r="B126">
        <v>22</v>
      </c>
      <c r="C126">
        <v>0</v>
      </c>
      <c r="D126">
        <f t="shared" si="1"/>
        <v>597</v>
      </c>
      <c r="E126">
        <f>IF(C126=0,ROUNDUP($AB$3*POWER(pogoda45[[#This Row],[temperatura_srednia]],1.5)*pogoda45[[#This Row],[stan_przed_dolaniem]],0),0)</f>
        <v>19</v>
      </c>
      <c r="F126">
        <f>pogoda45[[#This Row],[stan_przed_dolaniem]]-pogoda45[[#This Row],[ubytek]]</f>
        <v>578</v>
      </c>
      <c r="G126">
        <f>IF(pogoda45[[#This Row],[opady]]*$AB$1+D126&gt;$AB$2,$AB$2-pogoda45[[#This Row],[stan_przed_dolaniem]],pogoda45[[#This Row],[opady]]*$AB$1)</f>
        <v>0</v>
      </c>
      <c r="H126">
        <f>pogoda45[[#This Row],[stan_po_ubytku]]+pogoda45[[#This Row],[ile_pogoda_dolała]]</f>
        <v>578</v>
      </c>
      <c r="I126" cm="1">
        <f t="array" ref="I126">_xlfn.IFS(OR(pogoda45[[#This Row],[temperatura_srednia]]&lt;=15,pogoda45[[#This Row],[opady]]&gt;0.61),0,pogoda45[[#This Row],[temperatura_srednia]]&gt;30,24000,pogoda45[[#This Row],[temperatura_srednia]]&gt;15,12000)</f>
        <v>12000</v>
      </c>
      <c r="J126">
        <f>IF(pogoda45[[#This Row],[stan_po_dolaniu]]&lt;pogoda45[[#This Row],[ile_podlewamy]],$AB$2-pogoda45[[#This Row],[stan_po_dolaniu]],0)</f>
        <v>24422</v>
      </c>
      <c r="K126">
        <f>pogoda45[[#This Row],[stan_po_dolaniu]]+pogoda45[[#This Row],[ile_dolać_do_podlania]]</f>
        <v>25000</v>
      </c>
      <c r="L126">
        <f>pogoda45[[#This Row],[stan_po_dolaniu_do_podlania]]-pogoda45[[#This Row],[ile_podlewamy]]</f>
        <v>13000</v>
      </c>
    </row>
    <row r="127" spans="1:12" x14ac:dyDescent="0.25">
      <c r="A127" s="2">
        <v>42220</v>
      </c>
      <c r="B127">
        <v>25</v>
      </c>
      <c r="C127">
        <v>0</v>
      </c>
      <c r="D127">
        <f t="shared" si="1"/>
        <v>13000</v>
      </c>
      <c r="E127">
        <f>IF(C127=0,ROUNDUP($AB$3*POWER(pogoda45[[#This Row],[temperatura_srednia]],1.5)*pogoda45[[#This Row],[stan_przed_dolaniem]],0),0)</f>
        <v>488</v>
      </c>
      <c r="F127">
        <f>pogoda45[[#This Row],[stan_przed_dolaniem]]-pogoda45[[#This Row],[ubytek]]</f>
        <v>12512</v>
      </c>
      <c r="G127">
        <f>IF(pogoda45[[#This Row],[opady]]*$AB$1+D127&gt;$AB$2,$AB$2-pogoda45[[#This Row],[stan_przed_dolaniem]],pogoda45[[#This Row],[opady]]*$AB$1)</f>
        <v>0</v>
      </c>
      <c r="H127">
        <f>pogoda45[[#This Row],[stan_po_ubytku]]+pogoda45[[#This Row],[ile_pogoda_dolała]]</f>
        <v>12512</v>
      </c>
      <c r="I127" cm="1">
        <f t="array" ref="I127">_xlfn.IFS(OR(pogoda45[[#This Row],[temperatura_srednia]]&lt;=15,pogoda45[[#This Row],[opady]]&gt;0.61),0,pogoda45[[#This Row],[temperatura_srednia]]&gt;30,24000,pogoda45[[#This Row],[temperatura_srednia]]&gt;15,12000)</f>
        <v>12000</v>
      </c>
      <c r="J127">
        <f>IF(pogoda45[[#This Row],[stan_po_dolaniu]]&lt;pogoda45[[#This Row],[ile_podlewamy]],$AB$2-pogoda45[[#This Row],[stan_po_dolaniu]],0)</f>
        <v>0</v>
      </c>
      <c r="K127">
        <f>pogoda45[[#This Row],[stan_po_dolaniu]]+pogoda45[[#This Row],[ile_dolać_do_podlania]]</f>
        <v>12512</v>
      </c>
      <c r="L127">
        <f>pogoda45[[#This Row],[stan_po_dolaniu_do_podlania]]-pogoda45[[#This Row],[ile_podlewamy]]</f>
        <v>512</v>
      </c>
    </row>
    <row r="128" spans="1:12" x14ac:dyDescent="0.25">
      <c r="A128" s="2">
        <v>42221</v>
      </c>
      <c r="B128">
        <v>24</v>
      </c>
      <c r="C128">
        <v>0</v>
      </c>
      <c r="D128">
        <f t="shared" si="1"/>
        <v>512</v>
      </c>
      <c r="E128">
        <f>IF(C128=0,ROUNDUP($AB$3*POWER(pogoda45[[#This Row],[temperatura_srednia]],1.5)*pogoda45[[#This Row],[stan_przed_dolaniem]],0),0)</f>
        <v>19</v>
      </c>
      <c r="F128">
        <f>pogoda45[[#This Row],[stan_przed_dolaniem]]-pogoda45[[#This Row],[ubytek]]</f>
        <v>493</v>
      </c>
      <c r="G128">
        <f>IF(pogoda45[[#This Row],[opady]]*$AB$1+D128&gt;$AB$2,$AB$2-pogoda45[[#This Row],[stan_przed_dolaniem]],pogoda45[[#This Row],[opady]]*$AB$1)</f>
        <v>0</v>
      </c>
      <c r="H128">
        <f>pogoda45[[#This Row],[stan_po_ubytku]]+pogoda45[[#This Row],[ile_pogoda_dolała]]</f>
        <v>493</v>
      </c>
      <c r="I128" cm="1">
        <f t="array" ref="I128">_xlfn.IFS(OR(pogoda45[[#This Row],[temperatura_srednia]]&lt;=15,pogoda45[[#This Row],[opady]]&gt;0.61),0,pogoda45[[#This Row],[temperatura_srednia]]&gt;30,24000,pogoda45[[#This Row],[temperatura_srednia]]&gt;15,12000)</f>
        <v>12000</v>
      </c>
      <c r="J128">
        <f>IF(pogoda45[[#This Row],[stan_po_dolaniu]]&lt;pogoda45[[#This Row],[ile_podlewamy]],$AB$2-pogoda45[[#This Row],[stan_po_dolaniu]],0)</f>
        <v>24507</v>
      </c>
      <c r="K128">
        <f>pogoda45[[#This Row],[stan_po_dolaniu]]+pogoda45[[#This Row],[ile_dolać_do_podlania]]</f>
        <v>25000</v>
      </c>
      <c r="L128">
        <f>pogoda45[[#This Row],[stan_po_dolaniu_do_podlania]]-pogoda45[[#This Row],[ile_podlewamy]]</f>
        <v>13000</v>
      </c>
    </row>
    <row r="129" spans="1:12" x14ac:dyDescent="0.25">
      <c r="A129" s="2">
        <v>42222</v>
      </c>
      <c r="B129">
        <v>24</v>
      </c>
      <c r="C129">
        <v>0</v>
      </c>
      <c r="D129">
        <f t="shared" si="1"/>
        <v>13000</v>
      </c>
      <c r="E129">
        <f>IF(C129=0,ROUNDUP($AB$3*POWER(pogoda45[[#This Row],[temperatura_srednia]],1.5)*pogoda45[[#This Row],[stan_przed_dolaniem]],0),0)</f>
        <v>459</v>
      </c>
      <c r="F129">
        <f>pogoda45[[#This Row],[stan_przed_dolaniem]]-pogoda45[[#This Row],[ubytek]]</f>
        <v>12541</v>
      </c>
      <c r="G129">
        <f>IF(pogoda45[[#This Row],[opady]]*$AB$1+D129&gt;$AB$2,$AB$2-pogoda45[[#This Row],[stan_przed_dolaniem]],pogoda45[[#This Row],[opady]]*$AB$1)</f>
        <v>0</v>
      </c>
      <c r="H129">
        <f>pogoda45[[#This Row],[stan_po_ubytku]]+pogoda45[[#This Row],[ile_pogoda_dolała]]</f>
        <v>12541</v>
      </c>
      <c r="I129" cm="1">
        <f t="array" ref="I129">_xlfn.IFS(OR(pogoda45[[#This Row],[temperatura_srednia]]&lt;=15,pogoda45[[#This Row],[opady]]&gt;0.61),0,pogoda45[[#This Row],[temperatura_srednia]]&gt;30,24000,pogoda45[[#This Row],[temperatura_srednia]]&gt;15,12000)</f>
        <v>12000</v>
      </c>
      <c r="J129">
        <f>IF(pogoda45[[#This Row],[stan_po_dolaniu]]&lt;pogoda45[[#This Row],[ile_podlewamy]],$AB$2-pogoda45[[#This Row],[stan_po_dolaniu]],0)</f>
        <v>0</v>
      </c>
      <c r="K129">
        <f>pogoda45[[#This Row],[stan_po_dolaniu]]+pogoda45[[#This Row],[ile_dolać_do_podlania]]</f>
        <v>12541</v>
      </c>
      <c r="L129">
        <f>pogoda45[[#This Row],[stan_po_dolaniu_do_podlania]]-pogoda45[[#This Row],[ile_podlewamy]]</f>
        <v>541</v>
      </c>
    </row>
    <row r="130" spans="1:12" x14ac:dyDescent="0.25">
      <c r="A130" s="2">
        <v>42223</v>
      </c>
      <c r="B130">
        <v>28</v>
      </c>
      <c r="C130">
        <v>0</v>
      </c>
      <c r="D130">
        <f t="shared" si="1"/>
        <v>541</v>
      </c>
      <c r="E130">
        <f>IF(C130=0,ROUNDUP($AB$3*POWER(pogoda45[[#This Row],[temperatura_srednia]],1.5)*pogoda45[[#This Row],[stan_przed_dolaniem]],0),0)</f>
        <v>25</v>
      </c>
      <c r="F130">
        <f>pogoda45[[#This Row],[stan_przed_dolaniem]]-pogoda45[[#This Row],[ubytek]]</f>
        <v>516</v>
      </c>
      <c r="G130">
        <f>IF(pogoda45[[#This Row],[opady]]*$AB$1+D130&gt;$AB$2,$AB$2-pogoda45[[#This Row],[stan_przed_dolaniem]],pogoda45[[#This Row],[opady]]*$AB$1)</f>
        <v>0</v>
      </c>
      <c r="H130">
        <f>pogoda45[[#This Row],[stan_po_ubytku]]+pogoda45[[#This Row],[ile_pogoda_dolała]]</f>
        <v>516</v>
      </c>
      <c r="I130" cm="1">
        <f t="array" ref="I130">_xlfn.IFS(OR(pogoda45[[#This Row],[temperatura_srednia]]&lt;=15,pogoda45[[#This Row],[opady]]&gt;0.61),0,pogoda45[[#This Row],[temperatura_srednia]]&gt;30,24000,pogoda45[[#This Row],[temperatura_srednia]]&gt;15,12000)</f>
        <v>12000</v>
      </c>
      <c r="J130">
        <f>IF(pogoda45[[#This Row],[stan_po_dolaniu]]&lt;pogoda45[[#This Row],[ile_podlewamy]],$AB$2-pogoda45[[#This Row],[stan_po_dolaniu]],0)</f>
        <v>24484</v>
      </c>
      <c r="K130">
        <f>pogoda45[[#This Row],[stan_po_dolaniu]]+pogoda45[[#This Row],[ile_dolać_do_podlania]]</f>
        <v>25000</v>
      </c>
      <c r="L130">
        <f>pogoda45[[#This Row],[stan_po_dolaniu_do_podlania]]-pogoda45[[#This Row],[ile_podlewamy]]</f>
        <v>13000</v>
      </c>
    </row>
    <row r="131" spans="1:12" x14ac:dyDescent="0.25">
      <c r="A131" s="2">
        <v>42224</v>
      </c>
      <c r="B131">
        <v>28</v>
      </c>
      <c r="C131">
        <v>0</v>
      </c>
      <c r="D131">
        <f t="shared" si="1"/>
        <v>13000</v>
      </c>
      <c r="E131">
        <f>IF(C131=0,ROUNDUP($AB$3*POWER(pogoda45[[#This Row],[temperatura_srednia]],1.5)*pogoda45[[#This Row],[stan_przed_dolaniem]],0),0)</f>
        <v>578</v>
      </c>
      <c r="F131">
        <f>pogoda45[[#This Row],[stan_przed_dolaniem]]-pogoda45[[#This Row],[ubytek]]</f>
        <v>12422</v>
      </c>
      <c r="G131">
        <f>IF(pogoda45[[#This Row],[opady]]*$AB$1+D131&gt;$AB$2,$AB$2-pogoda45[[#This Row],[stan_przed_dolaniem]],pogoda45[[#This Row],[opady]]*$AB$1)</f>
        <v>0</v>
      </c>
      <c r="H131">
        <f>pogoda45[[#This Row],[stan_po_ubytku]]+pogoda45[[#This Row],[ile_pogoda_dolała]]</f>
        <v>12422</v>
      </c>
      <c r="I131" cm="1">
        <f t="array" ref="I131">_xlfn.IFS(OR(pogoda45[[#This Row],[temperatura_srednia]]&lt;=15,pogoda45[[#This Row],[opady]]&gt;0.61),0,pogoda45[[#This Row],[temperatura_srednia]]&gt;30,24000,pogoda45[[#This Row],[temperatura_srednia]]&gt;15,12000)</f>
        <v>12000</v>
      </c>
      <c r="J131">
        <f>IF(pogoda45[[#This Row],[stan_po_dolaniu]]&lt;pogoda45[[#This Row],[ile_podlewamy]],$AB$2-pogoda45[[#This Row],[stan_po_dolaniu]],0)</f>
        <v>0</v>
      </c>
      <c r="K131">
        <f>pogoda45[[#This Row],[stan_po_dolaniu]]+pogoda45[[#This Row],[ile_dolać_do_podlania]]</f>
        <v>12422</v>
      </c>
      <c r="L131">
        <f>pogoda45[[#This Row],[stan_po_dolaniu_do_podlania]]-pogoda45[[#This Row],[ile_podlewamy]]</f>
        <v>422</v>
      </c>
    </row>
    <row r="132" spans="1:12" x14ac:dyDescent="0.25">
      <c r="A132" s="2">
        <v>42225</v>
      </c>
      <c r="B132">
        <v>24</v>
      </c>
      <c r="C132">
        <v>0</v>
      </c>
      <c r="D132">
        <f t="shared" ref="D132:D184" si="2">L131</f>
        <v>422</v>
      </c>
      <c r="E132">
        <f>IF(C132=0,ROUNDUP($AB$3*POWER(pogoda45[[#This Row],[temperatura_srednia]],1.5)*pogoda45[[#This Row],[stan_przed_dolaniem]],0),0)</f>
        <v>15</v>
      </c>
      <c r="F132">
        <f>pogoda45[[#This Row],[stan_przed_dolaniem]]-pogoda45[[#This Row],[ubytek]]</f>
        <v>407</v>
      </c>
      <c r="G132">
        <f>IF(pogoda45[[#This Row],[opady]]*$AB$1+D132&gt;$AB$2,$AB$2-pogoda45[[#This Row],[stan_przed_dolaniem]],pogoda45[[#This Row],[opady]]*$AB$1)</f>
        <v>0</v>
      </c>
      <c r="H132">
        <f>pogoda45[[#This Row],[stan_po_ubytku]]+pogoda45[[#This Row],[ile_pogoda_dolała]]</f>
        <v>407</v>
      </c>
      <c r="I132" cm="1">
        <f t="array" ref="I132">_xlfn.IFS(OR(pogoda45[[#This Row],[temperatura_srednia]]&lt;=15,pogoda45[[#This Row],[opady]]&gt;0.61),0,pogoda45[[#This Row],[temperatura_srednia]]&gt;30,24000,pogoda45[[#This Row],[temperatura_srednia]]&gt;15,12000)</f>
        <v>12000</v>
      </c>
      <c r="J132">
        <f>IF(pogoda45[[#This Row],[stan_po_dolaniu]]&lt;pogoda45[[#This Row],[ile_podlewamy]],$AB$2-pogoda45[[#This Row],[stan_po_dolaniu]],0)</f>
        <v>24593</v>
      </c>
      <c r="K132">
        <f>pogoda45[[#This Row],[stan_po_dolaniu]]+pogoda45[[#This Row],[ile_dolać_do_podlania]]</f>
        <v>25000</v>
      </c>
      <c r="L132">
        <f>pogoda45[[#This Row],[stan_po_dolaniu_do_podlania]]-pogoda45[[#This Row],[ile_podlewamy]]</f>
        <v>13000</v>
      </c>
    </row>
    <row r="133" spans="1:12" x14ac:dyDescent="0.25">
      <c r="A133" s="2">
        <v>42226</v>
      </c>
      <c r="B133">
        <v>24</v>
      </c>
      <c r="C133">
        <v>0</v>
      </c>
      <c r="D133">
        <f t="shared" si="2"/>
        <v>13000</v>
      </c>
      <c r="E133">
        <f>IF(C133=0,ROUNDUP($AB$3*POWER(pogoda45[[#This Row],[temperatura_srednia]],1.5)*pogoda45[[#This Row],[stan_przed_dolaniem]],0),0)</f>
        <v>459</v>
      </c>
      <c r="F133">
        <f>pogoda45[[#This Row],[stan_przed_dolaniem]]-pogoda45[[#This Row],[ubytek]]</f>
        <v>12541</v>
      </c>
      <c r="G133">
        <f>IF(pogoda45[[#This Row],[opady]]*$AB$1+D133&gt;$AB$2,$AB$2-pogoda45[[#This Row],[stan_przed_dolaniem]],pogoda45[[#This Row],[opady]]*$AB$1)</f>
        <v>0</v>
      </c>
      <c r="H133">
        <f>pogoda45[[#This Row],[stan_po_ubytku]]+pogoda45[[#This Row],[ile_pogoda_dolała]]</f>
        <v>12541</v>
      </c>
      <c r="I133" cm="1">
        <f t="array" ref="I133">_xlfn.IFS(OR(pogoda45[[#This Row],[temperatura_srednia]]&lt;=15,pogoda45[[#This Row],[opady]]&gt;0.61),0,pogoda45[[#This Row],[temperatura_srednia]]&gt;30,24000,pogoda45[[#This Row],[temperatura_srednia]]&gt;15,12000)</f>
        <v>12000</v>
      </c>
      <c r="J133">
        <f>IF(pogoda45[[#This Row],[stan_po_dolaniu]]&lt;pogoda45[[#This Row],[ile_podlewamy]],$AB$2-pogoda45[[#This Row],[stan_po_dolaniu]],0)</f>
        <v>0</v>
      </c>
      <c r="K133">
        <f>pogoda45[[#This Row],[stan_po_dolaniu]]+pogoda45[[#This Row],[ile_dolać_do_podlania]]</f>
        <v>12541</v>
      </c>
      <c r="L133">
        <f>pogoda45[[#This Row],[stan_po_dolaniu_do_podlania]]-pogoda45[[#This Row],[ile_podlewamy]]</f>
        <v>541</v>
      </c>
    </row>
    <row r="134" spans="1:12" x14ac:dyDescent="0.25">
      <c r="A134" s="2">
        <v>42227</v>
      </c>
      <c r="B134">
        <v>26</v>
      </c>
      <c r="C134">
        <v>0</v>
      </c>
      <c r="D134">
        <f t="shared" si="2"/>
        <v>541</v>
      </c>
      <c r="E134">
        <f>IF(C134=0,ROUNDUP($AB$3*POWER(pogoda45[[#This Row],[temperatura_srednia]],1.5)*pogoda45[[#This Row],[stan_przed_dolaniem]],0),0)</f>
        <v>22</v>
      </c>
      <c r="F134">
        <f>pogoda45[[#This Row],[stan_przed_dolaniem]]-pogoda45[[#This Row],[ubytek]]</f>
        <v>519</v>
      </c>
      <c r="G134">
        <f>IF(pogoda45[[#This Row],[opady]]*$AB$1+D134&gt;$AB$2,$AB$2-pogoda45[[#This Row],[stan_przed_dolaniem]],pogoda45[[#This Row],[opady]]*$AB$1)</f>
        <v>0</v>
      </c>
      <c r="H134">
        <f>pogoda45[[#This Row],[stan_po_ubytku]]+pogoda45[[#This Row],[ile_pogoda_dolała]]</f>
        <v>519</v>
      </c>
      <c r="I134" cm="1">
        <f t="array" ref="I134">_xlfn.IFS(OR(pogoda45[[#This Row],[temperatura_srednia]]&lt;=15,pogoda45[[#This Row],[opady]]&gt;0.61),0,pogoda45[[#This Row],[temperatura_srednia]]&gt;30,24000,pogoda45[[#This Row],[temperatura_srednia]]&gt;15,12000)</f>
        <v>12000</v>
      </c>
      <c r="J134">
        <f>IF(pogoda45[[#This Row],[stan_po_dolaniu]]&lt;pogoda45[[#This Row],[ile_podlewamy]],$AB$2-pogoda45[[#This Row],[stan_po_dolaniu]],0)</f>
        <v>24481</v>
      </c>
      <c r="K134">
        <f>pogoda45[[#This Row],[stan_po_dolaniu]]+pogoda45[[#This Row],[ile_dolać_do_podlania]]</f>
        <v>25000</v>
      </c>
      <c r="L134">
        <f>pogoda45[[#This Row],[stan_po_dolaniu_do_podlania]]-pogoda45[[#This Row],[ile_podlewamy]]</f>
        <v>13000</v>
      </c>
    </row>
    <row r="135" spans="1:12" x14ac:dyDescent="0.25">
      <c r="A135" s="2">
        <v>42228</v>
      </c>
      <c r="B135">
        <v>32</v>
      </c>
      <c r="C135">
        <v>0.6</v>
      </c>
      <c r="D135">
        <f t="shared" si="2"/>
        <v>13000</v>
      </c>
      <c r="E135">
        <f>IF(C135=0,ROUNDUP($AB$3*POWER(pogoda45[[#This Row],[temperatura_srednia]],1.5)*pogoda45[[#This Row],[stan_przed_dolaniem]],0),0)</f>
        <v>0</v>
      </c>
      <c r="F135">
        <f>pogoda45[[#This Row],[stan_przed_dolaniem]]-pogoda45[[#This Row],[ubytek]]</f>
        <v>13000</v>
      </c>
      <c r="G135">
        <f>IF(pogoda45[[#This Row],[opady]]*$AB$1+D135&gt;$AB$2,$AB$2-pogoda45[[#This Row],[stan_przed_dolaniem]],pogoda45[[#This Row],[opady]]*$AB$1)</f>
        <v>420</v>
      </c>
      <c r="H135">
        <f>pogoda45[[#This Row],[stan_po_ubytku]]+pogoda45[[#This Row],[ile_pogoda_dolała]]</f>
        <v>13420</v>
      </c>
      <c r="I135" cm="1">
        <f t="array" ref="I135">_xlfn.IFS(OR(pogoda45[[#This Row],[temperatura_srednia]]&lt;=15,pogoda45[[#This Row],[opady]]&gt;0.61),0,pogoda45[[#This Row],[temperatura_srednia]]&gt;30,24000,pogoda45[[#This Row],[temperatura_srednia]]&gt;15,12000)</f>
        <v>24000</v>
      </c>
      <c r="J135">
        <f>IF(pogoda45[[#This Row],[stan_po_dolaniu]]&lt;pogoda45[[#This Row],[ile_podlewamy]],$AB$2-pogoda45[[#This Row],[stan_po_dolaniu]],0)</f>
        <v>11580</v>
      </c>
      <c r="K135">
        <f>pogoda45[[#This Row],[stan_po_dolaniu]]+pogoda45[[#This Row],[ile_dolać_do_podlania]]</f>
        <v>25000</v>
      </c>
      <c r="L135">
        <f>pogoda45[[#This Row],[stan_po_dolaniu_do_podlania]]-pogoda45[[#This Row],[ile_podlewamy]]</f>
        <v>1000</v>
      </c>
    </row>
    <row r="136" spans="1:12" x14ac:dyDescent="0.25">
      <c r="A136" s="2">
        <v>42229</v>
      </c>
      <c r="B136">
        <v>31</v>
      </c>
      <c r="C136">
        <v>0.1</v>
      </c>
      <c r="D136">
        <f t="shared" si="2"/>
        <v>1000</v>
      </c>
      <c r="E136">
        <f>IF(C136=0,ROUNDUP($AB$3*POWER(pogoda45[[#This Row],[temperatura_srednia]],1.5)*pogoda45[[#This Row],[stan_przed_dolaniem]],0),0)</f>
        <v>0</v>
      </c>
      <c r="F136">
        <f>pogoda45[[#This Row],[stan_przed_dolaniem]]-pogoda45[[#This Row],[ubytek]]</f>
        <v>1000</v>
      </c>
      <c r="G136">
        <f>IF(pogoda45[[#This Row],[opady]]*$AB$1+D136&gt;$AB$2,$AB$2-pogoda45[[#This Row],[stan_przed_dolaniem]],pogoda45[[#This Row],[opady]]*$AB$1)</f>
        <v>70</v>
      </c>
      <c r="H136">
        <f>pogoda45[[#This Row],[stan_po_ubytku]]+pogoda45[[#This Row],[ile_pogoda_dolała]]</f>
        <v>1070</v>
      </c>
      <c r="I136" cm="1">
        <f t="array" ref="I136">_xlfn.IFS(OR(pogoda45[[#This Row],[temperatura_srednia]]&lt;=15,pogoda45[[#This Row],[opady]]&gt;0.61),0,pogoda45[[#This Row],[temperatura_srednia]]&gt;30,24000,pogoda45[[#This Row],[temperatura_srednia]]&gt;15,12000)</f>
        <v>24000</v>
      </c>
      <c r="J136">
        <f>IF(pogoda45[[#This Row],[stan_po_dolaniu]]&lt;pogoda45[[#This Row],[ile_podlewamy]],$AB$2-pogoda45[[#This Row],[stan_po_dolaniu]],0)</f>
        <v>23930</v>
      </c>
      <c r="K136">
        <f>pogoda45[[#This Row],[stan_po_dolaniu]]+pogoda45[[#This Row],[ile_dolać_do_podlania]]</f>
        <v>25000</v>
      </c>
      <c r="L136">
        <f>pogoda45[[#This Row],[stan_po_dolaniu_do_podlania]]-pogoda45[[#This Row],[ile_podlewamy]]</f>
        <v>1000</v>
      </c>
    </row>
    <row r="137" spans="1:12" x14ac:dyDescent="0.25">
      <c r="A137" s="2">
        <v>42230</v>
      </c>
      <c r="B137">
        <v>33</v>
      </c>
      <c r="C137">
        <v>0</v>
      </c>
      <c r="D137">
        <f t="shared" si="2"/>
        <v>1000</v>
      </c>
      <c r="E137">
        <f>IF(C137=0,ROUNDUP($AB$3*POWER(pogoda45[[#This Row],[temperatura_srednia]],1.5)*pogoda45[[#This Row],[stan_przed_dolaniem]],0),0)</f>
        <v>57</v>
      </c>
      <c r="F137">
        <f>pogoda45[[#This Row],[stan_przed_dolaniem]]-pogoda45[[#This Row],[ubytek]]</f>
        <v>943</v>
      </c>
      <c r="G137">
        <f>IF(pogoda45[[#This Row],[opady]]*$AB$1+D137&gt;$AB$2,$AB$2-pogoda45[[#This Row],[stan_przed_dolaniem]],pogoda45[[#This Row],[opady]]*$AB$1)</f>
        <v>0</v>
      </c>
      <c r="H137">
        <f>pogoda45[[#This Row],[stan_po_ubytku]]+pogoda45[[#This Row],[ile_pogoda_dolała]]</f>
        <v>943</v>
      </c>
      <c r="I137" cm="1">
        <f t="array" ref="I137">_xlfn.IFS(OR(pogoda45[[#This Row],[temperatura_srednia]]&lt;=15,pogoda45[[#This Row],[opady]]&gt;0.61),0,pogoda45[[#This Row],[temperatura_srednia]]&gt;30,24000,pogoda45[[#This Row],[temperatura_srednia]]&gt;15,12000)</f>
        <v>24000</v>
      </c>
      <c r="J137">
        <f>IF(pogoda45[[#This Row],[stan_po_dolaniu]]&lt;pogoda45[[#This Row],[ile_podlewamy]],$AB$2-pogoda45[[#This Row],[stan_po_dolaniu]],0)</f>
        <v>24057</v>
      </c>
      <c r="K137">
        <f>pogoda45[[#This Row],[stan_po_dolaniu]]+pogoda45[[#This Row],[ile_dolać_do_podlania]]</f>
        <v>25000</v>
      </c>
      <c r="L137">
        <f>pogoda45[[#This Row],[stan_po_dolaniu_do_podlania]]-pogoda45[[#This Row],[ile_podlewamy]]</f>
        <v>1000</v>
      </c>
    </row>
    <row r="138" spans="1:12" x14ac:dyDescent="0.25">
      <c r="A138" s="2">
        <v>42231</v>
      </c>
      <c r="B138">
        <v>31</v>
      </c>
      <c r="C138">
        <v>12</v>
      </c>
      <c r="D138">
        <f t="shared" si="2"/>
        <v>1000</v>
      </c>
      <c r="E138">
        <f>IF(C138=0,ROUNDUP($AB$3*POWER(pogoda45[[#This Row],[temperatura_srednia]],1.5)*pogoda45[[#This Row],[stan_przed_dolaniem]],0),0)</f>
        <v>0</v>
      </c>
      <c r="F138">
        <f>pogoda45[[#This Row],[stan_przed_dolaniem]]-pogoda45[[#This Row],[ubytek]]</f>
        <v>1000</v>
      </c>
      <c r="G138">
        <f>IF(pogoda45[[#This Row],[opady]]*$AB$1+D138&gt;$AB$2,$AB$2-pogoda45[[#This Row],[stan_przed_dolaniem]],pogoda45[[#This Row],[opady]]*$AB$1)</f>
        <v>8400</v>
      </c>
      <c r="H138">
        <f>pogoda45[[#This Row],[stan_po_ubytku]]+pogoda45[[#This Row],[ile_pogoda_dolała]]</f>
        <v>9400</v>
      </c>
      <c r="I138" cm="1">
        <f t="array" ref="I138">_xlfn.IFS(OR(pogoda45[[#This Row],[temperatura_srednia]]&lt;=15,pogoda45[[#This Row],[opady]]&gt;0.61),0,pogoda45[[#This Row],[temperatura_srednia]]&gt;30,24000,pogoda45[[#This Row],[temperatura_srednia]]&gt;15,12000)</f>
        <v>0</v>
      </c>
      <c r="J138">
        <f>IF(pogoda45[[#This Row],[stan_po_dolaniu]]&lt;pogoda45[[#This Row],[ile_podlewamy]],$AB$2-pogoda45[[#This Row],[stan_po_dolaniu]],0)</f>
        <v>0</v>
      </c>
      <c r="K138">
        <f>pogoda45[[#This Row],[stan_po_dolaniu]]+pogoda45[[#This Row],[ile_dolać_do_podlania]]</f>
        <v>9400</v>
      </c>
      <c r="L138">
        <f>pogoda45[[#This Row],[stan_po_dolaniu_do_podlania]]-pogoda45[[#This Row],[ile_podlewamy]]</f>
        <v>9400</v>
      </c>
    </row>
    <row r="139" spans="1:12" x14ac:dyDescent="0.25">
      <c r="A139" s="2">
        <v>42232</v>
      </c>
      <c r="B139">
        <v>22</v>
      </c>
      <c r="C139">
        <v>0</v>
      </c>
      <c r="D139">
        <f t="shared" si="2"/>
        <v>9400</v>
      </c>
      <c r="E139">
        <f>IF(C139=0,ROUNDUP($AB$3*POWER(pogoda45[[#This Row],[temperatura_srednia]],1.5)*pogoda45[[#This Row],[stan_przed_dolaniem]],0),0)</f>
        <v>291</v>
      </c>
      <c r="F139">
        <f>pogoda45[[#This Row],[stan_przed_dolaniem]]-pogoda45[[#This Row],[ubytek]]</f>
        <v>9109</v>
      </c>
      <c r="G139">
        <f>IF(pogoda45[[#This Row],[opady]]*$AB$1+D139&gt;$AB$2,$AB$2-pogoda45[[#This Row],[stan_przed_dolaniem]],pogoda45[[#This Row],[opady]]*$AB$1)</f>
        <v>0</v>
      </c>
      <c r="H139">
        <f>pogoda45[[#This Row],[stan_po_ubytku]]+pogoda45[[#This Row],[ile_pogoda_dolała]]</f>
        <v>9109</v>
      </c>
      <c r="I139" cm="1">
        <f t="array" ref="I139">_xlfn.IFS(OR(pogoda45[[#This Row],[temperatura_srednia]]&lt;=15,pogoda45[[#This Row],[opady]]&gt;0.61),0,pogoda45[[#This Row],[temperatura_srednia]]&gt;30,24000,pogoda45[[#This Row],[temperatura_srednia]]&gt;15,12000)</f>
        <v>12000</v>
      </c>
      <c r="J139">
        <f>IF(pogoda45[[#This Row],[stan_po_dolaniu]]&lt;pogoda45[[#This Row],[ile_podlewamy]],$AB$2-pogoda45[[#This Row],[stan_po_dolaniu]],0)</f>
        <v>15891</v>
      </c>
      <c r="K139">
        <f>pogoda45[[#This Row],[stan_po_dolaniu]]+pogoda45[[#This Row],[ile_dolać_do_podlania]]</f>
        <v>25000</v>
      </c>
      <c r="L139">
        <f>pogoda45[[#This Row],[stan_po_dolaniu_do_podlania]]-pogoda45[[#This Row],[ile_podlewamy]]</f>
        <v>13000</v>
      </c>
    </row>
    <row r="140" spans="1:12" x14ac:dyDescent="0.25">
      <c r="A140" s="2">
        <v>42233</v>
      </c>
      <c r="B140">
        <v>24</v>
      </c>
      <c r="C140">
        <v>0.2</v>
      </c>
      <c r="D140">
        <f t="shared" si="2"/>
        <v>13000</v>
      </c>
      <c r="E140">
        <f>IF(C140=0,ROUNDUP($AB$3*POWER(pogoda45[[#This Row],[temperatura_srednia]],1.5)*pogoda45[[#This Row],[stan_przed_dolaniem]],0),0)</f>
        <v>0</v>
      </c>
      <c r="F140">
        <f>pogoda45[[#This Row],[stan_przed_dolaniem]]-pogoda45[[#This Row],[ubytek]]</f>
        <v>13000</v>
      </c>
      <c r="G140">
        <f>IF(pogoda45[[#This Row],[opady]]*$AB$1+D140&gt;$AB$2,$AB$2-pogoda45[[#This Row],[stan_przed_dolaniem]],pogoda45[[#This Row],[opady]]*$AB$1)</f>
        <v>140</v>
      </c>
      <c r="H140">
        <f>pogoda45[[#This Row],[stan_po_ubytku]]+pogoda45[[#This Row],[ile_pogoda_dolała]]</f>
        <v>13140</v>
      </c>
      <c r="I140" cm="1">
        <f t="array" ref="I140">_xlfn.IFS(OR(pogoda45[[#This Row],[temperatura_srednia]]&lt;=15,pogoda45[[#This Row],[opady]]&gt;0.61),0,pogoda45[[#This Row],[temperatura_srednia]]&gt;30,24000,pogoda45[[#This Row],[temperatura_srednia]]&gt;15,12000)</f>
        <v>12000</v>
      </c>
      <c r="J140">
        <f>IF(pogoda45[[#This Row],[stan_po_dolaniu]]&lt;pogoda45[[#This Row],[ile_podlewamy]],$AB$2-pogoda45[[#This Row],[stan_po_dolaniu]],0)</f>
        <v>0</v>
      </c>
      <c r="K140">
        <f>pogoda45[[#This Row],[stan_po_dolaniu]]+pogoda45[[#This Row],[ile_dolać_do_podlania]]</f>
        <v>13140</v>
      </c>
      <c r="L140">
        <f>pogoda45[[#This Row],[stan_po_dolaniu_do_podlania]]-pogoda45[[#This Row],[ile_podlewamy]]</f>
        <v>1140</v>
      </c>
    </row>
    <row r="141" spans="1:12" x14ac:dyDescent="0.25">
      <c r="A141" s="2">
        <v>42234</v>
      </c>
      <c r="B141">
        <v>22</v>
      </c>
      <c r="C141">
        <v>0</v>
      </c>
      <c r="D141">
        <f t="shared" si="2"/>
        <v>1140</v>
      </c>
      <c r="E141">
        <f>IF(C141=0,ROUNDUP($AB$3*POWER(pogoda45[[#This Row],[temperatura_srednia]],1.5)*pogoda45[[#This Row],[stan_przed_dolaniem]],0),0)</f>
        <v>36</v>
      </c>
      <c r="F141">
        <f>pogoda45[[#This Row],[stan_przed_dolaniem]]-pogoda45[[#This Row],[ubytek]]</f>
        <v>1104</v>
      </c>
      <c r="G141">
        <f>IF(pogoda45[[#This Row],[opady]]*$AB$1+D141&gt;$AB$2,$AB$2-pogoda45[[#This Row],[stan_przed_dolaniem]],pogoda45[[#This Row],[opady]]*$AB$1)</f>
        <v>0</v>
      </c>
      <c r="H141">
        <f>pogoda45[[#This Row],[stan_po_ubytku]]+pogoda45[[#This Row],[ile_pogoda_dolała]]</f>
        <v>1104</v>
      </c>
      <c r="I141" cm="1">
        <f t="array" ref="I141">_xlfn.IFS(OR(pogoda45[[#This Row],[temperatura_srednia]]&lt;=15,pogoda45[[#This Row],[opady]]&gt;0.61),0,pogoda45[[#This Row],[temperatura_srednia]]&gt;30,24000,pogoda45[[#This Row],[temperatura_srednia]]&gt;15,12000)</f>
        <v>12000</v>
      </c>
      <c r="J141">
        <f>IF(pogoda45[[#This Row],[stan_po_dolaniu]]&lt;pogoda45[[#This Row],[ile_podlewamy]],$AB$2-pogoda45[[#This Row],[stan_po_dolaniu]],0)</f>
        <v>23896</v>
      </c>
      <c r="K141">
        <f>pogoda45[[#This Row],[stan_po_dolaniu]]+pogoda45[[#This Row],[ile_dolać_do_podlania]]</f>
        <v>25000</v>
      </c>
      <c r="L141">
        <f>pogoda45[[#This Row],[stan_po_dolaniu_do_podlania]]-pogoda45[[#This Row],[ile_podlewamy]]</f>
        <v>13000</v>
      </c>
    </row>
    <row r="142" spans="1:12" x14ac:dyDescent="0.25">
      <c r="A142" s="2">
        <v>42235</v>
      </c>
      <c r="B142">
        <v>19</v>
      </c>
      <c r="C142">
        <v>0</v>
      </c>
      <c r="D142">
        <f t="shared" si="2"/>
        <v>13000</v>
      </c>
      <c r="E142">
        <f>IF(C142=0,ROUNDUP($AB$3*POWER(pogoda45[[#This Row],[temperatura_srednia]],1.5)*pogoda45[[#This Row],[stan_przed_dolaniem]],0),0)</f>
        <v>323</v>
      </c>
      <c r="F142">
        <f>pogoda45[[#This Row],[stan_przed_dolaniem]]-pogoda45[[#This Row],[ubytek]]</f>
        <v>12677</v>
      </c>
      <c r="G142">
        <f>IF(pogoda45[[#This Row],[opady]]*$AB$1+D142&gt;$AB$2,$AB$2-pogoda45[[#This Row],[stan_przed_dolaniem]],pogoda45[[#This Row],[opady]]*$AB$1)</f>
        <v>0</v>
      </c>
      <c r="H142">
        <f>pogoda45[[#This Row],[stan_po_ubytku]]+pogoda45[[#This Row],[ile_pogoda_dolała]]</f>
        <v>12677</v>
      </c>
      <c r="I142" cm="1">
        <f t="array" ref="I142">_xlfn.IFS(OR(pogoda45[[#This Row],[temperatura_srednia]]&lt;=15,pogoda45[[#This Row],[opady]]&gt;0.61),0,pogoda45[[#This Row],[temperatura_srednia]]&gt;30,24000,pogoda45[[#This Row],[temperatura_srednia]]&gt;15,12000)</f>
        <v>12000</v>
      </c>
      <c r="J142">
        <f>IF(pogoda45[[#This Row],[stan_po_dolaniu]]&lt;pogoda45[[#This Row],[ile_podlewamy]],$AB$2-pogoda45[[#This Row],[stan_po_dolaniu]],0)</f>
        <v>0</v>
      </c>
      <c r="K142">
        <f>pogoda45[[#This Row],[stan_po_dolaniu]]+pogoda45[[#This Row],[ile_dolać_do_podlania]]</f>
        <v>12677</v>
      </c>
      <c r="L142">
        <f>pogoda45[[#This Row],[stan_po_dolaniu_do_podlania]]-pogoda45[[#This Row],[ile_podlewamy]]</f>
        <v>677</v>
      </c>
    </row>
    <row r="143" spans="1:12" x14ac:dyDescent="0.25">
      <c r="A143" s="2">
        <v>42236</v>
      </c>
      <c r="B143">
        <v>18</v>
      </c>
      <c r="C143">
        <v>0</v>
      </c>
      <c r="D143">
        <f t="shared" si="2"/>
        <v>677</v>
      </c>
      <c r="E143">
        <f>IF(C143=0,ROUNDUP($AB$3*POWER(pogoda45[[#This Row],[temperatura_srednia]],1.5)*pogoda45[[#This Row],[stan_przed_dolaniem]],0),0)</f>
        <v>16</v>
      </c>
      <c r="F143">
        <f>pogoda45[[#This Row],[stan_przed_dolaniem]]-pogoda45[[#This Row],[ubytek]]</f>
        <v>661</v>
      </c>
      <c r="G143">
        <f>IF(pogoda45[[#This Row],[opady]]*$AB$1+D143&gt;$AB$2,$AB$2-pogoda45[[#This Row],[stan_przed_dolaniem]],pogoda45[[#This Row],[opady]]*$AB$1)</f>
        <v>0</v>
      </c>
      <c r="H143">
        <f>pogoda45[[#This Row],[stan_po_ubytku]]+pogoda45[[#This Row],[ile_pogoda_dolała]]</f>
        <v>661</v>
      </c>
      <c r="I143" cm="1">
        <f t="array" ref="I143">_xlfn.IFS(OR(pogoda45[[#This Row],[temperatura_srednia]]&lt;=15,pogoda45[[#This Row],[opady]]&gt;0.61),0,pogoda45[[#This Row],[temperatura_srednia]]&gt;30,24000,pogoda45[[#This Row],[temperatura_srednia]]&gt;15,12000)</f>
        <v>12000</v>
      </c>
      <c r="J143">
        <f>IF(pogoda45[[#This Row],[stan_po_dolaniu]]&lt;pogoda45[[#This Row],[ile_podlewamy]],$AB$2-pogoda45[[#This Row],[stan_po_dolaniu]],0)</f>
        <v>24339</v>
      </c>
      <c r="K143">
        <f>pogoda45[[#This Row],[stan_po_dolaniu]]+pogoda45[[#This Row],[ile_dolać_do_podlania]]</f>
        <v>25000</v>
      </c>
      <c r="L143">
        <f>pogoda45[[#This Row],[stan_po_dolaniu_do_podlania]]-pogoda45[[#This Row],[ile_podlewamy]]</f>
        <v>13000</v>
      </c>
    </row>
    <row r="144" spans="1:12" x14ac:dyDescent="0.25">
      <c r="A144" s="2">
        <v>42237</v>
      </c>
      <c r="B144">
        <v>18</v>
      </c>
      <c r="C144">
        <v>0</v>
      </c>
      <c r="D144">
        <f t="shared" si="2"/>
        <v>13000</v>
      </c>
      <c r="E144">
        <f>IF(C144=0,ROUNDUP($AB$3*POWER(pogoda45[[#This Row],[temperatura_srednia]],1.5)*pogoda45[[#This Row],[stan_przed_dolaniem]],0),0)</f>
        <v>298</v>
      </c>
      <c r="F144">
        <f>pogoda45[[#This Row],[stan_przed_dolaniem]]-pogoda45[[#This Row],[ubytek]]</f>
        <v>12702</v>
      </c>
      <c r="G144">
        <f>IF(pogoda45[[#This Row],[opady]]*$AB$1+D144&gt;$AB$2,$AB$2-pogoda45[[#This Row],[stan_przed_dolaniem]],pogoda45[[#This Row],[opady]]*$AB$1)</f>
        <v>0</v>
      </c>
      <c r="H144">
        <f>pogoda45[[#This Row],[stan_po_ubytku]]+pogoda45[[#This Row],[ile_pogoda_dolała]]</f>
        <v>12702</v>
      </c>
      <c r="I144" cm="1">
        <f t="array" ref="I144">_xlfn.IFS(OR(pogoda45[[#This Row],[temperatura_srednia]]&lt;=15,pogoda45[[#This Row],[opady]]&gt;0.61),0,pogoda45[[#This Row],[temperatura_srednia]]&gt;30,24000,pogoda45[[#This Row],[temperatura_srednia]]&gt;15,12000)</f>
        <v>12000</v>
      </c>
      <c r="J144">
        <f>IF(pogoda45[[#This Row],[stan_po_dolaniu]]&lt;pogoda45[[#This Row],[ile_podlewamy]],$AB$2-pogoda45[[#This Row],[stan_po_dolaniu]],0)</f>
        <v>0</v>
      </c>
      <c r="K144">
        <f>pogoda45[[#This Row],[stan_po_dolaniu]]+pogoda45[[#This Row],[ile_dolać_do_podlania]]</f>
        <v>12702</v>
      </c>
      <c r="L144">
        <f>pogoda45[[#This Row],[stan_po_dolaniu_do_podlania]]-pogoda45[[#This Row],[ile_podlewamy]]</f>
        <v>702</v>
      </c>
    </row>
    <row r="145" spans="1:12" x14ac:dyDescent="0.25">
      <c r="A145" s="2">
        <v>42238</v>
      </c>
      <c r="B145">
        <v>18</v>
      </c>
      <c r="C145">
        <v>0</v>
      </c>
      <c r="D145">
        <f t="shared" si="2"/>
        <v>702</v>
      </c>
      <c r="E145">
        <f>IF(C145=0,ROUNDUP($AB$3*POWER(pogoda45[[#This Row],[temperatura_srednia]],1.5)*pogoda45[[#This Row],[stan_przed_dolaniem]],0),0)</f>
        <v>17</v>
      </c>
      <c r="F145">
        <f>pogoda45[[#This Row],[stan_przed_dolaniem]]-pogoda45[[#This Row],[ubytek]]</f>
        <v>685</v>
      </c>
      <c r="G145">
        <f>IF(pogoda45[[#This Row],[opady]]*$AB$1+D145&gt;$AB$2,$AB$2-pogoda45[[#This Row],[stan_przed_dolaniem]],pogoda45[[#This Row],[opady]]*$AB$1)</f>
        <v>0</v>
      </c>
      <c r="H145">
        <f>pogoda45[[#This Row],[stan_po_ubytku]]+pogoda45[[#This Row],[ile_pogoda_dolała]]</f>
        <v>685</v>
      </c>
      <c r="I145" cm="1">
        <f t="array" ref="I145">_xlfn.IFS(OR(pogoda45[[#This Row],[temperatura_srednia]]&lt;=15,pogoda45[[#This Row],[opady]]&gt;0.61),0,pogoda45[[#This Row],[temperatura_srednia]]&gt;30,24000,pogoda45[[#This Row],[temperatura_srednia]]&gt;15,12000)</f>
        <v>12000</v>
      </c>
      <c r="J145">
        <f>IF(pogoda45[[#This Row],[stan_po_dolaniu]]&lt;pogoda45[[#This Row],[ile_podlewamy]],$AB$2-pogoda45[[#This Row],[stan_po_dolaniu]],0)</f>
        <v>24315</v>
      </c>
      <c r="K145">
        <f>pogoda45[[#This Row],[stan_po_dolaniu]]+pogoda45[[#This Row],[ile_dolać_do_podlania]]</f>
        <v>25000</v>
      </c>
      <c r="L145">
        <f>pogoda45[[#This Row],[stan_po_dolaniu_do_podlania]]-pogoda45[[#This Row],[ile_podlewamy]]</f>
        <v>13000</v>
      </c>
    </row>
    <row r="146" spans="1:12" x14ac:dyDescent="0.25">
      <c r="A146" s="2">
        <v>42239</v>
      </c>
      <c r="B146">
        <v>19</v>
      </c>
      <c r="C146">
        <v>0</v>
      </c>
      <c r="D146">
        <f t="shared" si="2"/>
        <v>13000</v>
      </c>
      <c r="E146">
        <f>IF(C146=0,ROUNDUP($AB$3*POWER(pogoda45[[#This Row],[temperatura_srednia]],1.5)*pogoda45[[#This Row],[stan_przed_dolaniem]],0),0)</f>
        <v>323</v>
      </c>
      <c r="F146">
        <f>pogoda45[[#This Row],[stan_przed_dolaniem]]-pogoda45[[#This Row],[ubytek]]</f>
        <v>12677</v>
      </c>
      <c r="G146">
        <f>IF(pogoda45[[#This Row],[opady]]*$AB$1+D146&gt;$AB$2,$AB$2-pogoda45[[#This Row],[stan_przed_dolaniem]],pogoda45[[#This Row],[opady]]*$AB$1)</f>
        <v>0</v>
      </c>
      <c r="H146">
        <f>pogoda45[[#This Row],[stan_po_ubytku]]+pogoda45[[#This Row],[ile_pogoda_dolała]]</f>
        <v>12677</v>
      </c>
      <c r="I146" cm="1">
        <f t="array" ref="I146">_xlfn.IFS(OR(pogoda45[[#This Row],[temperatura_srednia]]&lt;=15,pogoda45[[#This Row],[opady]]&gt;0.61),0,pogoda45[[#This Row],[temperatura_srednia]]&gt;30,24000,pogoda45[[#This Row],[temperatura_srednia]]&gt;15,12000)</f>
        <v>12000</v>
      </c>
      <c r="J146">
        <f>IF(pogoda45[[#This Row],[stan_po_dolaniu]]&lt;pogoda45[[#This Row],[ile_podlewamy]],$AB$2-pogoda45[[#This Row],[stan_po_dolaniu]],0)</f>
        <v>0</v>
      </c>
      <c r="K146">
        <f>pogoda45[[#This Row],[stan_po_dolaniu]]+pogoda45[[#This Row],[ile_dolać_do_podlania]]</f>
        <v>12677</v>
      </c>
      <c r="L146">
        <f>pogoda45[[#This Row],[stan_po_dolaniu_do_podlania]]-pogoda45[[#This Row],[ile_podlewamy]]</f>
        <v>677</v>
      </c>
    </row>
    <row r="147" spans="1:12" x14ac:dyDescent="0.25">
      <c r="A147" s="2">
        <v>42240</v>
      </c>
      <c r="B147">
        <v>21</v>
      </c>
      <c r="C147">
        <v>5.5</v>
      </c>
      <c r="D147">
        <f t="shared" si="2"/>
        <v>677</v>
      </c>
      <c r="E147">
        <f>IF(C147=0,ROUNDUP($AB$3*POWER(pogoda45[[#This Row],[temperatura_srednia]],1.5)*pogoda45[[#This Row],[stan_przed_dolaniem]],0),0)</f>
        <v>0</v>
      </c>
      <c r="F147">
        <f>pogoda45[[#This Row],[stan_przed_dolaniem]]-pogoda45[[#This Row],[ubytek]]</f>
        <v>677</v>
      </c>
      <c r="G147">
        <f>IF(pogoda45[[#This Row],[opady]]*$AB$1+D147&gt;$AB$2,$AB$2-pogoda45[[#This Row],[stan_przed_dolaniem]],pogoda45[[#This Row],[opady]]*$AB$1)</f>
        <v>3850</v>
      </c>
      <c r="H147">
        <f>pogoda45[[#This Row],[stan_po_ubytku]]+pogoda45[[#This Row],[ile_pogoda_dolała]]</f>
        <v>4527</v>
      </c>
      <c r="I147" cm="1">
        <f t="array" ref="I147">_xlfn.IFS(OR(pogoda45[[#This Row],[temperatura_srednia]]&lt;=15,pogoda45[[#This Row],[opady]]&gt;0.61),0,pogoda45[[#This Row],[temperatura_srednia]]&gt;30,24000,pogoda45[[#This Row],[temperatura_srednia]]&gt;15,12000)</f>
        <v>0</v>
      </c>
      <c r="J147">
        <f>IF(pogoda45[[#This Row],[stan_po_dolaniu]]&lt;pogoda45[[#This Row],[ile_podlewamy]],$AB$2-pogoda45[[#This Row],[stan_po_dolaniu]],0)</f>
        <v>0</v>
      </c>
      <c r="K147">
        <f>pogoda45[[#This Row],[stan_po_dolaniu]]+pogoda45[[#This Row],[ile_dolać_do_podlania]]</f>
        <v>4527</v>
      </c>
      <c r="L147">
        <f>pogoda45[[#This Row],[stan_po_dolaniu_do_podlania]]-pogoda45[[#This Row],[ile_podlewamy]]</f>
        <v>4527</v>
      </c>
    </row>
    <row r="148" spans="1:12" x14ac:dyDescent="0.25">
      <c r="A148" s="2">
        <v>42241</v>
      </c>
      <c r="B148">
        <v>18</v>
      </c>
      <c r="C148">
        <v>18</v>
      </c>
      <c r="D148">
        <f t="shared" si="2"/>
        <v>4527</v>
      </c>
      <c r="E148">
        <f>IF(C148=0,ROUNDUP($AB$3*POWER(pogoda45[[#This Row],[temperatura_srednia]],1.5)*pogoda45[[#This Row],[stan_przed_dolaniem]],0),0)</f>
        <v>0</v>
      </c>
      <c r="F148">
        <f>pogoda45[[#This Row],[stan_przed_dolaniem]]-pogoda45[[#This Row],[ubytek]]</f>
        <v>4527</v>
      </c>
      <c r="G148">
        <f>IF(pogoda45[[#This Row],[opady]]*$AB$1+D148&gt;$AB$2,$AB$2-pogoda45[[#This Row],[stan_przed_dolaniem]],pogoda45[[#This Row],[opady]]*$AB$1)</f>
        <v>12600</v>
      </c>
      <c r="H148">
        <f>pogoda45[[#This Row],[stan_po_ubytku]]+pogoda45[[#This Row],[ile_pogoda_dolała]]</f>
        <v>17127</v>
      </c>
      <c r="I148" cm="1">
        <f t="array" ref="I148">_xlfn.IFS(OR(pogoda45[[#This Row],[temperatura_srednia]]&lt;=15,pogoda45[[#This Row],[opady]]&gt;0.61),0,pogoda45[[#This Row],[temperatura_srednia]]&gt;30,24000,pogoda45[[#This Row],[temperatura_srednia]]&gt;15,12000)</f>
        <v>0</v>
      </c>
      <c r="J148">
        <f>IF(pogoda45[[#This Row],[stan_po_dolaniu]]&lt;pogoda45[[#This Row],[ile_podlewamy]],$AB$2-pogoda45[[#This Row],[stan_po_dolaniu]],0)</f>
        <v>0</v>
      </c>
      <c r="K148">
        <f>pogoda45[[#This Row],[stan_po_dolaniu]]+pogoda45[[#This Row],[ile_dolać_do_podlania]]</f>
        <v>17127</v>
      </c>
      <c r="L148">
        <f>pogoda45[[#This Row],[stan_po_dolaniu_do_podlania]]-pogoda45[[#This Row],[ile_podlewamy]]</f>
        <v>17127</v>
      </c>
    </row>
    <row r="149" spans="1:12" x14ac:dyDescent="0.25">
      <c r="A149" s="2">
        <v>42242</v>
      </c>
      <c r="B149">
        <v>19</v>
      </c>
      <c r="C149">
        <v>12</v>
      </c>
      <c r="D149">
        <f t="shared" si="2"/>
        <v>17127</v>
      </c>
      <c r="E149">
        <f>IF(C149=0,ROUNDUP($AB$3*POWER(pogoda45[[#This Row],[temperatura_srednia]],1.5)*pogoda45[[#This Row],[stan_przed_dolaniem]],0),0)</f>
        <v>0</v>
      </c>
      <c r="F149">
        <f>pogoda45[[#This Row],[stan_przed_dolaniem]]-pogoda45[[#This Row],[ubytek]]</f>
        <v>17127</v>
      </c>
      <c r="G149">
        <f>IF(pogoda45[[#This Row],[opady]]*$AB$1+D149&gt;$AB$2,$AB$2-pogoda45[[#This Row],[stan_przed_dolaniem]],pogoda45[[#This Row],[opady]]*$AB$1)</f>
        <v>7873</v>
      </c>
      <c r="H149">
        <f>pogoda45[[#This Row],[stan_po_ubytku]]+pogoda45[[#This Row],[ile_pogoda_dolała]]</f>
        <v>25000</v>
      </c>
      <c r="I149" cm="1">
        <f t="array" ref="I149">_xlfn.IFS(OR(pogoda45[[#This Row],[temperatura_srednia]]&lt;=15,pogoda45[[#This Row],[opady]]&gt;0.61),0,pogoda45[[#This Row],[temperatura_srednia]]&gt;30,24000,pogoda45[[#This Row],[temperatura_srednia]]&gt;15,12000)</f>
        <v>0</v>
      </c>
      <c r="J149">
        <f>IF(pogoda45[[#This Row],[stan_po_dolaniu]]&lt;pogoda45[[#This Row],[ile_podlewamy]],$AB$2-pogoda45[[#This Row],[stan_po_dolaniu]],0)</f>
        <v>0</v>
      </c>
      <c r="K149">
        <f>pogoda45[[#This Row],[stan_po_dolaniu]]+pogoda45[[#This Row],[ile_dolać_do_podlania]]</f>
        <v>25000</v>
      </c>
      <c r="L149">
        <f>pogoda45[[#This Row],[stan_po_dolaniu_do_podlania]]-pogoda45[[#This Row],[ile_podlewamy]]</f>
        <v>25000</v>
      </c>
    </row>
    <row r="150" spans="1:12" x14ac:dyDescent="0.25">
      <c r="A150" s="2">
        <v>42243</v>
      </c>
      <c r="B150">
        <v>23</v>
      </c>
      <c r="C150">
        <v>0</v>
      </c>
      <c r="D150">
        <f t="shared" si="2"/>
        <v>25000</v>
      </c>
      <c r="E150">
        <f>IF(C150=0,ROUNDUP($AB$3*POWER(pogoda45[[#This Row],[temperatura_srednia]],1.5)*pogoda45[[#This Row],[stan_przed_dolaniem]],0),0)</f>
        <v>828</v>
      </c>
      <c r="F150">
        <f>pogoda45[[#This Row],[stan_przed_dolaniem]]-pogoda45[[#This Row],[ubytek]]</f>
        <v>24172</v>
      </c>
      <c r="G150">
        <f>IF(pogoda45[[#This Row],[opady]]*$AB$1+D150&gt;$AB$2,$AB$2-pogoda45[[#This Row],[stan_przed_dolaniem]],pogoda45[[#This Row],[opady]]*$AB$1)</f>
        <v>0</v>
      </c>
      <c r="H150">
        <f>pogoda45[[#This Row],[stan_po_ubytku]]+pogoda45[[#This Row],[ile_pogoda_dolała]]</f>
        <v>24172</v>
      </c>
      <c r="I150" cm="1">
        <f t="array" ref="I150">_xlfn.IFS(OR(pogoda45[[#This Row],[temperatura_srednia]]&lt;=15,pogoda45[[#This Row],[opady]]&gt;0.61),0,pogoda45[[#This Row],[temperatura_srednia]]&gt;30,24000,pogoda45[[#This Row],[temperatura_srednia]]&gt;15,12000)</f>
        <v>12000</v>
      </c>
      <c r="J150">
        <f>IF(pogoda45[[#This Row],[stan_po_dolaniu]]&lt;pogoda45[[#This Row],[ile_podlewamy]],$AB$2-pogoda45[[#This Row],[stan_po_dolaniu]],0)</f>
        <v>0</v>
      </c>
      <c r="K150">
        <f>pogoda45[[#This Row],[stan_po_dolaniu]]+pogoda45[[#This Row],[ile_dolać_do_podlania]]</f>
        <v>24172</v>
      </c>
      <c r="L150">
        <f>pogoda45[[#This Row],[stan_po_dolaniu_do_podlania]]-pogoda45[[#This Row],[ile_podlewamy]]</f>
        <v>12172</v>
      </c>
    </row>
    <row r="151" spans="1:12" x14ac:dyDescent="0.25">
      <c r="A151" s="2">
        <v>42244</v>
      </c>
      <c r="B151">
        <v>17</v>
      </c>
      <c r="C151">
        <v>0.1</v>
      </c>
      <c r="D151">
        <f t="shared" si="2"/>
        <v>12172</v>
      </c>
      <c r="E151">
        <f>IF(C151=0,ROUNDUP($AB$3*POWER(pogoda45[[#This Row],[temperatura_srednia]],1.5)*pogoda45[[#This Row],[stan_przed_dolaniem]],0),0)</f>
        <v>0</v>
      </c>
      <c r="F151">
        <f>pogoda45[[#This Row],[stan_przed_dolaniem]]-pogoda45[[#This Row],[ubytek]]</f>
        <v>12172</v>
      </c>
      <c r="G151">
        <f>IF(pogoda45[[#This Row],[opady]]*$AB$1+D151&gt;$AB$2,$AB$2-pogoda45[[#This Row],[stan_przed_dolaniem]],pogoda45[[#This Row],[opady]]*$AB$1)</f>
        <v>70</v>
      </c>
      <c r="H151">
        <f>pogoda45[[#This Row],[stan_po_ubytku]]+pogoda45[[#This Row],[ile_pogoda_dolała]]</f>
        <v>12242</v>
      </c>
      <c r="I151" cm="1">
        <f t="array" ref="I151">_xlfn.IFS(OR(pogoda45[[#This Row],[temperatura_srednia]]&lt;=15,pogoda45[[#This Row],[opady]]&gt;0.61),0,pogoda45[[#This Row],[temperatura_srednia]]&gt;30,24000,pogoda45[[#This Row],[temperatura_srednia]]&gt;15,12000)</f>
        <v>12000</v>
      </c>
      <c r="J151">
        <f>IF(pogoda45[[#This Row],[stan_po_dolaniu]]&lt;pogoda45[[#This Row],[ile_podlewamy]],$AB$2-pogoda45[[#This Row],[stan_po_dolaniu]],0)</f>
        <v>0</v>
      </c>
      <c r="K151">
        <f>pogoda45[[#This Row],[stan_po_dolaniu]]+pogoda45[[#This Row],[ile_dolać_do_podlania]]</f>
        <v>12242</v>
      </c>
      <c r="L151">
        <f>pogoda45[[#This Row],[stan_po_dolaniu_do_podlania]]-pogoda45[[#This Row],[ile_podlewamy]]</f>
        <v>242</v>
      </c>
    </row>
    <row r="152" spans="1:12" x14ac:dyDescent="0.25">
      <c r="A152" s="2">
        <v>42245</v>
      </c>
      <c r="B152">
        <v>16</v>
      </c>
      <c r="C152">
        <v>14</v>
      </c>
      <c r="D152">
        <f t="shared" si="2"/>
        <v>242</v>
      </c>
      <c r="E152">
        <f>IF(C152=0,ROUNDUP($AB$3*POWER(pogoda45[[#This Row],[temperatura_srednia]],1.5)*pogoda45[[#This Row],[stan_przed_dolaniem]],0),0)</f>
        <v>0</v>
      </c>
      <c r="F152">
        <f>pogoda45[[#This Row],[stan_przed_dolaniem]]-pogoda45[[#This Row],[ubytek]]</f>
        <v>242</v>
      </c>
      <c r="G152">
        <f>IF(pogoda45[[#This Row],[opady]]*$AB$1+D152&gt;$AB$2,$AB$2-pogoda45[[#This Row],[stan_przed_dolaniem]],pogoda45[[#This Row],[opady]]*$AB$1)</f>
        <v>9800</v>
      </c>
      <c r="H152">
        <f>pogoda45[[#This Row],[stan_po_ubytku]]+pogoda45[[#This Row],[ile_pogoda_dolała]]</f>
        <v>10042</v>
      </c>
      <c r="I152" cm="1">
        <f t="array" ref="I152">_xlfn.IFS(OR(pogoda45[[#This Row],[temperatura_srednia]]&lt;=15,pogoda45[[#This Row],[opady]]&gt;0.61),0,pogoda45[[#This Row],[temperatura_srednia]]&gt;30,24000,pogoda45[[#This Row],[temperatura_srednia]]&gt;15,12000)</f>
        <v>0</v>
      </c>
      <c r="J152">
        <f>IF(pogoda45[[#This Row],[stan_po_dolaniu]]&lt;pogoda45[[#This Row],[ile_podlewamy]],$AB$2-pogoda45[[#This Row],[stan_po_dolaniu]],0)</f>
        <v>0</v>
      </c>
      <c r="K152">
        <f>pogoda45[[#This Row],[stan_po_dolaniu]]+pogoda45[[#This Row],[ile_dolać_do_podlania]]</f>
        <v>10042</v>
      </c>
      <c r="L152">
        <f>pogoda45[[#This Row],[stan_po_dolaniu_do_podlania]]-pogoda45[[#This Row],[ile_podlewamy]]</f>
        <v>10042</v>
      </c>
    </row>
    <row r="153" spans="1:12" x14ac:dyDescent="0.25">
      <c r="A153" s="2">
        <v>42246</v>
      </c>
      <c r="B153">
        <v>22</v>
      </c>
      <c r="C153">
        <v>0</v>
      </c>
      <c r="D153">
        <f t="shared" si="2"/>
        <v>10042</v>
      </c>
      <c r="E153">
        <f>IF(C153=0,ROUNDUP($AB$3*POWER(pogoda45[[#This Row],[temperatura_srednia]],1.5)*pogoda45[[#This Row],[stan_przed_dolaniem]],0),0)</f>
        <v>311</v>
      </c>
      <c r="F153">
        <f>pogoda45[[#This Row],[stan_przed_dolaniem]]-pogoda45[[#This Row],[ubytek]]</f>
        <v>9731</v>
      </c>
      <c r="G153">
        <f>IF(pogoda45[[#This Row],[opady]]*$AB$1+D153&gt;$AB$2,$AB$2-pogoda45[[#This Row],[stan_przed_dolaniem]],pogoda45[[#This Row],[opady]]*$AB$1)</f>
        <v>0</v>
      </c>
      <c r="H153">
        <f>pogoda45[[#This Row],[stan_po_ubytku]]+pogoda45[[#This Row],[ile_pogoda_dolała]]</f>
        <v>9731</v>
      </c>
      <c r="I153" cm="1">
        <f t="array" ref="I153">_xlfn.IFS(OR(pogoda45[[#This Row],[temperatura_srednia]]&lt;=15,pogoda45[[#This Row],[opady]]&gt;0.61),0,pogoda45[[#This Row],[temperatura_srednia]]&gt;30,24000,pogoda45[[#This Row],[temperatura_srednia]]&gt;15,12000)</f>
        <v>12000</v>
      </c>
      <c r="J153">
        <f>IF(pogoda45[[#This Row],[stan_po_dolaniu]]&lt;pogoda45[[#This Row],[ile_podlewamy]],$AB$2-pogoda45[[#This Row],[stan_po_dolaniu]],0)</f>
        <v>15269</v>
      </c>
      <c r="K153">
        <f>pogoda45[[#This Row],[stan_po_dolaniu]]+pogoda45[[#This Row],[ile_dolać_do_podlania]]</f>
        <v>25000</v>
      </c>
      <c r="L153">
        <f>pogoda45[[#This Row],[stan_po_dolaniu_do_podlania]]-pogoda45[[#This Row],[ile_podlewamy]]</f>
        <v>13000</v>
      </c>
    </row>
    <row r="154" spans="1:12" x14ac:dyDescent="0.25">
      <c r="A154" s="2">
        <v>42247</v>
      </c>
      <c r="B154">
        <v>26</v>
      </c>
      <c r="C154">
        <v>0</v>
      </c>
      <c r="D154">
        <f t="shared" si="2"/>
        <v>13000</v>
      </c>
      <c r="E154">
        <f>IF(C154=0,ROUNDUP($AB$3*POWER(pogoda45[[#This Row],[temperatura_srednia]],1.5)*pogoda45[[#This Row],[stan_przed_dolaniem]],0),0)</f>
        <v>518</v>
      </c>
      <c r="F154">
        <f>pogoda45[[#This Row],[stan_przed_dolaniem]]-pogoda45[[#This Row],[ubytek]]</f>
        <v>12482</v>
      </c>
      <c r="G154">
        <f>IF(pogoda45[[#This Row],[opady]]*$AB$1+D154&gt;$AB$2,$AB$2-pogoda45[[#This Row],[stan_przed_dolaniem]],pogoda45[[#This Row],[opady]]*$AB$1)</f>
        <v>0</v>
      </c>
      <c r="H154">
        <f>pogoda45[[#This Row],[stan_po_ubytku]]+pogoda45[[#This Row],[ile_pogoda_dolała]]</f>
        <v>12482</v>
      </c>
      <c r="I154" cm="1">
        <f t="array" ref="I154">_xlfn.IFS(OR(pogoda45[[#This Row],[temperatura_srednia]]&lt;=15,pogoda45[[#This Row],[opady]]&gt;0.61),0,pogoda45[[#This Row],[temperatura_srednia]]&gt;30,24000,pogoda45[[#This Row],[temperatura_srednia]]&gt;15,12000)</f>
        <v>12000</v>
      </c>
      <c r="J154">
        <f>IF(pogoda45[[#This Row],[stan_po_dolaniu]]&lt;pogoda45[[#This Row],[ile_podlewamy]],$AB$2-pogoda45[[#This Row],[stan_po_dolaniu]],0)</f>
        <v>0</v>
      </c>
      <c r="K154">
        <f>pogoda45[[#This Row],[stan_po_dolaniu]]+pogoda45[[#This Row],[ile_dolać_do_podlania]]</f>
        <v>12482</v>
      </c>
      <c r="L154">
        <f>pogoda45[[#This Row],[stan_po_dolaniu_do_podlania]]-pogoda45[[#This Row],[ile_podlewamy]]</f>
        <v>482</v>
      </c>
    </row>
    <row r="155" spans="1:12" x14ac:dyDescent="0.25">
      <c r="A155" s="2">
        <v>42248</v>
      </c>
      <c r="B155">
        <v>27</v>
      </c>
      <c r="C155">
        <v>2</v>
      </c>
      <c r="D155">
        <f t="shared" si="2"/>
        <v>482</v>
      </c>
      <c r="E155">
        <f>IF(C155=0,ROUNDUP($AB$3*POWER(pogoda45[[#This Row],[temperatura_srednia]],1.5)*pogoda45[[#This Row],[stan_przed_dolaniem]],0),0)</f>
        <v>0</v>
      </c>
      <c r="F155">
        <f>pogoda45[[#This Row],[stan_przed_dolaniem]]-pogoda45[[#This Row],[ubytek]]</f>
        <v>482</v>
      </c>
      <c r="G155">
        <f>IF(pogoda45[[#This Row],[opady]]*$AB$1+D155&gt;$AB$2,$AB$2-pogoda45[[#This Row],[stan_przed_dolaniem]],pogoda45[[#This Row],[opady]]*$AB$1)</f>
        <v>1400</v>
      </c>
      <c r="H155">
        <f>pogoda45[[#This Row],[stan_po_ubytku]]+pogoda45[[#This Row],[ile_pogoda_dolała]]</f>
        <v>1882</v>
      </c>
      <c r="I155" cm="1">
        <f t="array" ref="I155">_xlfn.IFS(OR(pogoda45[[#This Row],[temperatura_srednia]]&lt;=15,pogoda45[[#This Row],[opady]]&gt;0.61),0,pogoda45[[#This Row],[temperatura_srednia]]&gt;30,24000,pogoda45[[#This Row],[temperatura_srednia]]&gt;15,12000)</f>
        <v>0</v>
      </c>
      <c r="J155">
        <f>IF(pogoda45[[#This Row],[stan_po_dolaniu]]&lt;pogoda45[[#This Row],[ile_podlewamy]],$AB$2-pogoda45[[#This Row],[stan_po_dolaniu]],0)</f>
        <v>0</v>
      </c>
      <c r="K155">
        <f>pogoda45[[#This Row],[stan_po_dolaniu]]+pogoda45[[#This Row],[ile_dolać_do_podlania]]</f>
        <v>1882</v>
      </c>
      <c r="L155">
        <f>pogoda45[[#This Row],[stan_po_dolaniu_do_podlania]]-pogoda45[[#This Row],[ile_podlewamy]]</f>
        <v>1882</v>
      </c>
    </row>
    <row r="156" spans="1:12" x14ac:dyDescent="0.25">
      <c r="A156" s="2">
        <v>42249</v>
      </c>
      <c r="B156">
        <v>18</v>
      </c>
      <c r="C156">
        <v>0</v>
      </c>
      <c r="D156">
        <f t="shared" si="2"/>
        <v>1882</v>
      </c>
      <c r="E156">
        <f>IF(C156=0,ROUNDUP($AB$3*POWER(pogoda45[[#This Row],[temperatura_srednia]],1.5)*pogoda45[[#This Row],[stan_przed_dolaniem]],0),0)</f>
        <v>44</v>
      </c>
      <c r="F156">
        <f>pogoda45[[#This Row],[stan_przed_dolaniem]]-pogoda45[[#This Row],[ubytek]]</f>
        <v>1838</v>
      </c>
      <c r="G156">
        <f>IF(pogoda45[[#This Row],[opady]]*$AB$1+D156&gt;$AB$2,$AB$2-pogoda45[[#This Row],[stan_przed_dolaniem]],pogoda45[[#This Row],[opady]]*$AB$1)</f>
        <v>0</v>
      </c>
      <c r="H156">
        <f>pogoda45[[#This Row],[stan_po_ubytku]]+pogoda45[[#This Row],[ile_pogoda_dolała]]</f>
        <v>1838</v>
      </c>
      <c r="I156" cm="1">
        <f t="array" ref="I156">_xlfn.IFS(OR(pogoda45[[#This Row],[temperatura_srednia]]&lt;=15,pogoda45[[#This Row],[opady]]&gt;0.61),0,pogoda45[[#This Row],[temperatura_srednia]]&gt;30,24000,pogoda45[[#This Row],[temperatura_srednia]]&gt;15,12000)</f>
        <v>12000</v>
      </c>
      <c r="J156">
        <f>IF(pogoda45[[#This Row],[stan_po_dolaniu]]&lt;pogoda45[[#This Row],[ile_podlewamy]],$AB$2-pogoda45[[#This Row],[stan_po_dolaniu]],0)</f>
        <v>23162</v>
      </c>
      <c r="K156">
        <f>pogoda45[[#This Row],[stan_po_dolaniu]]+pogoda45[[#This Row],[ile_dolać_do_podlania]]</f>
        <v>25000</v>
      </c>
      <c r="L156">
        <f>pogoda45[[#This Row],[stan_po_dolaniu_do_podlania]]-pogoda45[[#This Row],[ile_podlewamy]]</f>
        <v>13000</v>
      </c>
    </row>
    <row r="157" spans="1:12" x14ac:dyDescent="0.25">
      <c r="A157" s="2">
        <v>42250</v>
      </c>
      <c r="B157">
        <v>17</v>
      </c>
      <c r="C157">
        <v>0</v>
      </c>
      <c r="D157">
        <f t="shared" si="2"/>
        <v>13000</v>
      </c>
      <c r="E157">
        <f>IF(C157=0,ROUNDUP($AB$3*POWER(pogoda45[[#This Row],[temperatura_srednia]],1.5)*pogoda45[[#This Row],[stan_przed_dolaniem]],0),0)</f>
        <v>274</v>
      </c>
      <c r="F157">
        <f>pogoda45[[#This Row],[stan_przed_dolaniem]]-pogoda45[[#This Row],[ubytek]]</f>
        <v>12726</v>
      </c>
      <c r="G157">
        <f>IF(pogoda45[[#This Row],[opady]]*$AB$1+D157&gt;$AB$2,$AB$2-pogoda45[[#This Row],[stan_przed_dolaniem]],pogoda45[[#This Row],[opady]]*$AB$1)</f>
        <v>0</v>
      </c>
      <c r="H157">
        <f>pogoda45[[#This Row],[stan_po_ubytku]]+pogoda45[[#This Row],[ile_pogoda_dolała]]</f>
        <v>12726</v>
      </c>
      <c r="I157" cm="1">
        <f t="array" ref="I157">_xlfn.IFS(OR(pogoda45[[#This Row],[temperatura_srednia]]&lt;=15,pogoda45[[#This Row],[opady]]&gt;0.61),0,pogoda45[[#This Row],[temperatura_srednia]]&gt;30,24000,pogoda45[[#This Row],[temperatura_srednia]]&gt;15,12000)</f>
        <v>12000</v>
      </c>
      <c r="J157">
        <f>IF(pogoda45[[#This Row],[stan_po_dolaniu]]&lt;pogoda45[[#This Row],[ile_podlewamy]],$AB$2-pogoda45[[#This Row],[stan_po_dolaniu]],0)</f>
        <v>0</v>
      </c>
      <c r="K157">
        <f>pogoda45[[#This Row],[stan_po_dolaniu]]+pogoda45[[#This Row],[ile_dolać_do_podlania]]</f>
        <v>12726</v>
      </c>
      <c r="L157">
        <f>pogoda45[[#This Row],[stan_po_dolaniu_do_podlania]]-pogoda45[[#This Row],[ile_podlewamy]]</f>
        <v>726</v>
      </c>
    </row>
    <row r="158" spans="1:12" x14ac:dyDescent="0.25">
      <c r="A158" s="2">
        <v>42251</v>
      </c>
      <c r="B158">
        <v>16</v>
      </c>
      <c r="C158">
        <v>0.1</v>
      </c>
      <c r="D158">
        <f t="shared" si="2"/>
        <v>726</v>
      </c>
      <c r="E158">
        <f>IF(C158=0,ROUNDUP($AB$3*POWER(pogoda45[[#This Row],[temperatura_srednia]],1.5)*pogoda45[[#This Row],[stan_przed_dolaniem]],0),0)</f>
        <v>0</v>
      </c>
      <c r="F158">
        <f>pogoda45[[#This Row],[stan_przed_dolaniem]]-pogoda45[[#This Row],[ubytek]]</f>
        <v>726</v>
      </c>
      <c r="G158">
        <f>IF(pogoda45[[#This Row],[opady]]*$AB$1+D158&gt;$AB$2,$AB$2-pogoda45[[#This Row],[stan_przed_dolaniem]],pogoda45[[#This Row],[opady]]*$AB$1)</f>
        <v>70</v>
      </c>
      <c r="H158">
        <f>pogoda45[[#This Row],[stan_po_ubytku]]+pogoda45[[#This Row],[ile_pogoda_dolała]]</f>
        <v>796</v>
      </c>
      <c r="I158" cm="1">
        <f t="array" ref="I158">_xlfn.IFS(OR(pogoda45[[#This Row],[temperatura_srednia]]&lt;=15,pogoda45[[#This Row],[opady]]&gt;0.61),0,pogoda45[[#This Row],[temperatura_srednia]]&gt;30,24000,pogoda45[[#This Row],[temperatura_srednia]]&gt;15,12000)</f>
        <v>12000</v>
      </c>
      <c r="J158">
        <f>IF(pogoda45[[#This Row],[stan_po_dolaniu]]&lt;pogoda45[[#This Row],[ile_podlewamy]],$AB$2-pogoda45[[#This Row],[stan_po_dolaniu]],0)</f>
        <v>24204</v>
      </c>
      <c r="K158">
        <f>pogoda45[[#This Row],[stan_po_dolaniu]]+pogoda45[[#This Row],[ile_dolać_do_podlania]]</f>
        <v>25000</v>
      </c>
      <c r="L158">
        <f>pogoda45[[#This Row],[stan_po_dolaniu_do_podlania]]-pogoda45[[#This Row],[ile_podlewamy]]</f>
        <v>13000</v>
      </c>
    </row>
    <row r="159" spans="1:12" x14ac:dyDescent="0.25">
      <c r="A159" s="2">
        <v>42252</v>
      </c>
      <c r="B159">
        <v>15</v>
      </c>
      <c r="C159">
        <v>0</v>
      </c>
      <c r="D159">
        <f t="shared" si="2"/>
        <v>13000</v>
      </c>
      <c r="E159">
        <f>IF(C159=0,ROUNDUP($AB$3*POWER(pogoda45[[#This Row],[temperatura_srednia]],1.5)*pogoda45[[#This Row],[stan_przed_dolaniem]],0),0)</f>
        <v>227</v>
      </c>
      <c r="F159">
        <f>pogoda45[[#This Row],[stan_przed_dolaniem]]-pogoda45[[#This Row],[ubytek]]</f>
        <v>12773</v>
      </c>
      <c r="G159">
        <f>IF(pogoda45[[#This Row],[opady]]*$AB$1+D159&gt;$AB$2,$AB$2-pogoda45[[#This Row],[stan_przed_dolaniem]],pogoda45[[#This Row],[opady]]*$AB$1)</f>
        <v>0</v>
      </c>
      <c r="H159">
        <f>pogoda45[[#This Row],[stan_po_ubytku]]+pogoda45[[#This Row],[ile_pogoda_dolała]]</f>
        <v>12773</v>
      </c>
      <c r="I159" cm="1">
        <f t="array" ref="I159">_xlfn.IFS(OR(pogoda45[[#This Row],[temperatura_srednia]]&lt;=15,pogoda45[[#This Row],[opady]]&gt;0.61),0,pogoda45[[#This Row],[temperatura_srednia]]&gt;30,24000,pogoda45[[#This Row],[temperatura_srednia]]&gt;15,12000)</f>
        <v>0</v>
      </c>
      <c r="J159">
        <f>IF(pogoda45[[#This Row],[stan_po_dolaniu]]&lt;pogoda45[[#This Row],[ile_podlewamy]],$AB$2-pogoda45[[#This Row],[stan_po_dolaniu]],0)</f>
        <v>0</v>
      </c>
      <c r="K159">
        <f>pogoda45[[#This Row],[stan_po_dolaniu]]+pogoda45[[#This Row],[ile_dolać_do_podlania]]</f>
        <v>12773</v>
      </c>
      <c r="L159">
        <f>pogoda45[[#This Row],[stan_po_dolaniu_do_podlania]]-pogoda45[[#This Row],[ile_podlewamy]]</f>
        <v>12773</v>
      </c>
    </row>
    <row r="160" spans="1:12" x14ac:dyDescent="0.25">
      <c r="A160" s="2">
        <v>42253</v>
      </c>
      <c r="B160">
        <v>12</v>
      </c>
      <c r="C160">
        <v>4</v>
      </c>
      <c r="D160">
        <f t="shared" si="2"/>
        <v>12773</v>
      </c>
      <c r="E160">
        <f>IF(C160=0,ROUNDUP($AB$3*POWER(pogoda45[[#This Row],[temperatura_srednia]],1.5)*pogoda45[[#This Row],[stan_przed_dolaniem]],0),0)</f>
        <v>0</v>
      </c>
      <c r="F160">
        <f>pogoda45[[#This Row],[stan_przed_dolaniem]]-pogoda45[[#This Row],[ubytek]]</f>
        <v>12773</v>
      </c>
      <c r="G160">
        <f>IF(pogoda45[[#This Row],[opady]]*$AB$1+D160&gt;$AB$2,$AB$2-pogoda45[[#This Row],[stan_przed_dolaniem]],pogoda45[[#This Row],[opady]]*$AB$1)</f>
        <v>2800</v>
      </c>
      <c r="H160">
        <f>pogoda45[[#This Row],[stan_po_ubytku]]+pogoda45[[#This Row],[ile_pogoda_dolała]]</f>
        <v>15573</v>
      </c>
      <c r="I160" cm="1">
        <f t="array" ref="I160">_xlfn.IFS(OR(pogoda45[[#This Row],[temperatura_srednia]]&lt;=15,pogoda45[[#This Row],[opady]]&gt;0.61),0,pogoda45[[#This Row],[temperatura_srednia]]&gt;30,24000,pogoda45[[#This Row],[temperatura_srednia]]&gt;15,12000)</f>
        <v>0</v>
      </c>
      <c r="J160">
        <f>IF(pogoda45[[#This Row],[stan_po_dolaniu]]&lt;pogoda45[[#This Row],[ile_podlewamy]],$AB$2-pogoda45[[#This Row],[stan_po_dolaniu]],0)</f>
        <v>0</v>
      </c>
      <c r="K160">
        <f>pogoda45[[#This Row],[stan_po_dolaniu]]+pogoda45[[#This Row],[ile_dolać_do_podlania]]</f>
        <v>15573</v>
      </c>
      <c r="L160">
        <f>pogoda45[[#This Row],[stan_po_dolaniu_do_podlania]]-pogoda45[[#This Row],[ile_podlewamy]]</f>
        <v>15573</v>
      </c>
    </row>
    <row r="161" spans="1:12" x14ac:dyDescent="0.25">
      <c r="A161" s="2">
        <v>42254</v>
      </c>
      <c r="B161">
        <v>13</v>
      </c>
      <c r="C161">
        <v>0</v>
      </c>
      <c r="D161">
        <f t="shared" si="2"/>
        <v>15573</v>
      </c>
      <c r="E161">
        <f>IF(C161=0,ROUNDUP($AB$3*POWER(pogoda45[[#This Row],[temperatura_srednia]],1.5)*pogoda45[[#This Row],[stan_przed_dolaniem]],0),0)</f>
        <v>219</v>
      </c>
      <c r="F161">
        <f>pogoda45[[#This Row],[stan_przed_dolaniem]]-pogoda45[[#This Row],[ubytek]]</f>
        <v>15354</v>
      </c>
      <c r="G161">
        <f>IF(pogoda45[[#This Row],[opady]]*$AB$1+D161&gt;$AB$2,$AB$2-pogoda45[[#This Row],[stan_przed_dolaniem]],pogoda45[[#This Row],[opady]]*$AB$1)</f>
        <v>0</v>
      </c>
      <c r="H161">
        <f>pogoda45[[#This Row],[stan_po_ubytku]]+pogoda45[[#This Row],[ile_pogoda_dolała]]</f>
        <v>15354</v>
      </c>
      <c r="I161" cm="1">
        <f t="array" ref="I161">_xlfn.IFS(OR(pogoda45[[#This Row],[temperatura_srednia]]&lt;=15,pogoda45[[#This Row],[opady]]&gt;0.61),0,pogoda45[[#This Row],[temperatura_srednia]]&gt;30,24000,pogoda45[[#This Row],[temperatura_srednia]]&gt;15,12000)</f>
        <v>0</v>
      </c>
      <c r="J161">
        <f>IF(pogoda45[[#This Row],[stan_po_dolaniu]]&lt;pogoda45[[#This Row],[ile_podlewamy]],$AB$2-pogoda45[[#This Row],[stan_po_dolaniu]],0)</f>
        <v>0</v>
      </c>
      <c r="K161">
        <f>pogoda45[[#This Row],[stan_po_dolaniu]]+pogoda45[[#This Row],[ile_dolać_do_podlania]]</f>
        <v>15354</v>
      </c>
      <c r="L161">
        <f>pogoda45[[#This Row],[stan_po_dolaniu_do_podlania]]-pogoda45[[#This Row],[ile_podlewamy]]</f>
        <v>15354</v>
      </c>
    </row>
    <row r="162" spans="1:12" x14ac:dyDescent="0.25">
      <c r="A162" s="2">
        <v>42255</v>
      </c>
      <c r="B162">
        <v>11</v>
      </c>
      <c r="C162">
        <v>4</v>
      </c>
      <c r="D162">
        <f t="shared" si="2"/>
        <v>15354</v>
      </c>
      <c r="E162">
        <f>IF(C162=0,ROUNDUP($AB$3*POWER(pogoda45[[#This Row],[temperatura_srednia]],1.5)*pogoda45[[#This Row],[stan_przed_dolaniem]],0),0)</f>
        <v>0</v>
      </c>
      <c r="F162">
        <f>pogoda45[[#This Row],[stan_przed_dolaniem]]-pogoda45[[#This Row],[ubytek]]</f>
        <v>15354</v>
      </c>
      <c r="G162">
        <f>IF(pogoda45[[#This Row],[opady]]*$AB$1+D162&gt;$AB$2,$AB$2-pogoda45[[#This Row],[stan_przed_dolaniem]],pogoda45[[#This Row],[opady]]*$AB$1)</f>
        <v>2800</v>
      </c>
      <c r="H162">
        <f>pogoda45[[#This Row],[stan_po_ubytku]]+pogoda45[[#This Row],[ile_pogoda_dolała]]</f>
        <v>18154</v>
      </c>
      <c r="I162" cm="1">
        <f t="array" ref="I162">_xlfn.IFS(OR(pogoda45[[#This Row],[temperatura_srednia]]&lt;=15,pogoda45[[#This Row],[opady]]&gt;0.61),0,pogoda45[[#This Row],[temperatura_srednia]]&gt;30,24000,pogoda45[[#This Row],[temperatura_srednia]]&gt;15,12000)</f>
        <v>0</v>
      </c>
      <c r="J162">
        <f>IF(pogoda45[[#This Row],[stan_po_dolaniu]]&lt;pogoda45[[#This Row],[ile_podlewamy]],$AB$2-pogoda45[[#This Row],[stan_po_dolaniu]],0)</f>
        <v>0</v>
      </c>
      <c r="K162">
        <f>pogoda45[[#This Row],[stan_po_dolaniu]]+pogoda45[[#This Row],[ile_dolać_do_podlania]]</f>
        <v>18154</v>
      </c>
      <c r="L162">
        <f>pogoda45[[#This Row],[stan_po_dolaniu_do_podlania]]-pogoda45[[#This Row],[ile_podlewamy]]</f>
        <v>18154</v>
      </c>
    </row>
    <row r="163" spans="1:12" x14ac:dyDescent="0.25">
      <c r="A163" s="2">
        <v>42256</v>
      </c>
      <c r="B163">
        <v>11</v>
      </c>
      <c r="C163">
        <v>0</v>
      </c>
      <c r="D163">
        <f t="shared" si="2"/>
        <v>18154</v>
      </c>
      <c r="E163">
        <f>IF(C163=0,ROUNDUP($AB$3*POWER(pogoda45[[#This Row],[temperatura_srednia]],1.5)*pogoda45[[#This Row],[stan_przed_dolaniem]],0),0)</f>
        <v>199</v>
      </c>
      <c r="F163">
        <f>pogoda45[[#This Row],[stan_przed_dolaniem]]-pogoda45[[#This Row],[ubytek]]</f>
        <v>17955</v>
      </c>
      <c r="G163">
        <f>IF(pogoda45[[#This Row],[opady]]*$AB$1+D163&gt;$AB$2,$AB$2-pogoda45[[#This Row],[stan_przed_dolaniem]],pogoda45[[#This Row],[opady]]*$AB$1)</f>
        <v>0</v>
      </c>
      <c r="H163">
        <f>pogoda45[[#This Row],[stan_po_ubytku]]+pogoda45[[#This Row],[ile_pogoda_dolała]]</f>
        <v>17955</v>
      </c>
      <c r="I163" cm="1">
        <f t="array" ref="I163">_xlfn.IFS(OR(pogoda45[[#This Row],[temperatura_srednia]]&lt;=15,pogoda45[[#This Row],[opady]]&gt;0.61),0,pogoda45[[#This Row],[temperatura_srednia]]&gt;30,24000,pogoda45[[#This Row],[temperatura_srednia]]&gt;15,12000)</f>
        <v>0</v>
      </c>
      <c r="J163">
        <f>IF(pogoda45[[#This Row],[stan_po_dolaniu]]&lt;pogoda45[[#This Row],[ile_podlewamy]],$AB$2-pogoda45[[#This Row],[stan_po_dolaniu]],0)</f>
        <v>0</v>
      </c>
      <c r="K163">
        <f>pogoda45[[#This Row],[stan_po_dolaniu]]+pogoda45[[#This Row],[ile_dolać_do_podlania]]</f>
        <v>17955</v>
      </c>
      <c r="L163">
        <f>pogoda45[[#This Row],[stan_po_dolaniu_do_podlania]]-pogoda45[[#This Row],[ile_podlewamy]]</f>
        <v>17955</v>
      </c>
    </row>
    <row r="164" spans="1:12" x14ac:dyDescent="0.25">
      <c r="A164" s="2">
        <v>42257</v>
      </c>
      <c r="B164">
        <v>12</v>
      </c>
      <c r="C164">
        <v>0</v>
      </c>
      <c r="D164">
        <f t="shared" si="2"/>
        <v>17955</v>
      </c>
      <c r="E164">
        <f>IF(C164=0,ROUNDUP($AB$3*POWER(pogoda45[[#This Row],[temperatura_srednia]],1.5)*pogoda45[[#This Row],[stan_przed_dolaniem]],0),0)</f>
        <v>224</v>
      </c>
      <c r="F164">
        <f>pogoda45[[#This Row],[stan_przed_dolaniem]]-pogoda45[[#This Row],[ubytek]]</f>
        <v>17731</v>
      </c>
      <c r="G164">
        <f>IF(pogoda45[[#This Row],[opady]]*$AB$1+D164&gt;$AB$2,$AB$2-pogoda45[[#This Row],[stan_przed_dolaniem]],pogoda45[[#This Row],[opady]]*$AB$1)</f>
        <v>0</v>
      </c>
      <c r="H164">
        <f>pogoda45[[#This Row],[stan_po_ubytku]]+pogoda45[[#This Row],[ile_pogoda_dolała]]</f>
        <v>17731</v>
      </c>
      <c r="I164" cm="1">
        <f t="array" ref="I164">_xlfn.IFS(OR(pogoda45[[#This Row],[temperatura_srednia]]&lt;=15,pogoda45[[#This Row],[opady]]&gt;0.61),0,pogoda45[[#This Row],[temperatura_srednia]]&gt;30,24000,pogoda45[[#This Row],[temperatura_srednia]]&gt;15,12000)</f>
        <v>0</v>
      </c>
      <c r="J164">
        <f>IF(pogoda45[[#This Row],[stan_po_dolaniu]]&lt;pogoda45[[#This Row],[ile_podlewamy]],$AB$2-pogoda45[[#This Row],[stan_po_dolaniu]],0)</f>
        <v>0</v>
      </c>
      <c r="K164">
        <f>pogoda45[[#This Row],[stan_po_dolaniu]]+pogoda45[[#This Row],[ile_dolać_do_podlania]]</f>
        <v>17731</v>
      </c>
      <c r="L164">
        <f>pogoda45[[#This Row],[stan_po_dolaniu_do_podlania]]-pogoda45[[#This Row],[ile_podlewamy]]</f>
        <v>17731</v>
      </c>
    </row>
    <row r="165" spans="1:12" x14ac:dyDescent="0.25">
      <c r="A165" s="2">
        <v>42258</v>
      </c>
      <c r="B165">
        <v>16</v>
      </c>
      <c r="C165">
        <v>0.1</v>
      </c>
      <c r="D165">
        <f t="shared" si="2"/>
        <v>17731</v>
      </c>
      <c r="E165">
        <f>IF(C165=0,ROUNDUP($AB$3*POWER(pogoda45[[#This Row],[temperatura_srednia]],1.5)*pogoda45[[#This Row],[stan_przed_dolaniem]],0),0)</f>
        <v>0</v>
      </c>
      <c r="F165">
        <f>pogoda45[[#This Row],[stan_przed_dolaniem]]-pogoda45[[#This Row],[ubytek]]</f>
        <v>17731</v>
      </c>
      <c r="G165">
        <f>IF(pogoda45[[#This Row],[opady]]*$AB$1+D165&gt;$AB$2,$AB$2-pogoda45[[#This Row],[stan_przed_dolaniem]],pogoda45[[#This Row],[opady]]*$AB$1)</f>
        <v>70</v>
      </c>
      <c r="H165">
        <f>pogoda45[[#This Row],[stan_po_ubytku]]+pogoda45[[#This Row],[ile_pogoda_dolała]]</f>
        <v>17801</v>
      </c>
      <c r="I165" cm="1">
        <f t="array" ref="I165">_xlfn.IFS(OR(pogoda45[[#This Row],[temperatura_srednia]]&lt;=15,pogoda45[[#This Row],[opady]]&gt;0.61),0,pogoda45[[#This Row],[temperatura_srednia]]&gt;30,24000,pogoda45[[#This Row],[temperatura_srednia]]&gt;15,12000)</f>
        <v>12000</v>
      </c>
      <c r="J165">
        <f>IF(pogoda45[[#This Row],[stan_po_dolaniu]]&lt;pogoda45[[#This Row],[ile_podlewamy]],$AB$2-pogoda45[[#This Row],[stan_po_dolaniu]],0)</f>
        <v>0</v>
      </c>
      <c r="K165">
        <f>pogoda45[[#This Row],[stan_po_dolaniu]]+pogoda45[[#This Row],[ile_dolać_do_podlania]]</f>
        <v>17801</v>
      </c>
      <c r="L165">
        <f>pogoda45[[#This Row],[stan_po_dolaniu_do_podlania]]-pogoda45[[#This Row],[ile_podlewamy]]</f>
        <v>5801</v>
      </c>
    </row>
    <row r="166" spans="1:12" x14ac:dyDescent="0.25">
      <c r="A166" s="2">
        <v>42259</v>
      </c>
      <c r="B166">
        <v>18</v>
      </c>
      <c r="C166">
        <v>0</v>
      </c>
      <c r="D166">
        <f t="shared" si="2"/>
        <v>5801</v>
      </c>
      <c r="E166">
        <f>IF(C166=0,ROUNDUP($AB$3*POWER(pogoda45[[#This Row],[temperatura_srednia]],1.5)*pogoda45[[#This Row],[stan_przed_dolaniem]],0),0)</f>
        <v>133</v>
      </c>
      <c r="F166">
        <f>pogoda45[[#This Row],[stan_przed_dolaniem]]-pogoda45[[#This Row],[ubytek]]</f>
        <v>5668</v>
      </c>
      <c r="G166">
        <f>IF(pogoda45[[#This Row],[opady]]*$AB$1+D166&gt;$AB$2,$AB$2-pogoda45[[#This Row],[stan_przed_dolaniem]],pogoda45[[#This Row],[opady]]*$AB$1)</f>
        <v>0</v>
      </c>
      <c r="H166">
        <f>pogoda45[[#This Row],[stan_po_ubytku]]+pogoda45[[#This Row],[ile_pogoda_dolała]]</f>
        <v>5668</v>
      </c>
      <c r="I166" cm="1">
        <f t="array" ref="I166">_xlfn.IFS(OR(pogoda45[[#This Row],[temperatura_srednia]]&lt;=15,pogoda45[[#This Row],[opady]]&gt;0.61),0,pogoda45[[#This Row],[temperatura_srednia]]&gt;30,24000,pogoda45[[#This Row],[temperatura_srednia]]&gt;15,12000)</f>
        <v>12000</v>
      </c>
      <c r="J166">
        <f>IF(pogoda45[[#This Row],[stan_po_dolaniu]]&lt;pogoda45[[#This Row],[ile_podlewamy]],$AB$2-pogoda45[[#This Row],[stan_po_dolaniu]],0)</f>
        <v>19332</v>
      </c>
      <c r="K166">
        <f>pogoda45[[#This Row],[stan_po_dolaniu]]+pogoda45[[#This Row],[ile_dolać_do_podlania]]</f>
        <v>25000</v>
      </c>
      <c r="L166">
        <f>pogoda45[[#This Row],[stan_po_dolaniu_do_podlania]]-pogoda45[[#This Row],[ile_podlewamy]]</f>
        <v>13000</v>
      </c>
    </row>
    <row r="167" spans="1:12" x14ac:dyDescent="0.25">
      <c r="A167" s="2">
        <v>42260</v>
      </c>
      <c r="B167">
        <v>18</v>
      </c>
      <c r="C167">
        <v>0</v>
      </c>
      <c r="D167">
        <f t="shared" si="2"/>
        <v>13000</v>
      </c>
      <c r="E167">
        <f>IF(C167=0,ROUNDUP($AB$3*POWER(pogoda45[[#This Row],[temperatura_srednia]],1.5)*pogoda45[[#This Row],[stan_przed_dolaniem]],0),0)</f>
        <v>298</v>
      </c>
      <c r="F167">
        <f>pogoda45[[#This Row],[stan_przed_dolaniem]]-pogoda45[[#This Row],[ubytek]]</f>
        <v>12702</v>
      </c>
      <c r="G167">
        <f>IF(pogoda45[[#This Row],[opady]]*$AB$1+D167&gt;$AB$2,$AB$2-pogoda45[[#This Row],[stan_przed_dolaniem]],pogoda45[[#This Row],[opady]]*$AB$1)</f>
        <v>0</v>
      </c>
      <c r="H167">
        <f>pogoda45[[#This Row],[stan_po_ubytku]]+pogoda45[[#This Row],[ile_pogoda_dolała]]</f>
        <v>12702</v>
      </c>
      <c r="I167" cm="1">
        <f t="array" ref="I167">_xlfn.IFS(OR(pogoda45[[#This Row],[temperatura_srednia]]&lt;=15,pogoda45[[#This Row],[opady]]&gt;0.61),0,pogoda45[[#This Row],[temperatura_srednia]]&gt;30,24000,pogoda45[[#This Row],[temperatura_srednia]]&gt;15,12000)</f>
        <v>12000</v>
      </c>
      <c r="J167">
        <f>IF(pogoda45[[#This Row],[stan_po_dolaniu]]&lt;pogoda45[[#This Row],[ile_podlewamy]],$AB$2-pogoda45[[#This Row],[stan_po_dolaniu]],0)</f>
        <v>0</v>
      </c>
      <c r="K167">
        <f>pogoda45[[#This Row],[stan_po_dolaniu]]+pogoda45[[#This Row],[ile_dolać_do_podlania]]</f>
        <v>12702</v>
      </c>
      <c r="L167">
        <f>pogoda45[[#This Row],[stan_po_dolaniu_do_podlania]]-pogoda45[[#This Row],[ile_podlewamy]]</f>
        <v>702</v>
      </c>
    </row>
    <row r="168" spans="1:12" x14ac:dyDescent="0.25">
      <c r="A168" s="2">
        <v>42261</v>
      </c>
      <c r="B168">
        <v>19</v>
      </c>
      <c r="C168">
        <v>3</v>
      </c>
      <c r="D168">
        <f t="shared" si="2"/>
        <v>702</v>
      </c>
      <c r="E168">
        <f>IF(C168=0,ROUNDUP($AB$3*POWER(pogoda45[[#This Row],[temperatura_srednia]],1.5)*pogoda45[[#This Row],[stan_przed_dolaniem]],0),0)</f>
        <v>0</v>
      </c>
      <c r="F168">
        <f>pogoda45[[#This Row],[stan_przed_dolaniem]]-pogoda45[[#This Row],[ubytek]]</f>
        <v>702</v>
      </c>
      <c r="G168">
        <f>IF(pogoda45[[#This Row],[opady]]*$AB$1+D168&gt;$AB$2,$AB$2-pogoda45[[#This Row],[stan_przed_dolaniem]],pogoda45[[#This Row],[opady]]*$AB$1)</f>
        <v>2100</v>
      </c>
      <c r="H168">
        <f>pogoda45[[#This Row],[stan_po_ubytku]]+pogoda45[[#This Row],[ile_pogoda_dolała]]</f>
        <v>2802</v>
      </c>
      <c r="I168" cm="1">
        <f t="array" ref="I168">_xlfn.IFS(OR(pogoda45[[#This Row],[temperatura_srednia]]&lt;=15,pogoda45[[#This Row],[opady]]&gt;0.61),0,pogoda45[[#This Row],[temperatura_srednia]]&gt;30,24000,pogoda45[[#This Row],[temperatura_srednia]]&gt;15,12000)</f>
        <v>0</v>
      </c>
      <c r="J168">
        <f>IF(pogoda45[[#This Row],[stan_po_dolaniu]]&lt;pogoda45[[#This Row],[ile_podlewamy]],$AB$2-pogoda45[[#This Row],[stan_po_dolaniu]],0)</f>
        <v>0</v>
      </c>
      <c r="K168">
        <f>pogoda45[[#This Row],[stan_po_dolaniu]]+pogoda45[[#This Row],[ile_dolać_do_podlania]]</f>
        <v>2802</v>
      </c>
      <c r="L168">
        <f>pogoda45[[#This Row],[stan_po_dolaniu_do_podlania]]-pogoda45[[#This Row],[ile_podlewamy]]</f>
        <v>2802</v>
      </c>
    </row>
    <row r="169" spans="1:12" x14ac:dyDescent="0.25">
      <c r="A169" s="2">
        <v>42262</v>
      </c>
      <c r="B169">
        <v>16</v>
      </c>
      <c r="C169">
        <v>0.1</v>
      </c>
      <c r="D169">
        <f t="shared" si="2"/>
        <v>2802</v>
      </c>
      <c r="E169">
        <f>IF(C169=0,ROUNDUP($AB$3*POWER(pogoda45[[#This Row],[temperatura_srednia]],1.5)*pogoda45[[#This Row],[stan_przed_dolaniem]],0),0)</f>
        <v>0</v>
      </c>
      <c r="F169">
        <f>pogoda45[[#This Row],[stan_przed_dolaniem]]-pogoda45[[#This Row],[ubytek]]</f>
        <v>2802</v>
      </c>
      <c r="G169">
        <f>IF(pogoda45[[#This Row],[opady]]*$AB$1+D169&gt;$AB$2,$AB$2-pogoda45[[#This Row],[stan_przed_dolaniem]],pogoda45[[#This Row],[opady]]*$AB$1)</f>
        <v>70</v>
      </c>
      <c r="H169">
        <f>pogoda45[[#This Row],[stan_po_ubytku]]+pogoda45[[#This Row],[ile_pogoda_dolała]]</f>
        <v>2872</v>
      </c>
      <c r="I169" cm="1">
        <f t="array" ref="I169">_xlfn.IFS(OR(pogoda45[[#This Row],[temperatura_srednia]]&lt;=15,pogoda45[[#This Row],[opady]]&gt;0.61),0,pogoda45[[#This Row],[temperatura_srednia]]&gt;30,24000,pogoda45[[#This Row],[temperatura_srednia]]&gt;15,12000)</f>
        <v>12000</v>
      </c>
      <c r="J169">
        <f>IF(pogoda45[[#This Row],[stan_po_dolaniu]]&lt;pogoda45[[#This Row],[ile_podlewamy]],$AB$2-pogoda45[[#This Row],[stan_po_dolaniu]],0)</f>
        <v>22128</v>
      </c>
      <c r="K169">
        <f>pogoda45[[#This Row],[stan_po_dolaniu]]+pogoda45[[#This Row],[ile_dolać_do_podlania]]</f>
        <v>25000</v>
      </c>
      <c r="L169">
        <f>pogoda45[[#This Row],[stan_po_dolaniu_do_podlania]]-pogoda45[[#This Row],[ile_podlewamy]]</f>
        <v>13000</v>
      </c>
    </row>
    <row r="170" spans="1:12" x14ac:dyDescent="0.25">
      <c r="A170" s="2">
        <v>42263</v>
      </c>
      <c r="B170">
        <v>18</v>
      </c>
      <c r="C170">
        <v>0</v>
      </c>
      <c r="D170">
        <f t="shared" si="2"/>
        <v>13000</v>
      </c>
      <c r="E170">
        <f>IF(C170=0,ROUNDUP($AB$3*POWER(pogoda45[[#This Row],[temperatura_srednia]],1.5)*pogoda45[[#This Row],[stan_przed_dolaniem]],0),0)</f>
        <v>298</v>
      </c>
      <c r="F170">
        <f>pogoda45[[#This Row],[stan_przed_dolaniem]]-pogoda45[[#This Row],[ubytek]]</f>
        <v>12702</v>
      </c>
      <c r="G170">
        <f>IF(pogoda45[[#This Row],[opady]]*$AB$1+D170&gt;$AB$2,$AB$2-pogoda45[[#This Row],[stan_przed_dolaniem]],pogoda45[[#This Row],[opady]]*$AB$1)</f>
        <v>0</v>
      </c>
      <c r="H170">
        <f>pogoda45[[#This Row],[stan_po_ubytku]]+pogoda45[[#This Row],[ile_pogoda_dolała]]</f>
        <v>12702</v>
      </c>
      <c r="I170" cm="1">
        <f t="array" ref="I170">_xlfn.IFS(OR(pogoda45[[#This Row],[temperatura_srednia]]&lt;=15,pogoda45[[#This Row],[opady]]&gt;0.61),0,pogoda45[[#This Row],[temperatura_srednia]]&gt;30,24000,pogoda45[[#This Row],[temperatura_srednia]]&gt;15,12000)</f>
        <v>12000</v>
      </c>
      <c r="J170">
        <f>IF(pogoda45[[#This Row],[stan_po_dolaniu]]&lt;pogoda45[[#This Row],[ile_podlewamy]],$AB$2-pogoda45[[#This Row],[stan_po_dolaniu]],0)</f>
        <v>0</v>
      </c>
      <c r="K170">
        <f>pogoda45[[#This Row],[stan_po_dolaniu]]+pogoda45[[#This Row],[ile_dolać_do_podlania]]</f>
        <v>12702</v>
      </c>
      <c r="L170">
        <f>pogoda45[[#This Row],[stan_po_dolaniu_do_podlania]]-pogoda45[[#This Row],[ile_podlewamy]]</f>
        <v>702</v>
      </c>
    </row>
    <row r="171" spans="1:12" x14ac:dyDescent="0.25">
      <c r="A171" s="2">
        <v>42264</v>
      </c>
      <c r="B171">
        <v>22</v>
      </c>
      <c r="C171">
        <v>0.5</v>
      </c>
      <c r="D171">
        <f t="shared" si="2"/>
        <v>702</v>
      </c>
      <c r="E171">
        <f>IF(C171=0,ROUNDUP($AB$3*POWER(pogoda45[[#This Row],[temperatura_srednia]],1.5)*pogoda45[[#This Row],[stan_przed_dolaniem]],0),0)</f>
        <v>0</v>
      </c>
      <c r="F171">
        <f>pogoda45[[#This Row],[stan_przed_dolaniem]]-pogoda45[[#This Row],[ubytek]]</f>
        <v>702</v>
      </c>
      <c r="G171">
        <f>IF(pogoda45[[#This Row],[opady]]*$AB$1+D171&gt;$AB$2,$AB$2-pogoda45[[#This Row],[stan_przed_dolaniem]],pogoda45[[#This Row],[opady]]*$AB$1)</f>
        <v>350</v>
      </c>
      <c r="H171">
        <f>pogoda45[[#This Row],[stan_po_ubytku]]+pogoda45[[#This Row],[ile_pogoda_dolała]]</f>
        <v>1052</v>
      </c>
      <c r="I171" cm="1">
        <f t="array" ref="I171">_xlfn.IFS(OR(pogoda45[[#This Row],[temperatura_srednia]]&lt;=15,pogoda45[[#This Row],[opady]]&gt;0.61),0,pogoda45[[#This Row],[temperatura_srednia]]&gt;30,24000,pogoda45[[#This Row],[temperatura_srednia]]&gt;15,12000)</f>
        <v>12000</v>
      </c>
      <c r="J171">
        <f>IF(pogoda45[[#This Row],[stan_po_dolaniu]]&lt;pogoda45[[#This Row],[ile_podlewamy]],$AB$2-pogoda45[[#This Row],[stan_po_dolaniu]],0)</f>
        <v>23948</v>
      </c>
      <c r="K171">
        <f>pogoda45[[#This Row],[stan_po_dolaniu]]+pogoda45[[#This Row],[ile_dolać_do_podlania]]</f>
        <v>25000</v>
      </c>
      <c r="L171">
        <f>pogoda45[[#This Row],[stan_po_dolaniu_do_podlania]]-pogoda45[[#This Row],[ile_podlewamy]]</f>
        <v>13000</v>
      </c>
    </row>
    <row r="172" spans="1:12" x14ac:dyDescent="0.25">
      <c r="A172" s="2">
        <v>42265</v>
      </c>
      <c r="B172">
        <v>16</v>
      </c>
      <c r="C172">
        <v>0</v>
      </c>
      <c r="D172">
        <f t="shared" si="2"/>
        <v>13000</v>
      </c>
      <c r="E172">
        <f>IF(C172=0,ROUNDUP($AB$3*POWER(pogoda45[[#This Row],[temperatura_srednia]],1.5)*pogoda45[[#This Row],[stan_przed_dolaniem]],0),0)</f>
        <v>250</v>
      </c>
      <c r="F172">
        <f>pogoda45[[#This Row],[stan_przed_dolaniem]]-pogoda45[[#This Row],[ubytek]]</f>
        <v>12750</v>
      </c>
      <c r="G172">
        <f>IF(pogoda45[[#This Row],[opady]]*$AB$1+D172&gt;$AB$2,$AB$2-pogoda45[[#This Row],[stan_przed_dolaniem]],pogoda45[[#This Row],[opady]]*$AB$1)</f>
        <v>0</v>
      </c>
      <c r="H172">
        <f>pogoda45[[#This Row],[stan_po_ubytku]]+pogoda45[[#This Row],[ile_pogoda_dolała]]</f>
        <v>12750</v>
      </c>
      <c r="I172" cm="1">
        <f t="array" ref="I172">_xlfn.IFS(OR(pogoda45[[#This Row],[temperatura_srednia]]&lt;=15,pogoda45[[#This Row],[opady]]&gt;0.61),0,pogoda45[[#This Row],[temperatura_srednia]]&gt;30,24000,pogoda45[[#This Row],[temperatura_srednia]]&gt;15,12000)</f>
        <v>12000</v>
      </c>
      <c r="J172">
        <f>IF(pogoda45[[#This Row],[stan_po_dolaniu]]&lt;pogoda45[[#This Row],[ile_podlewamy]],$AB$2-pogoda45[[#This Row],[stan_po_dolaniu]],0)</f>
        <v>0</v>
      </c>
      <c r="K172">
        <f>pogoda45[[#This Row],[stan_po_dolaniu]]+pogoda45[[#This Row],[ile_dolać_do_podlania]]</f>
        <v>12750</v>
      </c>
      <c r="L172">
        <f>pogoda45[[#This Row],[stan_po_dolaniu_do_podlania]]-pogoda45[[#This Row],[ile_podlewamy]]</f>
        <v>750</v>
      </c>
    </row>
    <row r="173" spans="1:12" x14ac:dyDescent="0.25">
      <c r="A173" s="2">
        <v>42266</v>
      </c>
      <c r="B173">
        <v>15</v>
      </c>
      <c r="C173">
        <v>0</v>
      </c>
      <c r="D173">
        <f t="shared" si="2"/>
        <v>750</v>
      </c>
      <c r="E173">
        <f>IF(C173=0,ROUNDUP($AB$3*POWER(pogoda45[[#This Row],[temperatura_srednia]],1.5)*pogoda45[[#This Row],[stan_przed_dolaniem]],0),0)</f>
        <v>14</v>
      </c>
      <c r="F173">
        <f>pogoda45[[#This Row],[stan_przed_dolaniem]]-pogoda45[[#This Row],[ubytek]]</f>
        <v>736</v>
      </c>
      <c r="G173">
        <f>IF(pogoda45[[#This Row],[opady]]*$AB$1+D173&gt;$AB$2,$AB$2-pogoda45[[#This Row],[stan_przed_dolaniem]],pogoda45[[#This Row],[opady]]*$AB$1)</f>
        <v>0</v>
      </c>
      <c r="H173">
        <f>pogoda45[[#This Row],[stan_po_ubytku]]+pogoda45[[#This Row],[ile_pogoda_dolała]]</f>
        <v>736</v>
      </c>
      <c r="I173" cm="1">
        <f t="array" ref="I173">_xlfn.IFS(OR(pogoda45[[#This Row],[temperatura_srednia]]&lt;=15,pogoda45[[#This Row],[opady]]&gt;0.61),0,pogoda45[[#This Row],[temperatura_srednia]]&gt;30,24000,pogoda45[[#This Row],[temperatura_srednia]]&gt;15,12000)</f>
        <v>0</v>
      </c>
      <c r="J173">
        <f>IF(pogoda45[[#This Row],[stan_po_dolaniu]]&lt;pogoda45[[#This Row],[ile_podlewamy]],$AB$2-pogoda45[[#This Row],[stan_po_dolaniu]],0)</f>
        <v>0</v>
      </c>
      <c r="K173">
        <f>pogoda45[[#This Row],[stan_po_dolaniu]]+pogoda45[[#This Row],[ile_dolać_do_podlania]]</f>
        <v>736</v>
      </c>
      <c r="L173">
        <f>pogoda45[[#This Row],[stan_po_dolaniu_do_podlania]]-pogoda45[[#This Row],[ile_podlewamy]]</f>
        <v>736</v>
      </c>
    </row>
    <row r="174" spans="1:12" x14ac:dyDescent="0.25">
      <c r="A174" s="2">
        <v>42267</v>
      </c>
      <c r="B174">
        <v>14</v>
      </c>
      <c r="C174">
        <v>2</v>
      </c>
      <c r="D174">
        <f t="shared" si="2"/>
        <v>736</v>
      </c>
      <c r="E174">
        <f>IF(C174=0,ROUNDUP($AB$3*POWER(pogoda45[[#This Row],[temperatura_srednia]],1.5)*pogoda45[[#This Row],[stan_przed_dolaniem]],0),0)</f>
        <v>0</v>
      </c>
      <c r="F174">
        <f>pogoda45[[#This Row],[stan_przed_dolaniem]]-pogoda45[[#This Row],[ubytek]]</f>
        <v>736</v>
      </c>
      <c r="G174">
        <f>IF(pogoda45[[#This Row],[opady]]*$AB$1+D174&gt;$AB$2,$AB$2-pogoda45[[#This Row],[stan_przed_dolaniem]],pogoda45[[#This Row],[opady]]*$AB$1)</f>
        <v>1400</v>
      </c>
      <c r="H174">
        <f>pogoda45[[#This Row],[stan_po_ubytku]]+pogoda45[[#This Row],[ile_pogoda_dolała]]</f>
        <v>2136</v>
      </c>
      <c r="I174" cm="1">
        <f t="array" ref="I174">_xlfn.IFS(OR(pogoda45[[#This Row],[temperatura_srednia]]&lt;=15,pogoda45[[#This Row],[opady]]&gt;0.61),0,pogoda45[[#This Row],[temperatura_srednia]]&gt;30,24000,pogoda45[[#This Row],[temperatura_srednia]]&gt;15,12000)</f>
        <v>0</v>
      </c>
      <c r="J174">
        <f>IF(pogoda45[[#This Row],[stan_po_dolaniu]]&lt;pogoda45[[#This Row],[ile_podlewamy]],$AB$2-pogoda45[[#This Row],[stan_po_dolaniu]],0)</f>
        <v>0</v>
      </c>
      <c r="K174">
        <f>pogoda45[[#This Row],[stan_po_dolaniu]]+pogoda45[[#This Row],[ile_dolać_do_podlania]]</f>
        <v>2136</v>
      </c>
      <c r="L174">
        <f>pogoda45[[#This Row],[stan_po_dolaniu_do_podlania]]-pogoda45[[#This Row],[ile_podlewamy]]</f>
        <v>2136</v>
      </c>
    </row>
    <row r="175" spans="1:12" x14ac:dyDescent="0.25">
      <c r="A175" s="2">
        <v>42268</v>
      </c>
      <c r="B175">
        <v>12</v>
      </c>
      <c r="C175">
        <v>0</v>
      </c>
      <c r="D175">
        <f t="shared" si="2"/>
        <v>2136</v>
      </c>
      <c r="E175">
        <f>IF(C175=0,ROUNDUP($AB$3*POWER(pogoda45[[#This Row],[temperatura_srednia]],1.5)*pogoda45[[#This Row],[stan_przed_dolaniem]],0),0)</f>
        <v>27</v>
      </c>
      <c r="F175">
        <f>pogoda45[[#This Row],[stan_przed_dolaniem]]-pogoda45[[#This Row],[ubytek]]</f>
        <v>2109</v>
      </c>
      <c r="G175">
        <f>IF(pogoda45[[#This Row],[opady]]*$AB$1+D175&gt;$AB$2,$AB$2-pogoda45[[#This Row],[stan_przed_dolaniem]],pogoda45[[#This Row],[opady]]*$AB$1)</f>
        <v>0</v>
      </c>
      <c r="H175">
        <f>pogoda45[[#This Row],[stan_po_ubytku]]+pogoda45[[#This Row],[ile_pogoda_dolała]]</f>
        <v>2109</v>
      </c>
      <c r="I175" cm="1">
        <f t="array" ref="I175">_xlfn.IFS(OR(pogoda45[[#This Row],[temperatura_srednia]]&lt;=15,pogoda45[[#This Row],[opady]]&gt;0.61),0,pogoda45[[#This Row],[temperatura_srednia]]&gt;30,24000,pogoda45[[#This Row],[temperatura_srednia]]&gt;15,12000)</f>
        <v>0</v>
      </c>
      <c r="J175">
        <f>IF(pogoda45[[#This Row],[stan_po_dolaniu]]&lt;pogoda45[[#This Row],[ile_podlewamy]],$AB$2-pogoda45[[#This Row],[stan_po_dolaniu]],0)</f>
        <v>0</v>
      </c>
      <c r="K175">
        <f>pogoda45[[#This Row],[stan_po_dolaniu]]+pogoda45[[#This Row],[ile_dolać_do_podlania]]</f>
        <v>2109</v>
      </c>
      <c r="L175">
        <f>pogoda45[[#This Row],[stan_po_dolaniu_do_podlania]]-pogoda45[[#This Row],[ile_podlewamy]]</f>
        <v>2109</v>
      </c>
    </row>
    <row r="176" spans="1:12" x14ac:dyDescent="0.25">
      <c r="A176" s="2">
        <v>42269</v>
      </c>
      <c r="B176">
        <v>13</v>
      </c>
      <c r="C176">
        <v>0</v>
      </c>
      <c r="D176">
        <f t="shared" si="2"/>
        <v>2109</v>
      </c>
      <c r="E176">
        <f>IF(C176=0,ROUNDUP($AB$3*POWER(pogoda45[[#This Row],[temperatura_srednia]],1.5)*pogoda45[[#This Row],[stan_przed_dolaniem]],0),0)</f>
        <v>30</v>
      </c>
      <c r="F176">
        <f>pogoda45[[#This Row],[stan_przed_dolaniem]]-pogoda45[[#This Row],[ubytek]]</f>
        <v>2079</v>
      </c>
      <c r="G176">
        <f>IF(pogoda45[[#This Row],[opady]]*$AB$1+D176&gt;$AB$2,$AB$2-pogoda45[[#This Row],[stan_przed_dolaniem]],pogoda45[[#This Row],[opady]]*$AB$1)</f>
        <v>0</v>
      </c>
      <c r="H176">
        <f>pogoda45[[#This Row],[stan_po_ubytku]]+pogoda45[[#This Row],[ile_pogoda_dolała]]</f>
        <v>2079</v>
      </c>
      <c r="I176" cm="1">
        <f t="array" ref="I176">_xlfn.IFS(OR(pogoda45[[#This Row],[temperatura_srednia]]&lt;=15,pogoda45[[#This Row],[opady]]&gt;0.61),0,pogoda45[[#This Row],[temperatura_srednia]]&gt;30,24000,pogoda45[[#This Row],[temperatura_srednia]]&gt;15,12000)</f>
        <v>0</v>
      </c>
      <c r="J176">
        <f>IF(pogoda45[[#This Row],[stan_po_dolaniu]]&lt;pogoda45[[#This Row],[ile_podlewamy]],$AB$2-pogoda45[[#This Row],[stan_po_dolaniu]],0)</f>
        <v>0</v>
      </c>
      <c r="K176">
        <f>pogoda45[[#This Row],[stan_po_dolaniu]]+pogoda45[[#This Row],[ile_dolać_do_podlania]]</f>
        <v>2079</v>
      </c>
      <c r="L176">
        <f>pogoda45[[#This Row],[stan_po_dolaniu_do_podlania]]-pogoda45[[#This Row],[ile_podlewamy]]</f>
        <v>2079</v>
      </c>
    </row>
    <row r="177" spans="1:12" x14ac:dyDescent="0.25">
      <c r="A177" s="2">
        <v>42270</v>
      </c>
      <c r="B177">
        <v>15</v>
      </c>
      <c r="C177">
        <v>0</v>
      </c>
      <c r="D177">
        <f t="shared" si="2"/>
        <v>2079</v>
      </c>
      <c r="E177">
        <f>IF(C177=0,ROUNDUP($AB$3*POWER(pogoda45[[#This Row],[temperatura_srednia]],1.5)*pogoda45[[#This Row],[stan_przed_dolaniem]],0),0)</f>
        <v>37</v>
      </c>
      <c r="F177">
        <f>pogoda45[[#This Row],[stan_przed_dolaniem]]-pogoda45[[#This Row],[ubytek]]</f>
        <v>2042</v>
      </c>
      <c r="G177">
        <f>IF(pogoda45[[#This Row],[opady]]*$AB$1+D177&gt;$AB$2,$AB$2-pogoda45[[#This Row],[stan_przed_dolaniem]],pogoda45[[#This Row],[opady]]*$AB$1)</f>
        <v>0</v>
      </c>
      <c r="H177">
        <f>pogoda45[[#This Row],[stan_po_ubytku]]+pogoda45[[#This Row],[ile_pogoda_dolała]]</f>
        <v>2042</v>
      </c>
      <c r="I177" cm="1">
        <f t="array" ref="I177">_xlfn.IFS(OR(pogoda45[[#This Row],[temperatura_srednia]]&lt;=15,pogoda45[[#This Row],[opady]]&gt;0.61),0,pogoda45[[#This Row],[temperatura_srednia]]&gt;30,24000,pogoda45[[#This Row],[temperatura_srednia]]&gt;15,12000)</f>
        <v>0</v>
      </c>
      <c r="J177">
        <f>IF(pogoda45[[#This Row],[stan_po_dolaniu]]&lt;pogoda45[[#This Row],[ile_podlewamy]],$AB$2-pogoda45[[#This Row],[stan_po_dolaniu]],0)</f>
        <v>0</v>
      </c>
      <c r="K177">
        <f>pogoda45[[#This Row],[stan_po_dolaniu]]+pogoda45[[#This Row],[ile_dolać_do_podlania]]</f>
        <v>2042</v>
      </c>
      <c r="L177">
        <f>pogoda45[[#This Row],[stan_po_dolaniu_do_podlania]]-pogoda45[[#This Row],[ile_podlewamy]]</f>
        <v>2042</v>
      </c>
    </row>
    <row r="178" spans="1:12" x14ac:dyDescent="0.25">
      <c r="A178" s="2">
        <v>42271</v>
      </c>
      <c r="B178">
        <v>15</v>
      </c>
      <c r="C178">
        <v>0</v>
      </c>
      <c r="D178">
        <f t="shared" si="2"/>
        <v>2042</v>
      </c>
      <c r="E178">
        <f>IF(C178=0,ROUNDUP($AB$3*POWER(pogoda45[[#This Row],[temperatura_srednia]],1.5)*pogoda45[[#This Row],[stan_przed_dolaniem]],0),0)</f>
        <v>36</v>
      </c>
      <c r="F178">
        <f>pogoda45[[#This Row],[stan_przed_dolaniem]]-pogoda45[[#This Row],[ubytek]]</f>
        <v>2006</v>
      </c>
      <c r="G178">
        <f>IF(pogoda45[[#This Row],[opady]]*$AB$1+D178&gt;$AB$2,$AB$2-pogoda45[[#This Row],[stan_przed_dolaniem]],pogoda45[[#This Row],[opady]]*$AB$1)</f>
        <v>0</v>
      </c>
      <c r="H178">
        <f>pogoda45[[#This Row],[stan_po_ubytku]]+pogoda45[[#This Row],[ile_pogoda_dolała]]</f>
        <v>2006</v>
      </c>
      <c r="I178" cm="1">
        <f t="array" ref="I178">_xlfn.IFS(OR(pogoda45[[#This Row],[temperatura_srednia]]&lt;=15,pogoda45[[#This Row],[opady]]&gt;0.61),0,pogoda45[[#This Row],[temperatura_srednia]]&gt;30,24000,pogoda45[[#This Row],[temperatura_srednia]]&gt;15,12000)</f>
        <v>0</v>
      </c>
      <c r="J178">
        <f>IF(pogoda45[[#This Row],[stan_po_dolaniu]]&lt;pogoda45[[#This Row],[ile_podlewamy]],$AB$2-pogoda45[[#This Row],[stan_po_dolaniu]],0)</f>
        <v>0</v>
      </c>
      <c r="K178">
        <f>pogoda45[[#This Row],[stan_po_dolaniu]]+pogoda45[[#This Row],[ile_dolać_do_podlania]]</f>
        <v>2006</v>
      </c>
      <c r="L178">
        <f>pogoda45[[#This Row],[stan_po_dolaniu_do_podlania]]-pogoda45[[#This Row],[ile_podlewamy]]</f>
        <v>2006</v>
      </c>
    </row>
    <row r="179" spans="1:12" x14ac:dyDescent="0.25">
      <c r="A179" s="2">
        <v>42272</v>
      </c>
      <c r="B179">
        <v>14</v>
      </c>
      <c r="C179">
        <v>0</v>
      </c>
      <c r="D179">
        <f t="shared" si="2"/>
        <v>2006</v>
      </c>
      <c r="E179">
        <f>IF(C179=0,ROUNDUP($AB$3*POWER(pogoda45[[#This Row],[temperatura_srednia]],1.5)*pogoda45[[#This Row],[stan_przed_dolaniem]],0),0)</f>
        <v>32</v>
      </c>
      <c r="F179">
        <f>pogoda45[[#This Row],[stan_przed_dolaniem]]-pogoda45[[#This Row],[ubytek]]</f>
        <v>1974</v>
      </c>
      <c r="G179">
        <f>IF(pogoda45[[#This Row],[opady]]*$AB$1+D179&gt;$AB$2,$AB$2-pogoda45[[#This Row],[stan_przed_dolaniem]],pogoda45[[#This Row],[opady]]*$AB$1)</f>
        <v>0</v>
      </c>
      <c r="H179">
        <f>pogoda45[[#This Row],[stan_po_ubytku]]+pogoda45[[#This Row],[ile_pogoda_dolała]]</f>
        <v>1974</v>
      </c>
      <c r="I179" cm="1">
        <f t="array" ref="I179">_xlfn.IFS(OR(pogoda45[[#This Row],[temperatura_srednia]]&lt;=15,pogoda45[[#This Row],[opady]]&gt;0.61),0,pogoda45[[#This Row],[temperatura_srednia]]&gt;30,24000,pogoda45[[#This Row],[temperatura_srednia]]&gt;15,12000)</f>
        <v>0</v>
      </c>
      <c r="J179">
        <f>IF(pogoda45[[#This Row],[stan_po_dolaniu]]&lt;pogoda45[[#This Row],[ile_podlewamy]],$AB$2-pogoda45[[#This Row],[stan_po_dolaniu]],0)</f>
        <v>0</v>
      </c>
      <c r="K179">
        <f>pogoda45[[#This Row],[stan_po_dolaniu]]+pogoda45[[#This Row],[ile_dolać_do_podlania]]</f>
        <v>1974</v>
      </c>
      <c r="L179">
        <f>pogoda45[[#This Row],[stan_po_dolaniu_do_podlania]]-pogoda45[[#This Row],[ile_podlewamy]]</f>
        <v>1974</v>
      </c>
    </row>
    <row r="180" spans="1:12" x14ac:dyDescent="0.25">
      <c r="A180" s="2">
        <v>42273</v>
      </c>
      <c r="B180">
        <v>12</v>
      </c>
      <c r="C180">
        <v>0</v>
      </c>
      <c r="D180">
        <f t="shared" si="2"/>
        <v>1974</v>
      </c>
      <c r="E180">
        <f>IF(C180=0,ROUNDUP($AB$3*POWER(pogoda45[[#This Row],[temperatura_srednia]],1.5)*pogoda45[[#This Row],[stan_przed_dolaniem]],0),0)</f>
        <v>25</v>
      </c>
      <c r="F180">
        <f>pogoda45[[#This Row],[stan_przed_dolaniem]]-pogoda45[[#This Row],[ubytek]]</f>
        <v>1949</v>
      </c>
      <c r="G180">
        <f>IF(pogoda45[[#This Row],[opady]]*$AB$1+D180&gt;$AB$2,$AB$2-pogoda45[[#This Row],[stan_przed_dolaniem]],pogoda45[[#This Row],[opady]]*$AB$1)</f>
        <v>0</v>
      </c>
      <c r="H180">
        <f>pogoda45[[#This Row],[stan_po_ubytku]]+pogoda45[[#This Row],[ile_pogoda_dolała]]</f>
        <v>1949</v>
      </c>
      <c r="I180" cm="1">
        <f t="array" ref="I180">_xlfn.IFS(OR(pogoda45[[#This Row],[temperatura_srednia]]&lt;=15,pogoda45[[#This Row],[opady]]&gt;0.61),0,pogoda45[[#This Row],[temperatura_srednia]]&gt;30,24000,pogoda45[[#This Row],[temperatura_srednia]]&gt;15,12000)</f>
        <v>0</v>
      </c>
      <c r="J180">
        <f>IF(pogoda45[[#This Row],[stan_po_dolaniu]]&lt;pogoda45[[#This Row],[ile_podlewamy]],$AB$2-pogoda45[[#This Row],[stan_po_dolaniu]],0)</f>
        <v>0</v>
      </c>
      <c r="K180">
        <f>pogoda45[[#This Row],[stan_po_dolaniu]]+pogoda45[[#This Row],[ile_dolać_do_podlania]]</f>
        <v>1949</v>
      </c>
      <c r="L180">
        <f>pogoda45[[#This Row],[stan_po_dolaniu_do_podlania]]-pogoda45[[#This Row],[ile_podlewamy]]</f>
        <v>1949</v>
      </c>
    </row>
    <row r="181" spans="1:12" x14ac:dyDescent="0.25">
      <c r="A181" s="2">
        <v>42274</v>
      </c>
      <c r="B181">
        <v>11</v>
      </c>
      <c r="C181">
        <v>0</v>
      </c>
      <c r="D181">
        <f t="shared" si="2"/>
        <v>1949</v>
      </c>
      <c r="E181">
        <f>IF(C181=0,ROUNDUP($AB$3*POWER(pogoda45[[#This Row],[temperatura_srednia]],1.5)*pogoda45[[#This Row],[stan_przed_dolaniem]],0),0)</f>
        <v>22</v>
      </c>
      <c r="F181">
        <f>pogoda45[[#This Row],[stan_przed_dolaniem]]-pogoda45[[#This Row],[ubytek]]</f>
        <v>1927</v>
      </c>
      <c r="G181">
        <f>IF(pogoda45[[#This Row],[opady]]*$AB$1+D181&gt;$AB$2,$AB$2-pogoda45[[#This Row],[stan_przed_dolaniem]],pogoda45[[#This Row],[opady]]*$AB$1)</f>
        <v>0</v>
      </c>
      <c r="H181">
        <f>pogoda45[[#This Row],[stan_po_ubytku]]+pogoda45[[#This Row],[ile_pogoda_dolała]]</f>
        <v>1927</v>
      </c>
      <c r="I181" cm="1">
        <f t="array" ref="I181">_xlfn.IFS(OR(pogoda45[[#This Row],[temperatura_srednia]]&lt;=15,pogoda45[[#This Row],[opady]]&gt;0.61),0,pogoda45[[#This Row],[temperatura_srednia]]&gt;30,24000,pogoda45[[#This Row],[temperatura_srednia]]&gt;15,12000)</f>
        <v>0</v>
      </c>
      <c r="J181">
        <f>IF(pogoda45[[#This Row],[stan_po_dolaniu]]&lt;pogoda45[[#This Row],[ile_podlewamy]],$AB$2-pogoda45[[#This Row],[stan_po_dolaniu]],0)</f>
        <v>0</v>
      </c>
      <c r="K181">
        <f>pogoda45[[#This Row],[stan_po_dolaniu]]+pogoda45[[#This Row],[ile_dolać_do_podlania]]</f>
        <v>1927</v>
      </c>
      <c r="L181">
        <f>pogoda45[[#This Row],[stan_po_dolaniu_do_podlania]]-pogoda45[[#This Row],[ile_podlewamy]]</f>
        <v>1927</v>
      </c>
    </row>
    <row r="182" spans="1:12" x14ac:dyDescent="0.25">
      <c r="A182" s="2">
        <v>42275</v>
      </c>
      <c r="B182">
        <v>10</v>
      </c>
      <c r="C182">
        <v>0</v>
      </c>
      <c r="D182">
        <f t="shared" si="2"/>
        <v>1927</v>
      </c>
      <c r="E182">
        <f>IF(C182=0,ROUNDUP($AB$3*POWER(pogoda45[[#This Row],[temperatura_srednia]],1.5)*pogoda45[[#This Row],[stan_przed_dolaniem]],0),0)</f>
        <v>19</v>
      </c>
      <c r="F182">
        <f>pogoda45[[#This Row],[stan_przed_dolaniem]]-pogoda45[[#This Row],[ubytek]]</f>
        <v>1908</v>
      </c>
      <c r="G182">
        <f>IF(pogoda45[[#This Row],[opady]]*$AB$1+D182&gt;$AB$2,$AB$2-pogoda45[[#This Row],[stan_przed_dolaniem]],pogoda45[[#This Row],[opady]]*$AB$1)</f>
        <v>0</v>
      </c>
      <c r="H182">
        <f>pogoda45[[#This Row],[stan_po_ubytku]]+pogoda45[[#This Row],[ile_pogoda_dolała]]</f>
        <v>1908</v>
      </c>
      <c r="I182" cm="1">
        <f t="array" ref="I182">_xlfn.IFS(OR(pogoda45[[#This Row],[temperatura_srednia]]&lt;=15,pogoda45[[#This Row],[opady]]&gt;0.61),0,pogoda45[[#This Row],[temperatura_srednia]]&gt;30,24000,pogoda45[[#This Row],[temperatura_srednia]]&gt;15,12000)</f>
        <v>0</v>
      </c>
      <c r="J182">
        <f>IF(pogoda45[[#This Row],[stan_po_dolaniu]]&lt;pogoda45[[#This Row],[ile_podlewamy]],$AB$2-pogoda45[[#This Row],[stan_po_dolaniu]],0)</f>
        <v>0</v>
      </c>
      <c r="K182">
        <f>pogoda45[[#This Row],[stan_po_dolaniu]]+pogoda45[[#This Row],[ile_dolać_do_podlania]]</f>
        <v>1908</v>
      </c>
      <c r="L182">
        <f>pogoda45[[#This Row],[stan_po_dolaniu_do_podlania]]-pogoda45[[#This Row],[ile_podlewamy]]</f>
        <v>1908</v>
      </c>
    </row>
    <row r="183" spans="1:12" x14ac:dyDescent="0.25">
      <c r="A183" s="2">
        <v>42276</v>
      </c>
      <c r="B183">
        <v>10</v>
      </c>
      <c r="C183">
        <v>0</v>
      </c>
      <c r="D183">
        <f t="shared" si="2"/>
        <v>1908</v>
      </c>
      <c r="E183">
        <f>IF(C183=0,ROUNDUP($AB$3*POWER(pogoda45[[#This Row],[temperatura_srednia]],1.5)*pogoda45[[#This Row],[stan_przed_dolaniem]],0),0)</f>
        <v>19</v>
      </c>
      <c r="F183">
        <f>pogoda45[[#This Row],[stan_przed_dolaniem]]-pogoda45[[#This Row],[ubytek]]</f>
        <v>1889</v>
      </c>
      <c r="G183">
        <f>IF(pogoda45[[#This Row],[opady]]*$AB$1+D183&gt;$AB$2,$AB$2-pogoda45[[#This Row],[stan_przed_dolaniem]],pogoda45[[#This Row],[opady]]*$AB$1)</f>
        <v>0</v>
      </c>
      <c r="H183">
        <f>pogoda45[[#This Row],[stan_po_ubytku]]+pogoda45[[#This Row],[ile_pogoda_dolała]]</f>
        <v>1889</v>
      </c>
      <c r="I183" cm="1">
        <f t="array" ref="I183">_xlfn.IFS(OR(pogoda45[[#This Row],[temperatura_srednia]]&lt;=15,pogoda45[[#This Row],[opady]]&gt;0.61),0,pogoda45[[#This Row],[temperatura_srednia]]&gt;30,24000,pogoda45[[#This Row],[temperatura_srednia]]&gt;15,12000)</f>
        <v>0</v>
      </c>
      <c r="J183">
        <f>IF(pogoda45[[#This Row],[stan_po_dolaniu]]&lt;pogoda45[[#This Row],[ile_podlewamy]],$AB$2-pogoda45[[#This Row],[stan_po_dolaniu]],0)</f>
        <v>0</v>
      </c>
      <c r="K183">
        <f>pogoda45[[#This Row],[stan_po_dolaniu]]+pogoda45[[#This Row],[ile_dolać_do_podlania]]</f>
        <v>1889</v>
      </c>
      <c r="L183">
        <f>pogoda45[[#This Row],[stan_po_dolaniu_do_podlania]]-pogoda45[[#This Row],[ile_podlewamy]]</f>
        <v>1889</v>
      </c>
    </row>
    <row r="184" spans="1:12" x14ac:dyDescent="0.25">
      <c r="A184" s="2">
        <v>42277</v>
      </c>
      <c r="B184">
        <v>10</v>
      </c>
      <c r="C184">
        <v>0</v>
      </c>
      <c r="D184">
        <f t="shared" si="2"/>
        <v>1889</v>
      </c>
      <c r="E184">
        <f>IF(C184=0,ROUNDUP($AB$3*POWER(pogoda45[[#This Row],[temperatura_srednia]],1.5)*pogoda45[[#This Row],[stan_przed_dolaniem]],0),0)</f>
        <v>18</v>
      </c>
      <c r="F184">
        <f>pogoda45[[#This Row],[stan_przed_dolaniem]]-pogoda45[[#This Row],[ubytek]]</f>
        <v>1871</v>
      </c>
      <c r="G184">
        <f>IF(pogoda45[[#This Row],[opady]]*$AB$1+D184&gt;$AB$2,$AB$2-pogoda45[[#This Row],[stan_przed_dolaniem]],pogoda45[[#This Row],[opady]]*$AB$1)</f>
        <v>0</v>
      </c>
      <c r="H184">
        <f>pogoda45[[#This Row],[stan_po_ubytku]]+pogoda45[[#This Row],[ile_pogoda_dolała]]</f>
        <v>1871</v>
      </c>
      <c r="I184" cm="1">
        <f t="array" ref="I184">_xlfn.IFS(OR(pogoda45[[#This Row],[temperatura_srednia]]&lt;=15,pogoda45[[#This Row],[opady]]&gt;0.61),0,pogoda45[[#This Row],[temperatura_srednia]]&gt;30,24000,pogoda45[[#This Row],[temperatura_srednia]]&gt;15,12000)</f>
        <v>0</v>
      </c>
      <c r="J184">
        <f>IF(pogoda45[[#This Row],[stan_po_dolaniu]]&lt;pogoda45[[#This Row],[ile_podlewamy]],$AB$2-pogoda45[[#This Row],[stan_po_dolaniu]],0)</f>
        <v>0</v>
      </c>
      <c r="K184">
        <f>pogoda45[[#This Row],[stan_po_dolaniu]]+pogoda45[[#This Row],[ile_dolać_do_podlania]]</f>
        <v>1871</v>
      </c>
      <c r="L184">
        <f>pogoda45[[#This Row],[stan_po_dolaniu_do_podlania]]-pogoda45[[#This Row],[ile_podlewamy]]</f>
        <v>1871</v>
      </c>
    </row>
  </sheetData>
  <conditionalFormatting sqref="J1:J1048576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5000-08A6-4F7F-AD63-3147E23EAA54}">
  <dimension ref="A1:AB185"/>
  <sheetViews>
    <sheetView topLeftCell="M1" zoomScaleNormal="100" workbookViewId="0">
      <selection activeCell="X35" sqref="X35"/>
    </sheetView>
  </sheetViews>
  <sheetFormatPr defaultRowHeight="15" x14ac:dyDescent="0.25"/>
  <cols>
    <col min="1" max="1" width="22.28515625" customWidth="1"/>
    <col min="2" max="2" width="22.28515625" bestFit="1" customWidth="1"/>
    <col min="4" max="4" width="8.7109375" bestFit="1" customWidth="1"/>
    <col min="5" max="5" width="22.7109375" bestFit="1" customWidth="1"/>
    <col min="6" max="6" width="9.42578125" bestFit="1" customWidth="1"/>
    <col min="7" max="7" width="17.5703125" bestFit="1" customWidth="1"/>
    <col min="8" max="8" width="19.85546875" bestFit="1" customWidth="1"/>
    <col min="9" max="9" width="18.140625" bestFit="1" customWidth="1"/>
    <col min="10" max="10" width="17.140625" bestFit="1" customWidth="1"/>
    <col min="11" max="11" width="23.7109375" bestFit="1" customWidth="1"/>
    <col min="12" max="12" width="30.5703125" bestFit="1" customWidth="1"/>
    <col min="13" max="13" width="19.28515625" bestFit="1" customWidth="1"/>
    <col min="14" max="14" width="17.7109375" bestFit="1" customWidth="1"/>
    <col min="15" max="15" width="23.85546875" bestFit="1" customWidth="1"/>
    <col min="28" max="28" width="18.28515625" bestFit="1" customWidth="1"/>
    <col min="29" max="29" width="6.140625" bestFit="1" customWidth="1"/>
  </cols>
  <sheetData>
    <row r="1" spans="1:28" x14ac:dyDescent="0.25">
      <c r="A1" t="s">
        <v>9</v>
      </c>
      <c r="B1" t="s">
        <v>0</v>
      </c>
      <c r="C1" t="s">
        <v>1</v>
      </c>
      <c r="D1" t="s">
        <v>3</v>
      </c>
      <c r="E1" t="s">
        <v>6</v>
      </c>
      <c r="F1" t="s">
        <v>8</v>
      </c>
      <c r="G1" t="s">
        <v>14</v>
      </c>
      <c r="H1" t="s">
        <v>5</v>
      </c>
      <c r="I1" t="s">
        <v>10</v>
      </c>
      <c r="J1" t="s">
        <v>12</v>
      </c>
      <c r="K1" t="s">
        <v>13</v>
      </c>
      <c r="L1" t="s">
        <v>11</v>
      </c>
      <c r="N1" s="4" t="s">
        <v>22</v>
      </c>
      <c r="O1" t="s">
        <v>23</v>
      </c>
      <c r="AA1" t="s">
        <v>2</v>
      </c>
      <c r="AB1">
        <v>700</v>
      </c>
    </row>
    <row r="2" spans="1:28" x14ac:dyDescent="0.25">
      <c r="A2" s="2">
        <v>42095</v>
      </c>
      <c r="B2">
        <v>4</v>
      </c>
      <c r="C2">
        <v>2</v>
      </c>
      <c r="D2">
        <v>25000</v>
      </c>
      <c r="E2">
        <f>IF(C2=0,ROUNDUP($AB$3*POWER(pogoda46[[#This Row],[temperatura_srednia]],1.5)*pogoda46[[#This Row],[stan_przed_dolaniem]],0),0)</f>
        <v>0</v>
      </c>
      <c r="F2">
        <f>pogoda46[[#This Row],[stan_przed_dolaniem]]-pogoda46[[#This Row],[ubytek]]</f>
        <v>25000</v>
      </c>
      <c r="G2">
        <f>IF(pogoda46[[#This Row],[opady]]*$AB$1+D2&gt;$AB$2,$AB$2-pogoda46[[#This Row],[stan_przed_dolaniem]],pogoda46[[#This Row],[opady]]*$AB$1)</f>
        <v>0</v>
      </c>
      <c r="H2">
        <f>pogoda46[[#This Row],[stan_po_ubytku]]+pogoda46[[#This Row],[ile_pogoda_dolała]]</f>
        <v>25000</v>
      </c>
      <c r="I2" cm="1">
        <f t="array" ref="I2">_xlfn.IFS(OR(pogoda46[[#This Row],[temperatura_srednia]]&lt;=15,pogoda46[[#This Row],[opady]]&gt;0.61),0,pogoda46[[#This Row],[temperatura_srednia]]&gt;30,24000,pogoda46[[#This Row],[temperatura_srednia]]&gt;15,12000)</f>
        <v>0</v>
      </c>
      <c r="J2">
        <f>IF(pogoda46[[#This Row],[stan_po_dolaniu]]&lt;pogoda46[[#This Row],[ile_podlewamy]],$AB$2-pogoda46[[#This Row],[stan_po_dolaniu]],0)</f>
        <v>0</v>
      </c>
      <c r="K2">
        <f>pogoda46[[#This Row],[stan_po_dolaniu]]+pogoda46[[#This Row],[ile_dolać_do_podlania]]</f>
        <v>25000</v>
      </c>
      <c r="L2">
        <f>pogoda46[[#This Row],[stan_po_dolaniu_do_podlania]]-pogoda46[[#This Row],[ile_podlewamy]]</f>
        <v>25000</v>
      </c>
      <c r="N2" s="5">
        <v>42095</v>
      </c>
      <c r="O2">
        <v>25000</v>
      </c>
      <c r="AA2" t="s">
        <v>4</v>
      </c>
      <c r="AB2">
        <v>25000</v>
      </c>
    </row>
    <row r="3" spans="1:28" x14ac:dyDescent="0.25">
      <c r="A3" s="2">
        <v>42096</v>
      </c>
      <c r="B3">
        <v>2</v>
      </c>
      <c r="C3">
        <v>6</v>
      </c>
      <c r="D3">
        <f>L2</f>
        <v>25000</v>
      </c>
      <c r="E3">
        <f>IF(C3=0,ROUNDUP($AB$3*POWER(pogoda46[[#This Row],[temperatura_srednia]],1.5)*pogoda46[[#This Row],[stan_przed_dolaniem]],0),0)</f>
        <v>0</v>
      </c>
      <c r="F3">
        <f>pogoda46[[#This Row],[stan_przed_dolaniem]]-pogoda46[[#This Row],[ubytek]]</f>
        <v>25000</v>
      </c>
      <c r="G3">
        <f>IF(pogoda46[[#This Row],[opady]]*$AB$1+D3&gt;$AB$2,$AB$2-pogoda46[[#This Row],[stan_przed_dolaniem]],pogoda46[[#This Row],[opady]]*$AB$1)</f>
        <v>0</v>
      </c>
      <c r="H3">
        <f>pogoda46[[#This Row],[stan_po_ubytku]]+pogoda46[[#This Row],[ile_pogoda_dolała]]</f>
        <v>25000</v>
      </c>
      <c r="I3" cm="1">
        <f t="array" ref="I3">_xlfn.IFS(OR(pogoda46[[#This Row],[temperatura_srednia]]&lt;=15,pogoda46[[#This Row],[opady]]&gt;0.61),0,pogoda46[[#This Row],[temperatura_srednia]]&gt;30,24000,pogoda46[[#This Row],[temperatura_srednia]]&gt;15,12000)</f>
        <v>0</v>
      </c>
      <c r="J3">
        <f>IF(pogoda46[[#This Row],[stan_po_dolaniu]]&lt;pogoda46[[#This Row],[ile_podlewamy]],$AB$2-pogoda46[[#This Row],[stan_po_dolaniu]],0)</f>
        <v>0</v>
      </c>
      <c r="K3">
        <f>pogoda46[[#This Row],[stan_po_dolaniu]]+pogoda46[[#This Row],[ile_dolać_do_podlania]]</f>
        <v>25000</v>
      </c>
      <c r="L3">
        <f>pogoda46[[#This Row],[stan_po_dolaniu_do_podlania]]-pogoda46[[#This Row],[ile_podlewamy]]</f>
        <v>25000</v>
      </c>
      <c r="N3" s="5">
        <v>42096</v>
      </c>
      <c r="O3">
        <v>25000</v>
      </c>
      <c r="AA3" t="s">
        <v>7</v>
      </c>
      <c r="AB3" s="1">
        <v>2.9999999999999997E-4</v>
      </c>
    </row>
    <row r="4" spans="1:28" x14ac:dyDescent="0.25">
      <c r="A4" s="2">
        <v>42097</v>
      </c>
      <c r="B4">
        <v>4</v>
      </c>
      <c r="C4">
        <v>1</v>
      </c>
      <c r="D4">
        <f t="shared" ref="D4:D67" si="0">L3</f>
        <v>25000</v>
      </c>
      <c r="E4">
        <f>IF(C4=0,ROUNDUP($AB$3*POWER(pogoda46[[#This Row],[temperatura_srednia]],1.5)*pogoda46[[#This Row],[stan_przed_dolaniem]],0),0)</f>
        <v>0</v>
      </c>
      <c r="F4">
        <f>pogoda46[[#This Row],[stan_przed_dolaniem]]-pogoda46[[#This Row],[ubytek]]</f>
        <v>25000</v>
      </c>
      <c r="G4">
        <f>IF(pogoda46[[#This Row],[opady]]*$AB$1+D4&gt;$AB$2,$AB$2-pogoda46[[#This Row],[stan_przed_dolaniem]],pogoda46[[#This Row],[opady]]*$AB$1)</f>
        <v>0</v>
      </c>
      <c r="H4">
        <f>pogoda46[[#This Row],[stan_po_ubytku]]+pogoda46[[#This Row],[ile_pogoda_dolała]]</f>
        <v>25000</v>
      </c>
      <c r="I4" cm="1">
        <f t="array" ref="I4">_xlfn.IFS(OR(pogoda46[[#This Row],[temperatura_srednia]]&lt;=15,pogoda46[[#This Row],[opady]]&gt;0.61),0,pogoda46[[#This Row],[temperatura_srednia]]&gt;30,24000,pogoda46[[#This Row],[temperatura_srednia]]&gt;15,12000)</f>
        <v>0</v>
      </c>
      <c r="J4">
        <f>IF(pogoda46[[#This Row],[stan_po_dolaniu]]&lt;pogoda46[[#This Row],[ile_podlewamy]],$AB$2-pogoda46[[#This Row],[stan_po_dolaniu]],0)</f>
        <v>0</v>
      </c>
      <c r="K4">
        <f>pogoda46[[#This Row],[stan_po_dolaniu]]+pogoda46[[#This Row],[ile_dolać_do_podlania]]</f>
        <v>25000</v>
      </c>
      <c r="L4">
        <f>pogoda46[[#This Row],[stan_po_dolaniu_do_podlania]]-pogoda46[[#This Row],[ile_podlewamy]]</f>
        <v>25000</v>
      </c>
      <c r="N4" s="5">
        <v>42097</v>
      </c>
      <c r="O4">
        <v>25000</v>
      </c>
    </row>
    <row r="5" spans="1:28" x14ac:dyDescent="0.25">
      <c r="A5" s="2">
        <v>42098</v>
      </c>
      <c r="B5">
        <v>4</v>
      </c>
      <c r="C5">
        <v>0.8</v>
      </c>
      <c r="D5">
        <f t="shared" si="0"/>
        <v>25000</v>
      </c>
      <c r="E5">
        <f>IF(C5=0,ROUNDUP($AB$3*POWER(pogoda46[[#This Row],[temperatura_srednia]],1.5)*pogoda46[[#This Row],[stan_przed_dolaniem]],0),0)</f>
        <v>0</v>
      </c>
      <c r="F5">
        <f>pogoda46[[#This Row],[stan_przed_dolaniem]]-pogoda46[[#This Row],[ubytek]]</f>
        <v>25000</v>
      </c>
      <c r="G5">
        <f>IF(pogoda46[[#This Row],[opady]]*$AB$1+D5&gt;$AB$2,$AB$2-pogoda46[[#This Row],[stan_przed_dolaniem]],pogoda46[[#This Row],[opady]]*$AB$1)</f>
        <v>0</v>
      </c>
      <c r="H5">
        <f>pogoda46[[#This Row],[stan_po_ubytku]]+pogoda46[[#This Row],[ile_pogoda_dolała]]</f>
        <v>25000</v>
      </c>
      <c r="I5" cm="1">
        <f t="array" ref="I5">_xlfn.IFS(OR(pogoda46[[#This Row],[temperatura_srednia]]&lt;=15,pogoda46[[#This Row],[opady]]&gt;0.61),0,pogoda46[[#This Row],[temperatura_srednia]]&gt;30,24000,pogoda46[[#This Row],[temperatura_srednia]]&gt;15,12000)</f>
        <v>0</v>
      </c>
      <c r="J5">
        <f>IF(pogoda46[[#This Row],[stan_po_dolaniu]]&lt;pogoda46[[#This Row],[ile_podlewamy]],$AB$2-pogoda46[[#This Row],[stan_po_dolaniu]],0)</f>
        <v>0</v>
      </c>
      <c r="K5">
        <f>pogoda46[[#This Row],[stan_po_dolaniu]]+pogoda46[[#This Row],[ile_dolać_do_podlania]]</f>
        <v>25000</v>
      </c>
      <c r="L5">
        <f>pogoda46[[#This Row],[stan_po_dolaniu_do_podlania]]-pogoda46[[#This Row],[ile_podlewamy]]</f>
        <v>25000</v>
      </c>
      <c r="N5" s="5">
        <v>42098</v>
      </c>
      <c r="O5">
        <v>25000</v>
      </c>
    </row>
    <row r="6" spans="1:28" x14ac:dyDescent="0.25">
      <c r="A6" s="2">
        <v>42099</v>
      </c>
      <c r="B6">
        <v>3</v>
      </c>
      <c r="C6">
        <v>0</v>
      </c>
      <c r="D6">
        <f t="shared" si="0"/>
        <v>25000</v>
      </c>
      <c r="E6">
        <f>IF(C6=0,ROUNDUP($AB$3*POWER(pogoda46[[#This Row],[temperatura_srednia]],1.5)*pogoda46[[#This Row],[stan_przed_dolaniem]],0),0)</f>
        <v>39</v>
      </c>
      <c r="F6">
        <f>pogoda46[[#This Row],[stan_przed_dolaniem]]-pogoda46[[#This Row],[ubytek]]</f>
        <v>24961</v>
      </c>
      <c r="G6">
        <f>IF(pogoda46[[#This Row],[opady]]*$AB$1+D6&gt;$AB$2,$AB$2-pogoda46[[#This Row],[stan_przed_dolaniem]],pogoda46[[#This Row],[opady]]*$AB$1)</f>
        <v>0</v>
      </c>
      <c r="H6">
        <f>pogoda46[[#This Row],[stan_po_ubytku]]+pogoda46[[#This Row],[ile_pogoda_dolała]]</f>
        <v>24961</v>
      </c>
      <c r="I6" cm="1">
        <f t="array" ref="I6">_xlfn.IFS(OR(pogoda46[[#This Row],[temperatura_srednia]]&lt;=15,pogoda46[[#This Row],[opady]]&gt;0.61),0,pogoda46[[#This Row],[temperatura_srednia]]&gt;30,24000,pogoda46[[#This Row],[temperatura_srednia]]&gt;15,12000)</f>
        <v>0</v>
      </c>
      <c r="J6">
        <f>IF(pogoda46[[#This Row],[stan_po_dolaniu]]&lt;pogoda46[[#This Row],[ile_podlewamy]],$AB$2-pogoda46[[#This Row],[stan_po_dolaniu]],0)</f>
        <v>0</v>
      </c>
      <c r="K6">
        <f>pogoda46[[#This Row],[stan_po_dolaniu]]+pogoda46[[#This Row],[ile_dolać_do_podlania]]</f>
        <v>24961</v>
      </c>
      <c r="L6">
        <f>pogoda46[[#This Row],[stan_po_dolaniu_do_podlania]]-pogoda46[[#This Row],[ile_podlewamy]]</f>
        <v>24961</v>
      </c>
      <c r="N6" s="5">
        <v>42099</v>
      </c>
      <c r="O6">
        <v>24961</v>
      </c>
    </row>
    <row r="7" spans="1:28" x14ac:dyDescent="0.25">
      <c r="A7" s="2">
        <v>42100</v>
      </c>
      <c r="B7">
        <v>4</v>
      </c>
      <c r="C7">
        <v>0</v>
      </c>
      <c r="D7">
        <f t="shared" si="0"/>
        <v>24961</v>
      </c>
      <c r="E7">
        <f>IF(C7=0,ROUNDUP($AB$3*POWER(pogoda46[[#This Row],[temperatura_srednia]],1.5)*pogoda46[[#This Row],[stan_przed_dolaniem]],0),0)</f>
        <v>60</v>
      </c>
      <c r="F7">
        <f>pogoda46[[#This Row],[stan_przed_dolaniem]]-pogoda46[[#This Row],[ubytek]]</f>
        <v>24901</v>
      </c>
      <c r="G7">
        <f>IF(pogoda46[[#This Row],[opady]]*$AB$1+D7&gt;$AB$2,$AB$2-pogoda46[[#This Row],[stan_przed_dolaniem]],pogoda46[[#This Row],[opady]]*$AB$1)</f>
        <v>0</v>
      </c>
      <c r="H7">
        <f>pogoda46[[#This Row],[stan_po_ubytku]]+pogoda46[[#This Row],[ile_pogoda_dolała]]</f>
        <v>24901</v>
      </c>
      <c r="I7" cm="1">
        <f t="array" ref="I7">_xlfn.IFS(OR(pogoda46[[#This Row],[temperatura_srednia]]&lt;=15,pogoda46[[#This Row],[opady]]&gt;0.61),0,pogoda46[[#This Row],[temperatura_srednia]]&gt;30,24000,pogoda46[[#This Row],[temperatura_srednia]]&gt;15,12000)</f>
        <v>0</v>
      </c>
      <c r="J7">
        <f>IF(pogoda46[[#This Row],[stan_po_dolaniu]]&lt;pogoda46[[#This Row],[ile_podlewamy]],$AB$2-pogoda46[[#This Row],[stan_po_dolaniu]],0)</f>
        <v>0</v>
      </c>
      <c r="K7">
        <f>pogoda46[[#This Row],[stan_po_dolaniu]]+pogoda46[[#This Row],[ile_dolać_do_podlania]]</f>
        <v>24901</v>
      </c>
      <c r="L7">
        <f>pogoda46[[#This Row],[stan_po_dolaniu_do_podlania]]-pogoda46[[#This Row],[ile_podlewamy]]</f>
        <v>24901</v>
      </c>
      <c r="N7" s="5">
        <v>42100</v>
      </c>
      <c r="O7">
        <v>24901</v>
      </c>
    </row>
    <row r="8" spans="1:28" x14ac:dyDescent="0.25">
      <c r="A8" s="2">
        <v>42101</v>
      </c>
      <c r="B8">
        <v>4</v>
      </c>
      <c r="C8">
        <v>1</v>
      </c>
      <c r="D8">
        <f t="shared" si="0"/>
        <v>24901</v>
      </c>
      <c r="E8">
        <f>IF(C8=0,ROUNDUP($AB$3*POWER(pogoda46[[#This Row],[temperatura_srednia]],1.5)*pogoda46[[#This Row],[stan_przed_dolaniem]],0),0)</f>
        <v>0</v>
      </c>
      <c r="F8">
        <f>pogoda46[[#This Row],[stan_przed_dolaniem]]-pogoda46[[#This Row],[ubytek]]</f>
        <v>24901</v>
      </c>
      <c r="G8">
        <f>IF(pogoda46[[#This Row],[opady]]*$AB$1+D8&gt;$AB$2,$AB$2-pogoda46[[#This Row],[stan_przed_dolaniem]],pogoda46[[#This Row],[opady]]*$AB$1)</f>
        <v>99</v>
      </c>
      <c r="H8">
        <f>pogoda46[[#This Row],[stan_po_ubytku]]+pogoda46[[#This Row],[ile_pogoda_dolała]]</f>
        <v>25000</v>
      </c>
      <c r="I8" cm="1">
        <f t="array" ref="I8">_xlfn.IFS(OR(pogoda46[[#This Row],[temperatura_srednia]]&lt;=15,pogoda46[[#This Row],[opady]]&gt;0.61),0,pogoda46[[#This Row],[temperatura_srednia]]&gt;30,24000,pogoda46[[#This Row],[temperatura_srednia]]&gt;15,12000)</f>
        <v>0</v>
      </c>
      <c r="J8">
        <f>IF(pogoda46[[#This Row],[stan_po_dolaniu]]&lt;pogoda46[[#This Row],[ile_podlewamy]],$AB$2-pogoda46[[#This Row],[stan_po_dolaniu]],0)</f>
        <v>0</v>
      </c>
      <c r="K8">
        <f>pogoda46[[#This Row],[stan_po_dolaniu]]+pogoda46[[#This Row],[ile_dolać_do_podlania]]</f>
        <v>25000</v>
      </c>
      <c r="L8">
        <f>pogoda46[[#This Row],[stan_po_dolaniu_do_podlania]]-pogoda46[[#This Row],[ile_podlewamy]]</f>
        <v>25000</v>
      </c>
      <c r="N8" s="5">
        <v>42101</v>
      </c>
      <c r="O8">
        <v>25000</v>
      </c>
    </row>
    <row r="9" spans="1:28" x14ac:dyDescent="0.25">
      <c r="A9" s="2">
        <v>42102</v>
      </c>
      <c r="B9">
        <v>8</v>
      </c>
      <c r="C9">
        <v>1</v>
      </c>
      <c r="D9">
        <f t="shared" si="0"/>
        <v>25000</v>
      </c>
      <c r="E9">
        <f>IF(C9=0,ROUNDUP($AB$3*POWER(pogoda46[[#This Row],[temperatura_srednia]],1.5)*pogoda46[[#This Row],[stan_przed_dolaniem]],0),0)</f>
        <v>0</v>
      </c>
      <c r="F9">
        <f>pogoda46[[#This Row],[stan_przed_dolaniem]]-pogoda46[[#This Row],[ubytek]]</f>
        <v>25000</v>
      </c>
      <c r="G9">
        <f>IF(pogoda46[[#This Row],[opady]]*$AB$1+D9&gt;$AB$2,$AB$2-pogoda46[[#This Row],[stan_przed_dolaniem]],pogoda46[[#This Row],[opady]]*$AB$1)</f>
        <v>0</v>
      </c>
      <c r="H9">
        <f>pogoda46[[#This Row],[stan_po_ubytku]]+pogoda46[[#This Row],[ile_pogoda_dolała]]</f>
        <v>25000</v>
      </c>
      <c r="I9" cm="1">
        <f t="array" ref="I9">_xlfn.IFS(OR(pogoda46[[#This Row],[temperatura_srednia]]&lt;=15,pogoda46[[#This Row],[opady]]&gt;0.61),0,pogoda46[[#This Row],[temperatura_srednia]]&gt;30,24000,pogoda46[[#This Row],[temperatura_srednia]]&gt;15,12000)</f>
        <v>0</v>
      </c>
      <c r="J9">
        <f>IF(pogoda46[[#This Row],[stan_po_dolaniu]]&lt;pogoda46[[#This Row],[ile_podlewamy]],$AB$2-pogoda46[[#This Row],[stan_po_dolaniu]],0)</f>
        <v>0</v>
      </c>
      <c r="K9">
        <f>pogoda46[[#This Row],[stan_po_dolaniu]]+pogoda46[[#This Row],[ile_dolać_do_podlania]]</f>
        <v>25000</v>
      </c>
      <c r="L9">
        <f>pogoda46[[#This Row],[stan_po_dolaniu_do_podlania]]-pogoda46[[#This Row],[ile_podlewamy]]</f>
        <v>25000</v>
      </c>
      <c r="N9" s="5">
        <v>42102</v>
      </c>
      <c r="O9">
        <v>25000</v>
      </c>
    </row>
    <row r="10" spans="1:28" x14ac:dyDescent="0.25">
      <c r="A10" s="2">
        <v>42103</v>
      </c>
      <c r="B10">
        <v>6</v>
      </c>
      <c r="C10">
        <v>2</v>
      </c>
      <c r="D10">
        <f t="shared" si="0"/>
        <v>25000</v>
      </c>
      <c r="E10">
        <f>IF(C10=0,ROUNDUP($AB$3*POWER(pogoda46[[#This Row],[temperatura_srednia]],1.5)*pogoda46[[#This Row],[stan_przed_dolaniem]],0),0)</f>
        <v>0</v>
      </c>
      <c r="F10">
        <f>pogoda46[[#This Row],[stan_przed_dolaniem]]-pogoda46[[#This Row],[ubytek]]</f>
        <v>25000</v>
      </c>
      <c r="G10">
        <f>IF(pogoda46[[#This Row],[opady]]*$AB$1+D10&gt;$AB$2,$AB$2-pogoda46[[#This Row],[stan_przed_dolaniem]],pogoda46[[#This Row],[opady]]*$AB$1)</f>
        <v>0</v>
      </c>
      <c r="H10">
        <f>pogoda46[[#This Row],[stan_po_ubytku]]+pogoda46[[#This Row],[ile_pogoda_dolała]]</f>
        <v>25000</v>
      </c>
      <c r="I10" cm="1">
        <f t="array" ref="I10">_xlfn.IFS(OR(pogoda46[[#This Row],[temperatura_srednia]]&lt;=15,pogoda46[[#This Row],[opady]]&gt;0.61),0,pogoda46[[#This Row],[temperatura_srednia]]&gt;30,24000,pogoda46[[#This Row],[temperatura_srednia]]&gt;15,12000)</f>
        <v>0</v>
      </c>
      <c r="J10">
        <f>IF(pogoda46[[#This Row],[stan_po_dolaniu]]&lt;pogoda46[[#This Row],[ile_podlewamy]],$AB$2-pogoda46[[#This Row],[stan_po_dolaniu]],0)</f>
        <v>0</v>
      </c>
      <c r="K10">
        <f>pogoda46[[#This Row],[stan_po_dolaniu]]+pogoda46[[#This Row],[ile_dolać_do_podlania]]</f>
        <v>25000</v>
      </c>
      <c r="L10">
        <f>pogoda46[[#This Row],[stan_po_dolaniu_do_podlania]]-pogoda46[[#This Row],[ile_podlewamy]]</f>
        <v>25000</v>
      </c>
      <c r="N10" s="5">
        <v>42103</v>
      </c>
      <c r="O10">
        <v>25000</v>
      </c>
    </row>
    <row r="11" spans="1:28" x14ac:dyDescent="0.25">
      <c r="A11" s="2">
        <v>42104</v>
      </c>
      <c r="B11">
        <v>9</v>
      </c>
      <c r="C11">
        <v>2</v>
      </c>
      <c r="D11">
        <f t="shared" si="0"/>
        <v>25000</v>
      </c>
      <c r="E11">
        <f>IF(C11=0,ROUNDUP($AB$3*POWER(pogoda46[[#This Row],[temperatura_srednia]],1.5)*pogoda46[[#This Row],[stan_przed_dolaniem]],0),0)</f>
        <v>0</v>
      </c>
      <c r="F11">
        <f>pogoda46[[#This Row],[stan_przed_dolaniem]]-pogoda46[[#This Row],[ubytek]]</f>
        <v>25000</v>
      </c>
      <c r="G11">
        <f>IF(pogoda46[[#This Row],[opady]]*$AB$1+D11&gt;$AB$2,$AB$2-pogoda46[[#This Row],[stan_przed_dolaniem]],pogoda46[[#This Row],[opady]]*$AB$1)</f>
        <v>0</v>
      </c>
      <c r="H11">
        <f>pogoda46[[#This Row],[stan_po_ubytku]]+pogoda46[[#This Row],[ile_pogoda_dolała]]</f>
        <v>25000</v>
      </c>
      <c r="I11" cm="1">
        <f t="array" ref="I11">_xlfn.IFS(OR(pogoda46[[#This Row],[temperatura_srednia]]&lt;=15,pogoda46[[#This Row],[opady]]&gt;0.61),0,pogoda46[[#This Row],[temperatura_srednia]]&gt;30,24000,pogoda46[[#This Row],[temperatura_srednia]]&gt;15,12000)</f>
        <v>0</v>
      </c>
      <c r="J11">
        <f>IF(pogoda46[[#This Row],[stan_po_dolaniu]]&lt;pogoda46[[#This Row],[ile_podlewamy]],$AB$2-pogoda46[[#This Row],[stan_po_dolaniu]],0)</f>
        <v>0</v>
      </c>
      <c r="K11">
        <f>pogoda46[[#This Row],[stan_po_dolaniu]]+pogoda46[[#This Row],[ile_dolać_do_podlania]]</f>
        <v>25000</v>
      </c>
      <c r="L11">
        <f>pogoda46[[#This Row],[stan_po_dolaniu_do_podlania]]-pogoda46[[#This Row],[ile_podlewamy]]</f>
        <v>25000</v>
      </c>
      <c r="N11" s="5">
        <v>42104</v>
      </c>
      <c r="O11">
        <v>25000</v>
      </c>
    </row>
    <row r="12" spans="1:28" x14ac:dyDescent="0.25">
      <c r="A12" s="2">
        <v>42105</v>
      </c>
      <c r="B12">
        <v>12</v>
      </c>
      <c r="C12">
        <v>3</v>
      </c>
      <c r="D12">
        <f t="shared" si="0"/>
        <v>25000</v>
      </c>
      <c r="E12">
        <f>IF(C12=0,ROUNDUP($AB$3*POWER(pogoda46[[#This Row],[temperatura_srednia]],1.5)*pogoda46[[#This Row],[stan_przed_dolaniem]],0),0)</f>
        <v>0</v>
      </c>
      <c r="F12">
        <f>pogoda46[[#This Row],[stan_przed_dolaniem]]-pogoda46[[#This Row],[ubytek]]</f>
        <v>25000</v>
      </c>
      <c r="G12">
        <f>IF(pogoda46[[#This Row],[opady]]*$AB$1+D12&gt;$AB$2,$AB$2-pogoda46[[#This Row],[stan_przed_dolaniem]],pogoda46[[#This Row],[opady]]*$AB$1)</f>
        <v>0</v>
      </c>
      <c r="H12">
        <f>pogoda46[[#This Row],[stan_po_ubytku]]+pogoda46[[#This Row],[ile_pogoda_dolała]]</f>
        <v>25000</v>
      </c>
      <c r="I12" cm="1">
        <f t="array" ref="I12">_xlfn.IFS(OR(pogoda46[[#This Row],[temperatura_srednia]]&lt;=15,pogoda46[[#This Row],[opady]]&gt;0.61),0,pogoda46[[#This Row],[temperatura_srednia]]&gt;30,24000,pogoda46[[#This Row],[temperatura_srednia]]&gt;15,12000)</f>
        <v>0</v>
      </c>
      <c r="J12">
        <f>IF(pogoda46[[#This Row],[stan_po_dolaniu]]&lt;pogoda46[[#This Row],[ile_podlewamy]],$AB$2-pogoda46[[#This Row],[stan_po_dolaniu]],0)</f>
        <v>0</v>
      </c>
      <c r="K12">
        <f>pogoda46[[#This Row],[stan_po_dolaniu]]+pogoda46[[#This Row],[ile_dolać_do_podlania]]</f>
        <v>25000</v>
      </c>
      <c r="L12">
        <f>pogoda46[[#This Row],[stan_po_dolaniu_do_podlania]]-pogoda46[[#This Row],[ile_podlewamy]]</f>
        <v>25000</v>
      </c>
      <c r="N12" s="5">
        <v>42105</v>
      </c>
      <c r="O12">
        <v>25000</v>
      </c>
    </row>
    <row r="13" spans="1:28" x14ac:dyDescent="0.25">
      <c r="A13" s="2">
        <v>42106</v>
      </c>
      <c r="B13">
        <v>10</v>
      </c>
      <c r="C13">
        <v>2</v>
      </c>
      <c r="D13">
        <f t="shared" si="0"/>
        <v>25000</v>
      </c>
      <c r="E13">
        <f>IF(C13=0,ROUNDUP($AB$3*POWER(pogoda46[[#This Row],[temperatura_srednia]],1.5)*pogoda46[[#This Row],[stan_przed_dolaniem]],0),0)</f>
        <v>0</v>
      </c>
      <c r="F13">
        <f>pogoda46[[#This Row],[stan_przed_dolaniem]]-pogoda46[[#This Row],[ubytek]]</f>
        <v>25000</v>
      </c>
      <c r="G13">
        <f>IF(pogoda46[[#This Row],[opady]]*$AB$1+D13&gt;$AB$2,$AB$2-pogoda46[[#This Row],[stan_przed_dolaniem]],pogoda46[[#This Row],[opady]]*$AB$1)</f>
        <v>0</v>
      </c>
      <c r="H13">
        <f>pogoda46[[#This Row],[stan_po_ubytku]]+pogoda46[[#This Row],[ile_pogoda_dolała]]</f>
        <v>25000</v>
      </c>
      <c r="I13" cm="1">
        <f t="array" ref="I13">_xlfn.IFS(OR(pogoda46[[#This Row],[temperatura_srednia]]&lt;=15,pogoda46[[#This Row],[opady]]&gt;0.61),0,pogoda46[[#This Row],[temperatura_srednia]]&gt;30,24000,pogoda46[[#This Row],[temperatura_srednia]]&gt;15,12000)</f>
        <v>0</v>
      </c>
      <c r="J13">
        <f>IF(pogoda46[[#This Row],[stan_po_dolaniu]]&lt;pogoda46[[#This Row],[ile_podlewamy]],$AB$2-pogoda46[[#This Row],[stan_po_dolaniu]],0)</f>
        <v>0</v>
      </c>
      <c r="K13">
        <f>pogoda46[[#This Row],[stan_po_dolaniu]]+pogoda46[[#This Row],[ile_dolać_do_podlania]]</f>
        <v>25000</v>
      </c>
      <c r="L13">
        <f>pogoda46[[#This Row],[stan_po_dolaniu_do_podlania]]-pogoda46[[#This Row],[ile_podlewamy]]</f>
        <v>25000</v>
      </c>
      <c r="N13" s="5">
        <v>42106</v>
      </c>
      <c r="O13">
        <v>25000</v>
      </c>
    </row>
    <row r="14" spans="1:28" x14ac:dyDescent="0.25">
      <c r="A14" s="2">
        <v>42107</v>
      </c>
      <c r="B14">
        <v>8</v>
      </c>
      <c r="C14">
        <v>1</v>
      </c>
      <c r="D14">
        <f t="shared" si="0"/>
        <v>25000</v>
      </c>
      <c r="E14">
        <f>IF(C14=0,ROUNDUP($AB$3*POWER(pogoda46[[#This Row],[temperatura_srednia]],1.5)*pogoda46[[#This Row],[stan_przed_dolaniem]],0),0)</f>
        <v>0</v>
      </c>
      <c r="F14">
        <f>pogoda46[[#This Row],[stan_przed_dolaniem]]-pogoda46[[#This Row],[ubytek]]</f>
        <v>25000</v>
      </c>
      <c r="G14">
        <f>IF(pogoda46[[#This Row],[opady]]*$AB$1+D14&gt;$AB$2,$AB$2-pogoda46[[#This Row],[stan_przed_dolaniem]],pogoda46[[#This Row],[opady]]*$AB$1)</f>
        <v>0</v>
      </c>
      <c r="H14">
        <f>pogoda46[[#This Row],[stan_po_ubytku]]+pogoda46[[#This Row],[ile_pogoda_dolała]]</f>
        <v>25000</v>
      </c>
      <c r="I14" cm="1">
        <f t="array" ref="I14">_xlfn.IFS(OR(pogoda46[[#This Row],[temperatura_srednia]]&lt;=15,pogoda46[[#This Row],[opady]]&gt;0.61),0,pogoda46[[#This Row],[temperatura_srednia]]&gt;30,24000,pogoda46[[#This Row],[temperatura_srednia]]&gt;15,12000)</f>
        <v>0</v>
      </c>
      <c r="J14">
        <f>IF(pogoda46[[#This Row],[stan_po_dolaniu]]&lt;pogoda46[[#This Row],[ile_podlewamy]],$AB$2-pogoda46[[#This Row],[stan_po_dolaniu]],0)</f>
        <v>0</v>
      </c>
      <c r="K14">
        <f>pogoda46[[#This Row],[stan_po_dolaniu]]+pogoda46[[#This Row],[ile_dolać_do_podlania]]</f>
        <v>25000</v>
      </c>
      <c r="L14">
        <f>pogoda46[[#This Row],[stan_po_dolaniu_do_podlania]]-pogoda46[[#This Row],[ile_podlewamy]]</f>
        <v>25000</v>
      </c>
      <c r="N14" s="5">
        <v>42107</v>
      </c>
      <c r="O14">
        <v>25000</v>
      </c>
    </row>
    <row r="15" spans="1:28" x14ac:dyDescent="0.25">
      <c r="A15" s="2">
        <v>42108</v>
      </c>
      <c r="B15">
        <v>6</v>
      </c>
      <c r="C15">
        <v>0</v>
      </c>
      <c r="D15">
        <f t="shared" si="0"/>
        <v>25000</v>
      </c>
      <c r="E15">
        <f>IF(C15=0,ROUNDUP($AB$3*POWER(pogoda46[[#This Row],[temperatura_srednia]],1.5)*pogoda46[[#This Row],[stan_przed_dolaniem]],0),0)</f>
        <v>111</v>
      </c>
      <c r="F15">
        <f>pogoda46[[#This Row],[stan_przed_dolaniem]]-pogoda46[[#This Row],[ubytek]]</f>
        <v>24889</v>
      </c>
      <c r="G15">
        <f>IF(pogoda46[[#This Row],[opady]]*$AB$1+D15&gt;$AB$2,$AB$2-pogoda46[[#This Row],[stan_przed_dolaniem]],pogoda46[[#This Row],[opady]]*$AB$1)</f>
        <v>0</v>
      </c>
      <c r="H15">
        <f>pogoda46[[#This Row],[stan_po_ubytku]]+pogoda46[[#This Row],[ile_pogoda_dolała]]</f>
        <v>24889</v>
      </c>
      <c r="I15" cm="1">
        <f t="array" ref="I15">_xlfn.IFS(OR(pogoda46[[#This Row],[temperatura_srednia]]&lt;=15,pogoda46[[#This Row],[opady]]&gt;0.61),0,pogoda46[[#This Row],[temperatura_srednia]]&gt;30,24000,pogoda46[[#This Row],[temperatura_srednia]]&gt;15,12000)</f>
        <v>0</v>
      </c>
      <c r="J15">
        <f>IF(pogoda46[[#This Row],[stan_po_dolaniu]]&lt;pogoda46[[#This Row],[ile_podlewamy]],$AB$2-pogoda46[[#This Row],[stan_po_dolaniu]],0)</f>
        <v>0</v>
      </c>
      <c r="K15">
        <f>pogoda46[[#This Row],[stan_po_dolaniu]]+pogoda46[[#This Row],[ile_dolać_do_podlania]]</f>
        <v>24889</v>
      </c>
      <c r="L15">
        <f>pogoda46[[#This Row],[stan_po_dolaniu_do_podlania]]-pogoda46[[#This Row],[ile_podlewamy]]</f>
        <v>24889</v>
      </c>
      <c r="N15" s="5">
        <v>42108</v>
      </c>
      <c r="O15">
        <v>24889</v>
      </c>
    </row>
    <row r="16" spans="1:28" x14ac:dyDescent="0.25">
      <c r="A16" s="2">
        <v>42109</v>
      </c>
      <c r="B16">
        <v>14</v>
      </c>
      <c r="C16">
        <v>0</v>
      </c>
      <c r="D16">
        <f t="shared" si="0"/>
        <v>24889</v>
      </c>
      <c r="E16">
        <f>IF(C16=0,ROUNDUP($AB$3*POWER(pogoda46[[#This Row],[temperatura_srednia]],1.5)*pogoda46[[#This Row],[stan_przed_dolaniem]],0),0)</f>
        <v>392</v>
      </c>
      <c r="F16">
        <f>pogoda46[[#This Row],[stan_przed_dolaniem]]-pogoda46[[#This Row],[ubytek]]</f>
        <v>24497</v>
      </c>
      <c r="G16">
        <f>IF(pogoda46[[#This Row],[opady]]*$AB$1+D16&gt;$AB$2,$AB$2-pogoda46[[#This Row],[stan_przed_dolaniem]],pogoda46[[#This Row],[opady]]*$AB$1)</f>
        <v>0</v>
      </c>
      <c r="H16">
        <f>pogoda46[[#This Row],[stan_po_ubytku]]+pogoda46[[#This Row],[ile_pogoda_dolała]]</f>
        <v>24497</v>
      </c>
      <c r="I16" cm="1">
        <f t="array" ref="I16">_xlfn.IFS(OR(pogoda46[[#This Row],[temperatura_srednia]]&lt;=15,pogoda46[[#This Row],[opady]]&gt;0.61),0,pogoda46[[#This Row],[temperatura_srednia]]&gt;30,24000,pogoda46[[#This Row],[temperatura_srednia]]&gt;15,12000)</f>
        <v>0</v>
      </c>
      <c r="J16">
        <f>IF(pogoda46[[#This Row],[stan_po_dolaniu]]&lt;pogoda46[[#This Row],[ile_podlewamy]],$AB$2-pogoda46[[#This Row],[stan_po_dolaniu]],0)</f>
        <v>0</v>
      </c>
      <c r="K16">
        <f>pogoda46[[#This Row],[stan_po_dolaniu]]+pogoda46[[#This Row],[ile_dolać_do_podlania]]</f>
        <v>24497</v>
      </c>
      <c r="L16">
        <f>pogoda46[[#This Row],[stan_po_dolaniu_do_podlania]]-pogoda46[[#This Row],[ile_podlewamy]]</f>
        <v>24497</v>
      </c>
      <c r="N16" s="5">
        <v>42109</v>
      </c>
      <c r="O16">
        <v>24497</v>
      </c>
    </row>
    <row r="17" spans="1:15" x14ac:dyDescent="0.25">
      <c r="A17" s="2">
        <v>42110</v>
      </c>
      <c r="B17">
        <v>10</v>
      </c>
      <c r="C17">
        <v>0</v>
      </c>
      <c r="D17">
        <f t="shared" si="0"/>
        <v>24497</v>
      </c>
      <c r="E17">
        <f>IF(C17=0,ROUNDUP($AB$3*POWER(pogoda46[[#This Row],[temperatura_srednia]],1.5)*pogoda46[[#This Row],[stan_przed_dolaniem]],0),0)</f>
        <v>233</v>
      </c>
      <c r="F17">
        <f>pogoda46[[#This Row],[stan_przed_dolaniem]]-pogoda46[[#This Row],[ubytek]]</f>
        <v>24264</v>
      </c>
      <c r="G17">
        <f>IF(pogoda46[[#This Row],[opady]]*$AB$1+D17&gt;$AB$2,$AB$2-pogoda46[[#This Row],[stan_przed_dolaniem]],pogoda46[[#This Row],[opady]]*$AB$1)</f>
        <v>0</v>
      </c>
      <c r="H17">
        <f>pogoda46[[#This Row],[stan_po_ubytku]]+pogoda46[[#This Row],[ile_pogoda_dolała]]</f>
        <v>24264</v>
      </c>
      <c r="I17" cm="1">
        <f t="array" ref="I17">_xlfn.IFS(OR(pogoda46[[#This Row],[temperatura_srednia]]&lt;=15,pogoda46[[#This Row],[opady]]&gt;0.61),0,pogoda46[[#This Row],[temperatura_srednia]]&gt;30,24000,pogoda46[[#This Row],[temperatura_srednia]]&gt;15,12000)</f>
        <v>0</v>
      </c>
      <c r="J17">
        <f>IF(pogoda46[[#This Row],[stan_po_dolaniu]]&lt;pogoda46[[#This Row],[ile_podlewamy]],$AB$2-pogoda46[[#This Row],[stan_po_dolaniu]],0)</f>
        <v>0</v>
      </c>
      <c r="K17">
        <f>pogoda46[[#This Row],[stan_po_dolaniu]]+pogoda46[[#This Row],[ile_dolać_do_podlania]]</f>
        <v>24264</v>
      </c>
      <c r="L17">
        <f>pogoda46[[#This Row],[stan_po_dolaniu_do_podlania]]-pogoda46[[#This Row],[ile_podlewamy]]</f>
        <v>24264</v>
      </c>
      <c r="N17" s="5">
        <v>42110</v>
      </c>
      <c r="O17">
        <v>24264</v>
      </c>
    </row>
    <row r="18" spans="1:15" x14ac:dyDescent="0.25">
      <c r="A18" s="2">
        <v>42111</v>
      </c>
      <c r="B18">
        <v>6</v>
      </c>
      <c r="C18">
        <v>0</v>
      </c>
      <c r="D18">
        <f t="shared" si="0"/>
        <v>24264</v>
      </c>
      <c r="E18">
        <f>IF(C18=0,ROUNDUP($AB$3*POWER(pogoda46[[#This Row],[temperatura_srednia]],1.5)*pogoda46[[#This Row],[stan_przed_dolaniem]],0),0)</f>
        <v>107</v>
      </c>
      <c r="F18">
        <f>pogoda46[[#This Row],[stan_przed_dolaniem]]-pogoda46[[#This Row],[ubytek]]</f>
        <v>24157</v>
      </c>
      <c r="G18">
        <f>IF(pogoda46[[#This Row],[opady]]*$AB$1+D18&gt;$AB$2,$AB$2-pogoda46[[#This Row],[stan_przed_dolaniem]],pogoda46[[#This Row],[opady]]*$AB$1)</f>
        <v>0</v>
      </c>
      <c r="H18">
        <f>pogoda46[[#This Row],[stan_po_ubytku]]+pogoda46[[#This Row],[ile_pogoda_dolała]]</f>
        <v>24157</v>
      </c>
      <c r="I18" cm="1">
        <f t="array" ref="I18">_xlfn.IFS(OR(pogoda46[[#This Row],[temperatura_srednia]]&lt;=15,pogoda46[[#This Row],[opady]]&gt;0.61),0,pogoda46[[#This Row],[temperatura_srednia]]&gt;30,24000,pogoda46[[#This Row],[temperatura_srednia]]&gt;15,12000)</f>
        <v>0</v>
      </c>
      <c r="J18">
        <f>IF(pogoda46[[#This Row],[stan_po_dolaniu]]&lt;pogoda46[[#This Row],[ile_podlewamy]],$AB$2-pogoda46[[#This Row],[stan_po_dolaniu]],0)</f>
        <v>0</v>
      </c>
      <c r="K18">
        <f>pogoda46[[#This Row],[stan_po_dolaniu]]+pogoda46[[#This Row],[ile_dolać_do_podlania]]</f>
        <v>24157</v>
      </c>
      <c r="L18">
        <f>pogoda46[[#This Row],[stan_po_dolaniu_do_podlania]]-pogoda46[[#This Row],[ile_podlewamy]]</f>
        <v>24157</v>
      </c>
      <c r="N18" s="5">
        <v>42111</v>
      </c>
      <c r="O18">
        <v>24157</v>
      </c>
    </row>
    <row r="19" spans="1:15" x14ac:dyDescent="0.25">
      <c r="A19" s="2">
        <v>42112</v>
      </c>
      <c r="B19">
        <v>4</v>
      </c>
      <c r="C19">
        <v>0</v>
      </c>
      <c r="D19">
        <f t="shared" si="0"/>
        <v>24157</v>
      </c>
      <c r="E19">
        <f>IF(C19=0,ROUNDUP($AB$3*POWER(pogoda46[[#This Row],[temperatura_srednia]],1.5)*pogoda46[[#This Row],[stan_przed_dolaniem]],0),0)</f>
        <v>58</v>
      </c>
      <c r="F19">
        <f>pogoda46[[#This Row],[stan_przed_dolaniem]]-pogoda46[[#This Row],[ubytek]]</f>
        <v>24099</v>
      </c>
      <c r="G19">
        <f>IF(pogoda46[[#This Row],[opady]]*$AB$1+D19&gt;$AB$2,$AB$2-pogoda46[[#This Row],[stan_przed_dolaniem]],pogoda46[[#This Row],[opady]]*$AB$1)</f>
        <v>0</v>
      </c>
      <c r="H19">
        <f>pogoda46[[#This Row],[stan_po_ubytku]]+pogoda46[[#This Row],[ile_pogoda_dolała]]</f>
        <v>24099</v>
      </c>
      <c r="I19" cm="1">
        <f t="array" ref="I19">_xlfn.IFS(OR(pogoda46[[#This Row],[temperatura_srednia]]&lt;=15,pogoda46[[#This Row],[opady]]&gt;0.61),0,pogoda46[[#This Row],[temperatura_srednia]]&gt;30,24000,pogoda46[[#This Row],[temperatura_srednia]]&gt;15,12000)</f>
        <v>0</v>
      </c>
      <c r="J19">
        <f>IF(pogoda46[[#This Row],[stan_po_dolaniu]]&lt;pogoda46[[#This Row],[ile_podlewamy]],$AB$2-pogoda46[[#This Row],[stan_po_dolaniu]],0)</f>
        <v>0</v>
      </c>
      <c r="K19">
        <f>pogoda46[[#This Row],[stan_po_dolaniu]]+pogoda46[[#This Row],[ile_dolać_do_podlania]]</f>
        <v>24099</v>
      </c>
      <c r="L19">
        <f>pogoda46[[#This Row],[stan_po_dolaniu_do_podlania]]-pogoda46[[#This Row],[ile_podlewamy]]</f>
        <v>24099</v>
      </c>
      <c r="N19" s="5">
        <v>42112</v>
      </c>
      <c r="O19">
        <v>24099</v>
      </c>
    </row>
    <row r="20" spans="1:15" x14ac:dyDescent="0.25">
      <c r="A20" s="2">
        <v>42113</v>
      </c>
      <c r="B20">
        <v>7</v>
      </c>
      <c r="C20">
        <v>0</v>
      </c>
      <c r="D20">
        <f t="shared" si="0"/>
        <v>24099</v>
      </c>
      <c r="E20">
        <f>IF(C20=0,ROUNDUP($AB$3*POWER(pogoda46[[#This Row],[temperatura_srednia]],1.5)*pogoda46[[#This Row],[stan_przed_dolaniem]],0),0)</f>
        <v>134</v>
      </c>
      <c r="F20">
        <f>pogoda46[[#This Row],[stan_przed_dolaniem]]-pogoda46[[#This Row],[ubytek]]</f>
        <v>23965</v>
      </c>
      <c r="G20">
        <f>IF(pogoda46[[#This Row],[opady]]*$AB$1+D20&gt;$AB$2,$AB$2-pogoda46[[#This Row],[stan_przed_dolaniem]],pogoda46[[#This Row],[opady]]*$AB$1)</f>
        <v>0</v>
      </c>
      <c r="H20">
        <f>pogoda46[[#This Row],[stan_po_ubytku]]+pogoda46[[#This Row],[ile_pogoda_dolała]]</f>
        <v>23965</v>
      </c>
      <c r="I20" cm="1">
        <f t="array" ref="I20">_xlfn.IFS(OR(pogoda46[[#This Row],[temperatura_srednia]]&lt;=15,pogoda46[[#This Row],[opady]]&gt;0.61),0,pogoda46[[#This Row],[temperatura_srednia]]&gt;30,24000,pogoda46[[#This Row],[temperatura_srednia]]&gt;15,12000)</f>
        <v>0</v>
      </c>
      <c r="J20">
        <f>IF(pogoda46[[#This Row],[stan_po_dolaniu]]&lt;pogoda46[[#This Row],[ile_podlewamy]],$AB$2-pogoda46[[#This Row],[stan_po_dolaniu]],0)</f>
        <v>0</v>
      </c>
      <c r="K20">
        <f>pogoda46[[#This Row],[stan_po_dolaniu]]+pogoda46[[#This Row],[ile_dolać_do_podlania]]</f>
        <v>23965</v>
      </c>
      <c r="L20">
        <f>pogoda46[[#This Row],[stan_po_dolaniu_do_podlania]]-pogoda46[[#This Row],[ile_podlewamy]]</f>
        <v>23965</v>
      </c>
      <c r="N20" s="5">
        <v>42113</v>
      </c>
      <c r="O20">
        <v>23965</v>
      </c>
    </row>
    <row r="21" spans="1:15" x14ac:dyDescent="0.25">
      <c r="A21" s="2">
        <v>42114</v>
      </c>
      <c r="B21">
        <v>10</v>
      </c>
      <c r="C21">
        <v>1</v>
      </c>
      <c r="D21">
        <f t="shared" si="0"/>
        <v>23965</v>
      </c>
      <c r="E21">
        <f>IF(C21=0,ROUNDUP($AB$3*POWER(pogoda46[[#This Row],[temperatura_srednia]],1.5)*pogoda46[[#This Row],[stan_przed_dolaniem]],0),0)</f>
        <v>0</v>
      </c>
      <c r="F21">
        <f>pogoda46[[#This Row],[stan_przed_dolaniem]]-pogoda46[[#This Row],[ubytek]]</f>
        <v>23965</v>
      </c>
      <c r="G21">
        <f>IF(pogoda46[[#This Row],[opady]]*$AB$1+D21&gt;$AB$2,$AB$2-pogoda46[[#This Row],[stan_przed_dolaniem]],pogoda46[[#This Row],[opady]]*$AB$1)</f>
        <v>700</v>
      </c>
      <c r="H21">
        <f>pogoda46[[#This Row],[stan_po_ubytku]]+pogoda46[[#This Row],[ile_pogoda_dolała]]</f>
        <v>24665</v>
      </c>
      <c r="I21" cm="1">
        <f t="array" ref="I21">_xlfn.IFS(OR(pogoda46[[#This Row],[temperatura_srednia]]&lt;=15,pogoda46[[#This Row],[opady]]&gt;0.61),0,pogoda46[[#This Row],[temperatura_srednia]]&gt;30,24000,pogoda46[[#This Row],[temperatura_srednia]]&gt;15,12000)</f>
        <v>0</v>
      </c>
      <c r="J21">
        <f>IF(pogoda46[[#This Row],[stan_po_dolaniu]]&lt;pogoda46[[#This Row],[ile_podlewamy]],$AB$2-pogoda46[[#This Row],[stan_po_dolaniu]],0)</f>
        <v>0</v>
      </c>
      <c r="K21">
        <f>pogoda46[[#This Row],[stan_po_dolaniu]]+pogoda46[[#This Row],[ile_dolać_do_podlania]]</f>
        <v>24665</v>
      </c>
      <c r="L21">
        <f>pogoda46[[#This Row],[stan_po_dolaniu_do_podlania]]-pogoda46[[#This Row],[ile_podlewamy]]</f>
        <v>24665</v>
      </c>
      <c r="N21" s="5">
        <v>42114</v>
      </c>
      <c r="O21">
        <v>24665</v>
      </c>
    </row>
    <row r="22" spans="1:15" x14ac:dyDescent="0.25">
      <c r="A22" s="2">
        <v>42115</v>
      </c>
      <c r="B22">
        <v>11</v>
      </c>
      <c r="C22">
        <v>3.2</v>
      </c>
      <c r="D22">
        <f t="shared" si="0"/>
        <v>24665</v>
      </c>
      <c r="E22">
        <f>IF(C22=0,ROUNDUP($AB$3*POWER(pogoda46[[#This Row],[temperatura_srednia]],1.5)*pogoda46[[#This Row],[stan_przed_dolaniem]],0),0)</f>
        <v>0</v>
      </c>
      <c r="F22">
        <f>pogoda46[[#This Row],[stan_przed_dolaniem]]-pogoda46[[#This Row],[ubytek]]</f>
        <v>24665</v>
      </c>
      <c r="G22">
        <f>IF(pogoda46[[#This Row],[opady]]*$AB$1+D22&gt;$AB$2,$AB$2-pogoda46[[#This Row],[stan_przed_dolaniem]],pogoda46[[#This Row],[opady]]*$AB$1)</f>
        <v>335</v>
      </c>
      <c r="H22">
        <f>pogoda46[[#This Row],[stan_po_ubytku]]+pogoda46[[#This Row],[ile_pogoda_dolała]]</f>
        <v>25000</v>
      </c>
      <c r="I22" cm="1">
        <f t="array" ref="I22">_xlfn.IFS(OR(pogoda46[[#This Row],[temperatura_srednia]]&lt;=15,pogoda46[[#This Row],[opady]]&gt;0.61),0,pogoda46[[#This Row],[temperatura_srednia]]&gt;30,24000,pogoda46[[#This Row],[temperatura_srednia]]&gt;15,12000)</f>
        <v>0</v>
      </c>
      <c r="J22">
        <f>IF(pogoda46[[#This Row],[stan_po_dolaniu]]&lt;pogoda46[[#This Row],[ile_podlewamy]],$AB$2-pogoda46[[#This Row],[stan_po_dolaniu]],0)</f>
        <v>0</v>
      </c>
      <c r="K22">
        <f>pogoda46[[#This Row],[stan_po_dolaniu]]+pogoda46[[#This Row],[ile_dolać_do_podlania]]</f>
        <v>25000</v>
      </c>
      <c r="L22">
        <f>pogoda46[[#This Row],[stan_po_dolaniu_do_podlania]]-pogoda46[[#This Row],[ile_podlewamy]]</f>
        <v>25000</v>
      </c>
      <c r="N22" s="5">
        <v>42115</v>
      </c>
      <c r="O22">
        <v>25000</v>
      </c>
    </row>
    <row r="23" spans="1:15" x14ac:dyDescent="0.25">
      <c r="A23" s="2">
        <v>42116</v>
      </c>
      <c r="B23">
        <v>8</v>
      </c>
      <c r="C23">
        <v>2.2000000000000002</v>
      </c>
      <c r="D23">
        <f t="shared" si="0"/>
        <v>25000</v>
      </c>
      <c r="E23">
        <f>IF(C23=0,ROUNDUP($AB$3*POWER(pogoda46[[#This Row],[temperatura_srednia]],1.5)*pogoda46[[#This Row],[stan_przed_dolaniem]],0),0)</f>
        <v>0</v>
      </c>
      <c r="F23">
        <f>pogoda46[[#This Row],[stan_przed_dolaniem]]-pogoda46[[#This Row],[ubytek]]</f>
        <v>25000</v>
      </c>
      <c r="G23">
        <f>IF(pogoda46[[#This Row],[opady]]*$AB$1+D23&gt;$AB$2,$AB$2-pogoda46[[#This Row],[stan_przed_dolaniem]],pogoda46[[#This Row],[opady]]*$AB$1)</f>
        <v>0</v>
      </c>
      <c r="H23">
        <f>pogoda46[[#This Row],[stan_po_ubytku]]+pogoda46[[#This Row],[ile_pogoda_dolała]]</f>
        <v>25000</v>
      </c>
      <c r="I23" cm="1">
        <f t="array" ref="I23">_xlfn.IFS(OR(pogoda46[[#This Row],[temperatura_srednia]]&lt;=15,pogoda46[[#This Row],[opady]]&gt;0.61),0,pogoda46[[#This Row],[temperatura_srednia]]&gt;30,24000,pogoda46[[#This Row],[temperatura_srednia]]&gt;15,12000)</f>
        <v>0</v>
      </c>
      <c r="J23">
        <f>IF(pogoda46[[#This Row],[stan_po_dolaniu]]&lt;pogoda46[[#This Row],[ile_podlewamy]],$AB$2-pogoda46[[#This Row],[stan_po_dolaniu]],0)</f>
        <v>0</v>
      </c>
      <c r="K23">
        <f>pogoda46[[#This Row],[stan_po_dolaniu]]+pogoda46[[#This Row],[ile_dolać_do_podlania]]</f>
        <v>25000</v>
      </c>
      <c r="L23">
        <f>pogoda46[[#This Row],[stan_po_dolaniu_do_podlania]]-pogoda46[[#This Row],[ile_podlewamy]]</f>
        <v>25000</v>
      </c>
      <c r="N23" s="5">
        <v>42116</v>
      </c>
      <c r="O23">
        <v>25000</v>
      </c>
    </row>
    <row r="24" spans="1:15" x14ac:dyDescent="0.25">
      <c r="A24" s="2">
        <v>42117</v>
      </c>
      <c r="B24">
        <v>11</v>
      </c>
      <c r="C24">
        <v>1</v>
      </c>
      <c r="D24">
        <f t="shared" si="0"/>
        <v>25000</v>
      </c>
      <c r="E24">
        <f>IF(C24=0,ROUNDUP($AB$3*POWER(pogoda46[[#This Row],[temperatura_srednia]],1.5)*pogoda46[[#This Row],[stan_przed_dolaniem]],0),0)</f>
        <v>0</v>
      </c>
      <c r="F24">
        <f>pogoda46[[#This Row],[stan_przed_dolaniem]]-pogoda46[[#This Row],[ubytek]]</f>
        <v>25000</v>
      </c>
      <c r="G24">
        <f>IF(pogoda46[[#This Row],[opady]]*$AB$1+D24&gt;$AB$2,$AB$2-pogoda46[[#This Row],[stan_przed_dolaniem]],pogoda46[[#This Row],[opady]]*$AB$1)</f>
        <v>0</v>
      </c>
      <c r="H24">
        <f>pogoda46[[#This Row],[stan_po_ubytku]]+pogoda46[[#This Row],[ile_pogoda_dolała]]</f>
        <v>25000</v>
      </c>
      <c r="I24" cm="1">
        <f t="array" ref="I24">_xlfn.IFS(OR(pogoda46[[#This Row],[temperatura_srednia]]&lt;=15,pogoda46[[#This Row],[opady]]&gt;0.61),0,pogoda46[[#This Row],[temperatura_srednia]]&gt;30,24000,pogoda46[[#This Row],[temperatura_srednia]]&gt;15,12000)</f>
        <v>0</v>
      </c>
      <c r="J24">
        <f>IF(pogoda46[[#This Row],[stan_po_dolaniu]]&lt;pogoda46[[#This Row],[ile_podlewamy]],$AB$2-pogoda46[[#This Row],[stan_po_dolaniu]],0)</f>
        <v>0</v>
      </c>
      <c r="K24">
        <f>pogoda46[[#This Row],[stan_po_dolaniu]]+pogoda46[[#This Row],[ile_dolać_do_podlania]]</f>
        <v>25000</v>
      </c>
      <c r="L24">
        <f>pogoda46[[#This Row],[stan_po_dolaniu_do_podlania]]-pogoda46[[#This Row],[ile_podlewamy]]</f>
        <v>25000</v>
      </c>
      <c r="N24" s="5">
        <v>42117</v>
      </c>
      <c r="O24">
        <v>25000</v>
      </c>
    </row>
    <row r="25" spans="1:15" x14ac:dyDescent="0.25">
      <c r="A25" s="2">
        <v>42118</v>
      </c>
      <c r="B25">
        <v>12</v>
      </c>
      <c r="C25">
        <v>1</v>
      </c>
      <c r="D25">
        <f t="shared" si="0"/>
        <v>25000</v>
      </c>
      <c r="E25">
        <f>IF(C25=0,ROUNDUP($AB$3*POWER(pogoda46[[#This Row],[temperatura_srednia]],1.5)*pogoda46[[#This Row],[stan_przed_dolaniem]],0),0)</f>
        <v>0</v>
      </c>
      <c r="F25">
        <f>pogoda46[[#This Row],[stan_przed_dolaniem]]-pogoda46[[#This Row],[ubytek]]</f>
        <v>25000</v>
      </c>
      <c r="G25">
        <f>IF(pogoda46[[#This Row],[opady]]*$AB$1+D25&gt;$AB$2,$AB$2-pogoda46[[#This Row],[stan_przed_dolaniem]],pogoda46[[#This Row],[opady]]*$AB$1)</f>
        <v>0</v>
      </c>
      <c r="H25">
        <f>pogoda46[[#This Row],[stan_po_ubytku]]+pogoda46[[#This Row],[ile_pogoda_dolała]]</f>
        <v>25000</v>
      </c>
      <c r="I25" cm="1">
        <f t="array" ref="I25">_xlfn.IFS(OR(pogoda46[[#This Row],[temperatura_srednia]]&lt;=15,pogoda46[[#This Row],[opady]]&gt;0.61),0,pogoda46[[#This Row],[temperatura_srednia]]&gt;30,24000,pogoda46[[#This Row],[temperatura_srednia]]&gt;15,12000)</f>
        <v>0</v>
      </c>
      <c r="J25">
        <f>IF(pogoda46[[#This Row],[stan_po_dolaniu]]&lt;pogoda46[[#This Row],[ile_podlewamy]],$AB$2-pogoda46[[#This Row],[stan_po_dolaniu]],0)</f>
        <v>0</v>
      </c>
      <c r="K25">
        <f>pogoda46[[#This Row],[stan_po_dolaniu]]+pogoda46[[#This Row],[ile_dolać_do_podlania]]</f>
        <v>25000</v>
      </c>
      <c r="L25">
        <f>pogoda46[[#This Row],[stan_po_dolaniu_do_podlania]]-pogoda46[[#This Row],[ile_podlewamy]]</f>
        <v>25000</v>
      </c>
      <c r="N25" s="5">
        <v>42118</v>
      </c>
      <c r="O25">
        <v>25000</v>
      </c>
    </row>
    <row r="26" spans="1:15" x14ac:dyDescent="0.25">
      <c r="A26" s="2">
        <v>42119</v>
      </c>
      <c r="B26">
        <v>14</v>
      </c>
      <c r="C26">
        <v>1</v>
      </c>
      <c r="D26">
        <f t="shared" si="0"/>
        <v>25000</v>
      </c>
      <c r="E26">
        <f>IF(C26=0,ROUNDUP($AB$3*POWER(pogoda46[[#This Row],[temperatura_srednia]],1.5)*pogoda46[[#This Row],[stan_przed_dolaniem]],0),0)</f>
        <v>0</v>
      </c>
      <c r="F26">
        <f>pogoda46[[#This Row],[stan_przed_dolaniem]]-pogoda46[[#This Row],[ubytek]]</f>
        <v>25000</v>
      </c>
      <c r="G26">
        <f>IF(pogoda46[[#This Row],[opady]]*$AB$1+D26&gt;$AB$2,$AB$2-pogoda46[[#This Row],[stan_przed_dolaniem]],pogoda46[[#This Row],[opady]]*$AB$1)</f>
        <v>0</v>
      </c>
      <c r="H26">
        <f>pogoda46[[#This Row],[stan_po_ubytku]]+pogoda46[[#This Row],[ile_pogoda_dolała]]</f>
        <v>25000</v>
      </c>
      <c r="I26" cm="1">
        <f t="array" ref="I26">_xlfn.IFS(OR(pogoda46[[#This Row],[temperatura_srednia]]&lt;=15,pogoda46[[#This Row],[opady]]&gt;0.61),0,pogoda46[[#This Row],[temperatura_srednia]]&gt;30,24000,pogoda46[[#This Row],[temperatura_srednia]]&gt;15,12000)</f>
        <v>0</v>
      </c>
      <c r="J26">
        <f>IF(pogoda46[[#This Row],[stan_po_dolaniu]]&lt;pogoda46[[#This Row],[ile_podlewamy]],$AB$2-pogoda46[[#This Row],[stan_po_dolaniu]],0)</f>
        <v>0</v>
      </c>
      <c r="K26">
        <f>pogoda46[[#This Row],[stan_po_dolaniu]]+pogoda46[[#This Row],[ile_dolać_do_podlania]]</f>
        <v>25000</v>
      </c>
      <c r="L26">
        <f>pogoda46[[#This Row],[stan_po_dolaniu_do_podlania]]-pogoda46[[#This Row],[ile_podlewamy]]</f>
        <v>25000</v>
      </c>
      <c r="N26" s="5">
        <v>42119</v>
      </c>
      <c r="O26">
        <v>25000</v>
      </c>
    </row>
    <row r="27" spans="1:15" x14ac:dyDescent="0.25">
      <c r="A27" s="2">
        <v>42120</v>
      </c>
      <c r="B27">
        <v>16</v>
      </c>
      <c r="C27">
        <v>0</v>
      </c>
      <c r="D27">
        <f t="shared" si="0"/>
        <v>25000</v>
      </c>
      <c r="E27">
        <f>IF(C27=0,ROUNDUP($AB$3*POWER(pogoda46[[#This Row],[temperatura_srednia]],1.5)*pogoda46[[#This Row],[stan_przed_dolaniem]],0),0)</f>
        <v>480</v>
      </c>
      <c r="F27">
        <f>pogoda46[[#This Row],[stan_przed_dolaniem]]-pogoda46[[#This Row],[ubytek]]</f>
        <v>24520</v>
      </c>
      <c r="G27">
        <f>IF(pogoda46[[#This Row],[opady]]*$AB$1+D27&gt;$AB$2,$AB$2-pogoda46[[#This Row],[stan_przed_dolaniem]],pogoda46[[#This Row],[opady]]*$AB$1)</f>
        <v>0</v>
      </c>
      <c r="H27">
        <f>pogoda46[[#This Row],[stan_po_ubytku]]+pogoda46[[#This Row],[ile_pogoda_dolała]]</f>
        <v>24520</v>
      </c>
      <c r="I27" cm="1">
        <f t="array" ref="I27">_xlfn.IFS(OR(pogoda46[[#This Row],[temperatura_srednia]]&lt;=15,pogoda46[[#This Row],[opady]]&gt;0.61),0,pogoda46[[#This Row],[temperatura_srednia]]&gt;30,24000,pogoda46[[#This Row],[temperatura_srednia]]&gt;15,12000)</f>
        <v>12000</v>
      </c>
      <c r="J27">
        <f>IF(pogoda46[[#This Row],[stan_po_dolaniu]]&lt;pogoda46[[#This Row],[ile_podlewamy]],$AB$2-pogoda46[[#This Row],[stan_po_dolaniu]],0)</f>
        <v>0</v>
      </c>
      <c r="K27">
        <f>pogoda46[[#This Row],[stan_po_dolaniu]]+pogoda46[[#This Row],[ile_dolać_do_podlania]]</f>
        <v>24520</v>
      </c>
      <c r="L27">
        <f>pogoda46[[#This Row],[stan_po_dolaniu_do_podlania]]-pogoda46[[#This Row],[ile_podlewamy]]</f>
        <v>12520</v>
      </c>
      <c r="N27" s="5">
        <v>42120</v>
      </c>
      <c r="O27">
        <v>12520</v>
      </c>
    </row>
    <row r="28" spans="1:15" x14ac:dyDescent="0.25">
      <c r="A28" s="2">
        <v>42121</v>
      </c>
      <c r="B28">
        <v>16</v>
      </c>
      <c r="C28">
        <v>1</v>
      </c>
      <c r="D28">
        <f t="shared" si="0"/>
        <v>12520</v>
      </c>
      <c r="E28">
        <f>IF(C28=0,ROUNDUP($AB$3*POWER(pogoda46[[#This Row],[temperatura_srednia]],1.5)*pogoda46[[#This Row],[stan_przed_dolaniem]],0),0)</f>
        <v>0</v>
      </c>
      <c r="F28">
        <f>pogoda46[[#This Row],[stan_przed_dolaniem]]-pogoda46[[#This Row],[ubytek]]</f>
        <v>12520</v>
      </c>
      <c r="G28">
        <f>IF(pogoda46[[#This Row],[opady]]*$AB$1+D28&gt;$AB$2,$AB$2-pogoda46[[#This Row],[stan_przed_dolaniem]],pogoda46[[#This Row],[opady]]*$AB$1)</f>
        <v>700</v>
      </c>
      <c r="H28">
        <f>pogoda46[[#This Row],[stan_po_ubytku]]+pogoda46[[#This Row],[ile_pogoda_dolała]]</f>
        <v>13220</v>
      </c>
      <c r="I28" cm="1">
        <f t="array" ref="I28">_xlfn.IFS(OR(pogoda46[[#This Row],[temperatura_srednia]]&lt;=15,pogoda46[[#This Row],[opady]]&gt;0.61),0,pogoda46[[#This Row],[temperatura_srednia]]&gt;30,24000,pogoda46[[#This Row],[temperatura_srednia]]&gt;15,12000)</f>
        <v>0</v>
      </c>
      <c r="J28">
        <f>IF(pogoda46[[#This Row],[stan_po_dolaniu]]&lt;pogoda46[[#This Row],[ile_podlewamy]],$AB$2-pogoda46[[#This Row],[stan_po_dolaniu]],0)</f>
        <v>0</v>
      </c>
      <c r="K28">
        <f>pogoda46[[#This Row],[stan_po_dolaniu]]+pogoda46[[#This Row],[ile_dolać_do_podlania]]</f>
        <v>13220</v>
      </c>
      <c r="L28">
        <f>pogoda46[[#This Row],[stan_po_dolaniu_do_podlania]]-pogoda46[[#This Row],[ile_podlewamy]]</f>
        <v>13220</v>
      </c>
      <c r="N28" s="5">
        <v>42121</v>
      </c>
      <c r="O28">
        <v>13220</v>
      </c>
    </row>
    <row r="29" spans="1:15" x14ac:dyDescent="0.25">
      <c r="A29" s="2">
        <v>42122</v>
      </c>
      <c r="B29">
        <v>6</v>
      </c>
      <c r="C29">
        <v>2</v>
      </c>
      <c r="D29">
        <f t="shared" si="0"/>
        <v>13220</v>
      </c>
      <c r="E29">
        <f>IF(C29=0,ROUNDUP($AB$3*POWER(pogoda46[[#This Row],[temperatura_srednia]],1.5)*pogoda46[[#This Row],[stan_przed_dolaniem]],0),0)</f>
        <v>0</v>
      </c>
      <c r="F29">
        <f>pogoda46[[#This Row],[stan_przed_dolaniem]]-pogoda46[[#This Row],[ubytek]]</f>
        <v>13220</v>
      </c>
      <c r="G29">
        <f>IF(pogoda46[[#This Row],[opady]]*$AB$1+D29&gt;$AB$2,$AB$2-pogoda46[[#This Row],[stan_przed_dolaniem]],pogoda46[[#This Row],[opady]]*$AB$1)</f>
        <v>1400</v>
      </c>
      <c r="H29">
        <f>pogoda46[[#This Row],[stan_po_ubytku]]+pogoda46[[#This Row],[ile_pogoda_dolała]]</f>
        <v>14620</v>
      </c>
      <c r="I29" cm="1">
        <f t="array" ref="I29">_xlfn.IFS(OR(pogoda46[[#This Row],[temperatura_srednia]]&lt;=15,pogoda46[[#This Row],[opady]]&gt;0.61),0,pogoda46[[#This Row],[temperatura_srednia]]&gt;30,24000,pogoda46[[#This Row],[temperatura_srednia]]&gt;15,12000)</f>
        <v>0</v>
      </c>
      <c r="J29">
        <f>IF(pogoda46[[#This Row],[stan_po_dolaniu]]&lt;pogoda46[[#This Row],[ile_podlewamy]],$AB$2-pogoda46[[#This Row],[stan_po_dolaniu]],0)</f>
        <v>0</v>
      </c>
      <c r="K29">
        <f>pogoda46[[#This Row],[stan_po_dolaniu]]+pogoda46[[#This Row],[ile_dolać_do_podlania]]</f>
        <v>14620</v>
      </c>
      <c r="L29">
        <f>pogoda46[[#This Row],[stan_po_dolaniu_do_podlania]]-pogoda46[[#This Row],[ile_podlewamy]]</f>
        <v>14620</v>
      </c>
      <c r="N29" s="5">
        <v>42122</v>
      </c>
      <c r="O29">
        <v>14620</v>
      </c>
    </row>
    <row r="30" spans="1:15" x14ac:dyDescent="0.25">
      <c r="A30" s="2">
        <v>42123</v>
      </c>
      <c r="B30">
        <v>7</v>
      </c>
      <c r="C30">
        <v>0</v>
      </c>
      <c r="D30">
        <f t="shared" si="0"/>
        <v>14620</v>
      </c>
      <c r="E30">
        <f>IF(C30=0,ROUNDUP($AB$3*POWER(pogoda46[[#This Row],[temperatura_srednia]],1.5)*pogoda46[[#This Row],[stan_przed_dolaniem]],0),0)</f>
        <v>82</v>
      </c>
      <c r="F30">
        <f>pogoda46[[#This Row],[stan_przed_dolaniem]]-pogoda46[[#This Row],[ubytek]]</f>
        <v>14538</v>
      </c>
      <c r="G30">
        <f>IF(pogoda46[[#This Row],[opady]]*$AB$1+D30&gt;$AB$2,$AB$2-pogoda46[[#This Row],[stan_przed_dolaniem]],pogoda46[[#This Row],[opady]]*$AB$1)</f>
        <v>0</v>
      </c>
      <c r="H30">
        <f>pogoda46[[#This Row],[stan_po_ubytku]]+pogoda46[[#This Row],[ile_pogoda_dolała]]</f>
        <v>14538</v>
      </c>
      <c r="I30" cm="1">
        <f t="array" ref="I30">_xlfn.IFS(OR(pogoda46[[#This Row],[temperatura_srednia]]&lt;=15,pogoda46[[#This Row],[opady]]&gt;0.61),0,pogoda46[[#This Row],[temperatura_srednia]]&gt;30,24000,pogoda46[[#This Row],[temperatura_srednia]]&gt;15,12000)</f>
        <v>0</v>
      </c>
      <c r="J30">
        <f>IF(pogoda46[[#This Row],[stan_po_dolaniu]]&lt;pogoda46[[#This Row],[ile_podlewamy]],$AB$2-pogoda46[[#This Row],[stan_po_dolaniu]],0)</f>
        <v>0</v>
      </c>
      <c r="K30">
        <f>pogoda46[[#This Row],[stan_po_dolaniu]]+pogoda46[[#This Row],[ile_dolać_do_podlania]]</f>
        <v>14538</v>
      </c>
      <c r="L30">
        <f>pogoda46[[#This Row],[stan_po_dolaniu_do_podlania]]-pogoda46[[#This Row],[ile_podlewamy]]</f>
        <v>14538</v>
      </c>
      <c r="N30" s="5">
        <v>42123</v>
      </c>
      <c r="O30">
        <v>14538</v>
      </c>
    </row>
    <row r="31" spans="1:15" x14ac:dyDescent="0.25">
      <c r="A31" s="2">
        <v>42124</v>
      </c>
      <c r="B31">
        <v>10</v>
      </c>
      <c r="C31">
        <v>0</v>
      </c>
      <c r="D31">
        <f t="shared" si="0"/>
        <v>14538</v>
      </c>
      <c r="E31">
        <f>IF(C31=0,ROUNDUP($AB$3*POWER(pogoda46[[#This Row],[temperatura_srednia]],1.5)*pogoda46[[#This Row],[stan_przed_dolaniem]],0),0)</f>
        <v>138</v>
      </c>
      <c r="F31">
        <f>pogoda46[[#This Row],[stan_przed_dolaniem]]-pogoda46[[#This Row],[ubytek]]</f>
        <v>14400</v>
      </c>
      <c r="G31">
        <f>IF(pogoda46[[#This Row],[opady]]*$AB$1+D31&gt;$AB$2,$AB$2-pogoda46[[#This Row],[stan_przed_dolaniem]],pogoda46[[#This Row],[opady]]*$AB$1)</f>
        <v>0</v>
      </c>
      <c r="H31">
        <f>pogoda46[[#This Row],[stan_po_ubytku]]+pogoda46[[#This Row],[ile_pogoda_dolała]]</f>
        <v>14400</v>
      </c>
      <c r="I31" cm="1">
        <f t="array" ref="I31">_xlfn.IFS(OR(pogoda46[[#This Row],[temperatura_srednia]]&lt;=15,pogoda46[[#This Row],[opady]]&gt;0.61),0,pogoda46[[#This Row],[temperatura_srednia]]&gt;30,24000,pogoda46[[#This Row],[temperatura_srednia]]&gt;15,12000)</f>
        <v>0</v>
      </c>
      <c r="J31">
        <f>IF(pogoda46[[#This Row],[stan_po_dolaniu]]&lt;pogoda46[[#This Row],[ile_podlewamy]],$AB$2-pogoda46[[#This Row],[stan_po_dolaniu]],0)</f>
        <v>0</v>
      </c>
      <c r="K31">
        <f>pogoda46[[#This Row],[stan_po_dolaniu]]+pogoda46[[#This Row],[ile_dolać_do_podlania]]</f>
        <v>14400</v>
      </c>
      <c r="L31">
        <f>pogoda46[[#This Row],[stan_po_dolaniu_do_podlania]]-pogoda46[[#This Row],[ile_podlewamy]]</f>
        <v>14400</v>
      </c>
      <c r="N31" s="5">
        <v>42124</v>
      </c>
      <c r="O31">
        <v>14400</v>
      </c>
    </row>
    <row r="32" spans="1:15" x14ac:dyDescent="0.25">
      <c r="A32" s="2">
        <v>42125</v>
      </c>
      <c r="B32">
        <v>10</v>
      </c>
      <c r="C32">
        <v>4</v>
      </c>
      <c r="D32">
        <f t="shared" si="0"/>
        <v>14400</v>
      </c>
      <c r="E32">
        <f>IF(C32=0,ROUNDUP($AB$3*POWER(pogoda46[[#This Row],[temperatura_srednia]],1.5)*pogoda46[[#This Row],[stan_przed_dolaniem]],0),0)</f>
        <v>0</v>
      </c>
      <c r="F32">
        <f>pogoda46[[#This Row],[stan_przed_dolaniem]]-pogoda46[[#This Row],[ubytek]]</f>
        <v>14400</v>
      </c>
      <c r="G32">
        <f>IF(pogoda46[[#This Row],[opady]]*$AB$1+D32&gt;$AB$2,$AB$2-pogoda46[[#This Row],[stan_przed_dolaniem]],pogoda46[[#This Row],[opady]]*$AB$1)</f>
        <v>2800</v>
      </c>
      <c r="H32">
        <f>pogoda46[[#This Row],[stan_po_ubytku]]+pogoda46[[#This Row],[ile_pogoda_dolała]]</f>
        <v>17200</v>
      </c>
      <c r="I32" cm="1">
        <f t="array" ref="I32">_xlfn.IFS(OR(pogoda46[[#This Row],[temperatura_srednia]]&lt;=15,pogoda46[[#This Row],[opady]]&gt;0.61),0,pogoda46[[#This Row],[temperatura_srednia]]&gt;30,24000,pogoda46[[#This Row],[temperatura_srednia]]&gt;15,12000)</f>
        <v>0</v>
      </c>
      <c r="J32">
        <f>IF(pogoda46[[#This Row],[stan_po_dolaniu]]&lt;pogoda46[[#This Row],[ile_podlewamy]],$AB$2-pogoda46[[#This Row],[stan_po_dolaniu]],0)</f>
        <v>0</v>
      </c>
      <c r="K32">
        <f>pogoda46[[#This Row],[stan_po_dolaniu]]+pogoda46[[#This Row],[ile_dolać_do_podlania]]</f>
        <v>17200</v>
      </c>
      <c r="L32">
        <f>pogoda46[[#This Row],[stan_po_dolaniu_do_podlania]]-pogoda46[[#This Row],[ile_podlewamy]]</f>
        <v>17200</v>
      </c>
      <c r="N32" s="5">
        <v>42125</v>
      </c>
      <c r="O32">
        <v>17200</v>
      </c>
    </row>
    <row r="33" spans="1:15" x14ac:dyDescent="0.25">
      <c r="A33" s="2">
        <v>42126</v>
      </c>
      <c r="B33">
        <v>7</v>
      </c>
      <c r="C33">
        <v>5</v>
      </c>
      <c r="D33">
        <f t="shared" si="0"/>
        <v>17200</v>
      </c>
      <c r="E33">
        <f>IF(C33=0,ROUNDUP($AB$3*POWER(pogoda46[[#This Row],[temperatura_srednia]],1.5)*pogoda46[[#This Row],[stan_przed_dolaniem]],0),0)</f>
        <v>0</v>
      </c>
      <c r="F33">
        <f>pogoda46[[#This Row],[stan_przed_dolaniem]]-pogoda46[[#This Row],[ubytek]]</f>
        <v>17200</v>
      </c>
      <c r="G33">
        <f>IF(pogoda46[[#This Row],[opady]]*$AB$1+D33&gt;$AB$2,$AB$2-pogoda46[[#This Row],[stan_przed_dolaniem]],pogoda46[[#This Row],[opady]]*$AB$1)</f>
        <v>3500</v>
      </c>
      <c r="H33">
        <f>pogoda46[[#This Row],[stan_po_ubytku]]+pogoda46[[#This Row],[ile_pogoda_dolała]]</f>
        <v>20700</v>
      </c>
      <c r="I33" cm="1">
        <f t="array" ref="I33">_xlfn.IFS(OR(pogoda46[[#This Row],[temperatura_srednia]]&lt;=15,pogoda46[[#This Row],[opady]]&gt;0.61),0,pogoda46[[#This Row],[temperatura_srednia]]&gt;30,24000,pogoda46[[#This Row],[temperatura_srednia]]&gt;15,12000)</f>
        <v>0</v>
      </c>
      <c r="J33">
        <f>IF(pogoda46[[#This Row],[stan_po_dolaniu]]&lt;pogoda46[[#This Row],[ile_podlewamy]],$AB$2-pogoda46[[#This Row],[stan_po_dolaniu]],0)</f>
        <v>0</v>
      </c>
      <c r="K33">
        <f>pogoda46[[#This Row],[stan_po_dolaniu]]+pogoda46[[#This Row],[ile_dolać_do_podlania]]</f>
        <v>20700</v>
      </c>
      <c r="L33">
        <f>pogoda46[[#This Row],[stan_po_dolaniu_do_podlania]]-pogoda46[[#This Row],[ile_podlewamy]]</f>
        <v>20700</v>
      </c>
      <c r="N33" s="5">
        <v>42126</v>
      </c>
      <c r="O33">
        <v>20700</v>
      </c>
    </row>
    <row r="34" spans="1:15" x14ac:dyDescent="0.25">
      <c r="A34" s="2">
        <v>42127</v>
      </c>
      <c r="B34">
        <v>9</v>
      </c>
      <c r="C34">
        <v>4</v>
      </c>
      <c r="D34">
        <f t="shared" si="0"/>
        <v>20700</v>
      </c>
      <c r="E34">
        <f>IF(C34=0,ROUNDUP($AB$3*POWER(pogoda46[[#This Row],[temperatura_srednia]],1.5)*pogoda46[[#This Row],[stan_przed_dolaniem]],0),0)</f>
        <v>0</v>
      </c>
      <c r="F34">
        <f>pogoda46[[#This Row],[stan_przed_dolaniem]]-pogoda46[[#This Row],[ubytek]]</f>
        <v>20700</v>
      </c>
      <c r="G34">
        <f>IF(pogoda46[[#This Row],[opady]]*$AB$1+D34&gt;$AB$2,$AB$2-pogoda46[[#This Row],[stan_przed_dolaniem]],pogoda46[[#This Row],[opady]]*$AB$1)</f>
        <v>2800</v>
      </c>
      <c r="H34">
        <f>pogoda46[[#This Row],[stan_po_ubytku]]+pogoda46[[#This Row],[ile_pogoda_dolała]]</f>
        <v>23500</v>
      </c>
      <c r="I34" cm="1">
        <f t="array" ref="I34">_xlfn.IFS(OR(pogoda46[[#This Row],[temperatura_srednia]]&lt;=15,pogoda46[[#This Row],[opady]]&gt;0.61),0,pogoda46[[#This Row],[temperatura_srednia]]&gt;30,24000,pogoda46[[#This Row],[temperatura_srednia]]&gt;15,12000)</f>
        <v>0</v>
      </c>
      <c r="J34">
        <f>IF(pogoda46[[#This Row],[stan_po_dolaniu]]&lt;pogoda46[[#This Row],[ile_podlewamy]],$AB$2-pogoda46[[#This Row],[stan_po_dolaniu]],0)</f>
        <v>0</v>
      </c>
      <c r="K34">
        <f>pogoda46[[#This Row],[stan_po_dolaniu]]+pogoda46[[#This Row],[ile_dolać_do_podlania]]</f>
        <v>23500</v>
      </c>
      <c r="L34">
        <f>pogoda46[[#This Row],[stan_po_dolaniu_do_podlania]]-pogoda46[[#This Row],[ile_podlewamy]]</f>
        <v>23500</v>
      </c>
      <c r="N34" s="5">
        <v>42127</v>
      </c>
      <c r="O34">
        <v>23500</v>
      </c>
    </row>
    <row r="35" spans="1:15" x14ac:dyDescent="0.25">
      <c r="A35" s="2">
        <v>42128</v>
      </c>
      <c r="B35">
        <v>15</v>
      </c>
      <c r="C35">
        <v>0.4</v>
      </c>
      <c r="D35">
        <f t="shared" si="0"/>
        <v>23500</v>
      </c>
      <c r="E35">
        <f>IF(C35=0,ROUNDUP($AB$3*POWER(pogoda46[[#This Row],[temperatura_srednia]],1.5)*pogoda46[[#This Row],[stan_przed_dolaniem]],0),0)</f>
        <v>0</v>
      </c>
      <c r="F35">
        <f>pogoda46[[#This Row],[stan_przed_dolaniem]]-pogoda46[[#This Row],[ubytek]]</f>
        <v>23500</v>
      </c>
      <c r="G35">
        <f>IF(pogoda46[[#This Row],[opady]]*$AB$1+D35&gt;$AB$2,$AB$2-pogoda46[[#This Row],[stan_przed_dolaniem]],pogoda46[[#This Row],[opady]]*$AB$1)</f>
        <v>280</v>
      </c>
      <c r="H35">
        <f>pogoda46[[#This Row],[stan_po_ubytku]]+pogoda46[[#This Row],[ile_pogoda_dolała]]</f>
        <v>23780</v>
      </c>
      <c r="I35" cm="1">
        <f t="array" ref="I35">_xlfn.IFS(OR(pogoda46[[#This Row],[temperatura_srednia]]&lt;=15,pogoda46[[#This Row],[opady]]&gt;0.61),0,pogoda46[[#This Row],[temperatura_srednia]]&gt;30,24000,pogoda46[[#This Row],[temperatura_srednia]]&gt;15,12000)</f>
        <v>0</v>
      </c>
      <c r="J35">
        <f>IF(pogoda46[[#This Row],[stan_po_dolaniu]]&lt;pogoda46[[#This Row],[ile_podlewamy]],$AB$2-pogoda46[[#This Row],[stan_po_dolaniu]],0)</f>
        <v>0</v>
      </c>
      <c r="K35">
        <f>pogoda46[[#This Row],[stan_po_dolaniu]]+pogoda46[[#This Row],[ile_dolać_do_podlania]]</f>
        <v>23780</v>
      </c>
      <c r="L35">
        <f>pogoda46[[#This Row],[stan_po_dolaniu_do_podlania]]-pogoda46[[#This Row],[ile_podlewamy]]</f>
        <v>23780</v>
      </c>
      <c r="N35" s="5">
        <v>42128</v>
      </c>
      <c r="O35">
        <v>23780</v>
      </c>
    </row>
    <row r="36" spans="1:15" x14ac:dyDescent="0.25">
      <c r="A36" s="2">
        <v>42129</v>
      </c>
      <c r="B36">
        <v>18</v>
      </c>
      <c r="C36">
        <v>0.4</v>
      </c>
      <c r="D36">
        <f t="shared" si="0"/>
        <v>23780</v>
      </c>
      <c r="E36">
        <f>IF(C36=0,ROUNDUP($AB$3*POWER(pogoda46[[#This Row],[temperatura_srednia]],1.5)*pogoda46[[#This Row],[stan_przed_dolaniem]],0),0)</f>
        <v>0</v>
      </c>
      <c r="F36">
        <f>pogoda46[[#This Row],[stan_przed_dolaniem]]-pogoda46[[#This Row],[ubytek]]</f>
        <v>23780</v>
      </c>
      <c r="G36">
        <f>IF(pogoda46[[#This Row],[opady]]*$AB$1+D36&gt;$AB$2,$AB$2-pogoda46[[#This Row],[stan_przed_dolaniem]],pogoda46[[#This Row],[opady]]*$AB$1)</f>
        <v>280</v>
      </c>
      <c r="H36">
        <f>pogoda46[[#This Row],[stan_po_ubytku]]+pogoda46[[#This Row],[ile_pogoda_dolała]]</f>
        <v>24060</v>
      </c>
      <c r="I36" cm="1">
        <f t="array" ref="I36">_xlfn.IFS(OR(pogoda46[[#This Row],[temperatura_srednia]]&lt;=15,pogoda46[[#This Row],[opady]]&gt;0.61),0,pogoda46[[#This Row],[temperatura_srednia]]&gt;30,24000,pogoda46[[#This Row],[temperatura_srednia]]&gt;15,12000)</f>
        <v>12000</v>
      </c>
      <c r="J36">
        <f>IF(pogoda46[[#This Row],[stan_po_dolaniu]]&lt;pogoda46[[#This Row],[ile_podlewamy]],$AB$2-pogoda46[[#This Row],[stan_po_dolaniu]],0)</f>
        <v>0</v>
      </c>
      <c r="K36">
        <f>pogoda46[[#This Row],[stan_po_dolaniu]]+pogoda46[[#This Row],[ile_dolać_do_podlania]]</f>
        <v>24060</v>
      </c>
      <c r="L36">
        <f>pogoda46[[#This Row],[stan_po_dolaniu_do_podlania]]-pogoda46[[#This Row],[ile_podlewamy]]</f>
        <v>12060</v>
      </c>
      <c r="N36" s="5">
        <v>42129</v>
      </c>
      <c r="O36">
        <v>12060</v>
      </c>
    </row>
    <row r="37" spans="1:15" x14ac:dyDescent="0.25">
      <c r="A37" s="2">
        <v>42130</v>
      </c>
      <c r="B37">
        <v>16</v>
      </c>
      <c r="C37">
        <v>0</v>
      </c>
      <c r="D37">
        <f t="shared" si="0"/>
        <v>12060</v>
      </c>
      <c r="E37">
        <f>IF(C37=0,ROUNDUP($AB$3*POWER(pogoda46[[#This Row],[temperatura_srednia]],1.5)*pogoda46[[#This Row],[stan_przed_dolaniem]],0),0)</f>
        <v>232</v>
      </c>
      <c r="F37">
        <f>pogoda46[[#This Row],[stan_przed_dolaniem]]-pogoda46[[#This Row],[ubytek]]</f>
        <v>11828</v>
      </c>
      <c r="G37">
        <f>IF(pogoda46[[#This Row],[opady]]*$AB$1+D37&gt;$AB$2,$AB$2-pogoda46[[#This Row],[stan_przed_dolaniem]],pogoda46[[#This Row],[opady]]*$AB$1)</f>
        <v>0</v>
      </c>
      <c r="H37">
        <f>pogoda46[[#This Row],[stan_po_ubytku]]+pogoda46[[#This Row],[ile_pogoda_dolała]]</f>
        <v>11828</v>
      </c>
      <c r="I37" cm="1">
        <f t="array" ref="I37">_xlfn.IFS(OR(pogoda46[[#This Row],[temperatura_srednia]]&lt;=15,pogoda46[[#This Row],[opady]]&gt;0.61),0,pogoda46[[#This Row],[temperatura_srednia]]&gt;30,24000,pogoda46[[#This Row],[temperatura_srednia]]&gt;15,12000)</f>
        <v>12000</v>
      </c>
      <c r="J37">
        <f>IF(pogoda46[[#This Row],[stan_po_dolaniu]]&lt;pogoda46[[#This Row],[ile_podlewamy]],$AB$2-pogoda46[[#This Row],[stan_po_dolaniu]],0)</f>
        <v>13172</v>
      </c>
      <c r="K37">
        <f>pogoda46[[#This Row],[stan_po_dolaniu]]+pogoda46[[#This Row],[ile_dolać_do_podlania]]</f>
        <v>25000</v>
      </c>
      <c r="L37">
        <f>pogoda46[[#This Row],[stan_po_dolaniu_do_podlania]]-pogoda46[[#This Row],[ile_podlewamy]]</f>
        <v>13000</v>
      </c>
      <c r="N37" s="5">
        <v>42130</v>
      </c>
      <c r="O37">
        <v>13000</v>
      </c>
    </row>
    <row r="38" spans="1:15" x14ac:dyDescent="0.25">
      <c r="A38" s="2">
        <v>42131</v>
      </c>
      <c r="B38">
        <v>14</v>
      </c>
      <c r="C38">
        <v>0</v>
      </c>
      <c r="D38">
        <f t="shared" si="0"/>
        <v>13000</v>
      </c>
      <c r="E38">
        <f>IF(C38=0,ROUNDUP($AB$3*POWER(pogoda46[[#This Row],[temperatura_srednia]],1.5)*pogoda46[[#This Row],[stan_przed_dolaniem]],0),0)</f>
        <v>205</v>
      </c>
      <c r="F38">
        <f>pogoda46[[#This Row],[stan_przed_dolaniem]]-pogoda46[[#This Row],[ubytek]]</f>
        <v>12795</v>
      </c>
      <c r="G38">
        <f>IF(pogoda46[[#This Row],[opady]]*$AB$1+D38&gt;$AB$2,$AB$2-pogoda46[[#This Row],[stan_przed_dolaniem]],pogoda46[[#This Row],[opady]]*$AB$1)</f>
        <v>0</v>
      </c>
      <c r="H38">
        <f>pogoda46[[#This Row],[stan_po_ubytku]]+pogoda46[[#This Row],[ile_pogoda_dolała]]</f>
        <v>12795</v>
      </c>
      <c r="I38" cm="1">
        <f t="array" ref="I38">_xlfn.IFS(OR(pogoda46[[#This Row],[temperatura_srednia]]&lt;=15,pogoda46[[#This Row],[opady]]&gt;0.61),0,pogoda46[[#This Row],[temperatura_srednia]]&gt;30,24000,pogoda46[[#This Row],[temperatura_srednia]]&gt;15,12000)</f>
        <v>0</v>
      </c>
      <c r="J38">
        <f>IF(pogoda46[[#This Row],[stan_po_dolaniu]]&lt;pogoda46[[#This Row],[ile_podlewamy]],$AB$2-pogoda46[[#This Row],[stan_po_dolaniu]],0)</f>
        <v>0</v>
      </c>
      <c r="K38">
        <f>pogoda46[[#This Row],[stan_po_dolaniu]]+pogoda46[[#This Row],[ile_dolać_do_podlania]]</f>
        <v>12795</v>
      </c>
      <c r="L38">
        <f>pogoda46[[#This Row],[stan_po_dolaniu_do_podlania]]-pogoda46[[#This Row],[ile_podlewamy]]</f>
        <v>12795</v>
      </c>
      <c r="N38" s="5">
        <v>42131</v>
      </c>
      <c r="O38">
        <v>12795</v>
      </c>
    </row>
    <row r="39" spans="1:15" x14ac:dyDescent="0.25">
      <c r="A39" s="2">
        <v>42132</v>
      </c>
      <c r="B39">
        <v>10</v>
      </c>
      <c r="C39">
        <v>0</v>
      </c>
      <c r="D39">
        <f t="shared" si="0"/>
        <v>12795</v>
      </c>
      <c r="E39">
        <f>IF(C39=0,ROUNDUP($AB$3*POWER(pogoda46[[#This Row],[temperatura_srednia]],1.5)*pogoda46[[#This Row],[stan_przed_dolaniem]],0),0)</f>
        <v>122</v>
      </c>
      <c r="F39">
        <f>pogoda46[[#This Row],[stan_przed_dolaniem]]-pogoda46[[#This Row],[ubytek]]</f>
        <v>12673</v>
      </c>
      <c r="G39">
        <f>IF(pogoda46[[#This Row],[opady]]*$AB$1+D39&gt;$AB$2,$AB$2-pogoda46[[#This Row],[stan_przed_dolaniem]],pogoda46[[#This Row],[opady]]*$AB$1)</f>
        <v>0</v>
      </c>
      <c r="H39">
        <f>pogoda46[[#This Row],[stan_po_ubytku]]+pogoda46[[#This Row],[ile_pogoda_dolała]]</f>
        <v>12673</v>
      </c>
      <c r="I39" cm="1">
        <f t="array" ref="I39">_xlfn.IFS(OR(pogoda46[[#This Row],[temperatura_srednia]]&lt;=15,pogoda46[[#This Row],[opady]]&gt;0.61),0,pogoda46[[#This Row],[temperatura_srednia]]&gt;30,24000,pogoda46[[#This Row],[temperatura_srednia]]&gt;15,12000)</f>
        <v>0</v>
      </c>
      <c r="J39">
        <f>IF(pogoda46[[#This Row],[stan_po_dolaniu]]&lt;pogoda46[[#This Row],[ile_podlewamy]],$AB$2-pogoda46[[#This Row],[stan_po_dolaniu]],0)</f>
        <v>0</v>
      </c>
      <c r="K39">
        <f>pogoda46[[#This Row],[stan_po_dolaniu]]+pogoda46[[#This Row],[ile_dolać_do_podlania]]</f>
        <v>12673</v>
      </c>
      <c r="L39">
        <f>pogoda46[[#This Row],[stan_po_dolaniu_do_podlania]]-pogoda46[[#This Row],[ile_podlewamy]]</f>
        <v>12673</v>
      </c>
      <c r="N39" s="5">
        <v>42132</v>
      </c>
      <c r="O39">
        <v>12673</v>
      </c>
    </row>
    <row r="40" spans="1:15" x14ac:dyDescent="0.25">
      <c r="A40" s="2">
        <v>42133</v>
      </c>
      <c r="B40">
        <v>14</v>
      </c>
      <c r="C40">
        <v>0.3</v>
      </c>
      <c r="D40">
        <f t="shared" si="0"/>
        <v>12673</v>
      </c>
      <c r="E40">
        <f>IF(C40=0,ROUNDUP($AB$3*POWER(pogoda46[[#This Row],[temperatura_srednia]],1.5)*pogoda46[[#This Row],[stan_przed_dolaniem]],0),0)</f>
        <v>0</v>
      </c>
      <c r="F40">
        <f>pogoda46[[#This Row],[stan_przed_dolaniem]]-pogoda46[[#This Row],[ubytek]]</f>
        <v>12673</v>
      </c>
      <c r="G40">
        <f>IF(pogoda46[[#This Row],[opady]]*$AB$1+D40&gt;$AB$2,$AB$2-pogoda46[[#This Row],[stan_przed_dolaniem]],pogoda46[[#This Row],[opady]]*$AB$1)</f>
        <v>210</v>
      </c>
      <c r="H40">
        <f>pogoda46[[#This Row],[stan_po_ubytku]]+pogoda46[[#This Row],[ile_pogoda_dolała]]</f>
        <v>12883</v>
      </c>
      <c r="I40" cm="1">
        <f t="array" ref="I40">_xlfn.IFS(OR(pogoda46[[#This Row],[temperatura_srednia]]&lt;=15,pogoda46[[#This Row],[opady]]&gt;0.61),0,pogoda46[[#This Row],[temperatura_srednia]]&gt;30,24000,pogoda46[[#This Row],[temperatura_srednia]]&gt;15,12000)</f>
        <v>0</v>
      </c>
      <c r="J40">
        <f>IF(pogoda46[[#This Row],[stan_po_dolaniu]]&lt;pogoda46[[#This Row],[ile_podlewamy]],$AB$2-pogoda46[[#This Row],[stan_po_dolaniu]],0)</f>
        <v>0</v>
      </c>
      <c r="K40">
        <f>pogoda46[[#This Row],[stan_po_dolaniu]]+pogoda46[[#This Row],[ile_dolać_do_podlania]]</f>
        <v>12883</v>
      </c>
      <c r="L40">
        <f>pogoda46[[#This Row],[stan_po_dolaniu_do_podlania]]-pogoda46[[#This Row],[ile_podlewamy]]</f>
        <v>12883</v>
      </c>
      <c r="N40" s="5">
        <v>42133</v>
      </c>
      <c r="O40">
        <v>12883</v>
      </c>
    </row>
    <row r="41" spans="1:15" x14ac:dyDescent="0.25">
      <c r="A41" s="2">
        <v>42134</v>
      </c>
      <c r="B41">
        <v>12</v>
      </c>
      <c r="C41">
        <v>0.1</v>
      </c>
      <c r="D41">
        <f t="shared" si="0"/>
        <v>12883</v>
      </c>
      <c r="E41">
        <f>IF(C41=0,ROUNDUP($AB$3*POWER(pogoda46[[#This Row],[temperatura_srednia]],1.5)*pogoda46[[#This Row],[stan_przed_dolaniem]],0),0)</f>
        <v>0</v>
      </c>
      <c r="F41">
        <f>pogoda46[[#This Row],[stan_przed_dolaniem]]-pogoda46[[#This Row],[ubytek]]</f>
        <v>12883</v>
      </c>
      <c r="G41">
        <f>IF(pogoda46[[#This Row],[opady]]*$AB$1+D41&gt;$AB$2,$AB$2-pogoda46[[#This Row],[stan_przed_dolaniem]],pogoda46[[#This Row],[opady]]*$AB$1)</f>
        <v>70</v>
      </c>
      <c r="H41">
        <f>pogoda46[[#This Row],[stan_po_ubytku]]+pogoda46[[#This Row],[ile_pogoda_dolała]]</f>
        <v>12953</v>
      </c>
      <c r="I41" cm="1">
        <f t="array" ref="I41">_xlfn.IFS(OR(pogoda46[[#This Row],[temperatura_srednia]]&lt;=15,pogoda46[[#This Row],[opady]]&gt;0.61),0,pogoda46[[#This Row],[temperatura_srednia]]&gt;30,24000,pogoda46[[#This Row],[temperatura_srednia]]&gt;15,12000)</f>
        <v>0</v>
      </c>
      <c r="J41">
        <f>IF(pogoda46[[#This Row],[stan_po_dolaniu]]&lt;pogoda46[[#This Row],[ile_podlewamy]],$AB$2-pogoda46[[#This Row],[stan_po_dolaniu]],0)</f>
        <v>0</v>
      </c>
      <c r="K41">
        <f>pogoda46[[#This Row],[stan_po_dolaniu]]+pogoda46[[#This Row],[ile_dolać_do_podlania]]</f>
        <v>12953</v>
      </c>
      <c r="L41">
        <f>pogoda46[[#This Row],[stan_po_dolaniu_do_podlania]]-pogoda46[[#This Row],[ile_podlewamy]]</f>
        <v>12953</v>
      </c>
      <c r="N41" s="5">
        <v>42134</v>
      </c>
      <c r="O41">
        <v>12953</v>
      </c>
    </row>
    <row r="42" spans="1:15" x14ac:dyDescent="0.25">
      <c r="A42" s="2">
        <v>42135</v>
      </c>
      <c r="B42">
        <v>11</v>
      </c>
      <c r="C42">
        <v>0</v>
      </c>
      <c r="D42">
        <f t="shared" si="0"/>
        <v>12953</v>
      </c>
      <c r="E42">
        <f>IF(C42=0,ROUNDUP($AB$3*POWER(pogoda46[[#This Row],[temperatura_srednia]],1.5)*pogoda46[[#This Row],[stan_przed_dolaniem]],0),0)</f>
        <v>142</v>
      </c>
      <c r="F42">
        <f>pogoda46[[#This Row],[stan_przed_dolaniem]]-pogoda46[[#This Row],[ubytek]]</f>
        <v>12811</v>
      </c>
      <c r="G42">
        <f>IF(pogoda46[[#This Row],[opady]]*$AB$1+D42&gt;$AB$2,$AB$2-pogoda46[[#This Row],[stan_przed_dolaniem]],pogoda46[[#This Row],[opady]]*$AB$1)</f>
        <v>0</v>
      </c>
      <c r="H42">
        <f>pogoda46[[#This Row],[stan_po_ubytku]]+pogoda46[[#This Row],[ile_pogoda_dolała]]</f>
        <v>12811</v>
      </c>
      <c r="I42" cm="1">
        <f t="array" ref="I42">_xlfn.IFS(OR(pogoda46[[#This Row],[temperatura_srednia]]&lt;=15,pogoda46[[#This Row],[opady]]&gt;0.61),0,pogoda46[[#This Row],[temperatura_srednia]]&gt;30,24000,pogoda46[[#This Row],[temperatura_srednia]]&gt;15,12000)</f>
        <v>0</v>
      </c>
      <c r="J42">
        <f>IF(pogoda46[[#This Row],[stan_po_dolaniu]]&lt;pogoda46[[#This Row],[ile_podlewamy]],$AB$2-pogoda46[[#This Row],[stan_po_dolaniu]],0)</f>
        <v>0</v>
      </c>
      <c r="K42">
        <f>pogoda46[[#This Row],[stan_po_dolaniu]]+pogoda46[[#This Row],[ile_dolać_do_podlania]]</f>
        <v>12811</v>
      </c>
      <c r="L42">
        <f>pogoda46[[#This Row],[stan_po_dolaniu_do_podlania]]-pogoda46[[#This Row],[ile_podlewamy]]</f>
        <v>12811</v>
      </c>
      <c r="N42" s="5">
        <v>42135</v>
      </c>
      <c r="O42">
        <v>12811</v>
      </c>
    </row>
    <row r="43" spans="1:15" x14ac:dyDescent="0.25">
      <c r="A43" s="2">
        <v>42136</v>
      </c>
      <c r="B43">
        <v>16</v>
      </c>
      <c r="C43">
        <v>3</v>
      </c>
      <c r="D43">
        <f t="shared" si="0"/>
        <v>12811</v>
      </c>
      <c r="E43">
        <f>IF(C43=0,ROUNDUP($AB$3*POWER(pogoda46[[#This Row],[temperatura_srednia]],1.5)*pogoda46[[#This Row],[stan_przed_dolaniem]],0),0)</f>
        <v>0</v>
      </c>
      <c r="F43">
        <f>pogoda46[[#This Row],[stan_przed_dolaniem]]-pogoda46[[#This Row],[ubytek]]</f>
        <v>12811</v>
      </c>
      <c r="G43">
        <f>IF(pogoda46[[#This Row],[opady]]*$AB$1+D43&gt;$AB$2,$AB$2-pogoda46[[#This Row],[stan_przed_dolaniem]],pogoda46[[#This Row],[opady]]*$AB$1)</f>
        <v>2100</v>
      </c>
      <c r="H43">
        <f>pogoda46[[#This Row],[stan_po_ubytku]]+pogoda46[[#This Row],[ile_pogoda_dolała]]</f>
        <v>14911</v>
      </c>
      <c r="I43" cm="1">
        <f t="array" ref="I43">_xlfn.IFS(OR(pogoda46[[#This Row],[temperatura_srednia]]&lt;=15,pogoda46[[#This Row],[opady]]&gt;0.61),0,pogoda46[[#This Row],[temperatura_srednia]]&gt;30,24000,pogoda46[[#This Row],[temperatura_srednia]]&gt;15,12000)</f>
        <v>0</v>
      </c>
      <c r="J43">
        <f>IF(pogoda46[[#This Row],[stan_po_dolaniu]]&lt;pogoda46[[#This Row],[ile_podlewamy]],$AB$2-pogoda46[[#This Row],[stan_po_dolaniu]],0)</f>
        <v>0</v>
      </c>
      <c r="K43">
        <f>pogoda46[[#This Row],[stan_po_dolaniu]]+pogoda46[[#This Row],[ile_dolać_do_podlania]]</f>
        <v>14911</v>
      </c>
      <c r="L43">
        <f>pogoda46[[#This Row],[stan_po_dolaniu_do_podlania]]-pogoda46[[#This Row],[ile_podlewamy]]</f>
        <v>14911</v>
      </c>
      <c r="N43" s="5">
        <v>42136</v>
      </c>
      <c r="O43">
        <v>14911</v>
      </c>
    </row>
    <row r="44" spans="1:15" x14ac:dyDescent="0.25">
      <c r="A44" s="2">
        <v>42137</v>
      </c>
      <c r="B44">
        <v>12</v>
      </c>
      <c r="C44">
        <v>0</v>
      </c>
      <c r="D44">
        <f t="shared" si="0"/>
        <v>14911</v>
      </c>
      <c r="E44">
        <f>IF(C44=0,ROUNDUP($AB$3*POWER(pogoda46[[#This Row],[temperatura_srednia]],1.5)*pogoda46[[#This Row],[stan_przed_dolaniem]],0),0)</f>
        <v>186</v>
      </c>
      <c r="F44">
        <f>pogoda46[[#This Row],[stan_przed_dolaniem]]-pogoda46[[#This Row],[ubytek]]</f>
        <v>14725</v>
      </c>
      <c r="G44">
        <f>IF(pogoda46[[#This Row],[opady]]*$AB$1+D44&gt;$AB$2,$AB$2-pogoda46[[#This Row],[stan_przed_dolaniem]],pogoda46[[#This Row],[opady]]*$AB$1)</f>
        <v>0</v>
      </c>
      <c r="H44">
        <f>pogoda46[[#This Row],[stan_po_ubytku]]+pogoda46[[#This Row],[ile_pogoda_dolała]]</f>
        <v>14725</v>
      </c>
      <c r="I44" cm="1">
        <f t="array" ref="I44">_xlfn.IFS(OR(pogoda46[[#This Row],[temperatura_srednia]]&lt;=15,pogoda46[[#This Row],[opady]]&gt;0.61),0,pogoda46[[#This Row],[temperatura_srednia]]&gt;30,24000,pogoda46[[#This Row],[temperatura_srednia]]&gt;15,12000)</f>
        <v>0</v>
      </c>
      <c r="J44">
        <f>IF(pogoda46[[#This Row],[stan_po_dolaniu]]&lt;pogoda46[[#This Row],[ile_podlewamy]],$AB$2-pogoda46[[#This Row],[stan_po_dolaniu]],0)</f>
        <v>0</v>
      </c>
      <c r="K44">
        <f>pogoda46[[#This Row],[stan_po_dolaniu]]+pogoda46[[#This Row],[ile_dolać_do_podlania]]</f>
        <v>14725</v>
      </c>
      <c r="L44">
        <f>pogoda46[[#This Row],[stan_po_dolaniu_do_podlania]]-pogoda46[[#This Row],[ile_podlewamy]]</f>
        <v>14725</v>
      </c>
      <c r="N44" s="5">
        <v>42137</v>
      </c>
      <c r="O44">
        <v>14725</v>
      </c>
    </row>
    <row r="45" spans="1:15" x14ac:dyDescent="0.25">
      <c r="A45" s="2">
        <v>42138</v>
      </c>
      <c r="B45">
        <v>10</v>
      </c>
      <c r="C45">
        <v>0</v>
      </c>
      <c r="D45">
        <f t="shared" si="0"/>
        <v>14725</v>
      </c>
      <c r="E45">
        <f>IF(C45=0,ROUNDUP($AB$3*POWER(pogoda46[[#This Row],[temperatura_srednia]],1.5)*pogoda46[[#This Row],[stan_przed_dolaniem]],0),0)</f>
        <v>140</v>
      </c>
      <c r="F45">
        <f>pogoda46[[#This Row],[stan_przed_dolaniem]]-pogoda46[[#This Row],[ubytek]]</f>
        <v>14585</v>
      </c>
      <c r="G45">
        <f>IF(pogoda46[[#This Row],[opady]]*$AB$1+D45&gt;$AB$2,$AB$2-pogoda46[[#This Row],[stan_przed_dolaniem]],pogoda46[[#This Row],[opady]]*$AB$1)</f>
        <v>0</v>
      </c>
      <c r="H45">
        <f>pogoda46[[#This Row],[stan_po_ubytku]]+pogoda46[[#This Row],[ile_pogoda_dolała]]</f>
        <v>14585</v>
      </c>
      <c r="I45" cm="1">
        <f t="array" ref="I45">_xlfn.IFS(OR(pogoda46[[#This Row],[temperatura_srednia]]&lt;=15,pogoda46[[#This Row],[opady]]&gt;0.61),0,pogoda46[[#This Row],[temperatura_srednia]]&gt;30,24000,pogoda46[[#This Row],[temperatura_srednia]]&gt;15,12000)</f>
        <v>0</v>
      </c>
      <c r="J45">
        <f>IF(pogoda46[[#This Row],[stan_po_dolaniu]]&lt;pogoda46[[#This Row],[ile_podlewamy]],$AB$2-pogoda46[[#This Row],[stan_po_dolaniu]],0)</f>
        <v>0</v>
      </c>
      <c r="K45">
        <f>pogoda46[[#This Row],[stan_po_dolaniu]]+pogoda46[[#This Row],[ile_dolać_do_podlania]]</f>
        <v>14585</v>
      </c>
      <c r="L45">
        <f>pogoda46[[#This Row],[stan_po_dolaniu_do_podlania]]-pogoda46[[#This Row],[ile_podlewamy]]</f>
        <v>14585</v>
      </c>
      <c r="N45" s="5">
        <v>42138</v>
      </c>
      <c r="O45">
        <v>14585</v>
      </c>
    </row>
    <row r="46" spans="1:15" x14ac:dyDescent="0.25">
      <c r="A46" s="2">
        <v>42139</v>
      </c>
      <c r="B46">
        <v>12</v>
      </c>
      <c r="C46">
        <v>0</v>
      </c>
      <c r="D46">
        <f t="shared" si="0"/>
        <v>14585</v>
      </c>
      <c r="E46">
        <f>IF(C46=0,ROUNDUP($AB$3*POWER(pogoda46[[#This Row],[temperatura_srednia]],1.5)*pogoda46[[#This Row],[stan_przed_dolaniem]],0),0)</f>
        <v>182</v>
      </c>
      <c r="F46">
        <f>pogoda46[[#This Row],[stan_przed_dolaniem]]-pogoda46[[#This Row],[ubytek]]</f>
        <v>14403</v>
      </c>
      <c r="G46">
        <f>IF(pogoda46[[#This Row],[opady]]*$AB$1+D46&gt;$AB$2,$AB$2-pogoda46[[#This Row],[stan_przed_dolaniem]],pogoda46[[#This Row],[opady]]*$AB$1)</f>
        <v>0</v>
      </c>
      <c r="H46">
        <f>pogoda46[[#This Row],[stan_po_ubytku]]+pogoda46[[#This Row],[ile_pogoda_dolała]]</f>
        <v>14403</v>
      </c>
      <c r="I46" cm="1">
        <f t="array" ref="I46">_xlfn.IFS(OR(pogoda46[[#This Row],[temperatura_srednia]]&lt;=15,pogoda46[[#This Row],[opady]]&gt;0.61),0,pogoda46[[#This Row],[temperatura_srednia]]&gt;30,24000,pogoda46[[#This Row],[temperatura_srednia]]&gt;15,12000)</f>
        <v>0</v>
      </c>
      <c r="J46">
        <f>IF(pogoda46[[#This Row],[stan_po_dolaniu]]&lt;pogoda46[[#This Row],[ile_podlewamy]],$AB$2-pogoda46[[#This Row],[stan_po_dolaniu]],0)</f>
        <v>0</v>
      </c>
      <c r="K46">
        <f>pogoda46[[#This Row],[stan_po_dolaniu]]+pogoda46[[#This Row],[ile_dolać_do_podlania]]</f>
        <v>14403</v>
      </c>
      <c r="L46">
        <f>pogoda46[[#This Row],[stan_po_dolaniu_do_podlania]]-pogoda46[[#This Row],[ile_podlewamy]]</f>
        <v>14403</v>
      </c>
      <c r="N46" s="5">
        <v>42139</v>
      </c>
      <c r="O46">
        <v>14403</v>
      </c>
    </row>
    <row r="47" spans="1:15" x14ac:dyDescent="0.25">
      <c r="A47" s="2">
        <v>42140</v>
      </c>
      <c r="B47">
        <v>10</v>
      </c>
      <c r="C47">
        <v>1.8</v>
      </c>
      <c r="D47">
        <f t="shared" si="0"/>
        <v>14403</v>
      </c>
      <c r="E47">
        <f>IF(C47=0,ROUNDUP($AB$3*POWER(pogoda46[[#This Row],[temperatura_srednia]],1.5)*pogoda46[[#This Row],[stan_przed_dolaniem]],0),0)</f>
        <v>0</v>
      </c>
      <c r="F47">
        <f>pogoda46[[#This Row],[stan_przed_dolaniem]]-pogoda46[[#This Row],[ubytek]]</f>
        <v>14403</v>
      </c>
      <c r="G47">
        <f>IF(pogoda46[[#This Row],[opady]]*$AB$1+D47&gt;$AB$2,$AB$2-pogoda46[[#This Row],[stan_przed_dolaniem]],pogoda46[[#This Row],[opady]]*$AB$1)</f>
        <v>1260</v>
      </c>
      <c r="H47">
        <f>pogoda46[[#This Row],[stan_po_ubytku]]+pogoda46[[#This Row],[ile_pogoda_dolała]]</f>
        <v>15663</v>
      </c>
      <c r="I47" cm="1">
        <f t="array" ref="I47">_xlfn.IFS(OR(pogoda46[[#This Row],[temperatura_srednia]]&lt;=15,pogoda46[[#This Row],[opady]]&gt;0.61),0,pogoda46[[#This Row],[temperatura_srednia]]&gt;30,24000,pogoda46[[#This Row],[temperatura_srednia]]&gt;15,12000)</f>
        <v>0</v>
      </c>
      <c r="J47">
        <f>IF(pogoda46[[#This Row],[stan_po_dolaniu]]&lt;pogoda46[[#This Row],[ile_podlewamy]],$AB$2-pogoda46[[#This Row],[stan_po_dolaniu]],0)</f>
        <v>0</v>
      </c>
      <c r="K47">
        <f>pogoda46[[#This Row],[stan_po_dolaniu]]+pogoda46[[#This Row],[ile_dolać_do_podlania]]</f>
        <v>15663</v>
      </c>
      <c r="L47">
        <f>pogoda46[[#This Row],[stan_po_dolaniu_do_podlania]]-pogoda46[[#This Row],[ile_podlewamy]]</f>
        <v>15663</v>
      </c>
      <c r="N47" s="5">
        <v>42140</v>
      </c>
      <c r="O47">
        <v>15663</v>
      </c>
    </row>
    <row r="48" spans="1:15" x14ac:dyDescent="0.25">
      <c r="A48" s="2">
        <v>42141</v>
      </c>
      <c r="B48">
        <v>11</v>
      </c>
      <c r="C48">
        <v>2.8</v>
      </c>
      <c r="D48">
        <f t="shared" si="0"/>
        <v>15663</v>
      </c>
      <c r="E48">
        <f>IF(C48=0,ROUNDUP($AB$3*POWER(pogoda46[[#This Row],[temperatura_srednia]],1.5)*pogoda46[[#This Row],[stan_przed_dolaniem]],0),0)</f>
        <v>0</v>
      </c>
      <c r="F48">
        <f>pogoda46[[#This Row],[stan_przed_dolaniem]]-pogoda46[[#This Row],[ubytek]]</f>
        <v>15663</v>
      </c>
      <c r="G48">
        <f>IF(pogoda46[[#This Row],[opady]]*$AB$1+D48&gt;$AB$2,$AB$2-pogoda46[[#This Row],[stan_przed_dolaniem]],pogoda46[[#This Row],[opady]]*$AB$1)</f>
        <v>1959.9999999999998</v>
      </c>
      <c r="H48">
        <f>pogoda46[[#This Row],[stan_po_ubytku]]+pogoda46[[#This Row],[ile_pogoda_dolała]]</f>
        <v>17623</v>
      </c>
      <c r="I48" cm="1">
        <f t="array" ref="I48">_xlfn.IFS(OR(pogoda46[[#This Row],[temperatura_srednia]]&lt;=15,pogoda46[[#This Row],[opady]]&gt;0.61),0,pogoda46[[#This Row],[temperatura_srednia]]&gt;30,24000,pogoda46[[#This Row],[temperatura_srednia]]&gt;15,12000)</f>
        <v>0</v>
      </c>
      <c r="J48">
        <f>IF(pogoda46[[#This Row],[stan_po_dolaniu]]&lt;pogoda46[[#This Row],[ile_podlewamy]],$AB$2-pogoda46[[#This Row],[stan_po_dolaniu]],0)</f>
        <v>0</v>
      </c>
      <c r="K48">
        <f>pogoda46[[#This Row],[stan_po_dolaniu]]+pogoda46[[#This Row],[ile_dolać_do_podlania]]</f>
        <v>17623</v>
      </c>
      <c r="L48">
        <f>pogoda46[[#This Row],[stan_po_dolaniu_do_podlania]]-pogoda46[[#This Row],[ile_podlewamy]]</f>
        <v>17623</v>
      </c>
      <c r="N48" s="5">
        <v>42141</v>
      </c>
      <c r="O48">
        <v>17623</v>
      </c>
    </row>
    <row r="49" spans="1:15" x14ac:dyDescent="0.25">
      <c r="A49" s="2">
        <v>42142</v>
      </c>
      <c r="B49">
        <v>12</v>
      </c>
      <c r="C49">
        <v>1.9</v>
      </c>
      <c r="D49">
        <f t="shared" si="0"/>
        <v>17623</v>
      </c>
      <c r="E49">
        <f>IF(C49=0,ROUNDUP($AB$3*POWER(pogoda46[[#This Row],[temperatura_srednia]],1.5)*pogoda46[[#This Row],[stan_przed_dolaniem]],0),0)</f>
        <v>0</v>
      </c>
      <c r="F49">
        <f>pogoda46[[#This Row],[stan_przed_dolaniem]]-pogoda46[[#This Row],[ubytek]]</f>
        <v>17623</v>
      </c>
      <c r="G49">
        <f>IF(pogoda46[[#This Row],[opady]]*$AB$1+D49&gt;$AB$2,$AB$2-pogoda46[[#This Row],[stan_przed_dolaniem]],pogoda46[[#This Row],[opady]]*$AB$1)</f>
        <v>1330</v>
      </c>
      <c r="H49">
        <f>pogoda46[[#This Row],[stan_po_ubytku]]+pogoda46[[#This Row],[ile_pogoda_dolała]]</f>
        <v>18953</v>
      </c>
      <c r="I49" cm="1">
        <f t="array" ref="I49">_xlfn.IFS(OR(pogoda46[[#This Row],[temperatura_srednia]]&lt;=15,pogoda46[[#This Row],[opady]]&gt;0.61),0,pogoda46[[#This Row],[temperatura_srednia]]&gt;30,24000,pogoda46[[#This Row],[temperatura_srednia]]&gt;15,12000)</f>
        <v>0</v>
      </c>
      <c r="J49">
        <f>IF(pogoda46[[#This Row],[stan_po_dolaniu]]&lt;pogoda46[[#This Row],[ile_podlewamy]],$AB$2-pogoda46[[#This Row],[stan_po_dolaniu]],0)</f>
        <v>0</v>
      </c>
      <c r="K49">
        <f>pogoda46[[#This Row],[stan_po_dolaniu]]+pogoda46[[#This Row],[ile_dolać_do_podlania]]</f>
        <v>18953</v>
      </c>
      <c r="L49">
        <f>pogoda46[[#This Row],[stan_po_dolaniu_do_podlania]]-pogoda46[[#This Row],[ile_podlewamy]]</f>
        <v>18953</v>
      </c>
      <c r="N49" s="5">
        <v>42142</v>
      </c>
      <c r="O49">
        <v>18953</v>
      </c>
    </row>
    <row r="50" spans="1:15" x14ac:dyDescent="0.25">
      <c r="A50" s="2">
        <v>42143</v>
      </c>
      <c r="B50">
        <v>16</v>
      </c>
      <c r="C50">
        <v>2.2000000000000002</v>
      </c>
      <c r="D50">
        <f t="shared" si="0"/>
        <v>18953</v>
      </c>
      <c r="E50">
        <f>IF(C50=0,ROUNDUP($AB$3*POWER(pogoda46[[#This Row],[temperatura_srednia]],1.5)*pogoda46[[#This Row],[stan_przed_dolaniem]],0),0)</f>
        <v>0</v>
      </c>
      <c r="F50">
        <f>pogoda46[[#This Row],[stan_przed_dolaniem]]-pogoda46[[#This Row],[ubytek]]</f>
        <v>18953</v>
      </c>
      <c r="G50">
        <f>IF(pogoda46[[#This Row],[opady]]*$AB$1+D50&gt;$AB$2,$AB$2-pogoda46[[#This Row],[stan_przed_dolaniem]],pogoda46[[#This Row],[opady]]*$AB$1)</f>
        <v>1540.0000000000002</v>
      </c>
      <c r="H50">
        <f>pogoda46[[#This Row],[stan_po_ubytku]]+pogoda46[[#This Row],[ile_pogoda_dolała]]</f>
        <v>20493</v>
      </c>
      <c r="I50" cm="1">
        <f t="array" ref="I50">_xlfn.IFS(OR(pogoda46[[#This Row],[temperatura_srednia]]&lt;=15,pogoda46[[#This Row],[opady]]&gt;0.61),0,pogoda46[[#This Row],[temperatura_srednia]]&gt;30,24000,pogoda46[[#This Row],[temperatura_srednia]]&gt;15,12000)</f>
        <v>0</v>
      </c>
      <c r="J50">
        <f>IF(pogoda46[[#This Row],[stan_po_dolaniu]]&lt;pogoda46[[#This Row],[ile_podlewamy]],$AB$2-pogoda46[[#This Row],[stan_po_dolaniu]],0)</f>
        <v>0</v>
      </c>
      <c r="K50">
        <f>pogoda46[[#This Row],[stan_po_dolaniu]]+pogoda46[[#This Row],[ile_dolać_do_podlania]]</f>
        <v>20493</v>
      </c>
      <c r="L50">
        <f>pogoda46[[#This Row],[stan_po_dolaniu_do_podlania]]-pogoda46[[#This Row],[ile_podlewamy]]</f>
        <v>20493</v>
      </c>
      <c r="N50" s="5">
        <v>42143</v>
      </c>
      <c r="O50">
        <v>20493</v>
      </c>
    </row>
    <row r="51" spans="1:15" x14ac:dyDescent="0.25">
      <c r="A51" s="2">
        <v>42144</v>
      </c>
      <c r="B51">
        <v>13</v>
      </c>
      <c r="C51">
        <v>2.2999999999999998</v>
      </c>
      <c r="D51">
        <f t="shared" si="0"/>
        <v>20493</v>
      </c>
      <c r="E51">
        <f>IF(C51=0,ROUNDUP($AB$3*POWER(pogoda46[[#This Row],[temperatura_srednia]],1.5)*pogoda46[[#This Row],[stan_przed_dolaniem]],0),0)</f>
        <v>0</v>
      </c>
      <c r="F51">
        <f>pogoda46[[#This Row],[stan_przed_dolaniem]]-pogoda46[[#This Row],[ubytek]]</f>
        <v>20493</v>
      </c>
      <c r="G51">
        <f>IF(pogoda46[[#This Row],[opady]]*$AB$1+D51&gt;$AB$2,$AB$2-pogoda46[[#This Row],[stan_przed_dolaniem]],pogoda46[[#This Row],[opady]]*$AB$1)</f>
        <v>1609.9999999999998</v>
      </c>
      <c r="H51">
        <f>pogoda46[[#This Row],[stan_po_ubytku]]+pogoda46[[#This Row],[ile_pogoda_dolała]]</f>
        <v>22103</v>
      </c>
      <c r="I51" cm="1">
        <f t="array" ref="I51">_xlfn.IFS(OR(pogoda46[[#This Row],[temperatura_srednia]]&lt;=15,pogoda46[[#This Row],[opady]]&gt;0.61),0,pogoda46[[#This Row],[temperatura_srednia]]&gt;30,24000,pogoda46[[#This Row],[temperatura_srednia]]&gt;15,12000)</f>
        <v>0</v>
      </c>
      <c r="J51">
        <f>IF(pogoda46[[#This Row],[stan_po_dolaniu]]&lt;pogoda46[[#This Row],[ile_podlewamy]],$AB$2-pogoda46[[#This Row],[stan_po_dolaniu]],0)</f>
        <v>0</v>
      </c>
      <c r="K51">
        <f>pogoda46[[#This Row],[stan_po_dolaniu]]+pogoda46[[#This Row],[ile_dolać_do_podlania]]</f>
        <v>22103</v>
      </c>
      <c r="L51">
        <f>pogoda46[[#This Row],[stan_po_dolaniu_do_podlania]]-pogoda46[[#This Row],[ile_podlewamy]]</f>
        <v>22103</v>
      </c>
      <c r="N51" s="5">
        <v>42144</v>
      </c>
      <c r="O51">
        <v>22103</v>
      </c>
    </row>
    <row r="52" spans="1:15" x14ac:dyDescent="0.25">
      <c r="A52" s="2">
        <v>42145</v>
      </c>
      <c r="B52">
        <v>11</v>
      </c>
      <c r="C52">
        <v>5.4</v>
      </c>
      <c r="D52">
        <f t="shared" si="0"/>
        <v>22103</v>
      </c>
      <c r="E52">
        <f>IF(C52=0,ROUNDUP($AB$3*POWER(pogoda46[[#This Row],[temperatura_srednia]],1.5)*pogoda46[[#This Row],[stan_przed_dolaniem]],0),0)</f>
        <v>0</v>
      </c>
      <c r="F52">
        <f>pogoda46[[#This Row],[stan_przed_dolaniem]]-pogoda46[[#This Row],[ubytek]]</f>
        <v>22103</v>
      </c>
      <c r="G52">
        <f>IF(pogoda46[[#This Row],[opady]]*$AB$1+D52&gt;$AB$2,$AB$2-pogoda46[[#This Row],[stan_przed_dolaniem]],pogoda46[[#This Row],[opady]]*$AB$1)</f>
        <v>2897</v>
      </c>
      <c r="H52">
        <f>pogoda46[[#This Row],[stan_po_ubytku]]+pogoda46[[#This Row],[ile_pogoda_dolała]]</f>
        <v>25000</v>
      </c>
      <c r="I52" cm="1">
        <f t="array" ref="I52">_xlfn.IFS(OR(pogoda46[[#This Row],[temperatura_srednia]]&lt;=15,pogoda46[[#This Row],[opady]]&gt;0.61),0,pogoda46[[#This Row],[temperatura_srednia]]&gt;30,24000,pogoda46[[#This Row],[temperatura_srednia]]&gt;15,12000)</f>
        <v>0</v>
      </c>
      <c r="J52">
        <f>IF(pogoda46[[#This Row],[stan_po_dolaniu]]&lt;pogoda46[[#This Row],[ile_podlewamy]],$AB$2-pogoda46[[#This Row],[stan_po_dolaniu]],0)</f>
        <v>0</v>
      </c>
      <c r="K52">
        <f>pogoda46[[#This Row],[stan_po_dolaniu]]+pogoda46[[#This Row],[ile_dolać_do_podlania]]</f>
        <v>25000</v>
      </c>
      <c r="L52">
        <f>pogoda46[[#This Row],[stan_po_dolaniu_do_podlania]]-pogoda46[[#This Row],[ile_podlewamy]]</f>
        <v>25000</v>
      </c>
      <c r="N52" s="5">
        <v>42145</v>
      </c>
      <c r="O52">
        <v>25000</v>
      </c>
    </row>
    <row r="53" spans="1:15" x14ac:dyDescent="0.25">
      <c r="A53" s="2">
        <v>42146</v>
      </c>
      <c r="B53">
        <v>12</v>
      </c>
      <c r="C53">
        <v>5.5</v>
      </c>
      <c r="D53">
        <f t="shared" si="0"/>
        <v>25000</v>
      </c>
      <c r="E53">
        <f>IF(C53=0,ROUNDUP($AB$3*POWER(pogoda46[[#This Row],[temperatura_srednia]],1.5)*pogoda46[[#This Row],[stan_przed_dolaniem]],0),0)</f>
        <v>0</v>
      </c>
      <c r="F53">
        <f>pogoda46[[#This Row],[stan_przed_dolaniem]]-pogoda46[[#This Row],[ubytek]]</f>
        <v>25000</v>
      </c>
      <c r="G53">
        <f>IF(pogoda46[[#This Row],[opady]]*$AB$1+D53&gt;$AB$2,$AB$2-pogoda46[[#This Row],[stan_przed_dolaniem]],pogoda46[[#This Row],[opady]]*$AB$1)</f>
        <v>0</v>
      </c>
      <c r="H53">
        <f>pogoda46[[#This Row],[stan_po_ubytku]]+pogoda46[[#This Row],[ile_pogoda_dolała]]</f>
        <v>25000</v>
      </c>
      <c r="I53" cm="1">
        <f t="array" ref="I53">_xlfn.IFS(OR(pogoda46[[#This Row],[temperatura_srednia]]&lt;=15,pogoda46[[#This Row],[opady]]&gt;0.61),0,pogoda46[[#This Row],[temperatura_srednia]]&gt;30,24000,pogoda46[[#This Row],[temperatura_srednia]]&gt;15,12000)</f>
        <v>0</v>
      </c>
      <c r="J53">
        <f>IF(pogoda46[[#This Row],[stan_po_dolaniu]]&lt;pogoda46[[#This Row],[ile_podlewamy]],$AB$2-pogoda46[[#This Row],[stan_po_dolaniu]],0)</f>
        <v>0</v>
      </c>
      <c r="K53">
        <f>pogoda46[[#This Row],[stan_po_dolaniu]]+pogoda46[[#This Row],[ile_dolać_do_podlania]]</f>
        <v>25000</v>
      </c>
      <c r="L53">
        <f>pogoda46[[#This Row],[stan_po_dolaniu_do_podlania]]-pogoda46[[#This Row],[ile_podlewamy]]</f>
        <v>25000</v>
      </c>
      <c r="N53" s="5">
        <v>42146</v>
      </c>
      <c r="O53">
        <v>25000</v>
      </c>
    </row>
    <row r="54" spans="1:15" x14ac:dyDescent="0.25">
      <c r="A54" s="2">
        <v>42147</v>
      </c>
      <c r="B54">
        <v>12</v>
      </c>
      <c r="C54">
        <v>5.2</v>
      </c>
      <c r="D54">
        <f t="shared" si="0"/>
        <v>25000</v>
      </c>
      <c r="E54">
        <f>IF(C54=0,ROUNDUP($AB$3*POWER(pogoda46[[#This Row],[temperatura_srednia]],1.5)*pogoda46[[#This Row],[stan_przed_dolaniem]],0),0)</f>
        <v>0</v>
      </c>
      <c r="F54">
        <f>pogoda46[[#This Row],[stan_przed_dolaniem]]-pogoda46[[#This Row],[ubytek]]</f>
        <v>25000</v>
      </c>
      <c r="G54">
        <f>IF(pogoda46[[#This Row],[opady]]*$AB$1+D54&gt;$AB$2,$AB$2-pogoda46[[#This Row],[stan_przed_dolaniem]],pogoda46[[#This Row],[opady]]*$AB$1)</f>
        <v>0</v>
      </c>
      <c r="H54">
        <f>pogoda46[[#This Row],[stan_po_ubytku]]+pogoda46[[#This Row],[ile_pogoda_dolała]]</f>
        <v>25000</v>
      </c>
      <c r="I54" cm="1">
        <f t="array" ref="I54">_xlfn.IFS(OR(pogoda46[[#This Row],[temperatura_srednia]]&lt;=15,pogoda46[[#This Row],[opady]]&gt;0.61),0,pogoda46[[#This Row],[temperatura_srednia]]&gt;30,24000,pogoda46[[#This Row],[temperatura_srednia]]&gt;15,12000)</f>
        <v>0</v>
      </c>
      <c r="J54">
        <f>IF(pogoda46[[#This Row],[stan_po_dolaniu]]&lt;pogoda46[[#This Row],[ile_podlewamy]],$AB$2-pogoda46[[#This Row],[stan_po_dolaniu]],0)</f>
        <v>0</v>
      </c>
      <c r="K54">
        <f>pogoda46[[#This Row],[stan_po_dolaniu]]+pogoda46[[#This Row],[ile_dolać_do_podlania]]</f>
        <v>25000</v>
      </c>
      <c r="L54">
        <f>pogoda46[[#This Row],[stan_po_dolaniu_do_podlania]]-pogoda46[[#This Row],[ile_podlewamy]]</f>
        <v>25000</v>
      </c>
      <c r="N54" s="5">
        <v>42147</v>
      </c>
      <c r="O54">
        <v>25000</v>
      </c>
    </row>
    <row r="55" spans="1:15" x14ac:dyDescent="0.25">
      <c r="A55" s="2">
        <v>42148</v>
      </c>
      <c r="B55">
        <v>14</v>
      </c>
      <c r="C55">
        <v>3</v>
      </c>
      <c r="D55">
        <f t="shared" si="0"/>
        <v>25000</v>
      </c>
      <c r="E55">
        <f>IF(C55=0,ROUNDUP($AB$3*POWER(pogoda46[[#This Row],[temperatura_srednia]],1.5)*pogoda46[[#This Row],[stan_przed_dolaniem]],0),0)</f>
        <v>0</v>
      </c>
      <c r="F55">
        <f>pogoda46[[#This Row],[stan_przed_dolaniem]]-pogoda46[[#This Row],[ubytek]]</f>
        <v>25000</v>
      </c>
      <c r="G55">
        <f>IF(pogoda46[[#This Row],[opady]]*$AB$1+D55&gt;$AB$2,$AB$2-pogoda46[[#This Row],[stan_przed_dolaniem]],pogoda46[[#This Row],[opady]]*$AB$1)</f>
        <v>0</v>
      </c>
      <c r="H55">
        <f>pogoda46[[#This Row],[stan_po_ubytku]]+pogoda46[[#This Row],[ile_pogoda_dolała]]</f>
        <v>25000</v>
      </c>
      <c r="I55" cm="1">
        <f t="array" ref="I55">_xlfn.IFS(OR(pogoda46[[#This Row],[temperatura_srednia]]&lt;=15,pogoda46[[#This Row],[opady]]&gt;0.61),0,pogoda46[[#This Row],[temperatura_srednia]]&gt;30,24000,pogoda46[[#This Row],[temperatura_srednia]]&gt;15,12000)</f>
        <v>0</v>
      </c>
      <c r="J55">
        <f>IF(pogoda46[[#This Row],[stan_po_dolaniu]]&lt;pogoda46[[#This Row],[ile_podlewamy]],$AB$2-pogoda46[[#This Row],[stan_po_dolaniu]],0)</f>
        <v>0</v>
      </c>
      <c r="K55">
        <f>pogoda46[[#This Row],[stan_po_dolaniu]]+pogoda46[[#This Row],[ile_dolać_do_podlania]]</f>
        <v>25000</v>
      </c>
      <c r="L55">
        <f>pogoda46[[#This Row],[stan_po_dolaniu_do_podlania]]-pogoda46[[#This Row],[ile_podlewamy]]</f>
        <v>25000</v>
      </c>
      <c r="N55" s="5">
        <v>42148</v>
      </c>
      <c r="O55">
        <v>25000</v>
      </c>
    </row>
    <row r="56" spans="1:15" x14ac:dyDescent="0.25">
      <c r="A56" s="2">
        <v>42149</v>
      </c>
      <c r="B56">
        <v>15</v>
      </c>
      <c r="C56">
        <v>0</v>
      </c>
      <c r="D56">
        <f t="shared" si="0"/>
        <v>25000</v>
      </c>
      <c r="E56">
        <f>IF(C56=0,ROUNDUP($AB$3*POWER(pogoda46[[#This Row],[temperatura_srednia]],1.5)*pogoda46[[#This Row],[stan_przed_dolaniem]],0),0)</f>
        <v>436</v>
      </c>
      <c r="F56">
        <f>pogoda46[[#This Row],[stan_przed_dolaniem]]-pogoda46[[#This Row],[ubytek]]</f>
        <v>24564</v>
      </c>
      <c r="G56">
        <f>IF(pogoda46[[#This Row],[opady]]*$AB$1+D56&gt;$AB$2,$AB$2-pogoda46[[#This Row],[stan_przed_dolaniem]],pogoda46[[#This Row],[opady]]*$AB$1)</f>
        <v>0</v>
      </c>
      <c r="H56">
        <f>pogoda46[[#This Row],[stan_po_ubytku]]+pogoda46[[#This Row],[ile_pogoda_dolała]]</f>
        <v>24564</v>
      </c>
      <c r="I56" cm="1">
        <f t="array" ref="I56">_xlfn.IFS(OR(pogoda46[[#This Row],[temperatura_srednia]]&lt;=15,pogoda46[[#This Row],[opady]]&gt;0.61),0,pogoda46[[#This Row],[temperatura_srednia]]&gt;30,24000,pogoda46[[#This Row],[temperatura_srednia]]&gt;15,12000)</f>
        <v>0</v>
      </c>
      <c r="J56">
        <f>IF(pogoda46[[#This Row],[stan_po_dolaniu]]&lt;pogoda46[[#This Row],[ile_podlewamy]],$AB$2-pogoda46[[#This Row],[stan_po_dolaniu]],0)</f>
        <v>0</v>
      </c>
      <c r="K56">
        <f>pogoda46[[#This Row],[stan_po_dolaniu]]+pogoda46[[#This Row],[ile_dolać_do_podlania]]</f>
        <v>24564</v>
      </c>
      <c r="L56">
        <f>pogoda46[[#This Row],[stan_po_dolaniu_do_podlania]]-pogoda46[[#This Row],[ile_podlewamy]]</f>
        <v>24564</v>
      </c>
      <c r="N56" s="5">
        <v>42149</v>
      </c>
      <c r="O56">
        <v>24564</v>
      </c>
    </row>
    <row r="57" spans="1:15" x14ac:dyDescent="0.25">
      <c r="A57" s="2">
        <v>42150</v>
      </c>
      <c r="B57">
        <v>14</v>
      </c>
      <c r="C57">
        <v>0</v>
      </c>
      <c r="D57">
        <f t="shared" si="0"/>
        <v>24564</v>
      </c>
      <c r="E57">
        <f>IF(C57=0,ROUNDUP($AB$3*POWER(pogoda46[[#This Row],[temperatura_srednia]],1.5)*pogoda46[[#This Row],[stan_przed_dolaniem]],0),0)</f>
        <v>387</v>
      </c>
      <c r="F57">
        <f>pogoda46[[#This Row],[stan_przed_dolaniem]]-pogoda46[[#This Row],[ubytek]]</f>
        <v>24177</v>
      </c>
      <c r="G57">
        <f>IF(pogoda46[[#This Row],[opady]]*$AB$1+D57&gt;$AB$2,$AB$2-pogoda46[[#This Row],[stan_przed_dolaniem]],pogoda46[[#This Row],[opady]]*$AB$1)</f>
        <v>0</v>
      </c>
      <c r="H57">
        <f>pogoda46[[#This Row],[stan_po_ubytku]]+pogoda46[[#This Row],[ile_pogoda_dolała]]</f>
        <v>24177</v>
      </c>
      <c r="I57" cm="1">
        <f t="array" ref="I57">_xlfn.IFS(OR(pogoda46[[#This Row],[temperatura_srednia]]&lt;=15,pogoda46[[#This Row],[opady]]&gt;0.61),0,pogoda46[[#This Row],[temperatura_srednia]]&gt;30,24000,pogoda46[[#This Row],[temperatura_srednia]]&gt;15,12000)</f>
        <v>0</v>
      </c>
      <c r="J57">
        <f>IF(pogoda46[[#This Row],[stan_po_dolaniu]]&lt;pogoda46[[#This Row],[ile_podlewamy]],$AB$2-pogoda46[[#This Row],[stan_po_dolaniu]],0)</f>
        <v>0</v>
      </c>
      <c r="K57">
        <f>pogoda46[[#This Row],[stan_po_dolaniu]]+pogoda46[[#This Row],[ile_dolać_do_podlania]]</f>
        <v>24177</v>
      </c>
      <c r="L57">
        <f>pogoda46[[#This Row],[stan_po_dolaniu_do_podlania]]-pogoda46[[#This Row],[ile_podlewamy]]</f>
        <v>24177</v>
      </c>
      <c r="N57" s="5">
        <v>42150</v>
      </c>
      <c r="O57">
        <v>24177</v>
      </c>
    </row>
    <row r="58" spans="1:15" x14ac:dyDescent="0.25">
      <c r="A58" s="2">
        <v>42151</v>
      </c>
      <c r="B58">
        <v>10</v>
      </c>
      <c r="C58">
        <v>0</v>
      </c>
      <c r="D58">
        <f t="shared" si="0"/>
        <v>24177</v>
      </c>
      <c r="E58">
        <f>IF(C58=0,ROUNDUP($AB$3*POWER(pogoda46[[#This Row],[temperatura_srednia]],1.5)*pogoda46[[#This Row],[stan_przed_dolaniem]],0),0)</f>
        <v>230</v>
      </c>
      <c r="F58">
        <f>pogoda46[[#This Row],[stan_przed_dolaniem]]-pogoda46[[#This Row],[ubytek]]</f>
        <v>23947</v>
      </c>
      <c r="G58">
        <f>IF(pogoda46[[#This Row],[opady]]*$AB$1+D58&gt;$AB$2,$AB$2-pogoda46[[#This Row],[stan_przed_dolaniem]],pogoda46[[#This Row],[opady]]*$AB$1)</f>
        <v>0</v>
      </c>
      <c r="H58">
        <f>pogoda46[[#This Row],[stan_po_ubytku]]+pogoda46[[#This Row],[ile_pogoda_dolała]]</f>
        <v>23947</v>
      </c>
      <c r="I58" cm="1">
        <f t="array" ref="I58">_xlfn.IFS(OR(pogoda46[[#This Row],[temperatura_srednia]]&lt;=15,pogoda46[[#This Row],[opady]]&gt;0.61),0,pogoda46[[#This Row],[temperatura_srednia]]&gt;30,24000,pogoda46[[#This Row],[temperatura_srednia]]&gt;15,12000)</f>
        <v>0</v>
      </c>
      <c r="J58">
        <f>IF(pogoda46[[#This Row],[stan_po_dolaniu]]&lt;pogoda46[[#This Row],[ile_podlewamy]],$AB$2-pogoda46[[#This Row],[stan_po_dolaniu]],0)</f>
        <v>0</v>
      </c>
      <c r="K58">
        <f>pogoda46[[#This Row],[stan_po_dolaniu]]+pogoda46[[#This Row],[ile_dolać_do_podlania]]</f>
        <v>23947</v>
      </c>
      <c r="L58">
        <f>pogoda46[[#This Row],[stan_po_dolaniu_do_podlania]]-pogoda46[[#This Row],[ile_podlewamy]]</f>
        <v>23947</v>
      </c>
      <c r="N58" s="5">
        <v>42151</v>
      </c>
      <c r="O58">
        <v>23947</v>
      </c>
    </row>
    <row r="59" spans="1:15" x14ac:dyDescent="0.25">
      <c r="A59" s="2">
        <v>42152</v>
      </c>
      <c r="B59">
        <v>12</v>
      </c>
      <c r="C59">
        <v>0.1</v>
      </c>
      <c r="D59">
        <f t="shared" si="0"/>
        <v>23947</v>
      </c>
      <c r="E59">
        <f>IF(C59=0,ROUNDUP($AB$3*POWER(pogoda46[[#This Row],[temperatura_srednia]],1.5)*pogoda46[[#This Row],[stan_przed_dolaniem]],0),0)</f>
        <v>0</v>
      </c>
      <c r="F59">
        <f>pogoda46[[#This Row],[stan_przed_dolaniem]]-pogoda46[[#This Row],[ubytek]]</f>
        <v>23947</v>
      </c>
      <c r="G59">
        <f>IF(pogoda46[[#This Row],[opady]]*$AB$1+D59&gt;$AB$2,$AB$2-pogoda46[[#This Row],[stan_przed_dolaniem]],pogoda46[[#This Row],[opady]]*$AB$1)</f>
        <v>70</v>
      </c>
      <c r="H59">
        <f>pogoda46[[#This Row],[stan_po_ubytku]]+pogoda46[[#This Row],[ile_pogoda_dolała]]</f>
        <v>24017</v>
      </c>
      <c r="I59" cm="1">
        <f t="array" ref="I59">_xlfn.IFS(OR(pogoda46[[#This Row],[temperatura_srednia]]&lt;=15,pogoda46[[#This Row],[opady]]&gt;0.61),0,pogoda46[[#This Row],[temperatura_srednia]]&gt;30,24000,pogoda46[[#This Row],[temperatura_srednia]]&gt;15,12000)</f>
        <v>0</v>
      </c>
      <c r="J59">
        <f>IF(pogoda46[[#This Row],[stan_po_dolaniu]]&lt;pogoda46[[#This Row],[ile_podlewamy]],$AB$2-pogoda46[[#This Row],[stan_po_dolaniu]],0)</f>
        <v>0</v>
      </c>
      <c r="K59">
        <f>pogoda46[[#This Row],[stan_po_dolaniu]]+pogoda46[[#This Row],[ile_dolać_do_podlania]]</f>
        <v>24017</v>
      </c>
      <c r="L59">
        <f>pogoda46[[#This Row],[stan_po_dolaniu_do_podlania]]-pogoda46[[#This Row],[ile_podlewamy]]</f>
        <v>24017</v>
      </c>
      <c r="N59" s="5">
        <v>42152</v>
      </c>
      <c r="O59">
        <v>24017</v>
      </c>
    </row>
    <row r="60" spans="1:15" x14ac:dyDescent="0.25">
      <c r="A60" s="2">
        <v>42153</v>
      </c>
      <c r="B60">
        <v>14</v>
      </c>
      <c r="C60">
        <v>0</v>
      </c>
      <c r="D60">
        <f t="shared" si="0"/>
        <v>24017</v>
      </c>
      <c r="E60">
        <f>IF(C60=0,ROUNDUP($AB$3*POWER(pogoda46[[#This Row],[temperatura_srednia]],1.5)*pogoda46[[#This Row],[stan_przed_dolaniem]],0),0)</f>
        <v>378</v>
      </c>
      <c r="F60">
        <f>pogoda46[[#This Row],[stan_przed_dolaniem]]-pogoda46[[#This Row],[ubytek]]</f>
        <v>23639</v>
      </c>
      <c r="G60">
        <f>IF(pogoda46[[#This Row],[opady]]*$AB$1+D60&gt;$AB$2,$AB$2-pogoda46[[#This Row],[stan_przed_dolaniem]],pogoda46[[#This Row],[opady]]*$AB$1)</f>
        <v>0</v>
      </c>
      <c r="H60">
        <f>pogoda46[[#This Row],[stan_po_ubytku]]+pogoda46[[#This Row],[ile_pogoda_dolała]]</f>
        <v>23639</v>
      </c>
      <c r="I60" cm="1">
        <f t="array" ref="I60">_xlfn.IFS(OR(pogoda46[[#This Row],[temperatura_srednia]]&lt;=15,pogoda46[[#This Row],[opady]]&gt;0.61),0,pogoda46[[#This Row],[temperatura_srednia]]&gt;30,24000,pogoda46[[#This Row],[temperatura_srednia]]&gt;15,12000)</f>
        <v>0</v>
      </c>
      <c r="J60">
        <f>IF(pogoda46[[#This Row],[stan_po_dolaniu]]&lt;pogoda46[[#This Row],[ile_podlewamy]],$AB$2-pogoda46[[#This Row],[stan_po_dolaniu]],0)</f>
        <v>0</v>
      </c>
      <c r="K60">
        <f>pogoda46[[#This Row],[stan_po_dolaniu]]+pogoda46[[#This Row],[ile_dolać_do_podlania]]</f>
        <v>23639</v>
      </c>
      <c r="L60">
        <f>pogoda46[[#This Row],[stan_po_dolaniu_do_podlania]]-pogoda46[[#This Row],[ile_podlewamy]]</f>
        <v>23639</v>
      </c>
      <c r="N60" s="5">
        <v>42153</v>
      </c>
      <c r="O60">
        <v>23639</v>
      </c>
    </row>
    <row r="61" spans="1:15" x14ac:dyDescent="0.25">
      <c r="A61" s="2">
        <v>42154</v>
      </c>
      <c r="B61">
        <v>13</v>
      </c>
      <c r="C61">
        <v>0</v>
      </c>
      <c r="D61">
        <f t="shared" si="0"/>
        <v>23639</v>
      </c>
      <c r="E61">
        <f>IF(C61=0,ROUNDUP($AB$3*POWER(pogoda46[[#This Row],[temperatura_srednia]],1.5)*pogoda46[[#This Row],[stan_przed_dolaniem]],0),0)</f>
        <v>333</v>
      </c>
      <c r="F61">
        <f>pogoda46[[#This Row],[stan_przed_dolaniem]]-pogoda46[[#This Row],[ubytek]]</f>
        <v>23306</v>
      </c>
      <c r="G61">
        <f>IF(pogoda46[[#This Row],[opady]]*$AB$1+D61&gt;$AB$2,$AB$2-pogoda46[[#This Row],[stan_przed_dolaniem]],pogoda46[[#This Row],[opady]]*$AB$1)</f>
        <v>0</v>
      </c>
      <c r="H61">
        <f>pogoda46[[#This Row],[stan_po_ubytku]]+pogoda46[[#This Row],[ile_pogoda_dolała]]</f>
        <v>23306</v>
      </c>
      <c r="I61" cm="1">
        <f t="array" ref="I61">_xlfn.IFS(OR(pogoda46[[#This Row],[temperatura_srednia]]&lt;=15,pogoda46[[#This Row],[opady]]&gt;0.61),0,pogoda46[[#This Row],[temperatura_srednia]]&gt;30,24000,pogoda46[[#This Row],[temperatura_srednia]]&gt;15,12000)</f>
        <v>0</v>
      </c>
      <c r="J61">
        <f>IF(pogoda46[[#This Row],[stan_po_dolaniu]]&lt;pogoda46[[#This Row],[ile_podlewamy]],$AB$2-pogoda46[[#This Row],[stan_po_dolaniu]],0)</f>
        <v>0</v>
      </c>
      <c r="K61">
        <f>pogoda46[[#This Row],[stan_po_dolaniu]]+pogoda46[[#This Row],[ile_dolać_do_podlania]]</f>
        <v>23306</v>
      </c>
      <c r="L61">
        <f>pogoda46[[#This Row],[stan_po_dolaniu_do_podlania]]-pogoda46[[#This Row],[ile_podlewamy]]</f>
        <v>23306</v>
      </c>
      <c r="N61" s="5">
        <v>42154</v>
      </c>
      <c r="O61">
        <v>23306</v>
      </c>
    </row>
    <row r="62" spans="1:15" x14ac:dyDescent="0.25">
      <c r="A62" s="2">
        <v>42155</v>
      </c>
      <c r="B62">
        <v>12</v>
      </c>
      <c r="C62">
        <v>0</v>
      </c>
      <c r="D62">
        <f t="shared" si="0"/>
        <v>23306</v>
      </c>
      <c r="E62">
        <f>IF(C62=0,ROUNDUP($AB$3*POWER(pogoda46[[#This Row],[temperatura_srednia]],1.5)*pogoda46[[#This Row],[stan_przed_dolaniem]],0),0)</f>
        <v>291</v>
      </c>
      <c r="F62">
        <f>pogoda46[[#This Row],[stan_przed_dolaniem]]-pogoda46[[#This Row],[ubytek]]</f>
        <v>23015</v>
      </c>
      <c r="G62">
        <f>IF(pogoda46[[#This Row],[opady]]*$AB$1+D62&gt;$AB$2,$AB$2-pogoda46[[#This Row],[stan_przed_dolaniem]],pogoda46[[#This Row],[opady]]*$AB$1)</f>
        <v>0</v>
      </c>
      <c r="H62">
        <f>pogoda46[[#This Row],[stan_po_ubytku]]+pogoda46[[#This Row],[ile_pogoda_dolała]]</f>
        <v>23015</v>
      </c>
      <c r="I62" cm="1">
        <f t="array" ref="I62">_xlfn.IFS(OR(pogoda46[[#This Row],[temperatura_srednia]]&lt;=15,pogoda46[[#This Row],[opady]]&gt;0.61),0,pogoda46[[#This Row],[temperatura_srednia]]&gt;30,24000,pogoda46[[#This Row],[temperatura_srednia]]&gt;15,12000)</f>
        <v>0</v>
      </c>
      <c r="J62">
        <f>IF(pogoda46[[#This Row],[stan_po_dolaniu]]&lt;pogoda46[[#This Row],[ile_podlewamy]],$AB$2-pogoda46[[#This Row],[stan_po_dolaniu]],0)</f>
        <v>0</v>
      </c>
      <c r="K62">
        <f>pogoda46[[#This Row],[stan_po_dolaniu]]+pogoda46[[#This Row],[ile_dolać_do_podlania]]</f>
        <v>23015</v>
      </c>
      <c r="L62">
        <f>pogoda46[[#This Row],[stan_po_dolaniu_do_podlania]]-pogoda46[[#This Row],[ile_podlewamy]]</f>
        <v>23015</v>
      </c>
      <c r="N62" s="5">
        <v>42155</v>
      </c>
      <c r="O62">
        <v>23015</v>
      </c>
    </row>
    <row r="63" spans="1:15" x14ac:dyDescent="0.25">
      <c r="A63" s="2">
        <v>42156</v>
      </c>
      <c r="B63">
        <v>18</v>
      </c>
      <c r="C63">
        <v>4</v>
      </c>
      <c r="D63">
        <f t="shared" si="0"/>
        <v>23015</v>
      </c>
      <c r="E63">
        <f>IF(C63=0,ROUNDUP($AB$3*POWER(pogoda46[[#This Row],[temperatura_srednia]],1.5)*pogoda46[[#This Row],[stan_przed_dolaniem]],0),0)</f>
        <v>0</v>
      </c>
      <c r="F63">
        <f>pogoda46[[#This Row],[stan_przed_dolaniem]]-pogoda46[[#This Row],[ubytek]]</f>
        <v>23015</v>
      </c>
      <c r="G63">
        <f>IF(pogoda46[[#This Row],[opady]]*$AB$1+D63&gt;$AB$2,$AB$2-pogoda46[[#This Row],[stan_przed_dolaniem]],pogoda46[[#This Row],[opady]]*$AB$1)</f>
        <v>1985</v>
      </c>
      <c r="H63">
        <f>pogoda46[[#This Row],[stan_po_ubytku]]+pogoda46[[#This Row],[ile_pogoda_dolała]]</f>
        <v>25000</v>
      </c>
      <c r="I63" cm="1">
        <f t="array" ref="I63">_xlfn.IFS(OR(pogoda46[[#This Row],[temperatura_srednia]]&lt;=15,pogoda46[[#This Row],[opady]]&gt;0.61),0,pogoda46[[#This Row],[temperatura_srednia]]&gt;30,24000,pogoda46[[#This Row],[temperatura_srednia]]&gt;15,12000)</f>
        <v>0</v>
      </c>
      <c r="J63">
        <f>IF(pogoda46[[#This Row],[stan_po_dolaniu]]&lt;pogoda46[[#This Row],[ile_podlewamy]],$AB$2-pogoda46[[#This Row],[stan_po_dolaniu]],0)</f>
        <v>0</v>
      </c>
      <c r="K63">
        <f>pogoda46[[#This Row],[stan_po_dolaniu]]+pogoda46[[#This Row],[ile_dolać_do_podlania]]</f>
        <v>25000</v>
      </c>
      <c r="L63">
        <f>pogoda46[[#This Row],[stan_po_dolaniu_do_podlania]]-pogoda46[[#This Row],[ile_podlewamy]]</f>
        <v>25000</v>
      </c>
      <c r="N63" s="5">
        <v>42156</v>
      </c>
      <c r="O63">
        <v>25000</v>
      </c>
    </row>
    <row r="64" spans="1:15" x14ac:dyDescent="0.25">
      <c r="A64" s="2">
        <v>42157</v>
      </c>
      <c r="B64">
        <v>18</v>
      </c>
      <c r="C64">
        <v>3</v>
      </c>
      <c r="D64">
        <f t="shared" si="0"/>
        <v>25000</v>
      </c>
      <c r="E64">
        <f>IF(C64=0,ROUNDUP($AB$3*POWER(pogoda46[[#This Row],[temperatura_srednia]],1.5)*pogoda46[[#This Row],[stan_przed_dolaniem]],0),0)</f>
        <v>0</v>
      </c>
      <c r="F64">
        <f>pogoda46[[#This Row],[stan_przed_dolaniem]]-pogoda46[[#This Row],[ubytek]]</f>
        <v>25000</v>
      </c>
      <c r="G64">
        <f>IF(pogoda46[[#This Row],[opady]]*$AB$1+D64&gt;$AB$2,$AB$2-pogoda46[[#This Row],[stan_przed_dolaniem]],pogoda46[[#This Row],[opady]]*$AB$1)</f>
        <v>0</v>
      </c>
      <c r="H64">
        <f>pogoda46[[#This Row],[stan_po_ubytku]]+pogoda46[[#This Row],[ile_pogoda_dolała]]</f>
        <v>25000</v>
      </c>
      <c r="I64" cm="1">
        <f t="array" ref="I64">_xlfn.IFS(OR(pogoda46[[#This Row],[temperatura_srednia]]&lt;=15,pogoda46[[#This Row],[opady]]&gt;0.61),0,pogoda46[[#This Row],[temperatura_srednia]]&gt;30,24000,pogoda46[[#This Row],[temperatura_srednia]]&gt;15,12000)</f>
        <v>0</v>
      </c>
      <c r="J64">
        <f>IF(pogoda46[[#This Row],[stan_po_dolaniu]]&lt;pogoda46[[#This Row],[ile_podlewamy]],$AB$2-pogoda46[[#This Row],[stan_po_dolaniu]],0)</f>
        <v>0</v>
      </c>
      <c r="K64">
        <f>pogoda46[[#This Row],[stan_po_dolaniu]]+pogoda46[[#This Row],[ile_dolać_do_podlania]]</f>
        <v>25000</v>
      </c>
      <c r="L64">
        <f>pogoda46[[#This Row],[stan_po_dolaniu_do_podlania]]-pogoda46[[#This Row],[ile_podlewamy]]</f>
        <v>25000</v>
      </c>
      <c r="N64" s="5">
        <v>42157</v>
      </c>
      <c r="O64">
        <v>25000</v>
      </c>
    </row>
    <row r="65" spans="1:15" x14ac:dyDescent="0.25">
      <c r="A65" s="2">
        <v>42158</v>
      </c>
      <c r="B65">
        <v>22</v>
      </c>
      <c r="C65">
        <v>0</v>
      </c>
      <c r="D65">
        <f t="shared" si="0"/>
        <v>25000</v>
      </c>
      <c r="E65">
        <f>IF(C65=0,ROUNDUP($AB$3*POWER(pogoda46[[#This Row],[temperatura_srednia]],1.5)*pogoda46[[#This Row],[stan_przed_dolaniem]],0),0)</f>
        <v>774</v>
      </c>
      <c r="F65">
        <f>pogoda46[[#This Row],[stan_przed_dolaniem]]-pogoda46[[#This Row],[ubytek]]</f>
        <v>24226</v>
      </c>
      <c r="G65">
        <f>IF(pogoda46[[#This Row],[opady]]*$AB$1+D65&gt;$AB$2,$AB$2-pogoda46[[#This Row],[stan_przed_dolaniem]],pogoda46[[#This Row],[opady]]*$AB$1)</f>
        <v>0</v>
      </c>
      <c r="H65">
        <f>pogoda46[[#This Row],[stan_po_ubytku]]+pogoda46[[#This Row],[ile_pogoda_dolała]]</f>
        <v>24226</v>
      </c>
      <c r="I65" cm="1">
        <f t="array" ref="I65">_xlfn.IFS(OR(pogoda46[[#This Row],[temperatura_srednia]]&lt;=15,pogoda46[[#This Row],[opady]]&gt;0.61),0,pogoda46[[#This Row],[temperatura_srednia]]&gt;30,24000,pogoda46[[#This Row],[temperatura_srednia]]&gt;15,12000)</f>
        <v>12000</v>
      </c>
      <c r="J65">
        <f>IF(pogoda46[[#This Row],[stan_po_dolaniu]]&lt;pogoda46[[#This Row],[ile_podlewamy]],$AB$2-pogoda46[[#This Row],[stan_po_dolaniu]],0)</f>
        <v>0</v>
      </c>
      <c r="K65">
        <f>pogoda46[[#This Row],[stan_po_dolaniu]]+pogoda46[[#This Row],[ile_dolać_do_podlania]]</f>
        <v>24226</v>
      </c>
      <c r="L65">
        <f>pogoda46[[#This Row],[stan_po_dolaniu_do_podlania]]-pogoda46[[#This Row],[ile_podlewamy]]</f>
        <v>12226</v>
      </c>
      <c r="N65" s="5">
        <v>42158</v>
      </c>
      <c r="O65">
        <v>12226</v>
      </c>
    </row>
    <row r="66" spans="1:15" x14ac:dyDescent="0.25">
      <c r="A66" s="2">
        <v>42159</v>
      </c>
      <c r="B66">
        <v>15</v>
      </c>
      <c r="C66">
        <v>0</v>
      </c>
      <c r="D66">
        <f t="shared" si="0"/>
        <v>12226</v>
      </c>
      <c r="E66">
        <f>IF(C66=0,ROUNDUP($AB$3*POWER(pogoda46[[#This Row],[temperatura_srednia]],1.5)*pogoda46[[#This Row],[stan_przed_dolaniem]],0),0)</f>
        <v>214</v>
      </c>
      <c r="F66">
        <f>pogoda46[[#This Row],[stan_przed_dolaniem]]-pogoda46[[#This Row],[ubytek]]</f>
        <v>12012</v>
      </c>
      <c r="G66">
        <f>IF(pogoda46[[#This Row],[opady]]*$AB$1+D66&gt;$AB$2,$AB$2-pogoda46[[#This Row],[stan_przed_dolaniem]],pogoda46[[#This Row],[opady]]*$AB$1)</f>
        <v>0</v>
      </c>
      <c r="H66">
        <f>pogoda46[[#This Row],[stan_po_ubytku]]+pogoda46[[#This Row],[ile_pogoda_dolała]]</f>
        <v>12012</v>
      </c>
      <c r="I66" cm="1">
        <f t="array" ref="I66">_xlfn.IFS(OR(pogoda46[[#This Row],[temperatura_srednia]]&lt;=15,pogoda46[[#This Row],[opady]]&gt;0.61),0,pogoda46[[#This Row],[temperatura_srednia]]&gt;30,24000,pogoda46[[#This Row],[temperatura_srednia]]&gt;15,12000)</f>
        <v>0</v>
      </c>
      <c r="J66">
        <f>IF(pogoda46[[#This Row],[stan_po_dolaniu]]&lt;pogoda46[[#This Row],[ile_podlewamy]],$AB$2-pogoda46[[#This Row],[stan_po_dolaniu]],0)</f>
        <v>0</v>
      </c>
      <c r="K66">
        <f>pogoda46[[#This Row],[stan_po_dolaniu]]+pogoda46[[#This Row],[ile_dolać_do_podlania]]</f>
        <v>12012</v>
      </c>
      <c r="L66">
        <f>pogoda46[[#This Row],[stan_po_dolaniu_do_podlania]]-pogoda46[[#This Row],[ile_podlewamy]]</f>
        <v>12012</v>
      </c>
      <c r="N66" s="5">
        <v>42159</v>
      </c>
      <c r="O66">
        <v>12012</v>
      </c>
    </row>
    <row r="67" spans="1:15" x14ac:dyDescent="0.25">
      <c r="A67" s="2">
        <v>42160</v>
      </c>
      <c r="B67">
        <v>18</v>
      </c>
      <c r="C67">
        <v>0</v>
      </c>
      <c r="D67">
        <f t="shared" si="0"/>
        <v>12012</v>
      </c>
      <c r="E67">
        <f>IF(C67=0,ROUNDUP($AB$3*POWER(pogoda46[[#This Row],[temperatura_srednia]],1.5)*pogoda46[[#This Row],[stan_przed_dolaniem]],0),0)</f>
        <v>276</v>
      </c>
      <c r="F67">
        <f>pogoda46[[#This Row],[stan_przed_dolaniem]]-pogoda46[[#This Row],[ubytek]]</f>
        <v>11736</v>
      </c>
      <c r="G67">
        <f>IF(pogoda46[[#This Row],[opady]]*$AB$1+D67&gt;$AB$2,$AB$2-pogoda46[[#This Row],[stan_przed_dolaniem]],pogoda46[[#This Row],[opady]]*$AB$1)</f>
        <v>0</v>
      </c>
      <c r="H67">
        <f>pogoda46[[#This Row],[stan_po_ubytku]]+pogoda46[[#This Row],[ile_pogoda_dolała]]</f>
        <v>11736</v>
      </c>
      <c r="I67" cm="1">
        <f t="array" ref="I67">_xlfn.IFS(OR(pogoda46[[#This Row],[temperatura_srednia]]&lt;=15,pogoda46[[#This Row],[opady]]&gt;0.61),0,pogoda46[[#This Row],[temperatura_srednia]]&gt;30,24000,pogoda46[[#This Row],[temperatura_srednia]]&gt;15,12000)</f>
        <v>12000</v>
      </c>
      <c r="J67">
        <f>IF(pogoda46[[#This Row],[stan_po_dolaniu]]&lt;pogoda46[[#This Row],[ile_podlewamy]],$AB$2-pogoda46[[#This Row],[stan_po_dolaniu]],0)</f>
        <v>13264</v>
      </c>
      <c r="K67">
        <f>pogoda46[[#This Row],[stan_po_dolaniu]]+pogoda46[[#This Row],[ile_dolać_do_podlania]]</f>
        <v>25000</v>
      </c>
      <c r="L67">
        <f>pogoda46[[#This Row],[stan_po_dolaniu_do_podlania]]-pogoda46[[#This Row],[ile_podlewamy]]</f>
        <v>13000</v>
      </c>
      <c r="N67" s="5">
        <v>42160</v>
      </c>
      <c r="O67">
        <v>13000</v>
      </c>
    </row>
    <row r="68" spans="1:15" x14ac:dyDescent="0.25">
      <c r="A68" s="2">
        <v>42161</v>
      </c>
      <c r="B68">
        <v>22</v>
      </c>
      <c r="C68">
        <v>0</v>
      </c>
      <c r="D68">
        <f t="shared" ref="D68:D131" si="1">L67</f>
        <v>13000</v>
      </c>
      <c r="E68">
        <f>IF(C68=0,ROUNDUP($AB$3*POWER(pogoda46[[#This Row],[temperatura_srednia]],1.5)*pogoda46[[#This Row],[stan_przed_dolaniem]],0),0)</f>
        <v>403</v>
      </c>
      <c r="F68">
        <f>pogoda46[[#This Row],[stan_przed_dolaniem]]-pogoda46[[#This Row],[ubytek]]</f>
        <v>12597</v>
      </c>
      <c r="G68">
        <f>IF(pogoda46[[#This Row],[opady]]*$AB$1+D68&gt;$AB$2,$AB$2-pogoda46[[#This Row],[stan_przed_dolaniem]],pogoda46[[#This Row],[opady]]*$AB$1)</f>
        <v>0</v>
      </c>
      <c r="H68">
        <f>pogoda46[[#This Row],[stan_po_ubytku]]+pogoda46[[#This Row],[ile_pogoda_dolała]]</f>
        <v>12597</v>
      </c>
      <c r="I68" cm="1">
        <f t="array" ref="I68">_xlfn.IFS(OR(pogoda46[[#This Row],[temperatura_srednia]]&lt;=15,pogoda46[[#This Row],[opady]]&gt;0.61),0,pogoda46[[#This Row],[temperatura_srednia]]&gt;30,24000,pogoda46[[#This Row],[temperatura_srednia]]&gt;15,12000)</f>
        <v>12000</v>
      </c>
      <c r="J68">
        <f>IF(pogoda46[[#This Row],[stan_po_dolaniu]]&lt;pogoda46[[#This Row],[ile_podlewamy]],$AB$2-pogoda46[[#This Row],[stan_po_dolaniu]],0)</f>
        <v>0</v>
      </c>
      <c r="K68">
        <f>pogoda46[[#This Row],[stan_po_dolaniu]]+pogoda46[[#This Row],[ile_dolać_do_podlania]]</f>
        <v>12597</v>
      </c>
      <c r="L68">
        <f>pogoda46[[#This Row],[stan_po_dolaniu_do_podlania]]-pogoda46[[#This Row],[ile_podlewamy]]</f>
        <v>597</v>
      </c>
      <c r="N68" s="5">
        <v>42161</v>
      </c>
      <c r="O68">
        <v>597</v>
      </c>
    </row>
    <row r="69" spans="1:15" x14ac:dyDescent="0.25">
      <c r="A69" s="2">
        <v>42162</v>
      </c>
      <c r="B69">
        <v>14</v>
      </c>
      <c r="C69">
        <v>8</v>
      </c>
      <c r="D69">
        <f t="shared" si="1"/>
        <v>597</v>
      </c>
      <c r="E69">
        <f>IF(C69=0,ROUNDUP($AB$3*POWER(pogoda46[[#This Row],[temperatura_srednia]],1.5)*pogoda46[[#This Row],[stan_przed_dolaniem]],0),0)</f>
        <v>0</v>
      </c>
      <c r="F69">
        <f>pogoda46[[#This Row],[stan_przed_dolaniem]]-pogoda46[[#This Row],[ubytek]]</f>
        <v>597</v>
      </c>
      <c r="G69">
        <f>IF(pogoda46[[#This Row],[opady]]*$AB$1+D69&gt;$AB$2,$AB$2-pogoda46[[#This Row],[stan_przed_dolaniem]],pogoda46[[#This Row],[opady]]*$AB$1)</f>
        <v>5600</v>
      </c>
      <c r="H69">
        <f>pogoda46[[#This Row],[stan_po_ubytku]]+pogoda46[[#This Row],[ile_pogoda_dolała]]</f>
        <v>6197</v>
      </c>
      <c r="I69" cm="1">
        <f t="array" ref="I69">_xlfn.IFS(OR(pogoda46[[#This Row],[temperatura_srednia]]&lt;=15,pogoda46[[#This Row],[opady]]&gt;0.61),0,pogoda46[[#This Row],[temperatura_srednia]]&gt;30,24000,pogoda46[[#This Row],[temperatura_srednia]]&gt;15,12000)</f>
        <v>0</v>
      </c>
      <c r="J69">
        <f>IF(pogoda46[[#This Row],[stan_po_dolaniu]]&lt;pogoda46[[#This Row],[ile_podlewamy]],$AB$2-pogoda46[[#This Row],[stan_po_dolaniu]],0)</f>
        <v>0</v>
      </c>
      <c r="K69">
        <f>pogoda46[[#This Row],[stan_po_dolaniu]]+pogoda46[[#This Row],[ile_dolać_do_podlania]]</f>
        <v>6197</v>
      </c>
      <c r="L69">
        <f>pogoda46[[#This Row],[stan_po_dolaniu_do_podlania]]-pogoda46[[#This Row],[ile_podlewamy]]</f>
        <v>6197</v>
      </c>
      <c r="N69" s="5">
        <v>42162</v>
      </c>
      <c r="O69">
        <v>6197</v>
      </c>
    </row>
    <row r="70" spans="1:15" x14ac:dyDescent="0.25">
      <c r="A70" s="2">
        <v>42163</v>
      </c>
      <c r="B70">
        <v>14</v>
      </c>
      <c r="C70">
        <v>5.9</v>
      </c>
      <c r="D70">
        <f t="shared" si="1"/>
        <v>6197</v>
      </c>
      <c r="E70">
        <f>IF(C70=0,ROUNDUP($AB$3*POWER(pogoda46[[#This Row],[temperatura_srednia]],1.5)*pogoda46[[#This Row],[stan_przed_dolaniem]],0),0)</f>
        <v>0</v>
      </c>
      <c r="F70">
        <f>pogoda46[[#This Row],[stan_przed_dolaniem]]-pogoda46[[#This Row],[ubytek]]</f>
        <v>6197</v>
      </c>
      <c r="G70">
        <f>IF(pogoda46[[#This Row],[opady]]*$AB$1+D70&gt;$AB$2,$AB$2-pogoda46[[#This Row],[stan_przed_dolaniem]],pogoda46[[#This Row],[opady]]*$AB$1)</f>
        <v>4130</v>
      </c>
      <c r="H70">
        <f>pogoda46[[#This Row],[stan_po_ubytku]]+pogoda46[[#This Row],[ile_pogoda_dolała]]</f>
        <v>10327</v>
      </c>
      <c r="I70" cm="1">
        <f t="array" ref="I70">_xlfn.IFS(OR(pogoda46[[#This Row],[temperatura_srednia]]&lt;=15,pogoda46[[#This Row],[opady]]&gt;0.61),0,pogoda46[[#This Row],[temperatura_srednia]]&gt;30,24000,pogoda46[[#This Row],[temperatura_srednia]]&gt;15,12000)</f>
        <v>0</v>
      </c>
      <c r="J70">
        <f>IF(pogoda46[[#This Row],[stan_po_dolaniu]]&lt;pogoda46[[#This Row],[ile_podlewamy]],$AB$2-pogoda46[[#This Row],[stan_po_dolaniu]],0)</f>
        <v>0</v>
      </c>
      <c r="K70">
        <f>pogoda46[[#This Row],[stan_po_dolaniu]]+pogoda46[[#This Row],[ile_dolać_do_podlania]]</f>
        <v>10327</v>
      </c>
      <c r="L70">
        <f>pogoda46[[#This Row],[stan_po_dolaniu_do_podlania]]-pogoda46[[#This Row],[ile_podlewamy]]</f>
        <v>10327</v>
      </c>
      <c r="N70" s="5">
        <v>42163</v>
      </c>
      <c r="O70">
        <v>10327</v>
      </c>
    </row>
    <row r="71" spans="1:15" x14ac:dyDescent="0.25">
      <c r="A71" s="2">
        <v>42164</v>
      </c>
      <c r="B71">
        <v>12</v>
      </c>
      <c r="C71">
        <v>5</v>
      </c>
      <c r="D71">
        <f t="shared" si="1"/>
        <v>10327</v>
      </c>
      <c r="E71">
        <f>IF(C71=0,ROUNDUP($AB$3*POWER(pogoda46[[#This Row],[temperatura_srednia]],1.5)*pogoda46[[#This Row],[stan_przed_dolaniem]],0),0)</f>
        <v>0</v>
      </c>
      <c r="F71">
        <f>pogoda46[[#This Row],[stan_przed_dolaniem]]-pogoda46[[#This Row],[ubytek]]</f>
        <v>10327</v>
      </c>
      <c r="G71">
        <f>IF(pogoda46[[#This Row],[opady]]*$AB$1+D71&gt;$AB$2,$AB$2-pogoda46[[#This Row],[stan_przed_dolaniem]],pogoda46[[#This Row],[opady]]*$AB$1)</f>
        <v>3500</v>
      </c>
      <c r="H71">
        <f>pogoda46[[#This Row],[stan_po_ubytku]]+pogoda46[[#This Row],[ile_pogoda_dolała]]</f>
        <v>13827</v>
      </c>
      <c r="I71" cm="1">
        <f t="array" ref="I71">_xlfn.IFS(OR(pogoda46[[#This Row],[temperatura_srednia]]&lt;=15,pogoda46[[#This Row],[opady]]&gt;0.61),0,pogoda46[[#This Row],[temperatura_srednia]]&gt;30,24000,pogoda46[[#This Row],[temperatura_srednia]]&gt;15,12000)</f>
        <v>0</v>
      </c>
      <c r="J71">
        <f>IF(pogoda46[[#This Row],[stan_po_dolaniu]]&lt;pogoda46[[#This Row],[ile_podlewamy]],$AB$2-pogoda46[[#This Row],[stan_po_dolaniu]],0)</f>
        <v>0</v>
      </c>
      <c r="K71">
        <f>pogoda46[[#This Row],[stan_po_dolaniu]]+pogoda46[[#This Row],[ile_dolać_do_podlania]]</f>
        <v>13827</v>
      </c>
      <c r="L71">
        <f>pogoda46[[#This Row],[stan_po_dolaniu_do_podlania]]-pogoda46[[#This Row],[ile_podlewamy]]</f>
        <v>13827</v>
      </c>
      <c r="N71" s="5">
        <v>42164</v>
      </c>
      <c r="O71">
        <v>13827</v>
      </c>
    </row>
    <row r="72" spans="1:15" x14ac:dyDescent="0.25">
      <c r="A72" s="2">
        <v>42165</v>
      </c>
      <c r="B72">
        <v>16</v>
      </c>
      <c r="C72">
        <v>0</v>
      </c>
      <c r="D72">
        <f t="shared" si="1"/>
        <v>13827</v>
      </c>
      <c r="E72">
        <f>IF(C72=0,ROUNDUP($AB$3*POWER(pogoda46[[#This Row],[temperatura_srednia]],1.5)*pogoda46[[#This Row],[stan_przed_dolaniem]],0),0)</f>
        <v>266</v>
      </c>
      <c r="F72">
        <f>pogoda46[[#This Row],[stan_przed_dolaniem]]-pogoda46[[#This Row],[ubytek]]</f>
        <v>13561</v>
      </c>
      <c r="G72">
        <f>IF(pogoda46[[#This Row],[opady]]*$AB$1+D72&gt;$AB$2,$AB$2-pogoda46[[#This Row],[stan_przed_dolaniem]],pogoda46[[#This Row],[opady]]*$AB$1)</f>
        <v>0</v>
      </c>
      <c r="H72">
        <f>pogoda46[[#This Row],[stan_po_ubytku]]+pogoda46[[#This Row],[ile_pogoda_dolała]]</f>
        <v>13561</v>
      </c>
      <c r="I72" cm="1">
        <f t="array" ref="I72">_xlfn.IFS(OR(pogoda46[[#This Row],[temperatura_srednia]]&lt;=15,pogoda46[[#This Row],[opady]]&gt;0.61),0,pogoda46[[#This Row],[temperatura_srednia]]&gt;30,24000,pogoda46[[#This Row],[temperatura_srednia]]&gt;15,12000)</f>
        <v>12000</v>
      </c>
      <c r="J72">
        <f>IF(pogoda46[[#This Row],[stan_po_dolaniu]]&lt;pogoda46[[#This Row],[ile_podlewamy]],$AB$2-pogoda46[[#This Row],[stan_po_dolaniu]],0)</f>
        <v>0</v>
      </c>
      <c r="K72">
        <f>pogoda46[[#This Row],[stan_po_dolaniu]]+pogoda46[[#This Row],[ile_dolać_do_podlania]]</f>
        <v>13561</v>
      </c>
      <c r="L72">
        <f>pogoda46[[#This Row],[stan_po_dolaniu_do_podlania]]-pogoda46[[#This Row],[ile_podlewamy]]</f>
        <v>1561</v>
      </c>
      <c r="N72" s="5">
        <v>42165</v>
      </c>
      <c r="O72">
        <v>1561</v>
      </c>
    </row>
    <row r="73" spans="1:15" x14ac:dyDescent="0.25">
      <c r="A73" s="2">
        <v>42166</v>
      </c>
      <c r="B73">
        <v>16</v>
      </c>
      <c r="C73">
        <v>0</v>
      </c>
      <c r="D73">
        <f t="shared" si="1"/>
        <v>1561</v>
      </c>
      <c r="E73">
        <f>IF(C73=0,ROUNDUP($AB$3*POWER(pogoda46[[#This Row],[temperatura_srednia]],1.5)*pogoda46[[#This Row],[stan_przed_dolaniem]],0),0)</f>
        <v>30</v>
      </c>
      <c r="F73">
        <f>pogoda46[[#This Row],[stan_przed_dolaniem]]-pogoda46[[#This Row],[ubytek]]</f>
        <v>1531</v>
      </c>
      <c r="G73">
        <f>IF(pogoda46[[#This Row],[opady]]*$AB$1+D73&gt;$AB$2,$AB$2-pogoda46[[#This Row],[stan_przed_dolaniem]],pogoda46[[#This Row],[opady]]*$AB$1)</f>
        <v>0</v>
      </c>
      <c r="H73">
        <f>pogoda46[[#This Row],[stan_po_ubytku]]+pogoda46[[#This Row],[ile_pogoda_dolała]]</f>
        <v>1531</v>
      </c>
      <c r="I73" cm="1">
        <f t="array" ref="I73">_xlfn.IFS(OR(pogoda46[[#This Row],[temperatura_srednia]]&lt;=15,pogoda46[[#This Row],[opady]]&gt;0.61),0,pogoda46[[#This Row],[temperatura_srednia]]&gt;30,24000,pogoda46[[#This Row],[temperatura_srednia]]&gt;15,12000)</f>
        <v>12000</v>
      </c>
      <c r="J73">
        <f>IF(pogoda46[[#This Row],[stan_po_dolaniu]]&lt;pogoda46[[#This Row],[ile_podlewamy]],$AB$2-pogoda46[[#This Row],[stan_po_dolaniu]],0)</f>
        <v>23469</v>
      </c>
      <c r="K73">
        <f>pogoda46[[#This Row],[stan_po_dolaniu]]+pogoda46[[#This Row],[ile_dolać_do_podlania]]</f>
        <v>25000</v>
      </c>
      <c r="L73">
        <f>pogoda46[[#This Row],[stan_po_dolaniu_do_podlania]]-pogoda46[[#This Row],[ile_podlewamy]]</f>
        <v>13000</v>
      </c>
      <c r="N73" s="5">
        <v>42166</v>
      </c>
      <c r="O73">
        <v>13000</v>
      </c>
    </row>
    <row r="74" spans="1:15" x14ac:dyDescent="0.25">
      <c r="A74" s="2">
        <v>42167</v>
      </c>
      <c r="B74">
        <v>18</v>
      </c>
      <c r="C74">
        <v>5</v>
      </c>
      <c r="D74">
        <f t="shared" si="1"/>
        <v>13000</v>
      </c>
      <c r="E74">
        <f>IF(C74=0,ROUNDUP($AB$3*POWER(pogoda46[[#This Row],[temperatura_srednia]],1.5)*pogoda46[[#This Row],[stan_przed_dolaniem]],0),0)</f>
        <v>0</v>
      </c>
      <c r="F74">
        <f>pogoda46[[#This Row],[stan_przed_dolaniem]]-pogoda46[[#This Row],[ubytek]]</f>
        <v>13000</v>
      </c>
      <c r="G74">
        <f>IF(pogoda46[[#This Row],[opady]]*$AB$1+D74&gt;$AB$2,$AB$2-pogoda46[[#This Row],[stan_przed_dolaniem]],pogoda46[[#This Row],[opady]]*$AB$1)</f>
        <v>3500</v>
      </c>
      <c r="H74">
        <f>pogoda46[[#This Row],[stan_po_ubytku]]+pogoda46[[#This Row],[ile_pogoda_dolała]]</f>
        <v>16500</v>
      </c>
      <c r="I74" cm="1">
        <f t="array" ref="I74">_xlfn.IFS(OR(pogoda46[[#This Row],[temperatura_srednia]]&lt;=15,pogoda46[[#This Row],[opady]]&gt;0.61),0,pogoda46[[#This Row],[temperatura_srednia]]&gt;30,24000,pogoda46[[#This Row],[temperatura_srednia]]&gt;15,12000)</f>
        <v>0</v>
      </c>
      <c r="J74">
        <f>IF(pogoda46[[#This Row],[stan_po_dolaniu]]&lt;pogoda46[[#This Row],[ile_podlewamy]],$AB$2-pogoda46[[#This Row],[stan_po_dolaniu]],0)</f>
        <v>0</v>
      </c>
      <c r="K74">
        <f>pogoda46[[#This Row],[stan_po_dolaniu]]+pogoda46[[#This Row],[ile_dolać_do_podlania]]</f>
        <v>16500</v>
      </c>
      <c r="L74">
        <f>pogoda46[[#This Row],[stan_po_dolaniu_do_podlania]]-pogoda46[[#This Row],[ile_podlewamy]]</f>
        <v>16500</v>
      </c>
      <c r="N74" s="5">
        <v>42167</v>
      </c>
      <c r="O74">
        <v>16500</v>
      </c>
    </row>
    <row r="75" spans="1:15" x14ac:dyDescent="0.25">
      <c r="A75" s="2">
        <v>42168</v>
      </c>
      <c r="B75">
        <v>19</v>
      </c>
      <c r="C75">
        <v>1</v>
      </c>
      <c r="D75">
        <f t="shared" si="1"/>
        <v>16500</v>
      </c>
      <c r="E75">
        <f>IF(C75=0,ROUNDUP($AB$3*POWER(pogoda46[[#This Row],[temperatura_srednia]],1.5)*pogoda46[[#This Row],[stan_przed_dolaniem]],0),0)</f>
        <v>0</v>
      </c>
      <c r="F75">
        <f>pogoda46[[#This Row],[stan_przed_dolaniem]]-pogoda46[[#This Row],[ubytek]]</f>
        <v>16500</v>
      </c>
      <c r="G75">
        <f>IF(pogoda46[[#This Row],[opady]]*$AB$1+D75&gt;$AB$2,$AB$2-pogoda46[[#This Row],[stan_przed_dolaniem]],pogoda46[[#This Row],[opady]]*$AB$1)</f>
        <v>700</v>
      </c>
      <c r="H75">
        <f>pogoda46[[#This Row],[stan_po_ubytku]]+pogoda46[[#This Row],[ile_pogoda_dolała]]</f>
        <v>17200</v>
      </c>
      <c r="I75" cm="1">
        <f t="array" ref="I75">_xlfn.IFS(OR(pogoda46[[#This Row],[temperatura_srednia]]&lt;=15,pogoda46[[#This Row],[opady]]&gt;0.61),0,pogoda46[[#This Row],[temperatura_srednia]]&gt;30,24000,pogoda46[[#This Row],[temperatura_srednia]]&gt;15,12000)</f>
        <v>0</v>
      </c>
      <c r="J75">
        <f>IF(pogoda46[[#This Row],[stan_po_dolaniu]]&lt;pogoda46[[#This Row],[ile_podlewamy]],$AB$2-pogoda46[[#This Row],[stan_po_dolaniu]],0)</f>
        <v>0</v>
      </c>
      <c r="K75">
        <f>pogoda46[[#This Row],[stan_po_dolaniu]]+pogoda46[[#This Row],[ile_dolać_do_podlania]]</f>
        <v>17200</v>
      </c>
      <c r="L75">
        <f>pogoda46[[#This Row],[stan_po_dolaniu_do_podlania]]-pogoda46[[#This Row],[ile_podlewamy]]</f>
        <v>17200</v>
      </c>
      <c r="N75" s="5">
        <v>42168</v>
      </c>
      <c r="O75">
        <v>17200</v>
      </c>
    </row>
    <row r="76" spans="1:15" x14ac:dyDescent="0.25">
      <c r="A76" s="2">
        <v>42169</v>
      </c>
      <c r="B76">
        <v>22</v>
      </c>
      <c r="C76">
        <v>0</v>
      </c>
      <c r="D76">
        <f t="shared" si="1"/>
        <v>17200</v>
      </c>
      <c r="E76">
        <f>IF(C76=0,ROUNDUP($AB$3*POWER(pogoda46[[#This Row],[temperatura_srednia]],1.5)*pogoda46[[#This Row],[stan_przed_dolaniem]],0),0)</f>
        <v>533</v>
      </c>
      <c r="F76">
        <f>pogoda46[[#This Row],[stan_przed_dolaniem]]-pogoda46[[#This Row],[ubytek]]</f>
        <v>16667</v>
      </c>
      <c r="G76">
        <f>IF(pogoda46[[#This Row],[opady]]*$AB$1+D76&gt;$AB$2,$AB$2-pogoda46[[#This Row],[stan_przed_dolaniem]],pogoda46[[#This Row],[opady]]*$AB$1)</f>
        <v>0</v>
      </c>
      <c r="H76">
        <f>pogoda46[[#This Row],[stan_po_ubytku]]+pogoda46[[#This Row],[ile_pogoda_dolała]]</f>
        <v>16667</v>
      </c>
      <c r="I76" cm="1">
        <f t="array" ref="I76">_xlfn.IFS(OR(pogoda46[[#This Row],[temperatura_srednia]]&lt;=15,pogoda46[[#This Row],[opady]]&gt;0.61),0,pogoda46[[#This Row],[temperatura_srednia]]&gt;30,24000,pogoda46[[#This Row],[temperatura_srednia]]&gt;15,12000)</f>
        <v>12000</v>
      </c>
      <c r="J76">
        <f>IF(pogoda46[[#This Row],[stan_po_dolaniu]]&lt;pogoda46[[#This Row],[ile_podlewamy]],$AB$2-pogoda46[[#This Row],[stan_po_dolaniu]],0)</f>
        <v>0</v>
      </c>
      <c r="K76">
        <f>pogoda46[[#This Row],[stan_po_dolaniu]]+pogoda46[[#This Row],[ile_dolać_do_podlania]]</f>
        <v>16667</v>
      </c>
      <c r="L76">
        <f>pogoda46[[#This Row],[stan_po_dolaniu_do_podlania]]-pogoda46[[#This Row],[ile_podlewamy]]</f>
        <v>4667</v>
      </c>
      <c r="N76" s="5">
        <v>42169</v>
      </c>
      <c r="O76">
        <v>4667</v>
      </c>
    </row>
    <row r="77" spans="1:15" x14ac:dyDescent="0.25">
      <c r="A77" s="2">
        <v>42170</v>
      </c>
      <c r="B77">
        <v>16</v>
      </c>
      <c r="C77">
        <v>0</v>
      </c>
      <c r="D77">
        <f t="shared" si="1"/>
        <v>4667</v>
      </c>
      <c r="E77">
        <f>IF(C77=0,ROUNDUP($AB$3*POWER(pogoda46[[#This Row],[temperatura_srednia]],1.5)*pogoda46[[#This Row],[stan_przed_dolaniem]],0),0)</f>
        <v>90</v>
      </c>
      <c r="F77">
        <f>pogoda46[[#This Row],[stan_przed_dolaniem]]-pogoda46[[#This Row],[ubytek]]</f>
        <v>4577</v>
      </c>
      <c r="G77">
        <f>IF(pogoda46[[#This Row],[opady]]*$AB$1+D77&gt;$AB$2,$AB$2-pogoda46[[#This Row],[stan_przed_dolaniem]],pogoda46[[#This Row],[opady]]*$AB$1)</f>
        <v>0</v>
      </c>
      <c r="H77">
        <f>pogoda46[[#This Row],[stan_po_ubytku]]+pogoda46[[#This Row],[ile_pogoda_dolała]]</f>
        <v>4577</v>
      </c>
      <c r="I77" cm="1">
        <f t="array" ref="I77">_xlfn.IFS(OR(pogoda46[[#This Row],[temperatura_srednia]]&lt;=15,pogoda46[[#This Row],[opady]]&gt;0.61),0,pogoda46[[#This Row],[temperatura_srednia]]&gt;30,24000,pogoda46[[#This Row],[temperatura_srednia]]&gt;15,12000)</f>
        <v>12000</v>
      </c>
      <c r="J77">
        <f>IF(pogoda46[[#This Row],[stan_po_dolaniu]]&lt;pogoda46[[#This Row],[ile_podlewamy]],$AB$2-pogoda46[[#This Row],[stan_po_dolaniu]],0)</f>
        <v>20423</v>
      </c>
      <c r="K77">
        <f>pogoda46[[#This Row],[stan_po_dolaniu]]+pogoda46[[#This Row],[ile_dolać_do_podlania]]</f>
        <v>25000</v>
      </c>
      <c r="L77">
        <f>pogoda46[[#This Row],[stan_po_dolaniu_do_podlania]]-pogoda46[[#This Row],[ile_podlewamy]]</f>
        <v>13000</v>
      </c>
      <c r="N77" s="5">
        <v>42170</v>
      </c>
      <c r="O77">
        <v>13000</v>
      </c>
    </row>
    <row r="78" spans="1:15" x14ac:dyDescent="0.25">
      <c r="A78" s="2">
        <v>42171</v>
      </c>
      <c r="B78">
        <v>12</v>
      </c>
      <c r="C78">
        <v>0</v>
      </c>
      <c r="D78">
        <f t="shared" si="1"/>
        <v>13000</v>
      </c>
      <c r="E78">
        <f>IF(C78=0,ROUNDUP($AB$3*POWER(pogoda46[[#This Row],[temperatura_srednia]],1.5)*pogoda46[[#This Row],[stan_przed_dolaniem]],0),0)</f>
        <v>163</v>
      </c>
      <c r="F78">
        <f>pogoda46[[#This Row],[stan_przed_dolaniem]]-pogoda46[[#This Row],[ubytek]]</f>
        <v>12837</v>
      </c>
      <c r="G78">
        <f>IF(pogoda46[[#This Row],[opady]]*$AB$1+D78&gt;$AB$2,$AB$2-pogoda46[[#This Row],[stan_przed_dolaniem]],pogoda46[[#This Row],[opady]]*$AB$1)</f>
        <v>0</v>
      </c>
      <c r="H78">
        <f>pogoda46[[#This Row],[stan_po_ubytku]]+pogoda46[[#This Row],[ile_pogoda_dolała]]</f>
        <v>12837</v>
      </c>
      <c r="I78" cm="1">
        <f t="array" ref="I78">_xlfn.IFS(OR(pogoda46[[#This Row],[temperatura_srednia]]&lt;=15,pogoda46[[#This Row],[opady]]&gt;0.61),0,pogoda46[[#This Row],[temperatura_srednia]]&gt;30,24000,pogoda46[[#This Row],[temperatura_srednia]]&gt;15,12000)</f>
        <v>0</v>
      </c>
      <c r="J78">
        <f>IF(pogoda46[[#This Row],[stan_po_dolaniu]]&lt;pogoda46[[#This Row],[ile_podlewamy]],$AB$2-pogoda46[[#This Row],[stan_po_dolaniu]],0)</f>
        <v>0</v>
      </c>
      <c r="K78">
        <f>pogoda46[[#This Row],[stan_po_dolaniu]]+pogoda46[[#This Row],[ile_dolać_do_podlania]]</f>
        <v>12837</v>
      </c>
      <c r="L78">
        <f>pogoda46[[#This Row],[stan_po_dolaniu_do_podlania]]-pogoda46[[#This Row],[ile_podlewamy]]</f>
        <v>12837</v>
      </c>
      <c r="N78" s="5">
        <v>42171</v>
      </c>
      <c r="O78">
        <v>12837</v>
      </c>
    </row>
    <row r="79" spans="1:15" x14ac:dyDescent="0.25">
      <c r="A79" s="2">
        <v>42172</v>
      </c>
      <c r="B79">
        <v>14</v>
      </c>
      <c r="C79">
        <v>0</v>
      </c>
      <c r="D79">
        <f t="shared" si="1"/>
        <v>12837</v>
      </c>
      <c r="E79">
        <f>IF(C79=0,ROUNDUP($AB$3*POWER(pogoda46[[#This Row],[temperatura_srednia]],1.5)*pogoda46[[#This Row],[stan_przed_dolaniem]],0),0)</f>
        <v>202</v>
      </c>
      <c r="F79">
        <f>pogoda46[[#This Row],[stan_przed_dolaniem]]-pogoda46[[#This Row],[ubytek]]</f>
        <v>12635</v>
      </c>
      <c r="G79">
        <f>IF(pogoda46[[#This Row],[opady]]*$AB$1+D79&gt;$AB$2,$AB$2-pogoda46[[#This Row],[stan_przed_dolaniem]],pogoda46[[#This Row],[opady]]*$AB$1)</f>
        <v>0</v>
      </c>
      <c r="H79">
        <f>pogoda46[[#This Row],[stan_po_ubytku]]+pogoda46[[#This Row],[ile_pogoda_dolała]]</f>
        <v>12635</v>
      </c>
      <c r="I79" cm="1">
        <f t="array" ref="I79">_xlfn.IFS(OR(pogoda46[[#This Row],[temperatura_srednia]]&lt;=15,pogoda46[[#This Row],[opady]]&gt;0.61),0,pogoda46[[#This Row],[temperatura_srednia]]&gt;30,24000,pogoda46[[#This Row],[temperatura_srednia]]&gt;15,12000)</f>
        <v>0</v>
      </c>
      <c r="J79">
        <f>IF(pogoda46[[#This Row],[stan_po_dolaniu]]&lt;pogoda46[[#This Row],[ile_podlewamy]],$AB$2-pogoda46[[#This Row],[stan_po_dolaniu]],0)</f>
        <v>0</v>
      </c>
      <c r="K79">
        <f>pogoda46[[#This Row],[stan_po_dolaniu]]+pogoda46[[#This Row],[ile_dolać_do_podlania]]</f>
        <v>12635</v>
      </c>
      <c r="L79">
        <f>pogoda46[[#This Row],[stan_po_dolaniu_do_podlania]]-pogoda46[[#This Row],[ile_podlewamy]]</f>
        <v>12635</v>
      </c>
      <c r="N79" s="5">
        <v>42172</v>
      </c>
      <c r="O79">
        <v>12635</v>
      </c>
    </row>
    <row r="80" spans="1:15" x14ac:dyDescent="0.25">
      <c r="A80" s="2">
        <v>42173</v>
      </c>
      <c r="B80">
        <v>16</v>
      </c>
      <c r="C80">
        <v>0.3</v>
      </c>
      <c r="D80">
        <f t="shared" si="1"/>
        <v>12635</v>
      </c>
      <c r="E80">
        <f>IF(C80=0,ROUNDUP($AB$3*POWER(pogoda46[[#This Row],[temperatura_srednia]],1.5)*pogoda46[[#This Row],[stan_przed_dolaniem]],0),0)</f>
        <v>0</v>
      </c>
      <c r="F80">
        <f>pogoda46[[#This Row],[stan_przed_dolaniem]]-pogoda46[[#This Row],[ubytek]]</f>
        <v>12635</v>
      </c>
      <c r="G80">
        <f>IF(pogoda46[[#This Row],[opady]]*$AB$1+D80&gt;$AB$2,$AB$2-pogoda46[[#This Row],[stan_przed_dolaniem]],pogoda46[[#This Row],[opady]]*$AB$1)</f>
        <v>210</v>
      </c>
      <c r="H80">
        <f>pogoda46[[#This Row],[stan_po_ubytku]]+pogoda46[[#This Row],[ile_pogoda_dolała]]</f>
        <v>12845</v>
      </c>
      <c r="I80" cm="1">
        <f t="array" ref="I80">_xlfn.IFS(OR(pogoda46[[#This Row],[temperatura_srednia]]&lt;=15,pogoda46[[#This Row],[opady]]&gt;0.61),0,pogoda46[[#This Row],[temperatura_srednia]]&gt;30,24000,pogoda46[[#This Row],[temperatura_srednia]]&gt;15,12000)</f>
        <v>12000</v>
      </c>
      <c r="J80">
        <f>IF(pogoda46[[#This Row],[stan_po_dolaniu]]&lt;pogoda46[[#This Row],[ile_podlewamy]],$AB$2-pogoda46[[#This Row],[stan_po_dolaniu]],0)</f>
        <v>0</v>
      </c>
      <c r="K80">
        <f>pogoda46[[#This Row],[stan_po_dolaniu]]+pogoda46[[#This Row],[ile_dolać_do_podlania]]</f>
        <v>12845</v>
      </c>
      <c r="L80">
        <f>pogoda46[[#This Row],[stan_po_dolaniu_do_podlania]]-pogoda46[[#This Row],[ile_podlewamy]]</f>
        <v>845</v>
      </c>
      <c r="N80" s="5">
        <v>42173</v>
      </c>
      <c r="O80">
        <v>845</v>
      </c>
    </row>
    <row r="81" spans="1:15" x14ac:dyDescent="0.25">
      <c r="A81" s="2">
        <v>42174</v>
      </c>
      <c r="B81">
        <v>12</v>
      </c>
      <c r="C81">
        <v>3</v>
      </c>
      <c r="D81">
        <f t="shared" si="1"/>
        <v>845</v>
      </c>
      <c r="E81">
        <f>IF(C81=0,ROUNDUP($AB$3*POWER(pogoda46[[#This Row],[temperatura_srednia]],1.5)*pogoda46[[#This Row],[stan_przed_dolaniem]],0),0)</f>
        <v>0</v>
      </c>
      <c r="F81">
        <f>pogoda46[[#This Row],[stan_przed_dolaniem]]-pogoda46[[#This Row],[ubytek]]</f>
        <v>845</v>
      </c>
      <c r="G81">
        <f>IF(pogoda46[[#This Row],[opady]]*$AB$1+D81&gt;$AB$2,$AB$2-pogoda46[[#This Row],[stan_przed_dolaniem]],pogoda46[[#This Row],[opady]]*$AB$1)</f>
        <v>2100</v>
      </c>
      <c r="H81">
        <f>pogoda46[[#This Row],[stan_po_ubytku]]+pogoda46[[#This Row],[ile_pogoda_dolała]]</f>
        <v>2945</v>
      </c>
      <c r="I81" cm="1">
        <f t="array" ref="I81">_xlfn.IFS(OR(pogoda46[[#This Row],[temperatura_srednia]]&lt;=15,pogoda46[[#This Row],[opady]]&gt;0.61),0,pogoda46[[#This Row],[temperatura_srednia]]&gt;30,24000,pogoda46[[#This Row],[temperatura_srednia]]&gt;15,12000)</f>
        <v>0</v>
      </c>
      <c r="J81">
        <f>IF(pogoda46[[#This Row],[stan_po_dolaniu]]&lt;pogoda46[[#This Row],[ile_podlewamy]],$AB$2-pogoda46[[#This Row],[stan_po_dolaniu]],0)</f>
        <v>0</v>
      </c>
      <c r="K81">
        <f>pogoda46[[#This Row],[stan_po_dolaniu]]+pogoda46[[#This Row],[ile_dolać_do_podlania]]</f>
        <v>2945</v>
      </c>
      <c r="L81">
        <f>pogoda46[[#This Row],[stan_po_dolaniu_do_podlania]]-pogoda46[[#This Row],[ile_podlewamy]]</f>
        <v>2945</v>
      </c>
      <c r="N81" s="5">
        <v>42174</v>
      </c>
      <c r="O81">
        <v>2945</v>
      </c>
    </row>
    <row r="82" spans="1:15" x14ac:dyDescent="0.25">
      <c r="A82" s="2">
        <v>42175</v>
      </c>
      <c r="B82">
        <v>13</v>
      </c>
      <c r="C82">
        <v>2</v>
      </c>
      <c r="D82">
        <f t="shared" si="1"/>
        <v>2945</v>
      </c>
      <c r="E82">
        <f>IF(C82=0,ROUNDUP($AB$3*POWER(pogoda46[[#This Row],[temperatura_srednia]],1.5)*pogoda46[[#This Row],[stan_przed_dolaniem]],0),0)</f>
        <v>0</v>
      </c>
      <c r="F82">
        <f>pogoda46[[#This Row],[stan_przed_dolaniem]]-pogoda46[[#This Row],[ubytek]]</f>
        <v>2945</v>
      </c>
      <c r="G82">
        <f>IF(pogoda46[[#This Row],[opady]]*$AB$1+D82&gt;$AB$2,$AB$2-pogoda46[[#This Row],[stan_przed_dolaniem]],pogoda46[[#This Row],[opady]]*$AB$1)</f>
        <v>1400</v>
      </c>
      <c r="H82">
        <f>pogoda46[[#This Row],[stan_po_ubytku]]+pogoda46[[#This Row],[ile_pogoda_dolała]]</f>
        <v>4345</v>
      </c>
      <c r="I82" cm="1">
        <f t="array" ref="I82">_xlfn.IFS(OR(pogoda46[[#This Row],[temperatura_srednia]]&lt;=15,pogoda46[[#This Row],[opady]]&gt;0.61),0,pogoda46[[#This Row],[temperatura_srednia]]&gt;30,24000,pogoda46[[#This Row],[temperatura_srednia]]&gt;15,12000)</f>
        <v>0</v>
      </c>
      <c r="J82">
        <f>IF(pogoda46[[#This Row],[stan_po_dolaniu]]&lt;pogoda46[[#This Row],[ile_podlewamy]],$AB$2-pogoda46[[#This Row],[stan_po_dolaniu]],0)</f>
        <v>0</v>
      </c>
      <c r="K82">
        <f>pogoda46[[#This Row],[stan_po_dolaniu]]+pogoda46[[#This Row],[ile_dolać_do_podlania]]</f>
        <v>4345</v>
      </c>
      <c r="L82">
        <f>pogoda46[[#This Row],[stan_po_dolaniu_do_podlania]]-pogoda46[[#This Row],[ile_podlewamy]]</f>
        <v>4345</v>
      </c>
      <c r="N82" s="5">
        <v>42175</v>
      </c>
      <c r="O82">
        <v>4345</v>
      </c>
    </row>
    <row r="83" spans="1:15" x14ac:dyDescent="0.25">
      <c r="A83" s="2">
        <v>42176</v>
      </c>
      <c r="B83">
        <v>12</v>
      </c>
      <c r="C83">
        <v>0</v>
      </c>
      <c r="D83">
        <f t="shared" si="1"/>
        <v>4345</v>
      </c>
      <c r="E83">
        <f>IF(C83=0,ROUNDUP($AB$3*POWER(pogoda46[[#This Row],[temperatura_srednia]],1.5)*pogoda46[[#This Row],[stan_przed_dolaniem]],0),0)</f>
        <v>55</v>
      </c>
      <c r="F83">
        <f>pogoda46[[#This Row],[stan_przed_dolaniem]]-pogoda46[[#This Row],[ubytek]]</f>
        <v>4290</v>
      </c>
      <c r="G83">
        <f>IF(pogoda46[[#This Row],[opady]]*$AB$1+D83&gt;$AB$2,$AB$2-pogoda46[[#This Row],[stan_przed_dolaniem]],pogoda46[[#This Row],[opady]]*$AB$1)</f>
        <v>0</v>
      </c>
      <c r="H83">
        <f>pogoda46[[#This Row],[stan_po_ubytku]]+pogoda46[[#This Row],[ile_pogoda_dolała]]</f>
        <v>4290</v>
      </c>
      <c r="I83" cm="1">
        <f t="array" ref="I83">_xlfn.IFS(OR(pogoda46[[#This Row],[temperatura_srednia]]&lt;=15,pogoda46[[#This Row],[opady]]&gt;0.61),0,pogoda46[[#This Row],[temperatura_srednia]]&gt;30,24000,pogoda46[[#This Row],[temperatura_srednia]]&gt;15,12000)</f>
        <v>0</v>
      </c>
      <c r="J83">
        <f>IF(pogoda46[[#This Row],[stan_po_dolaniu]]&lt;pogoda46[[#This Row],[ile_podlewamy]],$AB$2-pogoda46[[#This Row],[stan_po_dolaniu]],0)</f>
        <v>0</v>
      </c>
      <c r="K83">
        <f>pogoda46[[#This Row],[stan_po_dolaniu]]+pogoda46[[#This Row],[ile_dolać_do_podlania]]</f>
        <v>4290</v>
      </c>
      <c r="L83">
        <f>pogoda46[[#This Row],[stan_po_dolaniu_do_podlania]]-pogoda46[[#This Row],[ile_podlewamy]]</f>
        <v>4290</v>
      </c>
      <c r="N83" s="5">
        <v>42176</v>
      </c>
      <c r="O83">
        <v>4290</v>
      </c>
    </row>
    <row r="84" spans="1:15" x14ac:dyDescent="0.25">
      <c r="A84" s="2">
        <v>42177</v>
      </c>
      <c r="B84">
        <v>12</v>
      </c>
      <c r="C84">
        <v>3</v>
      </c>
      <c r="D84">
        <f t="shared" si="1"/>
        <v>4290</v>
      </c>
      <c r="E84">
        <f>IF(C84=0,ROUNDUP($AB$3*POWER(pogoda46[[#This Row],[temperatura_srednia]],1.5)*pogoda46[[#This Row],[stan_przed_dolaniem]],0),0)</f>
        <v>0</v>
      </c>
      <c r="F84">
        <f>pogoda46[[#This Row],[stan_przed_dolaniem]]-pogoda46[[#This Row],[ubytek]]</f>
        <v>4290</v>
      </c>
      <c r="G84">
        <f>IF(pogoda46[[#This Row],[opady]]*$AB$1+D84&gt;$AB$2,$AB$2-pogoda46[[#This Row],[stan_przed_dolaniem]],pogoda46[[#This Row],[opady]]*$AB$1)</f>
        <v>2100</v>
      </c>
      <c r="H84">
        <f>pogoda46[[#This Row],[stan_po_ubytku]]+pogoda46[[#This Row],[ile_pogoda_dolała]]</f>
        <v>6390</v>
      </c>
      <c r="I84" cm="1">
        <f t="array" ref="I84">_xlfn.IFS(OR(pogoda46[[#This Row],[temperatura_srednia]]&lt;=15,pogoda46[[#This Row],[opady]]&gt;0.61),0,pogoda46[[#This Row],[temperatura_srednia]]&gt;30,24000,pogoda46[[#This Row],[temperatura_srednia]]&gt;15,12000)</f>
        <v>0</v>
      </c>
      <c r="J84">
        <f>IF(pogoda46[[#This Row],[stan_po_dolaniu]]&lt;pogoda46[[#This Row],[ile_podlewamy]],$AB$2-pogoda46[[#This Row],[stan_po_dolaniu]],0)</f>
        <v>0</v>
      </c>
      <c r="K84">
        <f>pogoda46[[#This Row],[stan_po_dolaniu]]+pogoda46[[#This Row],[ile_dolać_do_podlania]]</f>
        <v>6390</v>
      </c>
      <c r="L84">
        <f>pogoda46[[#This Row],[stan_po_dolaniu_do_podlania]]-pogoda46[[#This Row],[ile_podlewamy]]</f>
        <v>6390</v>
      </c>
      <c r="N84" s="5">
        <v>42177</v>
      </c>
      <c r="O84">
        <v>6390</v>
      </c>
    </row>
    <row r="85" spans="1:15" x14ac:dyDescent="0.25">
      <c r="A85" s="2">
        <v>42178</v>
      </c>
      <c r="B85">
        <v>13</v>
      </c>
      <c r="C85">
        <v>3</v>
      </c>
      <c r="D85">
        <f t="shared" si="1"/>
        <v>6390</v>
      </c>
      <c r="E85">
        <f>IF(C85=0,ROUNDUP($AB$3*POWER(pogoda46[[#This Row],[temperatura_srednia]],1.5)*pogoda46[[#This Row],[stan_przed_dolaniem]],0),0)</f>
        <v>0</v>
      </c>
      <c r="F85">
        <f>pogoda46[[#This Row],[stan_przed_dolaniem]]-pogoda46[[#This Row],[ubytek]]</f>
        <v>6390</v>
      </c>
      <c r="G85">
        <f>IF(pogoda46[[#This Row],[opady]]*$AB$1+D85&gt;$AB$2,$AB$2-pogoda46[[#This Row],[stan_przed_dolaniem]],pogoda46[[#This Row],[opady]]*$AB$1)</f>
        <v>2100</v>
      </c>
      <c r="H85">
        <f>pogoda46[[#This Row],[stan_po_ubytku]]+pogoda46[[#This Row],[ile_pogoda_dolała]]</f>
        <v>8490</v>
      </c>
      <c r="I85" cm="1">
        <f t="array" ref="I85">_xlfn.IFS(OR(pogoda46[[#This Row],[temperatura_srednia]]&lt;=15,pogoda46[[#This Row],[opady]]&gt;0.61),0,pogoda46[[#This Row],[temperatura_srednia]]&gt;30,24000,pogoda46[[#This Row],[temperatura_srednia]]&gt;15,12000)</f>
        <v>0</v>
      </c>
      <c r="J85">
        <f>IF(pogoda46[[#This Row],[stan_po_dolaniu]]&lt;pogoda46[[#This Row],[ile_podlewamy]],$AB$2-pogoda46[[#This Row],[stan_po_dolaniu]],0)</f>
        <v>0</v>
      </c>
      <c r="K85">
        <f>pogoda46[[#This Row],[stan_po_dolaniu]]+pogoda46[[#This Row],[ile_dolać_do_podlania]]</f>
        <v>8490</v>
      </c>
      <c r="L85">
        <f>pogoda46[[#This Row],[stan_po_dolaniu_do_podlania]]-pogoda46[[#This Row],[ile_podlewamy]]</f>
        <v>8490</v>
      </c>
      <c r="N85" s="5">
        <v>42178</v>
      </c>
      <c r="O85">
        <v>8490</v>
      </c>
    </row>
    <row r="86" spans="1:15" x14ac:dyDescent="0.25">
      <c r="A86" s="2">
        <v>42179</v>
      </c>
      <c r="B86">
        <v>12</v>
      </c>
      <c r="C86">
        <v>0</v>
      </c>
      <c r="D86">
        <f t="shared" si="1"/>
        <v>8490</v>
      </c>
      <c r="E86">
        <f>IF(C86=0,ROUNDUP($AB$3*POWER(pogoda46[[#This Row],[temperatura_srednia]],1.5)*pogoda46[[#This Row],[stan_przed_dolaniem]],0),0)</f>
        <v>106</v>
      </c>
      <c r="F86">
        <f>pogoda46[[#This Row],[stan_przed_dolaniem]]-pogoda46[[#This Row],[ubytek]]</f>
        <v>8384</v>
      </c>
      <c r="G86">
        <f>IF(pogoda46[[#This Row],[opady]]*$AB$1+D86&gt;$AB$2,$AB$2-pogoda46[[#This Row],[stan_przed_dolaniem]],pogoda46[[#This Row],[opady]]*$AB$1)</f>
        <v>0</v>
      </c>
      <c r="H86">
        <f>pogoda46[[#This Row],[stan_po_ubytku]]+pogoda46[[#This Row],[ile_pogoda_dolała]]</f>
        <v>8384</v>
      </c>
      <c r="I86" cm="1">
        <f t="array" ref="I86">_xlfn.IFS(OR(pogoda46[[#This Row],[temperatura_srednia]]&lt;=15,pogoda46[[#This Row],[opady]]&gt;0.61),0,pogoda46[[#This Row],[temperatura_srednia]]&gt;30,24000,pogoda46[[#This Row],[temperatura_srednia]]&gt;15,12000)</f>
        <v>0</v>
      </c>
      <c r="J86">
        <f>IF(pogoda46[[#This Row],[stan_po_dolaniu]]&lt;pogoda46[[#This Row],[ile_podlewamy]],$AB$2-pogoda46[[#This Row],[stan_po_dolaniu]],0)</f>
        <v>0</v>
      </c>
      <c r="K86">
        <f>pogoda46[[#This Row],[stan_po_dolaniu]]+pogoda46[[#This Row],[ile_dolać_do_podlania]]</f>
        <v>8384</v>
      </c>
      <c r="L86">
        <f>pogoda46[[#This Row],[stan_po_dolaniu_do_podlania]]-pogoda46[[#This Row],[ile_podlewamy]]</f>
        <v>8384</v>
      </c>
      <c r="N86" s="5">
        <v>42179</v>
      </c>
      <c r="O86">
        <v>8384</v>
      </c>
    </row>
    <row r="87" spans="1:15" x14ac:dyDescent="0.25">
      <c r="A87" s="2">
        <v>42180</v>
      </c>
      <c r="B87">
        <v>16</v>
      </c>
      <c r="C87">
        <v>0</v>
      </c>
      <c r="D87">
        <f t="shared" si="1"/>
        <v>8384</v>
      </c>
      <c r="E87">
        <f>IF(C87=0,ROUNDUP($AB$3*POWER(pogoda46[[#This Row],[temperatura_srednia]],1.5)*pogoda46[[#This Row],[stan_przed_dolaniem]],0),0)</f>
        <v>161</v>
      </c>
      <c r="F87">
        <f>pogoda46[[#This Row],[stan_przed_dolaniem]]-pogoda46[[#This Row],[ubytek]]</f>
        <v>8223</v>
      </c>
      <c r="G87">
        <f>IF(pogoda46[[#This Row],[opady]]*$AB$1+D87&gt;$AB$2,$AB$2-pogoda46[[#This Row],[stan_przed_dolaniem]],pogoda46[[#This Row],[opady]]*$AB$1)</f>
        <v>0</v>
      </c>
      <c r="H87">
        <f>pogoda46[[#This Row],[stan_po_ubytku]]+pogoda46[[#This Row],[ile_pogoda_dolała]]</f>
        <v>8223</v>
      </c>
      <c r="I87" cm="1">
        <f t="array" ref="I87">_xlfn.IFS(OR(pogoda46[[#This Row],[temperatura_srednia]]&lt;=15,pogoda46[[#This Row],[opady]]&gt;0.61),0,pogoda46[[#This Row],[temperatura_srednia]]&gt;30,24000,pogoda46[[#This Row],[temperatura_srednia]]&gt;15,12000)</f>
        <v>12000</v>
      </c>
      <c r="J87">
        <f>IF(pogoda46[[#This Row],[stan_po_dolaniu]]&lt;pogoda46[[#This Row],[ile_podlewamy]],$AB$2-pogoda46[[#This Row],[stan_po_dolaniu]],0)</f>
        <v>16777</v>
      </c>
      <c r="K87">
        <f>pogoda46[[#This Row],[stan_po_dolaniu]]+pogoda46[[#This Row],[ile_dolać_do_podlania]]</f>
        <v>25000</v>
      </c>
      <c r="L87">
        <f>pogoda46[[#This Row],[stan_po_dolaniu_do_podlania]]-pogoda46[[#This Row],[ile_podlewamy]]</f>
        <v>13000</v>
      </c>
      <c r="N87" s="5">
        <v>42180</v>
      </c>
      <c r="O87">
        <v>13000</v>
      </c>
    </row>
    <row r="88" spans="1:15" x14ac:dyDescent="0.25">
      <c r="A88" s="2">
        <v>42181</v>
      </c>
      <c r="B88">
        <v>16</v>
      </c>
      <c r="C88">
        <v>7</v>
      </c>
      <c r="D88">
        <f t="shared" si="1"/>
        <v>13000</v>
      </c>
      <c r="E88">
        <f>IF(C88=0,ROUNDUP($AB$3*POWER(pogoda46[[#This Row],[temperatura_srednia]],1.5)*pogoda46[[#This Row],[stan_przed_dolaniem]],0),0)</f>
        <v>0</v>
      </c>
      <c r="F88">
        <f>pogoda46[[#This Row],[stan_przed_dolaniem]]-pogoda46[[#This Row],[ubytek]]</f>
        <v>13000</v>
      </c>
      <c r="G88">
        <f>IF(pogoda46[[#This Row],[opady]]*$AB$1+D88&gt;$AB$2,$AB$2-pogoda46[[#This Row],[stan_przed_dolaniem]],pogoda46[[#This Row],[opady]]*$AB$1)</f>
        <v>4900</v>
      </c>
      <c r="H88">
        <f>pogoda46[[#This Row],[stan_po_ubytku]]+pogoda46[[#This Row],[ile_pogoda_dolała]]</f>
        <v>17900</v>
      </c>
      <c r="I88" cm="1">
        <f t="array" ref="I88">_xlfn.IFS(OR(pogoda46[[#This Row],[temperatura_srednia]]&lt;=15,pogoda46[[#This Row],[opady]]&gt;0.61),0,pogoda46[[#This Row],[temperatura_srednia]]&gt;30,24000,pogoda46[[#This Row],[temperatura_srednia]]&gt;15,12000)</f>
        <v>0</v>
      </c>
      <c r="J88">
        <f>IF(pogoda46[[#This Row],[stan_po_dolaniu]]&lt;pogoda46[[#This Row],[ile_podlewamy]],$AB$2-pogoda46[[#This Row],[stan_po_dolaniu]],0)</f>
        <v>0</v>
      </c>
      <c r="K88">
        <f>pogoda46[[#This Row],[stan_po_dolaniu]]+pogoda46[[#This Row],[ile_dolać_do_podlania]]</f>
        <v>17900</v>
      </c>
      <c r="L88">
        <f>pogoda46[[#This Row],[stan_po_dolaniu_do_podlania]]-pogoda46[[#This Row],[ile_podlewamy]]</f>
        <v>17900</v>
      </c>
      <c r="N88" s="5">
        <v>42181</v>
      </c>
      <c r="O88">
        <v>17900</v>
      </c>
    </row>
    <row r="89" spans="1:15" x14ac:dyDescent="0.25">
      <c r="A89" s="2">
        <v>42182</v>
      </c>
      <c r="B89">
        <v>18</v>
      </c>
      <c r="C89">
        <v>6</v>
      </c>
      <c r="D89">
        <f t="shared" si="1"/>
        <v>17900</v>
      </c>
      <c r="E89">
        <f>IF(C89=0,ROUNDUP($AB$3*POWER(pogoda46[[#This Row],[temperatura_srednia]],1.5)*pogoda46[[#This Row],[stan_przed_dolaniem]],0),0)</f>
        <v>0</v>
      </c>
      <c r="F89">
        <f>pogoda46[[#This Row],[stan_przed_dolaniem]]-pogoda46[[#This Row],[ubytek]]</f>
        <v>17900</v>
      </c>
      <c r="G89">
        <f>IF(pogoda46[[#This Row],[opady]]*$AB$1+D89&gt;$AB$2,$AB$2-pogoda46[[#This Row],[stan_przed_dolaniem]],pogoda46[[#This Row],[opady]]*$AB$1)</f>
        <v>4200</v>
      </c>
      <c r="H89">
        <f>pogoda46[[#This Row],[stan_po_ubytku]]+pogoda46[[#This Row],[ile_pogoda_dolała]]</f>
        <v>22100</v>
      </c>
      <c r="I89" cm="1">
        <f t="array" ref="I89">_xlfn.IFS(OR(pogoda46[[#This Row],[temperatura_srednia]]&lt;=15,pogoda46[[#This Row],[opady]]&gt;0.61),0,pogoda46[[#This Row],[temperatura_srednia]]&gt;30,24000,pogoda46[[#This Row],[temperatura_srednia]]&gt;15,12000)</f>
        <v>0</v>
      </c>
      <c r="J89">
        <f>IF(pogoda46[[#This Row],[stan_po_dolaniu]]&lt;pogoda46[[#This Row],[ile_podlewamy]],$AB$2-pogoda46[[#This Row],[stan_po_dolaniu]],0)</f>
        <v>0</v>
      </c>
      <c r="K89">
        <f>pogoda46[[#This Row],[stan_po_dolaniu]]+pogoda46[[#This Row],[ile_dolać_do_podlania]]</f>
        <v>22100</v>
      </c>
      <c r="L89">
        <f>pogoda46[[#This Row],[stan_po_dolaniu_do_podlania]]-pogoda46[[#This Row],[ile_podlewamy]]</f>
        <v>22100</v>
      </c>
      <c r="N89" s="5">
        <v>42182</v>
      </c>
      <c r="O89">
        <v>22100</v>
      </c>
    </row>
    <row r="90" spans="1:15" x14ac:dyDescent="0.25">
      <c r="A90" s="2">
        <v>42183</v>
      </c>
      <c r="B90">
        <v>16</v>
      </c>
      <c r="C90">
        <v>0</v>
      </c>
      <c r="D90">
        <f t="shared" si="1"/>
        <v>22100</v>
      </c>
      <c r="E90">
        <f>IF(C90=0,ROUNDUP($AB$3*POWER(pogoda46[[#This Row],[temperatura_srednia]],1.5)*pogoda46[[#This Row],[stan_przed_dolaniem]],0),0)</f>
        <v>425</v>
      </c>
      <c r="F90">
        <f>pogoda46[[#This Row],[stan_przed_dolaniem]]-pogoda46[[#This Row],[ubytek]]</f>
        <v>21675</v>
      </c>
      <c r="G90">
        <f>IF(pogoda46[[#This Row],[opady]]*$AB$1+D90&gt;$AB$2,$AB$2-pogoda46[[#This Row],[stan_przed_dolaniem]],pogoda46[[#This Row],[opady]]*$AB$1)</f>
        <v>0</v>
      </c>
      <c r="H90">
        <f>pogoda46[[#This Row],[stan_po_ubytku]]+pogoda46[[#This Row],[ile_pogoda_dolała]]</f>
        <v>21675</v>
      </c>
      <c r="I90" cm="1">
        <f t="array" ref="I90">_xlfn.IFS(OR(pogoda46[[#This Row],[temperatura_srednia]]&lt;=15,pogoda46[[#This Row],[opady]]&gt;0.61),0,pogoda46[[#This Row],[temperatura_srednia]]&gt;30,24000,pogoda46[[#This Row],[temperatura_srednia]]&gt;15,12000)</f>
        <v>12000</v>
      </c>
      <c r="J90">
        <f>IF(pogoda46[[#This Row],[stan_po_dolaniu]]&lt;pogoda46[[#This Row],[ile_podlewamy]],$AB$2-pogoda46[[#This Row],[stan_po_dolaniu]],0)</f>
        <v>0</v>
      </c>
      <c r="K90">
        <f>pogoda46[[#This Row],[stan_po_dolaniu]]+pogoda46[[#This Row],[ile_dolać_do_podlania]]</f>
        <v>21675</v>
      </c>
      <c r="L90">
        <f>pogoda46[[#This Row],[stan_po_dolaniu_do_podlania]]-pogoda46[[#This Row],[ile_podlewamy]]</f>
        <v>9675</v>
      </c>
      <c r="N90" s="5">
        <v>42183</v>
      </c>
      <c r="O90">
        <v>9675</v>
      </c>
    </row>
    <row r="91" spans="1:15" x14ac:dyDescent="0.25">
      <c r="A91" s="2">
        <v>42184</v>
      </c>
      <c r="B91">
        <v>16</v>
      </c>
      <c r="C91">
        <v>0</v>
      </c>
      <c r="D91">
        <f t="shared" si="1"/>
        <v>9675</v>
      </c>
      <c r="E91">
        <f>IF(C91=0,ROUNDUP($AB$3*POWER(pogoda46[[#This Row],[temperatura_srednia]],1.5)*pogoda46[[#This Row],[stan_przed_dolaniem]],0),0)</f>
        <v>186</v>
      </c>
      <c r="F91">
        <f>pogoda46[[#This Row],[stan_przed_dolaniem]]-pogoda46[[#This Row],[ubytek]]</f>
        <v>9489</v>
      </c>
      <c r="G91">
        <f>IF(pogoda46[[#This Row],[opady]]*$AB$1+D91&gt;$AB$2,$AB$2-pogoda46[[#This Row],[stan_przed_dolaniem]],pogoda46[[#This Row],[opady]]*$AB$1)</f>
        <v>0</v>
      </c>
      <c r="H91">
        <f>pogoda46[[#This Row],[stan_po_ubytku]]+pogoda46[[#This Row],[ile_pogoda_dolała]]</f>
        <v>9489</v>
      </c>
      <c r="I91" cm="1">
        <f t="array" ref="I91">_xlfn.IFS(OR(pogoda46[[#This Row],[temperatura_srednia]]&lt;=15,pogoda46[[#This Row],[opady]]&gt;0.61),0,pogoda46[[#This Row],[temperatura_srednia]]&gt;30,24000,pogoda46[[#This Row],[temperatura_srednia]]&gt;15,12000)</f>
        <v>12000</v>
      </c>
      <c r="J91">
        <f>IF(pogoda46[[#This Row],[stan_po_dolaniu]]&lt;pogoda46[[#This Row],[ile_podlewamy]],$AB$2-pogoda46[[#This Row],[stan_po_dolaniu]],0)</f>
        <v>15511</v>
      </c>
      <c r="K91">
        <f>pogoda46[[#This Row],[stan_po_dolaniu]]+pogoda46[[#This Row],[ile_dolać_do_podlania]]</f>
        <v>25000</v>
      </c>
      <c r="L91">
        <f>pogoda46[[#This Row],[stan_po_dolaniu_do_podlania]]-pogoda46[[#This Row],[ile_podlewamy]]</f>
        <v>13000</v>
      </c>
      <c r="N91" s="5">
        <v>42184</v>
      </c>
      <c r="O91">
        <v>13000</v>
      </c>
    </row>
    <row r="92" spans="1:15" x14ac:dyDescent="0.25">
      <c r="A92" s="2">
        <v>42185</v>
      </c>
      <c r="B92">
        <v>19</v>
      </c>
      <c r="C92">
        <v>0</v>
      </c>
      <c r="D92">
        <f t="shared" si="1"/>
        <v>13000</v>
      </c>
      <c r="E92">
        <f>IF(C92=0,ROUNDUP($AB$3*POWER(pogoda46[[#This Row],[temperatura_srednia]],1.5)*pogoda46[[#This Row],[stan_przed_dolaniem]],0),0)</f>
        <v>323</v>
      </c>
      <c r="F92">
        <f>pogoda46[[#This Row],[stan_przed_dolaniem]]-pogoda46[[#This Row],[ubytek]]</f>
        <v>12677</v>
      </c>
      <c r="G92">
        <f>IF(pogoda46[[#This Row],[opady]]*$AB$1+D92&gt;$AB$2,$AB$2-pogoda46[[#This Row],[stan_przed_dolaniem]],pogoda46[[#This Row],[opady]]*$AB$1)</f>
        <v>0</v>
      </c>
      <c r="H92">
        <f>pogoda46[[#This Row],[stan_po_ubytku]]+pogoda46[[#This Row],[ile_pogoda_dolała]]</f>
        <v>12677</v>
      </c>
      <c r="I92" cm="1">
        <f t="array" ref="I92">_xlfn.IFS(OR(pogoda46[[#This Row],[temperatura_srednia]]&lt;=15,pogoda46[[#This Row],[opady]]&gt;0.61),0,pogoda46[[#This Row],[temperatura_srednia]]&gt;30,24000,pogoda46[[#This Row],[temperatura_srednia]]&gt;15,12000)</f>
        <v>12000</v>
      </c>
      <c r="J92">
        <f>IF(pogoda46[[#This Row],[stan_po_dolaniu]]&lt;pogoda46[[#This Row],[ile_podlewamy]],$AB$2-pogoda46[[#This Row],[stan_po_dolaniu]],0)</f>
        <v>0</v>
      </c>
      <c r="K92">
        <f>pogoda46[[#This Row],[stan_po_dolaniu]]+pogoda46[[#This Row],[ile_dolać_do_podlania]]</f>
        <v>12677</v>
      </c>
      <c r="L92">
        <f>pogoda46[[#This Row],[stan_po_dolaniu_do_podlania]]-pogoda46[[#This Row],[ile_podlewamy]]</f>
        <v>677</v>
      </c>
      <c r="N92" s="5">
        <v>42185</v>
      </c>
      <c r="O92">
        <v>677</v>
      </c>
    </row>
    <row r="93" spans="1:15" x14ac:dyDescent="0.25">
      <c r="A93" s="2">
        <v>42186</v>
      </c>
      <c r="B93">
        <v>18</v>
      </c>
      <c r="C93">
        <v>0</v>
      </c>
      <c r="D93">
        <f t="shared" si="1"/>
        <v>677</v>
      </c>
      <c r="E93">
        <f>IF(C93=0,ROUNDUP($AB$3*POWER(pogoda46[[#This Row],[temperatura_srednia]],1.5)*pogoda46[[#This Row],[stan_przed_dolaniem]],0),0)</f>
        <v>16</v>
      </c>
      <c r="F93">
        <f>pogoda46[[#This Row],[stan_przed_dolaniem]]-pogoda46[[#This Row],[ubytek]]</f>
        <v>661</v>
      </c>
      <c r="G93">
        <f>IF(pogoda46[[#This Row],[opady]]*$AB$1+D93&gt;$AB$2,$AB$2-pogoda46[[#This Row],[stan_przed_dolaniem]],pogoda46[[#This Row],[opady]]*$AB$1)</f>
        <v>0</v>
      </c>
      <c r="H93">
        <f>pogoda46[[#This Row],[stan_po_ubytku]]+pogoda46[[#This Row],[ile_pogoda_dolała]]</f>
        <v>661</v>
      </c>
      <c r="I93" cm="1">
        <f t="array" ref="I93">_xlfn.IFS(OR(pogoda46[[#This Row],[temperatura_srednia]]&lt;=15,pogoda46[[#This Row],[opady]]&gt;0.61),0,pogoda46[[#This Row],[temperatura_srednia]]&gt;30,24000,pogoda46[[#This Row],[temperatura_srednia]]&gt;15,12000)</f>
        <v>12000</v>
      </c>
      <c r="J93">
        <f>IF(pogoda46[[#This Row],[stan_po_dolaniu]]&lt;pogoda46[[#This Row],[ile_podlewamy]],$AB$2-pogoda46[[#This Row],[stan_po_dolaniu]],0)</f>
        <v>24339</v>
      </c>
      <c r="K93">
        <f>pogoda46[[#This Row],[stan_po_dolaniu]]+pogoda46[[#This Row],[ile_dolać_do_podlania]]</f>
        <v>25000</v>
      </c>
      <c r="L93">
        <f>pogoda46[[#This Row],[stan_po_dolaniu_do_podlania]]-pogoda46[[#This Row],[ile_podlewamy]]</f>
        <v>13000</v>
      </c>
      <c r="N93" s="5">
        <v>42186</v>
      </c>
      <c r="O93">
        <v>13000</v>
      </c>
    </row>
    <row r="94" spans="1:15" x14ac:dyDescent="0.25">
      <c r="A94" s="2">
        <v>42187</v>
      </c>
      <c r="B94">
        <v>20</v>
      </c>
      <c r="C94">
        <v>0</v>
      </c>
      <c r="D94">
        <f t="shared" si="1"/>
        <v>13000</v>
      </c>
      <c r="E94">
        <f>IF(C94=0,ROUNDUP($AB$3*POWER(pogoda46[[#This Row],[temperatura_srednia]],1.5)*pogoda46[[#This Row],[stan_przed_dolaniem]],0),0)</f>
        <v>349</v>
      </c>
      <c r="F94">
        <f>pogoda46[[#This Row],[stan_przed_dolaniem]]-pogoda46[[#This Row],[ubytek]]</f>
        <v>12651</v>
      </c>
      <c r="G94">
        <f>IF(pogoda46[[#This Row],[opady]]*$AB$1+D94&gt;$AB$2,$AB$2-pogoda46[[#This Row],[stan_przed_dolaniem]],pogoda46[[#This Row],[opady]]*$AB$1)</f>
        <v>0</v>
      </c>
      <c r="H94">
        <f>pogoda46[[#This Row],[stan_po_ubytku]]+pogoda46[[#This Row],[ile_pogoda_dolała]]</f>
        <v>12651</v>
      </c>
      <c r="I94" cm="1">
        <f t="array" ref="I94">_xlfn.IFS(OR(pogoda46[[#This Row],[temperatura_srednia]]&lt;=15,pogoda46[[#This Row],[opady]]&gt;0.61),0,pogoda46[[#This Row],[temperatura_srednia]]&gt;30,24000,pogoda46[[#This Row],[temperatura_srednia]]&gt;15,12000)</f>
        <v>12000</v>
      </c>
      <c r="J94">
        <f>IF(pogoda46[[#This Row],[stan_po_dolaniu]]&lt;pogoda46[[#This Row],[ile_podlewamy]],$AB$2-pogoda46[[#This Row],[stan_po_dolaniu]],0)</f>
        <v>0</v>
      </c>
      <c r="K94">
        <f>pogoda46[[#This Row],[stan_po_dolaniu]]+pogoda46[[#This Row],[ile_dolać_do_podlania]]</f>
        <v>12651</v>
      </c>
      <c r="L94">
        <f>pogoda46[[#This Row],[stan_po_dolaniu_do_podlania]]-pogoda46[[#This Row],[ile_podlewamy]]</f>
        <v>651</v>
      </c>
      <c r="N94" s="5">
        <v>42187</v>
      </c>
      <c r="O94">
        <v>651</v>
      </c>
    </row>
    <row r="95" spans="1:15" x14ac:dyDescent="0.25">
      <c r="A95" s="2">
        <v>42188</v>
      </c>
      <c r="B95">
        <v>22</v>
      </c>
      <c r="C95">
        <v>0</v>
      </c>
      <c r="D95">
        <f t="shared" si="1"/>
        <v>651</v>
      </c>
      <c r="E95">
        <f>IF(C95=0,ROUNDUP($AB$3*POWER(pogoda46[[#This Row],[temperatura_srednia]],1.5)*pogoda46[[#This Row],[stan_przed_dolaniem]],0),0)</f>
        <v>21</v>
      </c>
      <c r="F95">
        <f>pogoda46[[#This Row],[stan_przed_dolaniem]]-pogoda46[[#This Row],[ubytek]]</f>
        <v>630</v>
      </c>
      <c r="G95">
        <f>IF(pogoda46[[#This Row],[opady]]*$AB$1+D95&gt;$AB$2,$AB$2-pogoda46[[#This Row],[stan_przed_dolaniem]],pogoda46[[#This Row],[opady]]*$AB$1)</f>
        <v>0</v>
      </c>
      <c r="H95">
        <f>pogoda46[[#This Row],[stan_po_ubytku]]+pogoda46[[#This Row],[ile_pogoda_dolała]]</f>
        <v>630</v>
      </c>
      <c r="I95" cm="1">
        <f t="array" ref="I95">_xlfn.IFS(OR(pogoda46[[#This Row],[temperatura_srednia]]&lt;=15,pogoda46[[#This Row],[opady]]&gt;0.61),0,pogoda46[[#This Row],[temperatura_srednia]]&gt;30,24000,pogoda46[[#This Row],[temperatura_srednia]]&gt;15,12000)</f>
        <v>12000</v>
      </c>
      <c r="J95">
        <f>IF(pogoda46[[#This Row],[stan_po_dolaniu]]&lt;pogoda46[[#This Row],[ile_podlewamy]],$AB$2-pogoda46[[#This Row],[stan_po_dolaniu]],0)</f>
        <v>24370</v>
      </c>
      <c r="K95">
        <f>pogoda46[[#This Row],[stan_po_dolaniu]]+pogoda46[[#This Row],[ile_dolać_do_podlania]]</f>
        <v>25000</v>
      </c>
      <c r="L95">
        <f>pogoda46[[#This Row],[stan_po_dolaniu_do_podlania]]-pogoda46[[#This Row],[ile_podlewamy]]</f>
        <v>13000</v>
      </c>
      <c r="N95" s="5">
        <v>42188</v>
      </c>
      <c r="O95">
        <v>13000</v>
      </c>
    </row>
    <row r="96" spans="1:15" x14ac:dyDescent="0.25">
      <c r="A96" s="2">
        <v>42189</v>
      </c>
      <c r="B96">
        <v>25</v>
      </c>
      <c r="C96">
        <v>0</v>
      </c>
      <c r="D96">
        <f t="shared" si="1"/>
        <v>13000</v>
      </c>
      <c r="E96">
        <f>IF(C96=0,ROUNDUP($AB$3*POWER(pogoda46[[#This Row],[temperatura_srednia]],1.5)*pogoda46[[#This Row],[stan_przed_dolaniem]],0),0)</f>
        <v>488</v>
      </c>
      <c r="F96">
        <f>pogoda46[[#This Row],[stan_przed_dolaniem]]-pogoda46[[#This Row],[ubytek]]</f>
        <v>12512</v>
      </c>
      <c r="G96">
        <f>IF(pogoda46[[#This Row],[opady]]*$AB$1+D96&gt;$AB$2,$AB$2-pogoda46[[#This Row],[stan_przed_dolaniem]],pogoda46[[#This Row],[opady]]*$AB$1)</f>
        <v>0</v>
      </c>
      <c r="H96">
        <f>pogoda46[[#This Row],[stan_po_ubytku]]+pogoda46[[#This Row],[ile_pogoda_dolała]]</f>
        <v>12512</v>
      </c>
      <c r="I96" cm="1">
        <f t="array" ref="I96">_xlfn.IFS(OR(pogoda46[[#This Row],[temperatura_srednia]]&lt;=15,pogoda46[[#This Row],[opady]]&gt;0.61),0,pogoda46[[#This Row],[temperatura_srednia]]&gt;30,24000,pogoda46[[#This Row],[temperatura_srednia]]&gt;15,12000)</f>
        <v>12000</v>
      </c>
      <c r="J96">
        <f>IF(pogoda46[[#This Row],[stan_po_dolaniu]]&lt;pogoda46[[#This Row],[ile_podlewamy]],$AB$2-pogoda46[[#This Row],[stan_po_dolaniu]],0)</f>
        <v>0</v>
      </c>
      <c r="K96">
        <f>pogoda46[[#This Row],[stan_po_dolaniu]]+pogoda46[[#This Row],[ile_dolać_do_podlania]]</f>
        <v>12512</v>
      </c>
      <c r="L96">
        <f>pogoda46[[#This Row],[stan_po_dolaniu_do_podlania]]-pogoda46[[#This Row],[ile_podlewamy]]</f>
        <v>512</v>
      </c>
      <c r="N96" s="5">
        <v>42189</v>
      </c>
      <c r="O96">
        <v>512</v>
      </c>
    </row>
    <row r="97" spans="1:15" x14ac:dyDescent="0.25">
      <c r="A97" s="2">
        <v>42190</v>
      </c>
      <c r="B97">
        <v>26</v>
      </c>
      <c r="C97">
        <v>0</v>
      </c>
      <c r="D97">
        <f t="shared" si="1"/>
        <v>512</v>
      </c>
      <c r="E97">
        <f>IF(C97=0,ROUNDUP($AB$3*POWER(pogoda46[[#This Row],[temperatura_srednia]],1.5)*pogoda46[[#This Row],[stan_przed_dolaniem]],0),0)</f>
        <v>21</v>
      </c>
      <c r="F97">
        <f>pogoda46[[#This Row],[stan_przed_dolaniem]]-pogoda46[[#This Row],[ubytek]]</f>
        <v>491</v>
      </c>
      <c r="G97">
        <f>IF(pogoda46[[#This Row],[opady]]*$AB$1+D97&gt;$AB$2,$AB$2-pogoda46[[#This Row],[stan_przed_dolaniem]],pogoda46[[#This Row],[opady]]*$AB$1)</f>
        <v>0</v>
      </c>
      <c r="H97">
        <f>pogoda46[[#This Row],[stan_po_ubytku]]+pogoda46[[#This Row],[ile_pogoda_dolała]]</f>
        <v>491</v>
      </c>
      <c r="I97" cm="1">
        <f t="array" ref="I97">_xlfn.IFS(OR(pogoda46[[#This Row],[temperatura_srednia]]&lt;=15,pogoda46[[#This Row],[opady]]&gt;0.61),0,pogoda46[[#This Row],[temperatura_srednia]]&gt;30,24000,pogoda46[[#This Row],[temperatura_srednia]]&gt;15,12000)</f>
        <v>12000</v>
      </c>
      <c r="J97">
        <f>IF(pogoda46[[#This Row],[stan_po_dolaniu]]&lt;pogoda46[[#This Row],[ile_podlewamy]],$AB$2-pogoda46[[#This Row],[stan_po_dolaniu]],0)</f>
        <v>24509</v>
      </c>
      <c r="K97">
        <f>pogoda46[[#This Row],[stan_po_dolaniu]]+pogoda46[[#This Row],[ile_dolać_do_podlania]]</f>
        <v>25000</v>
      </c>
      <c r="L97">
        <f>pogoda46[[#This Row],[stan_po_dolaniu_do_podlania]]-pogoda46[[#This Row],[ile_podlewamy]]</f>
        <v>13000</v>
      </c>
      <c r="N97" s="5">
        <v>42190</v>
      </c>
      <c r="O97">
        <v>13000</v>
      </c>
    </row>
    <row r="98" spans="1:15" x14ac:dyDescent="0.25">
      <c r="A98" s="2">
        <v>42191</v>
      </c>
      <c r="B98">
        <v>22</v>
      </c>
      <c r="C98">
        <v>0</v>
      </c>
      <c r="D98">
        <f t="shared" si="1"/>
        <v>13000</v>
      </c>
      <c r="E98">
        <f>IF(C98=0,ROUNDUP($AB$3*POWER(pogoda46[[#This Row],[temperatura_srednia]],1.5)*pogoda46[[#This Row],[stan_przed_dolaniem]],0),0)</f>
        <v>403</v>
      </c>
      <c r="F98">
        <f>pogoda46[[#This Row],[stan_przed_dolaniem]]-pogoda46[[#This Row],[ubytek]]</f>
        <v>12597</v>
      </c>
      <c r="G98">
        <f>IF(pogoda46[[#This Row],[opady]]*$AB$1+D98&gt;$AB$2,$AB$2-pogoda46[[#This Row],[stan_przed_dolaniem]],pogoda46[[#This Row],[opady]]*$AB$1)</f>
        <v>0</v>
      </c>
      <c r="H98">
        <f>pogoda46[[#This Row],[stan_po_ubytku]]+pogoda46[[#This Row],[ile_pogoda_dolała]]</f>
        <v>12597</v>
      </c>
      <c r="I98" cm="1">
        <f t="array" ref="I98">_xlfn.IFS(OR(pogoda46[[#This Row],[temperatura_srednia]]&lt;=15,pogoda46[[#This Row],[opady]]&gt;0.61),0,pogoda46[[#This Row],[temperatura_srednia]]&gt;30,24000,pogoda46[[#This Row],[temperatura_srednia]]&gt;15,12000)</f>
        <v>12000</v>
      </c>
      <c r="J98">
        <f>IF(pogoda46[[#This Row],[stan_po_dolaniu]]&lt;pogoda46[[#This Row],[ile_podlewamy]],$AB$2-pogoda46[[#This Row],[stan_po_dolaniu]],0)</f>
        <v>0</v>
      </c>
      <c r="K98">
        <f>pogoda46[[#This Row],[stan_po_dolaniu]]+pogoda46[[#This Row],[ile_dolać_do_podlania]]</f>
        <v>12597</v>
      </c>
      <c r="L98">
        <f>pogoda46[[#This Row],[stan_po_dolaniu_do_podlania]]-pogoda46[[#This Row],[ile_podlewamy]]</f>
        <v>597</v>
      </c>
      <c r="N98" s="5">
        <v>42191</v>
      </c>
      <c r="O98">
        <v>597</v>
      </c>
    </row>
    <row r="99" spans="1:15" x14ac:dyDescent="0.25">
      <c r="A99" s="2">
        <v>42192</v>
      </c>
      <c r="B99">
        <v>22</v>
      </c>
      <c r="C99">
        <v>18</v>
      </c>
      <c r="D99">
        <f t="shared" si="1"/>
        <v>597</v>
      </c>
      <c r="E99">
        <f>IF(C99=0,ROUNDUP($AB$3*POWER(pogoda46[[#This Row],[temperatura_srednia]],1.5)*pogoda46[[#This Row],[stan_przed_dolaniem]],0),0)</f>
        <v>0</v>
      </c>
      <c r="F99">
        <f>pogoda46[[#This Row],[stan_przed_dolaniem]]-pogoda46[[#This Row],[ubytek]]</f>
        <v>597</v>
      </c>
      <c r="G99">
        <f>IF(pogoda46[[#This Row],[opady]]*$AB$1+D99&gt;$AB$2,$AB$2-pogoda46[[#This Row],[stan_przed_dolaniem]],pogoda46[[#This Row],[opady]]*$AB$1)</f>
        <v>12600</v>
      </c>
      <c r="H99">
        <f>pogoda46[[#This Row],[stan_po_ubytku]]+pogoda46[[#This Row],[ile_pogoda_dolała]]</f>
        <v>13197</v>
      </c>
      <c r="I99" cm="1">
        <f t="array" ref="I99">_xlfn.IFS(OR(pogoda46[[#This Row],[temperatura_srednia]]&lt;=15,pogoda46[[#This Row],[opady]]&gt;0.61),0,pogoda46[[#This Row],[temperatura_srednia]]&gt;30,24000,pogoda46[[#This Row],[temperatura_srednia]]&gt;15,12000)</f>
        <v>0</v>
      </c>
      <c r="J99">
        <f>IF(pogoda46[[#This Row],[stan_po_dolaniu]]&lt;pogoda46[[#This Row],[ile_podlewamy]],$AB$2-pogoda46[[#This Row],[stan_po_dolaniu]],0)</f>
        <v>0</v>
      </c>
      <c r="K99">
        <f>pogoda46[[#This Row],[stan_po_dolaniu]]+pogoda46[[#This Row],[ile_dolać_do_podlania]]</f>
        <v>13197</v>
      </c>
      <c r="L99">
        <f>pogoda46[[#This Row],[stan_po_dolaniu_do_podlania]]-pogoda46[[#This Row],[ile_podlewamy]]</f>
        <v>13197</v>
      </c>
      <c r="N99" s="5">
        <v>42192</v>
      </c>
      <c r="O99">
        <v>13197</v>
      </c>
    </row>
    <row r="100" spans="1:15" x14ac:dyDescent="0.25">
      <c r="A100" s="2">
        <v>42193</v>
      </c>
      <c r="B100">
        <v>20</v>
      </c>
      <c r="C100">
        <v>3</v>
      </c>
      <c r="D100">
        <f t="shared" si="1"/>
        <v>13197</v>
      </c>
      <c r="E100">
        <f>IF(C100=0,ROUNDUP($AB$3*POWER(pogoda46[[#This Row],[temperatura_srednia]],1.5)*pogoda46[[#This Row],[stan_przed_dolaniem]],0),0)</f>
        <v>0</v>
      </c>
      <c r="F100">
        <f>pogoda46[[#This Row],[stan_przed_dolaniem]]-pogoda46[[#This Row],[ubytek]]</f>
        <v>13197</v>
      </c>
      <c r="G100">
        <f>IF(pogoda46[[#This Row],[opady]]*$AB$1+D100&gt;$AB$2,$AB$2-pogoda46[[#This Row],[stan_przed_dolaniem]],pogoda46[[#This Row],[opady]]*$AB$1)</f>
        <v>2100</v>
      </c>
      <c r="H100">
        <f>pogoda46[[#This Row],[stan_po_ubytku]]+pogoda46[[#This Row],[ile_pogoda_dolała]]</f>
        <v>15297</v>
      </c>
      <c r="I100" cm="1">
        <f t="array" ref="I100">_xlfn.IFS(OR(pogoda46[[#This Row],[temperatura_srednia]]&lt;=15,pogoda46[[#This Row],[opady]]&gt;0.61),0,pogoda46[[#This Row],[temperatura_srednia]]&gt;30,24000,pogoda46[[#This Row],[temperatura_srednia]]&gt;15,12000)</f>
        <v>0</v>
      </c>
      <c r="J100">
        <f>IF(pogoda46[[#This Row],[stan_po_dolaniu]]&lt;pogoda46[[#This Row],[ile_podlewamy]],$AB$2-pogoda46[[#This Row],[stan_po_dolaniu]],0)</f>
        <v>0</v>
      </c>
      <c r="K100">
        <f>pogoda46[[#This Row],[stan_po_dolaniu]]+pogoda46[[#This Row],[ile_dolać_do_podlania]]</f>
        <v>15297</v>
      </c>
      <c r="L100">
        <f>pogoda46[[#This Row],[stan_po_dolaniu_do_podlania]]-pogoda46[[#This Row],[ile_podlewamy]]</f>
        <v>15297</v>
      </c>
      <c r="N100" s="5">
        <v>42193</v>
      </c>
      <c r="O100">
        <v>15297</v>
      </c>
    </row>
    <row r="101" spans="1:15" x14ac:dyDescent="0.25">
      <c r="A101" s="2">
        <v>42194</v>
      </c>
      <c r="B101">
        <v>16</v>
      </c>
      <c r="C101">
        <v>0.2</v>
      </c>
      <c r="D101">
        <f t="shared" si="1"/>
        <v>15297</v>
      </c>
      <c r="E101">
        <f>IF(C101=0,ROUNDUP($AB$3*POWER(pogoda46[[#This Row],[temperatura_srednia]],1.5)*pogoda46[[#This Row],[stan_przed_dolaniem]],0),0)</f>
        <v>0</v>
      </c>
      <c r="F101">
        <f>pogoda46[[#This Row],[stan_przed_dolaniem]]-pogoda46[[#This Row],[ubytek]]</f>
        <v>15297</v>
      </c>
      <c r="G101">
        <f>IF(pogoda46[[#This Row],[opady]]*$AB$1+D101&gt;$AB$2,$AB$2-pogoda46[[#This Row],[stan_przed_dolaniem]],pogoda46[[#This Row],[opady]]*$AB$1)</f>
        <v>140</v>
      </c>
      <c r="H101">
        <f>pogoda46[[#This Row],[stan_po_ubytku]]+pogoda46[[#This Row],[ile_pogoda_dolała]]</f>
        <v>15437</v>
      </c>
      <c r="I101" cm="1">
        <f t="array" ref="I101">_xlfn.IFS(OR(pogoda46[[#This Row],[temperatura_srednia]]&lt;=15,pogoda46[[#This Row],[opady]]&gt;0.61),0,pogoda46[[#This Row],[temperatura_srednia]]&gt;30,24000,pogoda46[[#This Row],[temperatura_srednia]]&gt;15,12000)</f>
        <v>12000</v>
      </c>
      <c r="J101">
        <f>IF(pogoda46[[#This Row],[stan_po_dolaniu]]&lt;pogoda46[[#This Row],[ile_podlewamy]],$AB$2-pogoda46[[#This Row],[stan_po_dolaniu]],0)</f>
        <v>0</v>
      </c>
      <c r="K101">
        <f>pogoda46[[#This Row],[stan_po_dolaniu]]+pogoda46[[#This Row],[ile_dolać_do_podlania]]</f>
        <v>15437</v>
      </c>
      <c r="L101">
        <f>pogoda46[[#This Row],[stan_po_dolaniu_do_podlania]]-pogoda46[[#This Row],[ile_podlewamy]]</f>
        <v>3437</v>
      </c>
      <c r="N101" s="5">
        <v>42194</v>
      </c>
      <c r="O101">
        <v>3437</v>
      </c>
    </row>
    <row r="102" spans="1:15" x14ac:dyDescent="0.25">
      <c r="A102" s="2">
        <v>42195</v>
      </c>
      <c r="B102">
        <v>13</v>
      </c>
      <c r="C102">
        <v>12.2</v>
      </c>
      <c r="D102">
        <f t="shared" si="1"/>
        <v>3437</v>
      </c>
      <c r="E102">
        <f>IF(C102=0,ROUNDUP($AB$3*POWER(pogoda46[[#This Row],[temperatura_srednia]],1.5)*pogoda46[[#This Row],[stan_przed_dolaniem]],0),0)</f>
        <v>0</v>
      </c>
      <c r="F102">
        <f>pogoda46[[#This Row],[stan_przed_dolaniem]]-pogoda46[[#This Row],[ubytek]]</f>
        <v>3437</v>
      </c>
      <c r="G102">
        <f>IF(pogoda46[[#This Row],[opady]]*$AB$1+D102&gt;$AB$2,$AB$2-pogoda46[[#This Row],[stan_przed_dolaniem]],pogoda46[[#This Row],[opady]]*$AB$1)</f>
        <v>8540</v>
      </c>
      <c r="H102">
        <f>pogoda46[[#This Row],[stan_po_ubytku]]+pogoda46[[#This Row],[ile_pogoda_dolała]]</f>
        <v>11977</v>
      </c>
      <c r="I102" cm="1">
        <f t="array" ref="I102">_xlfn.IFS(OR(pogoda46[[#This Row],[temperatura_srednia]]&lt;=15,pogoda46[[#This Row],[opady]]&gt;0.61),0,pogoda46[[#This Row],[temperatura_srednia]]&gt;30,24000,pogoda46[[#This Row],[temperatura_srednia]]&gt;15,12000)</f>
        <v>0</v>
      </c>
      <c r="J102">
        <f>IF(pogoda46[[#This Row],[stan_po_dolaniu]]&lt;pogoda46[[#This Row],[ile_podlewamy]],$AB$2-pogoda46[[#This Row],[stan_po_dolaniu]],0)</f>
        <v>0</v>
      </c>
      <c r="K102">
        <f>pogoda46[[#This Row],[stan_po_dolaniu]]+pogoda46[[#This Row],[ile_dolać_do_podlania]]</f>
        <v>11977</v>
      </c>
      <c r="L102">
        <f>pogoda46[[#This Row],[stan_po_dolaniu_do_podlania]]-pogoda46[[#This Row],[ile_podlewamy]]</f>
        <v>11977</v>
      </c>
      <c r="N102" s="5">
        <v>42195</v>
      </c>
      <c r="O102">
        <v>11977</v>
      </c>
    </row>
    <row r="103" spans="1:15" x14ac:dyDescent="0.25">
      <c r="A103" s="2">
        <v>42196</v>
      </c>
      <c r="B103">
        <v>16</v>
      </c>
      <c r="C103">
        <v>0</v>
      </c>
      <c r="D103">
        <f t="shared" si="1"/>
        <v>11977</v>
      </c>
      <c r="E103">
        <f>IF(C103=0,ROUNDUP($AB$3*POWER(pogoda46[[#This Row],[temperatura_srednia]],1.5)*pogoda46[[#This Row],[stan_przed_dolaniem]],0),0)</f>
        <v>230</v>
      </c>
      <c r="F103">
        <f>pogoda46[[#This Row],[stan_przed_dolaniem]]-pogoda46[[#This Row],[ubytek]]</f>
        <v>11747</v>
      </c>
      <c r="G103">
        <f>IF(pogoda46[[#This Row],[opady]]*$AB$1+D103&gt;$AB$2,$AB$2-pogoda46[[#This Row],[stan_przed_dolaniem]],pogoda46[[#This Row],[opady]]*$AB$1)</f>
        <v>0</v>
      </c>
      <c r="H103">
        <f>pogoda46[[#This Row],[stan_po_ubytku]]+pogoda46[[#This Row],[ile_pogoda_dolała]]</f>
        <v>11747</v>
      </c>
      <c r="I103" cm="1">
        <f t="array" ref="I103">_xlfn.IFS(OR(pogoda46[[#This Row],[temperatura_srednia]]&lt;=15,pogoda46[[#This Row],[opady]]&gt;0.61),0,pogoda46[[#This Row],[temperatura_srednia]]&gt;30,24000,pogoda46[[#This Row],[temperatura_srednia]]&gt;15,12000)</f>
        <v>12000</v>
      </c>
      <c r="J103">
        <f>IF(pogoda46[[#This Row],[stan_po_dolaniu]]&lt;pogoda46[[#This Row],[ile_podlewamy]],$AB$2-pogoda46[[#This Row],[stan_po_dolaniu]],0)</f>
        <v>13253</v>
      </c>
      <c r="K103">
        <f>pogoda46[[#This Row],[stan_po_dolaniu]]+pogoda46[[#This Row],[ile_dolać_do_podlania]]</f>
        <v>25000</v>
      </c>
      <c r="L103">
        <f>pogoda46[[#This Row],[stan_po_dolaniu_do_podlania]]-pogoda46[[#This Row],[ile_podlewamy]]</f>
        <v>13000</v>
      </c>
      <c r="N103" s="5">
        <v>42196</v>
      </c>
      <c r="O103">
        <v>13000</v>
      </c>
    </row>
    <row r="104" spans="1:15" x14ac:dyDescent="0.25">
      <c r="A104" s="2">
        <v>42197</v>
      </c>
      <c r="B104">
        <v>18</v>
      </c>
      <c r="C104">
        <v>2</v>
      </c>
      <c r="D104">
        <f t="shared" si="1"/>
        <v>13000</v>
      </c>
      <c r="E104">
        <f>IF(C104=0,ROUNDUP($AB$3*POWER(pogoda46[[#This Row],[temperatura_srednia]],1.5)*pogoda46[[#This Row],[stan_przed_dolaniem]],0),0)</f>
        <v>0</v>
      </c>
      <c r="F104">
        <f>pogoda46[[#This Row],[stan_przed_dolaniem]]-pogoda46[[#This Row],[ubytek]]</f>
        <v>13000</v>
      </c>
      <c r="G104">
        <f>IF(pogoda46[[#This Row],[opady]]*$AB$1+D104&gt;$AB$2,$AB$2-pogoda46[[#This Row],[stan_przed_dolaniem]],pogoda46[[#This Row],[opady]]*$AB$1)</f>
        <v>1400</v>
      </c>
      <c r="H104">
        <f>pogoda46[[#This Row],[stan_po_ubytku]]+pogoda46[[#This Row],[ile_pogoda_dolała]]</f>
        <v>14400</v>
      </c>
      <c r="I104" cm="1">
        <f t="array" ref="I104">_xlfn.IFS(OR(pogoda46[[#This Row],[temperatura_srednia]]&lt;=15,pogoda46[[#This Row],[opady]]&gt;0.61),0,pogoda46[[#This Row],[temperatura_srednia]]&gt;30,24000,pogoda46[[#This Row],[temperatura_srednia]]&gt;15,12000)</f>
        <v>0</v>
      </c>
      <c r="J104">
        <f>IF(pogoda46[[#This Row],[stan_po_dolaniu]]&lt;pogoda46[[#This Row],[ile_podlewamy]],$AB$2-pogoda46[[#This Row],[stan_po_dolaniu]],0)</f>
        <v>0</v>
      </c>
      <c r="K104">
        <f>pogoda46[[#This Row],[stan_po_dolaniu]]+pogoda46[[#This Row],[ile_dolać_do_podlania]]</f>
        <v>14400</v>
      </c>
      <c r="L104">
        <f>pogoda46[[#This Row],[stan_po_dolaniu_do_podlania]]-pogoda46[[#This Row],[ile_podlewamy]]</f>
        <v>14400</v>
      </c>
      <c r="N104" s="5">
        <v>42197</v>
      </c>
      <c r="O104">
        <v>14400</v>
      </c>
    </row>
    <row r="105" spans="1:15" x14ac:dyDescent="0.25">
      <c r="A105" s="2">
        <v>42198</v>
      </c>
      <c r="B105">
        <v>18</v>
      </c>
      <c r="C105">
        <v>12</v>
      </c>
      <c r="D105">
        <f t="shared" si="1"/>
        <v>14400</v>
      </c>
      <c r="E105">
        <f>IF(C105=0,ROUNDUP($AB$3*POWER(pogoda46[[#This Row],[temperatura_srednia]],1.5)*pogoda46[[#This Row],[stan_przed_dolaniem]],0),0)</f>
        <v>0</v>
      </c>
      <c r="F105">
        <f>pogoda46[[#This Row],[stan_przed_dolaniem]]-pogoda46[[#This Row],[ubytek]]</f>
        <v>14400</v>
      </c>
      <c r="G105">
        <f>IF(pogoda46[[#This Row],[opady]]*$AB$1+D105&gt;$AB$2,$AB$2-pogoda46[[#This Row],[stan_przed_dolaniem]],pogoda46[[#This Row],[opady]]*$AB$1)</f>
        <v>8400</v>
      </c>
      <c r="H105">
        <f>pogoda46[[#This Row],[stan_po_ubytku]]+pogoda46[[#This Row],[ile_pogoda_dolała]]</f>
        <v>22800</v>
      </c>
      <c r="I105" cm="1">
        <f t="array" ref="I105">_xlfn.IFS(OR(pogoda46[[#This Row],[temperatura_srednia]]&lt;=15,pogoda46[[#This Row],[opady]]&gt;0.61),0,pogoda46[[#This Row],[temperatura_srednia]]&gt;30,24000,pogoda46[[#This Row],[temperatura_srednia]]&gt;15,12000)</f>
        <v>0</v>
      </c>
      <c r="J105">
        <f>IF(pogoda46[[#This Row],[stan_po_dolaniu]]&lt;pogoda46[[#This Row],[ile_podlewamy]],$AB$2-pogoda46[[#This Row],[stan_po_dolaniu]],0)</f>
        <v>0</v>
      </c>
      <c r="K105">
        <f>pogoda46[[#This Row],[stan_po_dolaniu]]+pogoda46[[#This Row],[ile_dolać_do_podlania]]</f>
        <v>22800</v>
      </c>
      <c r="L105">
        <f>pogoda46[[#This Row],[stan_po_dolaniu_do_podlania]]-pogoda46[[#This Row],[ile_podlewamy]]</f>
        <v>22800</v>
      </c>
      <c r="N105" s="5">
        <v>42198</v>
      </c>
      <c r="O105">
        <v>22800</v>
      </c>
    </row>
    <row r="106" spans="1:15" x14ac:dyDescent="0.25">
      <c r="A106" s="2">
        <v>42199</v>
      </c>
      <c r="B106">
        <v>18</v>
      </c>
      <c r="C106">
        <v>0</v>
      </c>
      <c r="D106">
        <f t="shared" si="1"/>
        <v>22800</v>
      </c>
      <c r="E106">
        <f>IF(C106=0,ROUNDUP($AB$3*POWER(pogoda46[[#This Row],[temperatura_srednia]],1.5)*pogoda46[[#This Row],[stan_przed_dolaniem]],0),0)</f>
        <v>523</v>
      </c>
      <c r="F106">
        <f>pogoda46[[#This Row],[stan_przed_dolaniem]]-pogoda46[[#This Row],[ubytek]]</f>
        <v>22277</v>
      </c>
      <c r="G106">
        <f>IF(pogoda46[[#This Row],[opady]]*$AB$1+D106&gt;$AB$2,$AB$2-pogoda46[[#This Row],[stan_przed_dolaniem]],pogoda46[[#This Row],[opady]]*$AB$1)</f>
        <v>0</v>
      </c>
      <c r="H106">
        <f>pogoda46[[#This Row],[stan_po_ubytku]]+pogoda46[[#This Row],[ile_pogoda_dolała]]</f>
        <v>22277</v>
      </c>
      <c r="I106" cm="1">
        <f t="array" ref="I106">_xlfn.IFS(OR(pogoda46[[#This Row],[temperatura_srednia]]&lt;=15,pogoda46[[#This Row],[opady]]&gt;0.61),0,pogoda46[[#This Row],[temperatura_srednia]]&gt;30,24000,pogoda46[[#This Row],[temperatura_srednia]]&gt;15,12000)</f>
        <v>12000</v>
      </c>
      <c r="J106">
        <f>IF(pogoda46[[#This Row],[stan_po_dolaniu]]&lt;pogoda46[[#This Row],[ile_podlewamy]],$AB$2-pogoda46[[#This Row],[stan_po_dolaniu]],0)</f>
        <v>0</v>
      </c>
      <c r="K106">
        <f>pogoda46[[#This Row],[stan_po_dolaniu]]+pogoda46[[#This Row],[ile_dolać_do_podlania]]</f>
        <v>22277</v>
      </c>
      <c r="L106">
        <f>pogoda46[[#This Row],[stan_po_dolaniu_do_podlania]]-pogoda46[[#This Row],[ile_podlewamy]]</f>
        <v>10277</v>
      </c>
      <c r="N106" s="5">
        <v>42199</v>
      </c>
      <c r="O106">
        <v>10277</v>
      </c>
    </row>
    <row r="107" spans="1:15" x14ac:dyDescent="0.25">
      <c r="A107" s="2">
        <v>42200</v>
      </c>
      <c r="B107">
        <v>18</v>
      </c>
      <c r="C107">
        <v>0</v>
      </c>
      <c r="D107">
        <f t="shared" si="1"/>
        <v>10277</v>
      </c>
      <c r="E107">
        <f>IF(C107=0,ROUNDUP($AB$3*POWER(pogoda46[[#This Row],[temperatura_srednia]],1.5)*pogoda46[[#This Row],[stan_przed_dolaniem]],0),0)</f>
        <v>236</v>
      </c>
      <c r="F107">
        <f>pogoda46[[#This Row],[stan_przed_dolaniem]]-pogoda46[[#This Row],[ubytek]]</f>
        <v>10041</v>
      </c>
      <c r="G107">
        <f>IF(pogoda46[[#This Row],[opady]]*$AB$1+D107&gt;$AB$2,$AB$2-pogoda46[[#This Row],[stan_przed_dolaniem]],pogoda46[[#This Row],[opady]]*$AB$1)</f>
        <v>0</v>
      </c>
      <c r="H107">
        <f>pogoda46[[#This Row],[stan_po_ubytku]]+pogoda46[[#This Row],[ile_pogoda_dolała]]</f>
        <v>10041</v>
      </c>
      <c r="I107" cm="1">
        <f t="array" ref="I107">_xlfn.IFS(OR(pogoda46[[#This Row],[temperatura_srednia]]&lt;=15,pogoda46[[#This Row],[opady]]&gt;0.61),0,pogoda46[[#This Row],[temperatura_srednia]]&gt;30,24000,pogoda46[[#This Row],[temperatura_srednia]]&gt;15,12000)</f>
        <v>12000</v>
      </c>
      <c r="J107">
        <f>IF(pogoda46[[#This Row],[stan_po_dolaniu]]&lt;pogoda46[[#This Row],[ile_podlewamy]],$AB$2-pogoda46[[#This Row],[stan_po_dolaniu]],0)</f>
        <v>14959</v>
      </c>
      <c r="K107">
        <f>pogoda46[[#This Row],[stan_po_dolaniu]]+pogoda46[[#This Row],[ile_dolać_do_podlania]]</f>
        <v>25000</v>
      </c>
      <c r="L107">
        <f>pogoda46[[#This Row],[stan_po_dolaniu_do_podlania]]-pogoda46[[#This Row],[ile_podlewamy]]</f>
        <v>13000</v>
      </c>
      <c r="N107" s="5">
        <v>42200</v>
      </c>
      <c r="O107">
        <v>13000</v>
      </c>
    </row>
    <row r="108" spans="1:15" x14ac:dyDescent="0.25">
      <c r="A108" s="2">
        <v>42201</v>
      </c>
      <c r="B108">
        <v>16</v>
      </c>
      <c r="C108">
        <v>0</v>
      </c>
      <c r="D108">
        <f t="shared" si="1"/>
        <v>13000</v>
      </c>
      <c r="E108">
        <f>IF(C108=0,ROUNDUP($AB$3*POWER(pogoda46[[#This Row],[temperatura_srednia]],1.5)*pogoda46[[#This Row],[stan_przed_dolaniem]],0),0)</f>
        <v>250</v>
      </c>
      <c r="F108">
        <f>pogoda46[[#This Row],[stan_przed_dolaniem]]-pogoda46[[#This Row],[ubytek]]</f>
        <v>12750</v>
      </c>
      <c r="G108">
        <f>IF(pogoda46[[#This Row],[opady]]*$AB$1+D108&gt;$AB$2,$AB$2-pogoda46[[#This Row],[stan_przed_dolaniem]],pogoda46[[#This Row],[opady]]*$AB$1)</f>
        <v>0</v>
      </c>
      <c r="H108">
        <f>pogoda46[[#This Row],[stan_po_ubytku]]+pogoda46[[#This Row],[ile_pogoda_dolała]]</f>
        <v>12750</v>
      </c>
      <c r="I108" cm="1">
        <f t="array" ref="I108">_xlfn.IFS(OR(pogoda46[[#This Row],[temperatura_srednia]]&lt;=15,pogoda46[[#This Row],[opady]]&gt;0.61),0,pogoda46[[#This Row],[temperatura_srednia]]&gt;30,24000,pogoda46[[#This Row],[temperatura_srednia]]&gt;15,12000)</f>
        <v>12000</v>
      </c>
      <c r="J108">
        <f>IF(pogoda46[[#This Row],[stan_po_dolaniu]]&lt;pogoda46[[#This Row],[ile_podlewamy]],$AB$2-pogoda46[[#This Row],[stan_po_dolaniu]],0)</f>
        <v>0</v>
      </c>
      <c r="K108">
        <f>pogoda46[[#This Row],[stan_po_dolaniu]]+pogoda46[[#This Row],[ile_dolać_do_podlania]]</f>
        <v>12750</v>
      </c>
      <c r="L108">
        <f>pogoda46[[#This Row],[stan_po_dolaniu_do_podlania]]-pogoda46[[#This Row],[ile_podlewamy]]</f>
        <v>750</v>
      </c>
      <c r="N108" s="5">
        <v>42201</v>
      </c>
      <c r="O108">
        <v>750</v>
      </c>
    </row>
    <row r="109" spans="1:15" x14ac:dyDescent="0.25">
      <c r="A109" s="2">
        <v>42202</v>
      </c>
      <c r="B109">
        <v>21</v>
      </c>
      <c r="C109">
        <v>0</v>
      </c>
      <c r="D109">
        <f t="shared" si="1"/>
        <v>750</v>
      </c>
      <c r="E109">
        <f>IF(C109=0,ROUNDUP($AB$3*POWER(pogoda46[[#This Row],[temperatura_srednia]],1.5)*pogoda46[[#This Row],[stan_przed_dolaniem]],0),0)</f>
        <v>22</v>
      </c>
      <c r="F109">
        <f>pogoda46[[#This Row],[stan_przed_dolaniem]]-pogoda46[[#This Row],[ubytek]]</f>
        <v>728</v>
      </c>
      <c r="G109">
        <f>IF(pogoda46[[#This Row],[opady]]*$AB$1+D109&gt;$AB$2,$AB$2-pogoda46[[#This Row],[stan_przed_dolaniem]],pogoda46[[#This Row],[opady]]*$AB$1)</f>
        <v>0</v>
      </c>
      <c r="H109">
        <f>pogoda46[[#This Row],[stan_po_ubytku]]+pogoda46[[#This Row],[ile_pogoda_dolała]]</f>
        <v>728</v>
      </c>
      <c r="I109" cm="1">
        <f t="array" ref="I109">_xlfn.IFS(OR(pogoda46[[#This Row],[temperatura_srednia]]&lt;=15,pogoda46[[#This Row],[opady]]&gt;0.61),0,pogoda46[[#This Row],[temperatura_srednia]]&gt;30,24000,pogoda46[[#This Row],[temperatura_srednia]]&gt;15,12000)</f>
        <v>12000</v>
      </c>
      <c r="J109">
        <f>IF(pogoda46[[#This Row],[stan_po_dolaniu]]&lt;pogoda46[[#This Row],[ile_podlewamy]],$AB$2-pogoda46[[#This Row],[stan_po_dolaniu]],0)</f>
        <v>24272</v>
      </c>
      <c r="K109">
        <f>pogoda46[[#This Row],[stan_po_dolaniu]]+pogoda46[[#This Row],[ile_dolać_do_podlania]]</f>
        <v>25000</v>
      </c>
      <c r="L109">
        <f>pogoda46[[#This Row],[stan_po_dolaniu_do_podlania]]-pogoda46[[#This Row],[ile_podlewamy]]</f>
        <v>13000</v>
      </c>
      <c r="N109" s="5">
        <v>42202</v>
      </c>
      <c r="O109">
        <v>13000</v>
      </c>
    </row>
    <row r="110" spans="1:15" x14ac:dyDescent="0.25">
      <c r="A110" s="2">
        <v>42203</v>
      </c>
      <c r="B110">
        <v>26</v>
      </c>
      <c r="C110">
        <v>0</v>
      </c>
      <c r="D110">
        <f t="shared" si="1"/>
        <v>13000</v>
      </c>
      <c r="E110">
        <f>IF(C110=0,ROUNDUP($AB$3*POWER(pogoda46[[#This Row],[temperatura_srednia]],1.5)*pogoda46[[#This Row],[stan_przed_dolaniem]],0),0)</f>
        <v>518</v>
      </c>
      <c r="F110">
        <f>pogoda46[[#This Row],[stan_przed_dolaniem]]-pogoda46[[#This Row],[ubytek]]</f>
        <v>12482</v>
      </c>
      <c r="G110">
        <f>IF(pogoda46[[#This Row],[opady]]*$AB$1+D110&gt;$AB$2,$AB$2-pogoda46[[#This Row],[stan_przed_dolaniem]],pogoda46[[#This Row],[opady]]*$AB$1)</f>
        <v>0</v>
      </c>
      <c r="H110">
        <f>pogoda46[[#This Row],[stan_po_ubytku]]+pogoda46[[#This Row],[ile_pogoda_dolała]]</f>
        <v>12482</v>
      </c>
      <c r="I110" cm="1">
        <f t="array" ref="I110">_xlfn.IFS(OR(pogoda46[[#This Row],[temperatura_srednia]]&lt;=15,pogoda46[[#This Row],[opady]]&gt;0.61),0,pogoda46[[#This Row],[temperatura_srednia]]&gt;30,24000,pogoda46[[#This Row],[temperatura_srednia]]&gt;15,12000)</f>
        <v>12000</v>
      </c>
      <c r="J110">
        <f>IF(pogoda46[[#This Row],[stan_po_dolaniu]]&lt;pogoda46[[#This Row],[ile_podlewamy]],$AB$2-pogoda46[[#This Row],[stan_po_dolaniu]],0)</f>
        <v>0</v>
      </c>
      <c r="K110">
        <f>pogoda46[[#This Row],[stan_po_dolaniu]]+pogoda46[[#This Row],[ile_dolać_do_podlania]]</f>
        <v>12482</v>
      </c>
      <c r="L110">
        <f>pogoda46[[#This Row],[stan_po_dolaniu_do_podlania]]-pogoda46[[#This Row],[ile_podlewamy]]</f>
        <v>482</v>
      </c>
      <c r="N110" s="5">
        <v>42203</v>
      </c>
      <c r="O110">
        <v>482</v>
      </c>
    </row>
    <row r="111" spans="1:15" x14ac:dyDescent="0.25">
      <c r="A111" s="2">
        <v>42204</v>
      </c>
      <c r="B111">
        <v>23</v>
      </c>
      <c r="C111">
        <v>18</v>
      </c>
      <c r="D111">
        <f t="shared" si="1"/>
        <v>482</v>
      </c>
      <c r="E111">
        <f>IF(C111=0,ROUNDUP($AB$3*POWER(pogoda46[[#This Row],[temperatura_srednia]],1.5)*pogoda46[[#This Row],[stan_przed_dolaniem]],0),0)</f>
        <v>0</v>
      </c>
      <c r="F111">
        <f>pogoda46[[#This Row],[stan_przed_dolaniem]]-pogoda46[[#This Row],[ubytek]]</f>
        <v>482</v>
      </c>
      <c r="G111">
        <f>IF(pogoda46[[#This Row],[opady]]*$AB$1+D111&gt;$AB$2,$AB$2-pogoda46[[#This Row],[stan_przed_dolaniem]],pogoda46[[#This Row],[opady]]*$AB$1)</f>
        <v>12600</v>
      </c>
      <c r="H111">
        <f>pogoda46[[#This Row],[stan_po_ubytku]]+pogoda46[[#This Row],[ile_pogoda_dolała]]</f>
        <v>13082</v>
      </c>
      <c r="I111" cm="1">
        <f t="array" ref="I111">_xlfn.IFS(OR(pogoda46[[#This Row],[temperatura_srednia]]&lt;=15,pogoda46[[#This Row],[opady]]&gt;0.61),0,pogoda46[[#This Row],[temperatura_srednia]]&gt;30,24000,pogoda46[[#This Row],[temperatura_srednia]]&gt;15,12000)</f>
        <v>0</v>
      </c>
      <c r="J111">
        <f>IF(pogoda46[[#This Row],[stan_po_dolaniu]]&lt;pogoda46[[#This Row],[ile_podlewamy]],$AB$2-pogoda46[[#This Row],[stan_po_dolaniu]],0)</f>
        <v>0</v>
      </c>
      <c r="K111">
        <f>pogoda46[[#This Row],[stan_po_dolaniu]]+pogoda46[[#This Row],[ile_dolać_do_podlania]]</f>
        <v>13082</v>
      </c>
      <c r="L111">
        <f>pogoda46[[#This Row],[stan_po_dolaniu_do_podlania]]-pogoda46[[#This Row],[ile_podlewamy]]</f>
        <v>13082</v>
      </c>
      <c r="N111" s="5">
        <v>42204</v>
      </c>
      <c r="O111">
        <v>13082</v>
      </c>
    </row>
    <row r="112" spans="1:15" x14ac:dyDescent="0.25">
      <c r="A112" s="2">
        <v>42205</v>
      </c>
      <c r="B112">
        <v>19</v>
      </c>
      <c r="C112">
        <v>0</v>
      </c>
      <c r="D112">
        <f t="shared" si="1"/>
        <v>13082</v>
      </c>
      <c r="E112">
        <f>IF(C112=0,ROUNDUP($AB$3*POWER(pogoda46[[#This Row],[temperatura_srednia]],1.5)*pogoda46[[#This Row],[stan_przed_dolaniem]],0),0)</f>
        <v>326</v>
      </c>
      <c r="F112">
        <f>pogoda46[[#This Row],[stan_przed_dolaniem]]-pogoda46[[#This Row],[ubytek]]</f>
        <v>12756</v>
      </c>
      <c r="G112">
        <f>IF(pogoda46[[#This Row],[opady]]*$AB$1+D112&gt;$AB$2,$AB$2-pogoda46[[#This Row],[stan_przed_dolaniem]],pogoda46[[#This Row],[opady]]*$AB$1)</f>
        <v>0</v>
      </c>
      <c r="H112">
        <f>pogoda46[[#This Row],[stan_po_ubytku]]+pogoda46[[#This Row],[ile_pogoda_dolała]]</f>
        <v>12756</v>
      </c>
      <c r="I112" cm="1">
        <f t="array" ref="I112">_xlfn.IFS(OR(pogoda46[[#This Row],[temperatura_srednia]]&lt;=15,pogoda46[[#This Row],[opady]]&gt;0.61),0,pogoda46[[#This Row],[temperatura_srednia]]&gt;30,24000,pogoda46[[#This Row],[temperatura_srednia]]&gt;15,12000)</f>
        <v>12000</v>
      </c>
      <c r="J112">
        <f>IF(pogoda46[[#This Row],[stan_po_dolaniu]]&lt;pogoda46[[#This Row],[ile_podlewamy]],$AB$2-pogoda46[[#This Row],[stan_po_dolaniu]],0)</f>
        <v>0</v>
      </c>
      <c r="K112">
        <f>pogoda46[[#This Row],[stan_po_dolaniu]]+pogoda46[[#This Row],[ile_dolać_do_podlania]]</f>
        <v>12756</v>
      </c>
      <c r="L112">
        <f>pogoda46[[#This Row],[stan_po_dolaniu_do_podlania]]-pogoda46[[#This Row],[ile_podlewamy]]</f>
        <v>756</v>
      </c>
      <c r="N112" s="5">
        <v>42205</v>
      </c>
      <c r="O112">
        <v>756</v>
      </c>
    </row>
    <row r="113" spans="1:15" x14ac:dyDescent="0.25">
      <c r="A113" s="2">
        <v>42206</v>
      </c>
      <c r="B113">
        <v>20</v>
      </c>
      <c r="C113">
        <v>6</v>
      </c>
      <c r="D113">
        <f t="shared" si="1"/>
        <v>756</v>
      </c>
      <c r="E113">
        <f>IF(C113=0,ROUNDUP($AB$3*POWER(pogoda46[[#This Row],[temperatura_srednia]],1.5)*pogoda46[[#This Row],[stan_przed_dolaniem]],0),0)</f>
        <v>0</v>
      </c>
      <c r="F113">
        <f>pogoda46[[#This Row],[stan_przed_dolaniem]]-pogoda46[[#This Row],[ubytek]]</f>
        <v>756</v>
      </c>
      <c r="G113">
        <f>IF(pogoda46[[#This Row],[opady]]*$AB$1+D113&gt;$AB$2,$AB$2-pogoda46[[#This Row],[stan_przed_dolaniem]],pogoda46[[#This Row],[opady]]*$AB$1)</f>
        <v>4200</v>
      </c>
      <c r="H113">
        <f>pogoda46[[#This Row],[stan_po_ubytku]]+pogoda46[[#This Row],[ile_pogoda_dolała]]</f>
        <v>4956</v>
      </c>
      <c r="I113" cm="1">
        <f t="array" ref="I113">_xlfn.IFS(OR(pogoda46[[#This Row],[temperatura_srednia]]&lt;=15,pogoda46[[#This Row],[opady]]&gt;0.61),0,pogoda46[[#This Row],[temperatura_srednia]]&gt;30,24000,pogoda46[[#This Row],[temperatura_srednia]]&gt;15,12000)</f>
        <v>0</v>
      </c>
      <c r="J113">
        <f>IF(pogoda46[[#This Row],[stan_po_dolaniu]]&lt;pogoda46[[#This Row],[ile_podlewamy]],$AB$2-pogoda46[[#This Row],[stan_po_dolaniu]],0)</f>
        <v>0</v>
      </c>
      <c r="K113">
        <f>pogoda46[[#This Row],[stan_po_dolaniu]]+pogoda46[[#This Row],[ile_dolać_do_podlania]]</f>
        <v>4956</v>
      </c>
      <c r="L113">
        <f>pogoda46[[#This Row],[stan_po_dolaniu_do_podlania]]-pogoda46[[#This Row],[ile_podlewamy]]</f>
        <v>4956</v>
      </c>
      <c r="N113" s="5">
        <v>42206</v>
      </c>
      <c r="O113">
        <v>4956</v>
      </c>
    </row>
    <row r="114" spans="1:15" x14ac:dyDescent="0.25">
      <c r="A114" s="2">
        <v>42207</v>
      </c>
      <c r="B114">
        <v>22</v>
      </c>
      <c r="C114">
        <v>0</v>
      </c>
      <c r="D114">
        <f t="shared" si="1"/>
        <v>4956</v>
      </c>
      <c r="E114">
        <f>IF(C114=0,ROUNDUP($AB$3*POWER(pogoda46[[#This Row],[temperatura_srednia]],1.5)*pogoda46[[#This Row],[stan_przed_dolaniem]],0),0)</f>
        <v>154</v>
      </c>
      <c r="F114">
        <f>pogoda46[[#This Row],[stan_przed_dolaniem]]-pogoda46[[#This Row],[ubytek]]</f>
        <v>4802</v>
      </c>
      <c r="G114">
        <f>IF(pogoda46[[#This Row],[opady]]*$AB$1+D114&gt;$AB$2,$AB$2-pogoda46[[#This Row],[stan_przed_dolaniem]],pogoda46[[#This Row],[opady]]*$AB$1)</f>
        <v>0</v>
      </c>
      <c r="H114">
        <f>pogoda46[[#This Row],[stan_po_ubytku]]+pogoda46[[#This Row],[ile_pogoda_dolała]]</f>
        <v>4802</v>
      </c>
      <c r="I114" cm="1">
        <f t="array" ref="I114">_xlfn.IFS(OR(pogoda46[[#This Row],[temperatura_srednia]]&lt;=15,pogoda46[[#This Row],[opady]]&gt;0.61),0,pogoda46[[#This Row],[temperatura_srednia]]&gt;30,24000,pogoda46[[#This Row],[temperatura_srednia]]&gt;15,12000)</f>
        <v>12000</v>
      </c>
      <c r="J114">
        <f>IF(pogoda46[[#This Row],[stan_po_dolaniu]]&lt;pogoda46[[#This Row],[ile_podlewamy]],$AB$2-pogoda46[[#This Row],[stan_po_dolaniu]],0)</f>
        <v>20198</v>
      </c>
      <c r="K114">
        <f>pogoda46[[#This Row],[stan_po_dolaniu]]+pogoda46[[#This Row],[ile_dolać_do_podlania]]</f>
        <v>25000</v>
      </c>
      <c r="L114">
        <f>pogoda46[[#This Row],[stan_po_dolaniu_do_podlania]]-pogoda46[[#This Row],[ile_podlewamy]]</f>
        <v>13000</v>
      </c>
      <c r="N114" s="5">
        <v>42207</v>
      </c>
      <c r="O114">
        <v>13000</v>
      </c>
    </row>
    <row r="115" spans="1:15" x14ac:dyDescent="0.25">
      <c r="A115" s="2">
        <v>42208</v>
      </c>
      <c r="B115">
        <v>20</v>
      </c>
      <c r="C115">
        <v>0</v>
      </c>
      <c r="D115">
        <f t="shared" si="1"/>
        <v>13000</v>
      </c>
      <c r="E115">
        <f>IF(C115=0,ROUNDUP($AB$3*POWER(pogoda46[[#This Row],[temperatura_srednia]],1.5)*pogoda46[[#This Row],[stan_przed_dolaniem]],0),0)</f>
        <v>349</v>
      </c>
      <c r="F115">
        <f>pogoda46[[#This Row],[stan_przed_dolaniem]]-pogoda46[[#This Row],[ubytek]]</f>
        <v>12651</v>
      </c>
      <c r="G115">
        <f>IF(pogoda46[[#This Row],[opady]]*$AB$1+D115&gt;$AB$2,$AB$2-pogoda46[[#This Row],[stan_przed_dolaniem]],pogoda46[[#This Row],[opady]]*$AB$1)</f>
        <v>0</v>
      </c>
      <c r="H115">
        <f>pogoda46[[#This Row],[stan_po_ubytku]]+pogoda46[[#This Row],[ile_pogoda_dolała]]</f>
        <v>12651</v>
      </c>
      <c r="I115" cm="1">
        <f t="array" ref="I115">_xlfn.IFS(OR(pogoda46[[#This Row],[temperatura_srednia]]&lt;=15,pogoda46[[#This Row],[opady]]&gt;0.61),0,pogoda46[[#This Row],[temperatura_srednia]]&gt;30,24000,pogoda46[[#This Row],[temperatura_srednia]]&gt;15,12000)</f>
        <v>12000</v>
      </c>
      <c r="J115">
        <f>IF(pogoda46[[#This Row],[stan_po_dolaniu]]&lt;pogoda46[[#This Row],[ile_podlewamy]],$AB$2-pogoda46[[#This Row],[stan_po_dolaniu]],0)</f>
        <v>0</v>
      </c>
      <c r="K115">
        <f>pogoda46[[#This Row],[stan_po_dolaniu]]+pogoda46[[#This Row],[ile_dolać_do_podlania]]</f>
        <v>12651</v>
      </c>
      <c r="L115">
        <f>pogoda46[[#This Row],[stan_po_dolaniu_do_podlania]]-pogoda46[[#This Row],[ile_podlewamy]]</f>
        <v>651</v>
      </c>
      <c r="N115" s="5">
        <v>42208</v>
      </c>
      <c r="O115">
        <v>651</v>
      </c>
    </row>
    <row r="116" spans="1:15" x14ac:dyDescent="0.25">
      <c r="A116" s="2">
        <v>42209</v>
      </c>
      <c r="B116">
        <v>20</v>
      </c>
      <c r="C116">
        <v>0</v>
      </c>
      <c r="D116">
        <f t="shared" si="1"/>
        <v>651</v>
      </c>
      <c r="E116">
        <f>IF(C116=0,ROUNDUP($AB$3*POWER(pogoda46[[#This Row],[temperatura_srednia]],1.5)*pogoda46[[#This Row],[stan_przed_dolaniem]],0),0)</f>
        <v>18</v>
      </c>
      <c r="F116">
        <f>pogoda46[[#This Row],[stan_przed_dolaniem]]-pogoda46[[#This Row],[ubytek]]</f>
        <v>633</v>
      </c>
      <c r="G116">
        <f>IF(pogoda46[[#This Row],[opady]]*$AB$1+D116&gt;$AB$2,$AB$2-pogoda46[[#This Row],[stan_przed_dolaniem]],pogoda46[[#This Row],[opady]]*$AB$1)</f>
        <v>0</v>
      </c>
      <c r="H116">
        <f>pogoda46[[#This Row],[stan_po_ubytku]]+pogoda46[[#This Row],[ile_pogoda_dolała]]</f>
        <v>633</v>
      </c>
      <c r="I116" cm="1">
        <f t="array" ref="I116">_xlfn.IFS(OR(pogoda46[[#This Row],[temperatura_srednia]]&lt;=15,pogoda46[[#This Row],[opady]]&gt;0.61),0,pogoda46[[#This Row],[temperatura_srednia]]&gt;30,24000,pogoda46[[#This Row],[temperatura_srednia]]&gt;15,12000)</f>
        <v>12000</v>
      </c>
      <c r="J116">
        <f>IF(pogoda46[[#This Row],[stan_po_dolaniu]]&lt;pogoda46[[#This Row],[ile_podlewamy]],$AB$2-pogoda46[[#This Row],[stan_po_dolaniu]],0)</f>
        <v>24367</v>
      </c>
      <c r="K116">
        <f>pogoda46[[#This Row],[stan_po_dolaniu]]+pogoda46[[#This Row],[ile_dolać_do_podlania]]</f>
        <v>25000</v>
      </c>
      <c r="L116">
        <f>pogoda46[[#This Row],[stan_po_dolaniu_do_podlania]]-pogoda46[[#This Row],[ile_podlewamy]]</f>
        <v>13000</v>
      </c>
      <c r="N116" s="5">
        <v>42209</v>
      </c>
      <c r="O116">
        <v>13000</v>
      </c>
    </row>
    <row r="117" spans="1:15" x14ac:dyDescent="0.25">
      <c r="A117" s="2">
        <v>42210</v>
      </c>
      <c r="B117">
        <v>23</v>
      </c>
      <c r="C117">
        <v>0.1</v>
      </c>
      <c r="D117">
        <f t="shared" si="1"/>
        <v>13000</v>
      </c>
      <c r="E117">
        <f>IF(C117=0,ROUNDUP($AB$3*POWER(pogoda46[[#This Row],[temperatura_srednia]],1.5)*pogoda46[[#This Row],[stan_przed_dolaniem]],0),0)</f>
        <v>0</v>
      </c>
      <c r="F117">
        <f>pogoda46[[#This Row],[stan_przed_dolaniem]]-pogoda46[[#This Row],[ubytek]]</f>
        <v>13000</v>
      </c>
      <c r="G117">
        <f>IF(pogoda46[[#This Row],[opady]]*$AB$1+D117&gt;$AB$2,$AB$2-pogoda46[[#This Row],[stan_przed_dolaniem]],pogoda46[[#This Row],[opady]]*$AB$1)</f>
        <v>70</v>
      </c>
      <c r="H117">
        <f>pogoda46[[#This Row],[stan_po_ubytku]]+pogoda46[[#This Row],[ile_pogoda_dolała]]</f>
        <v>13070</v>
      </c>
      <c r="I117" cm="1">
        <f t="array" ref="I117">_xlfn.IFS(OR(pogoda46[[#This Row],[temperatura_srednia]]&lt;=15,pogoda46[[#This Row],[opady]]&gt;0.61),0,pogoda46[[#This Row],[temperatura_srednia]]&gt;30,24000,pogoda46[[#This Row],[temperatura_srednia]]&gt;15,12000)</f>
        <v>12000</v>
      </c>
      <c r="J117">
        <f>IF(pogoda46[[#This Row],[stan_po_dolaniu]]&lt;pogoda46[[#This Row],[ile_podlewamy]],$AB$2-pogoda46[[#This Row],[stan_po_dolaniu]],0)</f>
        <v>0</v>
      </c>
      <c r="K117">
        <f>pogoda46[[#This Row],[stan_po_dolaniu]]+pogoda46[[#This Row],[ile_dolać_do_podlania]]</f>
        <v>13070</v>
      </c>
      <c r="L117">
        <f>pogoda46[[#This Row],[stan_po_dolaniu_do_podlania]]-pogoda46[[#This Row],[ile_podlewamy]]</f>
        <v>1070</v>
      </c>
      <c r="N117" s="5">
        <v>42210</v>
      </c>
      <c r="O117">
        <v>1070</v>
      </c>
    </row>
    <row r="118" spans="1:15" x14ac:dyDescent="0.25">
      <c r="A118" s="2">
        <v>42211</v>
      </c>
      <c r="B118">
        <v>16</v>
      </c>
      <c r="C118">
        <v>0</v>
      </c>
      <c r="D118">
        <f t="shared" si="1"/>
        <v>1070</v>
      </c>
      <c r="E118">
        <f>IF(C118=0,ROUNDUP($AB$3*POWER(pogoda46[[#This Row],[temperatura_srednia]],1.5)*pogoda46[[#This Row],[stan_przed_dolaniem]],0),0)</f>
        <v>21</v>
      </c>
      <c r="F118">
        <f>pogoda46[[#This Row],[stan_przed_dolaniem]]-pogoda46[[#This Row],[ubytek]]</f>
        <v>1049</v>
      </c>
      <c r="G118">
        <f>IF(pogoda46[[#This Row],[opady]]*$AB$1+D118&gt;$AB$2,$AB$2-pogoda46[[#This Row],[stan_przed_dolaniem]],pogoda46[[#This Row],[opady]]*$AB$1)</f>
        <v>0</v>
      </c>
      <c r="H118">
        <f>pogoda46[[#This Row],[stan_po_ubytku]]+pogoda46[[#This Row],[ile_pogoda_dolała]]</f>
        <v>1049</v>
      </c>
      <c r="I118" cm="1">
        <f t="array" ref="I118">_xlfn.IFS(OR(pogoda46[[#This Row],[temperatura_srednia]]&lt;=15,pogoda46[[#This Row],[opady]]&gt;0.61),0,pogoda46[[#This Row],[temperatura_srednia]]&gt;30,24000,pogoda46[[#This Row],[temperatura_srednia]]&gt;15,12000)</f>
        <v>12000</v>
      </c>
      <c r="J118">
        <f>IF(pogoda46[[#This Row],[stan_po_dolaniu]]&lt;pogoda46[[#This Row],[ile_podlewamy]],$AB$2-pogoda46[[#This Row],[stan_po_dolaniu]],0)</f>
        <v>23951</v>
      </c>
      <c r="K118">
        <f>pogoda46[[#This Row],[stan_po_dolaniu]]+pogoda46[[#This Row],[ile_dolać_do_podlania]]</f>
        <v>25000</v>
      </c>
      <c r="L118">
        <f>pogoda46[[#This Row],[stan_po_dolaniu_do_podlania]]-pogoda46[[#This Row],[ile_podlewamy]]</f>
        <v>13000</v>
      </c>
      <c r="N118" s="5">
        <v>42211</v>
      </c>
      <c r="O118">
        <v>13000</v>
      </c>
    </row>
    <row r="119" spans="1:15" x14ac:dyDescent="0.25">
      <c r="A119" s="2">
        <v>42212</v>
      </c>
      <c r="B119">
        <v>16</v>
      </c>
      <c r="C119">
        <v>0.1</v>
      </c>
      <c r="D119">
        <f t="shared" si="1"/>
        <v>13000</v>
      </c>
      <c r="E119">
        <f>IF(C119=0,ROUNDUP($AB$3*POWER(pogoda46[[#This Row],[temperatura_srednia]],1.5)*pogoda46[[#This Row],[stan_przed_dolaniem]],0),0)</f>
        <v>0</v>
      </c>
      <c r="F119">
        <f>pogoda46[[#This Row],[stan_przed_dolaniem]]-pogoda46[[#This Row],[ubytek]]</f>
        <v>13000</v>
      </c>
      <c r="G119">
        <f>IF(pogoda46[[#This Row],[opady]]*$AB$1+D119&gt;$AB$2,$AB$2-pogoda46[[#This Row],[stan_przed_dolaniem]],pogoda46[[#This Row],[opady]]*$AB$1)</f>
        <v>70</v>
      </c>
      <c r="H119">
        <f>pogoda46[[#This Row],[stan_po_ubytku]]+pogoda46[[#This Row],[ile_pogoda_dolała]]</f>
        <v>13070</v>
      </c>
      <c r="I119" cm="1">
        <f t="array" ref="I119">_xlfn.IFS(OR(pogoda46[[#This Row],[temperatura_srednia]]&lt;=15,pogoda46[[#This Row],[opady]]&gt;0.61),0,pogoda46[[#This Row],[temperatura_srednia]]&gt;30,24000,pogoda46[[#This Row],[temperatura_srednia]]&gt;15,12000)</f>
        <v>12000</v>
      </c>
      <c r="J119">
        <f>IF(pogoda46[[#This Row],[stan_po_dolaniu]]&lt;pogoda46[[#This Row],[ile_podlewamy]],$AB$2-pogoda46[[#This Row],[stan_po_dolaniu]],0)</f>
        <v>0</v>
      </c>
      <c r="K119">
        <f>pogoda46[[#This Row],[stan_po_dolaniu]]+pogoda46[[#This Row],[ile_dolać_do_podlania]]</f>
        <v>13070</v>
      </c>
      <c r="L119">
        <f>pogoda46[[#This Row],[stan_po_dolaniu_do_podlania]]-pogoda46[[#This Row],[ile_podlewamy]]</f>
        <v>1070</v>
      </c>
      <c r="N119" s="5">
        <v>42212</v>
      </c>
      <c r="O119">
        <v>1070</v>
      </c>
    </row>
    <row r="120" spans="1:15" x14ac:dyDescent="0.25">
      <c r="A120" s="2">
        <v>42213</v>
      </c>
      <c r="B120">
        <v>18</v>
      </c>
      <c r="C120">
        <v>0.3</v>
      </c>
      <c r="D120">
        <f t="shared" si="1"/>
        <v>1070</v>
      </c>
      <c r="E120">
        <f>IF(C120=0,ROUNDUP($AB$3*POWER(pogoda46[[#This Row],[temperatura_srednia]],1.5)*pogoda46[[#This Row],[stan_przed_dolaniem]],0),0)</f>
        <v>0</v>
      </c>
      <c r="F120">
        <f>pogoda46[[#This Row],[stan_przed_dolaniem]]-pogoda46[[#This Row],[ubytek]]</f>
        <v>1070</v>
      </c>
      <c r="G120">
        <f>IF(pogoda46[[#This Row],[opady]]*$AB$1+D120&gt;$AB$2,$AB$2-pogoda46[[#This Row],[stan_przed_dolaniem]],pogoda46[[#This Row],[opady]]*$AB$1)</f>
        <v>210</v>
      </c>
      <c r="H120">
        <f>pogoda46[[#This Row],[stan_po_ubytku]]+pogoda46[[#This Row],[ile_pogoda_dolała]]</f>
        <v>1280</v>
      </c>
      <c r="I120" cm="1">
        <f t="array" ref="I120">_xlfn.IFS(OR(pogoda46[[#This Row],[temperatura_srednia]]&lt;=15,pogoda46[[#This Row],[opady]]&gt;0.61),0,pogoda46[[#This Row],[temperatura_srednia]]&gt;30,24000,pogoda46[[#This Row],[temperatura_srednia]]&gt;15,12000)</f>
        <v>12000</v>
      </c>
      <c r="J120">
        <f>IF(pogoda46[[#This Row],[stan_po_dolaniu]]&lt;pogoda46[[#This Row],[ile_podlewamy]],$AB$2-pogoda46[[#This Row],[stan_po_dolaniu]],0)</f>
        <v>23720</v>
      </c>
      <c r="K120">
        <f>pogoda46[[#This Row],[stan_po_dolaniu]]+pogoda46[[#This Row],[ile_dolać_do_podlania]]</f>
        <v>25000</v>
      </c>
      <c r="L120">
        <f>pogoda46[[#This Row],[stan_po_dolaniu_do_podlania]]-pogoda46[[#This Row],[ile_podlewamy]]</f>
        <v>13000</v>
      </c>
      <c r="N120" s="5">
        <v>42213</v>
      </c>
      <c r="O120">
        <v>13000</v>
      </c>
    </row>
    <row r="121" spans="1:15" x14ac:dyDescent="0.25">
      <c r="A121" s="2">
        <v>42214</v>
      </c>
      <c r="B121">
        <v>18</v>
      </c>
      <c r="C121">
        <v>0</v>
      </c>
      <c r="D121">
        <f t="shared" si="1"/>
        <v>13000</v>
      </c>
      <c r="E121">
        <f>IF(C121=0,ROUNDUP($AB$3*POWER(pogoda46[[#This Row],[temperatura_srednia]],1.5)*pogoda46[[#This Row],[stan_przed_dolaniem]],0),0)</f>
        <v>298</v>
      </c>
      <c r="F121">
        <f>pogoda46[[#This Row],[stan_przed_dolaniem]]-pogoda46[[#This Row],[ubytek]]</f>
        <v>12702</v>
      </c>
      <c r="G121">
        <f>IF(pogoda46[[#This Row],[opady]]*$AB$1+D121&gt;$AB$2,$AB$2-pogoda46[[#This Row],[stan_przed_dolaniem]],pogoda46[[#This Row],[opady]]*$AB$1)</f>
        <v>0</v>
      </c>
      <c r="H121">
        <f>pogoda46[[#This Row],[stan_po_ubytku]]+pogoda46[[#This Row],[ile_pogoda_dolała]]</f>
        <v>12702</v>
      </c>
      <c r="I121" cm="1">
        <f t="array" ref="I121">_xlfn.IFS(OR(pogoda46[[#This Row],[temperatura_srednia]]&lt;=15,pogoda46[[#This Row],[opady]]&gt;0.61),0,pogoda46[[#This Row],[temperatura_srednia]]&gt;30,24000,pogoda46[[#This Row],[temperatura_srednia]]&gt;15,12000)</f>
        <v>12000</v>
      </c>
      <c r="J121">
        <f>IF(pogoda46[[#This Row],[stan_po_dolaniu]]&lt;pogoda46[[#This Row],[ile_podlewamy]],$AB$2-pogoda46[[#This Row],[stan_po_dolaniu]],0)</f>
        <v>0</v>
      </c>
      <c r="K121">
        <f>pogoda46[[#This Row],[stan_po_dolaniu]]+pogoda46[[#This Row],[ile_dolać_do_podlania]]</f>
        <v>12702</v>
      </c>
      <c r="L121">
        <f>pogoda46[[#This Row],[stan_po_dolaniu_do_podlania]]-pogoda46[[#This Row],[ile_podlewamy]]</f>
        <v>702</v>
      </c>
      <c r="N121" s="5">
        <v>42214</v>
      </c>
      <c r="O121">
        <v>702</v>
      </c>
    </row>
    <row r="122" spans="1:15" x14ac:dyDescent="0.25">
      <c r="A122" s="2">
        <v>42215</v>
      </c>
      <c r="B122">
        <v>14</v>
      </c>
      <c r="C122">
        <v>0</v>
      </c>
      <c r="D122">
        <f t="shared" si="1"/>
        <v>702</v>
      </c>
      <c r="E122">
        <f>IF(C122=0,ROUNDUP($AB$3*POWER(pogoda46[[#This Row],[temperatura_srednia]],1.5)*pogoda46[[#This Row],[stan_przed_dolaniem]],0),0)</f>
        <v>12</v>
      </c>
      <c r="F122">
        <f>pogoda46[[#This Row],[stan_przed_dolaniem]]-pogoda46[[#This Row],[ubytek]]</f>
        <v>690</v>
      </c>
      <c r="G122">
        <f>IF(pogoda46[[#This Row],[opady]]*$AB$1+D122&gt;$AB$2,$AB$2-pogoda46[[#This Row],[stan_przed_dolaniem]],pogoda46[[#This Row],[opady]]*$AB$1)</f>
        <v>0</v>
      </c>
      <c r="H122">
        <f>pogoda46[[#This Row],[stan_po_ubytku]]+pogoda46[[#This Row],[ile_pogoda_dolała]]</f>
        <v>690</v>
      </c>
      <c r="I122" cm="1">
        <f t="array" ref="I122">_xlfn.IFS(OR(pogoda46[[#This Row],[temperatura_srednia]]&lt;=15,pogoda46[[#This Row],[opady]]&gt;0.61),0,pogoda46[[#This Row],[temperatura_srednia]]&gt;30,24000,pogoda46[[#This Row],[temperatura_srednia]]&gt;15,12000)</f>
        <v>0</v>
      </c>
      <c r="J122">
        <f>IF(pogoda46[[#This Row],[stan_po_dolaniu]]&lt;pogoda46[[#This Row],[ile_podlewamy]],$AB$2-pogoda46[[#This Row],[stan_po_dolaniu]],0)</f>
        <v>0</v>
      </c>
      <c r="K122">
        <f>pogoda46[[#This Row],[stan_po_dolaniu]]+pogoda46[[#This Row],[ile_dolać_do_podlania]]</f>
        <v>690</v>
      </c>
      <c r="L122">
        <f>pogoda46[[#This Row],[stan_po_dolaniu_do_podlania]]-pogoda46[[#This Row],[ile_podlewamy]]</f>
        <v>690</v>
      </c>
      <c r="N122" s="5">
        <v>42215</v>
      </c>
      <c r="O122">
        <v>690</v>
      </c>
    </row>
    <row r="123" spans="1:15" x14ac:dyDescent="0.25">
      <c r="A123" s="2">
        <v>42216</v>
      </c>
      <c r="B123">
        <v>14</v>
      </c>
      <c r="C123">
        <v>0</v>
      </c>
      <c r="D123">
        <f t="shared" si="1"/>
        <v>690</v>
      </c>
      <c r="E123">
        <f>IF(C123=0,ROUNDUP($AB$3*POWER(pogoda46[[#This Row],[temperatura_srednia]],1.5)*pogoda46[[#This Row],[stan_przed_dolaniem]],0),0)</f>
        <v>11</v>
      </c>
      <c r="F123">
        <f>pogoda46[[#This Row],[stan_przed_dolaniem]]-pogoda46[[#This Row],[ubytek]]</f>
        <v>679</v>
      </c>
      <c r="G123">
        <f>IF(pogoda46[[#This Row],[opady]]*$AB$1+D123&gt;$AB$2,$AB$2-pogoda46[[#This Row],[stan_przed_dolaniem]],pogoda46[[#This Row],[opady]]*$AB$1)</f>
        <v>0</v>
      </c>
      <c r="H123">
        <f>pogoda46[[#This Row],[stan_po_ubytku]]+pogoda46[[#This Row],[ile_pogoda_dolała]]</f>
        <v>679</v>
      </c>
      <c r="I123" cm="1">
        <f t="array" ref="I123">_xlfn.IFS(OR(pogoda46[[#This Row],[temperatura_srednia]]&lt;=15,pogoda46[[#This Row],[opady]]&gt;0.61),0,pogoda46[[#This Row],[temperatura_srednia]]&gt;30,24000,pogoda46[[#This Row],[temperatura_srednia]]&gt;15,12000)</f>
        <v>0</v>
      </c>
      <c r="J123">
        <f>IF(pogoda46[[#This Row],[stan_po_dolaniu]]&lt;pogoda46[[#This Row],[ile_podlewamy]],$AB$2-pogoda46[[#This Row],[stan_po_dolaniu]],0)</f>
        <v>0</v>
      </c>
      <c r="K123">
        <f>pogoda46[[#This Row],[stan_po_dolaniu]]+pogoda46[[#This Row],[ile_dolać_do_podlania]]</f>
        <v>679</v>
      </c>
      <c r="L123">
        <f>pogoda46[[#This Row],[stan_po_dolaniu_do_podlania]]-pogoda46[[#This Row],[ile_podlewamy]]</f>
        <v>679</v>
      </c>
      <c r="N123" s="5">
        <v>42216</v>
      </c>
      <c r="O123">
        <v>679</v>
      </c>
    </row>
    <row r="124" spans="1:15" x14ac:dyDescent="0.25">
      <c r="A124" s="2">
        <v>42217</v>
      </c>
      <c r="B124">
        <v>16</v>
      </c>
      <c r="C124">
        <v>0</v>
      </c>
      <c r="D124">
        <f t="shared" si="1"/>
        <v>679</v>
      </c>
      <c r="E124">
        <f>IF(C124=0,ROUNDUP($AB$3*POWER(pogoda46[[#This Row],[temperatura_srednia]],1.5)*pogoda46[[#This Row],[stan_przed_dolaniem]],0),0)</f>
        <v>14</v>
      </c>
      <c r="F124">
        <f>pogoda46[[#This Row],[stan_przed_dolaniem]]-pogoda46[[#This Row],[ubytek]]</f>
        <v>665</v>
      </c>
      <c r="G124">
        <f>IF(pogoda46[[#This Row],[opady]]*$AB$1+D124&gt;$AB$2,$AB$2-pogoda46[[#This Row],[stan_przed_dolaniem]],pogoda46[[#This Row],[opady]]*$AB$1)</f>
        <v>0</v>
      </c>
      <c r="H124">
        <f>pogoda46[[#This Row],[stan_po_ubytku]]+pogoda46[[#This Row],[ile_pogoda_dolała]]</f>
        <v>665</v>
      </c>
      <c r="I124" cm="1">
        <f t="array" ref="I124">_xlfn.IFS(OR(pogoda46[[#This Row],[temperatura_srednia]]&lt;=15,pogoda46[[#This Row],[opady]]&gt;0.61),0,pogoda46[[#This Row],[temperatura_srednia]]&gt;30,24000,pogoda46[[#This Row],[temperatura_srednia]]&gt;15,12000)</f>
        <v>12000</v>
      </c>
      <c r="J124">
        <f>IF(pogoda46[[#This Row],[stan_po_dolaniu]]&lt;pogoda46[[#This Row],[ile_podlewamy]],$AB$2-pogoda46[[#This Row],[stan_po_dolaniu]],0)</f>
        <v>24335</v>
      </c>
      <c r="K124">
        <f>pogoda46[[#This Row],[stan_po_dolaniu]]+pogoda46[[#This Row],[ile_dolać_do_podlania]]</f>
        <v>25000</v>
      </c>
      <c r="L124">
        <f>pogoda46[[#This Row],[stan_po_dolaniu_do_podlania]]-pogoda46[[#This Row],[ile_podlewamy]]</f>
        <v>13000</v>
      </c>
      <c r="N124" s="5">
        <v>42217</v>
      </c>
      <c r="O124">
        <v>13000</v>
      </c>
    </row>
    <row r="125" spans="1:15" x14ac:dyDescent="0.25">
      <c r="A125" s="2">
        <v>42218</v>
      </c>
      <c r="B125">
        <v>22</v>
      </c>
      <c r="C125">
        <v>0</v>
      </c>
      <c r="D125">
        <f t="shared" si="1"/>
        <v>13000</v>
      </c>
      <c r="E125">
        <f>IF(C125=0,ROUNDUP($AB$3*POWER(pogoda46[[#This Row],[temperatura_srednia]],1.5)*pogoda46[[#This Row],[stan_przed_dolaniem]],0),0)</f>
        <v>403</v>
      </c>
      <c r="F125">
        <f>pogoda46[[#This Row],[stan_przed_dolaniem]]-pogoda46[[#This Row],[ubytek]]</f>
        <v>12597</v>
      </c>
      <c r="G125">
        <f>IF(pogoda46[[#This Row],[opady]]*$AB$1+D125&gt;$AB$2,$AB$2-pogoda46[[#This Row],[stan_przed_dolaniem]],pogoda46[[#This Row],[opady]]*$AB$1)</f>
        <v>0</v>
      </c>
      <c r="H125">
        <f>pogoda46[[#This Row],[stan_po_ubytku]]+pogoda46[[#This Row],[ile_pogoda_dolała]]</f>
        <v>12597</v>
      </c>
      <c r="I125" cm="1">
        <f t="array" ref="I125">_xlfn.IFS(OR(pogoda46[[#This Row],[temperatura_srednia]]&lt;=15,pogoda46[[#This Row],[opady]]&gt;0.61),0,pogoda46[[#This Row],[temperatura_srednia]]&gt;30,24000,pogoda46[[#This Row],[temperatura_srednia]]&gt;15,12000)</f>
        <v>12000</v>
      </c>
      <c r="J125">
        <f>IF(pogoda46[[#This Row],[stan_po_dolaniu]]&lt;pogoda46[[#This Row],[ile_podlewamy]],$AB$2-pogoda46[[#This Row],[stan_po_dolaniu]],0)</f>
        <v>0</v>
      </c>
      <c r="K125">
        <f>pogoda46[[#This Row],[stan_po_dolaniu]]+pogoda46[[#This Row],[ile_dolać_do_podlania]]</f>
        <v>12597</v>
      </c>
      <c r="L125">
        <f>pogoda46[[#This Row],[stan_po_dolaniu_do_podlania]]-pogoda46[[#This Row],[ile_podlewamy]]</f>
        <v>597</v>
      </c>
      <c r="N125" s="5">
        <v>42218</v>
      </c>
      <c r="O125">
        <v>597</v>
      </c>
    </row>
    <row r="126" spans="1:15" x14ac:dyDescent="0.25">
      <c r="A126" s="2">
        <v>42219</v>
      </c>
      <c r="B126">
        <v>22</v>
      </c>
      <c r="C126">
        <v>0</v>
      </c>
      <c r="D126">
        <f t="shared" si="1"/>
        <v>597</v>
      </c>
      <c r="E126">
        <f>IF(C126=0,ROUNDUP($AB$3*POWER(pogoda46[[#This Row],[temperatura_srednia]],1.5)*pogoda46[[#This Row],[stan_przed_dolaniem]],0),0)</f>
        <v>19</v>
      </c>
      <c r="F126">
        <f>pogoda46[[#This Row],[stan_przed_dolaniem]]-pogoda46[[#This Row],[ubytek]]</f>
        <v>578</v>
      </c>
      <c r="G126">
        <f>IF(pogoda46[[#This Row],[opady]]*$AB$1+D126&gt;$AB$2,$AB$2-pogoda46[[#This Row],[stan_przed_dolaniem]],pogoda46[[#This Row],[opady]]*$AB$1)</f>
        <v>0</v>
      </c>
      <c r="H126">
        <f>pogoda46[[#This Row],[stan_po_ubytku]]+pogoda46[[#This Row],[ile_pogoda_dolała]]</f>
        <v>578</v>
      </c>
      <c r="I126" cm="1">
        <f t="array" ref="I126">_xlfn.IFS(OR(pogoda46[[#This Row],[temperatura_srednia]]&lt;=15,pogoda46[[#This Row],[opady]]&gt;0.61),0,pogoda46[[#This Row],[temperatura_srednia]]&gt;30,24000,pogoda46[[#This Row],[temperatura_srednia]]&gt;15,12000)</f>
        <v>12000</v>
      </c>
      <c r="J126">
        <f>IF(pogoda46[[#This Row],[stan_po_dolaniu]]&lt;pogoda46[[#This Row],[ile_podlewamy]],$AB$2-pogoda46[[#This Row],[stan_po_dolaniu]],0)</f>
        <v>24422</v>
      </c>
      <c r="K126">
        <f>pogoda46[[#This Row],[stan_po_dolaniu]]+pogoda46[[#This Row],[ile_dolać_do_podlania]]</f>
        <v>25000</v>
      </c>
      <c r="L126">
        <f>pogoda46[[#This Row],[stan_po_dolaniu_do_podlania]]-pogoda46[[#This Row],[ile_podlewamy]]</f>
        <v>13000</v>
      </c>
      <c r="N126" s="5">
        <v>42219</v>
      </c>
      <c r="O126">
        <v>13000</v>
      </c>
    </row>
    <row r="127" spans="1:15" x14ac:dyDescent="0.25">
      <c r="A127" s="2">
        <v>42220</v>
      </c>
      <c r="B127">
        <v>25</v>
      </c>
      <c r="C127">
        <v>0</v>
      </c>
      <c r="D127">
        <f t="shared" si="1"/>
        <v>13000</v>
      </c>
      <c r="E127">
        <f>IF(C127=0,ROUNDUP($AB$3*POWER(pogoda46[[#This Row],[temperatura_srednia]],1.5)*pogoda46[[#This Row],[stan_przed_dolaniem]],0),0)</f>
        <v>488</v>
      </c>
      <c r="F127">
        <f>pogoda46[[#This Row],[stan_przed_dolaniem]]-pogoda46[[#This Row],[ubytek]]</f>
        <v>12512</v>
      </c>
      <c r="G127">
        <f>IF(pogoda46[[#This Row],[opady]]*$AB$1+D127&gt;$AB$2,$AB$2-pogoda46[[#This Row],[stan_przed_dolaniem]],pogoda46[[#This Row],[opady]]*$AB$1)</f>
        <v>0</v>
      </c>
      <c r="H127">
        <f>pogoda46[[#This Row],[stan_po_ubytku]]+pogoda46[[#This Row],[ile_pogoda_dolała]]</f>
        <v>12512</v>
      </c>
      <c r="I127" cm="1">
        <f t="array" ref="I127">_xlfn.IFS(OR(pogoda46[[#This Row],[temperatura_srednia]]&lt;=15,pogoda46[[#This Row],[opady]]&gt;0.61),0,pogoda46[[#This Row],[temperatura_srednia]]&gt;30,24000,pogoda46[[#This Row],[temperatura_srednia]]&gt;15,12000)</f>
        <v>12000</v>
      </c>
      <c r="J127">
        <f>IF(pogoda46[[#This Row],[stan_po_dolaniu]]&lt;pogoda46[[#This Row],[ile_podlewamy]],$AB$2-pogoda46[[#This Row],[stan_po_dolaniu]],0)</f>
        <v>0</v>
      </c>
      <c r="K127">
        <f>pogoda46[[#This Row],[stan_po_dolaniu]]+pogoda46[[#This Row],[ile_dolać_do_podlania]]</f>
        <v>12512</v>
      </c>
      <c r="L127">
        <f>pogoda46[[#This Row],[stan_po_dolaniu_do_podlania]]-pogoda46[[#This Row],[ile_podlewamy]]</f>
        <v>512</v>
      </c>
      <c r="N127" s="5">
        <v>42220</v>
      </c>
      <c r="O127">
        <v>512</v>
      </c>
    </row>
    <row r="128" spans="1:15" x14ac:dyDescent="0.25">
      <c r="A128" s="2">
        <v>42221</v>
      </c>
      <c r="B128">
        <v>24</v>
      </c>
      <c r="C128">
        <v>0</v>
      </c>
      <c r="D128">
        <f t="shared" si="1"/>
        <v>512</v>
      </c>
      <c r="E128">
        <f>IF(C128=0,ROUNDUP($AB$3*POWER(pogoda46[[#This Row],[temperatura_srednia]],1.5)*pogoda46[[#This Row],[stan_przed_dolaniem]],0),0)</f>
        <v>19</v>
      </c>
      <c r="F128">
        <f>pogoda46[[#This Row],[stan_przed_dolaniem]]-pogoda46[[#This Row],[ubytek]]</f>
        <v>493</v>
      </c>
      <c r="G128">
        <f>IF(pogoda46[[#This Row],[opady]]*$AB$1+D128&gt;$AB$2,$AB$2-pogoda46[[#This Row],[stan_przed_dolaniem]],pogoda46[[#This Row],[opady]]*$AB$1)</f>
        <v>0</v>
      </c>
      <c r="H128">
        <f>pogoda46[[#This Row],[stan_po_ubytku]]+pogoda46[[#This Row],[ile_pogoda_dolała]]</f>
        <v>493</v>
      </c>
      <c r="I128" cm="1">
        <f t="array" ref="I128">_xlfn.IFS(OR(pogoda46[[#This Row],[temperatura_srednia]]&lt;=15,pogoda46[[#This Row],[opady]]&gt;0.61),0,pogoda46[[#This Row],[temperatura_srednia]]&gt;30,24000,pogoda46[[#This Row],[temperatura_srednia]]&gt;15,12000)</f>
        <v>12000</v>
      </c>
      <c r="J128">
        <f>IF(pogoda46[[#This Row],[stan_po_dolaniu]]&lt;pogoda46[[#This Row],[ile_podlewamy]],$AB$2-pogoda46[[#This Row],[stan_po_dolaniu]],0)</f>
        <v>24507</v>
      </c>
      <c r="K128">
        <f>pogoda46[[#This Row],[stan_po_dolaniu]]+pogoda46[[#This Row],[ile_dolać_do_podlania]]</f>
        <v>25000</v>
      </c>
      <c r="L128">
        <f>pogoda46[[#This Row],[stan_po_dolaniu_do_podlania]]-pogoda46[[#This Row],[ile_podlewamy]]</f>
        <v>13000</v>
      </c>
      <c r="N128" s="5">
        <v>42221</v>
      </c>
      <c r="O128">
        <v>13000</v>
      </c>
    </row>
    <row r="129" spans="1:15" x14ac:dyDescent="0.25">
      <c r="A129" s="2">
        <v>42222</v>
      </c>
      <c r="B129">
        <v>24</v>
      </c>
      <c r="C129">
        <v>0</v>
      </c>
      <c r="D129">
        <f t="shared" si="1"/>
        <v>13000</v>
      </c>
      <c r="E129">
        <f>IF(C129=0,ROUNDUP($AB$3*POWER(pogoda46[[#This Row],[temperatura_srednia]],1.5)*pogoda46[[#This Row],[stan_przed_dolaniem]],0),0)</f>
        <v>459</v>
      </c>
      <c r="F129">
        <f>pogoda46[[#This Row],[stan_przed_dolaniem]]-pogoda46[[#This Row],[ubytek]]</f>
        <v>12541</v>
      </c>
      <c r="G129">
        <f>IF(pogoda46[[#This Row],[opady]]*$AB$1+D129&gt;$AB$2,$AB$2-pogoda46[[#This Row],[stan_przed_dolaniem]],pogoda46[[#This Row],[opady]]*$AB$1)</f>
        <v>0</v>
      </c>
      <c r="H129">
        <f>pogoda46[[#This Row],[stan_po_ubytku]]+pogoda46[[#This Row],[ile_pogoda_dolała]]</f>
        <v>12541</v>
      </c>
      <c r="I129" cm="1">
        <f t="array" ref="I129">_xlfn.IFS(OR(pogoda46[[#This Row],[temperatura_srednia]]&lt;=15,pogoda46[[#This Row],[opady]]&gt;0.61),0,pogoda46[[#This Row],[temperatura_srednia]]&gt;30,24000,pogoda46[[#This Row],[temperatura_srednia]]&gt;15,12000)</f>
        <v>12000</v>
      </c>
      <c r="J129">
        <f>IF(pogoda46[[#This Row],[stan_po_dolaniu]]&lt;pogoda46[[#This Row],[ile_podlewamy]],$AB$2-pogoda46[[#This Row],[stan_po_dolaniu]],0)</f>
        <v>0</v>
      </c>
      <c r="K129">
        <f>pogoda46[[#This Row],[stan_po_dolaniu]]+pogoda46[[#This Row],[ile_dolać_do_podlania]]</f>
        <v>12541</v>
      </c>
      <c r="L129">
        <f>pogoda46[[#This Row],[stan_po_dolaniu_do_podlania]]-pogoda46[[#This Row],[ile_podlewamy]]</f>
        <v>541</v>
      </c>
      <c r="N129" s="5">
        <v>42222</v>
      </c>
      <c r="O129">
        <v>541</v>
      </c>
    </row>
    <row r="130" spans="1:15" x14ac:dyDescent="0.25">
      <c r="A130" s="2">
        <v>42223</v>
      </c>
      <c r="B130">
        <v>28</v>
      </c>
      <c r="C130">
        <v>0</v>
      </c>
      <c r="D130">
        <f t="shared" si="1"/>
        <v>541</v>
      </c>
      <c r="E130">
        <f>IF(C130=0,ROUNDUP($AB$3*POWER(pogoda46[[#This Row],[temperatura_srednia]],1.5)*pogoda46[[#This Row],[stan_przed_dolaniem]],0),0)</f>
        <v>25</v>
      </c>
      <c r="F130">
        <f>pogoda46[[#This Row],[stan_przed_dolaniem]]-pogoda46[[#This Row],[ubytek]]</f>
        <v>516</v>
      </c>
      <c r="G130">
        <f>IF(pogoda46[[#This Row],[opady]]*$AB$1+D130&gt;$AB$2,$AB$2-pogoda46[[#This Row],[stan_przed_dolaniem]],pogoda46[[#This Row],[opady]]*$AB$1)</f>
        <v>0</v>
      </c>
      <c r="H130">
        <f>pogoda46[[#This Row],[stan_po_ubytku]]+pogoda46[[#This Row],[ile_pogoda_dolała]]</f>
        <v>516</v>
      </c>
      <c r="I130" cm="1">
        <f t="array" ref="I130">_xlfn.IFS(OR(pogoda46[[#This Row],[temperatura_srednia]]&lt;=15,pogoda46[[#This Row],[opady]]&gt;0.61),0,pogoda46[[#This Row],[temperatura_srednia]]&gt;30,24000,pogoda46[[#This Row],[temperatura_srednia]]&gt;15,12000)</f>
        <v>12000</v>
      </c>
      <c r="J130">
        <f>IF(pogoda46[[#This Row],[stan_po_dolaniu]]&lt;pogoda46[[#This Row],[ile_podlewamy]],$AB$2-pogoda46[[#This Row],[stan_po_dolaniu]],0)</f>
        <v>24484</v>
      </c>
      <c r="K130">
        <f>pogoda46[[#This Row],[stan_po_dolaniu]]+pogoda46[[#This Row],[ile_dolać_do_podlania]]</f>
        <v>25000</v>
      </c>
      <c r="L130">
        <f>pogoda46[[#This Row],[stan_po_dolaniu_do_podlania]]-pogoda46[[#This Row],[ile_podlewamy]]</f>
        <v>13000</v>
      </c>
      <c r="N130" s="5">
        <v>42223</v>
      </c>
      <c r="O130">
        <v>13000</v>
      </c>
    </row>
    <row r="131" spans="1:15" x14ac:dyDescent="0.25">
      <c r="A131" s="2">
        <v>42224</v>
      </c>
      <c r="B131">
        <v>28</v>
      </c>
      <c r="C131">
        <v>0</v>
      </c>
      <c r="D131">
        <f t="shared" si="1"/>
        <v>13000</v>
      </c>
      <c r="E131">
        <f>IF(C131=0,ROUNDUP($AB$3*POWER(pogoda46[[#This Row],[temperatura_srednia]],1.5)*pogoda46[[#This Row],[stan_przed_dolaniem]],0),0)</f>
        <v>578</v>
      </c>
      <c r="F131">
        <f>pogoda46[[#This Row],[stan_przed_dolaniem]]-pogoda46[[#This Row],[ubytek]]</f>
        <v>12422</v>
      </c>
      <c r="G131">
        <f>IF(pogoda46[[#This Row],[opady]]*$AB$1+D131&gt;$AB$2,$AB$2-pogoda46[[#This Row],[stan_przed_dolaniem]],pogoda46[[#This Row],[opady]]*$AB$1)</f>
        <v>0</v>
      </c>
      <c r="H131">
        <f>pogoda46[[#This Row],[stan_po_ubytku]]+pogoda46[[#This Row],[ile_pogoda_dolała]]</f>
        <v>12422</v>
      </c>
      <c r="I131" cm="1">
        <f t="array" ref="I131">_xlfn.IFS(OR(pogoda46[[#This Row],[temperatura_srednia]]&lt;=15,pogoda46[[#This Row],[opady]]&gt;0.61),0,pogoda46[[#This Row],[temperatura_srednia]]&gt;30,24000,pogoda46[[#This Row],[temperatura_srednia]]&gt;15,12000)</f>
        <v>12000</v>
      </c>
      <c r="J131">
        <f>IF(pogoda46[[#This Row],[stan_po_dolaniu]]&lt;pogoda46[[#This Row],[ile_podlewamy]],$AB$2-pogoda46[[#This Row],[stan_po_dolaniu]],0)</f>
        <v>0</v>
      </c>
      <c r="K131">
        <f>pogoda46[[#This Row],[stan_po_dolaniu]]+pogoda46[[#This Row],[ile_dolać_do_podlania]]</f>
        <v>12422</v>
      </c>
      <c r="L131">
        <f>pogoda46[[#This Row],[stan_po_dolaniu_do_podlania]]-pogoda46[[#This Row],[ile_podlewamy]]</f>
        <v>422</v>
      </c>
      <c r="N131" s="5">
        <v>42224</v>
      </c>
      <c r="O131">
        <v>422</v>
      </c>
    </row>
    <row r="132" spans="1:15" x14ac:dyDescent="0.25">
      <c r="A132" s="2">
        <v>42225</v>
      </c>
      <c r="B132">
        <v>24</v>
      </c>
      <c r="C132">
        <v>0</v>
      </c>
      <c r="D132">
        <f t="shared" ref="D132:D184" si="2">L131</f>
        <v>422</v>
      </c>
      <c r="E132">
        <f>IF(C132=0,ROUNDUP($AB$3*POWER(pogoda46[[#This Row],[temperatura_srednia]],1.5)*pogoda46[[#This Row],[stan_przed_dolaniem]],0),0)</f>
        <v>15</v>
      </c>
      <c r="F132">
        <f>pogoda46[[#This Row],[stan_przed_dolaniem]]-pogoda46[[#This Row],[ubytek]]</f>
        <v>407</v>
      </c>
      <c r="G132">
        <f>IF(pogoda46[[#This Row],[opady]]*$AB$1+D132&gt;$AB$2,$AB$2-pogoda46[[#This Row],[stan_przed_dolaniem]],pogoda46[[#This Row],[opady]]*$AB$1)</f>
        <v>0</v>
      </c>
      <c r="H132">
        <f>pogoda46[[#This Row],[stan_po_ubytku]]+pogoda46[[#This Row],[ile_pogoda_dolała]]</f>
        <v>407</v>
      </c>
      <c r="I132" cm="1">
        <f t="array" ref="I132">_xlfn.IFS(OR(pogoda46[[#This Row],[temperatura_srednia]]&lt;=15,pogoda46[[#This Row],[opady]]&gt;0.61),0,pogoda46[[#This Row],[temperatura_srednia]]&gt;30,24000,pogoda46[[#This Row],[temperatura_srednia]]&gt;15,12000)</f>
        <v>12000</v>
      </c>
      <c r="J132">
        <f>IF(pogoda46[[#This Row],[stan_po_dolaniu]]&lt;pogoda46[[#This Row],[ile_podlewamy]],$AB$2-pogoda46[[#This Row],[stan_po_dolaniu]],0)</f>
        <v>24593</v>
      </c>
      <c r="K132">
        <f>pogoda46[[#This Row],[stan_po_dolaniu]]+pogoda46[[#This Row],[ile_dolać_do_podlania]]</f>
        <v>25000</v>
      </c>
      <c r="L132">
        <f>pogoda46[[#This Row],[stan_po_dolaniu_do_podlania]]-pogoda46[[#This Row],[ile_podlewamy]]</f>
        <v>13000</v>
      </c>
      <c r="N132" s="5">
        <v>42225</v>
      </c>
      <c r="O132">
        <v>13000</v>
      </c>
    </row>
    <row r="133" spans="1:15" x14ac:dyDescent="0.25">
      <c r="A133" s="2">
        <v>42226</v>
      </c>
      <c r="B133">
        <v>24</v>
      </c>
      <c r="C133">
        <v>0</v>
      </c>
      <c r="D133">
        <f t="shared" si="2"/>
        <v>13000</v>
      </c>
      <c r="E133">
        <f>IF(C133=0,ROUNDUP($AB$3*POWER(pogoda46[[#This Row],[temperatura_srednia]],1.5)*pogoda46[[#This Row],[stan_przed_dolaniem]],0),0)</f>
        <v>459</v>
      </c>
      <c r="F133">
        <f>pogoda46[[#This Row],[stan_przed_dolaniem]]-pogoda46[[#This Row],[ubytek]]</f>
        <v>12541</v>
      </c>
      <c r="G133">
        <f>IF(pogoda46[[#This Row],[opady]]*$AB$1+D133&gt;$AB$2,$AB$2-pogoda46[[#This Row],[stan_przed_dolaniem]],pogoda46[[#This Row],[opady]]*$AB$1)</f>
        <v>0</v>
      </c>
      <c r="H133">
        <f>pogoda46[[#This Row],[stan_po_ubytku]]+pogoda46[[#This Row],[ile_pogoda_dolała]]</f>
        <v>12541</v>
      </c>
      <c r="I133" cm="1">
        <f t="array" ref="I133">_xlfn.IFS(OR(pogoda46[[#This Row],[temperatura_srednia]]&lt;=15,pogoda46[[#This Row],[opady]]&gt;0.61),0,pogoda46[[#This Row],[temperatura_srednia]]&gt;30,24000,pogoda46[[#This Row],[temperatura_srednia]]&gt;15,12000)</f>
        <v>12000</v>
      </c>
      <c r="J133">
        <f>IF(pogoda46[[#This Row],[stan_po_dolaniu]]&lt;pogoda46[[#This Row],[ile_podlewamy]],$AB$2-pogoda46[[#This Row],[stan_po_dolaniu]],0)</f>
        <v>0</v>
      </c>
      <c r="K133">
        <f>pogoda46[[#This Row],[stan_po_dolaniu]]+pogoda46[[#This Row],[ile_dolać_do_podlania]]</f>
        <v>12541</v>
      </c>
      <c r="L133">
        <f>pogoda46[[#This Row],[stan_po_dolaniu_do_podlania]]-pogoda46[[#This Row],[ile_podlewamy]]</f>
        <v>541</v>
      </c>
      <c r="N133" s="5">
        <v>42226</v>
      </c>
      <c r="O133">
        <v>541</v>
      </c>
    </row>
    <row r="134" spans="1:15" x14ac:dyDescent="0.25">
      <c r="A134" s="2">
        <v>42227</v>
      </c>
      <c r="B134">
        <v>26</v>
      </c>
      <c r="C134">
        <v>0</v>
      </c>
      <c r="D134">
        <f t="shared" si="2"/>
        <v>541</v>
      </c>
      <c r="E134">
        <f>IF(C134=0,ROUNDUP($AB$3*POWER(pogoda46[[#This Row],[temperatura_srednia]],1.5)*pogoda46[[#This Row],[stan_przed_dolaniem]],0),0)</f>
        <v>22</v>
      </c>
      <c r="F134">
        <f>pogoda46[[#This Row],[stan_przed_dolaniem]]-pogoda46[[#This Row],[ubytek]]</f>
        <v>519</v>
      </c>
      <c r="G134">
        <f>IF(pogoda46[[#This Row],[opady]]*$AB$1+D134&gt;$AB$2,$AB$2-pogoda46[[#This Row],[stan_przed_dolaniem]],pogoda46[[#This Row],[opady]]*$AB$1)</f>
        <v>0</v>
      </c>
      <c r="H134">
        <f>pogoda46[[#This Row],[stan_po_ubytku]]+pogoda46[[#This Row],[ile_pogoda_dolała]]</f>
        <v>519</v>
      </c>
      <c r="I134" cm="1">
        <f t="array" ref="I134">_xlfn.IFS(OR(pogoda46[[#This Row],[temperatura_srednia]]&lt;=15,pogoda46[[#This Row],[opady]]&gt;0.61),0,pogoda46[[#This Row],[temperatura_srednia]]&gt;30,24000,pogoda46[[#This Row],[temperatura_srednia]]&gt;15,12000)</f>
        <v>12000</v>
      </c>
      <c r="J134">
        <f>IF(pogoda46[[#This Row],[stan_po_dolaniu]]&lt;pogoda46[[#This Row],[ile_podlewamy]],$AB$2-pogoda46[[#This Row],[stan_po_dolaniu]],0)</f>
        <v>24481</v>
      </c>
      <c r="K134">
        <f>pogoda46[[#This Row],[stan_po_dolaniu]]+pogoda46[[#This Row],[ile_dolać_do_podlania]]</f>
        <v>25000</v>
      </c>
      <c r="L134">
        <f>pogoda46[[#This Row],[stan_po_dolaniu_do_podlania]]-pogoda46[[#This Row],[ile_podlewamy]]</f>
        <v>13000</v>
      </c>
      <c r="N134" s="5">
        <v>42227</v>
      </c>
      <c r="O134">
        <v>13000</v>
      </c>
    </row>
    <row r="135" spans="1:15" x14ac:dyDescent="0.25">
      <c r="A135" s="2">
        <v>42228</v>
      </c>
      <c r="B135">
        <v>32</v>
      </c>
      <c r="C135">
        <v>0.6</v>
      </c>
      <c r="D135">
        <f t="shared" si="2"/>
        <v>13000</v>
      </c>
      <c r="E135">
        <f>IF(C135=0,ROUNDUP($AB$3*POWER(pogoda46[[#This Row],[temperatura_srednia]],1.5)*pogoda46[[#This Row],[stan_przed_dolaniem]],0),0)</f>
        <v>0</v>
      </c>
      <c r="F135">
        <f>pogoda46[[#This Row],[stan_przed_dolaniem]]-pogoda46[[#This Row],[ubytek]]</f>
        <v>13000</v>
      </c>
      <c r="G135">
        <f>IF(pogoda46[[#This Row],[opady]]*$AB$1+D135&gt;$AB$2,$AB$2-pogoda46[[#This Row],[stan_przed_dolaniem]],pogoda46[[#This Row],[opady]]*$AB$1)</f>
        <v>420</v>
      </c>
      <c r="H135">
        <f>pogoda46[[#This Row],[stan_po_ubytku]]+pogoda46[[#This Row],[ile_pogoda_dolała]]</f>
        <v>13420</v>
      </c>
      <c r="I135" cm="1">
        <f t="array" ref="I135">_xlfn.IFS(OR(pogoda46[[#This Row],[temperatura_srednia]]&lt;=15,pogoda46[[#This Row],[opady]]&gt;0.61),0,pogoda46[[#This Row],[temperatura_srednia]]&gt;30,24000,pogoda46[[#This Row],[temperatura_srednia]]&gt;15,12000)</f>
        <v>24000</v>
      </c>
      <c r="J135">
        <f>IF(pogoda46[[#This Row],[stan_po_dolaniu]]&lt;pogoda46[[#This Row],[ile_podlewamy]],$AB$2-pogoda46[[#This Row],[stan_po_dolaniu]],0)</f>
        <v>11580</v>
      </c>
      <c r="K135">
        <f>pogoda46[[#This Row],[stan_po_dolaniu]]+pogoda46[[#This Row],[ile_dolać_do_podlania]]</f>
        <v>25000</v>
      </c>
      <c r="L135">
        <f>pogoda46[[#This Row],[stan_po_dolaniu_do_podlania]]-pogoda46[[#This Row],[ile_podlewamy]]</f>
        <v>1000</v>
      </c>
      <c r="N135" s="5">
        <v>42228</v>
      </c>
      <c r="O135">
        <v>1000</v>
      </c>
    </row>
    <row r="136" spans="1:15" x14ac:dyDescent="0.25">
      <c r="A136" s="2">
        <v>42229</v>
      </c>
      <c r="B136">
        <v>31</v>
      </c>
      <c r="C136">
        <v>0.1</v>
      </c>
      <c r="D136">
        <f t="shared" si="2"/>
        <v>1000</v>
      </c>
      <c r="E136">
        <f>IF(C136=0,ROUNDUP($AB$3*POWER(pogoda46[[#This Row],[temperatura_srednia]],1.5)*pogoda46[[#This Row],[stan_przed_dolaniem]],0),0)</f>
        <v>0</v>
      </c>
      <c r="F136">
        <f>pogoda46[[#This Row],[stan_przed_dolaniem]]-pogoda46[[#This Row],[ubytek]]</f>
        <v>1000</v>
      </c>
      <c r="G136">
        <f>IF(pogoda46[[#This Row],[opady]]*$AB$1+D136&gt;$AB$2,$AB$2-pogoda46[[#This Row],[stan_przed_dolaniem]],pogoda46[[#This Row],[opady]]*$AB$1)</f>
        <v>70</v>
      </c>
      <c r="H136">
        <f>pogoda46[[#This Row],[stan_po_ubytku]]+pogoda46[[#This Row],[ile_pogoda_dolała]]</f>
        <v>1070</v>
      </c>
      <c r="I136" cm="1">
        <f t="array" ref="I136">_xlfn.IFS(OR(pogoda46[[#This Row],[temperatura_srednia]]&lt;=15,pogoda46[[#This Row],[opady]]&gt;0.61),0,pogoda46[[#This Row],[temperatura_srednia]]&gt;30,24000,pogoda46[[#This Row],[temperatura_srednia]]&gt;15,12000)</f>
        <v>24000</v>
      </c>
      <c r="J136">
        <f>IF(pogoda46[[#This Row],[stan_po_dolaniu]]&lt;pogoda46[[#This Row],[ile_podlewamy]],$AB$2-pogoda46[[#This Row],[stan_po_dolaniu]],0)</f>
        <v>23930</v>
      </c>
      <c r="K136">
        <f>pogoda46[[#This Row],[stan_po_dolaniu]]+pogoda46[[#This Row],[ile_dolać_do_podlania]]</f>
        <v>25000</v>
      </c>
      <c r="L136">
        <f>pogoda46[[#This Row],[stan_po_dolaniu_do_podlania]]-pogoda46[[#This Row],[ile_podlewamy]]</f>
        <v>1000</v>
      </c>
      <c r="N136" s="5">
        <v>42229</v>
      </c>
      <c r="O136">
        <v>1000</v>
      </c>
    </row>
    <row r="137" spans="1:15" x14ac:dyDescent="0.25">
      <c r="A137" s="2">
        <v>42230</v>
      </c>
      <c r="B137">
        <v>33</v>
      </c>
      <c r="C137">
        <v>0</v>
      </c>
      <c r="D137">
        <f t="shared" si="2"/>
        <v>1000</v>
      </c>
      <c r="E137">
        <f>IF(C137=0,ROUNDUP($AB$3*POWER(pogoda46[[#This Row],[temperatura_srednia]],1.5)*pogoda46[[#This Row],[stan_przed_dolaniem]],0),0)</f>
        <v>57</v>
      </c>
      <c r="F137">
        <f>pogoda46[[#This Row],[stan_przed_dolaniem]]-pogoda46[[#This Row],[ubytek]]</f>
        <v>943</v>
      </c>
      <c r="G137">
        <f>IF(pogoda46[[#This Row],[opady]]*$AB$1+D137&gt;$AB$2,$AB$2-pogoda46[[#This Row],[stan_przed_dolaniem]],pogoda46[[#This Row],[opady]]*$AB$1)</f>
        <v>0</v>
      </c>
      <c r="H137">
        <f>pogoda46[[#This Row],[stan_po_ubytku]]+pogoda46[[#This Row],[ile_pogoda_dolała]]</f>
        <v>943</v>
      </c>
      <c r="I137" cm="1">
        <f t="array" ref="I137">_xlfn.IFS(OR(pogoda46[[#This Row],[temperatura_srednia]]&lt;=15,pogoda46[[#This Row],[opady]]&gt;0.61),0,pogoda46[[#This Row],[temperatura_srednia]]&gt;30,24000,pogoda46[[#This Row],[temperatura_srednia]]&gt;15,12000)</f>
        <v>24000</v>
      </c>
      <c r="J137">
        <f>IF(pogoda46[[#This Row],[stan_po_dolaniu]]&lt;pogoda46[[#This Row],[ile_podlewamy]],$AB$2-pogoda46[[#This Row],[stan_po_dolaniu]],0)</f>
        <v>24057</v>
      </c>
      <c r="K137">
        <f>pogoda46[[#This Row],[stan_po_dolaniu]]+pogoda46[[#This Row],[ile_dolać_do_podlania]]</f>
        <v>25000</v>
      </c>
      <c r="L137">
        <f>pogoda46[[#This Row],[stan_po_dolaniu_do_podlania]]-pogoda46[[#This Row],[ile_podlewamy]]</f>
        <v>1000</v>
      </c>
      <c r="N137" s="5">
        <v>42230</v>
      </c>
      <c r="O137">
        <v>1000</v>
      </c>
    </row>
    <row r="138" spans="1:15" x14ac:dyDescent="0.25">
      <c r="A138" s="2">
        <v>42231</v>
      </c>
      <c r="B138">
        <v>31</v>
      </c>
      <c r="C138">
        <v>12</v>
      </c>
      <c r="D138">
        <f t="shared" si="2"/>
        <v>1000</v>
      </c>
      <c r="E138">
        <f>IF(C138=0,ROUNDUP($AB$3*POWER(pogoda46[[#This Row],[temperatura_srednia]],1.5)*pogoda46[[#This Row],[stan_przed_dolaniem]],0),0)</f>
        <v>0</v>
      </c>
      <c r="F138">
        <f>pogoda46[[#This Row],[stan_przed_dolaniem]]-pogoda46[[#This Row],[ubytek]]</f>
        <v>1000</v>
      </c>
      <c r="G138">
        <f>IF(pogoda46[[#This Row],[opady]]*$AB$1+D138&gt;$AB$2,$AB$2-pogoda46[[#This Row],[stan_przed_dolaniem]],pogoda46[[#This Row],[opady]]*$AB$1)</f>
        <v>8400</v>
      </c>
      <c r="H138">
        <f>pogoda46[[#This Row],[stan_po_ubytku]]+pogoda46[[#This Row],[ile_pogoda_dolała]]</f>
        <v>9400</v>
      </c>
      <c r="I138" cm="1">
        <f t="array" ref="I138">_xlfn.IFS(OR(pogoda46[[#This Row],[temperatura_srednia]]&lt;=15,pogoda46[[#This Row],[opady]]&gt;0.61),0,pogoda46[[#This Row],[temperatura_srednia]]&gt;30,24000,pogoda46[[#This Row],[temperatura_srednia]]&gt;15,12000)</f>
        <v>0</v>
      </c>
      <c r="J138">
        <f>IF(pogoda46[[#This Row],[stan_po_dolaniu]]&lt;pogoda46[[#This Row],[ile_podlewamy]],$AB$2-pogoda46[[#This Row],[stan_po_dolaniu]],0)</f>
        <v>0</v>
      </c>
      <c r="K138">
        <f>pogoda46[[#This Row],[stan_po_dolaniu]]+pogoda46[[#This Row],[ile_dolać_do_podlania]]</f>
        <v>9400</v>
      </c>
      <c r="L138">
        <f>pogoda46[[#This Row],[stan_po_dolaniu_do_podlania]]-pogoda46[[#This Row],[ile_podlewamy]]</f>
        <v>9400</v>
      </c>
      <c r="N138" s="5">
        <v>42231</v>
      </c>
      <c r="O138">
        <v>9400</v>
      </c>
    </row>
    <row r="139" spans="1:15" x14ac:dyDescent="0.25">
      <c r="A139" s="2">
        <v>42232</v>
      </c>
      <c r="B139">
        <v>22</v>
      </c>
      <c r="C139">
        <v>0</v>
      </c>
      <c r="D139">
        <f t="shared" si="2"/>
        <v>9400</v>
      </c>
      <c r="E139">
        <f>IF(C139=0,ROUNDUP($AB$3*POWER(pogoda46[[#This Row],[temperatura_srednia]],1.5)*pogoda46[[#This Row],[stan_przed_dolaniem]],0),0)</f>
        <v>291</v>
      </c>
      <c r="F139">
        <f>pogoda46[[#This Row],[stan_przed_dolaniem]]-pogoda46[[#This Row],[ubytek]]</f>
        <v>9109</v>
      </c>
      <c r="G139">
        <f>IF(pogoda46[[#This Row],[opady]]*$AB$1+D139&gt;$AB$2,$AB$2-pogoda46[[#This Row],[stan_przed_dolaniem]],pogoda46[[#This Row],[opady]]*$AB$1)</f>
        <v>0</v>
      </c>
      <c r="H139">
        <f>pogoda46[[#This Row],[stan_po_ubytku]]+pogoda46[[#This Row],[ile_pogoda_dolała]]</f>
        <v>9109</v>
      </c>
      <c r="I139" cm="1">
        <f t="array" ref="I139">_xlfn.IFS(OR(pogoda46[[#This Row],[temperatura_srednia]]&lt;=15,pogoda46[[#This Row],[opady]]&gt;0.61),0,pogoda46[[#This Row],[temperatura_srednia]]&gt;30,24000,pogoda46[[#This Row],[temperatura_srednia]]&gt;15,12000)</f>
        <v>12000</v>
      </c>
      <c r="J139">
        <f>IF(pogoda46[[#This Row],[stan_po_dolaniu]]&lt;pogoda46[[#This Row],[ile_podlewamy]],$AB$2-pogoda46[[#This Row],[stan_po_dolaniu]],0)</f>
        <v>15891</v>
      </c>
      <c r="K139">
        <f>pogoda46[[#This Row],[stan_po_dolaniu]]+pogoda46[[#This Row],[ile_dolać_do_podlania]]</f>
        <v>25000</v>
      </c>
      <c r="L139">
        <f>pogoda46[[#This Row],[stan_po_dolaniu_do_podlania]]-pogoda46[[#This Row],[ile_podlewamy]]</f>
        <v>13000</v>
      </c>
      <c r="N139" s="5">
        <v>42232</v>
      </c>
      <c r="O139">
        <v>13000</v>
      </c>
    </row>
    <row r="140" spans="1:15" x14ac:dyDescent="0.25">
      <c r="A140" s="2">
        <v>42233</v>
      </c>
      <c r="B140">
        <v>24</v>
      </c>
      <c r="C140">
        <v>0.2</v>
      </c>
      <c r="D140">
        <f t="shared" si="2"/>
        <v>13000</v>
      </c>
      <c r="E140">
        <f>IF(C140=0,ROUNDUP($AB$3*POWER(pogoda46[[#This Row],[temperatura_srednia]],1.5)*pogoda46[[#This Row],[stan_przed_dolaniem]],0),0)</f>
        <v>0</v>
      </c>
      <c r="F140">
        <f>pogoda46[[#This Row],[stan_przed_dolaniem]]-pogoda46[[#This Row],[ubytek]]</f>
        <v>13000</v>
      </c>
      <c r="G140">
        <f>IF(pogoda46[[#This Row],[opady]]*$AB$1+D140&gt;$AB$2,$AB$2-pogoda46[[#This Row],[stan_przed_dolaniem]],pogoda46[[#This Row],[opady]]*$AB$1)</f>
        <v>140</v>
      </c>
      <c r="H140">
        <f>pogoda46[[#This Row],[stan_po_ubytku]]+pogoda46[[#This Row],[ile_pogoda_dolała]]</f>
        <v>13140</v>
      </c>
      <c r="I140" cm="1">
        <f t="array" ref="I140">_xlfn.IFS(OR(pogoda46[[#This Row],[temperatura_srednia]]&lt;=15,pogoda46[[#This Row],[opady]]&gt;0.61),0,pogoda46[[#This Row],[temperatura_srednia]]&gt;30,24000,pogoda46[[#This Row],[temperatura_srednia]]&gt;15,12000)</f>
        <v>12000</v>
      </c>
      <c r="J140">
        <f>IF(pogoda46[[#This Row],[stan_po_dolaniu]]&lt;pogoda46[[#This Row],[ile_podlewamy]],$AB$2-pogoda46[[#This Row],[stan_po_dolaniu]],0)</f>
        <v>0</v>
      </c>
      <c r="K140">
        <f>pogoda46[[#This Row],[stan_po_dolaniu]]+pogoda46[[#This Row],[ile_dolać_do_podlania]]</f>
        <v>13140</v>
      </c>
      <c r="L140">
        <f>pogoda46[[#This Row],[stan_po_dolaniu_do_podlania]]-pogoda46[[#This Row],[ile_podlewamy]]</f>
        <v>1140</v>
      </c>
      <c r="N140" s="5">
        <v>42233</v>
      </c>
      <c r="O140">
        <v>1140</v>
      </c>
    </row>
    <row r="141" spans="1:15" x14ac:dyDescent="0.25">
      <c r="A141" s="2">
        <v>42234</v>
      </c>
      <c r="B141">
        <v>22</v>
      </c>
      <c r="C141">
        <v>0</v>
      </c>
      <c r="D141">
        <f t="shared" si="2"/>
        <v>1140</v>
      </c>
      <c r="E141">
        <f>IF(C141=0,ROUNDUP($AB$3*POWER(pogoda46[[#This Row],[temperatura_srednia]],1.5)*pogoda46[[#This Row],[stan_przed_dolaniem]],0),0)</f>
        <v>36</v>
      </c>
      <c r="F141">
        <f>pogoda46[[#This Row],[stan_przed_dolaniem]]-pogoda46[[#This Row],[ubytek]]</f>
        <v>1104</v>
      </c>
      <c r="G141">
        <f>IF(pogoda46[[#This Row],[opady]]*$AB$1+D141&gt;$AB$2,$AB$2-pogoda46[[#This Row],[stan_przed_dolaniem]],pogoda46[[#This Row],[opady]]*$AB$1)</f>
        <v>0</v>
      </c>
      <c r="H141">
        <f>pogoda46[[#This Row],[stan_po_ubytku]]+pogoda46[[#This Row],[ile_pogoda_dolała]]</f>
        <v>1104</v>
      </c>
      <c r="I141" cm="1">
        <f t="array" ref="I141">_xlfn.IFS(OR(pogoda46[[#This Row],[temperatura_srednia]]&lt;=15,pogoda46[[#This Row],[opady]]&gt;0.61),0,pogoda46[[#This Row],[temperatura_srednia]]&gt;30,24000,pogoda46[[#This Row],[temperatura_srednia]]&gt;15,12000)</f>
        <v>12000</v>
      </c>
      <c r="J141">
        <f>IF(pogoda46[[#This Row],[stan_po_dolaniu]]&lt;pogoda46[[#This Row],[ile_podlewamy]],$AB$2-pogoda46[[#This Row],[stan_po_dolaniu]],0)</f>
        <v>23896</v>
      </c>
      <c r="K141">
        <f>pogoda46[[#This Row],[stan_po_dolaniu]]+pogoda46[[#This Row],[ile_dolać_do_podlania]]</f>
        <v>25000</v>
      </c>
      <c r="L141">
        <f>pogoda46[[#This Row],[stan_po_dolaniu_do_podlania]]-pogoda46[[#This Row],[ile_podlewamy]]</f>
        <v>13000</v>
      </c>
      <c r="N141" s="5">
        <v>42234</v>
      </c>
      <c r="O141">
        <v>13000</v>
      </c>
    </row>
    <row r="142" spans="1:15" x14ac:dyDescent="0.25">
      <c r="A142" s="2">
        <v>42235</v>
      </c>
      <c r="B142">
        <v>19</v>
      </c>
      <c r="C142">
        <v>0</v>
      </c>
      <c r="D142">
        <f t="shared" si="2"/>
        <v>13000</v>
      </c>
      <c r="E142">
        <f>IF(C142=0,ROUNDUP($AB$3*POWER(pogoda46[[#This Row],[temperatura_srednia]],1.5)*pogoda46[[#This Row],[stan_przed_dolaniem]],0),0)</f>
        <v>323</v>
      </c>
      <c r="F142">
        <f>pogoda46[[#This Row],[stan_przed_dolaniem]]-pogoda46[[#This Row],[ubytek]]</f>
        <v>12677</v>
      </c>
      <c r="G142">
        <f>IF(pogoda46[[#This Row],[opady]]*$AB$1+D142&gt;$AB$2,$AB$2-pogoda46[[#This Row],[stan_przed_dolaniem]],pogoda46[[#This Row],[opady]]*$AB$1)</f>
        <v>0</v>
      </c>
      <c r="H142">
        <f>pogoda46[[#This Row],[stan_po_ubytku]]+pogoda46[[#This Row],[ile_pogoda_dolała]]</f>
        <v>12677</v>
      </c>
      <c r="I142" cm="1">
        <f t="array" ref="I142">_xlfn.IFS(OR(pogoda46[[#This Row],[temperatura_srednia]]&lt;=15,pogoda46[[#This Row],[opady]]&gt;0.61),0,pogoda46[[#This Row],[temperatura_srednia]]&gt;30,24000,pogoda46[[#This Row],[temperatura_srednia]]&gt;15,12000)</f>
        <v>12000</v>
      </c>
      <c r="J142">
        <f>IF(pogoda46[[#This Row],[stan_po_dolaniu]]&lt;pogoda46[[#This Row],[ile_podlewamy]],$AB$2-pogoda46[[#This Row],[stan_po_dolaniu]],0)</f>
        <v>0</v>
      </c>
      <c r="K142">
        <f>pogoda46[[#This Row],[stan_po_dolaniu]]+pogoda46[[#This Row],[ile_dolać_do_podlania]]</f>
        <v>12677</v>
      </c>
      <c r="L142">
        <f>pogoda46[[#This Row],[stan_po_dolaniu_do_podlania]]-pogoda46[[#This Row],[ile_podlewamy]]</f>
        <v>677</v>
      </c>
      <c r="N142" s="5">
        <v>42235</v>
      </c>
      <c r="O142">
        <v>677</v>
      </c>
    </row>
    <row r="143" spans="1:15" x14ac:dyDescent="0.25">
      <c r="A143" s="2">
        <v>42236</v>
      </c>
      <c r="B143">
        <v>18</v>
      </c>
      <c r="C143">
        <v>0</v>
      </c>
      <c r="D143">
        <f t="shared" si="2"/>
        <v>677</v>
      </c>
      <c r="E143">
        <f>IF(C143=0,ROUNDUP($AB$3*POWER(pogoda46[[#This Row],[temperatura_srednia]],1.5)*pogoda46[[#This Row],[stan_przed_dolaniem]],0),0)</f>
        <v>16</v>
      </c>
      <c r="F143">
        <f>pogoda46[[#This Row],[stan_przed_dolaniem]]-pogoda46[[#This Row],[ubytek]]</f>
        <v>661</v>
      </c>
      <c r="G143">
        <f>IF(pogoda46[[#This Row],[opady]]*$AB$1+D143&gt;$AB$2,$AB$2-pogoda46[[#This Row],[stan_przed_dolaniem]],pogoda46[[#This Row],[opady]]*$AB$1)</f>
        <v>0</v>
      </c>
      <c r="H143">
        <f>pogoda46[[#This Row],[stan_po_ubytku]]+pogoda46[[#This Row],[ile_pogoda_dolała]]</f>
        <v>661</v>
      </c>
      <c r="I143" cm="1">
        <f t="array" ref="I143">_xlfn.IFS(OR(pogoda46[[#This Row],[temperatura_srednia]]&lt;=15,pogoda46[[#This Row],[opady]]&gt;0.61),0,pogoda46[[#This Row],[temperatura_srednia]]&gt;30,24000,pogoda46[[#This Row],[temperatura_srednia]]&gt;15,12000)</f>
        <v>12000</v>
      </c>
      <c r="J143">
        <f>IF(pogoda46[[#This Row],[stan_po_dolaniu]]&lt;pogoda46[[#This Row],[ile_podlewamy]],$AB$2-pogoda46[[#This Row],[stan_po_dolaniu]],0)</f>
        <v>24339</v>
      </c>
      <c r="K143">
        <f>pogoda46[[#This Row],[stan_po_dolaniu]]+pogoda46[[#This Row],[ile_dolać_do_podlania]]</f>
        <v>25000</v>
      </c>
      <c r="L143">
        <f>pogoda46[[#This Row],[stan_po_dolaniu_do_podlania]]-pogoda46[[#This Row],[ile_podlewamy]]</f>
        <v>13000</v>
      </c>
      <c r="N143" s="5">
        <v>42236</v>
      </c>
      <c r="O143">
        <v>13000</v>
      </c>
    </row>
    <row r="144" spans="1:15" x14ac:dyDescent="0.25">
      <c r="A144" s="2">
        <v>42237</v>
      </c>
      <c r="B144">
        <v>18</v>
      </c>
      <c r="C144">
        <v>0</v>
      </c>
      <c r="D144">
        <f t="shared" si="2"/>
        <v>13000</v>
      </c>
      <c r="E144">
        <f>IF(C144=0,ROUNDUP($AB$3*POWER(pogoda46[[#This Row],[temperatura_srednia]],1.5)*pogoda46[[#This Row],[stan_przed_dolaniem]],0),0)</f>
        <v>298</v>
      </c>
      <c r="F144">
        <f>pogoda46[[#This Row],[stan_przed_dolaniem]]-pogoda46[[#This Row],[ubytek]]</f>
        <v>12702</v>
      </c>
      <c r="G144">
        <f>IF(pogoda46[[#This Row],[opady]]*$AB$1+D144&gt;$AB$2,$AB$2-pogoda46[[#This Row],[stan_przed_dolaniem]],pogoda46[[#This Row],[opady]]*$AB$1)</f>
        <v>0</v>
      </c>
      <c r="H144">
        <f>pogoda46[[#This Row],[stan_po_ubytku]]+pogoda46[[#This Row],[ile_pogoda_dolała]]</f>
        <v>12702</v>
      </c>
      <c r="I144" cm="1">
        <f t="array" ref="I144">_xlfn.IFS(OR(pogoda46[[#This Row],[temperatura_srednia]]&lt;=15,pogoda46[[#This Row],[opady]]&gt;0.61),0,pogoda46[[#This Row],[temperatura_srednia]]&gt;30,24000,pogoda46[[#This Row],[temperatura_srednia]]&gt;15,12000)</f>
        <v>12000</v>
      </c>
      <c r="J144">
        <f>IF(pogoda46[[#This Row],[stan_po_dolaniu]]&lt;pogoda46[[#This Row],[ile_podlewamy]],$AB$2-pogoda46[[#This Row],[stan_po_dolaniu]],0)</f>
        <v>0</v>
      </c>
      <c r="K144">
        <f>pogoda46[[#This Row],[stan_po_dolaniu]]+pogoda46[[#This Row],[ile_dolać_do_podlania]]</f>
        <v>12702</v>
      </c>
      <c r="L144">
        <f>pogoda46[[#This Row],[stan_po_dolaniu_do_podlania]]-pogoda46[[#This Row],[ile_podlewamy]]</f>
        <v>702</v>
      </c>
      <c r="N144" s="5">
        <v>42237</v>
      </c>
      <c r="O144">
        <v>702</v>
      </c>
    </row>
    <row r="145" spans="1:15" x14ac:dyDescent="0.25">
      <c r="A145" s="2">
        <v>42238</v>
      </c>
      <c r="B145">
        <v>18</v>
      </c>
      <c r="C145">
        <v>0</v>
      </c>
      <c r="D145">
        <f t="shared" si="2"/>
        <v>702</v>
      </c>
      <c r="E145">
        <f>IF(C145=0,ROUNDUP($AB$3*POWER(pogoda46[[#This Row],[temperatura_srednia]],1.5)*pogoda46[[#This Row],[stan_przed_dolaniem]],0),0)</f>
        <v>17</v>
      </c>
      <c r="F145">
        <f>pogoda46[[#This Row],[stan_przed_dolaniem]]-pogoda46[[#This Row],[ubytek]]</f>
        <v>685</v>
      </c>
      <c r="G145">
        <f>IF(pogoda46[[#This Row],[opady]]*$AB$1+D145&gt;$AB$2,$AB$2-pogoda46[[#This Row],[stan_przed_dolaniem]],pogoda46[[#This Row],[opady]]*$AB$1)</f>
        <v>0</v>
      </c>
      <c r="H145">
        <f>pogoda46[[#This Row],[stan_po_ubytku]]+pogoda46[[#This Row],[ile_pogoda_dolała]]</f>
        <v>685</v>
      </c>
      <c r="I145" cm="1">
        <f t="array" ref="I145">_xlfn.IFS(OR(pogoda46[[#This Row],[temperatura_srednia]]&lt;=15,pogoda46[[#This Row],[opady]]&gt;0.61),0,pogoda46[[#This Row],[temperatura_srednia]]&gt;30,24000,pogoda46[[#This Row],[temperatura_srednia]]&gt;15,12000)</f>
        <v>12000</v>
      </c>
      <c r="J145">
        <f>IF(pogoda46[[#This Row],[stan_po_dolaniu]]&lt;pogoda46[[#This Row],[ile_podlewamy]],$AB$2-pogoda46[[#This Row],[stan_po_dolaniu]],0)</f>
        <v>24315</v>
      </c>
      <c r="K145">
        <f>pogoda46[[#This Row],[stan_po_dolaniu]]+pogoda46[[#This Row],[ile_dolać_do_podlania]]</f>
        <v>25000</v>
      </c>
      <c r="L145">
        <f>pogoda46[[#This Row],[stan_po_dolaniu_do_podlania]]-pogoda46[[#This Row],[ile_podlewamy]]</f>
        <v>13000</v>
      </c>
      <c r="N145" s="5">
        <v>42238</v>
      </c>
      <c r="O145">
        <v>13000</v>
      </c>
    </row>
    <row r="146" spans="1:15" x14ac:dyDescent="0.25">
      <c r="A146" s="2">
        <v>42239</v>
      </c>
      <c r="B146">
        <v>19</v>
      </c>
      <c r="C146">
        <v>0</v>
      </c>
      <c r="D146">
        <f t="shared" si="2"/>
        <v>13000</v>
      </c>
      <c r="E146">
        <f>IF(C146=0,ROUNDUP($AB$3*POWER(pogoda46[[#This Row],[temperatura_srednia]],1.5)*pogoda46[[#This Row],[stan_przed_dolaniem]],0),0)</f>
        <v>323</v>
      </c>
      <c r="F146">
        <f>pogoda46[[#This Row],[stan_przed_dolaniem]]-pogoda46[[#This Row],[ubytek]]</f>
        <v>12677</v>
      </c>
      <c r="G146">
        <f>IF(pogoda46[[#This Row],[opady]]*$AB$1+D146&gt;$AB$2,$AB$2-pogoda46[[#This Row],[stan_przed_dolaniem]],pogoda46[[#This Row],[opady]]*$AB$1)</f>
        <v>0</v>
      </c>
      <c r="H146">
        <f>pogoda46[[#This Row],[stan_po_ubytku]]+pogoda46[[#This Row],[ile_pogoda_dolała]]</f>
        <v>12677</v>
      </c>
      <c r="I146" cm="1">
        <f t="array" ref="I146">_xlfn.IFS(OR(pogoda46[[#This Row],[temperatura_srednia]]&lt;=15,pogoda46[[#This Row],[opady]]&gt;0.61),0,pogoda46[[#This Row],[temperatura_srednia]]&gt;30,24000,pogoda46[[#This Row],[temperatura_srednia]]&gt;15,12000)</f>
        <v>12000</v>
      </c>
      <c r="J146">
        <f>IF(pogoda46[[#This Row],[stan_po_dolaniu]]&lt;pogoda46[[#This Row],[ile_podlewamy]],$AB$2-pogoda46[[#This Row],[stan_po_dolaniu]],0)</f>
        <v>0</v>
      </c>
      <c r="K146">
        <f>pogoda46[[#This Row],[stan_po_dolaniu]]+pogoda46[[#This Row],[ile_dolać_do_podlania]]</f>
        <v>12677</v>
      </c>
      <c r="L146">
        <f>pogoda46[[#This Row],[stan_po_dolaniu_do_podlania]]-pogoda46[[#This Row],[ile_podlewamy]]</f>
        <v>677</v>
      </c>
      <c r="N146" s="5">
        <v>42239</v>
      </c>
      <c r="O146">
        <v>677</v>
      </c>
    </row>
    <row r="147" spans="1:15" x14ac:dyDescent="0.25">
      <c r="A147" s="2">
        <v>42240</v>
      </c>
      <c r="B147">
        <v>21</v>
      </c>
      <c r="C147">
        <v>5.5</v>
      </c>
      <c r="D147">
        <f t="shared" si="2"/>
        <v>677</v>
      </c>
      <c r="E147">
        <f>IF(C147=0,ROUNDUP($AB$3*POWER(pogoda46[[#This Row],[temperatura_srednia]],1.5)*pogoda46[[#This Row],[stan_przed_dolaniem]],0),0)</f>
        <v>0</v>
      </c>
      <c r="F147">
        <f>pogoda46[[#This Row],[stan_przed_dolaniem]]-pogoda46[[#This Row],[ubytek]]</f>
        <v>677</v>
      </c>
      <c r="G147">
        <f>IF(pogoda46[[#This Row],[opady]]*$AB$1+D147&gt;$AB$2,$AB$2-pogoda46[[#This Row],[stan_przed_dolaniem]],pogoda46[[#This Row],[opady]]*$AB$1)</f>
        <v>3850</v>
      </c>
      <c r="H147">
        <f>pogoda46[[#This Row],[stan_po_ubytku]]+pogoda46[[#This Row],[ile_pogoda_dolała]]</f>
        <v>4527</v>
      </c>
      <c r="I147" cm="1">
        <f t="array" ref="I147">_xlfn.IFS(OR(pogoda46[[#This Row],[temperatura_srednia]]&lt;=15,pogoda46[[#This Row],[opady]]&gt;0.61),0,pogoda46[[#This Row],[temperatura_srednia]]&gt;30,24000,pogoda46[[#This Row],[temperatura_srednia]]&gt;15,12000)</f>
        <v>0</v>
      </c>
      <c r="J147">
        <f>IF(pogoda46[[#This Row],[stan_po_dolaniu]]&lt;pogoda46[[#This Row],[ile_podlewamy]],$AB$2-pogoda46[[#This Row],[stan_po_dolaniu]],0)</f>
        <v>0</v>
      </c>
      <c r="K147">
        <f>pogoda46[[#This Row],[stan_po_dolaniu]]+pogoda46[[#This Row],[ile_dolać_do_podlania]]</f>
        <v>4527</v>
      </c>
      <c r="L147">
        <f>pogoda46[[#This Row],[stan_po_dolaniu_do_podlania]]-pogoda46[[#This Row],[ile_podlewamy]]</f>
        <v>4527</v>
      </c>
      <c r="N147" s="5">
        <v>42240</v>
      </c>
      <c r="O147">
        <v>4527</v>
      </c>
    </row>
    <row r="148" spans="1:15" x14ac:dyDescent="0.25">
      <c r="A148" s="2">
        <v>42241</v>
      </c>
      <c r="B148">
        <v>18</v>
      </c>
      <c r="C148">
        <v>18</v>
      </c>
      <c r="D148">
        <f t="shared" si="2"/>
        <v>4527</v>
      </c>
      <c r="E148">
        <f>IF(C148=0,ROUNDUP($AB$3*POWER(pogoda46[[#This Row],[temperatura_srednia]],1.5)*pogoda46[[#This Row],[stan_przed_dolaniem]],0),0)</f>
        <v>0</v>
      </c>
      <c r="F148">
        <f>pogoda46[[#This Row],[stan_przed_dolaniem]]-pogoda46[[#This Row],[ubytek]]</f>
        <v>4527</v>
      </c>
      <c r="G148">
        <f>IF(pogoda46[[#This Row],[opady]]*$AB$1+D148&gt;$AB$2,$AB$2-pogoda46[[#This Row],[stan_przed_dolaniem]],pogoda46[[#This Row],[opady]]*$AB$1)</f>
        <v>12600</v>
      </c>
      <c r="H148">
        <f>pogoda46[[#This Row],[stan_po_ubytku]]+pogoda46[[#This Row],[ile_pogoda_dolała]]</f>
        <v>17127</v>
      </c>
      <c r="I148" cm="1">
        <f t="array" ref="I148">_xlfn.IFS(OR(pogoda46[[#This Row],[temperatura_srednia]]&lt;=15,pogoda46[[#This Row],[opady]]&gt;0.61),0,pogoda46[[#This Row],[temperatura_srednia]]&gt;30,24000,pogoda46[[#This Row],[temperatura_srednia]]&gt;15,12000)</f>
        <v>0</v>
      </c>
      <c r="J148">
        <f>IF(pogoda46[[#This Row],[stan_po_dolaniu]]&lt;pogoda46[[#This Row],[ile_podlewamy]],$AB$2-pogoda46[[#This Row],[stan_po_dolaniu]],0)</f>
        <v>0</v>
      </c>
      <c r="K148">
        <f>pogoda46[[#This Row],[stan_po_dolaniu]]+pogoda46[[#This Row],[ile_dolać_do_podlania]]</f>
        <v>17127</v>
      </c>
      <c r="L148">
        <f>pogoda46[[#This Row],[stan_po_dolaniu_do_podlania]]-pogoda46[[#This Row],[ile_podlewamy]]</f>
        <v>17127</v>
      </c>
      <c r="N148" s="5">
        <v>42241</v>
      </c>
      <c r="O148">
        <v>17127</v>
      </c>
    </row>
    <row r="149" spans="1:15" x14ac:dyDescent="0.25">
      <c r="A149" s="2">
        <v>42242</v>
      </c>
      <c r="B149">
        <v>19</v>
      </c>
      <c r="C149">
        <v>12</v>
      </c>
      <c r="D149">
        <f t="shared" si="2"/>
        <v>17127</v>
      </c>
      <c r="E149">
        <f>IF(C149=0,ROUNDUP($AB$3*POWER(pogoda46[[#This Row],[temperatura_srednia]],1.5)*pogoda46[[#This Row],[stan_przed_dolaniem]],0),0)</f>
        <v>0</v>
      </c>
      <c r="F149">
        <f>pogoda46[[#This Row],[stan_przed_dolaniem]]-pogoda46[[#This Row],[ubytek]]</f>
        <v>17127</v>
      </c>
      <c r="G149">
        <f>IF(pogoda46[[#This Row],[opady]]*$AB$1+D149&gt;$AB$2,$AB$2-pogoda46[[#This Row],[stan_przed_dolaniem]],pogoda46[[#This Row],[opady]]*$AB$1)</f>
        <v>7873</v>
      </c>
      <c r="H149">
        <f>pogoda46[[#This Row],[stan_po_ubytku]]+pogoda46[[#This Row],[ile_pogoda_dolała]]</f>
        <v>25000</v>
      </c>
      <c r="I149" cm="1">
        <f t="array" ref="I149">_xlfn.IFS(OR(pogoda46[[#This Row],[temperatura_srednia]]&lt;=15,pogoda46[[#This Row],[opady]]&gt;0.61),0,pogoda46[[#This Row],[temperatura_srednia]]&gt;30,24000,pogoda46[[#This Row],[temperatura_srednia]]&gt;15,12000)</f>
        <v>0</v>
      </c>
      <c r="J149">
        <f>IF(pogoda46[[#This Row],[stan_po_dolaniu]]&lt;pogoda46[[#This Row],[ile_podlewamy]],$AB$2-pogoda46[[#This Row],[stan_po_dolaniu]],0)</f>
        <v>0</v>
      </c>
      <c r="K149">
        <f>pogoda46[[#This Row],[stan_po_dolaniu]]+pogoda46[[#This Row],[ile_dolać_do_podlania]]</f>
        <v>25000</v>
      </c>
      <c r="L149">
        <f>pogoda46[[#This Row],[stan_po_dolaniu_do_podlania]]-pogoda46[[#This Row],[ile_podlewamy]]</f>
        <v>25000</v>
      </c>
      <c r="N149" s="5">
        <v>42242</v>
      </c>
      <c r="O149">
        <v>25000</v>
      </c>
    </row>
    <row r="150" spans="1:15" x14ac:dyDescent="0.25">
      <c r="A150" s="2">
        <v>42243</v>
      </c>
      <c r="B150">
        <v>23</v>
      </c>
      <c r="C150">
        <v>0</v>
      </c>
      <c r="D150">
        <f t="shared" si="2"/>
        <v>25000</v>
      </c>
      <c r="E150">
        <f>IF(C150=0,ROUNDUP($AB$3*POWER(pogoda46[[#This Row],[temperatura_srednia]],1.5)*pogoda46[[#This Row],[stan_przed_dolaniem]],0),0)</f>
        <v>828</v>
      </c>
      <c r="F150">
        <f>pogoda46[[#This Row],[stan_przed_dolaniem]]-pogoda46[[#This Row],[ubytek]]</f>
        <v>24172</v>
      </c>
      <c r="G150">
        <f>IF(pogoda46[[#This Row],[opady]]*$AB$1+D150&gt;$AB$2,$AB$2-pogoda46[[#This Row],[stan_przed_dolaniem]],pogoda46[[#This Row],[opady]]*$AB$1)</f>
        <v>0</v>
      </c>
      <c r="H150">
        <f>pogoda46[[#This Row],[stan_po_ubytku]]+pogoda46[[#This Row],[ile_pogoda_dolała]]</f>
        <v>24172</v>
      </c>
      <c r="I150" cm="1">
        <f t="array" ref="I150">_xlfn.IFS(OR(pogoda46[[#This Row],[temperatura_srednia]]&lt;=15,pogoda46[[#This Row],[opady]]&gt;0.61),0,pogoda46[[#This Row],[temperatura_srednia]]&gt;30,24000,pogoda46[[#This Row],[temperatura_srednia]]&gt;15,12000)</f>
        <v>12000</v>
      </c>
      <c r="J150">
        <f>IF(pogoda46[[#This Row],[stan_po_dolaniu]]&lt;pogoda46[[#This Row],[ile_podlewamy]],$AB$2-pogoda46[[#This Row],[stan_po_dolaniu]],0)</f>
        <v>0</v>
      </c>
      <c r="K150">
        <f>pogoda46[[#This Row],[stan_po_dolaniu]]+pogoda46[[#This Row],[ile_dolać_do_podlania]]</f>
        <v>24172</v>
      </c>
      <c r="L150">
        <f>pogoda46[[#This Row],[stan_po_dolaniu_do_podlania]]-pogoda46[[#This Row],[ile_podlewamy]]</f>
        <v>12172</v>
      </c>
      <c r="N150" s="5">
        <v>42243</v>
      </c>
      <c r="O150">
        <v>12172</v>
      </c>
    </row>
    <row r="151" spans="1:15" x14ac:dyDescent="0.25">
      <c r="A151" s="2">
        <v>42244</v>
      </c>
      <c r="B151">
        <v>17</v>
      </c>
      <c r="C151">
        <v>0.1</v>
      </c>
      <c r="D151">
        <f t="shared" si="2"/>
        <v>12172</v>
      </c>
      <c r="E151">
        <f>IF(C151=0,ROUNDUP($AB$3*POWER(pogoda46[[#This Row],[temperatura_srednia]],1.5)*pogoda46[[#This Row],[stan_przed_dolaniem]],0),0)</f>
        <v>0</v>
      </c>
      <c r="F151">
        <f>pogoda46[[#This Row],[stan_przed_dolaniem]]-pogoda46[[#This Row],[ubytek]]</f>
        <v>12172</v>
      </c>
      <c r="G151">
        <f>IF(pogoda46[[#This Row],[opady]]*$AB$1+D151&gt;$AB$2,$AB$2-pogoda46[[#This Row],[stan_przed_dolaniem]],pogoda46[[#This Row],[opady]]*$AB$1)</f>
        <v>70</v>
      </c>
      <c r="H151">
        <f>pogoda46[[#This Row],[stan_po_ubytku]]+pogoda46[[#This Row],[ile_pogoda_dolała]]</f>
        <v>12242</v>
      </c>
      <c r="I151" cm="1">
        <f t="array" ref="I151">_xlfn.IFS(OR(pogoda46[[#This Row],[temperatura_srednia]]&lt;=15,pogoda46[[#This Row],[opady]]&gt;0.61),0,pogoda46[[#This Row],[temperatura_srednia]]&gt;30,24000,pogoda46[[#This Row],[temperatura_srednia]]&gt;15,12000)</f>
        <v>12000</v>
      </c>
      <c r="J151">
        <f>IF(pogoda46[[#This Row],[stan_po_dolaniu]]&lt;pogoda46[[#This Row],[ile_podlewamy]],$AB$2-pogoda46[[#This Row],[stan_po_dolaniu]],0)</f>
        <v>0</v>
      </c>
      <c r="K151">
        <f>pogoda46[[#This Row],[stan_po_dolaniu]]+pogoda46[[#This Row],[ile_dolać_do_podlania]]</f>
        <v>12242</v>
      </c>
      <c r="L151">
        <f>pogoda46[[#This Row],[stan_po_dolaniu_do_podlania]]-pogoda46[[#This Row],[ile_podlewamy]]</f>
        <v>242</v>
      </c>
      <c r="N151" s="5">
        <v>42244</v>
      </c>
      <c r="O151">
        <v>242</v>
      </c>
    </row>
    <row r="152" spans="1:15" x14ac:dyDescent="0.25">
      <c r="A152" s="2">
        <v>42245</v>
      </c>
      <c r="B152">
        <v>16</v>
      </c>
      <c r="C152">
        <v>14</v>
      </c>
      <c r="D152">
        <f t="shared" si="2"/>
        <v>242</v>
      </c>
      <c r="E152">
        <f>IF(C152=0,ROUNDUP($AB$3*POWER(pogoda46[[#This Row],[temperatura_srednia]],1.5)*pogoda46[[#This Row],[stan_przed_dolaniem]],0),0)</f>
        <v>0</v>
      </c>
      <c r="F152">
        <f>pogoda46[[#This Row],[stan_przed_dolaniem]]-pogoda46[[#This Row],[ubytek]]</f>
        <v>242</v>
      </c>
      <c r="G152">
        <f>IF(pogoda46[[#This Row],[opady]]*$AB$1+D152&gt;$AB$2,$AB$2-pogoda46[[#This Row],[stan_przed_dolaniem]],pogoda46[[#This Row],[opady]]*$AB$1)</f>
        <v>9800</v>
      </c>
      <c r="H152">
        <f>pogoda46[[#This Row],[stan_po_ubytku]]+pogoda46[[#This Row],[ile_pogoda_dolała]]</f>
        <v>10042</v>
      </c>
      <c r="I152" cm="1">
        <f t="array" ref="I152">_xlfn.IFS(OR(pogoda46[[#This Row],[temperatura_srednia]]&lt;=15,pogoda46[[#This Row],[opady]]&gt;0.61),0,pogoda46[[#This Row],[temperatura_srednia]]&gt;30,24000,pogoda46[[#This Row],[temperatura_srednia]]&gt;15,12000)</f>
        <v>0</v>
      </c>
      <c r="J152">
        <f>IF(pogoda46[[#This Row],[stan_po_dolaniu]]&lt;pogoda46[[#This Row],[ile_podlewamy]],$AB$2-pogoda46[[#This Row],[stan_po_dolaniu]],0)</f>
        <v>0</v>
      </c>
      <c r="K152">
        <f>pogoda46[[#This Row],[stan_po_dolaniu]]+pogoda46[[#This Row],[ile_dolać_do_podlania]]</f>
        <v>10042</v>
      </c>
      <c r="L152">
        <f>pogoda46[[#This Row],[stan_po_dolaniu_do_podlania]]-pogoda46[[#This Row],[ile_podlewamy]]</f>
        <v>10042</v>
      </c>
      <c r="N152" s="5">
        <v>42245</v>
      </c>
      <c r="O152">
        <v>10042</v>
      </c>
    </row>
    <row r="153" spans="1:15" x14ac:dyDescent="0.25">
      <c r="A153" s="2">
        <v>42246</v>
      </c>
      <c r="B153">
        <v>22</v>
      </c>
      <c r="C153">
        <v>0</v>
      </c>
      <c r="D153">
        <f t="shared" si="2"/>
        <v>10042</v>
      </c>
      <c r="E153">
        <f>IF(C153=0,ROUNDUP($AB$3*POWER(pogoda46[[#This Row],[temperatura_srednia]],1.5)*pogoda46[[#This Row],[stan_przed_dolaniem]],0),0)</f>
        <v>311</v>
      </c>
      <c r="F153">
        <f>pogoda46[[#This Row],[stan_przed_dolaniem]]-pogoda46[[#This Row],[ubytek]]</f>
        <v>9731</v>
      </c>
      <c r="G153">
        <f>IF(pogoda46[[#This Row],[opady]]*$AB$1+D153&gt;$AB$2,$AB$2-pogoda46[[#This Row],[stan_przed_dolaniem]],pogoda46[[#This Row],[opady]]*$AB$1)</f>
        <v>0</v>
      </c>
      <c r="H153">
        <f>pogoda46[[#This Row],[stan_po_ubytku]]+pogoda46[[#This Row],[ile_pogoda_dolała]]</f>
        <v>9731</v>
      </c>
      <c r="I153" cm="1">
        <f t="array" ref="I153">_xlfn.IFS(OR(pogoda46[[#This Row],[temperatura_srednia]]&lt;=15,pogoda46[[#This Row],[opady]]&gt;0.61),0,pogoda46[[#This Row],[temperatura_srednia]]&gt;30,24000,pogoda46[[#This Row],[temperatura_srednia]]&gt;15,12000)</f>
        <v>12000</v>
      </c>
      <c r="J153">
        <f>IF(pogoda46[[#This Row],[stan_po_dolaniu]]&lt;pogoda46[[#This Row],[ile_podlewamy]],$AB$2-pogoda46[[#This Row],[stan_po_dolaniu]],0)</f>
        <v>15269</v>
      </c>
      <c r="K153">
        <f>pogoda46[[#This Row],[stan_po_dolaniu]]+pogoda46[[#This Row],[ile_dolać_do_podlania]]</f>
        <v>25000</v>
      </c>
      <c r="L153">
        <f>pogoda46[[#This Row],[stan_po_dolaniu_do_podlania]]-pogoda46[[#This Row],[ile_podlewamy]]</f>
        <v>13000</v>
      </c>
      <c r="N153" s="5">
        <v>42246</v>
      </c>
      <c r="O153">
        <v>13000</v>
      </c>
    </row>
    <row r="154" spans="1:15" x14ac:dyDescent="0.25">
      <c r="A154" s="2">
        <v>42247</v>
      </c>
      <c r="B154">
        <v>26</v>
      </c>
      <c r="C154">
        <v>0</v>
      </c>
      <c r="D154">
        <f t="shared" si="2"/>
        <v>13000</v>
      </c>
      <c r="E154">
        <f>IF(C154=0,ROUNDUP($AB$3*POWER(pogoda46[[#This Row],[temperatura_srednia]],1.5)*pogoda46[[#This Row],[stan_przed_dolaniem]],0),0)</f>
        <v>518</v>
      </c>
      <c r="F154">
        <f>pogoda46[[#This Row],[stan_przed_dolaniem]]-pogoda46[[#This Row],[ubytek]]</f>
        <v>12482</v>
      </c>
      <c r="G154">
        <f>IF(pogoda46[[#This Row],[opady]]*$AB$1+D154&gt;$AB$2,$AB$2-pogoda46[[#This Row],[stan_przed_dolaniem]],pogoda46[[#This Row],[opady]]*$AB$1)</f>
        <v>0</v>
      </c>
      <c r="H154">
        <f>pogoda46[[#This Row],[stan_po_ubytku]]+pogoda46[[#This Row],[ile_pogoda_dolała]]</f>
        <v>12482</v>
      </c>
      <c r="I154" cm="1">
        <f t="array" ref="I154">_xlfn.IFS(OR(pogoda46[[#This Row],[temperatura_srednia]]&lt;=15,pogoda46[[#This Row],[opady]]&gt;0.61),0,pogoda46[[#This Row],[temperatura_srednia]]&gt;30,24000,pogoda46[[#This Row],[temperatura_srednia]]&gt;15,12000)</f>
        <v>12000</v>
      </c>
      <c r="J154">
        <f>IF(pogoda46[[#This Row],[stan_po_dolaniu]]&lt;pogoda46[[#This Row],[ile_podlewamy]],$AB$2-pogoda46[[#This Row],[stan_po_dolaniu]],0)</f>
        <v>0</v>
      </c>
      <c r="K154">
        <f>pogoda46[[#This Row],[stan_po_dolaniu]]+pogoda46[[#This Row],[ile_dolać_do_podlania]]</f>
        <v>12482</v>
      </c>
      <c r="L154">
        <f>pogoda46[[#This Row],[stan_po_dolaniu_do_podlania]]-pogoda46[[#This Row],[ile_podlewamy]]</f>
        <v>482</v>
      </c>
      <c r="N154" s="5">
        <v>42247</v>
      </c>
      <c r="O154">
        <v>482</v>
      </c>
    </row>
    <row r="155" spans="1:15" x14ac:dyDescent="0.25">
      <c r="A155" s="2">
        <v>42248</v>
      </c>
      <c r="B155">
        <v>27</v>
      </c>
      <c r="C155">
        <v>2</v>
      </c>
      <c r="D155">
        <f t="shared" si="2"/>
        <v>482</v>
      </c>
      <c r="E155">
        <f>IF(C155=0,ROUNDUP($AB$3*POWER(pogoda46[[#This Row],[temperatura_srednia]],1.5)*pogoda46[[#This Row],[stan_przed_dolaniem]],0),0)</f>
        <v>0</v>
      </c>
      <c r="F155">
        <f>pogoda46[[#This Row],[stan_przed_dolaniem]]-pogoda46[[#This Row],[ubytek]]</f>
        <v>482</v>
      </c>
      <c r="G155">
        <f>IF(pogoda46[[#This Row],[opady]]*$AB$1+D155&gt;$AB$2,$AB$2-pogoda46[[#This Row],[stan_przed_dolaniem]],pogoda46[[#This Row],[opady]]*$AB$1)</f>
        <v>1400</v>
      </c>
      <c r="H155">
        <f>pogoda46[[#This Row],[stan_po_ubytku]]+pogoda46[[#This Row],[ile_pogoda_dolała]]</f>
        <v>1882</v>
      </c>
      <c r="I155" cm="1">
        <f t="array" ref="I155">_xlfn.IFS(OR(pogoda46[[#This Row],[temperatura_srednia]]&lt;=15,pogoda46[[#This Row],[opady]]&gt;0.61),0,pogoda46[[#This Row],[temperatura_srednia]]&gt;30,24000,pogoda46[[#This Row],[temperatura_srednia]]&gt;15,12000)</f>
        <v>0</v>
      </c>
      <c r="J155">
        <f>IF(pogoda46[[#This Row],[stan_po_dolaniu]]&lt;pogoda46[[#This Row],[ile_podlewamy]],$AB$2-pogoda46[[#This Row],[stan_po_dolaniu]],0)</f>
        <v>0</v>
      </c>
      <c r="K155">
        <f>pogoda46[[#This Row],[stan_po_dolaniu]]+pogoda46[[#This Row],[ile_dolać_do_podlania]]</f>
        <v>1882</v>
      </c>
      <c r="L155">
        <f>pogoda46[[#This Row],[stan_po_dolaniu_do_podlania]]-pogoda46[[#This Row],[ile_podlewamy]]</f>
        <v>1882</v>
      </c>
      <c r="N155" s="5">
        <v>42248</v>
      </c>
      <c r="O155">
        <v>1882</v>
      </c>
    </row>
    <row r="156" spans="1:15" x14ac:dyDescent="0.25">
      <c r="A156" s="2">
        <v>42249</v>
      </c>
      <c r="B156">
        <v>18</v>
      </c>
      <c r="C156">
        <v>0</v>
      </c>
      <c r="D156">
        <f t="shared" si="2"/>
        <v>1882</v>
      </c>
      <c r="E156">
        <f>IF(C156=0,ROUNDUP($AB$3*POWER(pogoda46[[#This Row],[temperatura_srednia]],1.5)*pogoda46[[#This Row],[stan_przed_dolaniem]],0),0)</f>
        <v>44</v>
      </c>
      <c r="F156">
        <f>pogoda46[[#This Row],[stan_przed_dolaniem]]-pogoda46[[#This Row],[ubytek]]</f>
        <v>1838</v>
      </c>
      <c r="G156">
        <f>IF(pogoda46[[#This Row],[opady]]*$AB$1+D156&gt;$AB$2,$AB$2-pogoda46[[#This Row],[stan_przed_dolaniem]],pogoda46[[#This Row],[opady]]*$AB$1)</f>
        <v>0</v>
      </c>
      <c r="H156">
        <f>pogoda46[[#This Row],[stan_po_ubytku]]+pogoda46[[#This Row],[ile_pogoda_dolała]]</f>
        <v>1838</v>
      </c>
      <c r="I156" cm="1">
        <f t="array" ref="I156">_xlfn.IFS(OR(pogoda46[[#This Row],[temperatura_srednia]]&lt;=15,pogoda46[[#This Row],[opady]]&gt;0.61),0,pogoda46[[#This Row],[temperatura_srednia]]&gt;30,24000,pogoda46[[#This Row],[temperatura_srednia]]&gt;15,12000)</f>
        <v>12000</v>
      </c>
      <c r="J156">
        <f>IF(pogoda46[[#This Row],[stan_po_dolaniu]]&lt;pogoda46[[#This Row],[ile_podlewamy]],$AB$2-pogoda46[[#This Row],[stan_po_dolaniu]],0)</f>
        <v>23162</v>
      </c>
      <c r="K156">
        <f>pogoda46[[#This Row],[stan_po_dolaniu]]+pogoda46[[#This Row],[ile_dolać_do_podlania]]</f>
        <v>25000</v>
      </c>
      <c r="L156">
        <f>pogoda46[[#This Row],[stan_po_dolaniu_do_podlania]]-pogoda46[[#This Row],[ile_podlewamy]]</f>
        <v>13000</v>
      </c>
      <c r="N156" s="5">
        <v>42249</v>
      </c>
      <c r="O156">
        <v>13000</v>
      </c>
    </row>
    <row r="157" spans="1:15" x14ac:dyDescent="0.25">
      <c r="A157" s="2">
        <v>42250</v>
      </c>
      <c r="B157">
        <v>17</v>
      </c>
      <c r="C157">
        <v>0</v>
      </c>
      <c r="D157">
        <f t="shared" si="2"/>
        <v>13000</v>
      </c>
      <c r="E157">
        <f>IF(C157=0,ROUNDUP($AB$3*POWER(pogoda46[[#This Row],[temperatura_srednia]],1.5)*pogoda46[[#This Row],[stan_przed_dolaniem]],0),0)</f>
        <v>274</v>
      </c>
      <c r="F157">
        <f>pogoda46[[#This Row],[stan_przed_dolaniem]]-pogoda46[[#This Row],[ubytek]]</f>
        <v>12726</v>
      </c>
      <c r="G157">
        <f>IF(pogoda46[[#This Row],[opady]]*$AB$1+D157&gt;$AB$2,$AB$2-pogoda46[[#This Row],[stan_przed_dolaniem]],pogoda46[[#This Row],[opady]]*$AB$1)</f>
        <v>0</v>
      </c>
      <c r="H157">
        <f>pogoda46[[#This Row],[stan_po_ubytku]]+pogoda46[[#This Row],[ile_pogoda_dolała]]</f>
        <v>12726</v>
      </c>
      <c r="I157" cm="1">
        <f t="array" ref="I157">_xlfn.IFS(OR(pogoda46[[#This Row],[temperatura_srednia]]&lt;=15,pogoda46[[#This Row],[opady]]&gt;0.61),0,pogoda46[[#This Row],[temperatura_srednia]]&gt;30,24000,pogoda46[[#This Row],[temperatura_srednia]]&gt;15,12000)</f>
        <v>12000</v>
      </c>
      <c r="J157">
        <f>IF(pogoda46[[#This Row],[stan_po_dolaniu]]&lt;pogoda46[[#This Row],[ile_podlewamy]],$AB$2-pogoda46[[#This Row],[stan_po_dolaniu]],0)</f>
        <v>0</v>
      </c>
      <c r="K157">
        <f>pogoda46[[#This Row],[stan_po_dolaniu]]+pogoda46[[#This Row],[ile_dolać_do_podlania]]</f>
        <v>12726</v>
      </c>
      <c r="L157">
        <f>pogoda46[[#This Row],[stan_po_dolaniu_do_podlania]]-pogoda46[[#This Row],[ile_podlewamy]]</f>
        <v>726</v>
      </c>
      <c r="N157" s="5">
        <v>42250</v>
      </c>
      <c r="O157">
        <v>726</v>
      </c>
    </row>
    <row r="158" spans="1:15" x14ac:dyDescent="0.25">
      <c r="A158" s="2">
        <v>42251</v>
      </c>
      <c r="B158">
        <v>16</v>
      </c>
      <c r="C158">
        <v>0.1</v>
      </c>
      <c r="D158">
        <f t="shared" si="2"/>
        <v>726</v>
      </c>
      <c r="E158">
        <f>IF(C158=0,ROUNDUP($AB$3*POWER(pogoda46[[#This Row],[temperatura_srednia]],1.5)*pogoda46[[#This Row],[stan_przed_dolaniem]],0),0)</f>
        <v>0</v>
      </c>
      <c r="F158">
        <f>pogoda46[[#This Row],[stan_przed_dolaniem]]-pogoda46[[#This Row],[ubytek]]</f>
        <v>726</v>
      </c>
      <c r="G158">
        <f>IF(pogoda46[[#This Row],[opady]]*$AB$1+D158&gt;$AB$2,$AB$2-pogoda46[[#This Row],[stan_przed_dolaniem]],pogoda46[[#This Row],[opady]]*$AB$1)</f>
        <v>70</v>
      </c>
      <c r="H158">
        <f>pogoda46[[#This Row],[stan_po_ubytku]]+pogoda46[[#This Row],[ile_pogoda_dolała]]</f>
        <v>796</v>
      </c>
      <c r="I158" cm="1">
        <f t="array" ref="I158">_xlfn.IFS(OR(pogoda46[[#This Row],[temperatura_srednia]]&lt;=15,pogoda46[[#This Row],[opady]]&gt;0.61),0,pogoda46[[#This Row],[temperatura_srednia]]&gt;30,24000,pogoda46[[#This Row],[temperatura_srednia]]&gt;15,12000)</f>
        <v>12000</v>
      </c>
      <c r="J158">
        <f>IF(pogoda46[[#This Row],[stan_po_dolaniu]]&lt;pogoda46[[#This Row],[ile_podlewamy]],$AB$2-pogoda46[[#This Row],[stan_po_dolaniu]],0)</f>
        <v>24204</v>
      </c>
      <c r="K158">
        <f>pogoda46[[#This Row],[stan_po_dolaniu]]+pogoda46[[#This Row],[ile_dolać_do_podlania]]</f>
        <v>25000</v>
      </c>
      <c r="L158">
        <f>pogoda46[[#This Row],[stan_po_dolaniu_do_podlania]]-pogoda46[[#This Row],[ile_podlewamy]]</f>
        <v>13000</v>
      </c>
      <c r="N158" s="5">
        <v>42251</v>
      </c>
      <c r="O158">
        <v>13000</v>
      </c>
    </row>
    <row r="159" spans="1:15" x14ac:dyDescent="0.25">
      <c r="A159" s="2">
        <v>42252</v>
      </c>
      <c r="B159">
        <v>15</v>
      </c>
      <c r="C159">
        <v>0</v>
      </c>
      <c r="D159">
        <f t="shared" si="2"/>
        <v>13000</v>
      </c>
      <c r="E159">
        <f>IF(C159=0,ROUNDUP($AB$3*POWER(pogoda46[[#This Row],[temperatura_srednia]],1.5)*pogoda46[[#This Row],[stan_przed_dolaniem]],0),0)</f>
        <v>227</v>
      </c>
      <c r="F159">
        <f>pogoda46[[#This Row],[stan_przed_dolaniem]]-pogoda46[[#This Row],[ubytek]]</f>
        <v>12773</v>
      </c>
      <c r="G159">
        <f>IF(pogoda46[[#This Row],[opady]]*$AB$1+D159&gt;$AB$2,$AB$2-pogoda46[[#This Row],[stan_przed_dolaniem]],pogoda46[[#This Row],[opady]]*$AB$1)</f>
        <v>0</v>
      </c>
      <c r="H159">
        <f>pogoda46[[#This Row],[stan_po_ubytku]]+pogoda46[[#This Row],[ile_pogoda_dolała]]</f>
        <v>12773</v>
      </c>
      <c r="I159" cm="1">
        <f t="array" ref="I159">_xlfn.IFS(OR(pogoda46[[#This Row],[temperatura_srednia]]&lt;=15,pogoda46[[#This Row],[opady]]&gt;0.61),0,pogoda46[[#This Row],[temperatura_srednia]]&gt;30,24000,pogoda46[[#This Row],[temperatura_srednia]]&gt;15,12000)</f>
        <v>0</v>
      </c>
      <c r="J159">
        <f>IF(pogoda46[[#This Row],[stan_po_dolaniu]]&lt;pogoda46[[#This Row],[ile_podlewamy]],$AB$2-pogoda46[[#This Row],[stan_po_dolaniu]],0)</f>
        <v>0</v>
      </c>
      <c r="K159">
        <f>pogoda46[[#This Row],[stan_po_dolaniu]]+pogoda46[[#This Row],[ile_dolać_do_podlania]]</f>
        <v>12773</v>
      </c>
      <c r="L159">
        <f>pogoda46[[#This Row],[stan_po_dolaniu_do_podlania]]-pogoda46[[#This Row],[ile_podlewamy]]</f>
        <v>12773</v>
      </c>
      <c r="N159" s="5">
        <v>42252</v>
      </c>
      <c r="O159">
        <v>12773</v>
      </c>
    </row>
    <row r="160" spans="1:15" x14ac:dyDescent="0.25">
      <c r="A160" s="2">
        <v>42253</v>
      </c>
      <c r="B160">
        <v>12</v>
      </c>
      <c r="C160">
        <v>4</v>
      </c>
      <c r="D160">
        <f t="shared" si="2"/>
        <v>12773</v>
      </c>
      <c r="E160">
        <f>IF(C160=0,ROUNDUP($AB$3*POWER(pogoda46[[#This Row],[temperatura_srednia]],1.5)*pogoda46[[#This Row],[stan_przed_dolaniem]],0),0)</f>
        <v>0</v>
      </c>
      <c r="F160">
        <f>pogoda46[[#This Row],[stan_przed_dolaniem]]-pogoda46[[#This Row],[ubytek]]</f>
        <v>12773</v>
      </c>
      <c r="G160">
        <f>IF(pogoda46[[#This Row],[opady]]*$AB$1+D160&gt;$AB$2,$AB$2-pogoda46[[#This Row],[stan_przed_dolaniem]],pogoda46[[#This Row],[opady]]*$AB$1)</f>
        <v>2800</v>
      </c>
      <c r="H160">
        <f>pogoda46[[#This Row],[stan_po_ubytku]]+pogoda46[[#This Row],[ile_pogoda_dolała]]</f>
        <v>15573</v>
      </c>
      <c r="I160" cm="1">
        <f t="array" ref="I160">_xlfn.IFS(OR(pogoda46[[#This Row],[temperatura_srednia]]&lt;=15,pogoda46[[#This Row],[opady]]&gt;0.61),0,pogoda46[[#This Row],[temperatura_srednia]]&gt;30,24000,pogoda46[[#This Row],[temperatura_srednia]]&gt;15,12000)</f>
        <v>0</v>
      </c>
      <c r="J160">
        <f>IF(pogoda46[[#This Row],[stan_po_dolaniu]]&lt;pogoda46[[#This Row],[ile_podlewamy]],$AB$2-pogoda46[[#This Row],[stan_po_dolaniu]],0)</f>
        <v>0</v>
      </c>
      <c r="K160">
        <f>pogoda46[[#This Row],[stan_po_dolaniu]]+pogoda46[[#This Row],[ile_dolać_do_podlania]]</f>
        <v>15573</v>
      </c>
      <c r="L160">
        <f>pogoda46[[#This Row],[stan_po_dolaniu_do_podlania]]-pogoda46[[#This Row],[ile_podlewamy]]</f>
        <v>15573</v>
      </c>
      <c r="N160" s="5">
        <v>42253</v>
      </c>
      <c r="O160">
        <v>15573</v>
      </c>
    </row>
    <row r="161" spans="1:15" x14ac:dyDescent="0.25">
      <c r="A161" s="2">
        <v>42254</v>
      </c>
      <c r="B161">
        <v>13</v>
      </c>
      <c r="C161">
        <v>0</v>
      </c>
      <c r="D161">
        <f t="shared" si="2"/>
        <v>15573</v>
      </c>
      <c r="E161">
        <f>IF(C161=0,ROUNDUP($AB$3*POWER(pogoda46[[#This Row],[temperatura_srednia]],1.5)*pogoda46[[#This Row],[stan_przed_dolaniem]],0),0)</f>
        <v>219</v>
      </c>
      <c r="F161">
        <f>pogoda46[[#This Row],[stan_przed_dolaniem]]-pogoda46[[#This Row],[ubytek]]</f>
        <v>15354</v>
      </c>
      <c r="G161">
        <f>IF(pogoda46[[#This Row],[opady]]*$AB$1+D161&gt;$AB$2,$AB$2-pogoda46[[#This Row],[stan_przed_dolaniem]],pogoda46[[#This Row],[opady]]*$AB$1)</f>
        <v>0</v>
      </c>
      <c r="H161">
        <f>pogoda46[[#This Row],[stan_po_ubytku]]+pogoda46[[#This Row],[ile_pogoda_dolała]]</f>
        <v>15354</v>
      </c>
      <c r="I161" cm="1">
        <f t="array" ref="I161">_xlfn.IFS(OR(pogoda46[[#This Row],[temperatura_srednia]]&lt;=15,pogoda46[[#This Row],[opady]]&gt;0.61),0,pogoda46[[#This Row],[temperatura_srednia]]&gt;30,24000,pogoda46[[#This Row],[temperatura_srednia]]&gt;15,12000)</f>
        <v>0</v>
      </c>
      <c r="J161">
        <f>IF(pogoda46[[#This Row],[stan_po_dolaniu]]&lt;pogoda46[[#This Row],[ile_podlewamy]],$AB$2-pogoda46[[#This Row],[stan_po_dolaniu]],0)</f>
        <v>0</v>
      </c>
      <c r="K161">
        <f>pogoda46[[#This Row],[stan_po_dolaniu]]+pogoda46[[#This Row],[ile_dolać_do_podlania]]</f>
        <v>15354</v>
      </c>
      <c r="L161">
        <f>pogoda46[[#This Row],[stan_po_dolaniu_do_podlania]]-pogoda46[[#This Row],[ile_podlewamy]]</f>
        <v>15354</v>
      </c>
      <c r="N161" s="5">
        <v>42254</v>
      </c>
      <c r="O161">
        <v>15354</v>
      </c>
    </row>
    <row r="162" spans="1:15" x14ac:dyDescent="0.25">
      <c r="A162" s="2">
        <v>42255</v>
      </c>
      <c r="B162">
        <v>11</v>
      </c>
      <c r="C162">
        <v>4</v>
      </c>
      <c r="D162">
        <f t="shared" si="2"/>
        <v>15354</v>
      </c>
      <c r="E162">
        <f>IF(C162=0,ROUNDUP($AB$3*POWER(pogoda46[[#This Row],[temperatura_srednia]],1.5)*pogoda46[[#This Row],[stan_przed_dolaniem]],0),0)</f>
        <v>0</v>
      </c>
      <c r="F162">
        <f>pogoda46[[#This Row],[stan_przed_dolaniem]]-pogoda46[[#This Row],[ubytek]]</f>
        <v>15354</v>
      </c>
      <c r="G162">
        <f>IF(pogoda46[[#This Row],[opady]]*$AB$1+D162&gt;$AB$2,$AB$2-pogoda46[[#This Row],[stan_przed_dolaniem]],pogoda46[[#This Row],[opady]]*$AB$1)</f>
        <v>2800</v>
      </c>
      <c r="H162">
        <f>pogoda46[[#This Row],[stan_po_ubytku]]+pogoda46[[#This Row],[ile_pogoda_dolała]]</f>
        <v>18154</v>
      </c>
      <c r="I162" cm="1">
        <f t="array" ref="I162">_xlfn.IFS(OR(pogoda46[[#This Row],[temperatura_srednia]]&lt;=15,pogoda46[[#This Row],[opady]]&gt;0.61),0,pogoda46[[#This Row],[temperatura_srednia]]&gt;30,24000,pogoda46[[#This Row],[temperatura_srednia]]&gt;15,12000)</f>
        <v>0</v>
      </c>
      <c r="J162">
        <f>IF(pogoda46[[#This Row],[stan_po_dolaniu]]&lt;pogoda46[[#This Row],[ile_podlewamy]],$AB$2-pogoda46[[#This Row],[stan_po_dolaniu]],0)</f>
        <v>0</v>
      </c>
      <c r="K162">
        <f>pogoda46[[#This Row],[stan_po_dolaniu]]+pogoda46[[#This Row],[ile_dolać_do_podlania]]</f>
        <v>18154</v>
      </c>
      <c r="L162">
        <f>pogoda46[[#This Row],[stan_po_dolaniu_do_podlania]]-pogoda46[[#This Row],[ile_podlewamy]]</f>
        <v>18154</v>
      </c>
      <c r="N162" s="5">
        <v>42255</v>
      </c>
      <c r="O162">
        <v>18154</v>
      </c>
    </row>
    <row r="163" spans="1:15" x14ac:dyDescent="0.25">
      <c r="A163" s="2">
        <v>42256</v>
      </c>
      <c r="B163">
        <v>11</v>
      </c>
      <c r="C163">
        <v>0</v>
      </c>
      <c r="D163">
        <f t="shared" si="2"/>
        <v>18154</v>
      </c>
      <c r="E163">
        <f>IF(C163=0,ROUNDUP($AB$3*POWER(pogoda46[[#This Row],[temperatura_srednia]],1.5)*pogoda46[[#This Row],[stan_przed_dolaniem]],0),0)</f>
        <v>199</v>
      </c>
      <c r="F163">
        <f>pogoda46[[#This Row],[stan_przed_dolaniem]]-pogoda46[[#This Row],[ubytek]]</f>
        <v>17955</v>
      </c>
      <c r="G163">
        <f>IF(pogoda46[[#This Row],[opady]]*$AB$1+D163&gt;$AB$2,$AB$2-pogoda46[[#This Row],[stan_przed_dolaniem]],pogoda46[[#This Row],[opady]]*$AB$1)</f>
        <v>0</v>
      </c>
      <c r="H163">
        <f>pogoda46[[#This Row],[stan_po_ubytku]]+pogoda46[[#This Row],[ile_pogoda_dolała]]</f>
        <v>17955</v>
      </c>
      <c r="I163" cm="1">
        <f t="array" ref="I163">_xlfn.IFS(OR(pogoda46[[#This Row],[temperatura_srednia]]&lt;=15,pogoda46[[#This Row],[opady]]&gt;0.61),0,pogoda46[[#This Row],[temperatura_srednia]]&gt;30,24000,pogoda46[[#This Row],[temperatura_srednia]]&gt;15,12000)</f>
        <v>0</v>
      </c>
      <c r="J163">
        <f>IF(pogoda46[[#This Row],[stan_po_dolaniu]]&lt;pogoda46[[#This Row],[ile_podlewamy]],$AB$2-pogoda46[[#This Row],[stan_po_dolaniu]],0)</f>
        <v>0</v>
      </c>
      <c r="K163">
        <f>pogoda46[[#This Row],[stan_po_dolaniu]]+pogoda46[[#This Row],[ile_dolać_do_podlania]]</f>
        <v>17955</v>
      </c>
      <c r="L163">
        <f>pogoda46[[#This Row],[stan_po_dolaniu_do_podlania]]-pogoda46[[#This Row],[ile_podlewamy]]</f>
        <v>17955</v>
      </c>
      <c r="N163" s="5">
        <v>42256</v>
      </c>
      <c r="O163">
        <v>17955</v>
      </c>
    </row>
    <row r="164" spans="1:15" x14ac:dyDescent="0.25">
      <c r="A164" s="2">
        <v>42257</v>
      </c>
      <c r="B164">
        <v>12</v>
      </c>
      <c r="C164">
        <v>0</v>
      </c>
      <c r="D164">
        <f t="shared" si="2"/>
        <v>17955</v>
      </c>
      <c r="E164">
        <f>IF(C164=0,ROUNDUP($AB$3*POWER(pogoda46[[#This Row],[temperatura_srednia]],1.5)*pogoda46[[#This Row],[stan_przed_dolaniem]],0),0)</f>
        <v>224</v>
      </c>
      <c r="F164">
        <f>pogoda46[[#This Row],[stan_przed_dolaniem]]-pogoda46[[#This Row],[ubytek]]</f>
        <v>17731</v>
      </c>
      <c r="G164">
        <f>IF(pogoda46[[#This Row],[opady]]*$AB$1+D164&gt;$AB$2,$AB$2-pogoda46[[#This Row],[stan_przed_dolaniem]],pogoda46[[#This Row],[opady]]*$AB$1)</f>
        <v>0</v>
      </c>
      <c r="H164">
        <f>pogoda46[[#This Row],[stan_po_ubytku]]+pogoda46[[#This Row],[ile_pogoda_dolała]]</f>
        <v>17731</v>
      </c>
      <c r="I164" cm="1">
        <f t="array" ref="I164">_xlfn.IFS(OR(pogoda46[[#This Row],[temperatura_srednia]]&lt;=15,pogoda46[[#This Row],[opady]]&gt;0.61),0,pogoda46[[#This Row],[temperatura_srednia]]&gt;30,24000,pogoda46[[#This Row],[temperatura_srednia]]&gt;15,12000)</f>
        <v>0</v>
      </c>
      <c r="J164">
        <f>IF(pogoda46[[#This Row],[stan_po_dolaniu]]&lt;pogoda46[[#This Row],[ile_podlewamy]],$AB$2-pogoda46[[#This Row],[stan_po_dolaniu]],0)</f>
        <v>0</v>
      </c>
      <c r="K164">
        <f>pogoda46[[#This Row],[stan_po_dolaniu]]+pogoda46[[#This Row],[ile_dolać_do_podlania]]</f>
        <v>17731</v>
      </c>
      <c r="L164">
        <f>pogoda46[[#This Row],[stan_po_dolaniu_do_podlania]]-pogoda46[[#This Row],[ile_podlewamy]]</f>
        <v>17731</v>
      </c>
      <c r="N164" s="5">
        <v>42257</v>
      </c>
      <c r="O164">
        <v>17731</v>
      </c>
    </row>
    <row r="165" spans="1:15" x14ac:dyDescent="0.25">
      <c r="A165" s="2">
        <v>42258</v>
      </c>
      <c r="B165">
        <v>16</v>
      </c>
      <c r="C165">
        <v>0.1</v>
      </c>
      <c r="D165">
        <f t="shared" si="2"/>
        <v>17731</v>
      </c>
      <c r="E165">
        <f>IF(C165=0,ROUNDUP($AB$3*POWER(pogoda46[[#This Row],[temperatura_srednia]],1.5)*pogoda46[[#This Row],[stan_przed_dolaniem]],0),0)</f>
        <v>0</v>
      </c>
      <c r="F165">
        <f>pogoda46[[#This Row],[stan_przed_dolaniem]]-pogoda46[[#This Row],[ubytek]]</f>
        <v>17731</v>
      </c>
      <c r="G165">
        <f>IF(pogoda46[[#This Row],[opady]]*$AB$1+D165&gt;$AB$2,$AB$2-pogoda46[[#This Row],[stan_przed_dolaniem]],pogoda46[[#This Row],[opady]]*$AB$1)</f>
        <v>70</v>
      </c>
      <c r="H165">
        <f>pogoda46[[#This Row],[stan_po_ubytku]]+pogoda46[[#This Row],[ile_pogoda_dolała]]</f>
        <v>17801</v>
      </c>
      <c r="I165" cm="1">
        <f t="array" ref="I165">_xlfn.IFS(OR(pogoda46[[#This Row],[temperatura_srednia]]&lt;=15,pogoda46[[#This Row],[opady]]&gt;0.61),0,pogoda46[[#This Row],[temperatura_srednia]]&gt;30,24000,pogoda46[[#This Row],[temperatura_srednia]]&gt;15,12000)</f>
        <v>12000</v>
      </c>
      <c r="J165">
        <f>IF(pogoda46[[#This Row],[stan_po_dolaniu]]&lt;pogoda46[[#This Row],[ile_podlewamy]],$AB$2-pogoda46[[#This Row],[stan_po_dolaniu]],0)</f>
        <v>0</v>
      </c>
      <c r="K165">
        <f>pogoda46[[#This Row],[stan_po_dolaniu]]+pogoda46[[#This Row],[ile_dolać_do_podlania]]</f>
        <v>17801</v>
      </c>
      <c r="L165">
        <f>pogoda46[[#This Row],[stan_po_dolaniu_do_podlania]]-pogoda46[[#This Row],[ile_podlewamy]]</f>
        <v>5801</v>
      </c>
      <c r="N165" s="5">
        <v>42258</v>
      </c>
      <c r="O165">
        <v>5801</v>
      </c>
    </row>
    <row r="166" spans="1:15" x14ac:dyDescent="0.25">
      <c r="A166" s="2">
        <v>42259</v>
      </c>
      <c r="B166">
        <v>18</v>
      </c>
      <c r="C166">
        <v>0</v>
      </c>
      <c r="D166">
        <f t="shared" si="2"/>
        <v>5801</v>
      </c>
      <c r="E166">
        <f>IF(C166=0,ROUNDUP($AB$3*POWER(pogoda46[[#This Row],[temperatura_srednia]],1.5)*pogoda46[[#This Row],[stan_przed_dolaniem]],0),0)</f>
        <v>133</v>
      </c>
      <c r="F166">
        <f>pogoda46[[#This Row],[stan_przed_dolaniem]]-pogoda46[[#This Row],[ubytek]]</f>
        <v>5668</v>
      </c>
      <c r="G166">
        <f>IF(pogoda46[[#This Row],[opady]]*$AB$1+D166&gt;$AB$2,$AB$2-pogoda46[[#This Row],[stan_przed_dolaniem]],pogoda46[[#This Row],[opady]]*$AB$1)</f>
        <v>0</v>
      </c>
      <c r="H166">
        <f>pogoda46[[#This Row],[stan_po_ubytku]]+pogoda46[[#This Row],[ile_pogoda_dolała]]</f>
        <v>5668</v>
      </c>
      <c r="I166" cm="1">
        <f t="array" ref="I166">_xlfn.IFS(OR(pogoda46[[#This Row],[temperatura_srednia]]&lt;=15,pogoda46[[#This Row],[opady]]&gt;0.61),0,pogoda46[[#This Row],[temperatura_srednia]]&gt;30,24000,pogoda46[[#This Row],[temperatura_srednia]]&gt;15,12000)</f>
        <v>12000</v>
      </c>
      <c r="J166">
        <f>IF(pogoda46[[#This Row],[stan_po_dolaniu]]&lt;pogoda46[[#This Row],[ile_podlewamy]],$AB$2-pogoda46[[#This Row],[stan_po_dolaniu]],0)</f>
        <v>19332</v>
      </c>
      <c r="K166">
        <f>pogoda46[[#This Row],[stan_po_dolaniu]]+pogoda46[[#This Row],[ile_dolać_do_podlania]]</f>
        <v>25000</v>
      </c>
      <c r="L166">
        <f>pogoda46[[#This Row],[stan_po_dolaniu_do_podlania]]-pogoda46[[#This Row],[ile_podlewamy]]</f>
        <v>13000</v>
      </c>
      <c r="N166" s="5">
        <v>42259</v>
      </c>
      <c r="O166">
        <v>13000</v>
      </c>
    </row>
    <row r="167" spans="1:15" x14ac:dyDescent="0.25">
      <c r="A167" s="2">
        <v>42260</v>
      </c>
      <c r="B167">
        <v>18</v>
      </c>
      <c r="C167">
        <v>0</v>
      </c>
      <c r="D167">
        <f t="shared" si="2"/>
        <v>13000</v>
      </c>
      <c r="E167">
        <f>IF(C167=0,ROUNDUP($AB$3*POWER(pogoda46[[#This Row],[temperatura_srednia]],1.5)*pogoda46[[#This Row],[stan_przed_dolaniem]],0),0)</f>
        <v>298</v>
      </c>
      <c r="F167">
        <f>pogoda46[[#This Row],[stan_przed_dolaniem]]-pogoda46[[#This Row],[ubytek]]</f>
        <v>12702</v>
      </c>
      <c r="G167">
        <f>IF(pogoda46[[#This Row],[opady]]*$AB$1+D167&gt;$AB$2,$AB$2-pogoda46[[#This Row],[stan_przed_dolaniem]],pogoda46[[#This Row],[opady]]*$AB$1)</f>
        <v>0</v>
      </c>
      <c r="H167">
        <f>pogoda46[[#This Row],[stan_po_ubytku]]+pogoda46[[#This Row],[ile_pogoda_dolała]]</f>
        <v>12702</v>
      </c>
      <c r="I167" cm="1">
        <f t="array" ref="I167">_xlfn.IFS(OR(pogoda46[[#This Row],[temperatura_srednia]]&lt;=15,pogoda46[[#This Row],[opady]]&gt;0.61),0,pogoda46[[#This Row],[temperatura_srednia]]&gt;30,24000,pogoda46[[#This Row],[temperatura_srednia]]&gt;15,12000)</f>
        <v>12000</v>
      </c>
      <c r="J167">
        <f>IF(pogoda46[[#This Row],[stan_po_dolaniu]]&lt;pogoda46[[#This Row],[ile_podlewamy]],$AB$2-pogoda46[[#This Row],[stan_po_dolaniu]],0)</f>
        <v>0</v>
      </c>
      <c r="K167">
        <f>pogoda46[[#This Row],[stan_po_dolaniu]]+pogoda46[[#This Row],[ile_dolać_do_podlania]]</f>
        <v>12702</v>
      </c>
      <c r="L167">
        <f>pogoda46[[#This Row],[stan_po_dolaniu_do_podlania]]-pogoda46[[#This Row],[ile_podlewamy]]</f>
        <v>702</v>
      </c>
      <c r="N167" s="5">
        <v>42260</v>
      </c>
      <c r="O167">
        <v>702</v>
      </c>
    </row>
    <row r="168" spans="1:15" x14ac:dyDescent="0.25">
      <c r="A168" s="2">
        <v>42261</v>
      </c>
      <c r="B168">
        <v>19</v>
      </c>
      <c r="C168">
        <v>3</v>
      </c>
      <c r="D168">
        <f t="shared" si="2"/>
        <v>702</v>
      </c>
      <c r="E168">
        <f>IF(C168=0,ROUNDUP($AB$3*POWER(pogoda46[[#This Row],[temperatura_srednia]],1.5)*pogoda46[[#This Row],[stan_przed_dolaniem]],0),0)</f>
        <v>0</v>
      </c>
      <c r="F168">
        <f>pogoda46[[#This Row],[stan_przed_dolaniem]]-pogoda46[[#This Row],[ubytek]]</f>
        <v>702</v>
      </c>
      <c r="G168">
        <f>IF(pogoda46[[#This Row],[opady]]*$AB$1+D168&gt;$AB$2,$AB$2-pogoda46[[#This Row],[stan_przed_dolaniem]],pogoda46[[#This Row],[opady]]*$AB$1)</f>
        <v>2100</v>
      </c>
      <c r="H168">
        <f>pogoda46[[#This Row],[stan_po_ubytku]]+pogoda46[[#This Row],[ile_pogoda_dolała]]</f>
        <v>2802</v>
      </c>
      <c r="I168" cm="1">
        <f t="array" ref="I168">_xlfn.IFS(OR(pogoda46[[#This Row],[temperatura_srednia]]&lt;=15,pogoda46[[#This Row],[opady]]&gt;0.61),0,pogoda46[[#This Row],[temperatura_srednia]]&gt;30,24000,pogoda46[[#This Row],[temperatura_srednia]]&gt;15,12000)</f>
        <v>0</v>
      </c>
      <c r="J168">
        <f>IF(pogoda46[[#This Row],[stan_po_dolaniu]]&lt;pogoda46[[#This Row],[ile_podlewamy]],$AB$2-pogoda46[[#This Row],[stan_po_dolaniu]],0)</f>
        <v>0</v>
      </c>
      <c r="K168">
        <f>pogoda46[[#This Row],[stan_po_dolaniu]]+pogoda46[[#This Row],[ile_dolać_do_podlania]]</f>
        <v>2802</v>
      </c>
      <c r="L168">
        <f>pogoda46[[#This Row],[stan_po_dolaniu_do_podlania]]-pogoda46[[#This Row],[ile_podlewamy]]</f>
        <v>2802</v>
      </c>
      <c r="N168" s="5">
        <v>42261</v>
      </c>
      <c r="O168">
        <v>2802</v>
      </c>
    </row>
    <row r="169" spans="1:15" x14ac:dyDescent="0.25">
      <c r="A169" s="2">
        <v>42262</v>
      </c>
      <c r="B169">
        <v>16</v>
      </c>
      <c r="C169">
        <v>0.1</v>
      </c>
      <c r="D169">
        <f t="shared" si="2"/>
        <v>2802</v>
      </c>
      <c r="E169">
        <f>IF(C169=0,ROUNDUP($AB$3*POWER(pogoda46[[#This Row],[temperatura_srednia]],1.5)*pogoda46[[#This Row],[stan_przed_dolaniem]],0),0)</f>
        <v>0</v>
      </c>
      <c r="F169">
        <f>pogoda46[[#This Row],[stan_przed_dolaniem]]-pogoda46[[#This Row],[ubytek]]</f>
        <v>2802</v>
      </c>
      <c r="G169">
        <f>IF(pogoda46[[#This Row],[opady]]*$AB$1+D169&gt;$AB$2,$AB$2-pogoda46[[#This Row],[stan_przed_dolaniem]],pogoda46[[#This Row],[opady]]*$AB$1)</f>
        <v>70</v>
      </c>
      <c r="H169">
        <f>pogoda46[[#This Row],[stan_po_ubytku]]+pogoda46[[#This Row],[ile_pogoda_dolała]]</f>
        <v>2872</v>
      </c>
      <c r="I169" cm="1">
        <f t="array" ref="I169">_xlfn.IFS(OR(pogoda46[[#This Row],[temperatura_srednia]]&lt;=15,pogoda46[[#This Row],[opady]]&gt;0.61),0,pogoda46[[#This Row],[temperatura_srednia]]&gt;30,24000,pogoda46[[#This Row],[temperatura_srednia]]&gt;15,12000)</f>
        <v>12000</v>
      </c>
      <c r="J169">
        <f>IF(pogoda46[[#This Row],[stan_po_dolaniu]]&lt;pogoda46[[#This Row],[ile_podlewamy]],$AB$2-pogoda46[[#This Row],[stan_po_dolaniu]],0)</f>
        <v>22128</v>
      </c>
      <c r="K169">
        <f>pogoda46[[#This Row],[stan_po_dolaniu]]+pogoda46[[#This Row],[ile_dolać_do_podlania]]</f>
        <v>25000</v>
      </c>
      <c r="L169">
        <f>pogoda46[[#This Row],[stan_po_dolaniu_do_podlania]]-pogoda46[[#This Row],[ile_podlewamy]]</f>
        <v>13000</v>
      </c>
      <c r="N169" s="5">
        <v>42262</v>
      </c>
      <c r="O169">
        <v>13000</v>
      </c>
    </row>
    <row r="170" spans="1:15" x14ac:dyDescent="0.25">
      <c r="A170" s="2">
        <v>42263</v>
      </c>
      <c r="B170">
        <v>18</v>
      </c>
      <c r="C170">
        <v>0</v>
      </c>
      <c r="D170">
        <f t="shared" si="2"/>
        <v>13000</v>
      </c>
      <c r="E170">
        <f>IF(C170=0,ROUNDUP($AB$3*POWER(pogoda46[[#This Row],[temperatura_srednia]],1.5)*pogoda46[[#This Row],[stan_przed_dolaniem]],0),0)</f>
        <v>298</v>
      </c>
      <c r="F170">
        <f>pogoda46[[#This Row],[stan_przed_dolaniem]]-pogoda46[[#This Row],[ubytek]]</f>
        <v>12702</v>
      </c>
      <c r="G170">
        <f>IF(pogoda46[[#This Row],[opady]]*$AB$1+D170&gt;$AB$2,$AB$2-pogoda46[[#This Row],[stan_przed_dolaniem]],pogoda46[[#This Row],[opady]]*$AB$1)</f>
        <v>0</v>
      </c>
      <c r="H170">
        <f>pogoda46[[#This Row],[stan_po_ubytku]]+pogoda46[[#This Row],[ile_pogoda_dolała]]</f>
        <v>12702</v>
      </c>
      <c r="I170" cm="1">
        <f t="array" ref="I170">_xlfn.IFS(OR(pogoda46[[#This Row],[temperatura_srednia]]&lt;=15,pogoda46[[#This Row],[opady]]&gt;0.61),0,pogoda46[[#This Row],[temperatura_srednia]]&gt;30,24000,pogoda46[[#This Row],[temperatura_srednia]]&gt;15,12000)</f>
        <v>12000</v>
      </c>
      <c r="J170">
        <f>IF(pogoda46[[#This Row],[stan_po_dolaniu]]&lt;pogoda46[[#This Row],[ile_podlewamy]],$AB$2-pogoda46[[#This Row],[stan_po_dolaniu]],0)</f>
        <v>0</v>
      </c>
      <c r="K170">
        <f>pogoda46[[#This Row],[stan_po_dolaniu]]+pogoda46[[#This Row],[ile_dolać_do_podlania]]</f>
        <v>12702</v>
      </c>
      <c r="L170">
        <f>pogoda46[[#This Row],[stan_po_dolaniu_do_podlania]]-pogoda46[[#This Row],[ile_podlewamy]]</f>
        <v>702</v>
      </c>
      <c r="N170" s="5">
        <v>42263</v>
      </c>
      <c r="O170">
        <v>702</v>
      </c>
    </row>
    <row r="171" spans="1:15" x14ac:dyDescent="0.25">
      <c r="A171" s="2">
        <v>42264</v>
      </c>
      <c r="B171">
        <v>22</v>
      </c>
      <c r="C171">
        <v>0.5</v>
      </c>
      <c r="D171">
        <f t="shared" si="2"/>
        <v>702</v>
      </c>
      <c r="E171">
        <f>IF(C171=0,ROUNDUP($AB$3*POWER(pogoda46[[#This Row],[temperatura_srednia]],1.5)*pogoda46[[#This Row],[stan_przed_dolaniem]],0),0)</f>
        <v>0</v>
      </c>
      <c r="F171">
        <f>pogoda46[[#This Row],[stan_przed_dolaniem]]-pogoda46[[#This Row],[ubytek]]</f>
        <v>702</v>
      </c>
      <c r="G171">
        <f>IF(pogoda46[[#This Row],[opady]]*$AB$1+D171&gt;$AB$2,$AB$2-pogoda46[[#This Row],[stan_przed_dolaniem]],pogoda46[[#This Row],[opady]]*$AB$1)</f>
        <v>350</v>
      </c>
      <c r="H171">
        <f>pogoda46[[#This Row],[stan_po_ubytku]]+pogoda46[[#This Row],[ile_pogoda_dolała]]</f>
        <v>1052</v>
      </c>
      <c r="I171" cm="1">
        <f t="array" ref="I171">_xlfn.IFS(OR(pogoda46[[#This Row],[temperatura_srednia]]&lt;=15,pogoda46[[#This Row],[opady]]&gt;0.61),0,pogoda46[[#This Row],[temperatura_srednia]]&gt;30,24000,pogoda46[[#This Row],[temperatura_srednia]]&gt;15,12000)</f>
        <v>12000</v>
      </c>
      <c r="J171">
        <f>IF(pogoda46[[#This Row],[stan_po_dolaniu]]&lt;pogoda46[[#This Row],[ile_podlewamy]],$AB$2-pogoda46[[#This Row],[stan_po_dolaniu]],0)</f>
        <v>23948</v>
      </c>
      <c r="K171">
        <f>pogoda46[[#This Row],[stan_po_dolaniu]]+pogoda46[[#This Row],[ile_dolać_do_podlania]]</f>
        <v>25000</v>
      </c>
      <c r="L171">
        <f>pogoda46[[#This Row],[stan_po_dolaniu_do_podlania]]-pogoda46[[#This Row],[ile_podlewamy]]</f>
        <v>13000</v>
      </c>
      <c r="N171" s="5">
        <v>42264</v>
      </c>
      <c r="O171">
        <v>13000</v>
      </c>
    </row>
    <row r="172" spans="1:15" x14ac:dyDescent="0.25">
      <c r="A172" s="2">
        <v>42265</v>
      </c>
      <c r="B172">
        <v>16</v>
      </c>
      <c r="C172">
        <v>0</v>
      </c>
      <c r="D172">
        <f t="shared" si="2"/>
        <v>13000</v>
      </c>
      <c r="E172">
        <f>IF(C172=0,ROUNDUP($AB$3*POWER(pogoda46[[#This Row],[temperatura_srednia]],1.5)*pogoda46[[#This Row],[stan_przed_dolaniem]],0),0)</f>
        <v>250</v>
      </c>
      <c r="F172">
        <f>pogoda46[[#This Row],[stan_przed_dolaniem]]-pogoda46[[#This Row],[ubytek]]</f>
        <v>12750</v>
      </c>
      <c r="G172">
        <f>IF(pogoda46[[#This Row],[opady]]*$AB$1+D172&gt;$AB$2,$AB$2-pogoda46[[#This Row],[stan_przed_dolaniem]],pogoda46[[#This Row],[opady]]*$AB$1)</f>
        <v>0</v>
      </c>
      <c r="H172">
        <f>pogoda46[[#This Row],[stan_po_ubytku]]+pogoda46[[#This Row],[ile_pogoda_dolała]]</f>
        <v>12750</v>
      </c>
      <c r="I172" cm="1">
        <f t="array" ref="I172">_xlfn.IFS(OR(pogoda46[[#This Row],[temperatura_srednia]]&lt;=15,pogoda46[[#This Row],[opady]]&gt;0.61),0,pogoda46[[#This Row],[temperatura_srednia]]&gt;30,24000,pogoda46[[#This Row],[temperatura_srednia]]&gt;15,12000)</f>
        <v>12000</v>
      </c>
      <c r="J172">
        <f>IF(pogoda46[[#This Row],[stan_po_dolaniu]]&lt;pogoda46[[#This Row],[ile_podlewamy]],$AB$2-pogoda46[[#This Row],[stan_po_dolaniu]],0)</f>
        <v>0</v>
      </c>
      <c r="K172">
        <f>pogoda46[[#This Row],[stan_po_dolaniu]]+pogoda46[[#This Row],[ile_dolać_do_podlania]]</f>
        <v>12750</v>
      </c>
      <c r="L172">
        <f>pogoda46[[#This Row],[stan_po_dolaniu_do_podlania]]-pogoda46[[#This Row],[ile_podlewamy]]</f>
        <v>750</v>
      </c>
      <c r="N172" s="5">
        <v>42265</v>
      </c>
      <c r="O172">
        <v>750</v>
      </c>
    </row>
    <row r="173" spans="1:15" x14ac:dyDescent="0.25">
      <c r="A173" s="2">
        <v>42266</v>
      </c>
      <c r="B173">
        <v>15</v>
      </c>
      <c r="C173">
        <v>0</v>
      </c>
      <c r="D173">
        <f t="shared" si="2"/>
        <v>750</v>
      </c>
      <c r="E173">
        <f>IF(C173=0,ROUNDUP($AB$3*POWER(pogoda46[[#This Row],[temperatura_srednia]],1.5)*pogoda46[[#This Row],[stan_przed_dolaniem]],0),0)</f>
        <v>14</v>
      </c>
      <c r="F173">
        <f>pogoda46[[#This Row],[stan_przed_dolaniem]]-pogoda46[[#This Row],[ubytek]]</f>
        <v>736</v>
      </c>
      <c r="G173">
        <f>IF(pogoda46[[#This Row],[opady]]*$AB$1+D173&gt;$AB$2,$AB$2-pogoda46[[#This Row],[stan_przed_dolaniem]],pogoda46[[#This Row],[opady]]*$AB$1)</f>
        <v>0</v>
      </c>
      <c r="H173">
        <f>pogoda46[[#This Row],[stan_po_ubytku]]+pogoda46[[#This Row],[ile_pogoda_dolała]]</f>
        <v>736</v>
      </c>
      <c r="I173" cm="1">
        <f t="array" ref="I173">_xlfn.IFS(OR(pogoda46[[#This Row],[temperatura_srednia]]&lt;=15,pogoda46[[#This Row],[opady]]&gt;0.61),0,pogoda46[[#This Row],[temperatura_srednia]]&gt;30,24000,pogoda46[[#This Row],[temperatura_srednia]]&gt;15,12000)</f>
        <v>0</v>
      </c>
      <c r="J173">
        <f>IF(pogoda46[[#This Row],[stan_po_dolaniu]]&lt;pogoda46[[#This Row],[ile_podlewamy]],$AB$2-pogoda46[[#This Row],[stan_po_dolaniu]],0)</f>
        <v>0</v>
      </c>
      <c r="K173">
        <f>pogoda46[[#This Row],[stan_po_dolaniu]]+pogoda46[[#This Row],[ile_dolać_do_podlania]]</f>
        <v>736</v>
      </c>
      <c r="L173">
        <f>pogoda46[[#This Row],[stan_po_dolaniu_do_podlania]]-pogoda46[[#This Row],[ile_podlewamy]]</f>
        <v>736</v>
      </c>
      <c r="N173" s="5">
        <v>42266</v>
      </c>
      <c r="O173">
        <v>736</v>
      </c>
    </row>
    <row r="174" spans="1:15" x14ac:dyDescent="0.25">
      <c r="A174" s="2">
        <v>42267</v>
      </c>
      <c r="B174">
        <v>14</v>
      </c>
      <c r="C174">
        <v>2</v>
      </c>
      <c r="D174">
        <f t="shared" si="2"/>
        <v>736</v>
      </c>
      <c r="E174">
        <f>IF(C174=0,ROUNDUP($AB$3*POWER(pogoda46[[#This Row],[temperatura_srednia]],1.5)*pogoda46[[#This Row],[stan_przed_dolaniem]],0),0)</f>
        <v>0</v>
      </c>
      <c r="F174">
        <f>pogoda46[[#This Row],[stan_przed_dolaniem]]-pogoda46[[#This Row],[ubytek]]</f>
        <v>736</v>
      </c>
      <c r="G174">
        <f>IF(pogoda46[[#This Row],[opady]]*$AB$1+D174&gt;$AB$2,$AB$2-pogoda46[[#This Row],[stan_przed_dolaniem]],pogoda46[[#This Row],[opady]]*$AB$1)</f>
        <v>1400</v>
      </c>
      <c r="H174">
        <f>pogoda46[[#This Row],[stan_po_ubytku]]+pogoda46[[#This Row],[ile_pogoda_dolała]]</f>
        <v>2136</v>
      </c>
      <c r="I174" cm="1">
        <f t="array" ref="I174">_xlfn.IFS(OR(pogoda46[[#This Row],[temperatura_srednia]]&lt;=15,pogoda46[[#This Row],[opady]]&gt;0.61),0,pogoda46[[#This Row],[temperatura_srednia]]&gt;30,24000,pogoda46[[#This Row],[temperatura_srednia]]&gt;15,12000)</f>
        <v>0</v>
      </c>
      <c r="J174">
        <f>IF(pogoda46[[#This Row],[stan_po_dolaniu]]&lt;pogoda46[[#This Row],[ile_podlewamy]],$AB$2-pogoda46[[#This Row],[stan_po_dolaniu]],0)</f>
        <v>0</v>
      </c>
      <c r="K174">
        <f>pogoda46[[#This Row],[stan_po_dolaniu]]+pogoda46[[#This Row],[ile_dolać_do_podlania]]</f>
        <v>2136</v>
      </c>
      <c r="L174">
        <f>pogoda46[[#This Row],[stan_po_dolaniu_do_podlania]]-pogoda46[[#This Row],[ile_podlewamy]]</f>
        <v>2136</v>
      </c>
      <c r="N174" s="5">
        <v>42267</v>
      </c>
      <c r="O174">
        <v>2136</v>
      </c>
    </row>
    <row r="175" spans="1:15" x14ac:dyDescent="0.25">
      <c r="A175" s="2">
        <v>42268</v>
      </c>
      <c r="B175">
        <v>12</v>
      </c>
      <c r="C175">
        <v>0</v>
      </c>
      <c r="D175">
        <f t="shared" si="2"/>
        <v>2136</v>
      </c>
      <c r="E175">
        <f>IF(C175=0,ROUNDUP($AB$3*POWER(pogoda46[[#This Row],[temperatura_srednia]],1.5)*pogoda46[[#This Row],[stan_przed_dolaniem]],0),0)</f>
        <v>27</v>
      </c>
      <c r="F175">
        <f>pogoda46[[#This Row],[stan_przed_dolaniem]]-pogoda46[[#This Row],[ubytek]]</f>
        <v>2109</v>
      </c>
      <c r="G175">
        <f>IF(pogoda46[[#This Row],[opady]]*$AB$1+D175&gt;$AB$2,$AB$2-pogoda46[[#This Row],[stan_przed_dolaniem]],pogoda46[[#This Row],[opady]]*$AB$1)</f>
        <v>0</v>
      </c>
      <c r="H175">
        <f>pogoda46[[#This Row],[stan_po_ubytku]]+pogoda46[[#This Row],[ile_pogoda_dolała]]</f>
        <v>2109</v>
      </c>
      <c r="I175" cm="1">
        <f t="array" ref="I175">_xlfn.IFS(OR(pogoda46[[#This Row],[temperatura_srednia]]&lt;=15,pogoda46[[#This Row],[opady]]&gt;0.61),0,pogoda46[[#This Row],[temperatura_srednia]]&gt;30,24000,pogoda46[[#This Row],[temperatura_srednia]]&gt;15,12000)</f>
        <v>0</v>
      </c>
      <c r="J175">
        <f>IF(pogoda46[[#This Row],[stan_po_dolaniu]]&lt;pogoda46[[#This Row],[ile_podlewamy]],$AB$2-pogoda46[[#This Row],[stan_po_dolaniu]],0)</f>
        <v>0</v>
      </c>
      <c r="K175">
        <f>pogoda46[[#This Row],[stan_po_dolaniu]]+pogoda46[[#This Row],[ile_dolać_do_podlania]]</f>
        <v>2109</v>
      </c>
      <c r="L175">
        <f>pogoda46[[#This Row],[stan_po_dolaniu_do_podlania]]-pogoda46[[#This Row],[ile_podlewamy]]</f>
        <v>2109</v>
      </c>
      <c r="N175" s="5">
        <v>42268</v>
      </c>
      <c r="O175">
        <v>2109</v>
      </c>
    </row>
    <row r="176" spans="1:15" x14ac:dyDescent="0.25">
      <c r="A176" s="2">
        <v>42269</v>
      </c>
      <c r="B176">
        <v>13</v>
      </c>
      <c r="C176">
        <v>0</v>
      </c>
      <c r="D176">
        <f t="shared" si="2"/>
        <v>2109</v>
      </c>
      <c r="E176">
        <f>IF(C176=0,ROUNDUP($AB$3*POWER(pogoda46[[#This Row],[temperatura_srednia]],1.5)*pogoda46[[#This Row],[stan_przed_dolaniem]],0),0)</f>
        <v>30</v>
      </c>
      <c r="F176">
        <f>pogoda46[[#This Row],[stan_przed_dolaniem]]-pogoda46[[#This Row],[ubytek]]</f>
        <v>2079</v>
      </c>
      <c r="G176">
        <f>IF(pogoda46[[#This Row],[opady]]*$AB$1+D176&gt;$AB$2,$AB$2-pogoda46[[#This Row],[stan_przed_dolaniem]],pogoda46[[#This Row],[opady]]*$AB$1)</f>
        <v>0</v>
      </c>
      <c r="H176">
        <f>pogoda46[[#This Row],[stan_po_ubytku]]+pogoda46[[#This Row],[ile_pogoda_dolała]]</f>
        <v>2079</v>
      </c>
      <c r="I176" cm="1">
        <f t="array" ref="I176">_xlfn.IFS(OR(pogoda46[[#This Row],[temperatura_srednia]]&lt;=15,pogoda46[[#This Row],[opady]]&gt;0.61),0,pogoda46[[#This Row],[temperatura_srednia]]&gt;30,24000,pogoda46[[#This Row],[temperatura_srednia]]&gt;15,12000)</f>
        <v>0</v>
      </c>
      <c r="J176">
        <f>IF(pogoda46[[#This Row],[stan_po_dolaniu]]&lt;pogoda46[[#This Row],[ile_podlewamy]],$AB$2-pogoda46[[#This Row],[stan_po_dolaniu]],0)</f>
        <v>0</v>
      </c>
      <c r="K176">
        <f>pogoda46[[#This Row],[stan_po_dolaniu]]+pogoda46[[#This Row],[ile_dolać_do_podlania]]</f>
        <v>2079</v>
      </c>
      <c r="L176">
        <f>pogoda46[[#This Row],[stan_po_dolaniu_do_podlania]]-pogoda46[[#This Row],[ile_podlewamy]]</f>
        <v>2079</v>
      </c>
      <c r="N176" s="5">
        <v>42269</v>
      </c>
      <c r="O176">
        <v>2079</v>
      </c>
    </row>
    <row r="177" spans="1:15" x14ac:dyDescent="0.25">
      <c r="A177" s="2">
        <v>42270</v>
      </c>
      <c r="B177">
        <v>15</v>
      </c>
      <c r="C177">
        <v>0</v>
      </c>
      <c r="D177">
        <f t="shared" si="2"/>
        <v>2079</v>
      </c>
      <c r="E177">
        <f>IF(C177=0,ROUNDUP($AB$3*POWER(pogoda46[[#This Row],[temperatura_srednia]],1.5)*pogoda46[[#This Row],[stan_przed_dolaniem]],0),0)</f>
        <v>37</v>
      </c>
      <c r="F177">
        <f>pogoda46[[#This Row],[stan_przed_dolaniem]]-pogoda46[[#This Row],[ubytek]]</f>
        <v>2042</v>
      </c>
      <c r="G177">
        <f>IF(pogoda46[[#This Row],[opady]]*$AB$1+D177&gt;$AB$2,$AB$2-pogoda46[[#This Row],[stan_przed_dolaniem]],pogoda46[[#This Row],[opady]]*$AB$1)</f>
        <v>0</v>
      </c>
      <c r="H177">
        <f>pogoda46[[#This Row],[stan_po_ubytku]]+pogoda46[[#This Row],[ile_pogoda_dolała]]</f>
        <v>2042</v>
      </c>
      <c r="I177" cm="1">
        <f t="array" ref="I177">_xlfn.IFS(OR(pogoda46[[#This Row],[temperatura_srednia]]&lt;=15,pogoda46[[#This Row],[opady]]&gt;0.61),0,pogoda46[[#This Row],[temperatura_srednia]]&gt;30,24000,pogoda46[[#This Row],[temperatura_srednia]]&gt;15,12000)</f>
        <v>0</v>
      </c>
      <c r="J177">
        <f>IF(pogoda46[[#This Row],[stan_po_dolaniu]]&lt;pogoda46[[#This Row],[ile_podlewamy]],$AB$2-pogoda46[[#This Row],[stan_po_dolaniu]],0)</f>
        <v>0</v>
      </c>
      <c r="K177">
        <f>pogoda46[[#This Row],[stan_po_dolaniu]]+pogoda46[[#This Row],[ile_dolać_do_podlania]]</f>
        <v>2042</v>
      </c>
      <c r="L177">
        <f>pogoda46[[#This Row],[stan_po_dolaniu_do_podlania]]-pogoda46[[#This Row],[ile_podlewamy]]</f>
        <v>2042</v>
      </c>
      <c r="N177" s="5">
        <v>42270</v>
      </c>
      <c r="O177">
        <v>2042</v>
      </c>
    </row>
    <row r="178" spans="1:15" x14ac:dyDescent="0.25">
      <c r="A178" s="2">
        <v>42271</v>
      </c>
      <c r="B178">
        <v>15</v>
      </c>
      <c r="C178">
        <v>0</v>
      </c>
      <c r="D178">
        <f t="shared" si="2"/>
        <v>2042</v>
      </c>
      <c r="E178">
        <f>IF(C178=0,ROUNDUP($AB$3*POWER(pogoda46[[#This Row],[temperatura_srednia]],1.5)*pogoda46[[#This Row],[stan_przed_dolaniem]],0),0)</f>
        <v>36</v>
      </c>
      <c r="F178">
        <f>pogoda46[[#This Row],[stan_przed_dolaniem]]-pogoda46[[#This Row],[ubytek]]</f>
        <v>2006</v>
      </c>
      <c r="G178">
        <f>IF(pogoda46[[#This Row],[opady]]*$AB$1+D178&gt;$AB$2,$AB$2-pogoda46[[#This Row],[stan_przed_dolaniem]],pogoda46[[#This Row],[opady]]*$AB$1)</f>
        <v>0</v>
      </c>
      <c r="H178">
        <f>pogoda46[[#This Row],[stan_po_ubytku]]+pogoda46[[#This Row],[ile_pogoda_dolała]]</f>
        <v>2006</v>
      </c>
      <c r="I178" cm="1">
        <f t="array" ref="I178">_xlfn.IFS(OR(pogoda46[[#This Row],[temperatura_srednia]]&lt;=15,pogoda46[[#This Row],[opady]]&gt;0.61),0,pogoda46[[#This Row],[temperatura_srednia]]&gt;30,24000,pogoda46[[#This Row],[temperatura_srednia]]&gt;15,12000)</f>
        <v>0</v>
      </c>
      <c r="J178">
        <f>IF(pogoda46[[#This Row],[stan_po_dolaniu]]&lt;pogoda46[[#This Row],[ile_podlewamy]],$AB$2-pogoda46[[#This Row],[stan_po_dolaniu]],0)</f>
        <v>0</v>
      </c>
      <c r="K178">
        <f>pogoda46[[#This Row],[stan_po_dolaniu]]+pogoda46[[#This Row],[ile_dolać_do_podlania]]</f>
        <v>2006</v>
      </c>
      <c r="L178">
        <f>pogoda46[[#This Row],[stan_po_dolaniu_do_podlania]]-pogoda46[[#This Row],[ile_podlewamy]]</f>
        <v>2006</v>
      </c>
      <c r="N178" s="5">
        <v>42271</v>
      </c>
      <c r="O178">
        <v>2006</v>
      </c>
    </row>
    <row r="179" spans="1:15" x14ac:dyDescent="0.25">
      <c r="A179" s="2">
        <v>42272</v>
      </c>
      <c r="B179">
        <v>14</v>
      </c>
      <c r="C179">
        <v>0</v>
      </c>
      <c r="D179">
        <f t="shared" si="2"/>
        <v>2006</v>
      </c>
      <c r="E179">
        <f>IF(C179=0,ROUNDUP($AB$3*POWER(pogoda46[[#This Row],[temperatura_srednia]],1.5)*pogoda46[[#This Row],[stan_przed_dolaniem]],0),0)</f>
        <v>32</v>
      </c>
      <c r="F179">
        <f>pogoda46[[#This Row],[stan_przed_dolaniem]]-pogoda46[[#This Row],[ubytek]]</f>
        <v>1974</v>
      </c>
      <c r="G179">
        <f>IF(pogoda46[[#This Row],[opady]]*$AB$1+D179&gt;$AB$2,$AB$2-pogoda46[[#This Row],[stan_przed_dolaniem]],pogoda46[[#This Row],[opady]]*$AB$1)</f>
        <v>0</v>
      </c>
      <c r="H179">
        <f>pogoda46[[#This Row],[stan_po_ubytku]]+pogoda46[[#This Row],[ile_pogoda_dolała]]</f>
        <v>1974</v>
      </c>
      <c r="I179" cm="1">
        <f t="array" ref="I179">_xlfn.IFS(OR(pogoda46[[#This Row],[temperatura_srednia]]&lt;=15,pogoda46[[#This Row],[opady]]&gt;0.61),0,pogoda46[[#This Row],[temperatura_srednia]]&gt;30,24000,pogoda46[[#This Row],[temperatura_srednia]]&gt;15,12000)</f>
        <v>0</v>
      </c>
      <c r="J179">
        <f>IF(pogoda46[[#This Row],[stan_po_dolaniu]]&lt;pogoda46[[#This Row],[ile_podlewamy]],$AB$2-pogoda46[[#This Row],[stan_po_dolaniu]],0)</f>
        <v>0</v>
      </c>
      <c r="K179">
        <f>pogoda46[[#This Row],[stan_po_dolaniu]]+pogoda46[[#This Row],[ile_dolać_do_podlania]]</f>
        <v>1974</v>
      </c>
      <c r="L179">
        <f>pogoda46[[#This Row],[stan_po_dolaniu_do_podlania]]-pogoda46[[#This Row],[ile_podlewamy]]</f>
        <v>1974</v>
      </c>
      <c r="N179" s="5">
        <v>42272</v>
      </c>
      <c r="O179">
        <v>1974</v>
      </c>
    </row>
    <row r="180" spans="1:15" x14ac:dyDescent="0.25">
      <c r="A180" s="2">
        <v>42273</v>
      </c>
      <c r="B180">
        <v>12</v>
      </c>
      <c r="C180">
        <v>0</v>
      </c>
      <c r="D180">
        <f t="shared" si="2"/>
        <v>1974</v>
      </c>
      <c r="E180">
        <f>IF(C180=0,ROUNDUP($AB$3*POWER(pogoda46[[#This Row],[temperatura_srednia]],1.5)*pogoda46[[#This Row],[stan_przed_dolaniem]],0),0)</f>
        <v>25</v>
      </c>
      <c r="F180">
        <f>pogoda46[[#This Row],[stan_przed_dolaniem]]-pogoda46[[#This Row],[ubytek]]</f>
        <v>1949</v>
      </c>
      <c r="G180">
        <f>IF(pogoda46[[#This Row],[opady]]*$AB$1+D180&gt;$AB$2,$AB$2-pogoda46[[#This Row],[stan_przed_dolaniem]],pogoda46[[#This Row],[opady]]*$AB$1)</f>
        <v>0</v>
      </c>
      <c r="H180">
        <f>pogoda46[[#This Row],[stan_po_ubytku]]+pogoda46[[#This Row],[ile_pogoda_dolała]]</f>
        <v>1949</v>
      </c>
      <c r="I180" cm="1">
        <f t="array" ref="I180">_xlfn.IFS(OR(pogoda46[[#This Row],[temperatura_srednia]]&lt;=15,pogoda46[[#This Row],[opady]]&gt;0.61),0,pogoda46[[#This Row],[temperatura_srednia]]&gt;30,24000,pogoda46[[#This Row],[temperatura_srednia]]&gt;15,12000)</f>
        <v>0</v>
      </c>
      <c r="J180">
        <f>IF(pogoda46[[#This Row],[stan_po_dolaniu]]&lt;pogoda46[[#This Row],[ile_podlewamy]],$AB$2-pogoda46[[#This Row],[stan_po_dolaniu]],0)</f>
        <v>0</v>
      </c>
      <c r="K180">
        <f>pogoda46[[#This Row],[stan_po_dolaniu]]+pogoda46[[#This Row],[ile_dolać_do_podlania]]</f>
        <v>1949</v>
      </c>
      <c r="L180">
        <f>pogoda46[[#This Row],[stan_po_dolaniu_do_podlania]]-pogoda46[[#This Row],[ile_podlewamy]]</f>
        <v>1949</v>
      </c>
      <c r="N180" s="5">
        <v>42273</v>
      </c>
      <c r="O180">
        <v>1949</v>
      </c>
    </row>
    <row r="181" spans="1:15" x14ac:dyDescent="0.25">
      <c r="A181" s="2">
        <v>42274</v>
      </c>
      <c r="B181">
        <v>11</v>
      </c>
      <c r="C181">
        <v>0</v>
      </c>
      <c r="D181">
        <f t="shared" si="2"/>
        <v>1949</v>
      </c>
      <c r="E181">
        <f>IF(C181=0,ROUNDUP($AB$3*POWER(pogoda46[[#This Row],[temperatura_srednia]],1.5)*pogoda46[[#This Row],[stan_przed_dolaniem]],0),0)</f>
        <v>22</v>
      </c>
      <c r="F181">
        <f>pogoda46[[#This Row],[stan_przed_dolaniem]]-pogoda46[[#This Row],[ubytek]]</f>
        <v>1927</v>
      </c>
      <c r="G181">
        <f>IF(pogoda46[[#This Row],[opady]]*$AB$1+D181&gt;$AB$2,$AB$2-pogoda46[[#This Row],[stan_przed_dolaniem]],pogoda46[[#This Row],[opady]]*$AB$1)</f>
        <v>0</v>
      </c>
      <c r="H181">
        <f>pogoda46[[#This Row],[stan_po_ubytku]]+pogoda46[[#This Row],[ile_pogoda_dolała]]</f>
        <v>1927</v>
      </c>
      <c r="I181" cm="1">
        <f t="array" ref="I181">_xlfn.IFS(OR(pogoda46[[#This Row],[temperatura_srednia]]&lt;=15,pogoda46[[#This Row],[opady]]&gt;0.61),0,pogoda46[[#This Row],[temperatura_srednia]]&gt;30,24000,pogoda46[[#This Row],[temperatura_srednia]]&gt;15,12000)</f>
        <v>0</v>
      </c>
      <c r="J181">
        <f>IF(pogoda46[[#This Row],[stan_po_dolaniu]]&lt;pogoda46[[#This Row],[ile_podlewamy]],$AB$2-pogoda46[[#This Row],[stan_po_dolaniu]],0)</f>
        <v>0</v>
      </c>
      <c r="K181">
        <f>pogoda46[[#This Row],[stan_po_dolaniu]]+pogoda46[[#This Row],[ile_dolać_do_podlania]]</f>
        <v>1927</v>
      </c>
      <c r="L181">
        <f>pogoda46[[#This Row],[stan_po_dolaniu_do_podlania]]-pogoda46[[#This Row],[ile_podlewamy]]</f>
        <v>1927</v>
      </c>
      <c r="N181" s="5">
        <v>42274</v>
      </c>
      <c r="O181">
        <v>1927</v>
      </c>
    </row>
    <row r="182" spans="1:15" x14ac:dyDescent="0.25">
      <c r="A182" s="2">
        <v>42275</v>
      </c>
      <c r="B182">
        <v>10</v>
      </c>
      <c r="C182">
        <v>0</v>
      </c>
      <c r="D182">
        <f t="shared" si="2"/>
        <v>1927</v>
      </c>
      <c r="E182">
        <f>IF(C182=0,ROUNDUP($AB$3*POWER(pogoda46[[#This Row],[temperatura_srednia]],1.5)*pogoda46[[#This Row],[stan_przed_dolaniem]],0),0)</f>
        <v>19</v>
      </c>
      <c r="F182">
        <f>pogoda46[[#This Row],[stan_przed_dolaniem]]-pogoda46[[#This Row],[ubytek]]</f>
        <v>1908</v>
      </c>
      <c r="G182">
        <f>IF(pogoda46[[#This Row],[opady]]*$AB$1+D182&gt;$AB$2,$AB$2-pogoda46[[#This Row],[stan_przed_dolaniem]],pogoda46[[#This Row],[opady]]*$AB$1)</f>
        <v>0</v>
      </c>
      <c r="H182">
        <f>pogoda46[[#This Row],[stan_po_ubytku]]+pogoda46[[#This Row],[ile_pogoda_dolała]]</f>
        <v>1908</v>
      </c>
      <c r="I182" cm="1">
        <f t="array" ref="I182">_xlfn.IFS(OR(pogoda46[[#This Row],[temperatura_srednia]]&lt;=15,pogoda46[[#This Row],[opady]]&gt;0.61),0,pogoda46[[#This Row],[temperatura_srednia]]&gt;30,24000,pogoda46[[#This Row],[temperatura_srednia]]&gt;15,12000)</f>
        <v>0</v>
      </c>
      <c r="J182">
        <f>IF(pogoda46[[#This Row],[stan_po_dolaniu]]&lt;pogoda46[[#This Row],[ile_podlewamy]],$AB$2-pogoda46[[#This Row],[stan_po_dolaniu]],0)</f>
        <v>0</v>
      </c>
      <c r="K182">
        <f>pogoda46[[#This Row],[stan_po_dolaniu]]+pogoda46[[#This Row],[ile_dolać_do_podlania]]</f>
        <v>1908</v>
      </c>
      <c r="L182">
        <f>pogoda46[[#This Row],[stan_po_dolaniu_do_podlania]]-pogoda46[[#This Row],[ile_podlewamy]]</f>
        <v>1908</v>
      </c>
      <c r="N182" s="5">
        <v>42275</v>
      </c>
      <c r="O182">
        <v>1908</v>
      </c>
    </row>
    <row r="183" spans="1:15" x14ac:dyDescent="0.25">
      <c r="A183" s="2">
        <v>42276</v>
      </c>
      <c r="B183">
        <v>10</v>
      </c>
      <c r="C183">
        <v>0</v>
      </c>
      <c r="D183">
        <f t="shared" si="2"/>
        <v>1908</v>
      </c>
      <c r="E183">
        <f>IF(C183=0,ROUNDUP($AB$3*POWER(pogoda46[[#This Row],[temperatura_srednia]],1.5)*pogoda46[[#This Row],[stan_przed_dolaniem]],0),0)</f>
        <v>19</v>
      </c>
      <c r="F183">
        <f>pogoda46[[#This Row],[stan_przed_dolaniem]]-pogoda46[[#This Row],[ubytek]]</f>
        <v>1889</v>
      </c>
      <c r="G183">
        <f>IF(pogoda46[[#This Row],[opady]]*$AB$1+D183&gt;$AB$2,$AB$2-pogoda46[[#This Row],[stan_przed_dolaniem]],pogoda46[[#This Row],[opady]]*$AB$1)</f>
        <v>0</v>
      </c>
      <c r="H183">
        <f>pogoda46[[#This Row],[stan_po_ubytku]]+pogoda46[[#This Row],[ile_pogoda_dolała]]</f>
        <v>1889</v>
      </c>
      <c r="I183" cm="1">
        <f t="array" ref="I183">_xlfn.IFS(OR(pogoda46[[#This Row],[temperatura_srednia]]&lt;=15,pogoda46[[#This Row],[opady]]&gt;0.61),0,pogoda46[[#This Row],[temperatura_srednia]]&gt;30,24000,pogoda46[[#This Row],[temperatura_srednia]]&gt;15,12000)</f>
        <v>0</v>
      </c>
      <c r="J183">
        <f>IF(pogoda46[[#This Row],[stan_po_dolaniu]]&lt;pogoda46[[#This Row],[ile_podlewamy]],$AB$2-pogoda46[[#This Row],[stan_po_dolaniu]],0)</f>
        <v>0</v>
      </c>
      <c r="K183">
        <f>pogoda46[[#This Row],[stan_po_dolaniu]]+pogoda46[[#This Row],[ile_dolać_do_podlania]]</f>
        <v>1889</v>
      </c>
      <c r="L183">
        <f>pogoda46[[#This Row],[stan_po_dolaniu_do_podlania]]-pogoda46[[#This Row],[ile_podlewamy]]</f>
        <v>1889</v>
      </c>
      <c r="N183" s="5">
        <v>42276</v>
      </c>
      <c r="O183">
        <v>1889</v>
      </c>
    </row>
    <row r="184" spans="1:15" x14ac:dyDescent="0.25">
      <c r="A184" s="2">
        <v>42277</v>
      </c>
      <c r="B184">
        <v>10</v>
      </c>
      <c r="C184">
        <v>0</v>
      </c>
      <c r="D184">
        <f t="shared" si="2"/>
        <v>1889</v>
      </c>
      <c r="E184">
        <f>IF(C184=0,ROUNDUP($AB$3*POWER(pogoda46[[#This Row],[temperatura_srednia]],1.5)*pogoda46[[#This Row],[stan_przed_dolaniem]],0),0)</f>
        <v>18</v>
      </c>
      <c r="F184">
        <f>pogoda46[[#This Row],[stan_przed_dolaniem]]-pogoda46[[#This Row],[ubytek]]</f>
        <v>1871</v>
      </c>
      <c r="G184">
        <f>IF(pogoda46[[#This Row],[opady]]*$AB$1+D184&gt;$AB$2,$AB$2-pogoda46[[#This Row],[stan_przed_dolaniem]],pogoda46[[#This Row],[opady]]*$AB$1)</f>
        <v>0</v>
      </c>
      <c r="H184">
        <f>pogoda46[[#This Row],[stan_po_ubytku]]+pogoda46[[#This Row],[ile_pogoda_dolała]]</f>
        <v>1871</v>
      </c>
      <c r="I184" cm="1">
        <f t="array" ref="I184">_xlfn.IFS(OR(pogoda46[[#This Row],[temperatura_srednia]]&lt;=15,pogoda46[[#This Row],[opady]]&gt;0.61),0,pogoda46[[#This Row],[temperatura_srednia]]&gt;30,24000,pogoda46[[#This Row],[temperatura_srednia]]&gt;15,12000)</f>
        <v>0</v>
      </c>
      <c r="J184">
        <f>IF(pogoda46[[#This Row],[stan_po_dolaniu]]&lt;pogoda46[[#This Row],[ile_podlewamy]],$AB$2-pogoda46[[#This Row],[stan_po_dolaniu]],0)</f>
        <v>0</v>
      </c>
      <c r="K184">
        <f>pogoda46[[#This Row],[stan_po_dolaniu]]+pogoda46[[#This Row],[ile_dolać_do_podlania]]</f>
        <v>1871</v>
      </c>
      <c r="L184">
        <f>pogoda46[[#This Row],[stan_po_dolaniu_do_podlania]]-pogoda46[[#This Row],[ile_podlewamy]]</f>
        <v>1871</v>
      </c>
      <c r="N184" s="5">
        <v>42277</v>
      </c>
      <c r="O184">
        <v>1871</v>
      </c>
    </row>
    <row r="185" spans="1:15" x14ac:dyDescent="0.25">
      <c r="N185" s="5" t="s">
        <v>15</v>
      </c>
      <c r="O185">
        <v>2283167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E7D6-5E79-487D-A4A4-7EB5001A4287}">
  <dimension ref="A1:AA184"/>
  <sheetViews>
    <sheetView topLeftCell="H1" workbookViewId="0">
      <selection activeCell="N11" sqref="N11:O17"/>
    </sheetView>
  </sheetViews>
  <sheetFormatPr defaultRowHeight="15" x14ac:dyDescent="0.25"/>
  <cols>
    <col min="1" max="1" width="22.28515625" customWidth="1"/>
    <col min="2" max="2" width="22.28515625" bestFit="1" customWidth="1"/>
    <col min="4" max="4" width="8.7109375" bestFit="1" customWidth="1"/>
    <col min="5" max="5" width="22.7109375" bestFit="1" customWidth="1"/>
    <col min="6" max="6" width="9.42578125" bestFit="1" customWidth="1"/>
    <col min="7" max="7" width="17.5703125" bestFit="1" customWidth="1"/>
    <col min="8" max="8" width="19.85546875" bestFit="1" customWidth="1"/>
    <col min="9" max="9" width="18.140625" bestFit="1" customWidth="1"/>
    <col min="10" max="10" width="17.140625" bestFit="1" customWidth="1"/>
    <col min="11" max="11" width="23.7109375" bestFit="1" customWidth="1"/>
    <col min="12" max="12" width="30.5703125" bestFit="1" customWidth="1"/>
    <col min="14" max="14" width="17.7109375" bestFit="1" customWidth="1"/>
    <col min="15" max="15" width="28.140625" bestFit="1" customWidth="1"/>
    <col min="16" max="16" width="23.28515625" bestFit="1" customWidth="1"/>
    <col min="17" max="17" width="9.85546875" bestFit="1" customWidth="1"/>
    <col min="26" max="27" width="18.28515625" bestFit="1" customWidth="1"/>
    <col min="28" max="28" width="6.140625" bestFit="1" customWidth="1"/>
  </cols>
  <sheetData>
    <row r="1" spans="1:27" x14ac:dyDescent="0.25">
      <c r="A1" t="s">
        <v>9</v>
      </c>
      <c r="B1" t="s">
        <v>0</v>
      </c>
      <c r="C1" t="s">
        <v>1</v>
      </c>
      <c r="D1" t="s">
        <v>3</v>
      </c>
      <c r="E1" t="s">
        <v>6</v>
      </c>
      <c r="F1" t="s">
        <v>8</v>
      </c>
      <c r="G1" t="s">
        <v>14</v>
      </c>
      <c r="H1" t="s">
        <v>5</v>
      </c>
      <c r="I1" t="s">
        <v>10</v>
      </c>
      <c r="J1" t="s">
        <v>12</v>
      </c>
      <c r="K1" t="s">
        <v>13</v>
      </c>
      <c r="L1" t="s">
        <v>11</v>
      </c>
      <c r="Z1" t="s">
        <v>2</v>
      </c>
      <c r="AA1">
        <v>700</v>
      </c>
    </row>
    <row r="2" spans="1:27" x14ac:dyDescent="0.25">
      <c r="A2" s="2">
        <v>42095</v>
      </c>
      <c r="B2">
        <v>4</v>
      </c>
      <c r="C2">
        <v>2</v>
      </c>
      <c r="D2">
        <v>25000</v>
      </c>
      <c r="E2">
        <f>IF(C2=0,ROUNDUP($AA$3*POWER(pogoda47[[#This Row],[temperatura_srednia]],1.5)*pogoda47[[#This Row],[stan_przed_dolaniem]],0),0)</f>
        <v>0</v>
      </c>
      <c r="F2">
        <f>pogoda47[[#This Row],[stan_przed_dolaniem]]-pogoda47[[#This Row],[ubytek]]</f>
        <v>25000</v>
      </c>
      <c r="G2">
        <f>IF(pogoda47[[#This Row],[opady]]*$AA$1+D2&gt;$AA$2,$AA$2-pogoda47[[#This Row],[stan_przed_dolaniem]],pogoda47[[#This Row],[opady]]*$AA$1)</f>
        <v>0</v>
      </c>
      <c r="H2">
        <f>pogoda47[[#This Row],[stan_po_ubytku]]+pogoda47[[#This Row],[ile_pogoda_dolała]]</f>
        <v>25000</v>
      </c>
      <c r="I2" cm="1">
        <f t="array" ref="I2">_xlfn.IFS(OR(pogoda47[[#This Row],[temperatura_srednia]]&lt;=15,pogoda47[[#This Row],[opady]]&gt;0.61),0,pogoda47[[#This Row],[temperatura_srednia]]&gt;30,24000,pogoda47[[#This Row],[temperatura_srednia]]&gt;15,12000)</f>
        <v>0</v>
      </c>
      <c r="J2">
        <f>IF(pogoda47[[#This Row],[stan_po_dolaniu]]&lt;pogoda47[[#This Row],[ile_podlewamy]],$AA$2-pogoda47[[#This Row],[stan_po_dolaniu]],0)</f>
        <v>0</v>
      </c>
      <c r="K2">
        <f>pogoda47[[#This Row],[stan_po_dolaniu]]+pogoda47[[#This Row],[ile_dolać_do_podlania]]</f>
        <v>25000</v>
      </c>
      <c r="L2">
        <f>pogoda47[[#This Row],[stan_po_dolaniu_do_podlania]]-pogoda47[[#This Row],[ile_podlewamy]]</f>
        <v>25000</v>
      </c>
      <c r="N2" s="8" t="s">
        <v>24</v>
      </c>
      <c r="O2" t="s">
        <v>25</v>
      </c>
      <c r="P2" t="s">
        <v>26</v>
      </c>
      <c r="Q2" s="8" t="s">
        <v>27</v>
      </c>
      <c r="Z2" t="s">
        <v>4</v>
      </c>
      <c r="AA2">
        <v>25000</v>
      </c>
    </row>
    <row r="3" spans="1:27" x14ac:dyDescent="0.25">
      <c r="A3" s="2">
        <v>42096</v>
      </c>
      <c r="B3">
        <v>2</v>
      </c>
      <c r="C3">
        <v>6</v>
      </c>
      <c r="D3">
        <f>L2</f>
        <v>25000</v>
      </c>
      <c r="E3">
        <f>IF(C3=0,ROUNDUP($AA$3*POWER(pogoda47[[#This Row],[temperatura_srednia]],1.5)*pogoda47[[#This Row],[stan_przed_dolaniem]],0),0)</f>
        <v>0</v>
      </c>
      <c r="F3">
        <f>pogoda47[[#This Row],[stan_przed_dolaniem]]-pogoda47[[#This Row],[ubytek]]</f>
        <v>25000</v>
      </c>
      <c r="G3">
        <f>IF(pogoda47[[#This Row],[opady]]*$AA$1+D3&gt;$AA$2,$AA$2-pogoda47[[#This Row],[stan_przed_dolaniem]],pogoda47[[#This Row],[opady]]*$AA$1)</f>
        <v>0</v>
      </c>
      <c r="H3">
        <f>pogoda47[[#This Row],[stan_po_ubytku]]+pogoda47[[#This Row],[ile_pogoda_dolała]]</f>
        <v>25000</v>
      </c>
      <c r="I3" cm="1">
        <f t="array" ref="I3">_xlfn.IFS(OR(pogoda47[[#This Row],[temperatura_srednia]]&lt;=15,pogoda47[[#This Row],[opady]]&gt;0.61),0,pogoda47[[#This Row],[temperatura_srednia]]&gt;30,24000,pogoda47[[#This Row],[temperatura_srednia]]&gt;15,12000)</f>
        <v>0</v>
      </c>
      <c r="J3">
        <f>IF(pogoda47[[#This Row],[stan_po_dolaniu]]&lt;pogoda47[[#This Row],[ile_podlewamy]],$AA$2-pogoda47[[#This Row],[stan_po_dolaniu]],0)</f>
        <v>0</v>
      </c>
      <c r="K3">
        <f>pogoda47[[#This Row],[stan_po_dolaniu]]+pogoda47[[#This Row],[ile_dolać_do_podlania]]</f>
        <v>25000</v>
      </c>
      <c r="L3">
        <f>pogoda47[[#This Row],[stan_po_dolaniu_do_podlania]]-pogoda47[[#This Row],[ile_podlewamy]]</f>
        <v>25000</v>
      </c>
      <c r="N3" s="7" t="s">
        <v>16</v>
      </c>
      <c r="O3">
        <v>0</v>
      </c>
      <c r="P3">
        <f>ROUNDUP(O3/1000,0)</f>
        <v>0</v>
      </c>
      <c r="Q3" s="9">
        <f>P3*11.74</f>
        <v>0</v>
      </c>
      <c r="Z3" t="s">
        <v>7</v>
      </c>
      <c r="AA3" s="1">
        <v>2.9999999999999997E-4</v>
      </c>
    </row>
    <row r="4" spans="1:27" x14ac:dyDescent="0.25">
      <c r="A4" s="2">
        <v>42097</v>
      </c>
      <c r="B4">
        <v>4</v>
      </c>
      <c r="C4">
        <v>1</v>
      </c>
      <c r="D4">
        <f t="shared" ref="D4:D67" si="0">L3</f>
        <v>25000</v>
      </c>
      <c r="E4">
        <f>IF(C4=0,ROUNDUP($AA$3*POWER(pogoda47[[#This Row],[temperatura_srednia]],1.5)*pogoda47[[#This Row],[stan_przed_dolaniem]],0),0)</f>
        <v>0</v>
      </c>
      <c r="F4">
        <f>pogoda47[[#This Row],[stan_przed_dolaniem]]-pogoda47[[#This Row],[ubytek]]</f>
        <v>25000</v>
      </c>
      <c r="G4">
        <f>IF(pogoda47[[#This Row],[opady]]*$AA$1+D4&gt;$AA$2,$AA$2-pogoda47[[#This Row],[stan_przed_dolaniem]],pogoda47[[#This Row],[opady]]*$AA$1)</f>
        <v>0</v>
      </c>
      <c r="H4">
        <f>pogoda47[[#This Row],[stan_po_ubytku]]+pogoda47[[#This Row],[ile_pogoda_dolała]]</f>
        <v>25000</v>
      </c>
      <c r="I4" cm="1">
        <f t="array" ref="I4">_xlfn.IFS(OR(pogoda47[[#This Row],[temperatura_srednia]]&lt;=15,pogoda47[[#This Row],[opady]]&gt;0.61),0,pogoda47[[#This Row],[temperatura_srednia]]&gt;30,24000,pogoda47[[#This Row],[temperatura_srednia]]&gt;15,12000)</f>
        <v>0</v>
      </c>
      <c r="J4">
        <f>IF(pogoda47[[#This Row],[stan_po_dolaniu]]&lt;pogoda47[[#This Row],[ile_podlewamy]],$AA$2-pogoda47[[#This Row],[stan_po_dolaniu]],0)</f>
        <v>0</v>
      </c>
      <c r="K4">
        <f>pogoda47[[#This Row],[stan_po_dolaniu]]+pogoda47[[#This Row],[ile_dolać_do_podlania]]</f>
        <v>25000</v>
      </c>
      <c r="L4">
        <f>pogoda47[[#This Row],[stan_po_dolaniu_do_podlania]]-pogoda47[[#This Row],[ile_podlewamy]]</f>
        <v>25000</v>
      </c>
      <c r="N4" s="7" t="s">
        <v>17</v>
      </c>
      <c r="O4">
        <v>13172</v>
      </c>
      <c r="P4">
        <f t="shared" ref="P4:P8" si="1">ROUNDUP(O4/1000,0)</f>
        <v>14</v>
      </c>
      <c r="Q4" s="9">
        <f t="shared" ref="Q4:Q9" si="2">P4*11.74</f>
        <v>164.36</v>
      </c>
    </row>
    <row r="5" spans="1:27" x14ac:dyDescent="0.25">
      <c r="A5" s="2">
        <v>42098</v>
      </c>
      <c r="B5">
        <v>4</v>
      </c>
      <c r="C5">
        <v>0.8</v>
      </c>
      <c r="D5">
        <f t="shared" si="0"/>
        <v>25000</v>
      </c>
      <c r="E5">
        <f>IF(C5=0,ROUNDUP($AA$3*POWER(pogoda47[[#This Row],[temperatura_srednia]],1.5)*pogoda47[[#This Row],[stan_przed_dolaniem]],0),0)</f>
        <v>0</v>
      </c>
      <c r="F5">
        <f>pogoda47[[#This Row],[stan_przed_dolaniem]]-pogoda47[[#This Row],[ubytek]]</f>
        <v>25000</v>
      </c>
      <c r="G5">
        <f>IF(pogoda47[[#This Row],[opady]]*$AA$1+D5&gt;$AA$2,$AA$2-pogoda47[[#This Row],[stan_przed_dolaniem]],pogoda47[[#This Row],[opady]]*$AA$1)</f>
        <v>0</v>
      </c>
      <c r="H5">
        <f>pogoda47[[#This Row],[stan_po_ubytku]]+pogoda47[[#This Row],[ile_pogoda_dolała]]</f>
        <v>25000</v>
      </c>
      <c r="I5" cm="1">
        <f t="array" ref="I5">_xlfn.IFS(OR(pogoda47[[#This Row],[temperatura_srednia]]&lt;=15,pogoda47[[#This Row],[opady]]&gt;0.61),0,pogoda47[[#This Row],[temperatura_srednia]]&gt;30,24000,pogoda47[[#This Row],[temperatura_srednia]]&gt;15,12000)</f>
        <v>0</v>
      </c>
      <c r="J5">
        <f>IF(pogoda47[[#This Row],[stan_po_dolaniu]]&lt;pogoda47[[#This Row],[ile_podlewamy]],$AA$2-pogoda47[[#This Row],[stan_po_dolaniu]],0)</f>
        <v>0</v>
      </c>
      <c r="K5">
        <f>pogoda47[[#This Row],[stan_po_dolaniu]]+pogoda47[[#This Row],[ile_dolać_do_podlania]]</f>
        <v>25000</v>
      </c>
      <c r="L5">
        <f>pogoda47[[#This Row],[stan_po_dolaniu_do_podlania]]-pogoda47[[#This Row],[ile_podlewamy]]</f>
        <v>25000</v>
      </c>
      <c r="N5" s="7" t="s">
        <v>18</v>
      </c>
      <c r="O5">
        <v>89444</v>
      </c>
      <c r="P5">
        <f t="shared" si="1"/>
        <v>90</v>
      </c>
      <c r="Q5" s="9">
        <f t="shared" si="2"/>
        <v>1056.5999999999999</v>
      </c>
    </row>
    <row r="6" spans="1:27" x14ac:dyDescent="0.25">
      <c r="A6" s="2">
        <v>42099</v>
      </c>
      <c r="B6">
        <v>3</v>
      </c>
      <c r="C6">
        <v>0</v>
      </c>
      <c r="D6">
        <f t="shared" si="0"/>
        <v>25000</v>
      </c>
      <c r="E6">
        <f>IF(C6=0,ROUNDUP($AA$3*POWER(pogoda47[[#This Row],[temperatura_srednia]],1.5)*pogoda47[[#This Row],[stan_przed_dolaniem]],0),0)</f>
        <v>39</v>
      </c>
      <c r="F6">
        <f>pogoda47[[#This Row],[stan_przed_dolaniem]]-pogoda47[[#This Row],[ubytek]]</f>
        <v>24961</v>
      </c>
      <c r="G6">
        <f>IF(pogoda47[[#This Row],[opady]]*$AA$1+D6&gt;$AA$2,$AA$2-pogoda47[[#This Row],[stan_przed_dolaniem]],pogoda47[[#This Row],[opady]]*$AA$1)</f>
        <v>0</v>
      </c>
      <c r="H6">
        <f>pogoda47[[#This Row],[stan_po_ubytku]]+pogoda47[[#This Row],[ile_pogoda_dolała]]</f>
        <v>24961</v>
      </c>
      <c r="I6" cm="1">
        <f t="array" ref="I6">_xlfn.IFS(OR(pogoda47[[#This Row],[temperatura_srednia]]&lt;=15,pogoda47[[#This Row],[opady]]&gt;0.61),0,pogoda47[[#This Row],[temperatura_srednia]]&gt;30,24000,pogoda47[[#This Row],[temperatura_srednia]]&gt;15,12000)</f>
        <v>0</v>
      </c>
      <c r="J6">
        <f>IF(pogoda47[[#This Row],[stan_po_dolaniu]]&lt;pogoda47[[#This Row],[ile_podlewamy]],$AA$2-pogoda47[[#This Row],[stan_po_dolaniu]],0)</f>
        <v>0</v>
      </c>
      <c r="K6">
        <f>pogoda47[[#This Row],[stan_po_dolaniu]]+pogoda47[[#This Row],[ile_dolać_do_podlania]]</f>
        <v>24961</v>
      </c>
      <c r="L6">
        <f>pogoda47[[#This Row],[stan_po_dolaniu_do_podlania]]-pogoda47[[#This Row],[ile_podlewamy]]</f>
        <v>24961</v>
      </c>
      <c r="N6" s="7" t="s">
        <v>19</v>
      </c>
      <c r="O6">
        <v>217938</v>
      </c>
      <c r="P6">
        <f t="shared" si="1"/>
        <v>218</v>
      </c>
      <c r="Q6" s="9">
        <f t="shared" si="2"/>
        <v>2559.3200000000002</v>
      </c>
    </row>
    <row r="7" spans="1:27" x14ac:dyDescent="0.25">
      <c r="A7" s="2">
        <v>42100</v>
      </c>
      <c r="B7">
        <v>4</v>
      </c>
      <c r="C7">
        <v>0</v>
      </c>
      <c r="D7">
        <f t="shared" si="0"/>
        <v>24961</v>
      </c>
      <c r="E7">
        <f>IF(C7=0,ROUNDUP($AA$3*POWER(pogoda47[[#This Row],[temperatura_srednia]],1.5)*pogoda47[[#This Row],[stan_przed_dolaniem]],0),0)</f>
        <v>60</v>
      </c>
      <c r="F7">
        <f>pogoda47[[#This Row],[stan_przed_dolaniem]]-pogoda47[[#This Row],[ubytek]]</f>
        <v>24901</v>
      </c>
      <c r="G7">
        <f>IF(pogoda47[[#This Row],[opady]]*$AA$1+D7&gt;$AA$2,$AA$2-pogoda47[[#This Row],[stan_przed_dolaniem]],pogoda47[[#This Row],[opady]]*$AA$1)</f>
        <v>0</v>
      </c>
      <c r="H7">
        <f>pogoda47[[#This Row],[stan_po_ubytku]]+pogoda47[[#This Row],[ile_pogoda_dolała]]</f>
        <v>24901</v>
      </c>
      <c r="I7" cm="1">
        <f t="array" ref="I7">_xlfn.IFS(OR(pogoda47[[#This Row],[temperatura_srednia]]&lt;=15,pogoda47[[#This Row],[opady]]&gt;0.61),0,pogoda47[[#This Row],[temperatura_srednia]]&gt;30,24000,pogoda47[[#This Row],[temperatura_srednia]]&gt;15,12000)</f>
        <v>0</v>
      </c>
      <c r="J7">
        <f>IF(pogoda47[[#This Row],[stan_po_dolaniu]]&lt;pogoda47[[#This Row],[ile_podlewamy]],$AA$2-pogoda47[[#This Row],[stan_po_dolaniu]],0)</f>
        <v>0</v>
      </c>
      <c r="K7">
        <f>pogoda47[[#This Row],[stan_po_dolaniu]]+pogoda47[[#This Row],[ile_dolać_do_podlania]]</f>
        <v>24901</v>
      </c>
      <c r="L7">
        <f>pogoda47[[#This Row],[stan_po_dolaniu_do_podlania]]-pogoda47[[#This Row],[ile_podlewamy]]</f>
        <v>24901</v>
      </c>
      <c r="N7" s="7" t="s">
        <v>20</v>
      </c>
      <c r="O7">
        <v>310099</v>
      </c>
      <c r="P7">
        <f t="shared" si="1"/>
        <v>311</v>
      </c>
      <c r="Q7" s="9">
        <f t="shared" si="2"/>
        <v>3651.14</v>
      </c>
    </row>
    <row r="8" spans="1:27" x14ac:dyDescent="0.25">
      <c r="A8" s="2">
        <v>42101</v>
      </c>
      <c r="B8">
        <v>4</v>
      </c>
      <c r="C8">
        <v>1</v>
      </c>
      <c r="D8">
        <f t="shared" si="0"/>
        <v>24901</v>
      </c>
      <c r="E8">
        <f>IF(C8=0,ROUNDUP($AA$3*POWER(pogoda47[[#This Row],[temperatura_srednia]],1.5)*pogoda47[[#This Row],[stan_przed_dolaniem]],0),0)</f>
        <v>0</v>
      </c>
      <c r="F8">
        <f>pogoda47[[#This Row],[stan_przed_dolaniem]]-pogoda47[[#This Row],[ubytek]]</f>
        <v>24901</v>
      </c>
      <c r="G8">
        <f>IF(pogoda47[[#This Row],[opady]]*$AA$1+D8&gt;$AA$2,$AA$2-pogoda47[[#This Row],[stan_przed_dolaniem]],pogoda47[[#This Row],[opady]]*$AA$1)</f>
        <v>99</v>
      </c>
      <c r="H8">
        <f>pogoda47[[#This Row],[stan_po_ubytku]]+pogoda47[[#This Row],[ile_pogoda_dolała]]</f>
        <v>25000</v>
      </c>
      <c r="I8" cm="1">
        <f t="array" ref="I8">_xlfn.IFS(OR(pogoda47[[#This Row],[temperatura_srednia]]&lt;=15,pogoda47[[#This Row],[opady]]&gt;0.61),0,pogoda47[[#This Row],[temperatura_srednia]]&gt;30,24000,pogoda47[[#This Row],[temperatura_srednia]]&gt;15,12000)</f>
        <v>0</v>
      </c>
      <c r="J8">
        <f>IF(pogoda47[[#This Row],[stan_po_dolaniu]]&lt;pogoda47[[#This Row],[ile_podlewamy]],$AA$2-pogoda47[[#This Row],[stan_po_dolaniu]],0)</f>
        <v>0</v>
      </c>
      <c r="K8">
        <f>pogoda47[[#This Row],[stan_po_dolaniu]]+pogoda47[[#This Row],[ile_dolać_do_podlania]]</f>
        <v>25000</v>
      </c>
      <c r="L8">
        <f>pogoda47[[#This Row],[stan_po_dolaniu_do_podlania]]-pogoda47[[#This Row],[ile_podlewamy]]</f>
        <v>25000</v>
      </c>
      <c r="N8" s="7" t="s">
        <v>21</v>
      </c>
      <c r="O8">
        <v>112774</v>
      </c>
      <c r="P8">
        <f t="shared" si="1"/>
        <v>113</v>
      </c>
      <c r="Q8" s="9">
        <f t="shared" si="2"/>
        <v>1326.6200000000001</v>
      </c>
    </row>
    <row r="9" spans="1:27" x14ac:dyDescent="0.25">
      <c r="A9" s="2">
        <v>42102</v>
      </c>
      <c r="B9">
        <v>8</v>
      </c>
      <c r="C9">
        <v>1</v>
      </c>
      <c r="D9">
        <f t="shared" si="0"/>
        <v>25000</v>
      </c>
      <c r="E9">
        <f>IF(C9=0,ROUNDUP($AA$3*POWER(pogoda47[[#This Row],[temperatura_srednia]],1.5)*pogoda47[[#This Row],[stan_przed_dolaniem]],0),0)</f>
        <v>0</v>
      </c>
      <c r="F9">
        <f>pogoda47[[#This Row],[stan_przed_dolaniem]]-pogoda47[[#This Row],[ubytek]]</f>
        <v>25000</v>
      </c>
      <c r="G9">
        <f>IF(pogoda47[[#This Row],[opady]]*$AA$1+D9&gt;$AA$2,$AA$2-pogoda47[[#This Row],[stan_przed_dolaniem]],pogoda47[[#This Row],[opady]]*$AA$1)</f>
        <v>0</v>
      </c>
      <c r="H9">
        <f>pogoda47[[#This Row],[stan_po_ubytku]]+pogoda47[[#This Row],[ile_pogoda_dolała]]</f>
        <v>25000</v>
      </c>
      <c r="I9" cm="1">
        <f t="array" ref="I9">_xlfn.IFS(OR(pogoda47[[#This Row],[temperatura_srednia]]&lt;=15,pogoda47[[#This Row],[opady]]&gt;0.61),0,pogoda47[[#This Row],[temperatura_srednia]]&gt;30,24000,pogoda47[[#This Row],[temperatura_srednia]]&gt;15,12000)</f>
        <v>0</v>
      </c>
      <c r="J9">
        <f>IF(pogoda47[[#This Row],[stan_po_dolaniu]]&lt;pogoda47[[#This Row],[ile_podlewamy]],$AA$2-pogoda47[[#This Row],[stan_po_dolaniu]],0)</f>
        <v>0</v>
      </c>
      <c r="K9">
        <f>pogoda47[[#This Row],[stan_po_dolaniu]]+pogoda47[[#This Row],[ile_dolać_do_podlania]]</f>
        <v>25000</v>
      </c>
      <c r="L9">
        <f>pogoda47[[#This Row],[stan_po_dolaniu_do_podlania]]-pogoda47[[#This Row],[ile_podlewamy]]</f>
        <v>25000</v>
      </c>
      <c r="N9" s="6" t="s">
        <v>15</v>
      </c>
      <c r="O9">
        <v>743427</v>
      </c>
      <c r="Q9">
        <f t="shared" si="2"/>
        <v>0</v>
      </c>
    </row>
    <row r="10" spans="1:27" x14ac:dyDescent="0.25">
      <c r="A10" s="2">
        <v>42103</v>
      </c>
      <c r="B10">
        <v>6</v>
      </c>
      <c r="C10">
        <v>2</v>
      </c>
      <c r="D10">
        <f t="shared" si="0"/>
        <v>25000</v>
      </c>
      <c r="E10">
        <f>IF(C10=0,ROUNDUP($AA$3*POWER(pogoda47[[#This Row],[temperatura_srednia]],1.5)*pogoda47[[#This Row],[stan_przed_dolaniem]],0),0)</f>
        <v>0</v>
      </c>
      <c r="F10">
        <f>pogoda47[[#This Row],[stan_przed_dolaniem]]-pogoda47[[#This Row],[ubytek]]</f>
        <v>25000</v>
      </c>
      <c r="G10">
        <f>IF(pogoda47[[#This Row],[opady]]*$AA$1+D10&gt;$AA$2,$AA$2-pogoda47[[#This Row],[stan_przed_dolaniem]],pogoda47[[#This Row],[opady]]*$AA$1)</f>
        <v>0</v>
      </c>
      <c r="H10">
        <f>pogoda47[[#This Row],[stan_po_ubytku]]+pogoda47[[#This Row],[ile_pogoda_dolała]]</f>
        <v>25000</v>
      </c>
      <c r="I10" cm="1">
        <f t="array" ref="I10">_xlfn.IFS(OR(pogoda47[[#This Row],[temperatura_srednia]]&lt;=15,pogoda47[[#This Row],[opady]]&gt;0.61),0,pogoda47[[#This Row],[temperatura_srednia]]&gt;30,24000,pogoda47[[#This Row],[temperatura_srednia]]&gt;15,12000)</f>
        <v>0</v>
      </c>
      <c r="J10">
        <f>IF(pogoda47[[#This Row],[stan_po_dolaniu]]&lt;pogoda47[[#This Row],[ile_podlewamy]],$AA$2-pogoda47[[#This Row],[stan_po_dolaniu]],0)</f>
        <v>0</v>
      </c>
      <c r="K10">
        <f>pogoda47[[#This Row],[stan_po_dolaniu]]+pogoda47[[#This Row],[ile_dolać_do_podlania]]</f>
        <v>25000</v>
      </c>
      <c r="L10">
        <f>pogoda47[[#This Row],[stan_po_dolaniu_do_podlania]]-pogoda47[[#This Row],[ile_podlewamy]]</f>
        <v>25000</v>
      </c>
    </row>
    <row r="11" spans="1:27" x14ac:dyDescent="0.25">
      <c r="A11" s="2">
        <v>42104</v>
      </c>
      <c r="B11">
        <v>9</v>
      </c>
      <c r="C11">
        <v>2</v>
      </c>
      <c r="D11">
        <f t="shared" si="0"/>
        <v>25000</v>
      </c>
      <c r="E11">
        <f>IF(C11=0,ROUNDUP($AA$3*POWER(pogoda47[[#This Row],[temperatura_srednia]],1.5)*pogoda47[[#This Row],[stan_przed_dolaniem]],0),0)</f>
        <v>0</v>
      </c>
      <c r="F11">
        <f>pogoda47[[#This Row],[stan_przed_dolaniem]]-pogoda47[[#This Row],[ubytek]]</f>
        <v>25000</v>
      </c>
      <c r="G11">
        <f>IF(pogoda47[[#This Row],[opady]]*$AA$1+D11&gt;$AA$2,$AA$2-pogoda47[[#This Row],[stan_przed_dolaniem]],pogoda47[[#This Row],[opady]]*$AA$1)</f>
        <v>0</v>
      </c>
      <c r="H11">
        <f>pogoda47[[#This Row],[stan_po_ubytku]]+pogoda47[[#This Row],[ile_pogoda_dolała]]</f>
        <v>25000</v>
      </c>
      <c r="I11" cm="1">
        <f t="array" ref="I11">_xlfn.IFS(OR(pogoda47[[#This Row],[temperatura_srednia]]&lt;=15,pogoda47[[#This Row],[opady]]&gt;0.61),0,pogoda47[[#This Row],[temperatura_srednia]]&gt;30,24000,pogoda47[[#This Row],[temperatura_srednia]]&gt;15,12000)</f>
        <v>0</v>
      </c>
      <c r="J11">
        <f>IF(pogoda47[[#This Row],[stan_po_dolaniu]]&lt;pogoda47[[#This Row],[ile_podlewamy]],$AA$2-pogoda47[[#This Row],[stan_po_dolaniu]],0)</f>
        <v>0</v>
      </c>
      <c r="K11">
        <f>pogoda47[[#This Row],[stan_po_dolaniu]]+pogoda47[[#This Row],[ile_dolać_do_podlania]]</f>
        <v>25000</v>
      </c>
      <c r="L11">
        <f>pogoda47[[#This Row],[stan_po_dolaniu_do_podlania]]-pogoda47[[#This Row],[ile_podlewamy]]</f>
        <v>25000</v>
      </c>
      <c r="N11" s="10" t="s">
        <v>24</v>
      </c>
      <c r="O11" s="8" t="s">
        <v>27</v>
      </c>
    </row>
    <row r="12" spans="1:27" x14ac:dyDescent="0.25">
      <c r="A12" s="2">
        <v>42105</v>
      </c>
      <c r="B12">
        <v>12</v>
      </c>
      <c r="C12">
        <v>3</v>
      </c>
      <c r="D12">
        <f t="shared" si="0"/>
        <v>25000</v>
      </c>
      <c r="E12">
        <f>IF(C12=0,ROUNDUP($AA$3*POWER(pogoda47[[#This Row],[temperatura_srednia]],1.5)*pogoda47[[#This Row],[stan_przed_dolaniem]],0),0)</f>
        <v>0</v>
      </c>
      <c r="F12">
        <f>pogoda47[[#This Row],[stan_przed_dolaniem]]-pogoda47[[#This Row],[ubytek]]</f>
        <v>25000</v>
      </c>
      <c r="G12">
        <f>IF(pogoda47[[#This Row],[opady]]*$AA$1+D12&gt;$AA$2,$AA$2-pogoda47[[#This Row],[stan_przed_dolaniem]],pogoda47[[#This Row],[opady]]*$AA$1)</f>
        <v>0</v>
      </c>
      <c r="H12">
        <f>pogoda47[[#This Row],[stan_po_ubytku]]+pogoda47[[#This Row],[ile_pogoda_dolała]]</f>
        <v>25000</v>
      </c>
      <c r="I12" cm="1">
        <f t="array" ref="I12">_xlfn.IFS(OR(pogoda47[[#This Row],[temperatura_srednia]]&lt;=15,pogoda47[[#This Row],[opady]]&gt;0.61),0,pogoda47[[#This Row],[temperatura_srednia]]&gt;30,24000,pogoda47[[#This Row],[temperatura_srednia]]&gt;15,12000)</f>
        <v>0</v>
      </c>
      <c r="J12">
        <f>IF(pogoda47[[#This Row],[stan_po_dolaniu]]&lt;pogoda47[[#This Row],[ile_podlewamy]],$AA$2-pogoda47[[#This Row],[stan_po_dolaniu]],0)</f>
        <v>0</v>
      </c>
      <c r="K12">
        <f>pogoda47[[#This Row],[stan_po_dolaniu]]+pogoda47[[#This Row],[ile_dolać_do_podlania]]</f>
        <v>25000</v>
      </c>
      <c r="L12">
        <f>pogoda47[[#This Row],[stan_po_dolaniu_do_podlania]]-pogoda47[[#This Row],[ile_podlewamy]]</f>
        <v>25000</v>
      </c>
      <c r="N12" s="7" t="s">
        <v>16</v>
      </c>
      <c r="O12" s="9">
        <v>0</v>
      </c>
    </row>
    <row r="13" spans="1:27" x14ac:dyDescent="0.25">
      <c r="A13" s="2">
        <v>42106</v>
      </c>
      <c r="B13">
        <v>10</v>
      </c>
      <c r="C13">
        <v>2</v>
      </c>
      <c r="D13">
        <f t="shared" si="0"/>
        <v>25000</v>
      </c>
      <c r="E13">
        <f>IF(C13=0,ROUNDUP($AA$3*POWER(pogoda47[[#This Row],[temperatura_srednia]],1.5)*pogoda47[[#This Row],[stan_przed_dolaniem]],0),0)</f>
        <v>0</v>
      </c>
      <c r="F13">
        <f>pogoda47[[#This Row],[stan_przed_dolaniem]]-pogoda47[[#This Row],[ubytek]]</f>
        <v>25000</v>
      </c>
      <c r="G13">
        <f>IF(pogoda47[[#This Row],[opady]]*$AA$1+D13&gt;$AA$2,$AA$2-pogoda47[[#This Row],[stan_przed_dolaniem]],pogoda47[[#This Row],[opady]]*$AA$1)</f>
        <v>0</v>
      </c>
      <c r="H13">
        <f>pogoda47[[#This Row],[stan_po_ubytku]]+pogoda47[[#This Row],[ile_pogoda_dolała]]</f>
        <v>25000</v>
      </c>
      <c r="I13" cm="1">
        <f t="array" ref="I13">_xlfn.IFS(OR(pogoda47[[#This Row],[temperatura_srednia]]&lt;=15,pogoda47[[#This Row],[opady]]&gt;0.61),0,pogoda47[[#This Row],[temperatura_srednia]]&gt;30,24000,pogoda47[[#This Row],[temperatura_srednia]]&gt;15,12000)</f>
        <v>0</v>
      </c>
      <c r="J13">
        <f>IF(pogoda47[[#This Row],[stan_po_dolaniu]]&lt;pogoda47[[#This Row],[ile_podlewamy]],$AA$2-pogoda47[[#This Row],[stan_po_dolaniu]],0)</f>
        <v>0</v>
      </c>
      <c r="K13">
        <f>pogoda47[[#This Row],[stan_po_dolaniu]]+pogoda47[[#This Row],[ile_dolać_do_podlania]]</f>
        <v>25000</v>
      </c>
      <c r="L13">
        <f>pogoda47[[#This Row],[stan_po_dolaniu_do_podlania]]-pogoda47[[#This Row],[ile_podlewamy]]</f>
        <v>25000</v>
      </c>
      <c r="N13" s="7" t="s">
        <v>17</v>
      </c>
      <c r="O13" s="9">
        <v>164.36</v>
      </c>
    </row>
    <row r="14" spans="1:27" x14ac:dyDescent="0.25">
      <c r="A14" s="2">
        <v>42107</v>
      </c>
      <c r="B14">
        <v>8</v>
      </c>
      <c r="C14">
        <v>1</v>
      </c>
      <c r="D14">
        <f t="shared" si="0"/>
        <v>25000</v>
      </c>
      <c r="E14">
        <f>IF(C14=0,ROUNDUP($AA$3*POWER(pogoda47[[#This Row],[temperatura_srednia]],1.5)*pogoda47[[#This Row],[stan_przed_dolaniem]],0),0)</f>
        <v>0</v>
      </c>
      <c r="F14">
        <f>pogoda47[[#This Row],[stan_przed_dolaniem]]-pogoda47[[#This Row],[ubytek]]</f>
        <v>25000</v>
      </c>
      <c r="G14">
        <f>IF(pogoda47[[#This Row],[opady]]*$AA$1+D14&gt;$AA$2,$AA$2-pogoda47[[#This Row],[stan_przed_dolaniem]],pogoda47[[#This Row],[opady]]*$AA$1)</f>
        <v>0</v>
      </c>
      <c r="H14">
        <f>pogoda47[[#This Row],[stan_po_ubytku]]+pogoda47[[#This Row],[ile_pogoda_dolała]]</f>
        <v>25000</v>
      </c>
      <c r="I14" cm="1">
        <f t="array" ref="I14">_xlfn.IFS(OR(pogoda47[[#This Row],[temperatura_srednia]]&lt;=15,pogoda47[[#This Row],[opady]]&gt;0.61),0,pogoda47[[#This Row],[temperatura_srednia]]&gt;30,24000,pogoda47[[#This Row],[temperatura_srednia]]&gt;15,12000)</f>
        <v>0</v>
      </c>
      <c r="J14">
        <f>IF(pogoda47[[#This Row],[stan_po_dolaniu]]&lt;pogoda47[[#This Row],[ile_podlewamy]],$AA$2-pogoda47[[#This Row],[stan_po_dolaniu]],0)</f>
        <v>0</v>
      </c>
      <c r="K14">
        <f>pogoda47[[#This Row],[stan_po_dolaniu]]+pogoda47[[#This Row],[ile_dolać_do_podlania]]</f>
        <v>25000</v>
      </c>
      <c r="L14">
        <f>pogoda47[[#This Row],[stan_po_dolaniu_do_podlania]]-pogoda47[[#This Row],[ile_podlewamy]]</f>
        <v>25000</v>
      </c>
      <c r="N14" s="7" t="s">
        <v>18</v>
      </c>
      <c r="O14" s="9">
        <v>1056.5999999999999</v>
      </c>
    </row>
    <row r="15" spans="1:27" x14ac:dyDescent="0.25">
      <c r="A15" s="2">
        <v>42108</v>
      </c>
      <c r="B15">
        <v>6</v>
      </c>
      <c r="C15">
        <v>0</v>
      </c>
      <c r="D15">
        <f t="shared" si="0"/>
        <v>25000</v>
      </c>
      <c r="E15">
        <f>IF(C15=0,ROUNDUP($AA$3*POWER(pogoda47[[#This Row],[temperatura_srednia]],1.5)*pogoda47[[#This Row],[stan_przed_dolaniem]],0),0)</f>
        <v>111</v>
      </c>
      <c r="F15">
        <f>pogoda47[[#This Row],[stan_przed_dolaniem]]-pogoda47[[#This Row],[ubytek]]</f>
        <v>24889</v>
      </c>
      <c r="G15">
        <f>IF(pogoda47[[#This Row],[opady]]*$AA$1+D15&gt;$AA$2,$AA$2-pogoda47[[#This Row],[stan_przed_dolaniem]],pogoda47[[#This Row],[opady]]*$AA$1)</f>
        <v>0</v>
      </c>
      <c r="H15">
        <f>pogoda47[[#This Row],[stan_po_ubytku]]+pogoda47[[#This Row],[ile_pogoda_dolała]]</f>
        <v>24889</v>
      </c>
      <c r="I15" cm="1">
        <f t="array" ref="I15">_xlfn.IFS(OR(pogoda47[[#This Row],[temperatura_srednia]]&lt;=15,pogoda47[[#This Row],[opady]]&gt;0.61),0,pogoda47[[#This Row],[temperatura_srednia]]&gt;30,24000,pogoda47[[#This Row],[temperatura_srednia]]&gt;15,12000)</f>
        <v>0</v>
      </c>
      <c r="J15">
        <f>IF(pogoda47[[#This Row],[stan_po_dolaniu]]&lt;pogoda47[[#This Row],[ile_podlewamy]],$AA$2-pogoda47[[#This Row],[stan_po_dolaniu]],0)</f>
        <v>0</v>
      </c>
      <c r="K15">
        <f>pogoda47[[#This Row],[stan_po_dolaniu]]+pogoda47[[#This Row],[ile_dolać_do_podlania]]</f>
        <v>24889</v>
      </c>
      <c r="L15">
        <f>pogoda47[[#This Row],[stan_po_dolaniu_do_podlania]]-pogoda47[[#This Row],[ile_podlewamy]]</f>
        <v>24889</v>
      </c>
      <c r="N15" s="7" t="s">
        <v>19</v>
      </c>
      <c r="O15" s="9">
        <v>2559.3200000000002</v>
      </c>
    </row>
    <row r="16" spans="1:27" x14ac:dyDescent="0.25">
      <c r="A16" s="2">
        <v>42109</v>
      </c>
      <c r="B16">
        <v>14</v>
      </c>
      <c r="C16">
        <v>0</v>
      </c>
      <c r="D16">
        <f t="shared" si="0"/>
        <v>24889</v>
      </c>
      <c r="E16">
        <f>IF(C16=0,ROUNDUP($AA$3*POWER(pogoda47[[#This Row],[temperatura_srednia]],1.5)*pogoda47[[#This Row],[stan_przed_dolaniem]],0),0)</f>
        <v>392</v>
      </c>
      <c r="F16">
        <f>pogoda47[[#This Row],[stan_przed_dolaniem]]-pogoda47[[#This Row],[ubytek]]</f>
        <v>24497</v>
      </c>
      <c r="G16">
        <f>IF(pogoda47[[#This Row],[opady]]*$AA$1+D16&gt;$AA$2,$AA$2-pogoda47[[#This Row],[stan_przed_dolaniem]],pogoda47[[#This Row],[opady]]*$AA$1)</f>
        <v>0</v>
      </c>
      <c r="H16">
        <f>pogoda47[[#This Row],[stan_po_ubytku]]+pogoda47[[#This Row],[ile_pogoda_dolała]]</f>
        <v>24497</v>
      </c>
      <c r="I16" cm="1">
        <f t="array" ref="I16">_xlfn.IFS(OR(pogoda47[[#This Row],[temperatura_srednia]]&lt;=15,pogoda47[[#This Row],[opady]]&gt;0.61),0,pogoda47[[#This Row],[temperatura_srednia]]&gt;30,24000,pogoda47[[#This Row],[temperatura_srednia]]&gt;15,12000)</f>
        <v>0</v>
      </c>
      <c r="J16">
        <f>IF(pogoda47[[#This Row],[stan_po_dolaniu]]&lt;pogoda47[[#This Row],[ile_podlewamy]],$AA$2-pogoda47[[#This Row],[stan_po_dolaniu]],0)</f>
        <v>0</v>
      </c>
      <c r="K16">
        <f>pogoda47[[#This Row],[stan_po_dolaniu]]+pogoda47[[#This Row],[ile_dolać_do_podlania]]</f>
        <v>24497</v>
      </c>
      <c r="L16">
        <f>pogoda47[[#This Row],[stan_po_dolaniu_do_podlania]]-pogoda47[[#This Row],[ile_podlewamy]]</f>
        <v>24497</v>
      </c>
      <c r="N16" s="7" t="s">
        <v>20</v>
      </c>
      <c r="O16" s="9">
        <v>3651.14</v>
      </c>
    </row>
    <row r="17" spans="1:15" x14ac:dyDescent="0.25">
      <c r="A17" s="2">
        <v>42110</v>
      </c>
      <c r="B17">
        <v>10</v>
      </c>
      <c r="C17">
        <v>0</v>
      </c>
      <c r="D17">
        <f t="shared" si="0"/>
        <v>24497</v>
      </c>
      <c r="E17">
        <f>IF(C17=0,ROUNDUP($AA$3*POWER(pogoda47[[#This Row],[temperatura_srednia]],1.5)*pogoda47[[#This Row],[stan_przed_dolaniem]],0),0)</f>
        <v>233</v>
      </c>
      <c r="F17">
        <f>pogoda47[[#This Row],[stan_przed_dolaniem]]-pogoda47[[#This Row],[ubytek]]</f>
        <v>24264</v>
      </c>
      <c r="G17">
        <f>IF(pogoda47[[#This Row],[opady]]*$AA$1+D17&gt;$AA$2,$AA$2-pogoda47[[#This Row],[stan_przed_dolaniem]],pogoda47[[#This Row],[opady]]*$AA$1)</f>
        <v>0</v>
      </c>
      <c r="H17">
        <f>pogoda47[[#This Row],[stan_po_ubytku]]+pogoda47[[#This Row],[ile_pogoda_dolała]]</f>
        <v>24264</v>
      </c>
      <c r="I17" cm="1">
        <f t="array" ref="I17">_xlfn.IFS(OR(pogoda47[[#This Row],[temperatura_srednia]]&lt;=15,pogoda47[[#This Row],[opady]]&gt;0.61),0,pogoda47[[#This Row],[temperatura_srednia]]&gt;30,24000,pogoda47[[#This Row],[temperatura_srednia]]&gt;15,12000)</f>
        <v>0</v>
      </c>
      <c r="J17">
        <f>IF(pogoda47[[#This Row],[stan_po_dolaniu]]&lt;pogoda47[[#This Row],[ile_podlewamy]],$AA$2-pogoda47[[#This Row],[stan_po_dolaniu]],0)</f>
        <v>0</v>
      </c>
      <c r="K17">
        <f>pogoda47[[#This Row],[stan_po_dolaniu]]+pogoda47[[#This Row],[ile_dolać_do_podlania]]</f>
        <v>24264</v>
      </c>
      <c r="L17">
        <f>pogoda47[[#This Row],[stan_po_dolaniu_do_podlania]]-pogoda47[[#This Row],[ile_podlewamy]]</f>
        <v>24264</v>
      </c>
      <c r="N17" s="7" t="s">
        <v>21</v>
      </c>
      <c r="O17" s="9">
        <v>1326.6200000000001</v>
      </c>
    </row>
    <row r="18" spans="1:15" x14ac:dyDescent="0.25">
      <c r="A18" s="2">
        <v>42111</v>
      </c>
      <c r="B18">
        <v>6</v>
      </c>
      <c r="C18">
        <v>0</v>
      </c>
      <c r="D18">
        <f t="shared" si="0"/>
        <v>24264</v>
      </c>
      <c r="E18">
        <f>IF(C18=0,ROUNDUP($AA$3*POWER(pogoda47[[#This Row],[temperatura_srednia]],1.5)*pogoda47[[#This Row],[stan_przed_dolaniem]],0),0)</f>
        <v>107</v>
      </c>
      <c r="F18">
        <f>pogoda47[[#This Row],[stan_przed_dolaniem]]-pogoda47[[#This Row],[ubytek]]</f>
        <v>24157</v>
      </c>
      <c r="G18">
        <f>IF(pogoda47[[#This Row],[opady]]*$AA$1+D18&gt;$AA$2,$AA$2-pogoda47[[#This Row],[stan_przed_dolaniem]],pogoda47[[#This Row],[opady]]*$AA$1)</f>
        <v>0</v>
      </c>
      <c r="H18">
        <f>pogoda47[[#This Row],[stan_po_ubytku]]+pogoda47[[#This Row],[ile_pogoda_dolała]]</f>
        <v>24157</v>
      </c>
      <c r="I18" cm="1">
        <f t="array" ref="I18">_xlfn.IFS(OR(pogoda47[[#This Row],[temperatura_srednia]]&lt;=15,pogoda47[[#This Row],[opady]]&gt;0.61),0,pogoda47[[#This Row],[temperatura_srednia]]&gt;30,24000,pogoda47[[#This Row],[temperatura_srednia]]&gt;15,12000)</f>
        <v>0</v>
      </c>
      <c r="J18">
        <f>IF(pogoda47[[#This Row],[stan_po_dolaniu]]&lt;pogoda47[[#This Row],[ile_podlewamy]],$AA$2-pogoda47[[#This Row],[stan_po_dolaniu]],0)</f>
        <v>0</v>
      </c>
      <c r="K18">
        <f>pogoda47[[#This Row],[stan_po_dolaniu]]+pogoda47[[#This Row],[ile_dolać_do_podlania]]</f>
        <v>24157</v>
      </c>
      <c r="L18">
        <f>pogoda47[[#This Row],[stan_po_dolaniu_do_podlania]]-pogoda47[[#This Row],[ile_podlewamy]]</f>
        <v>24157</v>
      </c>
    </row>
    <row r="19" spans="1:15" x14ac:dyDescent="0.25">
      <c r="A19" s="2">
        <v>42112</v>
      </c>
      <c r="B19">
        <v>4</v>
      </c>
      <c r="C19">
        <v>0</v>
      </c>
      <c r="D19">
        <f t="shared" si="0"/>
        <v>24157</v>
      </c>
      <c r="E19">
        <f>IF(C19=0,ROUNDUP($AA$3*POWER(pogoda47[[#This Row],[temperatura_srednia]],1.5)*pogoda47[[#This Row],[stan_przed_dolaniem]],0),0)</f>
        <v>58</v>
      </c>
      <c r="F19">
        <f>pogoda47[[#This Row],[stan_przed_dolaniem]]-pogoda47[[#This Row],[ubytek]]</f>
        <v>24099</v>
      </c>
      <c r="G19">
        <f>IF(pogoda47[[#This Row],[opady]]*$AA$1+D19&gt;$AA$2,$AA$2-pogoda47[[#This Row],[stan_przed_dolaniem]],pogoda47[[#This Row],[opady]]*$AA$1)</f>
        <v>0</v>
      </c>
      <c r="H19">
        <f>pogoda47[[#This Row],[stan_po_ubytku]]+pogoda47[[#This Row],[ile_pogoda_dolała]]</f>
        <v>24099</v>
      </c>
      <c r="I19" cm="1">
        <f t="array" ref="I19">_xlfn.IFS(OR(pogoda47[[#This Row],[temperatura_srednia]]&lt;=15,pogoda47[[#This Row],[opady]]&gt;0.61),0,pogoda47[[#This Row],[temperatura_srednia]]&gt;30,24000,pogoda47[[#This Row],[temperatura_srednia]]&gt;15,12000)</f>
        <v>0</v>
      </c>
      <c r="J19">
        <f>IF(pogoda47[[#This Row],[stan_po_dolaniu]]&lt;pogoda47[[#This Row],[ile_podlewamy]],$AA$2-pogoda47[[#This Row],[stan_po_dolaniu]],0)</f>
        <v>0</v>
      </c>
      <c r="K19">
        <f>pogoda47[[#This Row],[stan_po_dolaniu]]+pogoda47[[#This Row],[ile_dolać_do_podlania]]</f>
        <v>24099</v>
      </c>
      <c r="L19">
        <f>pogoda47[[#This Row],[stan_po_dolaniu_do_podlania]]-pogoda47[[#This Row],[ile_podlewamy]]</f>
        <v>24099</v>
      </c>
    </row>
    <row r="20" spans="1:15" x14ac:dyDescent="0.25">
      <c r="A20" s="2">
        <v>42113</v>
      </c>
      <c r="B20">
        <v>7</v>
      </c>
      <c r="C20">
        <v>0</v>
      </c>
      <c r="D20">
        <f t="shared" si="0"/>
        <v>24099</v>
      </c>
      <c r="E20">
        <f>IF(C20=0,ROUNDUP($AA$3*POWER(pogoda47[[#This Row],[temperatura_srednia]],1.5)*pogoda47[[#This Row],[stan_przed_dolaniem]],0),0)</f>
        <v>134</v>
      </c>
      <c r="F20">
        <f>pogoda47[[#This Row],[stan_przed_dolaniem]]-pogoda47[[#This Row],[ubytek]]</f>
        <v>23965</v>
      </c>
      <c r="G20">
        <f>IF(pogoda47[[#This Row],[opady]]*$AA$1+D20&gt;$AA$2,$AA$2-pogoda47[[#This Row],[stan_przed_dolaniem]],pogoda47[[#This Row],[opady]]*$AA$1)</f>
        <v>0</v>
      </c>
      <c r="H20">
        <f>pogoda47[[#This Row],[stan_po_ubytku]]+pogoda47[[#This Row],[ile_pogoda_dolała]]</f>
        <v>23965</v>
      </c>
      <c r="I20" cm="1">
        <f t="array" ref="I20">_xlfn.IFS(OR(pogoda47[[#This Row],[temperatura_srednia]]&lt;=15,pogoda47[[#This Row],[opady]]&gt;0.61),0,pogoda47[[#This Row],[temperatura_srednia]]&gt;30,24000,pogoda47[[#This Row],[temperatura_srednia]]&gt;15,12000)</f>
        <v>0</v>
      </c>
      <c r="J20">
        <f>IF(pogoda47[[#This Row],[stan_po_dolaniu]]&lt;pogoda47[[#This Row],[ile_podlewamy]],$AA$2-pogoda47[[#This Row],[stan_po_dolaniu]],0)</f>
        <v>0</v>
      </c>
      <c r="K20">
        <f>pogoda47[[#This Row],[stan_po_dolaniu]]+pogoda47[[#This Row],[ile_dolać_do_podlania]]</f>
        <v>23965</v>
      </c>
      <c r="L20">
        <f>pogoda47[[#This Row],[stan_po_dolaniu_do_podlania]]-pogoda47[[#This Row],[ile_podlewamy]]</f>
        <v>23965</v>
      </c>
    </row>
    <row r="21" spans="1:15" x14ac:dyDescent="0.25">
      <c r="A21" s="2">
        <v>42114</v>
      </c>
      <c r="B21">
        <v>10</v>
      </c>
      <c r="C21">
        <v>1</v>
      </c>
      <c r="D21">
        <f t="shared" si="0"/>
        <v>23965</v>
      </c>
      <c r="E21">
        <f>IF(C21=0,ROUNDUP($AA$3*POWER(pogoda47[[#This Row],[temperatura_srednia]],1.5)*pogoda47[[#This Row],[stan_przed_dolaniem]],0),0)</f>
        <v>0</v>
      </c>
      <c r="F21">
        <f>pogoda47[[#This Row],[stan_przed_dolaniem]]-pogoda47[[#This Row],[ubytek]]</f>
        <v>23965</v>
      </c>
      <c r="G21">
        <f>IF(pogoda47[[#This Row],[opady]]*$AA$1+D21&gt;$AA$2,$AA$2-pogoda47[[#This Row],[stan_przed_dolaniem]],pogoda47[[#This Row],[opady]]*$AA$1)</f>
        <v>700</v>
      </c>
      <c r="H21">
        <f>pogoda47[[#This Row],[stan_po_ubytku]]+pogoda47[[#This Row],[ile_pogoda_dolała]]</f>
        <v>24665</v>
      </c>
      <c r="I21" cm="1">
        <f t="array" ref="I21">_xlfn.IFS(OR(pogoda47[[#This Row],[temperatura_srednia]]&lt;=15,pogoda47[[#This Row],[opady]]&gt;0.61),0,pogoda47[[#This Row],[temperatura_srednia]]&gt;30,24000,pogoda47[[#This Row],[temperatura_srednia]]&gt;15,12000)</f>
        <v>0</v>
      </c>
      <c r="J21">
        <f>IF(pogoda47[[#This Row],[stan_po_dolaniu]]&lt;pogoda47[[#This Row],[ile_podlewamy]],$AA$2-pogoda47[[#This Row],[stan_po_dolaniu]],0)</f>
        <v>0</v>
      </c>
      <c r="K21">
        <f>pogoda47[[#This Row],[stan_po_dolaniu]]+pogoda47[[#This Row],[ile_dolać_do_podlania]]</f>
        <v>24665</v>
      </c>
      <c r="L21">
        <f>pogoda47[[#This Row],[stan_po_dolaniu_do_podlania]]-pogoda47[[#This Row],[ile_podlewamy]]</f>
        <v>24665</v>
      </c>
    </row>
    <row r="22" spans="1:15" x14ac:dyDescent="0.25">
      <c r="A22" s="2">
        <v>42115</v>
      </c>
      <c r="B22">
        <v>11</v>
      </c>
      <c r="C22">
        <v>3.2</v>
      </c>
      <c r="D22">
        <f t="shared" si="0"/>
        <v>24665</v>
      </c>
      <c r="E22">
        <f>IF(C22=0,ROUNDUP($AA$3*POWER(pogoda47[[#This Row],[temperatura_srednia]],1.5)*pogoda47[[#This Row],[stan_przed_dolaniem]],0),0)</f>
        <v>0</v>
      </c>
      <c r="F22">
        <f>pogoda47[[#This Row],[stan_przed_dolaniem]]-pogoda47[[#This Row],[ubytek]]</f>
        <v>24665</v>
      </c>
      <c r="G22">
        <f>IF(pogoda47[[#This Row],[opady]]*$AA$1+D22&gt;$AA$2,$AA$2-pogoda47[[#This Row],[stan_przed_dolaniem]],pogoda47[[#This Row],[opady]]*$AA$1)</f>
        <v>335</v>
      </c>
      <c r="H22">
        <f>pogoda47[[#This Row],[stan_po_ubytku]]+pogoda47[[#This Row],[ile_pogoda_dolała]]</f>
        <v>25000</v>
      </c>
      <c r="I22" cm="1">
        <f t="array" ref="I22">_xlfn.IFS(OR(pogoda47[[#This Row],[temperatura_srednia]]&lt;=15,pogoda47[[#This Row],[opady]]&gt;0.61),0,pogoda47[[#This Row],[temperatura_srednia]]&gt;30,24000,pogoda47[[#This Row],[temperatura_srednia]]&gt;15,12000)</f>
        <v>0</v>
      </c>
      <c r="J22">
        <f>IF(pogoda47[[#This Row],[stan_po_dolaniu]]&lt;pogoda47[[#This Row],[ile_podlewamy]],$AA$2-pogoda47[[#This Row],[stan_po_dolaniu]],0)</f>
        <v>0</v>
      </c>
      <c r="K22">
        <f>pogoda47[[#This Row],[stan_po_dolaniu]]+pogoda47[[#This Row],[ile_dolać_do_podlania]]</f>
        <v>25000</v>
      </c>
      <c r="L22">
        <f>pogoda47[[#This Row],[stan_po_dolaniu_do_podlania]]-pogoda47[[#This Row],[ile_podlewamy]]</f>
        <v>25000</v>
      </c>
    </row>
    <row r="23" spans="1:15" x14ac:dyDescent="0.25">
      <c r="A23" s="2">
        <v>42116</v>
      </c>
      <c r="B23">
        <v>8</v>
      </c>
      <c r="C23">
        <v>2.2000000000000002</v>
      </c>
      <c r="D23">
        <f t="shared" si="0"/>
        <v>25000</v>
      </c>
      <c r="E23">
        <f>IF(C23=0,ROUNDUP($AA$3*POWER(pogoda47[[#This Row],[temperatura_srednia]],1.5)*pogoda47[[#This Row],[stan_przed_dolaniem]],0),0)</f>
        <v>0</v>
      </c>
      <c r="F23">
        <f>pogoda47[[#This Row],[stan_przed_dolaniem]]-pogoda47[[#This Row],[ubytek]]</f>
        <v>25000</v>
      </c>
      <c r="G23">
        <f>IF(pogoda47[[#This Row],[opady]]*$AA$1+D23&gt;$AA$2,$AA$2-pogoda47[[#This Row],[stan_przed_dolaniem]],pogoda47[[#This Row],[opady]]*$AA$1)</f>
        <v>0</v>
      </c>
      <c r="H23">
        <f>pogoda47[[#This Row],[stan_po_ubytku]]+pogoda47[[#This Row],[ile_pogoda_dolała]]</f>
        <v>25000</v>
      </c>
      <c r="I23" cm="1">
        <f t="array" ref="I23">_xlfn.IFS(OR(pogoda47[[#This Row],[temperatura_srednia]]&lt;=15,pogoda47[[#This Row],[opady]]&gt;0.61),0,pogoda47[[#This Row],[temperatura_srednia]]&gt;30,24000,pogoda47[[#This Row],[temperatura_srednia]]&gt;15,12000)</f>
        <v>0</v>
      </c>
      <c r="J23">
        <f>IF(pogoda47[[#This Row],[stan_po_dolaniu]]&lt;pogoda47[[#This Row],[ile_podlewamy]],$AA$2-pogoda47[[#This Row],[stan_po_dolaniu]],0)</f>
        <v>0</v>
      </c>
      <c r="K23">
        <f>pogoda47[[#This Row],[stan_po_dolaniu]]+pogoda47[[#This Row],[ile_dolać_do_podlania]]</f>
        <v>25000</v>
      </c>
      <c r="L23">
        <f>pogoda47[[#This Row],[stan_po_dolaniu_do_podlania]]-pogoda47[[#This Row],[ile_podlewamy]]</f>
        <v>25000</v>
      </c>
    </row>
    <row r="24" spans="1:15" x14ac:dyDescent="0.25">
      <c r="A24" s="2">
        <v>42117</v>
      </c>
      <c r="B24">
        <v>11</v>
      </c>
      <c r="C24">
        <v>1</v>
      </c>
      <c r="D24">
        <f t="shared" si="0"/>
        <v>25000</v>
      </c>
      <c r="E24">
        <f>IF(C24=0,ROUNDUP($AA$3*POWER(pogoda47[[#This Row],[temperatura_srednia]],1.5)*pogoda47[[#This Row],[stan_przed_dolaniem]],0),0)</f>
        <v>0</v>
      </c>
      <c r="F24">
        <f>pogoda47[[#This Row],[stan_przed_dolaniem]]-pogoda47[[#This Row],[ubytek]]</f>
        <v>25000</v>
      </c>
      <c r="G24">
        <f>IF(pogoda47[[#This Row],[opady]]*$AA$1+D24&gt;$AA$2,$AA$2-pogoda47[[#This Row],[stan_przed_dolaniem]],pogoda47[[#This Row],[opady]]*$AA$1)</f>
        <v>0</v>
      </c>
      <c r="H24">
        <f>pogoda47[[#This Row],[stan_po_ubytku]]+pogoda47[[#This Row],[ile_pogoda_dolała]]</f>
        <v>25000</v>
      </c>
      <c r="I24" cm="1">
        <f t="array" ref="I24">_xlfn.IFS(OR(pogoda47[[#This Row],[temperatura_srednia]]&lt;=15,pogoda47[[#This Row],[opady]]&gt;0.61),0,pogoda47[[#This Row],[temperatura_srednia]]&gt;30,24000,pogoda47[[#This Row],[temperatura_srednia]]&gt;15,12000)</f>
        <v>0</v>
      </c>
      <c r="J24">
        <f>IF(pogoda47[[#This Row],[stan_po_dolaniu]]&lt;pogoda47[[#This Row],[ile_podlewamy]],$AA$2-pogoda47[[#This Row],[stan_po_dolaniu]],0)</f>
        <v>0</v>
      </c>
      <c r="K24">
        <f>pogoda47[[#This Row],[stan_po_dolaniu]]+pogoda47[[#This Row],[ile_dolać_do_podlania]]</f>
        <v>25000</v>
      </c>
      <c r="L24">
        <f>pogoda47[[#This Row],[stan_po_dolaniu_do_podlania]]-pogoda47[[#This Row],[ile_podlewamy]]</f>
        <v>25000</v>
      </c>
    </row>
    <row r="25" spans="1:15" x14ac:dyDescent="0.25">
      <c r="A25" s="2">
        <v>42118</v>
      </c>
      <c r="B25">
        <v>12</v>
      </c>
      <c r="C25">
        <v>1</v>
      </c>
      <c r="D25">
        <f t="shared" si="0"/>
        <v>25000</v>
      </c>
      <c r="E25">
        <f>IF(C25=0,ROUNDUP($AA$3*POWER(pogoda47[[#This Row],[temperatura_srednia]],1.5)*pogoda47[[#This Row],[stan_przed_dolaniem]],0),0)</f>
        <v>0</v>
      </c>
      <c r="F25">
        <f>pogoda47[[#This Row],[stan_przed_dolaniem]]-pogoda47[[#This Row],[ubytek]]</f>
        <v>25000</v>
      </c>
      <c r="G25">
        <f>IF(pogoda47[[#This Row],[opady]]*$AA$1+D25&gt;$AA$2,$AA$2-pogoda47[[#This Row],[stan_przed_dolaniem]],pogoda47[[#This Row],[opady]]*$AA$1)</f>
        <v>0</v>
      </c>
      <c r="H25">
        <f>pogoda47[[#This Row],[stan_po_ubytku]]+pogoda47[[#This Row],[ile_pogoda_dolała]]</f>
        <v>25000</v>
      </c>
      <c r="I25" cm="1">
        <f t="array" ref="I25">_xlfn.IFS(OR(pogoda47[[#This Row],[temperatura_srednia]]&lt;=15,pogoda47[[#This Row],[opady]]&gt;0.61),0,pogoda47[[#This Row],[temperatura_srednia]]&gt;30,24000,pogoda47[[#This Row],[temperatura_srednia]]&gt;15,12000)</f>
        <v>0</v>
      </c>
      <c r="J25">
        <f>IF(pogoda47[[#This Row],[stan_po_dolaniu]]&lt;pogoda47[[#This Row],[ile_podlewamy]],$AA$2-pogoda47[[#This Row],[stan_po_dolaniu]],0)</f>
        <v>0</v>
      </c>
      <c r="K25">
        <f>pogoda47[[#This Row],[stan_po_dolaniu]]+pogoda47[[#This Row],[ile_dolać_do_podlania]]</f>
        <v>25000</v>
      </c>
      <c r="L25">
        <f>pogoda47[[#This Row],[stan_po_dolaniu_do_podlania]]-pogoda47[[#This Row],[ile_podlewamy]]</f>
        <v>25000</v>
      </c>
    </row>
    <row r="26" spans="1:15" x14ac:dyDescent="0.25">
      <c r="A26" s="2">
        <v>42119</v>
      </c>
      <c r="B26">
        <v>14</v>
      </c>
      <c r="C26">
        <v>1</v>
      </c>
      <c r="D26">
        <f t="shared" si="0"/>
        <v>25000</v>
      </c>
      <c r="E26">
        <f>IF(C26=0,ROUNDUP($AA$3*POWER(pogoda47[[#This Row],[temperatura_srednia]],1.5)*pogoda47[[#This Row],[stan_przed_dolaniem]],0),0)</f>
        <v>0</v>
      </c>
      <c r="F26">
        <f>pogoda47[[#This Row],[stan_przed_dolaniem]]-pogoda47[[#This Row],[ubytek]]</f>
        <v>25000</v>
      </c>
      <c r="G26">
        <f>IF(pogoda47[[#This Row],[opady]]*$AA$1+D26&gt;$AA$2,$AA$2-pogoda47[[#This Row],[stan_przed_dolaniem]],pogoda47[[#This Row],[opady]]*$AA$1)</f>
        <v>0</v>
      </c>
      <c r="H26">
        <f>pogoda47[[#This Row],[stan_po_ubytku]]+pogoda47[[#This Row],[ile_pogoda_dolała]]</f>
        <v>25000</v>
      </c>
      <c r="I26" cm="1">
        <f t="array" ref="I26">_xlfn.IFS(OR(pogoda47[[#This Row],[temperatura_srednia]]&lt;=15,pogoda47[[#This Row],[opady]]&gt;0.61),0,pogoda47[[#This Row],[temperatura_srednia]]&gt;30,24000,pogoda47[[#This Row],[temperatura_srednia]]&gt;15,12000)</f>
        <v>0</v>
      </c>
      <c r="J26">
        <f>IF(pogoda47[[#This Row],[stan_po_dolaniu]]&lt;pogoda47[[#This Row],[ile_podlewamy]],$AA$2-pogoda47[[#This Row],[stan_po_dolaniu]],0)</f>
        <v>0</v>
      </c>
      <c r="K26">
        <f>pogoda47[[#This Row],[stan_po_dolaniu]]+pogoda47[[#This Row],[ile_dolać_do_podlania]]</f>
        <v>25000</v>
      </c>
      <c r="L26">
        <f>pogoda47[[#This Row],[stan_po_dolaniu_do_podlania]]-pogoda47[[#This Row],[ile_podlewamy]]</f>
        <v>25000</v>
      </c>
    </row>
    <row r="27" spans="1:15" x14ac:dyDescent="0.25">
      <c r="A27" s="2">
        <v>42120</v>
      </c>
      <c r="B27">
        <v>16</v>
      </c>
      <c r="C27">
        <v>0</v>
      </c>
      <c r="D27">
        <f t="shared" si="0"/>
        <v>25000</v>
      </c>
      <c r="E27">
        <f>IF(C27=0,ROUNDUP($AA$3*POWER(pogoda47[[#This Row],[temperatura_srednia]],1.5)*pogoda47[[#This Row],[stan_przed_dolaniem]],0),0)</f>
        <v>480</v>
      </c>
      <c r="F27">
        <f>pogoda47[[#This Row],[stan_przed_dolaniem]]-pogoda47[[#This Row],[ubytek]]</f>
        <v>24520</v>
      </c>
      <c r="G27">
        <f>IF(pogoda47[[#This Row],[opady]]*$AA$1+D27&gt;$AA$2,$AA$2-pogoda47[[#This Row],[stan_przed_dolaniem]],pogoda47[[#This Row],[opady]]*$AA$1)</f>
        <v>0</v>
      </c>
      <c r="H27">
        <f>pogoda47[[#This Row],[stan_po_ubytku]]+pogoda47[[#This Row],[ile_pogoda_dolała]]</f>
        <v>24520</v>
      </c>
      <c r="I27" cm="1">
        <f t="array" ref="I27">_xlfn.IFS(OR(pogoda47[[#This Row],[temperatura_srednia]]&lt;=15,pogoda47[[#This Row],[opady]]&gt;0.61),0,pogoda47[[#This Row],[temperatura_srednia]]&gt;30,24000,pogoda47[[#This Row],[temperatura_srednia]]&gt;15,12000)</f>
        <v>12000</v>
      </c>
      <c r="J27">
        <f>IF(pogoda47[[#This Row],[stan_po_dolaniu]]&lt;pogoda47[[#This Row],[ile_podlewamy]],$AA$2-pogoda47[[#This Row],[stan_po_dolaniu]],0)</f>
        <v>0</v>
      </c>
      <c r="K27">
        <f>pogoda47[[#This Row],[stan_po_dolaniu]]+pogoda47[[#This Row],[ile_dolać_do_podlania]]</f>
        <v>24520</v>
      </c>
      <c r="L27">
        <f>pogoda47[[#This Row],[stan_po_dolaniu_do_podlania]]-pogoda47[[#This Row],[ile_podlewamy]]</f>
        <v>12520</v>
      </c>
    </row>
    <row r="28" spans="1:15" x14ac:dyDescent="0.25">
      <c r="A28" s="2">
        <v>42121</v>
      </c>
      <c r="B28">
        <v>16</v>
      </c>
      <c r="C28">
        <v>1</v>
      </c>
      <c r="D28">
        <f t="shared" si="0"/>
        <v>12520</v>
      </c>
      <c r="E28">
        <f>IF(C28=0,ROUNDUP($AA$3*POWER(pogoda47[[#This Row],[temperatura_srednia]],1.5)*pogoda47[[#This Row],[stan_przed_dolaniem]],0),0)</f>
        <v>0</v>
      </c>
      <c r="F28">
        <f>pogoda47[[#This Row],[stan_przed_dolaniem]]-pogoda47[[#This Row],[ubytek]]</f>
        <v>12520</v>
      </c>
      <c r="G28">
        <f>IF(pogoda47[[#This Row],[opady]]*$AA$1+D28&gt;$AA$2,$AA$2-pogoda47[[#This Row],[stan_przed_dolaniem]],pogoda47[[#This Row],[opady]]*$AA$1)</f>
        <v>700</v>
      </c>
      <c r="H28">
        <f>pogoda47[[#This Row],[stan_po_ubytku]]+pogoda47[[#This Row],[ile_pogoda_dolała]]</f>
        <v>13220</v>
      </c>
      <c r="I28" cm="1">
        <f t="array" ref="I28">_xlfn.IFS(OR(pogoda47[[#This Row],[temperatura_srednia]]&lt;=15,pogoda47[[#This Row],[opady]]&gt;0.61),0,pogoda47[[#This Row],[temperatura_srednia]]&gt;30,24000,pogoda47[[#This Row],[temperatura_srednia]]&gt;15,12000)</f>
        <v>0</v>
      </c>
      <c r="J28">
        <f>IF(pogoda47[[#This Row],[stan_po_dolaniu]]&lt;pogoda47[[#This Row],[ile_podlewamy]],$AA$2-pogoda47[[#This Row],[stan_po_dolaniu]],0)</f>
        <v>0</v>
      </c>
      <c r="K28">
        <f>pogoda47[[#This Row],[stan_po_dolaniu]]+pogoda47[[#This Row],[ile_dolać_do_podlania]]</f>
        <v>13220</v>
      </c>
      <c r="L28">
        <f>pogoda47[[#This Row],[stan_po_dolaniu_do_podlania]]-pogoda47[[#This Row],[ile_podlewamy]]</f>
        <v>13220</v>
      </c>
    </row>
    <row r="29" spans="1:15" x14ac:dyDescent="0.25">
      <c r="A29" s="2">
        <v>42122</v>
      </c>
      <c r="B29">
        <v>6</v>
      </c>
      <c r="C29">
        <v>2</v>
      </c>
      <c r="D29">
        <f t="shared" si="0"/>
        <v>13220</v>
      </c>
      <c r="E29">
        <f>IF(C29=0,ROUNDUP($AA$3*POWER(pogoda47[[#This Row],[temperatura_srednia]],1.5)*pogoda47[[#This Row],[stan_przed_dolaniem]],0),0)</f>
        <v>0</v>
      </c>
      <c r="F29">
        <f>pogoda47[[#This Row],[stan_przed_dolaniem]]-pogoda47[[#This Row],[ubytek]]</f>
        <v>13220</v>
      </c>
      <c r="G29">
        <f>IF(pogoda47[[#This Row],[opady]]*$AA$1+D29&gt;$AA$2,$AA$2-pogoda47[[#This Row],[stan_przed_dolaniem]],pogoda47[[#This Row],[opady]]*$AA$1)</f>
        <v>1400</v>
      </c>
      <c r="H29">
        <f>pogoda47[[#This Row],[stan_po_ubytku]]+pogoda47[[#This Row],[ile_pogoda_dolała]]</f>
        <v>14620</v>
      </c>
      <c r="I29" cm="1">
        <f t="array" ref="I29">_xlfn.IFS(OR(pogoda47[[#This Row],[temperatura_srednia]]&lt;=15,pogoda47[[#This Row],[opady]]&gt;0.61),0,pogoda47[[#This Row],[temperatura_srednia]]&gt;30,24000,pogoda47[[#This Row],[temperatura_srednia]]&gt;15,12000)</f>
        <v>0</v>
      </c>
      <c r="J29">
        <f>IF(pogoda47[[#This Row],[stan_po_dolaniu]]&lt;pogoda47[[#This Row],[ile_podlewamy]],$AA$2-pogoda47[[#This Row],[stan_po_dolaniu]],0)</f>
        <v>0</v>
      </c>
      <c r="K29">
        <f>pogoda47[[#This Row],[stan_po_dolaniu]]+pogoda47[[#This Row],[ile_dolać_do_podlania]]</f>
        <v>14620</v>
      </c>
      <c r="L29">
        <f>pogoda47[[#This Row],[stan_po_dolaniu_do_podlania]]-pogoda47[[#This Row],[ile_podlewamy]]</f>
        <v>14620</v>
      </c>
    </row>
    <row r="30" spans="1:15" x14ac:dyDescent="0.25">
      <c r="A30" s="2">
        <v>42123</v>
      </c>
      <c r="B30">
        <v>7</v>
      </c>
      <c r="C30">
        <v>0</v>
      </c>
      <c r="D30">
        <f t="shared" si="0"/>
        <v>14620</v>
      </c>
      <c r="E30">
        <f>IF(C30=0,ROUNDUP($AA$3*POWER(pogoda47[[#This Row],[temperatura_srednia]],1.5)*pogoda47[[#This Row],[stan_przed_dolaniem]],0),0)</f>
        <v>82</v>
      </c>
      <c r="F30">
        <f>pogoda47[[#This Row],[stan_przed_dolaniem]]-pogoda47[[#This Row],[ubytek]]</f>
        <v>14538</v>
      </c>
      <c r="G30">
        <f>IF(pogoda47[[#This Row],[opady]]*$AA$1+D30&gt;$AA$2,$AA$2-pogoda47[[#This Row],[stan_przed_dolaniem]],pogoda47[[#This Row],[opady]]*$AA$1)</f>
        <v>0</v>
      </c>
      <c r="H30">
        <f>pogoda47[[#This Row],[stan_po_ubytku]]+pogoda47[[#This Row],[ile_pogoda_dolała]]</f>
        <v>14538</v>
      </c>
      <c r="I30" cm="1">
        <f t="array" ref="I30">_xlfn.IFS(OR(pogoda47[[#This Row],[temperatura_srednia]]&lt;=15,pogoda47[[#This Row],[opady]]&gt;0.61),0,pogoda47[[#This Row],[temperatura_srednia]]&gt;30,24000,pogoda47[[#This Row],[temperatura_srednia]]&gt;15,12000)</f>
        <v>0</v>
      </c>
      <c r="J30">
        <f>IF(pogoda47[[#This Row],[stan_po_dolaniu]]&lt;pogoda47[[#This Row],[ile_podlewamy]],$AA$2-pogoda47[[#This Row],[stan_po_dolaniu]],0)</f>
        <v>0</v>
      </c>
      <c r="K30">
        <f>pogoda47[[#This Row],[stan_po_dolaniu]]+pogoda47[[#This Row],[ile_dolać_do_podlania]]</f>
        <v>14538</v>
      </c>
      <c r="L30">
        <f>pogoda47[[#This Row],[stan_po_dolaniu_do_podlania]]-pogoda47[[#This Row],[ile_podlewamy]]</f>
        <v>14538</v>
      </c>
    </row>
    <row r="31" spans="1:15" x14ac:dyDescent="0.25">
      <c r="A31" s="2">
        <v>42124</v>
      </c>
      <c r="B31">
        <v>10</v>
      </c>
      <c r="C31">
        <v>0</v>
      </c>
      <c r="D31">
        <f t="shared" si="0"/>
        <v>14538</v>
      </c>
      <c r="E31">
        <f>IF(C31=0,ROUNDUP($AA$3*POWER(pogoda47[[#This Row],[temperatura_srednia]],1.5)*pogoda47[[#This Row],[stan_przed_dolaniem]],0),0)</f>
        <v>138</v>
      </c>
      <c r="F31">
        <f>pogoda47[[#This Row],[stan_przed_dolaniem]]-pogoda47[[#This Row],[ubytek]]</f>
        <v>14400</v>
      </c>
      <c r="G31">
        <f>IF(pogoda47[[#This Row],[opady]]*$AA$1+D31&gt;$AA$2,$AA$2-pogoda47[[#This Row],[stan_przed_dolaniem]],pogoda47[[#This Row],[opady]]*$AA$1)</f>
        <v>0</v>
      </c>
      <c r="H31">
        <f>pogoda47[[#This Row],[stan_po_ubytku]]+pogoda47[[#This Row],[ile_pogoda_dolała]]</f>
        <v>14400</v>
      </c>
      <c r="I31" cm="1">
        <f t="array" ref="I31">_xlfn.IFS(OR(pogoda47[[#This Row],[temperatura_srednia]]&lt;=15,pogoda47[[#This Row],[opady]]&gt;0.61),0,pogoda47[[#This Row],[temperatura_srednia]]&gt;30,24000,pogoda47[[#This Row],[temperatura_srednia]]&gt;15,12000)</f>
        <v>0</v>
      </c>
      <c r="J31">
        <f>IF(pogoda47[[#This Row],[stan_po_dolaniu]]&lt;pogoda47[[#This Row],[ile_podlewamy]],$AA$2-pogoda47[[#This Row],[stan_po_dolaniu]],0)</f>
        <v>0</v>
      </c>
      <c r="K31">
        <f>pogoda47[[#This Row],[stan_po_dolaniu]]+pogoda47[[#This Row],[ile_dolać_do_podlania]]</f>
        <v>14400</v>
      </c>
      <c r="L31">
        <f>pogoda47[[#This Row],[stan_po_dolaniu_do_podlania]]-pogoda47[[#This Row],[ile_podlewamy]]</f>
        <v>14400</v>
      </c>
    </row>
    <row r="32" spans="1:15" x14ac:dyDescent="0.25">
      <c r="A32" s="2">
        <v>42125</v>
      </c>
      <c r="B32">
        <v>10</v>
      </c>
      <c r="C32">
        <v>4</v>
      </c>
      <c r="D32">
        <f t="shared" si="0"/>
        <v>14400</v>
      </c>
      <c r="E32">
        <f>IF(C32=0,ROUNDUP($AA$3*POWER(pogoda47[[#This Row],[temperatura_srednia]],1.5)*pogoda47[[#This Row],[stan_przed_dolaniem]],0),0)</f>
        <v>0</v>
      </c>
      <c r="F32">
        <f>pogoda47[[#This Row],[stan_przed_dolaniem]]-pogoda47[[#This Row],[ubytek]]</f>
        <v>14400</v>
      </c>
      <c r="G32">
        <f>IF(pogoda47[[#This Row],[opady]]*$AA$1+D32&gt;$AA$2,$AA$2-pogoda47[[#This Row],[stan_przed_dolaniem]],pogoda47[[#This Row],[opady]]*$AA$1)</f>
        <v>2800</v>
      </c>
      <c r="H32">
        <f>pogoda47[[#This Row],[stan_po_ubytku]]+pogoda47[[#This Row],[ile_pogoda_dolała]]</f>
        <v>17200</v>
      </c>
      <c r="I32" cm="1">
        <f t="array" ref="I32">_xlfn.IFS(OR(pogoda47[[#This Row],[temperatura_srednia]]&lt;=15,pogoda47[[#This Row],[opady]]&gt;0.61),0,pogoda47[[#This Row],[temperatura_srednia]]&gt;30,24000,pogoda47[[#This Row],[temperatura_srednia]]&gt;15,12000)</f>
        <v>0</v>
      </c>
      <c r="J32">
        <f>IF(pogoda47[[#This Row],[stan_po_dolaniu]]&lt;pogoda47[[#This Row],[ile_podlewamy]],$AA$2-pogoda47[[#This Row],[stan_po_dolaniu]],0)</f>
        <v>0</v>
      </c>
      <c r="K32">
        <f>pogoda47[[#This Row],[stan_po_dolaniu]]+pogoda47[[#This Row],[ile_dolać_do_podlania]]</f>
        <v>17200</v>
      </c>
      <c r="L32">
        <f>pogoda47[[#This Row],[stan_po_dolaniu_do_podlania]]-pogoda47[[#This Row],[ile_podlewamy]]</f>
        <v>17200</v>
      </c>
    </row>
    <row r="33" spans="1:12" x14ac:dyDescent="0.25">
      <c r="A33" s="2">
        <v>42126</v>
      </c>
      <c r="B33">
        <v>7</v>
      </c>
      <c r="C33">
        <v>5</v>
      </c>
      <c r="D33">
        <f t="shared" si="0"/>
        <v>17200</v>
      </c>
      <c r="E33">
        <f>IF(C33=0,ROUNDUP($AA$3*POWER(pogoda47[[#This Row],[temperatura_srednia]],1.5)*pogoda47[[#This Row],[stan_przed_dolaniem]],0),0)</f>
        <v>0</v>
      </c>
      <c r="F33">
        <f>pogoda47[[#This Row],[stan_przed_dolaniem]]-pogoda47[[#This Row],[ubytek]]</f>
        <v>17200</v>
      </c>
      <c r="G33">
        <f>IF(pogoda47[[#This Row],[opady]]*$AA$1+D33&gt;$AA$2,$AA$2-pogoda47[[#This Row],[stan_przed_dolaniem]],pogoda47[[#This Row],[opady]]*$AA$1)</f>
        <v>3500</v>
      </c>
      <c r="H33">
        <f>pogoda47[[#This Row],[stan_po_ubytku]]+pogoda47[[#This Row],[ile_pogoda_dolała]]</f>
        <v>20700</v>
      </c>
      <c r="I33" cm="1">
        <f t="array" ref="I33">_xlfn.IFS(OR(pogoda47[[#This Row],[temperatura_srednia]]&lt;=15,pogoda47[[#This Row],[opady]]&gt;0.61),0,pogoda47[[#This Row],[temperatura_srednia]]&gt;30,24000,pogoda47[[#This Row],[temperatura_srednia]]&gt;15,12000)</f>
        <v>0</v>
      </c>
      <c r="J33">
        <f>IF(pogoda47[[#This Row],[stan_po_dolaniu]]&lt;pogoda47[[#This Row],[ile_podlewamy]],$AA$2-pogoda47[[#This Row],[stan_po_dolaniu]],0)</f>
        <v>0</v>
      </c>
      <c r="K33">
        <f>pogoda47[[#This Row],[stan_po_dolaniu]]+pogoda47[[#This Row],[ile_dolać_do_podlania]]</f>
        <v>20700</v>
      </c>
      <c r="L33">
        <f>pogoda47[[#This Row],[stan_po_dolaniu_do_podlania]]-pogoda47[[#This Row],[ile_podlewamy]]</f>
        <v>20700</v>
      </c>
    </row>
    <row r="34" spans="1:12" x14ac:dyDescent="0.25">
      <c r="A34" s="2">
        <v>42127</v>
      </c>
      <c r="B34">
        <v>9</v>
      </c>
      <c r="C34">
        <v>4</v>
      </c>
      <c r="D34">
        <f t="shared" si="0"/>
        <v>20700</v>
      </c>
      <c r="E34">
        <f>IF(C34=0,ROUNDUP($AA$3*POWER(pogoda47[[#This Row],[temperatura_srednia]],1.5)*pogoda47[[#This Row],[stan_przed_dolaniem]],0),0)</f>
        <v>0</v>
      </c>
      <c r="F34">
        <f>pogoda47[[#This Row],[stan_przed_dolaniem]]-pogoda47[[#This Row],[ubytek]]</f>
        <v>20700</v>
      </c>
      <c r="G34">
        <f>IF(pogoda47[[#This Row],[opady]]*$AA$1+D34&gt;$AA$2,$AA$2-pogoda47[[#This Row],[stan_przed_dolaniem]],pogoda47[[#This Row],[opady]]*$AA$1)</f>
        <v>2800</v>
      </c>
      <c r="H34">
        <f>pogoda47[[#This Row],[stan_po_ubytku]]+pogoda47[[#This Row],[ile_pogoda_dolała]]</f>
        <v>23500</v>
      </c>
      <c r="I34" cm="1">
        <f t="array" ref="I34">_xlfn.IFS(OR(pogoda47[[#This Row],[temperatura_srednia]]&lt;=15,pogoda47[[#This Row],[opady]]&gt;0.61),0,pogoda47[[#This Row],[temperatura_srednia]]&gt;30,24000,pogoda47[[#This Row],[temperatura_srednia]]&gt;15,12000)</f>
        <v>0</v>
      </c>
      <c r="J34">
        <f>IF(pogoda47[[#This Row],[stan_po_dolaniu]]&lt;pogoda47[[#This Row],[ile_podlewamy]],$AA$2-pogoda47[[#This Row],[stan_po_dolaniu]],0)</f>
        <v>0</v>
      </c>
      <c r="K34">
        <f>pogoda47[[#This Row],[stan_po_dolaniu]]+pogoda47[[#This Row],[ile_dolać_do_podlania]]</f>
        <v>23500</v>
      </c>
      <c r="L34">
        <f>pogoda47[[#This Row],[stan_po_dolaniu_do_podlania]]-pogoda47[[#This Row],[ile_podlewamy]]</f>
        <v>23500</v>
      </c>
    </row>
    <row r="35" spans="1:12" x14ac:dyDescent="0.25">
      <c r="A35" s="2">
        <v>42128</v>
      </c>
      <c r="B35">
        <v>15</v>
      </c>
      <c r="C35">
        <v>0.4</v>
      </c>
      <c r="D35">
        <f t="shared" si="0"/>
        <v>23500</v>
      </c>
      <c r="E35">
        <f>IF(C35=0,ROUNDUP($AA$3*POWER(pogoda47[[#This Row],[temperatura_srednia]],1.5)*pogoda47[[#This Row],[stan_przed_dolaniem]],0),0)</f>
        <v>0</v>
      </c>
      <c r="F35">
        <f>pogoda47[[#This Row],[stan_przed_dolaniem]]-pogoda47[[#This Row],[ubytek]]</f>
        <v>23500</v>
      </c>
      <c r="G35">
        <f>IF(pogoda47[[#This Row],[opady]]*$AA$1+D35&gt;$AA$2,$AA$2-pogoda47[[#This Row],[stan_przed_dolaniem]],pogoda47[[#This Row],[opady]]*$AA$1)</f>
        <v>280</v>
      </c>
      <c r="H35">
        <f>pogoda47[[#This Row],[stan_po_ubytku]]+pogoda47[[#This Row],[ile_pogoda_dolała]]</f>
        <v>23780</v>
      </c>
      <c r="I35" cm="1">
        <f t="array" ref="I35">_xlfn.IFS(OR(pogoda47[[#This Row],[temperatura_srednia]]&lt;=15,pogoda47[[#This Row],[opady]]&gt;0.61),0,pogoda47[[#This Row],[temperatura_srednia]]&gt;30,24000,pogoda47[[#This Row],[temperatura_srednia]]&gt;15,12000)</f>
        <v>0</v>
      </c>
      <c r="J35">
        <f>IF(pogoda47[[#This Row],[stan_po_dolaniu]]&lt;pogoda47[[#This Row],[ile_podlewamy]],$AA$2-pogoda47[[#This Row],[stan_po_dolaniu]],0)</f>
        <v>0</v>
      </c>
      <c r="K35">
        <f>pogoda47[[#This Row],[stan_po_dolaniu]]+pogoda47[[#This Row],[ile_dolać_do_podlania]]</f>
        <v>23780</v>
      </c>
      <c r="L35">
        <f>pogoda47[[#This Row],[stan_po_dolaniu_do_podlania]]-pogoda47[[#This Row],[ile_podlewamy]]</f>
        <v>23780</v>
      </c>
    </row>
    <row r="36" spans="1:12" x14ac:dyDescent="0.25">
      <c r="A36" s="2">
        <v>42129</v>
      </c>
      <c r="B36">
        <v>18</v>
      </c>
      <c r="C36">
        <v>0.4</v>
      </c>
      <c r="D36">
        <f t="shared" si="0"/>
        <v>23780</v>
      </c>
      <c r="E36">
        <f>IF(C36=0,ROUNDUP($AA$3*POWER(pogoda47[[#This Row],[temperatura_srednia]],1.5)*pogoda47[[#This Row],[stan_przed_dolaniem]],0),0)</f>
        <v>0</v>
      </c>
      <c r="F36">
        <f>pogoda47[[#This Row],[stan_przed_dolaniem]]-pogoda47[[#This Row],[ubytek]]</f>
        <v>23780</v>
      </c>
      <c r="G36">
        <f>IF(pogoda47[[#This Row],[opady]]*$AA$1+D36&gt;$AA$2,$AA$2-pogoda47[[#This Row],[stan_przed_dolaniem]],pogoda47[[#This Row],[opady]]*$AA$1)</f>
        <v>280</v>
      </c>
      <c r="H36">
        <f>pogoda47[[#This Row],[stan_po_ubytku]]+pogoda47[[#This Row],[ile_pogoda_dolała]]</f>
        <v>24060</v>
      </c>
      <c r="I36" cm="1">
        <f t="array" ref="I36">_xlfn.IFS(OR(pogoda47[[#This Row],[temperatura_srednia]]&lt;=15,pogoda47[[#This Row],[opady]]&gt;0.61),0,pogoda47[[#This Row],[temperatura_srednia]]&gt;30,24000,pogoda47[[#This Row],[temperatura_srednia]]&gt;15,12000)</f>
        <v>12000</v>
      </c>
      <c r="J36">
        <f>IF(pogoda47[[#This Row],[stan_po_dolaniu]]&lt;pogoda47[[#This Row],[ile_podlewamy]],$AA$2-pogoda47[[#This Row],[stan_po_dolaniu]],0)</f>
        <v>0</v>
      </c>
      <c r="K36">
        <f>pogoda47[[#This Row],[stan_po_dolaniu]]+pogoda47[[#This Row],[ile_dolać_do_podlania]]</f>
        <v>24060</v>
      </c>
      <c r="L36">
        <f>pogoda47[[#This Row],[stan_po_dolaniu_do_podlania]]-pogoda47[[#This Row],[ile_podlewamy]]</f>
        <v>12060</v>
      </c>
    </row>
    <row r="37" spans="1:12" x14ac:dyDescent="0.25">
      <c r="A37" s="2">
        <v>42130</v>
      </c>
      <c r="B37">
        <v>16</v>
      </c>
      <c r="C37">
        <v>0</v>
      </c>
      <c r="D37">
        <f t="shared" si="0"/>
        <v>12060</v>
      </c>
      <c r="E37">
        <f>IF(C37=0,ROUNDUP($AA$3*POWER(pogoda47[[#This Row],[temperatura_srednia]],1.5)*pogoda47[[#This Row],[stan_przed_dolaniem]],0),0)</f>
        <v>232</v>
      </c>
      <c r="F37">
        <f>pogoda47[[#This Row],[stan_przed_dolaniem]]-pogoda47[[#This Row],[ubytek]]</f>
        <v>11828</v>
      </c>
      <c r="G37">
        <f>IF(pogoda47[[#This Row],[opady]]*$AA$1+D37&gt;$AA$2,$AA$2-pogoda47[[#This Row],[stan_przed_dolaniem]],pogoda47[[#This Row],[opady]]*$AA$1)</f>
        <v>0</v>
      </c>
      <c r="H37">
        <f>pogoda47[[#This Row],[stan_po_ubytku]]+pogoda47[[#This Row],[ile_pogoda_dolała]]</f>
        <v>11828</v>
      </c>
      <c r="I37" cm="1">
        <f t="array" ref="I37">_xlfn.IFS(OR(pogoda47[[#This Row],[temperatura_srednia]]&lt;=15,pogoda47[[#This Row],[opady]]&gt;0.61),0,pogoda47[[#This Row],[temperatura_srednia]]&gt;30,24000,pogoda47[[#This Row],[temperatura_srednia]]&gt;15,12000)</f>
        <v>12000</v>
      </c>
      <c r="J37">
        <f>IF(pogoda47[[#This Row],[stan_po_dolaniu]]&lt;pogoda47[[#This Row],[ile_podlewamy]],$AA$2-pogoda47[[#This Row],[stan_po_dolaniu]],0)</f>
        <v>13172</v>
      </c>
      <c r="K37">
        <f>pogoda47[[#This Row],[stan_po_dolaniu]]+pogoda47[[#This Row],[ile_dolać_do_podlania]]</f>
        <v>25000</v>
      </c>
      <c r="L37">
        <f>pogoda47[[#This Row],[stan_po_dolaniu_do_podlania]]-pogoda47[[#This Row],[ile_podlewamy]]</f>
        <v>13000</v>
      </c>
    </row>
    <row r="38" spans="1:12" x14ac:dyDescent="0.25">
      <c r="A38" s="2">
        <v>42131</v>
      </c>
      <c r="B38">
        <v>14</v>
      </c>
      <c r="C38">
        <v>0</v>
      </c>
      <c r="D38">
        <f t="shared" si="0"/>
        <v>13000</v>
      </c>
      <c r="E38">
        <f>IF(C38=0,ROUNDUP($AA$3*POWER(pogoda47[[#This Row],[temperatura_srednia]],1.5)*pogoda47[[#This Row],[stan_przed_dolaniem]],0),0)</f>
        <v>205</v>
      </c>
      <c r="F38">
        <f>pogoda47[[#This Row],[stan_przed_dolaniem]]-pogoda47[[#This Row],[ubytek]]</f>
        <v>12795</v>
      </c>
      <c r="G38">
        <f>IF(pogoda47[[#This Row],[opady]]*$AA$1+D38&gt;$AA$2,$AA$2-pogoda47[[#This Row],[stan_przed_dolaniem]],pogoda47[[#This Row],[opady]]*$AA$1)</f>
        <v>0</v>
      </c>
      <c r="H38">
        <f>pogoda47[[#This Row],[stan_po_ubytku]]+pogoda47[[#This Row],[ile_pogoda_dolała]]</f>
        <v>12795</v>
      </c>
      <c r="I38" cm="1">
        <f t="array" ref="I38">_xlfn.IFS(OR(pogoda47[[#This Row],[temperatura_srednia]]&lt;=15,pogoda47[[#This Row],[opady]]&gt;0.61),0,pogoda47[[#This Row],[temperatura_srednia]]&gt;30,24000,pogoda47[[#This Row],[temperatura_srednia]]&gt;15,12000)</f>
        <v>0</v>
      </c>
      <c r="J38">
        <f>IF(pogoda47[[#This Row],[stan_po_dolaniu]]&lt;pogoda47[[#This Row],[ile_podlewamy]],$AA$2-pogoda47[[#This Row],[stan_po_dolaniu]],0)</f>
        <v>0</v>
      </c>
      <c r="K38">
        <f>pogoda47[[#This Row],[stan_po_dolaniu]]+pogoda47[[#This Row],[ile_dolać_do_podlania]]</f>
        <v>12795</v>
      </c>
      <c r="L38">
        <f>pogoda47[[#This Row],[stan_po_dolaniu_do_podlania]]-pogoda47[[#This Row],[ile_podlewamy]]</f>
        <v>12795</v>
      </c>
    </row>
    <row r="39" spans="1:12" x14ac:dyDescent="0.25">
      <c r="A39" s="2">
        <v>42132</v>
      </c>
      <c r="B39">
        <v>10</v>
      </c>
      <c r="C39">
        <v>0</v>
      </c>
      <c r="D39">
        <f t="shared" si="0"/>
        <v>12795</v>
      </c>
      <c r="E39">
        <f>IF(C39=0,ROUNDUP($AA$3*POWER(pogoda47[[#This Row],[temperatura_srednia]],1.5)*pogoda47[[#This Row],[stan_przed_dolaniem]],0),0)</f>
        <v>122</v>
      </c>
      <c r="F39">
        <f>pogoda47[[#This Row],[stan_przed_dolaniem]]-pogoda47[[#This Row],[ubytek]]</f>
        <v>12673</v>
      </c>
      <c r="G39">
        <f>IF(pogoda47[[#This Row],[opady]]*$AA$1+D39&gt;$AA$2,$AA$2-pogoda47[[#This Row],[stan_przed_dolaniem]],pogoda47[[#This Row],[opady]]*$AA$1)</f>
        <v>0</v>
      </c>
      <c r="H39">
        <f>pogoda47[[#This Row],[stan_po_ubytku]]+pogoda47[[#This Row],[ile_pogoda_dolała]]</f>
        <v>12673</v>
      </c>
      <c r="I39" cm="1">
        <f t="array" ref="I39">_xlfn.IFS(OR(pogoda47[[#This Row],[temperatura_srednia]]&lt;=15,pogoda47[[#This Row],[opady]]&gt;0.61),0,pogoda47[[#This Row],[temperatura_srednia]]&gt;30,24000,pogoda47[[#This Row],[temperatura_srednia]]&gt;15,12000)</f>
        <v>0</v>
      </c>
      <c r="J39">
        <f>IF(pogoda47[[#This Row],[stan_po_dolaniu]]&lt;pogoda47[[#This Row],[ile_podlewamy]],$AA$2-pogoda47[[#This Row],[stan_po_dolaniu]],0)</f>
        <v>0</v>
      </c>
      <c r="K39">
        <f>pogoda47[[#This Row],[stan_po_dolaniu]]+pogoda47[[#This Row],[ile_dolać_do_podlania]]</f>
        <v>12673</v>
      </c>
      <c r="L39">
        <f>pogoda47[[#This Row],[stan_po_dolaniu_do_podlania]]-pogoda47[[#This Row],[ile_podlewamy]]</f>
        <v>12673</v>
      </c>
    </row>
    <row r="40" spans="1:12" x14ac:dyDescent="0.25">
      <c r="A40" s="2">
        <v>42133</v>
      </c>
      <c r="B40">
        <v>14</v>
      </c>
      <c r="C40">
        <v>0.3</v>
      </c>
      <c r="D40">
        <f t="shared" si="0"/>
        <v>12673</v>
      </c>
      <c r="E40">
        <f>IF(C40=0,ROUNDUP($AA$3*POWER(pogoda47[[#This Row],[temperatura_srednia]],1.5)*pogoda47[[#This Row],[stan_przed_dolaniem]],0),0)</f>
        <v>0</v>
      </c>
      <c r="F40">
        <f>pogoda47[[#This Row],[stan_przed_dolaniem]]-pogoda47[[#This Row],[ubytek]]</f>
        <v>12673</v>
      </c>
      <c r="G40">
        <f>IF(pogoda47[[#This Row],[opady]]*$AA$1+D40&gt;$AA$2,$AA$2-pogoda47[[#This Row],[stan_przed_dolaniem]],pogoda47[[#This Row],[opady]]*$AA$1)</f>
        <v>210</v>
      </c>
      <c r="H40">
        <f>pogoda47[[#This Row],[stan_po_ubytku]]+pogoda47[[#This Row],[ile_pogoda_dolała]]</f>
        <v>12883</v>
      </c>
      <c r="I40" cm="1">
        <f t="array" ref="I40">_xlfn.IFS(OR(pogoda47[[#This Row],[temperatura_srednia]]&lt;=15,pogoda47[[#This Row],[opady]]&gt;0.61),0,pogoda47[[#This Row],[temperatura_srednia]]&gt;30,24000,pogoda47[[#This Row],[temperatura_srednia]]&gt;15,12000)</f>
        <v>0</v>
      </c>
      <c r="J40">
        <f>IF(pogoda47[[#This Row],[stan_po_dolaniu]]&lt;pogoda47[[#This Row],[ile_podlewamy]],$AA$2-pogoda47[[#This Row],[stan_po_dolaniu]],0)</f>
        <v>0</v>
      </c>
      <c r="K40">
        <f>pogoda47[[#This Row],[stan_po_dolaniu]]+pogoda47[[#This Row],[ile_dolać_do_podlania]]</f>
        <v>12883</v>
      </c>
      <c r="L40">
        <f>pogoda47[[#This Row],[stan_po_dolaniu_do_podlania]]-pogoda47[[#This Row],[ile_podlewamy]]</f>
        <v>12883</v>
      </c>
    </row>
    <row r="41" spans="1:12" x14ac:dyDescent="0.25">
      <c r="A41" s="2">
        <v>42134</v>
      </c>
      <c r="B41">
        <v>12</v>
      </c>
      <c r="C41">
        <v>0.1</v>
      </c>
      <c r="D41">
        <f t="shared" si="0"/>
        <v>12883</v>
      </c>
      <c r="E41">
        <f>IF(C41=0,ROUNDUP($AA$3*POWER(pogoda47[[#This Row],[temperatura_srednia]],1.5)*pogoda47[[#This Row],[stan_przed_dolaniem]],0),0)</f>
        <v>0</v>
      </c>
      <c r="F41">
        <f>pogoda47[[#This Row],[stan_przed_dolaniem]]-pogoda47[[#This Row],[ubytek]]</f>
        <v>12883</v>
      </c>
      <c r="G41">
        <f>IF(pogoda47[[#This Row],[opady]]*$AA$1+D41&gt;$AA$2,$AA$2-pogoda47[[#This Row],[stan_przed_dolaniem]],pogoda47[[#This Row],[opady]]*$AA$1)</f>
        <v>70</v>
      </c>
      <c r="H41">
        <f>pogoda47[[#This Row],[stan_po_ubytku]]+pogoda47[[#This Row],[ile_pogoda_dolała]]</f>
        <v>12953</v>
      </c>
      <c r="I41" cm="1">
        <f t="array" ref="I41">_xlfn.IFS(OR(pogoda47[[#This Row],[temperatura_srednia]]&lt;=15,pogoda47[[#This Row],[opady]]&gt;0.61),0,pogoda47[[#This Row],[temperatura_srednia]]&gt;30,24000,pogoda47[[#This Row],[temperatura_srednia]]&gt;15,12000)</f>
        <v>0</v>
      </c>
      <c r="J41">
        <f>IF(pogoda47[[#This Row],[stan_po_dolaniu]]&lt;pogoda47[[#This Row],[ile_podlewamy]],$AA$2-pogoda47[[#This Row],[stan_po_dolaniu]],0)</f>
        <v>0</v>
      </c>
      <c r="K41">
        <f>pogoda47[[#This Row],[stan_po_dolaniu]]+pogoda47[[#This Row],[ile_dolać_do_podlania]]</f>
        <v>12953</v>
      </c>
      <c r="L41">
        <f>pogoda47[[#This Row],[stan_po_dolaniu_do_podlania]]-pogoda47[[#This Row],[ile_podlewamy]]</f>
        <v>12953</v>
      </c>
    </row>
    <row r="42" spans="1:12" x14ac:dyDescent="0.25">
      <c r="A42" s="2">
        <v>42135</v>
      </c>
      <c r="B42">
        <v>11</v>
      </c>
      <c r="C42">
        <v>0</v>
      </c>
      <c r="D42">
        <f t="shared" si="0"/>
        <v>12953</v>
      </c>
      <c r="E42">
        <f>IF(C42=0,ROUNDUP($AA$3*POWER(pogoda47[[#This Row],[temperatura_srednia]],1.5)*pogoda47[[#This Row],[stan_przed_dolaniem]],0),0)</f>
        <v>142</v>
      </c>
      <c r="F42">
        <f>pogoda47[[#This Row],[stan_przed_dolaniem]]-pogoda47[[#This Row],[ubytek]]</f>
        <v>12811</v>
      </c>
      <c r="G42">
        <f>IF(pogoda47[[#This Row],[opady]]*$AA$1+D42&gt;$AA$2,$AA$2-pogoda47[[#This Row],[stan_przed_dolaniem]],pogoda47[[#This Row],[opady]]*$AA$1)</f>
        <v>0</v>
      </c>
      <c r="H42">
        <f>pogoda47[[#This Row],[stan_po_ubytku]]+pogoda47[[#This Row],[ile_pogoda_dolała]]</f>
        <v>12811</v>
      </c>
      <c r="I42" cm="1">
        <f t="array" ref="I42">_xlfn.IFS(OR(pogoda47[[#This Row],[temperatura_srednia]]&lt;=15,pogoda47[[#This Row],[opady]]&gt;0.61),0,pogoda47[[#This Row],[temperatura_srednia]]&gt;30,24000,pogoda47[[#This Row],[temperatura_srednia]]&gt;15,12000)</f>
        <v>0</v>
      </c>
      <c r="J42">
        <f>IF(pogoda47[[#This Row],[stan_po_dolaniu]]&lt;pogoda47[[#This Row],[ile_podlewamy]],$AA$2-pogoda47[[#This Row],[stan_po_dolaniu]],0)</f>
        <v>0</v>
      </c>
      <c r="K42">
        <f>pogoda47[[#This Row],[stan_po_dolaniu]]+pogoda47[[#This Row],[ile_dolać_do_podlania]]</f>
        <v>12811</v>
      </c>
      <c r="L42">
        <f>pogoda47[[#This Row],[stan_po_dolaniu_do_podlania]]-pogoda47[[#This Row],[ile_podlewamy]]</f>
        <v>12811</v>
      </c>
    </row>
    <row r="43" spans="1:12" x14ac:dyDescent="0.25">
      <c r="A43" s="2">
        <v>42136</v>
      </c>
      <c r="B43">
        <v>16</v>
      </c>
      <c r="C43">
        <v>3</v>
      </c>
      <c r="D43">
        <f t="shared" si="0"/>
        <v>12811</v>
      </c>
      <c r="E43">
        <f>IF(C43=0,ROUNDUP($AA$3*POWER(pogoda47[[#This Row],[temperatura_srednia]],1.5)*pogoda47[[#This Row],[stan_przed_dolaniem]],0),0)</f>
        <v>0</v>
      </c>
      <c r="F43">
        <f>pogoda47[[#This Row],[stan_przed_dolaniem]]-pogoda47[[#This Row],[ubytek]]</f>
        <v>12811</v>
      </c>
      <c r="G43">
        <f>IF(pogoda47[[#This Row],[opady]]*$AA$1+D43&gt;$AA$2,$AA$2-pogoda47[[#This Row],[stan_przed_dolaniem]],pogoda47[[#This Row],[opady]]*$AA$1)</f>
        <v>2100</v>
      </c>
      <c r="H43">
        <f>pogoda47[[#This Row],[stan_po_ubytku]]+pogoda47[[#This Row],[ile_pogoda_dolała]]</f>
        <v>14911</v>
      </c>
      <c r="I43" cm="1">
        <f t="array" ref="I43">_xlfn.IFS(OR(pogoda47[[#This Row],[temperatura_srednia]]&lt;=15,pogoda47[[#This Row],[opady]]&gt;0.61),0,pogoda47[[#This Row],[temperatura_srednia]]&gt;30,24000,pogoda47[[#This Row],[temperatura_srednia]]&gt;15,12000)</f>
        <v>0</v>
      </c>
      <c r="J43">
        <f>IF(pogoda47[[#This Row],[stan_po_dolaniu]]&lt;pogoda47[[#This Row],[ile_podlewamy]],$AA$2-pogoda47[[#This Row],[stan_po_dolaniu]],0)</f>
        <v>0</v>
      </c>
      <c r="K43">
        <f>pogoda47[[#This Row],[stan_po_dolaniu]]+pogoda47[[#This Row],[ile_dolać_do_podlania]]</f>
        <v>14911</v>
      </c>
      <c r="L43">
        <f>pogoda47[[#This Row],[stan_po_dolaniu_do_podlania]]-pogoda47[[#This Row],[ile_podlewamy]]</f>
        <v>14911</v>
      </c>
    </row>
    <row r="44" spans="1:12" x14ac:dyDescent="0.25">
      <c r="A44" s="2">
        <v>42137</v>
      </c>
      <c r="B44">
        <v>12</v>
      </c>
      <c r="C44">
        <v>0</v>
      </c>
      <c r="D44">
        <f t="shared" si="0"/>
        <v>14911</v>
      </c>
      <c r="E44">
        <f>IF(C44=0,ROUNDUP($AA$3*POWER(pogoda47[[#This Row],[temperatura_srednia]],1.5)*pogoda47[[#This Row],[stan_przed_dolaniem]],0),0)</f>
        <v>186</v>
      </c>
      <c r="F44">
        <f>pogoda47[[#This Row],[stan_przed_dolaniem]]-pogoda47[[#This Row],[ubytek]]</f>
        <v>14725</v>
      </c>
      <c r="G44">
        <f>IF(pogoda47[[#This Row],[opady]]*$AA$1+D44&gt;$AA$2,$AA$2-pogoda47[[#This Row],[stan_przed_dolaniem]],pogoda47[[#This Row],[opady]]*$AA$1)</f>
        <v>0</v>
      </c>
      <c r="H44">
        <f>pogoda47[[#This Row],[stan_po_ubytku]]+pogoda47[[#This Row],[ile_pogoda_dolała]]</f>
        <v>14725</v>
      </c>
      <c r="I44" cm="1">
        <f t="array" ref="I44">_xlfn.IFS(OR(pogoda47[[#This Row],[temperatura_srednia]]&lt;=15,pogoda47[[#This Row],[opady]]&gt;0.61),0,pogoda47[[#This Row],[temperatura_srednia]]&gt;30,24000,pogoda47[[#This Row],[temperatura_srednia]]&gt;15,12000)</f>
        <v>0</v>
      </c>
      <c r="J44">
        <f>IF(pogoda47[[#This Row],[stan_po_dolaniu]]&lt;pogoda47[[#This Row],[ile_podlewamy]],$AA$2-pogoda47[[#This Row],[stan_po_dolaniu]],0)</f>
        <v>0</v>
      </c>
      <c r="K44">
        <f>pogoda47[[#This Row],[stan_po_dolaniu]]+pogoda47[[#This Row],[ile_dolać_do_podlania]]</f>
        <v>14725</v>
      </c>
      <c r="L44">
        <f>pogoda47[[#This Row],[stan_po_dolaniu_do_podlania]]-pogoda47[[#This Row],[ile_podlewamy]]</f>
        <v>14725</v>
      </c>
    </row>
    <row r="45" spans="1:12" x14ac:dyDescent="0.25">
      <c r="A45" s="2">
        <v>42138</v>
      </c>
      <c r="B45">
        <v>10</v>
      </c>
      <c r="C45">
        <v>0</v>
      </c>
      <c r="D45">
        <f t="shared" si="0"/>
        <v>14725</v>
      </c>
      <c r="E45">
        <f>IF(C45=0,ROUNDUP($AA$3*POWER(pogoda47[[#This Row],[temperatura_srednia]],1.5)*pogoda47[[#This Row],[stan_przed_dolaniem]],0),0)</f>
        <v>140</v>
      </c>
      <c r="F45">
        <f>pogoda47[[#This Row],[stan_przed_dolaniem]]-pogoda47[[#This Row],[ubytek]]</f>
        <v>14585</v>
      </c>
      <c r="G45">
        <f>IF(pogoda47[[#This Row],[opady]]*$AA$1+D45&gt;$AA$2,$AA$2-pogoda47[[#This Row],[stan_przed_dolaniem]],pogoda47[[#This Row],[opady]]*$AA$1)</f>
        <v>0</v>
      </c>
      <c r="H45">
        <f>pogoda47[[#This Row],[stan_po_ubytku]]+pogoda47[[#This Row],[ile_pogoda_dolała]]</f>
        <v>14585</v>
      </c>
      <c r="I45" cm="1">
        <f t="array" ref="I45">_xlfn.IFS(OR(pogoda47[[#This Row],[temperatura_srednia]]&lt;=15,pogoda47[[#This Row],[opady]]&gt;0.61),0,pogoda47[[#This Row],[temperatura_srednia]]&gt;30,24000,pogoda47[[#This Row],[temperatura_srednia]]&gt;15,12000)</f>
        <v>0</v>
      </c>
      <c r="J45">
        <f>IF(pogoda47[[#This Row],[stan_po_dolaniu]]&lt;pogoda47[[#This Row],[ile_podlewamy]],$AA$2-pogoda47[[#This Row],[stan_po_dolaniu]],0)</f>
        <v>0</v>
      </c>
      <c r="K45">
        <f>pogoda47[[#This Row],[stan_po_dolaniu]]+pogoda47[[#This Row],[ile_dolać_do_podlania]]</f>
        <v>14585</v>
      </c>
      <c r="L45">
        <f>pogoda47[[#This Row],[stan_po_dolaniu_do_podlania]]-pogoda47[[#This Row],[ile_podlewamy]]</f>
        <v>14585</v>
      </c>
    </row>
    <row r="46" spans="1:12" x14ac:dyDescent="0.25">
      <c r="A46" s="2">
        <v>42139</v>
      </c>
      <c r="B46">
        <v>12</v>
      </c>
      <c r="C46">
        <v>0</v>
      </c>
      <c r="D46">
        <f t="shared" si="0"/>
        <v>14585</v>
      </c>
      <c r="E46">
        <f>IF(C46=0,ROUNDUP($AA$3*POWER(pogoda47[[#This Row],[temperatura_srednia]],1.5)*pogoda47[[#This Row],[stan_przed_dolaniem]],0),0)</f>
        <v>182</v>
      </c>
      <c r="F46">
        <f>pogoda47[[#This Row],[stan_przed_dolaniem]]-pogoda47[[#This Row],[ubytek]]</f>
        <v>14403</v>
      </c>
      <c r="G46">
        <f>IF(pogoda47[[#This Row],[opady]]*$AA$1+D46&gt;$AA$2,$AA$2-pogoda47[[#This Row],[stan_przed_dolaniem]],pogoda47[[#This Row],[opady]]*$AA$1)</f>
        <v>0</v>
      </c>
      <c r="H46">
        <f>pogoda47[[#This Row],[stan_po_ubytku]]+pogoda47[[#This Row],[ile_pogoda_dolała]]</f>
        <v>14403</v>
      </c>
      <c r="I46" cm="1">
        <f t="array" ref="I46">_xlfn.IFS(OR(pogoda47[[#This Row],[temperatura_srednia]]&lt;=15,pogoda47[[#This Row],[opady]]&gt;0.61),0,pogoda47[[#This Row],[temperatura_srednia]]&gt;30,24000,pogoda47[[#This Row],[temperatura_srednia]]&gt;15,12000)</f>
        <v>0</v>
      </c>
      <c r="J46">
        <f>IF(pogoda47[[#This Row],[stan_po_dolaniu]]&lt;pogoda47[[#This Row],[ile_podlewamy]],$AA$2-pogoda47[[#This Row],[stan_po_dolaniu]],0)</f>
        <v>0</v>
      </c>
      <c r="K46">
        <f>pogoda47[[#This Row],[stan_po_dolaniu]]+pogoda47[[#This Row],[ile_dolać_do_podlania]]</f>
        <v>14403</v>
      </c>
      <c r="L46">
        <f>pogoda47[[#This Row],[stan_po_dolaniu_do_podlania]]-pogoda47[[#This Row],[ile_podlewamy]]</f>
        <v>14403</v>
      </c>
    </row>
    <row r="47" spans="1:12" x14ac:dyDescent="0.25">
      <c r="A47" s="2">
        <v>42140</v>
      </c>
      <c r="B47">
        <v>10</v>
      </c>
      <c r="C47">
        <v>1.8</v>
      </c>
      <c r="D47">
        <f t="shared" si="0"/>
        <v>14403</v>
      </c>
      <c r="E47">
        <f>IF(C47=0,ROUNDUP($AA$3*POWER(pogoda47[[#This Row],[temperatura_srednia]],1.5)*pogoda47[[#This Row],[stan_przed_dolaniem]],0),0)</f>
        <v>0</v>
      </c>
      <c r="F47">
        <f>pogoda47[[#This Row],[stan_przed_dolaniem]]-pogoda47[[#This Row],[ubytek]]</f>
        <v>14403</v>
      </c>
      <c r="G47">
        <f>IF(pogoda47[[#This Row],[opady]]*$AA$1+D47&gt;$AA$2,$AA$2-pogoda47[[#This Row],[stan_przed_dolaniem]],pogoda47[[#This Row],[opady]]*$AA$1)</f>
        <v>1260</v>
      </c>
      <c r="H47">
        <f>pogoda47[[#This Row],[stan_po_ubytku]]+pogoda47[[#This Row],[ile_pogoda_dolała]]</f>
        <v>15663</v>
      </c>
      <c r="I47" cm="1">
        <f t="array" ref="I47">_xlfn.IFS(OR(pogoda47[[#This Row],[temperatura_srednia]]&lt;=15,pogoda47[[#This Row],[opady]]&gt;0.61),0,pogoda47[[#This Row],[temperatura_srednia]]&gt;30,24000,pogoda47[[#This Row],[temperatura_srednia]]&gt;15,12000)</f>
        <v>0</v>
      </c>
      <c r="J47">
        <f>IF(pogoda47[[#This Row],[stan_po_dolaniu]]&lt;pogoda47[[#This Row],[ile_podlewamy]],$AA$2-pogoda47[[#This Row],[stan_po_dolaniu]],0)</f>
        <v>0</v>
      </c>
      <c r="K47">
        <f>pogoda47[[#This Row],[stan_po_dolaniu]]+pogoda47[[#This Row],[ile_dolać_do_podlania]]</f>
        <v>15663</v>
      </c>
      <c r="L47">
        <f>pogoda47[[#This Row],[stan_po_dolaniu_do_podlania]]-pogoda47[[#This Row],[ile_podlewamy]]</f>
        <v>15663</v>
      </c>
    </row>
    <row r="48" spans="1:12" x14ac:dyDescent="0.25">
      <c r="A48" s="2">
        <v>42141</v>
      </c>
      <c r="B48">
        <v>11</v>
      </c>
      <c r="C48">
        <v>2.8</v>
      </c>
      <c r="D48">
        <f t="shared" si="0"/>
        <v>15663</v>
      </c>
      <c r="E48">
        <f>IF(C48=0,ROUNDUP($AA$3*POWER(pogoda47[[#This Row],[temperatura_srednia]],1.5)*pogoda47[[#This Row],[stan_przed_dolaniem]],0),0)</f>
        <v>0</v>
      </c>
      <c r="F48">
        <f>pogoda47[[#This Row],[stan_przed_dolaniem]]-pogoda47[[#This Row],[ubytek]]</f>
        <v>15663</v>
      </c>
      <c r="G48">
        <f>IF(pogoda47[[#This Row],[opady]]*$AA$1+D48&gt;$AA$2,$AA$2-pogoda47[[#This Row],[stan_przed_dolaniem]],pogoda47[[#This Row],[opady]]*$AA$1)</f>
        <v>1959.9999999999998</v>
      </c>
      <c r="H48">
        <f>pogoda47[[#This Row],[stan_po_ubytku]]+pogoda47[[#This Row],[ile_pogoda_dolała]]</f>
        <v>17623</v>
      </c>
      <c r="I48" cm="1">
        <f t="array" ref="I48">_xlfn.IFS(OR(pogoda47[[#This Row],[temperatura_srednia]]&lt;=15,pogoda47[[#This Row],[opady]]&gt;0.61),0,pogoda47[[#This Row],[temperatura_srednia]]&gt;30,24000,pogoda47[[#This Row],[temperatura_srednia]]&gt;15,12000)</f>
        <v>0</v>
      </c>
      <c r="J48">
        <f>IF(pogoda47[[#This Row],[stan_po_dolaniu]]&lt;pogoda47[[#This Row],[ile_podlewamy]],$AA$2-pogoda47[[#This Row],[stan_po_dolaniu]],0)</f>
        <v>0</v>
      </c>
      <c r="K48">
        <f>pogoda47[[#This Row],[stan_po_dolaniu]]+pogoda47[[#This Row],[ile_dolać_do_podlania]]</f>
        <v>17623</v>
      </c>
      <c r="L48">
        <f>pogoda47[[#This Row],[stan_po_dolaniu_do_podlania]]-pogoda47[[#This Row],[ile_podlewamy]]</f>
        <v>17623</v>
      </c>
    </row>
    <row r="49" spans="1:12" x14ac:dyDescent="0.25">
      <c r="A49" s="2">
        <v>42142</v>
      </c>
      <c r="B49">
        <v>12</v>
      </c>
      <c r="C49">
        <v>1.9</v>
      </c>
      <c r="D49">
        <f t="shared" si="0"/>
        <v>17623</v>
      </c>
      <c r="E49">
        <f>IF(C49=0,ROUNDUP($AA$3*POWER(pogoda47[[#This Row],[temperatura_srednia]],1.5)*pogoda47[[#This Row],[stan_przed_dolaniem]],0),0)</f>
        <v>0</v>
      </c>
      <c r="F49">
        <f>pogoda47[[#This Row],[stan_przed_dolaniem]]-pogoda47[[#This Row],[ubytek]]</f>
        <v>17623</v>
      </c>
      <c r="G49">
        <f>IF(pogoda47[[#This Row],[opady]]*$AA$1+D49&gt;$AA$2,$AA$2-pogoda47[[#This Row],[stan_przed_dolaniem]],pogoda47[[#This Row],[opady]]*$AA$1)</f>
        <v>1330</v>
      </c>
      <c r="H49">
        <f>pogoda47[[#This Row],[stan_po_ubytku]]+pogoda47[[#This Row],[ile_pogoda_dolała]]</f>
        <v>18953</v>
      </c>
      <c r="I49" cm="1">
        <f t="array" ref="I49">_xlfn.IFS(OR(pogoda47[[#This Row],[temperatura_srednia]]&lt;=15,pogoda47[[#This Row],[opady]]&gt;0.61),0,pogoda47[[#This Row],[temperatura_srednia]]&gt;30,24000,pogoda47[[#This Row],[temperatura_srednia]]&gt;15,12000)</f>
        <v>0</v>
      </c>
      <c r="J49">
        <f>IF(pogoda47[[#This Row],[stan_po_dolaniu]]&lt;pogoda47[[#This Row],[ile_podlewamy]],$AA$2-pogoda47[[#This Row],[stan_po_dolaniu]],0)</f>
        <v>0</v>
      </c>
      <c r="K49">
        <f>pogoda47[[#This Row],[stan_po_dolaniu]]+pogoda47[[#This Row],[ile_dolać_do_podlania]]</f>
        <v>18953</v>
      </c>
      <c r="L49">
        <f>pogoda47[[#This Row],[stan_po_dolaniu_do_podlania]]-pogoda47[[#This Row],[ile_podlewamy]]</f>
        <v>18953</v>
      </c>
    </row>
    <row r="50" spans="1:12" x14ac:dyDescent="0.25">
      <c r="A50" s="2">
        <v>42143</v>
      </c>
      <c r="B50">
        <v>16</v>
      </c>
      <c r="C50">
        <v>2.2000000000000002</v>
      </c>
      <c r="D50">
        <f t="shared" si="0"/>
        <v>18953</v>
      </c>
      <c r="E50">
        <f>IF(C50=0,ROUNDUP($AA$3*POWER(pogoda47[[#This Row],[temperatura_srednia]],1.5)*pogoda47[[#This Row],[stan_przed_dolaniem]],0),0)</f>
        <v>0</v>
      </c>
      <c r="F50">
        <f>pogoda47[[#This Row],[stan_przed_dolaniem]]-pogoda47[[#This Row],[ubytek]]</f>
        <v>18953</v>
      </c>
      <c r="G50">
        <f>IF(pogoda47[[#This Row],[opady]]*$AA$1+D50&gt;$AA$2,$AA$2-pogoda47[[#This Row],[stan_przed_dolaniem]],pogoda47[[#This Row],[opady]]*$AA$1)</f>
        <v>1540.0000000000002</v>
      </c>
      <c r="H50">
        <f>pogoda47[[#This Row],[stan_po_ubytku]]+pogoda47[[#This Row],[ile_pogoda_dolała]]</f>
        <v>20493</v>
      </c>
      <c r="I50" cm="1">
        <f t="array" ref="I50">_xlfn.IFS(OR(pogoda47[[#This Row],[temperatura_srednia]]&lt;=15,pogoda47[[#This Row],[opady]]&gt;0.61),0,pogoda47[[#This Row],[temperatura_srednia]]&gt;30,24000,pogoda47[[#This Row],[temperatura_srednia]]&gt;15,12000)</f>
        <v>0</v>
      </c>
      <c r="J50">
        <f>IF(pogoda47[[#This Row],[stan_po_dolaniu]]&lt;pogoda47[[#This Row],[ile_podlewamy]],$AA$2-pogoda47[[#This Row],[stan_po_dolaniu]],0)</f>
        <v>0</v>
      </c>
      <c r="K50">
        <f>pogoda47[[#This Row],[stan_po_dolaniu]]+pogoda47[[#This Row],[ile_dolać_do_podlania]]</f>
        <v>20493</v>
      </c>
      <c r="L50">
        <f>pogoda47[[#This Row],[stan_po_dolaniu_do_podlania]]-pogoda47[[#This Row],[ile_podlewamy]]</f>
        <v>20493</v>
      </c>
    </row>
    <row r="51" spans="1:12" x14ac:dyDescent="0.25">
      <c r="A51" s="2">
        <v>42144</v>
      </c>
      <c r="B51">
        <v>13</v>
      </c>
      <c r="C51">
        <v>2.2999999999999998</v>
      </c>
      <c r="D51">
        <f t="shared" si="0"/>
        <v>20493</v>
      </c>
      <c r="E51">
        <f>IF(C51=0,ROUNDUP($AA$3*POWER(pogoda47[[#This Row],[temperatura_srednia]],1.5)*pogoda47[[#This Row],[stan_przed_dolaniem]],0),0)</f>
        <v>0</v>
      </c>
      <c r="F51">
        <f>pogoda47[[#This Row],[stan_przed_dolaniem]]-pogoda47[[#This Row],[ubytek]]</f>
        <v>20493</v>
      </c>
      <c r="G51">
        <f>IF(pogoda47[[#This Row],[opady]]*$AA$1+D51&gt;$AA$2,$AA$2-pogoda47[[#This Row],[stan_przed_dolaniem]],pogoda47[[#This Row],[opady]]*$AA$1)</f>
        <v>1609.9999999999998</v>
      </c>
      <c r="H51">
        <f>pogoda47[[#This Row],[stan_po_ubytku]]+pogoda47[[#This Row],[ile_pogoda_dolała]]</f>
        <v>22103</v>
      </c>
      <c r="I51" cm="1">
        <f t="array" ref="I51">_xlfn.IFS(OR(pogoda47[[#This Row],[temperatura_srednia]]&lt;=15,pogoda47[[#This Row],[opady]]&gt;0.61),0,pogoda47[[#This Row],[temperatura_srednia]]&gt;30,24000,pogoda47[[#This Row],[temperatura_srednia]]&gt;15,12000)</f>
        <v>0</v>
      </c>
      <c r="J51">
        <f>IF(pogoda47[[#This Row],[stan_po_dolaniu]]&lt;pogoda47[[#This Row],[ile_podlewamy]],$AA$2-pogoda47[[#This Row],[stan_po_dolaniu]],0)</f>
        <v>0</v>
      </c>
      <c r="K51">
        <f>pogoda47[[#This Row],[stan_po_dolaniu]]+pogoda47[[#This Row],[ile_dolać_do_podlania]]</f>
        <v>22103</v>
      </c>
      <c r="L51">
        <f>pogoda47[[#This Row],[stan_po_dolaniu_do_podlania]]-pogoda47[[#This Row],[ile_podlewamy]]</f>
        <v>22103</v>
      </c>
    </row>
    <row r="52" spans="1:12" x14ac:dyDescent="0.25">
      <c r="A52" s="2">
        <v>42145</v>
      </c>
      <c r="B52">
        <v>11</v>
      </c>
      <c r="C52">
        <v>5.4</v>
      </c>
      <c r="D52">
        <f t="shared" si="0"/>
        <v>22103</v>
      </c>
      <c r="E52">
        <f>IF(C52=0,ROUNDUP($AA$3*POWER(pogoda47[[#This Row],[temperatura_srednia]],1.5)*pogoda47[[#This Row],[stan_przed_dolaniem]],0),0)</f>
        <v>0</v>
      </c>
      <c r="F52">
        <f>pogoda47[[#This Row],[stan_przed_dolaniem]]-pogoda47[[#This Row],[ubytek]]</f>
        <v>22103</v>
      </c>
      <c r="G52">
        <f>IF(pogoda47[[#This Row],[opady]]*$AA$1+D52&gt;$AA$2,$AA$2-pogoda47[[#This Row],[stan_przed_dolaniem]],pogoda47[[#This Row],[opady]]*$AA$1)</f>
        <v>2897</v>
      </c>
      <c r="H52">
        <f>pogoda47[[#This Row],[stan_po_ubytku]]+pogoda47[[#This Row],[ile_pogoda_dolała]]</f>
        <v>25000</v>
      </c>
      <c r="I52" cm="1">
        <f t="array" ref="I52">_xlfn.IFS(OR(pogoda47[[#This Row],[temperatura_srednia]]&lt;=15,pogoda47[[#This Row],[opady]]&gt;0.61),0,pogoda47[[#This Row],[temperatura_srednia]]&gt;30,24000,pogoda47[[#This Row],[temperatura_srednia]]&gt;15,12000)</f>
        <v>0</v>
      </c>
      <c r="J52">
        <f>IF(pogoda47[[#This Row],[stan_po_dolaniu]]&lt;pogoda47[[#This Row],[ile_podlewamy]],$AA$2-pogoda47[[#This Row],[stan_po_dolaniu]],0)</f>
        <v>0</v>
      </c>
      <c r="K52">
        <f>pogoda47[[#This Row],[stan_po_dolaniu]]+pogoda47[[#This Row],[ile_dolać_do_podlania]]</f>
        <v>25000</v>
      </c>
      <c r="L52">
        <f>pogoda47[[#This Row],[stan_po_dolaniu_do_podlania]]-pogoda47[[#This Row],[ile_podlewamy]]</f>
        <v>25000</v>
      </c>
    </row>
    <row r="53" spans="1:12" x14ac:dyDescent="0.25">
      <c r="A53" s="2">
        <v>42146</v>
      </c>
      <c r="B53">
        <v>12</v>
      </c>
      <c r="C53">
        <v>5.5</v>
      </c>
      <c r="D53">
        <f t="shared" si="0"/>
        <v>25000</v>
      </c>
      <c r="E53">
        <f>IF(C53=0,ROUNDUP($AA$3*POWER(pogoda47[[#This Row],[temperatura_srednia]],1.5)*pogoda47[[#This Row],[stan_przed_dolaniem]],0),0)</f>
        <v>0</v>
      </c>
      <c r="F53">
        <f>pogoda47[[#This Row],[stan_przed_dolaniem]]-pogoda47[[#This Row],[ubytek]]</f>
        <v>25000</v>
      </c>
      <c r="G53">
        <f>IF(pogoda47[[#This Row],[opady]]*$AA$1+D53&gt;$AA$2,$AA$2-pogoda47[[#This Row],[stan_przed_dolaniem]],pogoda47[[#This Row],[opady]]*$AA$1)</f>
        <v>0</v>
      </c>
      <c r="H53">
        <f>pogoda47[[#This Row],[stan_po_ubytku]]+pogoda47[[#This Row],[ile_pogoda_dolała]]</f>
        <v>25000</v>
      </c>
      <c r="I53" cm="1">
        <f t="array" ref="I53">_xlfn.IFS(OR(pogoda47[[#This Row],[temperatura_srednia]]&lt;=15,pogoda47[[#This Row],[opady]]&gt;0.61),0,pogoda47[[#This Row],[temperatura_srednia]]&gt;30,24000,pogoda47[[#This Row],[temperatura_srednia]]&gt;15,12000)</f>
        <v>0</v>
      </c>
      <c r="J53">
        <f>IF(pogoda47[[#This Row],[stan_po_dolaniu]]&lt;pogoda47[[#This Row],[ile_podlewamy]],$AA$2-pogoda47[[#This Row],[stan_po_dolaniu]],0)</f>
        <v>0</v>
      </c>
      <c r="K53">
        <f>pogoda47[[#This Row],[stan_po_dolaniu]]+pogoda47[[#This Row],[ile_dolać_do_podlania]]</f>
        <v>25000</v>
      </c>
      <c r="L53">
        <f>pogoda47[[#This Row],[stan_po_dolaniu_do_podlania]]-pogoda47[[#This Row],[ile_podlewamy]]</f>
        <v>25000</v>
      </c>
    </row>
    <row r="54" spans="1:12" x14ac:dyDescent="0.25">
      <c r="A54" s="2">
        <v>42147</v>
      </c>
      <c r="B54">
        <v>12</v>
      </c>
      <c r="C54">
        <v>5.2</v>
      </c>
      <c r="D54">
        <f t="shared" si="0"/>
        <v>25000</v>
      </c>
      <c r="E54">
        <f>IF(C54=0,ROUNDUP($AA$3*POWER(pogoda47[[#This Row],[temperatura_srednia]],1.5)*pogoda47[[#This Row],[stan_przed_dolaniem]],0),0)</f>
        <v>0</v>
      </c>
      <c r="F54">
        <f>pogoda47[[#This Row],[stan_przed_dolaniem]]-pogoda47[[#This Row],[ubytek]]</f>
        <v>25000</v>
      </c>
      <c r="G54">
        <f>IF(pogoda47[[#This Row],[opady]]*$AA$1+D54&gt;$AA$2,$AA$2-pogoda47[[#This Row],[stan_przed_dolaniem]],pogoda47[[#This Row],[opady]]*$AA$1)</f>
        <v>0</v>
      </c>
      <c r="H54">
        <f>pogoda47[[#This Row],[stan_po_ubytku]]+pogoda47[[#This Row],[ile_pogoda_dolała]]</f>
        <v>25000</v>
      </c>
      <c r="I54" cm="1">
        <f t="array" ref="I54">_xlfn.IFS(OR(pogoda47[[#This Row],[temperatura_srednia]]&lt;=15,pogoda47[[#This Row],[opady]]&gt;0.61),0,pogoda47[[#This Row],[temperatura_srednia]]&gt;30,24000,pogoda47[[#This Row],[temperatura_srednia]]&gt;15,12000)</f>
        <v>0</v>
      </c>
      <c r="J54">
        <f>IF(pogoda47[[#This Row],[stan_po_dolaniu]]&lt;pogoda47[[#This Row],[ile_podlewamy]],$AA$2-pogoda47[[#This Row],[stan_po_dolaniu]],0)</f>
        <v>0</v>
      </c>
      <c r="K54">
        <f>pogoda47[[#This Row],[stan_po_dolaniu]]+pogoda47[[#This Row],[ile_dolać_do_podlania]]</f>
        <v>25000</v>
      </c>
      <c r="L54">
        <f>pogoda47[[#This Row],[stan_po_dolaniu_do_podlania]]-pogoda47[[#This Row],[ile_podlewamy]]</f>
        <v>25000</v>
      </c>
    </row>
    <row r="55" spans="1:12" x14ac:dyDescent="0.25">
      <c r="A55" s="2">
        <v>42148</v>
      </c>
      <c r="B55">
        <v>14</v>
      </c>
      <c r="C55">
        <v>3</v>
      </c>
      <c r="D55">
        <f t="shared" si="0"/>
        <v>25000</v>
      </c>
      <c r="E55">
        <f>IF(C55=0,ROUNDUP($AA$3*POWER(pogoda47[[#This Row],[temperatura_srednia]],1.5)*pogoda47[[#This Row],[stan_przed_dolaniem]],0),0)</f>
        <v>0</v>
      </c>
      <c r="F55">
        <f>pogoda47[[#This Row],[stan_przed_dolaniem]]-pogoda47[[#This Row],[ubytek]]</f>
        <v>25000</v>
      </c>
      <c r="G55">
        <f>IF(pogoda47[[#This Row],[opady]]*$AA$1+D55&gt;$AA$2,$AA$2-pogoda47[[#This Row],[stan_przed_dolaniem]],pogoda47[[#This Row],[opady]]*$AA$1)</f>
        <v>0</v>
      </c>
      <c r="H55">
        <f>pogoda47[[#This Row],[stan_po_ubytku]]+pogoda47[[#This Row],[ile_pogoda_dolała]]</f>
        <v>25000</v>
      </c>
      <c r="I55" cm="1">
        <f t="array" ref="I55">_xlfn.IFS(OR(pogoda47[[#This Row],[temperatura_srednia]]&lt;=15,pogoda47[[#This Row],[opady]]&gt;0.61),0,pogoda47[[#This Row],[temperatura_srednia]]&gt;30,24000,pogoda47[[#This Row],[temperatura_srednia]]&gt;15,12000)</f>
        <v>0</v>
      </c>
      <c r="J55">
        <f>IF(pogoda47[[#This Row],[stan_po_dolaniu]]&lt;pogoda47[[#This Row],[ile_podlewamy]],$AA$2-pogoda47[[#This Row],[stan_po_dolaniu]],0)</f>
        <v>0</v>
      </c>
      <c r="K55">
        <f>pogoda47[[#This Row],[stan_po_dolaniu]]+pogoda47[[#This Row],[ile_dolać_do_podlania]]</f>
        <v>25000</v>
      </c>
      <c r="L55">
        <f>pogoda47[[#This Row],[stan_po_dolaniu_do_podlania]]-pogoda47[[#This Row],[ile_podlewamy]]</f>
        <v>25000</v>
      </c>
    </row>
    <row r="56" spans="1:12" x14ac:dyDescent="0.25">
      <c r="A56" s="2">
        <v>42149</v>
      </c>
      <c r="B56">
        <v>15</v>
      </c>
      <c r="C56">
        <v>0</v>
      </c>
      <c r="D56">
        <f t="shared" si="0"/>
        <v>25000</v>
      </c>
      <c r="E56">
        <f>IF(C56=0,ROUNDUP($AA$3*POWER(pogoda47[[#This Row],[temperatura_srednia]],1.5)*pogoda47[[#This Row],[stan_przed_dolaniem]],0),0)</f>
        <v>436</v>
      </c>
      <c r="F56">
        <f>pogoda47[[#This Row],[stan_przed_dolaniem]]-pogoda47[[#This Row],[ubytek]]</f>
        <v>24564</v>
      </c>
      <c r="G56">
        <f>IF(pogoda47[[#This Row],[opady]]*$AA$1+D56&gt;$AA$2,$AA$2-pogoda47[[#This Row],[stan_przed_dolaniem]],pogoda47[[#This Row],[opady]]*$AA$1)</f>
        <v>0</v>
      </c>
      <c r="H56">
        <f>pogoda47[[#This Row],[stan_po_ubytku]]+pogoda47[[#This Row],[ile_pogoda_dolała]]</f>
        <v>24564</v>
      </c>
      <c r="I56" cm="1">
        <f t="array" ref="I56">_xlfn.IFS(OR(pogoda47[[#This Row],[temperatura_srednia]]&lt;=15,pogoda47[[#This Row],[opady]]&gt;0.61),0,pogoda47[[#This Row],[temperatura_srednia]]&gt;30,24000,pogoda47[[#This Row],[temperatura_srednia]]&gt;15,12000)</f>
        <v>0</v>
      </c>
      <c r="J56">
        <f>IF(pogoda47[[#This Row],[stan_po_dolaniu]]&lt;pogoda47[[#This Row],[ile_podlewamy]],$AA$2-pogoda47[[#This Row],[stan_po_dolaniu]],0)</f>
        <v>0</v>
      </c>
      <c r="K56">
        <f>pogoda47[[#This Row],[stan_po_dolaniu]]+pogoda47[[#This Row],[ile_dolać_do_podlania]]</f>
        <v>24564</v>
      </c>
      <c r="L56">
        <f>pogoda47[[#This Row],[stan_po_dolaniu_do_podlania]]-pogoda47[[#This Row],[ile_podlewamy]]</f>
        <v>24564</v>
      </c>
    </row>
    <row r="57" spans="1:12" x14ac:dyDescent="0.25">
      <c r="A57" s="2">
        <v>42150</v>
      </c>
      <c r="B57">
        <v>14</v>
      </c>
      <c r="C57">
        <v>0</v>
      </c>
      <c r="D57">
        <f t="shared" si="0"/>
        <v>24564</v>
      </c>
      <c r="E57">
        <f>IF(C57=0,ROUNDUP($AA$3*POWER(pogoda47[[#This Row],[temperatura_srednia]],1.5)*pogoda47[[#This Row],[stan_przed_dolaniem]],0),0)</f>
        <v>387</v>
      </c>
      <c r="F57">
        <f>pogoda47[[#This Row],[stan_przed_dolaniem]]-pogoda47[[#This Row],[ubytek]]</f>
        <v>24177</v>
      </c>
      <c r="G57">
        <f>IF(pogoda47[[#This Row],[opady]]*$AA$1+D57&gt;$AA$2,$AA$2-pogoda47[[#This Row],[stan_przed_dolaniem]],pogoda47[[#This Row],[opady]]*$AA$1)</f>
        <v>0</v>
      </c>
      <c r="H57">
        <f>pogoda47[[#This Row],[stan_po_ubytku]]+pogoda47[[#This Row],[ile_pogoda_dolała]]</f>
        <v>24177</v>
      </c>
      <c r="I57" cm="1">
        <f t="array" ref="I57">_xlfn.IFS(OR(pogoda47[[#This Row],[temperatura_srednia]]&lt;=15,pogoda47[[#This Row],[opady]]&gt;0.61),0,pogoda47[[#This Row],[temperatura_srednia]]&gt;30,24000,pogoda47[[#This Row],[temperatura_srednia]]&gt;15,12000)</f>
        <v>0</v>
      </c>
      <c r="J57">
        <f>IF(pogoda47[[#This Row],[stan_po_dolaniu]]&lt;pogoda47[[#This Row],[ile_podlewamy]],$AA$2-pogoda47[[#This Row],[stan_po_dolaniu]],0)</f>
        <v>0</v>
      </c>
      <c r="K57">
        <f>pogoda47[[#This Row],[stan_po_dolaniu]]+pogoda47[[#This Row],[ile_dolać_do_podlania]]</f>
        <v>24177</v>
      </c>
      <c r="L57">
        <f>pogoda47[[#This Row],[stan_po_dolaniu_do_podlania]]-pogoda47[[#This Row],[ile_podlewamy]]</f>
        <v>24177</v>
      </c>
    </row>
    <row r="58" spans="1:12" x14ac:dyDescent="0.25">
      <c r="A58" s="2">
        <v>42151</v>
      </c>
      <c r="B58">
        <v>10</v>
      </c>
      <c r="C58">
        <v>0</v>
      </c>
      <c r="D58">
        <f t="shared" si="0"/>
        <v>24177</v>
      </c>
      <c r="E58">
        <f>IF(C58=0,ROUNDUP($AA$3*POWER(pogoda47[[#This Row],[temperatura_srednia]],1.5)*pogoda47[[#This Row],[stan_przed_dolaniem]],0),0)</f>
        <v>230</v>
      </c>
      <c r="F58">
        <f>pogoda47[[#This Row],[stan_przed_dolaniem]]-pogoda47[[#This Row],[ubytek]]</f>
        <v>23947</v>
      </c>
      <c r="G58">
        <f>IF(pogoda47[[#This Row],[opady]]*$AA$1+D58&gt;$AA$2,$AA$2-pogoda47[[#This Row],[stan_przed_dolaniem]],pogoda47[[#This Row],[opady]]*$AA$1)</f>
        <v>0</v>
      </c>
      <c r="H58">
        <f>pogoda47[[#This Row],[stan_po_ubytku]]+pogoda47[[#This Row],[ile_pogoda_dolała]]</f>
        <v>23947</v>
      </c>
      <c r="I58" cm="1">
        <f t="array" ref="I58">_xlfn.IFS(OR(pogoda47[[#This Row],[temperatura_srednia]]&lt;=15,pogoda47[[#This Row],[opady]]&gt;0.61),0,pogoda47[[#This Row],[temperatura_srednia]]&gt;30,24000,pogoda47[[#This Row],[temperatura_srednia]]&gt;15,12000)</f>
        <v>0</v>
      </c>
      <c r="J58">
        <f>IF(pogoda47[[#This Row],[stan_po_dolaniu]]&lt;pogoda47[[#This Row],[ile_podlewamy]],$AA$2-pogoda47[[#This Row],[stan_po_dolaniu]],0)</f>
        <v>0</v>
      </c>
      <c r="K58">
        <f>pogoda47[[#This Row],[stan_po_dolaniu]]+pogoda47[[#This Row],[ile_dolać_do_podlania]]</f>
        <v>23947</v>
      </c>
      <c r="L58">
        <f>pogoda47[[#This Row],[stan_po_dolaniu_do_podlania]]-pogoda47[[#This Row],[ile_podlewamy]]</f>
        <v>23947</v>
      </c>
    </row>
    <row r="59" spans="1:12" x14ac:dyDescent="0.25">
      <c r="A59" s="2">
        <v>42152</v>
      </c>
      <c r="B59">
        <v>12</v>
      </c>
      <c r="C59">
        <v>0.1</v>
      </c>
      <c r="D59">
        <f t="shared" si="0"/>
        <v>23947</v>
      </c>
      <c r="E59">
        <f>IF(C59=0,ROUNDUP($AA$3*POWER(pogoda47[[#This Row],[temperatura_srednia]],1.5)*pogoda47[[#This Row],[stan_przed_dolaniem]],0),0)</f>
        <v>0</v>
      </c>
      <c r="F59">
        <f>pogoda47[[#This Row],[stan_przed_dolaniem]]-pogoda47[[#This Row],[ubytek]]</f>
        <v>23947</v>
      </c>
      <c r="G59">
        <f>IF(pogoda47[[#This Row],[opady]]*$AA$1+D59&gt;$AA$2,$AA$2-pogoda47[[#This Row],[stan_przed_dolaniem]],pogoda47[[#This Row],[opady]]*$AA$1)</f>
        <v>70</v>
      </c>
      <c r="H59">
        <f>pogoda47[[#This Row],[stan_po_ubytku]]+pogoda47[[#This Row],[ile_pogoda_dolała]]</f>
        <v>24017</v>
      </c>
      <c r="I59" cm="1">
        <f t="array" ref="I59">_xlfn.IFS(OR(pogoda47[[#This Row],[temperatura_srednia]]&lt;=15,pogoda47[[#This Row],[opady]]&gt;0.61),0,pogoda47[[#This Row],[temperatura_srednia]]&gt;30,24000,pogoda47[[#This Row],[temperatura_srednia]]&gt;15,12000)</f>
        <v>0</v>
      </c>
      <c r="J59">
        <f>IF(pogoda47[[#This Row],[stan_po_dolaniu]]&lt;pogoda47[[#This Row],[ile_podlewamy]],$AA$2-pogoda47[[#This Row],[stan_po_dolaniu]],0)</f>
        <v>0</v>
      </c>
      <c r="K59">
        <f>pogoda47[[#This Row],[stan_po_dolaniu]]+pogoda47[[#This Row],[ile_dolać_do_podlania]]</f>
        <v>24017</v>
      </c>
      <c r="L59">
        <f>pogoda47[[#This Row],[stan_po_dolaniu_do_podlania]]-pogoda47[[#This Row],[ile_podlewamy]]</f>
        <v>24017</v>
      </c>
    </row>
    <row r="60" spans="1:12" x14ac:dyDescent="0.25">
      <c r="A60" s="2">
        <v>42153</v>
      </c>
      <c r="B60">
        <v>14</v>
      </c>
      <c r="C60">
        <v>0</v>
      </c>
      <c r="D60">
        <f t="shared" si="0"/>
        <v>24017</v>
      </c>
      <c r="E60">
        <f>IF(C60=0,ROUNDUP($AA$3*POWER(pogoda47[[#This Row],[temperatura_srednia]],1.5)*pogoda47[[#This Row],[stan_przed_dolaniem]],0),0)</f>
        <v>378</v>
      </c>
      <c r="F60">
        <f>pogoda47[[#This Row],[stan_przed_dolaniem]]-pogoda47[[#This Row],[ubytek]]</f>
        <v>23639</v>
      </c>
      <c r="G60">
        <f>IF(pogoda47[[#This Row],[opady]]*$AA$1+D60&gt;$AA$2,$AA$2-pogoda47[[#This Row],[stan_przed_dolaniem]],pogoda47[[#This Row],[opady]]*$AA$1)</f>
        <v>0</v>
      </c>
      <c r="H60">
        <f>pogoda47[[#This Row],[stan_po_ubytku]]+pogoda47[[#This Row],[ile_pogoda_dolała]]</f>
        <v>23639</v>
      </c>
      <c r="I60" cm="1">
        <f t="array" ref="I60">_xlfn.IFS(OR(pogoda47[[#This Row],[temperatura_srednia]]&lt;=15,pogoda47[[#This Row],[opady]]&gt;0.61),0,pogoda47[[#This Row],[temperatura_srednia]]&gt;30,24000,pogoda47[[#This Row],[temperatura_srednia]]&gt;15,12000)</f>
        <v>0</v>
      </c>
      <c r="J60">
        <f>IF(pogoda47[[#This Row],[stan_po_dolaniu]]&lt;pogoda47[[#This Row],[ile_podlewamy]],$AA$2-pogoda47[[#This Row],[stan_po_dolaniu]],0)</f>
        <v>0</v>
      </c>
      <c r="K60">
        <f>pogoda47[[#This Row],[stan_po_dolaniu]]+pogoda47[[#This Row],[ile_dolać_do_podlania]]</f>
        <v>23639</v>
      </c>
      <c r="L60">
        <f>pogoda47[[#This Row],[stan_po_dolaniu_do_podlania]]-pogoda47[[#This Row],[ile_podlewamy]]</f>
        <v>23639</v>
      </c>
    </row>
    <row r="61" spans="1:12" x14ac:dyDescent="0.25">
      <c r="A61" s="2">
        <v>42154</v>
      </c>
      <c r="B61">
        <v>13</v>
      </c>
      <c r="C61">
        <v>0</v>
      </c>
      <c r="D61">
        <f t="shared" si="0"/>
        <v>23639</v>
      </c>
      <c r="E61">
        <f>IF(C61=0,ROUNDUP($AA$3*POWER(pogoda47[[#This Row],[temperatura_srednia]],1.5)*pogoda47[[#This Row],[stan_przed_dolaniem]],0),0)</f>
        <v>333</v>
      </c>
      <c r="F61">
        <f>pogoda47[[#This Row],[stan_przed_dolaniem]]-pogoda47[[#This Row],[ubytek]]</f>
        <v>23306</v>
      </c>
      <c r="G61">
        <f>IF(pogoda47[[#This Row],[opady]]*$AA$1+D61&gt;$AA$2,$AA$2-pogoda47[[#This Row],[stan_przed_dolaniem]],pogoda47[[#This Row],[opady]]*$AA$1)</f>
        <v>0</v>
      </c>
      <c r="H61">
        <f>pogoda47[[#This Row],[stan_po_ubytku]]+pogoda47[[#This Row],[ile_pogoda_dolała]]</f>
        <v>23306</v>
      </c>
      <c r="I61" cm="1">
        <f t="array" ref="I61">_xlfn.IFS(OR(pogoda47[[#This Row],[temperatura_srednia]]&lt;=15,pogoda47[[#This Row],[opady]]&gt;0.61),0,pogoda47[[#This Row],[temperatura_srednia]]&gt;30,24000,pogoda47[[#This Row],[temperatura_srednia]]&gt;15,12000)</f>
        <v>0</v>
      </c>
      <c r="J61">
        <f>IF(pogoda47[[#This Row],[stan_po_dolaniu]]&lt;pogoda47[[#This Row],[ile_podlewamy]],$AA$2-pogoda47[[#This Row],[stan_po_dolaniu]],0)</f>
        <v>0</v>
      </c>
      <c r="K61">
        <f>pogoda47[[#This Row],[stan_po_dolaniu]]+pogoda47[[#This Row],[ile_dolać_do_podlania]]</f>
        <v>23306</v>
      </c>
      <c r="L61">
        <f>pogoda47[[#This Row],[stan_po_dolaniu_do_podlania]]-pogoda47[[#This Row],[ile_podlewamy]]</f>
        <v>23306</v>
      </c>
    </row>
    <row r="62" spans="1:12" x14ac:dyDescent="0.25">
      <c r="A62" s="2">
        <v>42155</v>
      </c>
      <c r="B62">
        <v>12</v>
      </c>
      <c r="C62">
        <v>0</v>
      </c>
      <c r="D62">
        <f t="shared" si="0"/>
        <v>23306</v>
      </c>
      <c r="E62">
        <f>IF(C62=0,ROUNDUP($AA$3*POWER(pogoda47[[#This Row],[temperatura_srednia]],1.5)*pogoda47[[#This Row],[stan_przed_dolaniem]],0),0)</f>
        <v>291</v>
      </c>
      <c r="F62">
        <f>pogoda47[[#This Row],[stan_przed_dolaniem]]-pogoda47[[#This Row],[ubytek]]</f>
        <v>23015</v>
      </c>
      <c r="G62">
        <f>IF(pogoda47[[#This Row],[opady]]*$AA$1+D62&gt;$AA$2,$AA$2-pogoda47[[#This Row],[stan_przed_dolaniem]],pogoda47[[#This Row],[opady]]*$AA$1)</f>
        <v>0</v>
      </c>
      <c r="H62">
        <f>pogoda47[[#This Row],[stan_po_ubytku]]+pogoda47[[#This Row],[ile_pogoda_dolała]]</f>
        <v>23015</v>
      </c>
      <c r="I62" cm="1">
        <f t="array" ref="I62">_xlfn.IFS(OR(pogoda47[[#This Row],[temperatura_srednia]]&lt;=15,pogoda47[[#This Row],[opady]]&gt;0.61),0,pogoda47[[#This Row],[temperatura_srednia]]&gt;30,24000,pogoda47[[#This Row],[temperatura_srednia]]&gt;15,12000)</f>
        <v>0</v>
      </c>
      <c r="J62">
        <f>IF(pogoda47[[#This Row],[stan_po_dolaniu]]&lt;pogoda47[[#This Row],[ile_podlewamy]],$AA$2-pogoda47[[#This Row],[stan_po_dolaniu]],0)</f>
        <v>0</v>
      </c>
      <c r="K62">
        <f>pogoda47[[#This Row],[stan_po_dolaniu]]+pogoda47[[#This Row],[ile_dolać_do_podlania]]</f>
        <v>23015</v>
      </c>
      <c r="L62">
        <f>pogoda47[[#This Row],[stan_po_dolaniu_do_podlania]]-pogoda47[[#This Row],[ile_podlewamy]]</f>
        <v>23015</v>
      </c>
    </row>
    <row r="63" spans="1:12" x14ac:dyDescent="0.25">
      <c r="A63" s="2">
        <v>42156</v>
      </c>
      <c r="B63">
        <v>18</v>
      </c>
      <c r="C63">
        <v>4</v>
      </c>
      <c r="D63">
        <f t="shared" si="0"/>
        <v>23015</v>
      </c>
      <c r="E63">
        <f>IF(C63=0,ROUNDUP($AA$3*POWER(pogoda47[[#This Row],[temperatura_srednia]],1.5)*pogoda47[[#This Row],[stan_przed_dolaniem]],0),0)</f>
        <v>0</v>
      </c>
      <c r="F63">
        <f>pogoda47[[#This Row],[stan_przed_dolaniem]]-pogoda47[[#This Row],[ubytek]]</f>
        <v>23015</v>
      </c>
      <c r="G63">
        <f>IF(pogoda47[[#This Row],[opady]]*$AA$1+D63&gt;$AA$2,$AA$2-pogoda47[[#This Row],[stan_przed_dolaniem]],pogoda47[[#This Row],[opady]]*$AA$1)</f>
        <v>1985</v>
      </c>
      <c r="H63">
        <f>pogoda47[[#This Row],[stan_po_ubytku]]+pogoda47[[#This Row],[ile_pogoda_dolała]]</f>
        <v>25000</v>
      </c>
      <c r="I63" cm="1">
        <f t="array" ref="I63">_xlfn.IFS(OR(pogoda47[[#This Row],[temperatura_srednia]]&lt;=15,pogoda47[[#This Row],[opady]]&gt;0.61),0,pogoda47[[#This Row],[temperatura_srednia]]&gt;30,24000,pogoda47[[#This Row],[temperatura_srednia]]&gt;15,12000)</f>
        <v>0</v>
      </c>
      <c r="J63">
        <f>IF(pogoda47[[#This Row],[stan_po_dolaniu]]&lt;pogoda47[[#This Row],[ile_podlewamy]],$AA$2-pogoda47[[#This Row],[stan_po_dolaniu]],0)</f>
        <v>0</v>
      </c>
      <c r="K63">
        <f>pogoda47[[#This Row],[stan_po_dolaniu]]+pogoda47[[#This Row],[ile_dolać_do_podlania]]</f>
        <v>25000</v>
      </c>
      <c r="L63">
        <f>pogoda47[[#This Row],[stan_po_dolaniu_do_podlania]]-pogoda47[[#This Row],[ile_podlewamy]]</f>
        <v>25000</v>
      </c>
    </row>
    <row r="64" spans="1:12" x14ac:dyDescent="0.25">
      <c r="A64" s="2">
        <v>42157</v>
      </c>
      <c r="B64">
        <v>18</v>
      </c>
      <c r="C64">
        <v>3</v>
      </c>
      <c r="D64">
        <f t="shared" si="0"/>
        <v>25000</v>
      </c>
      <c r="E64">
        <f>IF(C64=0,ROUNDUP($AA$3*POWER(pogoda47[[#This Row],[temperatura_srednia]],1.5)*pogoda47[[#This Row],[stan_przed_dolaniem]],0),0)</f>
        <v>0</v>
      </c>
      <c r="F64">
        <f>pogoda47[[#This Row],[stan_przed_dolaniem]]-pogoda47[[#This Row],[ubytek]]</f>
        <v>25000</v>
      </c>
      <c r="G64">
        <f>IF(pogoda47[[#This Row],[opady]]*$AA$1+D64&gt;$AA$2,$AA$2-pogoda47[[#This Row],[stan_przed_dolaniem]],pogoda47[[#This Row],[opady]]*$AA$1)</f>
        <v>0</v>
      </c>
      <c r="H64">
        <f>pogoda47[[#This Row],[stan_po_ubytku]]+pogoda47[[#This Row],[ile_pogoda_dolała]]</f>
        <v>25000</v>
      </c>
      <c r="I64" cm="1">
        <f t="array" ref="I64">_xlfn.IFS(OR(pogoda47[[#This Row],[temperatura_srednia]]&lt;=15,pogoda47[[#This Row],[opady]]&gt;0.61),0,pogoda47[[#This Row],[temperatura_srednia]]&gt;30,24000,pogoda47[[#This Row],[temperatura_srednia]]&gt;15,12000)</f>
        <v>0</v>
      </c>
      <c r="J64">
        <f>IF(pogoda47[[#This Row],[stan_po_dolaniu]]&lt;pogoda47[[#This Row],[ile_podlewamy]],$AA$2-pogoda47[[#This Row],[stan_po_dolaniu]],0)</f>
        <v>0</v>
      </c>
      <c r="K64">
        <f>pogoda47[[#This Row],[stan_po_dolaniu]]+pogoda47[[#This Row],[ile_dolać_do_podlania]]</f>
        <v>25000</v>
      </c>
      <c r="L64">
        <f>pogoda47[[#This Row],[stan_po_dolaniu_do_podlania]]-pogoda47[[#This Row],[ile_podlewamy]]</f>
        <v>25000</v>
      </c>
    </row>
    <row r="65" spans="1:12" x14ac:dyDescent="0.25">
      <c r="A65" s="2">
        <v>42158</v>
      </c>
      <c r="B65">
        <v>22</v>
      </c>
      <c r="C65">
        <v>0</v>
      </c>
      <c r="D65">
        <f t="shared" si="0"/>
        <v>25000</v>
      </c>
      <c r="E65">
        <f>IF(C65=0,ROUNDUP($AA$3*POWER(pogoda47[[#This Row],[temperatura_srednia]],1.5)*pogoda47[[#This Row],[stan_przed_dolaniem]],0),0)</f>
        <v>774</v>
      </c>
      <c r="F65">
        <f>pogoda47[[#This Row],[stan_przed_dolaniem]]-pogoda47[[#This Row],[ubytek]]</f>
        <v>24226</v>
      </c>
      <c r="G65">
        <f>IF(pogoda47[[#This Row],[opady]]*$AA$1+D65&gt;$AA$2,$AA$2-pogoda47[[#This Row],[stan_przed_dolaniem]],pogoda47[[#This Row],[opady]]*$AA$1)</f>
        <v>0</v>
      </c>
      <c r="H65">
        <f>pogoda47[[#This Row],[stan_po_ubytku]]+pogoda47[[#This Row],[ile_pogoda_dolała]]</f>
        <v>24226</v>
      </c>
      <c r="I65" cm="1">
        <f t="array" ref="I65">_xlfn.IFS(OR(pogoda47[[#This Row],[temperatura_srednia]]&lt;=15,pogoda47[[#This Row],[opady]]&gt;0.61),0,pogoda47[[#This Row],[temperatura_srednia]]&gt;30,24000,pogoda47[[#This Row],[temperatura_srednia]]&gt;15,12000)</f>
        <v>12000</v>
      </c>
      <c r="J65">
        <f>IF(pogoda47[[#This Row],[stan_po_dolaniu]]&lt;pogoda47[[#This Row],[ile_podlewamy]],$AA$2-pogoda47[[#This Row],[stan_po_dolaniu]],0)</f>
        <v>0</v>
      </c>
      <c r="K65">
        <f>pogoda47[[#This Row],[stan_po_dolaniu]]+pogoda47[[#This Row],[ile_dolać_do_podlania]]</f>
        <v>24226</v>
      </c>
      <c r="L65">
        <f>pogoda47[[#This Row],[stan_po_dolaniu_do_podlania]]-pogoda47[[#This Row],[ile_podlewamy]]</f>
        <v>12226</v>
      </c>
    </row>
    <row r="66" spans="1:12" x14ac:dyDescent="0.25">
      <c r="A66" s="2">
        <v>42159</v>
      </c>
      <c r="B66">
        <v>15</v>
      </c>
      <c r="C66">
        <v>0</v>
      </c>
      <c r="D66">
        <f t="shared" si="0"/>
        <v>12226</v>
      </c>
      <c r="E66">
        <f>IF(C66=0,ROUNDUP($AA$3*POWER(pogoda47[[#This Row],[temperatura_srednia]],1.5)*pogoda47[[#This Row],[stan_przed_dolaniem]],0),0)</f>
        <v>214</v>
      </c>
      <c r="F66">
        <f>pogoda47[[#This Row],[stan_przed_dolaniem]]-pogoda47[[#This Row],[ubytek]]</f>
        <v>12012</v>
      </c>
      <c r="G66">
        <f>IF(pogoda47[[#This Row],[opady]]*$AA$1+D66&gt;$AA$2,$AA$2-pogoda47[[#This Row],[stan_przed_dolaniem]],pogoda47[[#This Row],[opady]]*$AA$1)</f>
        <v>0</v>
      </c>
      <c r="H66">
        <f>pogoda47[[#This Row],[stan_po_ubytku]]+pogoda47[[#This Row],[ile_pogoda_dolała]]</f>
        <v>12012</v>
      </c>
      <c r="I66" cm="1">
        <f t="array" ref="I66">_xlfn.IFS(OR(pogoda47[[#This Row],[temperatura_srednia]]&lt;=15,pogoda47[[#This Row],[opady]]&gt;0.61),0,pogoda47[[#This Row],[temperatura_srednia]]&gt;30,24000,pogoda47[[#This Row],[temperatura_srednia]]&gt;15,12000)</f>
        <v>0</v>
      </c>
      <c r="J66">
        <f>IF(pogoda47[[#This Row],[stan_po_dolaniu]]&lt;pogoda47[[#This Row],[ile_podlewamy]],$AA$2-pogoda47[[#This Row],[stan_po_dolaniu]],0)</f>
        <v>0</v>
      </c>
      <c r="K66">
        <f>pogoda47[[#This Row],[stan_po_dolaniu]]+pogoda47[[#This Row],[ile_dolać_do_podlania]]</f>
        <v>12012</v>
      </c>
      <c r="L66">
        <f>pogoda47[[#This Row],[stan_po_dolaniu_do_podlania]]-pogoda47[[#This Row],[ile_podlewamy]]</f>
        <v>12012</v>
      </c>
    </row>
    <row r="67" spans="1:12" x14ac:dyDescent="0.25">
      <c r="A67" s="2">
        <v>42160</v>
      </c>
      <c r="B67">
        <v>18</v>
      </c>
      <c r="C67">
        <v>0</v>
      </c>
      <c r="D67">
        <f t="shared" si="0"/>
        <v>12012</v>
      </c>
      <c r="E67">
        <f>IF(C67=0,ROUNDUP($AA$3*POWER(pogoda47[[#This Row],[temperatura_srednia]],1.5)*pogoda47[[#This Row],[stan_przed_dolaniem]],0),0)</f>
        <v>276</v>
      </c>
      <c r="F67">
        <f>pogoda47[[#This Row],[stan_przed_dolaniem]]-pogoda47[[#This Row],[ubytek]]</f>
        <v>11736</v>
      </c>
      <c r="G67">
        <f>IF(pogoda47[[#This Row],[opady]]*$AA$1+D67&gt;$AA$2,$AA$2-pogoda47[[#This Row],[stan_przed_dolaniem]],pogoda47[[#This Row],[opady]]*$AA$1)</f>
        <v>0</v>
      </c>
      <c r="H67">
        <f>pogoda47[[#This Row],[stan_po_ubytku]]+pogoda47[[#This Row],[ile_pogoda_dolała]]</f>
        <v>11736</v>
      </c>
      <c r="I67" cm="1">
        <f t="array" ref="I67">_xlfn.IFS(OR(pogoda47[[#This Row],[temperatura_srednia]]&lt;=15,pogoda47[[#This Row],[opady]]&gt;0.61),0,pogoda47[[#This Row],[temperatura_srednia]]&gt;30,24000,pogoda47[[#This Row],[temperatura_srednia]]&gt;15,12000)</f>
        <v>12000</v>
      </c>
      <c r="J67">
        <f>IF(pogoda47[[#This Row],[stan_po_dolaniu]]&lt;pogoda47[[#This Row],[ile_podlewamy]],$AA$2-pogoda47[[#This Row],[stan_po_dolaniu]],0)</f>
        <v>13264</v>
      </c>
      <c r="K67">
        <f>pogoda47[[#This Row],[stan_po_dolaniu]]+pogoda47[[#This Row],[ile_dolać_do_podlania]]</f>
        <v>25000</v>
      </c>
      <c r="L67">
        <f>pogoda47[[#This Row],[stan_po_dolaniu_do_podlania]]-pogoda47[[#This Row],[ile_podlewamy]]</f>
        <v>13000</v>
      </c>
    </row>
    <row r="68" spans="1:12" x14ac:dyDescent="0.25">
      <c r="A68" s="2">
        <v>42161</v>
      </c>
      <c r="B68">
        <v>22</v>
      </c>
      <c r="C68">
        <v>0</v>
      </c>
      <c r="D68">
        <f t="shared" ref="D68:D131" si="3">L67</f>
        <v>13000</v>
      </c>
      <c r="E68">
        <f>IF(C68=0,ROUNDUP($AA$3*POWER(pogoda47[[#This Row],[temperatura_srednia]],1.5)*pogoda47[[#This Row],[stan_przed_dolaniem]],0),0)</f>
        <v>403</v>
      </c>
      <c r="F68">
        <f>pogoda47[[#This Row],[stan_przed_dolaniem]]-pogoda47[[#This Row],[ubytek]]</f>
        <v>12597</v>
      </c>
      <c r="G68">
        <f>IF(pogoda47[[#This Row],[opady]]*$AA$1+D68&gt;$AA$2,$AA$2-pogoda47[[#This Row],[stan_przed_dolaniem]],pogoda47[[#This Row],[opady]]*$AA$1)</f>
        <v>0</v>
      </c>
      <c r="H68">
        <f>pogoda47[[#This Row],[stan_po_ubytku]]+pogoda47[[#This Row],[ile_pogoda_dolała]]</f>
        <v>12597</v>
      </c>
      <c r="I68" cm="1">
        <f t="array" ref="I68">_xlfn.IFS(OR(pogoda47[[#This Row],[temperatura_srednia]]&lt;=15,pogoda47[[#This Row],[opady]]&gt;0.61),0,pogoda47[[#This Row],[temperatura_srednia]]&gt;30,24000,pogoda47[[#This Row],[temperatura_srednia]]&gt;15,12000)</f>
        <v>12000</v>
      </c>
      <c r="J68">
        <f>IF(pogoda47[[#This Row],[stan_po_dolaniu]]&lt;pogoda47[[#This Row],[ile_podlewamy]],$AA$2-pogoda47[[#This Row],[stan_po_dolaniu]],0)</f>
        <v>0</v>
      </c>
      <c r="K68">
        <f>pogoda47[[#This Row],[stan_po_dolaniu]]+pogoda47[[#This Row],[ile_dolać_do_podlania]]</f>
        <v>12597</v>
      </c>
      <c r="L68">
        <f>pogoda47[[#This Row],[stan_po_dolaniu_do_podlania]]-pogoda47[[#This Row],[ile_podlewamy]]</f>
        <v>597</v>
      </c>
    </row>
    <row r="69" spans="1:12" x14ac:dyDescent="0.25">
      <c r="A69" s="2">
        <v>42162</v>
      </c>
      <c r="B69">
        <v>14</v>
      </c>
      <c r="C69">
        <v>8</v>
      </c>
      <c r="D69">
        <f t="shared" si="3"/>
        <v>597</v>
      </c>
      <c r="E69">
        <f>IF(C69=0,ROUNDUP($AA$3*POWER(pogoda47[[#This Row],[temperatura_srednia]],1.5)*pogoda47[[#This Row],[stan_przed_dolaniem]],0),0)</f>
        <v>0</v>
      </c>
      <c r="F69">
        <f>pogoda47[[#This Row],[stan_przed_dolaniem]]-pogoda47[[#This Row],[ubytek]]</f>
        <v>597</v>
      </c>
      <c r="G69">
        <f>IF(pogoda47[[#This Row],[opady]]*$AA$1+D69&gt;$AA$2,$AA$2-pogoda47[[#This Row],[stan_przed_dolaniem]],pogoda47[[#This Row],[opady]]*$AA$1)</f>
        <v>5600</v>
      </c>
      <c r="H69">
        <f>pogoda47[[#This Row],[stan_po_ubytku]]+pogoda47[[#This Row],[ile_pogoda_dolała]]</f>
        <v>6197</v>
      </c>
      <c r="I69" cm="1">
        <f t="array" ref="I69">_xlfn.IFS(OR(pogoda47[[#This Row],[temperatura_srednia]]&lt;=15,pogoda47[[#This Row],[opady]]&gt;0.61),0,pogoda47[[#This Row],[temperatura_srednia]]&gt;30,24000,pogoda47[[#This Row],[temperatura_srednia]]&gt;15,12000)</f>
        <v>0</v>
      </c>
      <c r="J69">
        <f>IF(pogoda47[[#This Row],[stan_po_dolaniu]]&lt;pogoda47[[#This Row],[ile_podlewamy]],$AA$2-pogoda47[[#This Row],[stan_po_dolaniu]],0)</f>
        <v>0</v>
      </c>
      <c r="K69">
        <f>pogoda47[[#This Row],[stan_po_dolaniu]]+pogoda47[[#This Row],[ile_dolać_do_podlania]]</f>
        <v>6197</v>
      </c>
      <c r="L69">
        <f>pogoda47[[#This Row],[stan_po_dolaniu_do_podlania]]-pogoda47[[#This Row],[ile_podlewamy]]</f>
        <v>6197</v>
      </c>
    </row>
    <row r="70" spans="1:12" x14ac:dyDescent="0.25">
      <c r="A70" s="2">
        <v>42163</v>
      </c>
      <c r="B70">
        <v>14</v>
      </c>
      <c r="C70">
        <v>5.9</v>
      </c>
      <c r="D70">
        <f t="shared" si="3"/>
        <v>6197</v>
      </c>
      <c r="E70">
        <f>IF(C70=0,ROUNDUP($AA$3*POWER(pogoda47[[#This Row],[temperatura_srednia]],1.5)*pogoda47[[#This Row],[stan_przed_dolaniem]],0),0)</f>
        <v>0</v>
      </c>
      <c r="F70">
        <f>pogoda47[[#This Row],[stan_przed_dolaniem]]-pogoda47[[#This Row],[ubytek]]</f>
        <v>6197</v>
      </c>
      <c r="G70">
        <f>IF(pogoda47[[#This Row],[opady]]*$AA$1+D70&gt;$AA$2,$AA$2-pogoda47[[#This Row],[stan_przed_dolaniem]],pogoda47[[#This Row],[opady]]*$AA$1)</f>
        <v>4130</v>
      </c>
      <c r="H70">
        <f>pogoda47[[#This Row],[stan_po_ubytku]]+pogoda47[[#This Row],[ile_pogoda_dolała]]</f>
        <v>10327</v>
      </c>
      <c r="I70" cm="1">
        <f t="array" ref="I70">_xlfn.IFS(OR(pogoda47[[#This Row],[temperatura_srednia]]&lt;=15,pogoda47[[#This Row],[opady]]&gt;0.61),0,pogoda47[[#This Row],[temperatura_srednia]]&gt;30,24000,pogoda47[[#This Row],[temperatura_srednia]]&gt;15,12000)</f>
        <v>0</v>
      </c>
      <c r="J70">
        <f>IF(pogoda47[[#This Row],[stan_po_dolaniu]]&lt;pogoda47[[#This Row],[ile_podlewamy]],$AA$2-pogoda47[[#This Row],[stan_po_dolaniu]],0)</f>
        <v>0</v>
      </c>
      <c r="K70">
        <f>pogoda47[[#This Row],[stan_po_dolaniu]]+pogoda47[[#This Row],[ile_dolać_do_podlania]]</f>
        <v>10327</v>
      </c>
      <c r="L70">
        <f>pogoda47[[#This Row],[stan_po_dolaniu_do_podlania]]-pogoda47[[#This Row],[ile_podlewamy]]</f>
        <v>10327</v>
      </c>
    </row>
    <row r="71" spans="1:12" x14ac:dyDescent="0.25">
      <c r="A71" s="2">
        <v>42164</v>
      </c>
      <c r="B71">
        <v>12</v>
      </c>
      <c r="C71">
        <v>5</v>
      </c>
      <c r="D71">
        <f t="shared" si="3"/>
        <v>10327</v>
      </c>
      <c r="E71">
        <f>IF(C71=0,ROUNDUP($AA$3*POWER(pogoda47[[#This Row],[temperatura_srednia]],1.5)*pogoda47[[#This Row],[stan_przed_dolaniem]],0),0)</f>
        <v>0</v>
      </c>
      <c r="F71">
        <f>pogoda47[[#This Row],[stan_przed_dolaniem]]-pogoda47[[#This Row],[ubytek]]</f>
        <v>10327</v>
      </c>
      <c r="G71">
        <f>IF(pogoda47[[#This Row],[opady]]*$AA$1+D71&gt;$AA$2,$AA$2-pogoda47[[#This Row],[stan_przed_dolaniem]],pogoda47[[#This Row],[opady]]*$AA$1)</f>
        <v>3500</v>
      </c>
      <c r="H71">
        <f>pogoda47[[#This Row],[stan_po_ubytku]]+pogoda47[[#This Row],[ile_pogoda_dolała]]</f>
        <v>13827</v>
      </c>
      <c r="I71" cm="1">
        <f t="array" ref="I71">_xlfn.IFS(OR(pogoda47[[#This Row],[temperatura_srednia]]&lt;=15,pogoda47[[#This Row],[opady]]&gt;0.61),0,pogoda47[[#This Row],[temperatura_srednia]]&gt;30,24000,pogoda47[[#This Row],[temperatura_srednia]]&gt;15,12000)</f>
        <v>0</v>
      </c>
      <c r="J71">
        <f>IF(pogoda47[[#This Row],[stan_po_dolaniu]]&lt;pogoda47[[#This Row],[ile_podlewamy]],$AA$2-pogoda47[[#This Row],[stan_po_dolaniu]],0)</f>
        <v>0</v>
      </c>
      <c r="K71">
        <f>pogoda47[[#This Row],[stan_po_dolaniu]]+pogoda47[[#This Row],[ile_dolać_do_podlania]]</f>
        <v>13827</v>
      </c>
      <c r="L71">
        <f>pogoda47[[#This Row],[stan_po_dolaniu_do_podlania]]-pogoda47[[#This Row],[ile_podlewamy]]</f>
        <v>13827</v>
      </c>
    </row>
    <row r="72" spans="1:12" x14ac:dyDescent="0.25">
      <c r="A72" s="2">
        <v>42165</v>
      </c>
      <c r="B72">
        <v>16</v>
      </c>
      <c r="C72">
        <v>0</v>
      </c>
      <c r="D72">
        <f t="shared" si="3"/>
        <v>13827</v>
      </c>
      <c r="E72">
        <f>IF(C72=0,ROUNDUP($AA$3*POWER(pogoda47[[#This Row],[temperatura_srednia]],1.5)*pogoda47[[#This Row],[stan_przed_dolaniem]],0),0)</f>
        <v>266</v>
      </c>
      <c r="F72">
        <f>pogoda47[[#This Row],[stan_przed_dolaniem]]-pogoda47[[#This Row],[ubytek]]</f>
        <v>13561</v>
      </c>
      <c r="G72">
        <f>IF(pogoda47[[#This Row],[opady]]*$AA$1+D72&gt;$AA$2,$AA$2-pogoda47[[#This Row],[stan_przed_dolaniem]],pogoda47[[#This Row],[opady]]*$AA$1)</f>
        <v>0</v>
      </c>
      <c r="H72">
        <f>pogoda47[[#This Row],[stan_po_ubytku]]+pogoda47[[#This Row],[ile_pogoda_dolała]]</f>
        <v>13561</v>
      </c>
      <c r="I72" cm="1">
        <f t="array" ref="I72">_xlfn.IFS(OR(pogoda47[[#This Row],[temperatura_srednia]]&lt;=15,pogoda47[[#This Row],[opady]]&gt;0.61),0,pogoda47[[#This Row],[temperatura_srednia]]&gt;30,24000,pogoda47[[#This Row],[temperatura_srednia]]&gt;15,12000)</f>
        <v>12000</v>
      </c>
      <c r="J72">
        <f>IF(pogoda47[[#This Row],[stan_po_dolaniu]]&lt;pogoda47[[#This Row],[ile_podlewamy]],$AA$2-pogoda47[[#This Row],[stan_po_dolaniu]],0)</f>
        <v>0</v>
      </c>
      <c r="K72">
        <f>pogoda47[[#This Row],[stan_po_dolaniu]]+pogoda47[[#This Row],[ile_dolać_do_podlania]]</f>
        <v>13561</v>
      </c>
      <c r="L72">
        <f>pogoda47[[#This Row],[stan_po_dolaniu_do_podlania]]-pogoda47[[#This Row],[ile_podlewamy]]</f>
        <v>1561</v>
      </c>
    </row>
    <row r="73" spans="1:12" x14ac:dyDescent="0.25">
      <c r="A73" s="2">
        <v>42166</v>
      </c>
      <c r="B73">
        <v>16</v>
      </c>
      <c r="C73">
        <v>0</v>
      </c>
      <c r="D73">
        <f t="shared" si="3"/>
        <v>1561</v>
      </c>
      <c r="E73">
        <f>IF(C73=0,ROUNDUP($AA$3*POWER(pogoda47[[#This Row],[temperatura_srednia]],1.5)*pogoda47[[#This Row],[stan_przed_dolaniem]],0),0)</f>
        <v>30</v>
      </c>
      <c r="F73">
        <f>pogoda47[[#This Row],[stan_przed_dolaniem]]-pogoda47[[#This Row],[ubytek]]</f>
        <v>1531</v>
      </c>
      <c r="G73">
        <f>IF(pogoda47[[#This Row],[opady]]*$AA$1+D73&gt;$AA$2,$AA$2-pogoda47[[#This Row],[stan_przed_dolaniem]],pogoda47[[#This Row],[opady]]*$AA$1)</f>
        <v>0</v>
      </c>
      <c r="H73">
        <f>pogoda47[[#This Row],[stan_po_ubytku]]+pogoda47[[#This Row],[ile_pogoda_dolała]]</f>
        <v>1531</v>
      </c>
      <c r="I73" cm="1">
        <f t="array" ref="I73">_xlfn.IFS(OR(pogoda47[[#This Row],[temperatura_srednia]]&lt;=15,pogoda47[[#This Row],[opady]]&gt;0.61),0,pogoda47[[#This Row],[temperatura_srednia]]&gt;30,24000,pogoda47[[#This Row],[temperatura_srednia]]&gt;15,12000)</f>
        <v>12000</v>
      </c>
      <c r="J73">
        <f>IF(pogoda47[[#This Row],[stan_po_dolaniu]]&lt;pogoda47[[#This Row],[ile_podlewamy]],$AA$2-pogoda47[[#This Row],[stan_po_dolaniu]],0)</f>
        <v>23469</v>
      </c>
      <c r="K73">
        <f>pogoda47[[#This Row],[stan_po_dolaniu]]+pogoda47[[#This Row],[ile_dolać_do_podlania]]</f>
        <v>25000</v>
      </c>
      <c r="L73">
        <f>pogoda47[[#This Row],[stan_po_dolaniu_do_podlania]]-pogoda47[[#This Row],[ile_podlewamy]]</f>
        <v>13000</v>
      </c>
    </row>
    <row r="74" spans="1:12" x14ac:dyDescent="0.25">
      <c r="A74" s="2">
        <v>42167</v>
      </c>
      <c r="B74">
        <v>18</v>
      </c>
      <c r="C74">
        <v>5</v>
      </c>
      <c r="D74">
        <f t="shared" si="3"/>
        <v>13000</v>
      </c>
      <c r="E74">
        <f>IF(C74=0,ROUNDUP($AA$3*POWER(pogoda47[[#This Row],[temperatura_srednia]],1.5)*pogoda47[[#This Row],[stan_przed_dolaniem]],0),0)</f>
        <v>0</v>
      </c>
      <c r="F74">
        <f>pogoda47[[#This Row],[stan_przed_dolaniem]]-pogoda47[[#This Row],[ubytek]]</f>
        <v>13000</v>
      </c>
      <c r="G74">
        <f>IF(pogoda47[[#This Row],[opady]]*$AA$1+D74&gt;$AA$2,$AA$2-pogoda47[[#This Row],[stan_przed_dolaniem]],pogoda47[[#This Row],[opady]]*$AA$1)</f>
        <v>3500</v>
      </c>
      <c r="H74">
        <f>pogoda47[[#This Row],[stan_po_ubytku]]+pogoda47[[#This Row],[ile_pogoda_dolała]]</f>
        <v>16500</v>
      </c>
      <c r="I74" cm="1">
        <f t="array" ref="I74">_xlfn.IFS(OR(pogoda47[[#This Row],[temperatura_srednia]]&lt;=15,pogoda47[[#This Row],[opady]]&gt;0.61),0,pogoda47[[#This Row],[temperatura_srednia]]&gt;30,24000,pogoda47[[#This Row],[temperatura_srednia]]&gt;15,12000)</f>
        <v>0</v>
      </c>
      <c r="J74">
        <f>IF(pogoda47[[#This Row],[stan_po_dolaniu]]&lt;pogoda47[[#This Row],[ile_podlewamy]],$AA$2-pogoda47[[#This Row],[stan_po_dolaniu]],0)</f>
        <v>0</v>
      </c>
      <c r="K74">
        <f>pogoda47[[#This Row],[stan_po_dolaniu]]+pogoda47[[#This Row],[ile_dolać_do_podlania]]</f>
        <v>16500</v>
      </c>
      <c r="L74">
        <f>pogoda47[[#This Row],[stan_po_dolaniu_do_podlania]]-pogoda47[[#This Row],[ile_podlewamy]]</f>
        <v>16500</v>
      </c>
    </row>
    <row r="75" spans="1:12" x14ac:dyDescent="0.25">
      <c r="A75" s="2">
        <v>42168</v>
      </c>
      <c r="B75">
        <v>19</v>
      </c>
      <c r="C75">
        <v>1</v>
      </c>
      <c r="D75">
        <f t="shared" si="3"/>
        <v>16500</v>
      </c>
      <c r="E75">
        <f>IF(C75=0,ROUNDUP($AA$3*POWER(pogoda47[[#This Row],[temperatura_srednia]],1.5)*pogoda47[[#This Row],[stan_przed_dolaniem]],0),0)</f>
        <v>0</v>
      </c>
      <c r="F75">
        <f>pogoda47[[#This Row],[stan_przed_dolaniem]]-pogoda47[[#This Row],[ubytek]]</f>
        <v>16500</v>
      </c>
      <c r="G75">
        <f>IF(pogoda47[[#This Row],[opady]]*$AA$1+D75&gt;$AA$2,$AA$2-pogoda47[[#This Row],[stan_przed_dolaniem]],pogoda47[[#This Row],[opady]]*$AA$1)</f>
        <v>700</v>
      </c>
      <c r="H75">
        <f>pogoda47[[#This Row],[stan_po_ubytku]]+pogoda47[[#This Row],[ile_pogoda_dolała]]</f>
        <v>17200</v>
      </c>
      <c r="I75" cm="1">
        <f t="array" ref="I75">_xlfn.IFS(OR(pogoda47[[#This Row],[temperatura_srednia]]&lt;=15,pogoda47[[#This Row],[opady]]&gt;0.61),0,pogoda47[[#This Row],[temperatura_srednia]]&gt;30,24000,pogoda47[[#This Row],[temperatura_srednia]]&gt;15,12000)</f>
        <v>0</v>
      </c>
      <c r="J75">
        <f>IF(pogoda47[[#This Row],[stan_po_dolaniu]]&lt;pogoda47[[#This Row],[ile_podlewamy]],$AA$2-pogoda47[[#This Row],[stan_po_dolaniu]],0)</f>
        <v>0</v>
      </c>
      <c r="K75">
        <f>pogoda47[[#This Row],[stan_po_dolaniu]]+pogoda47[[#This Row],[ile_dolać_do_podlania]]</f>
        <v>17200</v>
      </c>
      <c r="L75">
        <f>pogoda47[[#This Row],[stan_po_dolaniu_do_podlania]]-pogoda47[[#This Row],[ile_podlewamy]]</f>
        <v>17200</v>
      </c>
    </row>
    <row r="76" spans="1:12" x14ac:dyDescent="0.25">
      <c r="A76" s="2">
        <v>42169</v>
      </c>
      <c r="B76">
        <v>22</v>
      </c>
      <c r="C76">
        <v>0</v>
      </c>
      <c r="D76">
        <f t="shared" si="3"/>
        <v>17200</v>
      </c>
      <c r="E76">
        <f>IF(C76=0,ROUNDUP($AA$3*POWER(pogoda47[[#This Row],[temperatura_srednia]],1.5)*pogoda47[[#This Row],[stan_przed_dolaniem]],0),0)</f>
        <v>533</v>
      </c>
      <c r="F76">
        <f>pogoda47[[#This Row],[stan_przed_dolaniem]]-pogoda47[[#This Row],[ubytek]]</f>
        <v>16667</v>
      </c>
      <c r="G76">
        <f>IF(pogoda47[[#This Row],[opady]]*$AA$1+D76&gt;$AA$2,$AA$2-pogoda47[[#This Row],[stan_przed_dolaniem]],pogoda47[[#This Row],[opady]]*$AA$1)</f>
        <v>0</v>
      </c>
      <c r="H76">
        <f>pogoda47[[#This Row],[stan_po_ubytku]]+pogoda47[[#This Row],[ile_pogoda_dolała]]</f>
        <v>16667</v>
      </c>
      <c r="I76" cm="1">
        <f t="array" ref="I76">_xlfn.IFS(OR(pogoda47[[#This Row],[temperatura_srednia]]&lt;=15,pogoda47[[#This Row],[opady]]&gt;0.61),0,pogoda47[[#This Row],[temperatura_srednia]]&gt;30,24000,pogoda47[[#This Row],[temperatura_srednia]]&gt;15,12000)</f>
        <v>12000</v>
      </c>
      <c r="J76">
        <f>IF(pogoda47[[#This Row],[stan_po_dolaniu]]&lt;pogoda47[[#This Row],[ile_podlewamy]],$AA$2-pogoda47[[#This Row],[stan_po_dolaniu]],0)</f>
        <v>0</v>
      </c>
      <c r="K76">
        <f>pogoda47[[#This Row],[stan_po_dolaniu]]+pogoda47[[#This Row],[ile_dolać_do_podlania]]</f>
        <v>16667</v>
      </c>
      <c r="L76">
        <f>pogoda47[[#This Row],[stan_po_dolaniu_do_podlania]]-pogoda47[[#This Row],[ile_podlewamy]]</f>
        <v>4667</v>
      </c>
    </row>
    <row r="77" spans="1:12" x14ac:dyDescent="0.25">
      <c r="A77" s="2">
        <v>42170</v>
      </c>
      <c r="B77">
        <v>16</v>
      </c>
      <c r="C77">
        <v>0</v>
      </c>
      <c r="D77">
        <f t="shared" si="3"/>
        <v>4667</v>
      </c>
      <c r="E77">
        <f>IF(C77=0,ROUNDUP($AA$3*POWER(pogoda47[[#This Row],[temperatura_srednia]],1.5)*pogoda47[[#This Row],[stan_przed_dolaniem]],0),0)</f>
        <v>90</v>
      </c>
      <c r="F77">
        <f>pogoda47[[#This Row],[stan_przed_dolaniem]]-pogoda47[[#This Row],[ubytek]]</f>
        <v>4577</v>
      </c>
      <c r="G77">
        <f>IF(pogoda47[[#This Row],[opady]]*$AA$1+D77&gt;$AA$2,$AA$2-pogoda47[[#This Row],[stan_przed_dolaniem]],pogoda47[[#This Row],[opady]]*$AA$1)</f>
        <v>0</v>
      </c>
      <c r="H77">
        <f>pogoda47[[#This Row],[stan_po_ubytku]]+pogoda47[[#This Row],[ile_pogoda_dolała]]</f>
        <v>4577</v>
      </c>
      <c r="I77" cm="1">
        <f t="array" ref="I77">_xlfn.IFS(OR(pogoda47[[#This Row],[temperatura_srednia]]&lt;=15,pogoda47[[#This Row],[opady]]&gt;0.61),0,pogoda47[[#This Row],[temperatura_srednia]]&gt;30,24000,pogoda47[[#This Row],[temperatura_srednia]]&gt;15,12000)</f>
        <v>12000</v>
      </c>
      <c r="J77">
        <f>IF(pogoda47[[#This Row],[stan_po_dolaniu]]&lt;pogoda47[[#This Row],[ile_podlewamy]],$AA$2-pogoda47[[#This Row],[stan_po_dolaniu]],0)</f>
        <v>20423</v>
      </c>
      <c r="K77">
        <f>pogoda47[[#This Row],[stan_po_dolaniu]]+pogoda47[[#This Row],[ile_dolać_do_podlania]]</f>
        <v>25000</v>
      </c>
      <c r="L77">
        <f>pogoda47[[#This Row],[stan_po_dolaniu_do_podlania]]-pogoda47[[#This Row],[ile_podlewamy]]</f>
        <v>13000</v>
      </c>
    </row>
    <row r="78" spans="1:12" x14ac:dyDescent="0.25">
      <c r="A78" s="2">
        <v>42171</v>
      </c>
      <c r="B78">
        <v>12</v>
      </c>
      <c r="C78">
        <v>0</v>
      </c>
      <c r="D78">
        <f t="shared" si="3"/>
        <v>13000</v>
      </c>
      <c r="E78">
        <f>IF(C78=0,ROUNDUP($AA$3*POWER(pogoda47[[#This Row],[temperatura_srednia]],1.5)*pogoda47[[#This Row],[stan_przed_dolaniem]],0),0)</f>
        <v>163</v>
      </c>
      <c r="F78">
        <f>pogoda47[[#This Row],[stan_przed_dolaniem]]-pogoda47[[#This Row],[ubytek]]</f>
        <v>12837</v>
      </c>
      <c r="G78">
        <f>IF(pogoda47[[#This Row],[opady]]*$AA$1+D78&gt;$AA$2,$AA$2-pogoda47[[#This Row],[stan_przed_dolaniem]],pogoda47[[#This Row],[opady]]*$AA$1)</f>
        <v>0</v>
      </c>
      <c r="H78">
        <f>pogoda47[[#This Row],[stan_po_ubytku]]+pogoda47[[#This Row],[ile_pogoda_dolała]]</f>
        <v>12837</v>
      </c>
      <c r="I78" cm="1">
        <f t="array" ref="I78">_xlfn.IFS(OR(pogoda47[[#This Row],[temperatura_srednia]]&lt;=15,pogoda47[[#This Row],[opady]]&gt;0.61),0,pogoda47[[#This Row],[temperatura_srednia]]&gt;30,24000,pogoda47[[#This Row],[temperatura_srednia]]&gt;15,12000)</f>
        <v>0</v>
      </c>
      <c r="J78">
        <f>IF(pogoda47[[#This Row],[stan_po_dolaniu]]&lt;pogoda47[[#This Row],[ile_podlewamy]],$AA$2-pogoda47[[#This Row],[stan_po_dolaniu]],0)</f>
        <v>0</v>
      </c>
      <c r="K78">
        <f>pogoda47[[#This Row],[stan_po_dolaniu]]+pogoda47[[#This Row],[ile_dolać_do_podlania]]</f>
        <v>12837</v>
      </c>
      <c r="L78">
        <f>pogoda47[[#This Row],[stan_po_dolaniu_do_podlania]]-pogoda47[[#This Row],[ile_podlewamy]]</f>
        <v>12837</v>
      </c>
    </row>
    <row r="79" spans="1:12" x14ac:dyDescent="0.25">
      <c r="A79" s="2">
        <v>42172</v>
      </c>
      <c r="B79">
        <v>14</v>
      </c>
      <c r="C79">
        <v>0</v>
      </c>
      <c r="D79">
        <f t="shared" si="3"/>
        <v>12837</v>
      </c>
      <c r="E79">
        <f>IF(C79=0,ROUNDUP($AA$3*POWER(pogoda47[[#This Row],[temperatura_srednia]],1.5)*pogoda47[[#This Row],[stan_przed_dolaniem]],0),0)</f>
        <v>202</v>
      </c>
      <c r="F79">
        <f>pogoda47[[#This Row],[stan_przed_dolaniem]]-pogoda47[[#This Row],[ubytek]]</f>
        <v>12635</v>
      </c>
      <c r="G79">
        <f>IF(pogoda47[[#This Row],[opady]]*$AA$1+D79&gt;$AA$2,$AA$2-pogoda47[[#This Row],[stan_przed_dolaniem]],pogoda47[[#This Row],[opady]]*$AA$1)</f>
        <v>0</v>
      </c>
      <c r="H79">
        <f>pogoda47[[#This Row],[stan_po_ubytku]]+pogoda47[[#This Row],[ile_pogoda_dolała]]</f>
        <v>12635</v>
      </c>
      <c r="I79" cm="1">
        <f t="array" ref="I79">_xlfn.IFS(OR(pogoda47[[#This Row],[temperatura_srednia]]&lt;=15,pogoda47[[#This Row],[opady]]&gt;0.61),0,pogoda47[[#This Row],[temperatura_srednia]]&gt;30,24000,pogoda47[[#This Row],[temperatura_srednia]]&gt;15,12000)</f>
        <v>0</v>
      </c>
      <c r="J79">
        <f>IF(pogoda47[[#This Row],[stan_po_dolaniu]]&lt;pogoda47[[#This Row],[ile_podlewamy]],$AA$2-pogoda47[[#This Row],[stan_po_dolaniu]],0)</f>
        <v>0</v>
      </c>
      <c r="K79">
        <f>pogoda47[[#This Row],[stan_po_dolaniu]]+pogoda47[[#This Row],[ile_dolać_do_podlania]]</f>
        <v>12635</v>
      </c>
      <c r="L79">
        <f>pogoda47[[#This Row],[stan_po_dolaniu_do_podlania]]-pogoda47[[#This Row],[ile_podlewamy]]</f>
        <v>12635</v>
      </c>
    </row>
    <row r="80" spans="1:12" x14ac:dyDescent="0.25">
      <c r="A80" s="2">
        <v>42173</v>
      </c>
      <c r="B80">
        <v>16</v>
      </c>
      <c r="C80">
        <v>0.3</v>
      </c>
      <c r="D80">
        <f t="shared" si="3"/>
        <v>12635</v>
      </c>
      <c r="E80">
        <f>IF(C80=0,ROUNDUP($AA$3*POWER(pogoda47[[#This Row],[temperatura_srednia]],1.5)*pogoda47[[#This Row],[stan_przed_dolaniem]],0),0)</f>
        <v>0</v>
      </c>
      <c r="F80">
        <f>pogoda47[[#This Row],[stan_przed_dolaniem]]-pogoda47[[#This Row],[ubytek]]</f>
        <v>12635</v>
      </c>
      <c r="G80">
        <f>IF(pogoda47[[#This Row],[opady]]*$AA$1+D80&gt;$AA$2,$AA$2-pogoda47[[#This Row],[stan_przed_dolaniem]],pogoda47[[#This Row],[opady]]*$AA$1)</f>
        <v>210</v>
      </c>
      <c r="H80">
        <f>pogoda47[[#This Row],[stan_po_ubytku]]+pogoda47[[#This Row],[ile_pogoda_dolała]]</f>
        <v>12845</v>
      </c>
      <c r="I80" cm="1">
        <f t="array" ref="I80">_xlfn.IFS(OR(pogoda47[[#This Row],[temperatura_srednia]]&lt;=15,pogoda47[[#This Row],[opady]]&gt;0.61),0,pogoda47[[#This Row],[temperatura_srednia]]&gt;30,24000,pogoda47[[#This Row],[temperatura_srednia]]&gt;15,12000)</f>
        <v>12000</v>
      </c>
      <c r="J80">
        <f>IF(pogoda47[[#This Row],[stan_po_dolaniu]]&lt;pogoda47[[#This Row],[ile_podlewamy]],$AA$2-pogoda47[[#This Row],[stan_po_dolaniu]],0)</f>
        <v>0</v>
      </c>
      <c r="K80">
        <f>pogoda47[[#This Row],[stan_po_dolaniu]]+pogoda47[[#This Row],[ile_dolać_do_podlania]]</f>
        <v>12845</v>
      </c>
      <c r="L80">
        <f>pogoda47[[#This Row],[stan_po_dolaniu_do_podlania]]-pogoda47[[#This Row],[ile_podlewamy]]</f>
        <v>845</v>
      </c>
    </row>
    <row r="81" spans="1:12" x14ac:dyDescent="0.25">
      <c r="A81" s="2">
        <v>42174</v>
      </c>
      <c r="B81">
        <v>12</v>
      </c>
      <c r="C81">
        <v>3</v>
      </c>
      <c r="D81">
        <f t="shared" si="3"/>
        <v>845</v>
      </c>
      <c r="E81">
        <f>IF(C81=0,ROUNDUP($AA$3*POWER(pogoda47[[#This Row],[temperatura_srednia]],1.5)*pogoda47[[#This Row],[stan_przed_dolaniem]],0),0)</f>
        <v>0</v>
      </c>
      <c r="F81">
        <f>pogoda47[[#This Row],[stan_przed_dolaniem]]-pogoda47[[#This Row],[ubytek]]</f>
        <v>845</v>
      </c>
      <c r="G81">
        <f>IF(pogoda47[[#This Row],[opady]]*$AA$1+D81&gt;$AA$2,$AA$2-pogoda47[[#This Row],[stan_przed_dolaniem]],pogoda47[[#This Row],[opady]]*$AA$1)</f>
        <v>2100</v>
      </c>
      <c r="H81">
        <f>pogoda47[[#This Row],[stan_po_ubytku]]+pogoda47[[#This Row],[ile_pogoda_dolała]]</f>
        <v>2945</v>
      </c>
      <c r="I81" cm="1">
        <f t="array" ref="I81">_xlfn.IFS(OR(pogoda47[[#This Row],[temperatura_srednia]]&lt;=15,pogoda47[[#This Row],[opady]]&gt;0.61),0,pogoda47[[#This Row],[temperatura_srednia]]&gt;30,24000,pogoda47[[#This Row],[temperatura_srednia]]&gt;15,12000)</f>
        <v>0</v>
      </c>
      <c r="J81">
        <f>IF(pogoda47[[#This Row],[stan_po_dolaniu]]&lt;pogoda47[[#This Row],[ile_podlewamy]],$AA$2-pogoda47[[#This Row],[stan_po_dolaniu]],0)</f>
        <v>0</v>
      </c>
      <c r="K81">
        <f>pogoda47[[#This Row],[stan_po_dolaniu]]+pogoda47[[#This Row],[ile_dolać_do_podlania]]</f>
        <v>2945</v>
      </c>
      <c r="L81">
        <f>pogoda47[[#This Row],[stan_po_dolaniu_do_podlania]]-pogoda47[[#This Row],[ile_podlewamy]]</f>
        <v>2945</v>
      </c>
    </row>
    <row r="82" spans="1:12" x14ac:dyDescent="0.25">
      <c r="A82" s="2">
        <v>42175</v>
      </c>
      <c r="B82">
        <v>13</v>
      </c>
      <c r="C82">
        <v>2</v>
      </c>
      <c r="D82">
        <f t="shared" si="3"/>
        <v>2945</v>
      </c>
      <c r="E82">
        <f>IF(C82=0,ROUNDUP($AA$3*POWER(pogoda47[[#This Row],[temperatura_srednia]],1.5)*pogoda47[[#This Row],[stan_przed_dolaniem]],0),0)</f>
        <v>0</v>
      </c>
      <c r="F82">
        <f>pogoda47[[#This Row],[stan_przed_dolaniem]]-pogoda47[[#This Row],[ubytek]]</f>
        <v>2945</v>
      </c>
      <c r="G82">
        <f>IF(pogoda47[[#This Row],[opady]]*$AA$1+D82&gt;$AA$2,$AA$2-pogoda47[[#This Row],[stan_przed_dolaniem]],pogoda47[[#This Row],[opady]]*$AA$1)</f>
        <v>1400</v>
      </c>
      <c r="H82">
        <f>pogoda47[[#This Row],[stan_po_ubytku]]+pogoda47[[#This Row],[ile_pogoda_dolała]]</f>
        <v>4345</v>
      </c>
      <c r="I82" cm="1">
        <f t="array" ref="I82">_xlfn.IFS(OR(pogoda47[[#This Row],[temperatura_srednia]]&lt;=15,pogoda47[[#This Row],[opady]]&gt;0.61),0,pogoda47[[#This Row],[temperatura_srednia]]&gt;30,24000,pogoda47[[#This Row],[temperatura_srednia]]&gt;15,12000)</f>
        <v>0</v>
      </c>
      <c r="J82">
        <f>IF(pogoda47[[#This Row],[stan_po_dolaniu]]&lt;pogoda47[[#This Row],[ile_podlewamy]],$AA$2-pogoda47[[#This Row],[stan_po_dolaniu]],0)</f>
        <v>0</v>
      </c>
      <c r="K82">
        <f>pogoda47[[#This Row],[stan_po_dolaniu]]+pogoda47[[#This Row],[ile_dolać_do_podlania]]</f>
        <v>4345</v>
      </c>
      <c r="L82">
        <f>pogoda47[[#This Row],[stan_po_dolaniu_do_podlania]]-pogoda47[[#This Row],[ile_podlewamy]]</f>
        <v>4345</v>
      </c>
    </row>
    <row r="83" spans="1:12" x14ac:dyDescent="0.25">
      <c r="A83" s="2">
        <v>42176</v>
      </c>
      <c r="B83">
        <v>12</v>
      </c>
      <c r="C83">
        <v>0</v>
      </c>
      <c r="D83">
        <f t="shared" si="3"/>
        <v>4345</v>
      </c>
      <c r="E83">
        <f>IF(C83=0,ROUNDUP($AA$3*POWER(pogoda47[[#This Row],[temperatura_srednia]],1.5)*pogoda47[[#This Row],[stan_przed_dolaniem]],0),0)</f>
        <v>55</v>
      </c>
      <c r="F83">
        <f>pogoda47[[#This Row],[stan_przed_dolaniem]]-pogoda47[[#This Row],[ubytek]]</f>
        <v>4290</v>
      </c>
      <c r="G83">
        <f>IF(pogoda47[[#This Row],[opady]]*$AA$1+D83&gt;$AA$2,$AA$2-pogoda47[[#This Row],[stan_przed_dolaniem]],pogoda47[[#This Row],[opady]]*$AA$1)</f>
        <v>0</v>
      </c>
      <c r="H83">
        <f>pogoda47[[#This Row],[stan_po_ubytku]]+pogoda47[[#This Row],[ile_pogoda_dolała]]</f>
        <v>4290</v>
      </c>
      <c r="I83" cm="1">
        <f t="array" ref="I83">_xlfn.IFS(OR(pogoda47[[#This Row],[temperatura_srednia]]&lt;=15,pogoda47[[#This Row],[opady]]&gt;0.61),0,pogoda47[[#This Row],[temperatura_srednia]]&gt;30,24000,pogoda47[[#This Row],[temperatura_srednia]]&gt;15,12000)</f>
        <v>0</v>
      </c>
      <c r="J83">
        <f>IF(pogoda47[[#This Row],[stan_po_dolaniu]]&lt;pogoda47[[#This Row],[ile_podlewamy]],$AA$2-pogoda47[[#This Row],[stan_po_dolaniu]],0)</f>
        <v>0</v>
      </c>
      <c r="K83">
        <f>pogoda47[[#This Row],[stan_po_dolaniu]]+pogoda47[[#This Row],[ile_dolać_do_podlania]]</f>
        <v>4290</v>
      </c>
      <c r="L83">
        <f>pogoda47[[#This Row],[stan_po_dolaniu_do_podlania]]-pogoda47[[#This Row],[ile_podlewamy]]</f>
        <v>4290</v>
      </c>
    </row>
    <row r="84" spans="1:12" x14ac:dyDescent="0.25">
      <c r="A84" s="2">
        <v>42177</v>
      </c>
      <c r="B84">
        <v>12</v>
      </c>
      <c r="C84">
        <v>3</v>
      </c>
      <c r="D84">
        <f t="shared" si="3"/>
        <v>4290</v>
      </c>
      <c r="E84">
        <f>IF(C84=0,ROUNDUP($AA$3*POWER(pogoda47[[#This Row],[temperatura_srednia]],1.5)*pogoda47[[#This Row],[stan_przed_dolaniem]],0),0)</f>
        <v>0</v>
      </c>
      <c r="F84">
        <f>pogoda47[[#This Row],[stan_przed_dolaniem]]-pogoda47[[#This Row],[ubytek]]</f>
        <v>4290</v>
      </c>
      <c r="G84">
        <f>IF(pogoda47[[#This Row],[opady]]*$AA$1+D84&gt;$AA$2,$AA$2-pogoda47[[#This Row],[stan_przed_dolaniem]],pogoda47[[#This Row],[opady]]*$AA$1)</f>
        <v>2100</v>
      </c>
      <c r="H84">
        <f>pogoda47[[#This Row],[stan_po_ubytku]]+pogoda47[[#This Row],[ile_pogoda_dolała]]</f>
        <v>6390</v>
      </c>
      <c r="I84" cm="1">
        <f t="array" ref="I84">_xlfn.IFS(OR(pogoda47[[#This Row],[temperatura_srednia]]&lt;=15,pogoda47[[#This Row],[opady]]&gt;0.61),0,pogoda47[[#This Row],[temperatura_srednia]]&gt;30,24000,pogoda47[[#This Row],[temperatura_srednia]]&gt;15,12000)</f>
        <v>0</v>
      </c>
      <c r="J84">
        <f>IF(pogoda47[[#This Row],[stan_po_dolaniu]]&lt;pogoda47[[#This Row],[ile_podlewamy]],$AA$2-pogoda47[[#This Row],[stan_po_dolaniu]],0)</f>
        <v>0</v>
      </c>
      <c r="K84">
        <f>pogoda47[[#This Row],[stan_po_dolaniu]]+pogoda47[[#This Row],[ile_dolać_do_podlania]]</f>
        <v>6390</v>
      </c>
      <c r="L84">
        <f>pogoda47[[#This Row],[stan_po_dolaniu_do_podlania]]-pogoda47[[#This Row],[ile_podlewamy]]</f>
        <v>6390</v>
      </c>
    </row>
    <row r="85" spans="1:12" x14ac:dyDescent="0.25">
      <c r="A85" s="2">
        <v>42178</v>
      </c>
      <c r="B85">
        <v>13</v>
      </c>
      <c r="C85">
        <v>3</v>
      </c>
      <c r="D85">
        <f t="shared" si="3"/>
        <v>6390</v>
      </c>
      <c r="E85">
        <f>IF(C85=0,ROUNDUP($AA$3*POWER(pogoda47[[#This Row],[temperatura_srednia]],1.5)*pogoda47[[#This Row],[stan_przed_dolaniem]],0),0)</f>
        <v>0</v>
      </c>
      <c r="F85">
        <f>pogoda47[[#This Row],[stan_przed_dolaniem]]-pogoda47[[#This Row],[ubytek]]</f>
        <v>6390</v>
      </c>
      <c r="G85">
        <f>IF(pogoda47[[#This Row],[opady]]*$AA$1+D85&gt;$AA$2,$AA$2-pogoda47[[#This Row],[stan_przed_dolaniem]],pogoda47[[#This Row],[opady]]*$AA$1)</f>
        <v>2100</v>
      </c>
      <c r="H85">
        <f>pogoda47[[#This Row],[stan_po_ubytku]]+pogoda47[[#This Row],[ile_pogoda_dolała]]</f>
        <v>8490</v>
      </c>
      <c r="I85" cm="1">
        <f t="array" ref="I85">_xlfn.IFS(OR(pogoda47[[#This Row],[temperatura_srednia]]&lt;=15,pogoda47[[#This Row],[opady]]&gt;0.61),0,pogoda47[[#This Row],[temperatura_srednia]]&gt;30,24000,pogoda47[[#This Row],[temperatura_srednia]]&gt;15,12000)</f>
        <v>0</v>
      </c>
      <c r="J85">
        <f>IF(pogoda47[[#This Row],[stan_po_dolaniu]]&lt;pogoda47[[#This Row],[ile_podlewamy]],$AA$2-pogoda47[[#This Row],[stan_po_dolaniu]],0)</f>
        <v>0</v>
      </c>
      <c r="K85">
        <f>pogoda47[[#This Row],[stan_po_dolaniu]]+pogoda47[[#This Row],[ile_dolać_do_podlania]]</f>
        <v>8490</v>
      </c>
      <c r="L85">
        <f>pogoda47[[#This Row],[stan_po_dolaniu_do_podlania]]-pogoda47[[#This Row],[ile_podlewamy]]</f>
        <v>8490</v>
      </c>
    </row>
    <row r="86" spans="1:12" x14ac:dyDescent="0.25">
      <c r="A86" s="2">
        <v>42179</v>
      </c>
      <c r="B86">
        <v>12</v>
      </c>
      <c r="C86">
        <v>0</v>
      </c>
      <c r="D86">
        <f t="shared" si="3"/>
        <v>8490</v>
      </c>
      <c r="E86">
        <f>IF(C86=0,ROUNDUP($AA$3*POWER(pogoda47[[#This Row],[temperatura_srednia]],1.5)*pogoda47[[#This Row],[stan_przed_dolaniem]],0),0)</f>
        <v>106</v>
      </c>
      <c r="F86">
        <f>pogoda47[[#This Row],[stan_przed_dolaniem]]-pogoda47[[#This Row],[ubytek]]</f>
        <v>8384</v>
      </c>
      <c r="G86">
        <f>IF(pogoda47[[#This Row],[opady]]*$AA$1+D86&gt;$AA$2,$AA$2-pogoda47[[#This Row],[stan_przed_dolaniem]],pogoda47[[#This Row],[opady]]*$AA$1)</f>
        <v>0</v>
      </c>
      <c r="H86">
        <f>pogoda47[[#This Row],[stan_po_ubytku]]+pogoda47[[#This Row],[ile_pogoda_dolała]]</f>
        <v>8384</v>
      </c>
      <c r="I86" cm="1">
        <f t="array" ref="I86">_xlfn.IFS(OR(pogoda47[[#This Row],[temperatura_srednia]]&lt;=15,pogoda47[[#This Row],[opady]]&gt;0.61),0,pogoda47[[#This Row],[temperatura_srednia]]&gt;30,24000,pogoda47[[#This Row],[temperatura_srednia]]&gt;15,12000)</f>
        <v>0</v>
      </c>
      <c r="J86">
        <f>IF(pogoda47[[#This Row],[stan_po_dolaniu]]&lt;pogoda47[[#This Row],[ile_podlewamy]],$AA$2-pogoda47[[#This Row],[stan_po_dolaniu]],0)</f>
        <v>0</v>
      </c>
      <c r="K86">
        <f>pogoda47[[#This Row],[stan_po_dolaniu]]+pogoda47[[#This Row],[ile_dolać_do_podlania]]</f>
        <v>8384</v>
      </c>
      <c r="L86">
        <f>pogoda47[[#This Row],[stan_po_dolaniu_do_podlania]]-pogoda47[[#This Row],[ile_podlewamy]]</f>
        <v>8384</v>
      </c>
    </row>
    <row r="87" spans="1:12" x14ac:dyDescent="0.25">
      <c r="A87" s="2">
        <v>42180</v>
      </c>
      <c r="B87">
        <v>16</v>
      </c>
      <c r="C87">
        <v>0</v>
      </c>
      <c r="D87">
        <f t="shared" si="3"/>
        <v>8384</v>
      </c>
      <c r="E87">
        <f>IF(C87=0,ROUNDUP($AA$3*POWER(pogoda47[[#This Row],[temperatura_srednia]],1.5)*pogoda47[[#This Row],[stan_przed_dolaniem]],0),0)</f>
        <v>161</v>
      </c>
      <c r="F87">
        <f>pogoda47[[#This Row],[stan_przed_dolaniem]]-pogoda47[[#This Row],[ubytek]]</f>
        <v>8223</v>
      </c>
      <c r="G87">
        <f>IF(pogoda47[[#This Row],[opady]]*$AA$1+D87&gt;$AA$2,$AA$2-pogoda47[[#This Row],[stan_przed_dolaniem]],pogoda47[[#This Row],[opady]]*$AA$1)</f>
        <v>0</v>
      </c>
      <c r="H87">
        <f>pogoda47[[#This Row],[stan_po_ubytku]]+pogoda47[[#This Row],[ile_pogoda_dolała]]</f>
        <v>8223</v>
      </c>
      <c r="I87" cm="1">
        <f t="array" ref="I87">_xlfn.IFS(OR(pogoda47[[#This Row],[temperatura_srednia]]&lt;=15,pogoda47[[#This Row],[opady]]&gt;0.61),0,pogoda47[[#This Row],[temperatura_srednia]]&gt;30,24000,pogoda47[[#This Row],[temperatura_srednia]]&gt;15,12000)</f>
        <v>12000</v>
      </c>
      <c r="J87">
        <f>IF(pogoda47[[#This Row],[stan_po_dolaniu]]&lt;pogoda47[[#This Row],[ile_podlewamy]],$AA$2-pogoda47[[#This Row],[stan_po_dolaniu]],0)</f>
        <v>16777</v>
      </c>
      <c r="K87">
        <f>pogoda47[[#This Row],[stan_po_dolaniu]]+pogoda47[[#This Row],[ile_dolać_do_podlania]]</f>
        <v>25000</v>
      </c>
      <c r="L87">
        <f>pogoda47[[#This Row],[stan_po_dolaniu_do_podlania]]-pogoda47[[#This Row],[ile_podlewamy]]</f>
        <v>13000</v>
      </c>
    </row>
    <row r="88" spans="1:12" x14ac:dyDescent="0.25">
      <c r="A88" s="2">
        <v>42181</v>
      </c>
      <c r="B88">
        <v>16</v>
      </c>
      <c r="C88">
        <v>7</v>
      </c>
      <c r="D88">
        <f t="shared" si="3"/>
        <v>13000</v>
      </c>
      <c r="E88">
        <f>IF(C88=0,ROUNDUP($AA$3*POWER(pogoda47[[#This Row],[temperatura_srednia]],1.5)*pogoda47[[#This Row],[stan_przed_dolaniem]],0),0)</f>
        <v>0</v>
      </c>
      <c r="F88">
        <f>pogoda47[[#This Row],[stan_przed_dolaniem]]-pogoda47[[#This Row],[ubytek]]</f>
        <v>13000</v>
      </c>
      <c r="G88">
        <f>IF(pogoda47[[#This Row],[opady]]*$AA$1+D88&gt;$AA$2,$AA$2-pogoda47[[#This Row],[stan_przed_dolaniem]],pogoda47[[#This Row],[opady]]*$AA$1)</f>
        <v>4900</v>
      </c>
      <c r="H88">
        <f>pogoda47[[#This Row],[stan_po_ubytku]]+pogoda47[[#This Row],[ile_pogoda_dolała]]</f>
        <v>17900</v>
      </c>
      <c r="I88" cm="1">
        <f t="array" ref="I88">_xlfn.IFS(OR(pogoda47[[#This Row],[temperatura_srednia]]&lt;=15,pogoda47[[#This Row],[opady]]&gt;0.61),0,pogoda47[[#This Row],[temperatura_srednia]]&gt;30,24000,pogoda47[[#This Row],[temperatura_srednia]]&gt;15,12000)</f>
        <v>0</v>
      </c>
      <c r="J88">
        <f>IF(pogoda47[[#This Row],[stan_po_dolaniu]]&lt;pogoda47[[#This Row],[ile_podlewamy]],$AA$2-pogoda47[[#This Row],[stan_po_dolaniu]],0)</f>
        <v>0</v>
      </c>
      <c r="K88">
        <f>pogoda47[[#This Row],[stan_po_dolaniu]]+pogoda47[[#This Row],[ile_dolać_do_podlania]]</f>
        <v>17900</v>
      </c>
      <c r="L88">
        <f>pogoda47[[#This Row],[stan_po_dolaniu_do_podlania]]-pogoda47[[#This Row],[ile_podlewamy]]</f>
        <v>17900</v>
      </c>
    </row>
    <row r="89" spans="1:12" x14ac:dyDescent="0.25">
      <c r="A89" s="2">
        <v>42182</v>
      </c>
      <c r="B89">
        <v>18</v>
      </c>
      <c r="C89">
        <v>6</v>
      </c>
      <c r="D89">
        <f t="shared" si="3"/>
        <v>17900</v>
      </c>
      <c r="E89">
        <f>IF(C89=0,ROUNDUP($AA$3*POWER(pogoda47[[#This Row],[temperatura_srednia]],1.5)*pogoda47[[#This Row],[stan_przed_dolaniem]],0),0)</f>
        <v>0</v>
      </c>
      <c r="F89">
        <f>pogoda47[[#This Row],[stan_przed_dolaniem]]-pogoda47[[#This Row],[ubytek]]</f>
        <v>17900</v>
      </c>
      <c r="G89">
        <f>IF(pogoda47[[#This Row],[opady]]*$AA$1+D89&gt;$AA$2,$AA$2-pogoda47[[#This Row],[stan_przed_dolaniem]],pogoda47[[#This Row],[opady]]*$AA$1)</f>
        <v>4200</v>
      </c>
      <c r="H89">
        <f>pogoda47[[#This Row],[stan_po_ubytku]]+pogoda47[[#This Row],[ile_pogoda_dolała]]</f>
        <v>22100</v>
      </c>
      <c r="I89" cm="1">
        <f t="array" ref="I89">_xlfn.IFS(OR(pogoda47[[#This Row],[temperatura_srednia]]&lt;=15,pogoda47[[#This Row],[opady]]&gt;0.61),0,pogoda47[[#This Row],[temperatura_srednia]]&gt;30,24000,pogoda47[[#This Row],[temperatura_srednia]]&gt;15,12000)</f>
        <v>0</v>
      </c>
      <c r="J89">
        <f>IF(pogoda47[[#This Row],[stan_po_dolaniu]]&lt;pogoda47[[#This Row],[ile_podlewamy]],$AA$2-pogoda47[[#This Row],[stan_po_dolaniu]],0)</f>
        <v>0</v>
      </c>
      <c r="K89">
        <f>pogoda47[[#This Row],[stan_po_dolaniu]]+pogoda47[[#This Row],[ile_dolać_do_podlania]]</f>
        <v>22100</v>
      </c>
      <c r="L89">
        <f>pogoda47[[#This Row],[stan_po_dolaniu_do_podlania]]-pogoda47[[#This Row],[ile_podlewamy]]</f>
        <v>22100</v>
      </c>
    </row>
    <row r="90" spans="1:12" x14ac:dyDescent="0.25">
      <c r="A90" s="2">
        <v>42183</v>
      </c>
      <c r="B90">
        <v>16</v>
      </c>
      <c r="C90">
        <v>0</v>
      </c>
      <c r="D90">
        <f t="shared" si="3"/>
        <v>22100</v>
      </c>
      <c r="E90">
        <f>IF(C90=0,ROUNDUP($AA$3*POWER(pogoda47[[#This Row],[temperatura_srednia]],1.5)*pogoda47[[#This Row],[stan_przed_dolaniem]],0),0)</f>
        <v>425</v>
      </c>
      <c r="F90">
        <f>pogoda47[[#This Row],[stan_przed_dolaniem]]-pogoda47[[#This Row],[ubytek]]</f>
        <v>21675</v>
      </c>
      <c r="G90">
        <f>IF(pogoda47[[#This Row],[opady]]*$AA$1+D90&gt;$AA$2,$AA$2-pogoda47[[#This Row],[stan_przed_dolaniem]],pogoda47[[#This Row],[opady]]*$AA$1)</f>
        <v>0</v>
      </c>
      <c r="H90">
        <f>pogoda47[[#This Row],[stan_po_ubytku]]+pogoda47[[#This Row],[ile_pogoda_dolała]]</f>
        <v>21675</v>
      </c>
      <c r="I90" cm="1">
        <f t="array" ref="I90">_xlfn.IFS(OR(pogoda47[[#This Row],[temperatura_srednia]]&lt;=15,pogoda47[[#This Row],[opady]]&gt;0.61),0,pogoda47[[#This Row],[temperatura_srednia]]&gt;30,24000,pogoda47[[#This Row],[temperatura_srednia]]&gt;15,12000)</f>
        <v>12000</v>
      </c>
      <c r="J90">
        <f>IF(pogoda47[[#This Row],[stan_po_dolaniu]]&lt;pogoda47[[#This Row],[ile_podlewamy]],$AA$2-pogoda47[[#This Row],[stan_po_dolaniu]],0)</f>
        <v>0</v>
      </c>
      <c r="K90">
        <f>pogoda47[[#This Row],[stan_po_dolaniu]]+pogoda47[[#This Row],[ile_dolać_do_podlania]]</f>
        <v>21675</v>
      </c>
      <c r="L90">
        <f>pogoda47[[#This Row],[stan_po_dolaniu_do_podlania]]-pogoda47[[#This Row],[ile_podlewamy]]</f>
        <v>9675</v>
      </c>
    </row>
    <row r="91" spans="1:12" x14ac:dyDescent="0.25">
      <c r="A91" s="2">
        <v>42184</v>
      </c>
      <c r="B91">
        <v>16</v>
      </c>
      <c r="C91">
        <v>0</v>
      </c>
      <c r="D91">
        <f t="shared" si="3"/>
        <v>9675</v>
      </c>
      <c r="E91">
        <f>IF(C91=0,ROUNDUP($AA$3*POWER(pogoda47[[#This Row],[temperatura_srednia]],1.5)*pogoda47[[#This Row],[stan_przed_dolaniem]],0),0)</f>
        <v>186</v>
      </c>
      <c r="F91">
        <f>pogoda47[[#This Row],[stan_przed_dolaniem]]-pogoda47[[#This Row],[ubytek]]</f>
        <v>9489</v>
      </c>
      <c r="G91">
        <f>IF(pogoda47[[#This Row],[opady]]*$AA$1+D91&gt;$AA$2,$AA$2-pogoda47[[#This Row],[stan_przed_dolaniem]],pogoda47[[#This Row],[opady]]*$AA$1)</f>
        <v>0</v>
      </c>
      <c r="H91">
        <f>pogoda47[[#This Row],[stan_po_ubytku]]+pogoda47[[#This Row],[ile_pogoda_dolała]]</f>
        <v>9489</v>
      </c>
      <c r="I91" cm="1">
        <f t="array" ref="I91">_xlfn.IFS(OR(pogoda47[[#This Row],[temperatura_srednia]]&lt;=15,pogoda47[[#This Row],[opady]]&gt;0.61),0,pogoda47[[#This Row],[temperatura_srednia]]&gt;30,24000,pogoda47[[#This Row],[temperatura_srednia]]&gt;15,12000)</f>
        <v>12000</v>
      </c>
      <c r="J91">
        <f>IF(pogoda47[[#This Row],[stan_po_dolaniu]]&lt;pogoda47[[#This Row],[ile_podlewamy]],$AA$2-pogoda47[[#This Row],[stan_po_dolaniu]],0)</f>
        <v>15511</v>
      </c>
      <c r="K91">
        <f>pogoda47[[#This Row],[stan_po_dolaniu]]+pogoda47[[#This Row],[ile_dolać_do_podlania]]</f>
        <v>25000</v>
      </c>
      <c r="L91">
        <f>pogoda47[[#This Row],[stan_po_dolaniu_do_podlania]]-pogoda47[[#This Row],[ile_podlewamy]]</f>
        <v>13000</v>
      </c>
    </row>
    <row r="92" spans="1:12" x14ac:dyDescent="0.25">
      <c r="A92" s="2">
        <v>42185</v>
      </c>
      <c r="B92">
        <v>19</v>
      </c>
      <c r="C92">
        <v>0</v>
      </c>
      <c r="D92">
        <f t="shared" si="3"/>
        <v>13000</v>
      </c>
      <c r="E92">
        <f>IF(C92=0,ROUNDUP($AA$3*POWER(pogoda47[[#This Row],[temperatura_srednia]],1.5)*pogoda47[[#This Row],[stan_przed_dolaniem]],0),0)</f>
        <v>323</v>
      </c>
      <c r="F92">
        <f>pogoda47[[#This Row],[stan_przed_dolaniem]]-pogoda47[[#This Row],[ubytek]]</f>
        <v>12677</v>
      </c>
      <c r="G92">
        <f>IF(pogoda47[[#This Row],[opady]]*$AA$1+D92&gt;$AA$2,$AA$2-pogoda47[[#This Row],[stan_przed_dolaniem]],pogoda47[[#This Row],[opady]]*$AA$1)</f>
        <v>0</v>
      </c>
      <c r="H92">
        <f>pogoda47[[#This Row],[stan_po_ubytku]]+pogoda47[[#This Row],[ile_pogoda_dolała]]</f>
        <v>12677</v>
      </c>
      <c r="I92" cm="1">
        <f t="array" ref="I92">_xlfn.IFS(OR(pogoda47[[#This Row],[temperatura_srednia]]&lt;=15,pogoda47[[#This Row],[opady]]&gt;0.61),0,pogoda47[[#This Row],[temperatura_srednia]]&gt;30,24000,pogoda47[[#This Row],[temperatura_srednia]]&gt;15,12000)</f>
        <v>12000</v>
      </c>
      <c r="J92">
        <f>IF(pogoda47[[#This Row],[stan_po_dolaniu]]&lt;pogoda47[[#This Row],[ile_podlewamy]],$AA$2-pogoda47[[#This Row],[stan_po_dolaniu]],0)</f>
        <v>0</v>
      </c>
      <c r="K92">
        <f>pogoda47[[#This Row],[stan_po_dolaniu]]+pogoda47[[#This Row],[ile_dolać_do_podlania]]</f>
        <v>12677</v>
      </c>
      <c r="L92">
        <f>pogoda47[[#This Row],[stan_po_dolaniu_do_podlania]]-pogoda47[[#This Row],[ile_podlewamy]]</f>
        <v>677</v>
      </c>
    </row>
    <row r="93" spans="1:12" x14ac:dyDescent="0.25">
      <c r="A93" s="2">
        <v>42186</v>
      </c>
      <c r="B93">
        <v>18</v>
      </c>
      <c r="C93">
        <v>0</v>
      </c>
      <c r="D93">
        <f t="shared" si="3"/>
        <v>677</v>
      </c>
      <c r="E93">
        <f>IF(C93=0,ROUNDUP($AA$3*POWER(pogoda47[[#This Row],[temperatura_srednia]],1.5)*pogoda47[[#This Row],[stan_przed_dolaniem]],0),0)</f>
        <v>16</v>
      </c>
      <c r="F93">
        <f>pogoda47[[#This Row],[stan_przed_dolaniem]]-pogoda47[[#This Row],[ubytek]]</f>
        <v>661</v>
      </c>
      <c r="G93">
        <f>IF(pogoda47[[#This Row],[opady]]*$AA$1+D93&gt;$AA$2,$AA$2-pogoda47[[#This Row],[stan_przed_dolaniem]],pogoda47[[#This Row],[opady]]*$AA$1)</f>
        <v>0</v>
      </c>
      <c r="H93">
        <f>pogoda47[[#This Row],[stan_po_ubytku]]+pogoda47[[#This Row],[ile_pogoda_dolała]]</f>
        <v>661</v>
      </c>
      <c r="I93" cm="1">
        <f t="array" ref="I93">_xlfn.IFS(OR(pogoda47[[#This Row],[temperatura_srednia]]&lt;=15,pogoda47[[#This Row],[opady]]&gt;0.61),0,pogoda47[[#This Row],[temperatura_srednia]]&gt;30,24000,pogoda47[[#This Row],[temperatura_srednia]]&gt;15,12000)</f>
        <v>12000</v>
      </c>
      <c r="J93">
        <f>IF(pogoda47[[#This Row],[stan_po_dolaniu]]&lt;pogoda47[[#This Row],[ile_podlewamy]],$AA$2-pogoda47[[#This Row],[stan_po_dolaniu]],0)</f>
        <v>24339</v>
      </c>
      <c r="K93">
        <f>pogoda47[[#This Row],[stan_po_dolaniu]]+pogoda47[[#This Row],[ile_dolać_do_podlania]]</f>
        <v>25000</v>
      </c>
      <c r="L93">
        <f>pogoda47[[#This Row],[stan_po_dolaniu_do_podlania]]-pogoda47[[#This Row],[ile_podlewamy]]</f>
        <v>13000</v>
      </c>
    </row>
    <row r="94" spans="1:12" x14ac:dyDescent="0.25">
      <c r="A94" s="2">
        <v>42187</v>
      </c>
      <c r="B94">
        <v>20</v>
      </c>
      <c r="C94">
        <v>0</v>
      </c>
      <c r="D94">
        <f t="shared" si="3"/>
        <v>13000</v>
      </c>
      <c r="E94">
        <f>IF(C94=0,ROUNDUP($AA$3*POWER(pogoda47[[#This Row],[temperatura_srednia]],1.5)*pogoda47[[#This Row],[stan_przed_dolaniem]],0),0)</f>
        <v>349</v>
      </c>
      <c r="F94">
        <f>pogoda47[[#This Row],[stan_przed_dolaniem]]-pogoda47[[#This Row],[ubytek]]</f>
        <v>12651</v>
      </c>
      <c r="G94">
        <f>IF(pogoda47[[#This Row],[opady]]*$AA$1+D94&gt;$AA$2,$AA$2-pogoda47[[#This Row],[stan_przed_dolaniem]],pogoda47[[#This Row],[opady]]*$AA$1)</f>
        <v>0</v>
      </c>
      <c r="H94">
        <f>pogoda47[[#This Row],[stan_po_ubytku]]+pogoda47[[#This Row],[ile_pogoda_dolała]]</f>
        <v>12651</v>
      </c>
      <c r="I94" cm="1">
        <f t="array" ref="I94">_xlfn.IFS(OR(pogoda47[[#This Row],[temperatura_srednia]]&lt;=15,pogoda47[[#This Row],[opady]]&gt;0.61),0,pogoda47[[#This Row],[temperatura_srednia]]&gt;30,24000,pogoda47[[#This Row],[temperatura_srednia]]&gt;15,12000)</f>
        <v>12000</v>
      </c>
      <c r="J94">
        <f>IF(pogoda47[[#This Row],[stan_po_dolaniu]]&lt;pogoda47[[#This Row],[ile_podlewamy]],$AA$2-pogoda47[[#This Row],[stan_po_dolaniu]],0)</f>
        <v>0</v>
      </c>
      <c r="K94">
        <f>pogoda47[[#This Row],[stan_po_dolaniu]]+pogoda47[[#This Row],[ile_dolać_do_podlania]]</f>
        <v>12651</v>
      </c>
      <c r="L94">
        <f>pogoda47[[#This Row],[stan_po_dolaniu_do_podlania]]-pogoda47[[#This Row],[ile_podlewamy]]</f>
        <v>651</v>
      </c>
    </row>
    <row r="95" spans="1:12" x14ac:dyDescent="0.25">
      <c r="A95" s="2">
        <v>42188</v>
      </c>
      <c r="B95">
        <v>22</v>
      </c>
      <c r="C95">
        <v>0</v>
      </c>
      <c r="D95">
        <f t="shared" si="3"/>
        <v>651</v>
      </c>
      <c r="E95">
        <f>IF(C95=0,ROUNDUP($AA$3*POWER(pogoda47[[#This Row],[temperatura_srednia]],1.5)*pogoda47[[#This Row],[stan_przed_dolaniem]],0),0)</f>
        <v>21</v>
      </c>
      <c r="F95">
        <f>pogoda47[[#This Row],[stan_przed_dolaniem]]-pogoda47[[#This Row],[ubytek]]</f>
        <v>630</v>
      </c>
      <c r="G95">
        <f>IF(pogoda47[[#This Row],[opady]]*$AA$1+D95&gt;$AA$2,$AA$2-pogoda47[[#This Row],[stan_przed_dolaniem]],pogoda47[[#This Row],[opady]]*$AA$1)</f>
        <v>0</v>
      </c>
      <c r="H95">
        <f>pogoda47[[#This Row],[stan_po_ubytku]]+pogoda47[[#This Row],[ile_pogoda_dolała]]</f>
        <v>630</v>
      </c>
      <c r="I95" cm="1">
        <f t="array" ref="I95">_xlfn.IFS(OR(pogoda47[[#This Row],[temperatura_srednia]]&lt;=15,pogoda47[[#This Row],[opady]]&gt;0.61),0,pogoda47[[#This Row],[temperatura_srednia]]&gt;30,24000,pogoda47[[#This Row],[temperatura_srednia]]&gt;15,12000)</f>
        <v>12000</v>
      </c>
      <c r="J95">
        <f>IF(pogoda47[[#This Row],[stan_po_dolaniu]]&lt;pogoda47[[#This Row],[ile_podlewamy]],$AA$2-pogoda47[[#This Row],[stan_po_dolaniu]],0)</f>
        <v>24370</v>
      </c>
      <c r="K95">
        <f>pogoda47[[#This Row],[stan_po_dolaniu]]+pogoda47[[#This Row],[ile_dolać_do_podlania]]</f>
        <v>25000</v>
      </c>
      <c r="L95">
        <f>pogoda47[[#This Row],[stan_po_dolaniu_do_podlania]]-pogoda47[[#This Row],[ile_podlewamy]]</f>
        <v>13000</v>
      </c>
    </row>
    <row r="96" spans="1:12" x14ac:dyDescent="0.25">
      <c r="A96" s="2">
        <v>42189</v>
      </c>
      <c r="B96">
        <v>25</v>
      </c>
      <c r="C96">
        <v>0</v>
      </c>
      <c r="D96">
        <f t="shared" si="3"/>
        <v>13000</v>
      </c>
      <c r="E96">
        <f>IF(C96=0,ROUNDUP($AA$3*POWER(pogoda47[[#This Row],[temperatura_srednia]],1.5)*pogoda47[[#This Row],[stan_przed_dolaniem]],0),0)</f>
        <v>488</v>
      </c>
      <c r="F96">
        <f>pogoda47[[#This Row],[stan_przed_dolaniem]]-pogoda47[[#This Row],[ubytek]]</f>
        <v>12512</v>
      </c>
      <c r="G96">
        <f>IF(pogoda47[[#This Row],[opady]]*$AA$1+D96&gt;$AA$2,$AA$2-pogoda47[[#This Row],[stan_przed_dolaniem]],pogoda47[[#This Row],[opady]]*$AA$1)</f>
        <v>0</v>
      </c>
      <c r="H96">
        <f>pogoda47[[#This Row],[stan_po_ubytku]]+pogoda47[[#This Row],[ile_pogoda_dolała]]</f>
        <v>12512</v>
      </c>
      <c r="I96" cm="1">
        <f t="array" ref="I96">_xlfn.IFS(OR(pogoda47[[#This Row],[temperatura_srednia]]&lt;=15,pogoda47[[#This Row],[opady]]&gt;0.61),0,pogoda47[[#This Row],[temperatura_srednia]]&gt;30,24000,pogoda47[[#This Row],[temperatura_srednia]]&gt;15,12000)</f>
        <v>12000</v>
      </c>
      <c r="J96">
        <f>IF(pogoda47[[#This Row],[stan_po_dolaniu]]&lt;pogoda47[[#This Row],[ile_podlewamy]],$AA$2-pogoda47[[#This Row],[stan_po_dolaniu]],0)</f>
        <v>0</v>
      </c>
      <c r="K96">
        <f>pogoda47[[#This Row],[stan_po_dolaniu]]+pogoda47[[#This Row],[ile_dolać_do_podlania]]</f>
        <v>12512</v>
      </c>
      <c r="L96">
        <f>pogoda47[[#This Row],[stan_po_dolaniu_do_podlania]]-pogoda47[[#This Row],[ile_podlewamy]]</f>
        <v>512</v>
      </c>
    </row>
    <row r="97" spans="1:12" x14ac:dyDescent="0.25">
      <c r="A97" s="2">
        <v>42190</v>
      </c>
      <c r="B97">
        <v>26</v>
      </c>
      <c r="C97">
        <v>0</v>
      </c>
      <c r="D97">
        <f t="shared" si="3"/>
        <v>512</v>
      </c>
      <c r="E97">
        <f>IF(C97=0,ROUNDUP($AA$3*POWER(pogoda47[[#This Row],[temperatura_srednia]],1.5)*pogoda47[[#This Row],[stan_przed_dolaniem]],0),0)</f>
        <v>21</v>
      </c>
      <c r="F97">
        <f>pogoda47[[#This Row],[stan_przed_dolaniem]]-pogoda47[[#This Row],[ubytek]]</f>
        <v>491</v>
      </c>
      <c r="G97">
        <f>IF(pogoda47[[#This Row],[opady]]*$AA$1+D97&gt;$AA$2,$AA$2-pogoda47[[#This Row],[stan_przed_dolaniem]],pogoda47[[#This Row],[opady]]*$AA$1)</f>
        <v>0</v>
      </c>
      <c r="H97">
        <f>pogoda47[[#This Row],[stan_po_ubytku]]+pogoda47[[#This Row],[ile_pogoda_dolała]]</f>
        <v>491</v>
      </c>
      <c r="I97" cm="1">
        <f t="array" ref="I97">_xlfn.IFS(OR(pogoda47[[#This Row],[temperatura_srednia]]&lt;=15,pogoda47[[#This Row],[opady]]&gt;0.61),0,pogoda47[[#This Row],[temperatura_srednia]]&gt;30,24000,pogoda47[[#This Row],[temperatura_srednia]]&gt;15,12000)</f>
        <v>12000</v>
      </c>
      <c r="J97">
        <f>IF(pogoda47[[#This Row],[stan_po_dolaniu]]&lt;pogoda47[[#This Row],[ile_podlewamy]],$AA$2-pogoda47[[#This Row],[stan_po_dolaniu]],0)</f>
        <v>24509</v>
      </c>
      <c r="K97">
        <f>pogoda47[[#This Row],[stan_po_dolaniu]]+pogoda47[[#This Row],[ile_dolać_do_podlania]]</f>
        <v>25000</v>
      </c>
      <c r="L97">
        <f>pogoda47[[#This Row],[stan_po_dolaniu_do_podlania]]-pogoda47[[#This Row],[ile_podlewamy]]</f>
        <v>13000</v>
      </c>
    </row>
    <row r="98" spans="1:12" x14ac:dyDescent="0.25">
      <c r="A98" s="2">
        <v>42191</v>
      </c>
      <c r="B98">
        <v>22</v>
      </c>
      <c r="C98">
        <v>0</v>
      </c>
      <c r="D98">
        <f t="shared" si="3"/>
        <v>13000</v>
      </c>
      <c r="E98">
        <f>IF(C98=0,ROUNDUP($AA$3*POWER(pogoda47[[#This Row],[temperatura_srednia]],1.5)*pogoda47[[#This Row],[stan_przed_dolaniem]],0),0)</f>
        <v>403</v>
      </c>
      <c r="F98">
        <f>pogoda47[[#This Row],[stan_przed_dolaniem]]-pogoda47[[#This Row],[ubytek]]</f>
        <v>12597</v>
      </c>
      <c r="G98">
        <f>IF(pogoda47[[#This Row],[opady]]*$AA$1+D98&gt;$AA$2,$AA$2-pogoda47[[#This Row],[stan_przed_dolaniem]],pogoda47[[#This Row],[opady]]*$AA$1)</f>
        <v>0</v>
      </c>
      <c r="H98">
        <f>pogoda47[[#This Row],[stan_po_ubytku]]+pogoda47[[#This Row],[ile_pogoda_dolała]]</f>
        <v>12597</v>
      </c>
      <c r="I98" cm="1">
        <f t="array" ref="I98">_xlfn.IFS(OR(pogoda47[[#This Row],[temperatura_srednia]]&lt;=15,pogoda47[[#This Row],[opady]]&gt;0.61),0,pogoda47[[#This Row],[temperatura_srednia]]&gt;30,24000,pogoda47[[#This Row],[temperatura_srednia]]&gt;15,12000)</f>
        <v>12000</v>
      </c>
      <c r="J98">
        <f>IF(pogoda47[[#This Row],[stan_po_dolaniu]]&lt;pogoda47[[#This Row],[ile_podlewamy]],$AA$2-pogoda47[[#This Row],[stan_po_dolaniu]],0)</f>
        <v>0</v>
      </c>
      <c r="K98">
        <f>pogoda47[[#This Row],[stan_po_dolaniu]]+pogoda47[[#This Row],[ile_dolać_do_podlania]]</f>
        <v>12597</v>
      </c>
      <c r="L98">
        <f>pogoda47[[#This Row],[stan_po_dolaniu_do_podlania]]-pogoda47[[#This Row],[ile_podlewamy]]</f>
        <v>597</v>
      </c>
    </row>
    <row r="99" spans="1:12" x14ac:dyDescent="0.25">
      <c r="A99" s="2">
        <v>42192</v>
      </c>
      <c r="B99">
        <v>22</v>
      </c>
      <c r="C99">
        <v>18</v>
      </c>
      <c r="D99">
        <f t="shared" si="3"/>
        <v>597</v>
      </c>
      <c r="E99">
        <f>IF(C99=0,ROUNDUP($AA$3*POWER(pogoda47[[#This Row],[temperatura_srednia]],1.5)*pogoda47[[#This Row],[stan_przed_dolaniem]],0),0)</f>
        <v>0</v>
      </c>
      <c r="F99">
        <f>pogoda47[[#This Row],[stan_przed_dolaniem]]-pogoda47[[#This Row],[ubytek]]</f>
        <v>597</v>
      </c>
      <c r="G99">
        <f>IF(pogoda47[[#This Row],[opady]]*$AA$1+D99&gt;$AA$2,$AA$2-pogoda47[[#This Row],[stan_przed_dolaniem]],pogoda47[[#This Row],[opady]]*$AA$1)</f>
        <v>12600</v>
      </c>
      <c r="H99">
        <f>pogoda47[[#This Row],[stan_po_ubytku]]+pogoda47[[#This Row],[ile_pogoda_dolała]]</f>
        <v>13197</v>
      </c>
      <c r="I99" cm="1">
        <f t="array" ref="I99">_xlfn.IFS(OR(pogoda47[[#This Row],[temperatura_srednia]]&lt;=15,pogoda47[[#This Row],[opady]]&gt;0.61),0,pogoda47[[#This Row],[temperatura_srednia]]&gt;30,24000,pogoda47[[#This Row],[temperatura_srednia]]&gt;15,12000)</f>
        <v>0</v>
      </c>
      <c r="J99">
        <f>IF(pogoda47[[#This Row],[stan_po_dolaniu]]&lt;pogoda47[[#This Row],[ile_podlewamy]],$AA$2-pogoda47[[#This Row],[stan_po_dolaniu]],0)</f>
        <v>0</v>
      </c>
      <c r="K99">
        <f>pogoda47[[#This Row],[stan_po_dolaniu]]+pogoda47[[#This Row],[ile_dolać_do_podlania]]</f>
        <v>13197</v>
      </c>
      <c r="L99">
        <f>pogoda47[[#This Row],[stan_po_dolaniu_do_podlania]]-pogoda47[[#This Row],[ile_podlewamy]]</f>
        <v>13197</v>
      </c>
    </row>
    <row r="100" spans="1:12" x14ac:dyDescent="0.25">
      <c r="A100" s="2">
        <v>42193</v>
      </c>
      <c r="B100">
        <v>20</v>
      </c>
      <c r="C100">
        <v>3</v>
      </c>
      <c r="D100">
        <f t="shared" si="3"/>
        <v>13197</v>
      </c>
      <c r="E100">
        <f>IF(C100=0,ROUNDUP($AA$3*POWER(pogoda47[[#This Row],[temperatura_srednia]],1.5)*pogoda47[[#This Row],[stan_przed_dolaniem]],0),0)</f>
        <v>0</v>
      </c>
      <c r="F100">
        <f>pogoda47[[#This Row],[stan_przed_dolaniem]]-pogoda47[[#This Row],[ubytek]]</f>
        <v>13197</v>
      </c>
      <c r="G100">
        <f>IF(pogoda47[[#This Row],[opady]]*$AA$1+D100&gt;$AA$2,$AA$2-pogoda47[[#This Row],[stan_przed_dolaniem]],pogoda47[[#This Row],[opady]]*$AA$1)</f>
        <v>2100</v>
      </c>
      <c r="H100">
        <f>pogoda47[[#This Row],[stan_po_ubytku]]+pogoda47[[#This Row],[ile_pogoda_dolała]]</f>
        <v>15297</v>
      </c>
      <c r="I100" cm="1">
        <f t="array" ref="I100">_xlfn.IFS(OR(pogoda47[[#This Row],[temperatura_srednia]]&lt;=15,pogoda47[[#This Row],[opady]]&gt;0.61),0,pogoda47[[#This Row],[temperatura_srednia]]&gt;30,24000,pogoda47[[#This Row],[temperatura_srednia]]&gt;15,12000)</f>
        <v>0</v>
      </c>
      <c r="J100">
        <f>IF(pogoda47[[#This Row],[stan_po_dolaniu]]&lt;pogoda47[[#This Row],[ile_podlewamy]],$AA$2-pogoda47[[#This Row],[stan_po_dolaniu]],0)</f>
        <v>0</v>
      </c>
      <c r="K100">
        <f>pogoda47[[#This Row],[stan_po_dolaniu]]+pogoda47[[#This Row],[ile_dolać_do_podlania]]</f>
        <v>15297</v>
      </c>
      <c r="L100">
        <f>pogoda47[[#This Row],[stan_po_dolaniu_do_podlania]]-pogoda47[[#This Row],[ile_podlewamy]]</f>
        <v>15297</v>
      </c>
    </row>
    <row r="101" spans="1:12" x14ac:dyDescent="0.25">
      <c r="A101" s="2">
        <v>42194</v>
      </c>
      <c r="B101">
        <v>16</v>
      </c>
      <c r="C101">
        <v>0.2</v>
      </c>
      <c r="D101">
        <f t="shared" si="3"/>
        <v>15297</v>
      </c>
      <c r="E101">
        <f>IF(C101=0,ROUNDUP($AA$3*POWER(pogoda47[[#This Row],[temperatura_srednia]],1.5)*pogoda47[[#This Row],[stan_przed_dolaniem]],0),0)</f>
        <v>0</v>
      </c>
      <c r="F101">
        <f>pogoda47[[#This Row],[stan_przed_dolaniem]]-pogoda47[[#This Row],[ubytek]]</f>
        <v>15297</v>
      </c>
      <c r="G101">
        <f>IF(pogoda47[[#This Row],[opady]]*$AA$1+D101&gt;$AA$2,$AA$2-pogoda47[[#This Row],[stan_przed_dolaniem]],pogoda47[[#This Row],[opady]]*$AA$1)</f>
        <v>140</v>
      </c>
      <c r="H101">
        <f>pogoda47[[#This Row],[stan_po_ubytku]]+pogoda47[[#This Row],[ile_pogoda_dolała]]</f>
        <v>15437</v>
      </c>
      <c r="I101" cm="1">
        <f t="array" ref="I101">_xlfn.IFS(OR(pogoda47[[#This Row],[temperatura_srednia]]&lt;=15,pogoda47[[#This Row],[opady]]&gt;0.61),0,pogoda47[[#This Row],[temperatura_srednia]]&gt;30,24000,pogoda47[[#This Row],[temperatura_srednia]]&gt;15,12000)</f>
        <v>12000</v>
      </c>
      <c r="J101">
        <f>IF(pogoda47[[#This Row],[stan_po_dolaniu]]&lt;pogoda47[[#This Row],[ile_podlewamy]],$AA$2-pogoda47[[#This Row],[stan_po_dolaniu]],0)</f>
        <v>0</v>
      </c>
      <c r="K101">
        <f>pogoda47[[#This Row],[stan_po_dolaniu]]+pogoda47[[#This Row],[ile_dolać_do_podlania]]</f>
        <v>15437</v>
      </c>
      <c r="L101">
        <f>pogoda47[[#This Row],[stan_po_dolaniu_do_podlania]]-pogoda47[[#This Row],[ile_podlewamy]]</f>
        <v>3437</v>
      </c>
    </row>
    <row r="102" spans="1:12" x14ac:dyDescent="0.25">
      <c r="A102" s="2">
        <v>42195</v>
      </c>
      <c r="B102">
        <v>13</v>
      </c>
      <c r="C102">
        <v>12.2</v>
      </c>
      <c r="D102">
        <f t="shared" si="3"/>
        <v>3437</v>
      </c>
      <c r="E102">
        <f>IF(C102=0,ROUNDUP($AA$3*POWER(pogoda47[[#This Row],[temperatura_srednia]],1.5)*pogoda47[[#This Row],[stan_przed_dolaniem]],0),0)</f>
        <v>0</v>
      </c>
      <c r="F102">
        <f>pogoda47[[#This Row],[stan_przed_dolaniem]]-pogoda47[[#This Row],[ubytek]]</f>
        <v>3437</v>
      </c>
      <c r="G102">
        <f>IF(pogoda47[[#This Row],[opady]]*$AA$1+D102&gt;$AA$2,$AA$2-pogoda47[[#This Row],[stan_przed_dolaniem]],pogoda47[[#This Row],[opady]]*$AA$1)</f>
        <v>8540</v>
      </c>
      <c r="H102">
        <f>pogoda47[[#This Row],[stan_po_ubytku]]+pogoda47[[#This Row],[ile_pogoda_dolała]]</f>
        <v>11977</v>
      </c>
      <c r="I102" cm="1">
        <f t="array" ref="I102">_xlfn.IFS(OR(pogoda47[[#This Row],[temperatura_srednia]]&lt;=15,pogoda47[[#This Row],[opady]]&gt;0.61),0,pogoda47[[#This Row],[temperatura_srednia]]&gt;30,24000,pogoda47[[#This Row],[temperatura_srednia]]&gt;15,12000)</f>
        <v>0</v>
      </c>
      <c r="J102">
        <f>IF(pogoda47[[#This Row],[stan_po_dolaniu]]&lt;pogoda47[[#This Row],[ile_podlewamy]],$AA$2-pogoda47[[#This Row],[stan_po_dolaniu]],0)</f>
        <v>0</v>
      </c>
      <c r="K102">
        <f>pogoda47[[#This Row],[stan_po_dolaniu]]+pogoda47[[#This Row],[ile_dolać_do_podlania]]</f>
        <v>11977</v>
      </c>
      <c r="L102">
        <f>pogoda47[[#This Row],[stan_po_dolaniu_do_podlania]]-pogoda47[[#This Row],[ile_podlewamy]]</f>
        <v>11977</v>
      </c>
    </row>
    <row r="103" spans="1:12" x14ac:dyDescent="0.25">
      <c r="A103" s="2">
        <v>42196</v>
      </c>
      <c r="B103">
        <v>16</v>
      </c>
      <c r="C103">
        <v>0</v>
      </c>
      <c r="D103">
        <f t="shared" si="3"/>
        <v>11977</v>
      </c>
      <c r="E103">
        <f>IF(C103=0,ROUNDUP($AA$3*POWER(pogoda47[[#This Row],[temperatura_srednia]],1.5)*pogoda47[[#This Row],[stan_przed_dolaniem]],0),0)</f>
        <v>230</v>
      </c>
      <c r="F103">
        <f>pogoda47[[#This Row],[stan_przed_dolaniem]]-pogoda47[[#This Row],[ubytek]]</f>
        <v>11747</v>
      </c>
      <c r="G103">
        <f>IF(pogoda47[[#This Row],[opady]]*$AA$1+D103&gt;$AA$2,$AA$2-pogoda47[[#This Row],[stan_przed_dolaniem]],pogoda47[[#This Row],[opady]]*$AA$1)</f>
        <v>0</v>
      </c>
      <c r="H103">
        <f>pogoda47[[#This Row],[stan_po_ubytku]]+pogoda47[[#This Row],[ile_pogoda_dolała]]</f>
        <v>11747</v>
      </c>
      <c r="I103" cm="1">
        <f t="array" ref="I103">_xlfn.IFS(OR(pogoda47[[#This Row],[temperatura_srednia]]&lt;=15,pogoda47[[#This Row],[opady]]&gt;0.61),0,pogoda47[[#This Row],[temperatura_srednia]]&gt;30,24000,pogoda47[[#This Row],[temperatura_srednia]]&gt;15,12000)</f>
        <v>12000</v>
      </c>
      <c r="J103">
        <f>IF(pogoda47[[#This Row],[stan_po_dolaniu]]&lt;pogoda47[[#This Row],[ile_podlewamy]],$AA$2-pogoda47[[#This Row],[stan_po_dolaniu]],0)</f>
        <v>13253</v>
      </c>
      <c r="K103">
        <f>pogoda47[[#This Row],[stan_po_dolaniu]]+pogoda47[[#This Row],[ile_dolać_do_podlania]]</f>
        <v>25000</v>
      </c>
      <c r="L103">
        <f>pogoda47[[#This Row],[stan_po_dolaniu_do_podlania]]-pogoda47[[#This Row],[ile_podlewamy]]</f>
        <v>13000</v>
      </c>
    </row>
    <row r="104" spans="1:12" x14ac:dyDescent="0.25">
      <c r="A104" s="2">
        <v>42197</v>
      </c>
      <c r="B104">
        <v>18</v>
      </c>
      <c r="C104">
        <v>2</v>
      </c>
      <c r="D104">
        <f t="shared" si="3"/>
        <v>13000</v>
      </c>
      <c r="E104">
        <f>IF(C104=0,ROUNDUP($AA$3*POWER(pogoda47[[#This Row],[temperatura_srednia]],1.5)*pogoda47[[#This Row],[stan_przed_dolaniem]],0),0)</f>
        <v>0</v>
      </c>
      <c r="F104">
        <f>pogoda47[[#This Row],[stan_przed_dolaniem]]-pogoda47[[#This Row],[ubytek]]</f>
        <v>13000</v>
      </c>
      <c r="G104">
        <f>IF(pogoda47[[#This Row],[opady]]*$AA$1+D104&gt;$AA$2,$AA$2-pogoda47[[#This Row],[stan_przed_dolaniem]],pogoda47[[#This Row],[opady]]*$AA$1)</f>
        <v>1400</v>
      </c>
      <c r="H104">
        <f>pogoda47[[#This Row],[stan_po_ubytku]]+pogoda47[[#This Row],[ile_pogoda_dolała]]</f>
        <v>14400</v>
      </c>
      <c r="I104" cm="1">
        <f t="array" ref="I104">_xlfn.IFS(OR(pogoda47[[#This Row],[temperatura_srednia]]&lt;=15,pogoda47[[#This Row],[opady]]&gt;0.61),0,pogoda47[[#This Row],[temperatura_srednia]]&gt;30,24000,pogoda47[[#This Row],[temperatura_srednia]]&gt;15,12000)</f>
        <v>0</v>
      </c>
      <c r="J104">
        <f>IF(pogoda47[[#This Row],[stan_po_dolaniu]]&lt;pogoda47[[#This Row],[ile_podlewamy]],$AA$2-pogoda47[[#This Row],[stan_po_dolaniu]],0)</f>
        <v>0</v>
      </c>
      <c r="K104">
        <f>pogoda47[[#This Row],[stan_po_dolaniu]]+pogoda47[[#This Row],[ile_dolać_do_podlania]]</f>
        <v>14400</v>
      </c>
      <c r="L104">
        <f>pogoda47[[#This Row],[stan_po_dolaniu_do_podlania]]-pogoda47[[#This Row],[ile_podlewamy]]</f>
        <v>14400</v>
      </c>
    </row>
    <row r="105" spans="1:12" x14ac:dyDescent="0.25">
      <c r="A105" s="2">
        <v>42198</v>
      </c>
      <c r="B105">
        <v>18</v>
      </c>
      <c r="C105">
        <v>12</v>
      </c>
      <c r="D105">
        <f t="shared" si="3"/>
        <v>14400</v>
      </c>
      <c r="E105">
        <f>IF(C105=0,ROUNDUP($AA$3*POWER(pogoda47[[#This Row],[temperatura_srednia]],1.5)*pogoda47[[#This Row],[stan_przed_dolaniem]],0),0)</f>
        <v>0</v>
      </c>
      <c r="F105">
        <f>pogoda47[[#This Row],[stan_przed_dolaniem]]-pogoda47[[#This Row],[ubytek]]</f>
        <v>14400</v>
      </c>
      <c r="G105">
        <f>IF(pogoda47[[#This Row],[opady]]*$AA$1+D105&gt;$AA$2,$AA$2-pogoda47[[#This Row],[stan_przed_dolaniem]],pogoda47[[#This Row],[opady]]*$AA$1)</f>
        <v>8400</v>
      </c>
      <c r="H105">
        <f>pogoda47[[#This Row],[stan_po_ubytku]]+pogoda47[[#This Row],[ile_pogoda_dolała]]</f>
        <v>22800</v>
      </c>
      <c r="I105" cm="1">
        <f t="array" ref="I105">_xlfn.IFS(OR(pogoda47[[#This Row],[temperatura_srednia]]&lt;=15,pogoda47[[#This Row],[opady]]&gt;0.61),0,pogoda47[[#This Row],[temperatura_srednia]]&gt;30,24000,pogoda47[[#This Row],[temperatura_srednia]]&gt;15,12000)</f>
        <v>0</v>
      </c>
      <c r="J105">
        <f>IF(pogoda47[[#This Row],[stan_po_dolaniu]]&lt;pogoda47[[#This Row],[ile_podlewamy]],$AA$2-pogoda47[[#This Row],[stan_po_dolaniu]],0)</f>
        <v>0</v>
      </c>
      <c r="K105">
        <f>pogoda47[[#This Row],[stan_po_dolaniu]]+pogoda47[[#This Row],[ile_dolać_do_podlania]]</f>
        <v>22800</v>
      </c>
      <c r="L105">
        <f>pogoda47[[#This Row],[stan_po_dolaniu_do_podlania]]-pogoda47[[#This Row],[ile_podlewamy]]</f>
        <v>22800</v>
      </c>
    </row>
    <row r="106" spans="1:12" x14ac:dyDescent="0.25">
      <c r="A106" s="2">
        <v>42199</v>
      </c>
      <c r="B106">
        <v>18</v>
      </c>
      <c r="C106">
        <v>0</v>
      </c>
      <c r="D106">
        <f t="shared" si="3"/>
        <v>22800</v>
      </c>
      <c r="E106">
        <f>IF(C106=0,ROUNDUP($AA$3*POWER(pogoda47[[#This Row],[temperatura_srednia]],1.5)*pogoda47[[#This Row],[stan_przed_dolaniem]],0),0)</f>
        <v>523</v>
      </c>
      <c r="F106">
        <f>pogoda47[[#This Row],[stan_przed_dolaniem]]-pogoda47[[#This Row],[ubytek]]</f>
        <v>22277</v>
      </c>
      <c r="G106">
        <f>IF(pogoda47[[#This Row],[opady]]*$AA$1+D106&gt;$AA$2,$AA$2-pogoda47[[#This Row],[stan_przed_dolaniem]],pogoda47[[#This Row],[opady]]*$AA$1)</f>
        <v>0</v>
      </c>
      <c r="H106">
        <f>pogoda47[[#This Row],[stan_po_ubytku]]+pogoda47[[#This Row],[ile_pogoda_dolała]]</f>
        <v>22277</v>
      </c>
      <c r="I106" cm="1">
        <f t="array" ref="I106">_xlfn.IFS(OR(pogoda47[[#This Row],[temperatura_srednia]]&lt;=15,pogoda47[[#This Row],[opady]]&gt;0.61),0,pogoda47[[#This Row],[temperatura_srednia]]&gt;30,24000,pogoda47[[#This Row],[temperatura_srednia]]&gt;15,12000)</f>
        <v>12000</v>
      </c>
      <c r="J106">
        <f>IF(pogoda47[[#This Row],[stan_po_dolaniu]]&lt;pogoda47[[#This Row],[ile_podlewamy]],$AA$2-pogoda47[[#This Row],[stan_po_dolaniu]],0)</f>
        <v>0</v>
      </c>
      <c r="K106">
        <f>pogoda47[[#This Row],[stan_po_dolaniu]]+pogoda47[[#This Row],[ile_dolać_do_podlania]]</f>
        <v>22277</v>
      </c>
      <c r="L106">
        <f>pogoda47[[#This Row],[stan_po_dolaniu_do_podlania]]-pogoda47[[#This Row],[ile_podlewamy]]</f>
        <v>10277</v>
      </c>
    </row>
    <row r="107" spans="1:12" x14ac:dyDescent="0.25">
      <c r="A107" s="2">
        <v>42200</v>
      </c>
      <c r="B107">
        <v>18</v>
      </c>
      <c r="C107">
        <v>0</v>
      </c>
      <c r="D107">
        <f t="shared" si="3"/>
        <v>10277</v>
      </c>
      <c r="E107">
        <f>IF(C107=0,ROUNDUP($AA$3*POWER(pogoda47[[#This Row],[temperatura_srednia]],1.5)*pogoda47[[#This Row],[stan_przed_dolaniem]],0),0)</f>
        <v>236</v>
      </c>
      <c r="F107">
        <f>pogoda47[[#This Row],[stan_przed_dolaniem]]-pogoda47[[#This Row],[ubytek]]</f>
        <v>10041</v>
      </c>
      <c r="G107">
        <f>IF(pogoda47[[#This Row],[opady]]*$AA$1+D107&gt;$AA$2,$AA$2-pogoda47[[#This Row],[stan_przed_dolaniem]],pogoda47[[#This Row],[opady]]*$AA$1)</f>
        <v>0</v>
      </c>
      <c r="H107">
        <f>pogoda47[[#This Row],[stan_po_ubytku]]+pogoda47[[#This Row],[ile_pogoda_dolała]]</f>
        <v>10041</v>
      </c>
      <c r="I107" cm="1">
        <f t="array" ref="I107">_xlfn.IFS(OR(pogoda47[[#This Row],[temperatura_srednia]]&lt;=15,pogoda47[[#This Row],[opady]]&gt;0.61),0,pogoda47[[#This Row],[temperatura_srednia]]&gt;30,24000,pogoda47[[#This Row],[temperatura_srednia]]&gt;15,12000)</f>
        <v>12000</v>
      </c>
      <c r="J107">
        <f>IF(pogoda47[[#This Row],[stan_po_dolaniu]]&lt;pogoda47[[#This Row],[ile_podlewamy]],$AA$2-pogoda47[[#This Row],[stan_po_dolaniu]],0)</f>
        <v>14959</v>
      </c>
      <c r="K107">
        <f>pogoda47[[#This Row],[stan_po_dolaniu]]+pogoda47[[#This Row],[ile_dolać_do_podlania]]</f>
        <v>25000</v>
      </c>
      <c r="L107">
        <f>pogoda47[[#This Row],[stan_po_dolaniu_do_podlania]]-pogoda47[[#This Row],[ile_podlewamy]]</f>
        <v>13000</v>
      </c>
    </row>
    <row r="108" spans="1:12" x14ac:dyDescent="0.25">
      <c r="A108" s="2">
        <v>42201</v>
      </c>
      <c r="B108">
        <v>16</v>
      </c>
      <c r="C108">
        <v>0</v>
      </c>
      <c r="D108">
        <f t="shared" si="3"/>
        <v>13000</v>
      </c>
      <c r="E108">
        <f>IF(C108=0,ROUNDUP($AA$3*POWER(pogoda47[[#This Row],[temperatura_srednia]],1.5)*pogoda47[[#This Row],[stan_przed_dolaniem]],0),0)</f>
        <v>250</v>
      </c>
      <c r="F108">
        <f>pogoda47[[#This Row],[stan_przed_dolaniem]]-pogoda47[[#This Row],[ubytek]]</f>
        <v>12750</v>
      </c>
      <c r="G108">
        <f>IF(pogoda47[[#This Row],[opady]]*$AA$1+D108&gt;$AA$2,$AA$2-pogoda47[[#This Row],[stan_przed_dolaniem]],pogoda47[[#This Row],[opady]]*$AA$1)</f>
        <v>0</v>
      </c>
      <c r="H108">
        <f>pogoda47[[#This Row],[stan_po_ubytku]]+pogoda47[[#This Row],[ile_pogoda_dolała]]</f>
        <v>12750</v>
      </c>
      <c r="I108" cm="1">
        <f t="array" ref="I108">_xlfn.IFS(OR(pogoda47[[#This Row],[temperatura_srednia]]&lt;=15,pogoda47[[#This Row],[opady]]&gt;0.61),0,pogoda47[[#This Row],[temperatura_srednia]]&gt;30,24000,pogoda47[[#This Row],[temperatura_srednia]]&gt;15,12000)</f>
        <v>12000</v>
      </c>
      <c r="J108">
        <f>IF(pogoda47[[#This Row],[stan_po_dolaniu]]&lt;pogoda47[[#This Row],[ile_podlewamy]],$AA$2-pogoda47[[#This Row],[stan_po_dolaniu]],0)</f>
        <v>0</v>
      </c>
      <c r="K108">
        <f>pogoda47[[#This Row],[stan_po_dolaniu]]+pogoda47[[#This Row],[ile_dolać_do_podlania]]</f>
        <v>12750</v>
      </c>
      <c r="L108">
        <f>pogoda47[[#This Row],[stan_po_dolaniu_do_podlania]]-pogoda47[[#This Row],[ile_podlewamy]]</f>
        <v>750</v>
      </c>
    </row>
    <row r="109" spans="1:12" x14ac:dyDescent="0.25">
      <c r="A109" s="2">
        <v>42202</v>
      </c>
      <c r="B109">
        <v>21</v>
      </c>
      <c r="C109">
        <v>0</v>
      </c>
      <c r="D109">
        <f t="shared" si="3"/>
        <v>750</v>
      </c>
      <c r="E109">
        <f>IF(C109=0,ROUNDUP($AA$3*POWER(pogoda47[[#This Row],[temperatura_srednia]],1.5)*pogoda47[[#This Row],[stan_przed_dolaniem]],0),0)</f>
        <v>22</v>
      </c>
      <c r="F109">
        <f>pogoda47[[#This Row],[stan_przed_dolaniem]]-pogoda47[[#This Row],[ubytek]]</f>
        <v>728</v>
      </c>
      <c r="G109">
        <f>IF(pogoda47[[#This Row],[opady]]*$AA$1+D109&gt;$AA$2,$AA$2-pogoda47[[#This Row],[stan_przed_dolaniem]],pogoda47[[#This Row],[opady]]*$AA$1)</f>
        <v>0</v>
      </c>
      <c r="H109">
        <f>pogoda47[[#This Row],[stan_po_ubytku]]+pogoda47[[#This Row],[ile_pogoda_dolała]]</f>
        <v>728</v>
      </c>
      <c r="I109" cm="1">
        <f t="array" ref="I109">_xlfn.IFS(OR(pogoda47[[#This Row],[temperatura_srednia]]&lt;=15,pogoda47[[#This Row],[opady]]&gt;0.61),0,pogoda47[[#This Row],[temperatura_srednia]]&gt;30,24000,pogoda47[[#This Row],[temperatura_srednia]]&gt;15,12000)</f>
        <v>12000</v>
      </c>
      <c r="J109">
        <f>IF(pogoda47[[#This Row],[stan_po_dolaniu]]&lt;pogoda47[[#This Row],[ile_podlewamy]],$AA$2-pogoda47[[#This Row],[stan_po_dolaniu]],0)</f>
        <v>24272</v>
      </c>
      <c r="K109">
        <f>pogoda47[[#This Row],[stan_po_dolaniu]]+pogoda47[[#This Row],[ile_dolać_do_podlania]]</f>
        <v>25000</v>
      </c>
      <c r="L109">
        <f>pogoda47[[#This Row],[stan_po_dolaniu_do_podlania]]-pogoda47[[#This Row],[ile_podlewamy]]</f>
        <v>13000</v>
      </c>
    </row>
    <row r="110" spans="1:12" x14ac:dyDescent="0.25">
      <c r="A110" s="2">
        <v>42203</v>
      </c>
      <c r="B110">
        <v>26</v>
      </c>
      <c r="C110">
        <v>0</v>
      </c>
      <c r="D110">
        <f t="shared" si="3"/>
        <v>13000</v>
      </c>
      <c r="E110">
        <f>IF(C110=0,ROUNDUP($AA$3*POWER(pogoda47[[#This Row],[temperatura_srednia]],1.5)*pogoda47[[#This Row],[stan_przed_dolaniem]],0),0)</f>
        <v>518</v>
      </c>
      <c r="F110">
        <f>pogoda47[[#This Row],[stan_przed_dolaniem]]-pogoda47[[#This Row],[ubytek]]</f>
        <v>12482</v>
      </c>
      <c r="G110">
        <f>IF(pogoda47[[#This Row],[opady]]*$AA$1+D110&gt;$AA$2,$AA$2-pogoda47[[#This Row],[stan_przed_dolaniem]],pogoda47[[#This Row],[opady]]*$AA$1)</f>
        <v>0</v>
      </c>
      <c r="H110">
        <f>pogoda47[[#This Row],[stan_po_ubytku]]+pogoda47[[#This Row],[ile_pogoda_dolała]]</f>
        <v>12482</v>
      </c>
      <c r="I110" cm="1">
        <f t="array" ref="I110">_xlfn.IFS(OR(pogoda47[[#This Row],[temperatura_srednia]]&lt;=15,pogoda47[[#This Row],[opady]]&gt;0.61),0,pogoda47[[#This Row],[temperatura_srednia]]&gt;30,24000,pogoda47[[#This Row],[temperatura_srednia]]&gt;15,12000)</f>
        <v>12000</v>
      </c>
      <c r="J110">
        <f>IF(pogoda47[[#This Row],[stan_po_dolaniu]]&lt;pogoda47[[#This Row],[ile_podlewamy]],$AA$2-pogoda47[[#This Row],[stan_po_dolaniu]],0)</f>
        <v>0</v>
      </c>
      <c r="K110">
        <f>pogoda47[[#This Row],[stan_po_dolaniu]]+pogoda47[[#This Row],[ile_dolać_do_podlania]]</f>
        <v>12482</v>
      </c>
      <c r="L110">
        <f>pogoda47[[#This Row],[stan_po_dolaniu_do_podlania]]-pogoda47[[#This Row],[ile_podlewamy]]</f>
        <v>482</v>
      </c>
    </row>
    <row r="111" spans="1:12" x14ac:dyDescent="0.25">
      <c r="A111" s="2">
        <v>42204</v>
      </c>
      <c r="B111">
        <v>23</v>
      </c>
      <c r="C111">
        <v>18</v>
      </c>
      <c r="D111">
        <f t="shared" si="3"/>
        <v>482</v>
      </c>
      <c r="E111">
        <f>IF(C111=0,ROUNDUP($AA$3*POWER(pogoda47[[#This Row],[temperatura_srednia]],1.5)*pogoda47[[#This Row],[stan_przed_dolaniem]],0),0)</f>
        <v>0</v>
      </c>
      <c r="F111">
        <f>pogoda47[[#This Row],[stan_przed_dolaniem]]-pogoda47[[#This Row],[ubytek]]</f>
        <v>482</v>
      </c>
      <c r="G111">
        <f>IF(pogoda47[[#This Row],[opady]]*$AA$1+D111&gt;$AA$2,$AA$2-pogoda47[[#This Row],[stan_przed_dolaniem]],pogoda47[[#This Row],[opady]]*$AA$1)</f>
        <v>12600</v>
      </c>
      <c r="H111">
        <f>pogoda47[[#This Row],[stan_po_ubytku]]+pogoda47[[#This Row],[ile_pogoda_dolała]]</f>
        <v>13082</v>
      </c>
      <c r="I111" cm="1">
        <f t="array" ref="I111">_xlfn.IFS(OR(pogoda47[[#This Row],[temperatura_srednia]]&lt;=15,pogoda47[[#This Row],[opady]]&gt;0.61),0,pogoda47[[#This Row],[temperatura_srednia]]&gt;30,24000,pogoda47[[#This Row],[temperatura_srednia]]&gt;15,12000)</f>
        <v>0</v>
      </c>
      <c r="J111">
        <f>IF(pogoda47[[#This Row],[stan_po_dolaniu]]&lt;pogoda47[[#This Row],[ile_podlewamy]],$AA$2-pogoda47[[#This Row],[stan_po_dolaniu]],0)</f>
        <v>0</v>
      </c>
      <c r="K111">
        <f>pogoda47[[#This Row],[stan_po_dolaniu]]+pogoda47[[#This Row],[ile_dolać_do_podlania]]</f>
        <v>13082</v>
      </c>
      <c r="L111">
        <f>pogoda47[[#This Row],[stan_po_dolaniu_do_podlania]]-pogoda47[[#This Row],[ile_podlewamy]]</f>
        <v>13082</v>
      </c>
    </row>
    <row r="112" spans="1:12" x14ac:dyDescent="0.25">
      <c r="A112" s="2">
        <v>42205</v>
      </c>
      <c r="B112">
        <v>19</v>
      </c>
      <c r="C112">
        <v>0</v>
      </c>
      <c r="D112">
        <f t="shared" si="3"/>
        <v>13082</v>
      </c>
      <c r="E112">
        <f>IF(C112=0,ROUNDUP($AA$3*POWER(pogoda47[[#This Row],[temperatura_srednia]],1.5)*pogoda47[[#This Row],[stan_przed_dolaniem]],0),0)</f>
        <v>326</v>
      </c>
      <c r="F112">
        <f>pogoda47[[#This Row],[stan_przed_dolaniem]]-pogoda47[[#This Row],[ubytek]]</f>
        <v>12756</v>
      </c>
      <c r="G112">
        <f>IF(pogoda47[[#This Row],[opady]]*$AA$1+D112&gt;$AA$2,$AA$2-pogoda47[[#This Row],[stan_przed_dolaniem]],pogoda47[[#This Row],[opady]]*$AA$1)</f>
        <v>0</v>
      </c>
      <c r="H112">
        <f>pogoda47[[#This Row],[stan_po_ubytku]]+pogoda47[[#This Row],[ile_pogoda_dolała]]</f>
        <v>12756</v>
      </c>
      <c r="I112" cm="1">
        <f t="array" ref="I112">_xlfn.IFS(OR(pogoda47[[#This Row],[temperatura_srednia]]&lt;=15,pogoda47[[#This Row],[opady]]&gt;0.61),0,pogoda47[[#This Row],[temperatura_srednia]]&gt;30,24000,pogoda47[[#This Row],[temperatura_srednia]]&gt;15,12000)</f>
        <v>12000</v>
      </c>
      <c r="J112">
        <f>IF(pogoda47[[#This Row],[stan_po_dolaniu]]&lt;pogoda47[[#This Row],[ile_podlewamy]],$AA$2-pogoda47[[#This Row],[stan_po_dolaniu]],0)</f>
        <v>0</v>
      </c>
      <c r="K112">
        <f>pogoda47[[#This Row],[stan_po_dolaniu]]+pogoda47[[#This Row],[ile_dolać_do_podlania]]</f>
        <v>12756</v>
      </c>
      <c r="L112">
        <f>pogoda47[[#This Row],[stan_po_dolaniu_do_podlania]]-pogoda47[[#This Row],[ile_podlewamy]]</f>
        <v>756</v>
      </c>
    </row>
    <row r="113" spans="1:12" x14ac:dyDescent="0.25">
      <c r="A113" s="2">
        <v>42206</v>
      </c>
      <c r="B113">
        <v>20</v>
      </c>
      <c r="C113">
        <v>6</v>
      </c>
      <c r="D113">
        <f t="shared" si="3"/>
        <v>756</v>
      </c>
      <c r="E113">
        <f>IF(C113=0,ROUNDUP($AA$3*POWER(pogoda47[[#This Row],[temperatura_srednia]],1.5)*pogoda47[[#This Row],[stan_przed_dolaniem]],0),0)</f>
        <v>0</v>
      </c>
      <c r="F113">
        <f>pogoda47[[#This Row],[stan_przed_dolaniem]]-pogoda47[[#This Row],[ubytek]]</f>
        <v>756</v>
      </c>
      <c r="G113">
        <f>IF(pogoda47[[#This Row],[opady]]*$AA$1+D113&gt;$AA$2,$AA$2-pogoda47[[#This Row],[stan_przed_dolaniem]],pogoda47[[#This Row],[opady]]*$AA$1)</f>
        <v>4200</v>
      </c>
      <c r="H113">
        <f>pogoda47[[#This Row],[stan_po_ubytku]]+pogoda47[[#This Row],[ile_pogoda_dolała]]</f>
        <v>4956</v>
      </c>
      <c r="I113" cm="1">
        <f t="array" ref="I113">_xlfn.IFS(OR(pogoda47[[#This Row],[temperatura_srednia]]&lt;=15,pogoda47[[#This Row],[opady]]&gt;0.61),0,pogoda47[[#This Row],[temperatura_srednia]]&gt;30,24000,pogoda47[[#This Row],[temperatura_srednia]]&gt;15,12000)</f>
        <v>0</v>
      </c>
      <c r="J113">
        <f>IF(pogoda47[[#This Row],[stan_po_dolaniu]]&lt;pogoda47[[#This Row],[ile_podlewamy]],$AA$2-pogoda47[[#This Row],[stan_po_dolaniu]],0)</f>
        <v>0</v>
      </c>
      <c r="K113">
        <f>pogoda47[[#This Row],[stan_po_dolaniu]]+pogoda47[[#This Row],[ile_dolać_do_podlania]]</f>
        <v>4956</v>
      </c>
      <c r="L113">
        <f>pogoda47[[#This Row],[stan_po_dolaniu_do_podlania]]-pogoda47[[#This Row],[ile_podlewamy]]</f>
        <v>4956</v>
      </c>
    </row>
    <row r="114" spans="1:12" x14ac:dyDescent="0.25">
      <c r="A114" s="2">
        <v>42207</v>
      </c>
      <c r="B114">
        <v>22</v>
      </c>
      <c r="C114">
        <v>0</v>
      </c>
      <c r="D114">
        <f t="shared" si="3"/>
        <v>4956</v>
      </c>
      <c r="E114">
        <f>IF(C114=0,ROUNDUP($AA$3*POWER(pogoda47[[#This Row],[temperatura_srednia]],1.5)*pogoda47[[#This Row],[stan_przed_dolaniem]],0),0)</f>
        <v>154</v>
      </c>
      <c r="F114">
        <f>pogoda47[[#This Row],[stan_przed_dolaniem]]-pogoda47[[#This Row],[ubytek]]</f>
        <v>4802</v>
      </c>
      <c r="G114">
        <f>IF(pogoda47[[#This Row],[opady]]*$AA$1+D114&gt;$AA$2,$AA$2-pogoda47[[#This Row],[stan_przed_dolaniem]],pogoda47[[#This Row],[opady]]*$AA$1)</f>
        <v>0</v>
      </c>
      <c r="H114">
        <f>pogoda47[[#This Row],[stan_po_ubytku]]+pogoda47[[#This Row],[ile_pogoda_dolała]]</f>
        <v>4802</v>
      </c>
      <c r="I114" cm="1">
        <f t="array" ref="I114">_xlfn.IFS(OR(pogoda47[[#This Row],[temperatura_srednia]]&lt;=15,pogoda47[[#This Row],[opady]]&gt;0.61),0,pogoda47[[#This Row],[temperatura_srednia]]&gt;30,24000,pogoda47[[#This Row],[temperatura_srednia]]&gt;15,12000)</f>
        <v>12000</v>
      </c>
      <c r="J114">
        <f>IF(pogoda47[[#This Row],[stan_po_dolaniu]]&lt;pogoda47[[#This Row],[ile_podlewamy]],$AA$2-pogoda47[[#This Row],[stan_po_dolaniu]],0)</f>
        <v>20198</v>
      </c>
      <c r="K114">
        <f>pogoda47[[#This Row],[stan_po_dolaniu]]+pogoda47[[#This Row],[ile_dolać_do_podlania]]</f>
        <v>25000</v>
      </c>
      <c r="L114">
        <f>pogoda47[[#This Row],[stan_po_dolaniu_do_podlania]]-pogoda47[[#This Row],[ile_podlewamy]]</f>
        <v>13000</v>
      </c>
    </row>
    <row r="115" spans="1:12" x14ac:dyDescent="0.25">
      <c r="A115" s="2">
        <v>42208</v>
      </c>
      <c r="B115">
        <v>20</v>
      </c>
      <c r="C115">
        <v>0</v>
      </c>
      <c r="D115">
        <f t="shared" si="3"/>
        <v>13000</v>
      </c>
      <c r="E115">
        <f>IF(C115=0,ROUNDUP($AA$3*POWER(pogoda47[[#This Row],[temperatura_srednia]],1.5)*pogoda47[[#This Row],[stan_przed_dolaniem]],0),0)</f>
        <v>349</v>
      </c>
      <c r="F115">
        <f>pogoda47[[#This Row],[stan_przed_dolaniem]]-pogoda47[[#This Row],[ubytek]]</f>
        <v>12651</v>
      </c>
      <c r="G115">
        <f>IF(pogoda47[[#This Row],[opady]]*$AA$1+D115&gt;$AA$2,$AA$2-pogoda47[[#This Row],[stan_przed_dolaniem]],pogoda47[[#This Row],[opady]]*$AA$1)</f>
        <v>0</v>
      </c>
      <c r="H115">
        <f>pogoda47[[#This Row],[stan_po_ubytku]]+pogoda47[[#This Row],[ile_pogoda_dolała]]</f>
        <v>12651</v>
      </c>
      <c r="I115" cm="1">
        <f t="array" ref="I115">_xlfn.IFS(OR(pogoda47[[#This Row],[temperatura_srednia]]&lt;=15,pogoda47[[#This Row],[opady]]&gt;0.61),0,pogoda47[[#This Row],[temperatura_srednia]]&gt;30,24000,pogoda47[[#This Row],[temperatura_srednia]]&gt;15,12000)</f>
        <v>12000</v>
      </c>
      <c r="J115">
        <f>IF(pogoda47[[#This Row],[stan_po_dolaniu]]&lt;pogoda47[[#This Row],[ile_podlewamy]],$AA$2-pogoda47[[#This Row],[stan_po_dolaniu]],0)</f>
        <v>0</v>
      </c>
      <c r="K115">
        <f>pogoda47[[#This Row],[stan_po_dolaniu]]+pogoda47[[#This Row],[ile_dolać_do_podlania]]</f>
        <v>12651</v>
      </c>
      <c r="L115">
        <f>pogoda47[[#This Row],[stan_po_dolaniu_do_podlania]]-pogoda47[[#This Row],[ile_podlewamy]]</f>
        <v>651</v>
      </c>
    </row>
    <row r="116" spans="1:12" x14ac:dyDescent="0.25">
      <c r="A116" s="2">
        <v>42209</v>
      </c>
      <c r="B116">
        <v>20</v>
      </c>
      <c r="C116">
        <v>0</v>
      </c>
      <c r="D116">
        <f t="shared" si="3"/>
        <v>651</v>
      </c>
      <c r="E116">
        <f>IF(C116=0,ROUNDUP($AA$3*POWER(pogoda47[[#This Row],[temperatura_srednia]],1.5)*pogoda47[[#This Row],[stan_przed_dolaniem]],0),0)</f>
        <v>18</v>
      </c>
      <c r="F116">
        <f>pogoda47[[#This Row],[stan_przed_dolaniem]]-pogoda47[[#This Row],[ubytek]]</f>
        <v>633</v>
      </c>
      <c r="G116">
        <f>IF(pogoda47[[#This Row],[opady]]*$AA$1+D116&gt;$AA$2,$AA$2-pogoda47[[#This Row],[stan_przed_dolaniem]],pogoda47[[#This Row],[opady]]*$AA$1)</f>
        <v>0</v>
      </c>
      <c r="H116">
        <f>pogoda47[[#This Row],[stan_po_ubytku]]+pogoda47[[#This Row],[ile_pogoda_dolała]]</f>
        <v>633</v>
      </c>
      <c r="I116" cm="1">
        <f t="array" ref="I116">_xlfn.IFS(OR(pogoda47[[#This Row],[temperatura_srednia]]&lt;=15,pogoda47[[#This Row],[opady]]&gt;0.61),0,pogoda47[[#This Row],[temperatura_srednia]]&gt;30,24000,pogoda47[[#This Row],[temperatura_srednia]]&gt;15,12000)</f>
        <v>12000</v>
      </c>
      <c r="J116">
        <f>IF(pogoda47[[#This Row],[stan_po_dolaniu]]&lt;pogoda47[[#This Row],[ile_podlewamy]],$AA$2-pogoda47[[#This Row],[stan_po_dolaniu]],0)</f>
        <v>24367</v>
      </c>
      <c r="K116">
        <f>pogoda47[[#This Row],[stan_po_dolaniu]]+pogoda47[[#This Row],[ile_dolać_do_podlania]]</f>
        <v>25000</v>
      </c>
      <c r="L116">
        <f>pogoda47[[#This Row],[stan_po_dolaniu_do_podlania]]-pogoda47[[#This Row],[ile_podlewamy]]</f>
        <v>13000</v>
      </c>
    </row>
    <row r="117" spans="1:12" x14ac:dyDescent="0.25">
      <c r="A117" s="2">
        <v>42210</v>
      </c>
      <c r="B117">
        <v>23</v>
      </c>
      <c r="C117">
        <v>0.1</v>
      </c>
      <c r="D117">
        <f t="shared" si="3"/>
        <v>13000</v>
      </c>
      <c r="E117">
        <f>IF(C117=0,ROUNDUP($AA$3*POWER(pogoda47[[#This Row],[temperatura_srednia]],1.5)*pogoda47[[#This Row],[stan_przed_dolaniem]],0),0)</f>
        <v>0</v>
      </c>
      <c r="F117">
        <f>pogoda47[[#This Row],[stan_przed_dolaniem]]-pogoda47[[#This Row],[ubytek]]</f>
        <v>13000</v>
      </c>
      <c r="G117">
        <f>IF(pogoda47[[#This Row],[opady]]*$AA$1+D117&gt;$AA$2,$AA$2-pogoda47[[#This Row],[stan_przed_dolaniem]],pogoda47[[#This Row],[opady]]*$AA$1)</f>
        <v>70</v>
      </c>
      <c r="H117">
        <f>pogoda47[[#This Row],[stan_po_ubytku]]+pogoda47[[#This Row],[ile_pogoda_dolała]]</f>
        <v>13070</v>
      </c>
      <c r="I117" cm="1">
        <f t="array" ref="I117">_xlfn.IFS(OR(pogoda47[[#This Row],[temperatura_srednia]]&lt;=15,pogoda47[[#This Row],[opady]]&gt;0.61),0,pogoda47[[#This Row],[temperatura_srednia]]&gt;30,24000,pogoda47[[#This Row],[temperatura_srednia]]&gt;15,12000)</f>
        <v>12000</v>
      </c>
      <c r="J117">
        <f>IF(pogoda47[[#This Row],[stan_po_dolaniu]]&lt;pogoda47[[#This Row],[ile_podlewamy]],$AA$2-pogoda47[[#This Row],[stan_po_dolaniu]],0)</f>
        <v>0</v>
      </c>
      <c r="K117">
        <f>pogoda47[[#This Row],[stan_po_dolaniu]]+pogoda47[[#This Row],[ile_dolać_do_podlania]]</f>
        <v>13070</v>
      </c>
      <c r="L117">
        <f>pogoda47[[#This Row],[stan_po_dolaniu_do_podlania]]-pogoda47[[#This Row],[ile_podlewamy]]</f>
        <v>1070</v>
      </c>
    </row>
    <row r="118" spans="1:12" x14ac:dyDescent="0.25">
      <c r="A118" s="2">
        <v>42211</v>
      </c>
      <c r="B118">
        <v>16</v>
      </c>
      <c r="C118">
        <v>0</v>
      </c>
      <c r="D118">
        <f t="shared" si="3"/>
        <v>1070</v>
      </c>
      <c r="E118">
        <f>IF(C118=0,ROUNDUP($AA$3*POWER(pogoda47[[#This Row],[temperatura_srednia]],1.5)*pogoda47[[#This Row],[stan_przed_dolaniem]],0),0)</f>
        <v>21</v>
      </c>
      <c r="F118">
        <f>pogoda47[[#This Row],[stan_przed_dolaniem]]-pogoda47[[#This Row],[ubytek]]</f>
        <v>1049</v>
      </c>
      <c r="G118">
        <f>IF(pogoda47[[#This Row],[opady]]*$AA$1+D118&gt;$AA$2,$AA$2-pogoda47[[#This Row],[stan_przed_dolaniem]],pogoda47[[#This Row],[opady]]*$AA$1)</f>
        <v>0</v>
      </c>
      <c r="H118">
        <f>pogoda47[[#This Row],[stan_po_ubytku]]+pogoda47[[#This Row],[ile_pogoda_dolała]]</f>
        <v>1049</v>
      </c>
      <c r="I118" cm="1">
        <f t="array" ref="I118">_xlfn.IFS(OR(pogoda47[[#This Row],[temperatura_srednia]]&lt;=15,pogoda47[[#This Row],[opady]]&gt;0.61),0,pogoda47[[#This Row],[temperatura_srednia]]&gt;30,24000,pogoda47[[#This Row],[temperatura_srednia]]&gt;15,12000)</f>
        <v>12000</v>
      </c>
      <c r="J118">
        <f>IF(pogoda47[[#This Row],[stan_po_dolaniu]]&lt;pogoda47[[#This Row],[ile_podlewamy]],$AA$2-pogoda47[[#This Row],[stan_po_dolaniu]],0)</f>
        <v>23951</v>
      </c>
      <c r="K118">
        <f>pogoda47[[#This Row],[stan_po_dolaniu]]+pogoda47[[#This Row],[ile_dolać_do_podlania]]</f>
        <v>25000</v>
      </c>
      <c r="L118">
        <f>pogoda47[[#This Row],[stan_po_dolaniu_do_podlania]]-pogoda47[[#This Row],[ile_podlewamy]]</f>
        <v>13000</v>
      </c>
    </row>
    <row r="119" spans="1:12" x14ac:dyDescent="0.25">
      <c r="A119" s="2">
        <v>42212</v>
      </c>
      <c r="B119">
        <v>16</v>
      </c>
      <c r="C119">
        <v>0.1</v>
      </c>
      <c r="D119">
        <f t="shared" si="3"/>
        <v>13000</v>
      </c>
      <c r="E119">
        <f>IF(C119=0,ROUNDUP($AA$3*POWER(pogoda47[[#This Row],[temperatura_srednia]],1.5)*pogoda47[[#This Row],[stan_przed_dolaniem]],0),0)</f>
        <v>0</v>
      </c>
      <c r="F119">
        <f>pogoda47[[#This Row],[stan_przed_dolaniem]]-pogoda47[[#This Row],[ubytek]]</f>
        <v>13000</v>
      </c>
      <c r="G119">
        <f>IF(pogoda47[[#This Row],[opady]]*$AA$1+D119&gt;$AA$2,$AA$2-pogoda47[[#This Row],[stan_przed_dolaniem]],pogoda47[[#This Row],[opady]]*$AA$1)</f>
        <v>70</v>
      </c>
      <c r="H119">
        <f>pogoda47[[#This Row],[stan_po_ubytku]]+pogoda47[[#This Row],[ile_pogoda_dolała]]</f>
        <v>13070</v>
      </c>
      <c r="I119" cm="1">
        <f t="array" ref="I119">_xlfn.IFS(OR(pogoda47[[#This Row],[temperatura_srednia]]&lt;=15,pogoda47[[#This Row],[opady]]&gt;0.61),0,pogoda47[[#This Row],[temperatura_srednia]]&gt;30,24000,pogoda47[[#This Row],[temperatura_srednia]]&gt;15,12000)</f>
        <v>12000</v>
      </c>
      <c r="J119">
        <f>IF(pogoda47[[#This Row],[stan_po_dolaniu]]&lt;pogoda47[[#This Row],[ile_podlewamy]],$AA$2-pogoda47[[#This Row],[stan_po_dolaniu]],0)</f>
        <v>0</v>
      </c>
      <c r="K119">
        <f>pogoda47[[#This Row],[stan_po_dolaniu]]+pogoda47[[#This Row],[ile_dolać_do_podlania]]</f>
        <v>13070</v>
      </c>
      <c r="L119">
        <f>pogoda47[[#This Row],[stan_po_dolaniu_do_podlania]]-pogoda47[[#This Row],[ile_podlewamy]]</f>
        <v>1070</v>
      </c>
    </row>
    <row r="120" spans="1:12" x14ac:dyDescent="0.25">
      <c r="A120" s="2">
        <v>42213</v>
      </c>
      <c r="B120">
        <v>18</v>
      </c>
      <c r="C120">
        <v>0.3</v>
      </c>
      <c r="D120">
        <f t="shared" si="3"/>
        <v>1070</v>
      </c>
      <c r="E120">
        <f>IF(C120=0,ROUNDUP($AA$3*POWER(pogoda47[[#This Row],[temperatura_srednia]],1.5)*pogoda47[[#This Row],[stan_przed_dolaniem]],0),0)</f>
        <v>0</v>
      </c>
      <c r="F120">
        <f>pogoda47[[#This Row],[stan_przed_dolaniem]]-pogoda47[[#This Row],[ubytek]]</f>
        <v>1070</v>
      </c>
      <c r="G120">
        <f>IF(pogoda47[[#This Row],[opady]]*$AA$1+D120&gt;$AA$2,$AA$2-pogoda47[[#This Row],[stan_przed_dolaniem]],pogoda47[[#This Row],[opady]]*$AA$1)</f>
        <v>210</v>
      </c>
      <c r="H120">
        <f>pogoda47[[#This Row],[stan_po_ubytku]]+pogoda47[[#This Row],[ile_pogoda_dolała]]</f>
        <v>1280</v>
      </c>
      <c r="I120" cm="1">
        <f t="array" ref="I120">_xlfn.IFS(OR(pogoda47[[#This Row],[temperatura_srednia]]&lt;=15,pogoda47[[#This Row],[opady]]&gt;0.61),0,pogoda47[[#This Row],[temperatura_srednia]]&gt;30,24000,pogoda47[[#This Row],[temperatura_srednia]]&gt;15,12000)</f>
        <v>12000</v>
      </c>
      <c r="J120">
        <f>IF(pogoda47[[#This Row],[stan_po_dolaniu]]&lt;pogoda47[[#This Row],[ile_podlewamy]],$AA$2-pogoda47[[#This Row],[stan_po_dolaniu]],0)</f>
        <v>23720</v>
      </c>
      <c r="K120">
        <f>pogoda47[[#This Row],[stan_po_dolaniu]]+pogoda47[[#This Row],[ile_dolać_do_podlania]]</f>
        <v>25000</v>
      </c>
      <c r="L120">
        <f>pogoda47[[#This Row],[stan_po_dolaniu_do_podlania]]-pogoda47[[#This Row],[ile_podlewamy]]</f>
        <v>13000</v>
      </c>
    </row>
    <row r="121" spans="1:12" x14ac:dyDescent="0.25">
      <c r="A121" s="2">
        <v>42214</v>
      </c>
      <c r="B121">
        <v>18</v>
      </c>
      <c r="C121">
        <v>0</v>
      </c>
      <c r="D121">
        <f t="shared" si="3"/>
        <v>13000</v>
      </c>
      <c r="E121">
        <f>IF(C121=0,ROUNDUP($AA$3*POWER(pogoda47[[#This Row],[temperatura_srednia]],1.5)*pogoda47[[#This Row],[stan_przed_dolaniem]],0),0)</f>
        <v>298</v>
      </c>
      <c r="F121">
        <f>pogoda47[[#This Row],[stan_przed_dolaniem]]-pogoda47[[#This Row],[ubytek]]</f>
        <v>12702</v>
      </c>
      <c r="G121">
        <f>IF(pogoda47[[#This Row],[opady]]*$AA$1+D121&gt;$AA$2,$AA$2-pogoda47[[#This Row],[stan_przed_dolaniem]],pogoda47[[#This Row],[opady]]*$AA$1)</f>
        <v>0</v>
      </c>
      <c r="H121">
        <f>pogoda47[[#This Row],[stan_po_ubytku]]+pogoda47[[#This Row],[ile_pogoda_dolała]]</f>
        <v>12702</v>
      </c>
      <c r="I121" cm="1">
        <f t="array" ref="I121">_xlfn.IFS(OR(pogoda47[[#This Row],[temperatura_srednia]]&lt;=15,pogoda47[[#This Row],[opady]]&gt;0.61),0,pogoda47[[#This Row],[temperatura_srednia]]&gt;30,24000,pogoda47[[#This Row],[temperatura_srednia]]&gt;15,12000)</f>
        <v>12000</v>
      </c>
      <c r="J121">
        <f>IF(pogoda47[[#This Row],[stan_po_dolaniu]]&lt;pogoda47[[#This Row],[ile_podlewamy]],$AA$2-pogoda47[[#This Row],[stan_po_dolaniu]],0)</f>
        <v>0</v>
      </c>
      <c r="K121">
        <f>pogoda47[[#This Row],[stan_po_dolaniu]]+pogoda47[[#This Row],[ile_dolać_do_podlania]]</f>
        <v>12702</v>
      </c>
      <c r="L121">
        <f>pogoda47[[#This Row],[stan_po_dolaniu_do_podlania]]-pogoda47[[#This Row],[ile_podlewamy]]</f>
        <v>702</v>
      </c>
    </row>
    <row r="122" spans="1:12" x14ac:dyDescent="0.25">
      <c r="A122" s="2">
        <v>42215</v>
      </c>
      <c r="B122">
        <v>14</v>
      </c>
      <c r="C122">
        <v>0</v>
      </c>
      <c r="D122">
        <f t="shared" si="3"/>
        <v>702</v>
      </c>
      <c r="E122">
        <f>IF(C122=0,ROUNDUP($AA$3*POWER(pogoda47[[#This Row],[temperatura_srednia]],1.5)*pogoda47[[#This Row],[stan_przed_dolaniem]],0),0)</f>
        <v>12</v>
      </c>
      <c r="F122">
        <f>pogoda47[[#This Row],[stan_przed_dolaniem]]-pogoda47[[#This Row],[ubytek]]</f>
        <v>690</v>
      </c>
      <c r="G122">
        <f>IF(pogoda47[[#This Row],[opady]]*$AA$1+D122&gt;$AA$2,$AA$2-pogoda47[[#This Row],[stan_przed_dolaniem]],pogoda47[[#This Row],[opady]]*$AA$1)</f>
        <v>0</v>
      </c>
      <c r="H122">
        <f>pogoda47[[#This Row],[stan_po_ubytku]]+pogoda47[[#This Row],[ile_pogoda_dolała]]</f>
        <v>690</v>
      </c>
      <c r="I122" cm="1">
        <f t="array" ref="I122">_xlfn.IFS(OR(pogoda47[[#This Row],[temperatura_srednia]]&lt;=15,pogoda47[[#This Row],[opady]]&gt;0.61),0,pogoda47[[#This Row],[temperatura_srednia]]&gt;30,24000,pogoda47[[#This Row],[temperatura_srednia]]&gt;15,12000)</f>
        <v>0</v>
      </c>
      <c r="J122">
        <f>IF(pogoda47[[#This Row],[stan_po_dolaniu]]&lt;pogoda47[[#This Row],[ile_podlewamy]],$AA$2-pogoda47[[#This Row],[stan_po_dolaniu]],0)</f>
        <v>0</v>
      </c>
      <c r="K122">
        <f>pogoda47[[#This Row],[stan_po_dolaniu]]+pogoda47[[#This Row],[ile_dolać_do_podlania]]</f>
        <v>690</v>
      </c>
      <c r="L122">
        <f>pogoda47[[#This Row],[stan_po_dolaniu_do_podlania]]-pogoda47[[#This Row],[ile_podlewamy]]</f>
        <v>690</v>
      </c>
    </row>
    <row r="123" spans="1:12" x14ac:dyDescent="0.25">
      <c r="A123" s="2">
        <v>42216</v>
      </c>
      <c r="B123">
        <v>14</v>
      </c>
      <c r="C123">
        <v>0</v>
      </c>
      <c r="D123">
        <f t="shared" si="3"/>
        <v>690</v>
      </c>
      <c r="E123">
        <f>IF(C123=0,ROUNDUP($AA$3*POWER(pogoda47[[#This Row],[temperatura_srednia]],1.5)*pogoda47[[#This Row],[stan_przed_dolaniem]],0),0)</f>
        <v>11</v>
      </c>
      <c r="F123">
        <f>pogoda47[[#This Row],[stan_przed_dolaniem]]-pogoda47[[#This Row],[ubytek]]</f>
        <v>679</v>
      </c>
      <c r="G123">
        <f>IF(pogoda47[[#This Row],[opady]]*$AA$1+D123&gt;$AA$2,$AA$2-pogoda47[[#This Row],[stan_przed_dolaniem]],pogoda47[[#This Row],[opady]]*$AA$1)</f>
        <v>0</v>
      </c>
      <c r="H123">
        <f>pogoda47[[#This Row],[stan_po_ubytku]]+pogoda47[[#This Row],[ile_pogoda_dolała]]</f>
        <v>679</v>
      </c>
      <c r="I123" cm="1">
        <f t="array" ref="I123">_xlfn.IFS(OR(pogoda47[[#This Row],[temperatura_srednia]]&lt;=15,pogoda47[[#This Row],[opady]]&gt;0.61),0,pogoda47[[#This Row],[temperatura_srednia]]&gt;30,24000,pogoda47[[#This Row],[temperatura_srednia]]&gt;15,12000)</f>
        <v>0</v>
      </c>
      <c r="J123">
        <f>IF(pogoda47[[#This Row],[stan_po_dolaniu]]&lt;pogoda47[[#This Row],[ile_podlewamy]],$AA$2-pogoda47[[#This Row],[stan_po_dolaniu]],0)</f>
        <v>0</v>
      </c>
      <c r="K123">
        <f>pogoda47[[#This Row],[stan_po_dolaniu]]+pogoda47[[#This Row],[ile_dolać_do_podlania]]</f>
        <v>679</v>
      </c>
      <c r="L123">
        <f>pogoda47[[#This Row],[stan_po_dolaniu_do_podlania]]-pogoda47[[#This Row],[ile_podlewamy]]</f>
        <v>679</v>
      </c>
    </row>
    <row r="124" spans="1:12" x14ac:dyDescent="0.25">
      <c r="A124" s="2">
        <v>42217</v>
      </c>
      <c r="B124">
        <v>16</v>
      </c>
      <c r="C124">
        <v>0</v>
      </c>
      <c r="D124">
        <f t="shared" si="3"/>
        <v>679</v>
      </c>
      <c r="E124">
        <f>IF(C124=0,ROUNDUP($AA$3*POWER(pogoda47[[#This Row],[temperatura_srednia]],1.5)*pogoda47[[#This Row],[stan_przed_dolaniem]],0),0)</f>
        <v>14</v>
      </c>
      <c r="F124">
        <f>pogoda47[[#This Row],[stan_przed_dolaniem]]-pogoda47[[#This Row],[ubytek]]</f>
        <v>665</v>
      </c>
      <c r="G124">
        <f>IF(pogoda47[[#This Row],[opady]]*$AA$1+D124&gt;$AA$2,$AA$2-pogoda47[[#This Row],[stan_przed_dolaniem]],pogoda47[[#This Row],[opady]]*$AA$1)</f>
        <v>0</v>
      </c>
      <c r="H124">
        <f>pogoda47[[#This Row],[stan_po_ubytku]]+pogoda47[[#This Row],[ile_pogoda_dolała]]</f>
        <v>665</v>
      </c>
      <c r="I124" cm="1">
        <f t="array" ref="I124">_xlfn.IFS(OR(pogoda47[[#This Row],[temperatura_srednia]]&lt;=15,pogoda47[[#This Row],[opady]]&gt;0.61),0,pogoda47[[#This Row],[temperatura_srednia]]&gt;30,24000,pogoda47[[#This Row],[temperatura_srednia]]&gt;15,12000)</f>
        <v>12000</v>
      </c>
      <c r="J124">
        <f>IF(pogoda47[[#This Row],[stan_po_dolaniu]]&lt;pogoda47[[#This Row],[ile_podlewamy]],$AA$2-pogoda47[[#This Row],[stan_po_dolaniu]],0)</f>
        <v>24335</v>
      </c>
      <c r="K124">
        <f>pogoda47[[#This Row],[stan_po_dolaniu]]+pogoda47[[#This Row],[ile_dolać_do_podlania]]</f>
        <v>25000</v>
      </c>
      <c r="L124">
        <f>pogoda47[[#This Row],[stan_po_dolaniu_do_podlania]]-pogoda47[[#This Row],[ile_podlewamy]]</f>
        <v>13000</v>
      </c>
    </row>
    <row r="125" spans="1:12" x14ac:dyDescent="0.25">
      <c r="A125" s="2">
        <v>42218</v>
      </c>
      <c r="B125">
        <v>22</v>
      </c>
      <c r="C125">
        <v>0</v>
      </c>
      <c r="D125">
        <f t="shared" si="3"/>
        <v>13000</v>
      </c>
      <c r="E125">
        <f>IF(C125=0,ROUNDUP($AA$3*POWER(pogoda47[[#This Row],[temperatura_srednia]],1.5)*pogoda47[[#This Row],[stan_przed_dolaniem]],0),0)</f>
        <v>403</v>
      </c>
      <c r="F125">
        <f>pogoda47[[#This Row],[stan_przed_dolaniem]]-pogoda47[[#This Row],[ubytek]]</f>
        <v>12597</v>
      </c>
      <c r="G125">
        <f>IF(pogoda47[[#This Row],[opady]]*$AA$1+D125&gt;$AA$2,$AA$2-pogoda47[[#This Row],[stan_przed_dolaniem]],pogoda47[[#This Row],[opady]]*$AA$1)</f>
        <v>0</v>
      </c>
      <c r="H125">
        <f>pogoda47[[#This Row],[stan_po_ubytku]]+pogoda47[[#This Row],[ile_pogoda_dolała]]</f>
        <v>12597</v>
      </c>
      <c r="I125" cm="1">
        <f t="array" ref="I125">_xlfn.IFS(OR(pogoda47[[#This Row],[temperatura_srednia]]&lt;=15,pogoda47[[#This Row],[opady]]&gt;0.61),0,pogoda47[[#This Row],[temperatura_srednia]]&gt;30,24000,pogoda47[[#This Row],[temperatura_srednia]]&gt;15,12000)</f>
        <v>12000</v>
      </c>
      <c r="J125">
        <f>IF(pogoda47[[#This Row],[stan_po_dolaniu]]&lt;pogoda47[[#This Row],[ile_podlewamy]],$AA$2-pogoda47[[#This Row],[stan_po_dolaniu]],0)</f>
        <v>0</v>
      </c>
      <c r="K125">
        <f>pogoda47[[#This Row],[stan_po_dolaniu]]+pogoda47[[#This Row],[ile_dolać_do_podlania]]</f>
        <v>12597</v>
      </c>
      <c r="L125">
        <f>pogoda47[[#This Row],[stan_po_dolaniu_do_podlania]]-pogoda47[[#This Row],[ile_podlewamy]]</f>
        <v>597</v>
      </c>
    </row>
    <row r="126" spans="1:12" x14ac:dyDescent="0.25">
      <c r="A126" s="2">
        <v>42219</v>
      </c>
      <c r="B126">
        <v>22</v>
      </c>
      <c r="C126">
        <v>0</v>
      </c>
      <c r="D126">
        <f t="shared" si="3"/>
        <v>597</v>
      </c>
      <c r="E126">
        <f>IF(C126=0,ROUNDUP($AA$3*POWER(pogoda47[[#This Row],[temperatura_srednia]],1.5)*pogoda47[[#This Row],[stan_przed_dolaniem]],0),0)</f>
        <v>19</v>
      </c>
      <c r="F126">
        <f>pogoda47[[#This Row],[stan_przed_dolaniem]]-pogoda47[[#This Row],[ubytek]]</f>
        <v>578</v>
      </c>
      <c r="G126">
        <f>IF(pogoda47[[#This Row],[opady]]*$AA$1+D126&gt;$AA$2,$AA$2-pogoda47[[#This Row],[stan_przed_dolaniem]],pogoda47[[#This Row],[opady]]*$AA$1)</f>
        <v>0</v>
      </c>
      <c r="H126">
        <f>pogoda47[[#This Row],[stan_po_ubytku]]+pogoda47[[#This Row],[ile_pogoda_dolała]]</f>
        <v>578</v>
      </c>
      <c r="I126" cm="1">
        <f t="array" ref="I126">_xlfn.IFS(OR(pogoda47[[#This Row],[temperatura_srednia]]&lt;=15,pogoda47[[#This Row],[opady]]&gt;0.61),0,pogoda47[[#This Row],[temperatura_srednia]]&gt;30,24000,pogoda47[[#This Row],[temperatura_srednia]]&gt;15,12000)</f>
        <v>12000</v>
      </c>
      <c r="J126">
        <f>IF(pogoda47[[#This Row],[stan_po_dolaniu]]&lt;pogoda47[[#This Row],[ile_podlewamy]],$AA$2-pogoda47[[#This Row],[stan_po_dolaniu]],0)</f>
        <v>24422</v>
      </c>
      <c r="K126">
        <f>pogoda47[[#This Row],[stan_po_dolaniu]]+pogoda47[[#This Row],[ile_dolać_do_podlania]]</f>
        <v>25000</v>
      </c>
      <c r="L126">
        <f>pogoda47[[#This Row],[stan_po_dolaniu_do_podlania]]-pogoda47[[#This Row],[ile_podlewamy]]</f>
        <v>13000</v>
      </c>
    </row>
    <row r="127" spans="1:12" x14ac:dyDescent="0.25">
      <c r="A127" s="2">
        <v>42220</v>
      </c>
      <c r="B127">
        <v>25</v>
      </c>
      <c r="C127">
        <v>0</v>
      </c>
      <c r="D127">
        <f t="shared" si="3"/>
        <v>13000</v>
      </c>
      <c r="E127">
        <f>IF(C127=0,ROUNDUP($AA$3*POWER(pogoda47[[#This Row],[temperatura_srednia]],1.5)*pogoda47[[#This Row],[stan_przed_dolaniem]],0),0)</f>
        <v>488</v>
      </c>
      <c r="F127">
        <f>pogoda47[[#This Row],[stan_przed_dolaniem]]-pogoda47[[#This Row],[ubytek]]</f>
        <v>12512</v>
      </c>
      <c r="G127">
        <f>IF(pogoda47[[#This Row],[opady]]*$AA$1+D127&gt;$AA$2,$AA$2-pogoda47[[#This Row],[stan_przed_dolaniem]],pogoda47[[#This Row],[opady]]*$AA$1)</f>
        <v>0</v>
      </c>
      <c r="H127">
        <f>pogoda47[[#This Row],[stan_po_ubytku]]+pogoda47[[#This Row],[ile_pogoda_dolała]]</f>
        <v>12512</v>
      </c>
      <c r="I127" cm="1">
        <f t="array" ref="I127">_xlfn.IFS(OR(pogoda47[[#This Row],[temperatura_srednia]]&lt;=15,pogoda47[[#This Row],[opady]]&gt;0.61),0,pogoda47[[#This Row],[temperatura_srednia]]&gt;30,24000,pogoda47[[#This Row],[temperatura_srednia]]&gt;15,12000)</f>
        <v>12000</v>
      </c>
      <c r="J127">
        <f>IF(pogoda47[[#This Row],[stan_po_dolaniu]]&lt;pogoda47[[#This Row],[ile_podlewamy]],$AA$2-pogoda47[[#This Row],[stan_po_dolaniu]],0)</f>
        <v>0</v>
      </c>
      <c r="K127">
        <f>pogoda47[[#This Row],[stan_po_dolaniu]]+pogoda47[[#This Row],[ile_dolać_do_podlania]]</f>
        <v>12512</v>
      </c>
      <c r="L127">
        <f>pogoda47[[#This Row],[stan_po_dolaniu_do_podlania]]-pogoda47[[#This Row],[ile_podlewamy]]</f>
        <v>512</v>
      </c>
    </row>
    <row r="128" spans="1:12" x14ac:dyDescent="0.25">
      <c r="A128" s="2">
        <v>42221</v>
      </c>
      <c r="B128">
        <v>24</v>
      </c>
      <c r="C128">
        <v>0</v>
      </c>
      <c r="D128">
        <f t="shared" si="3"/>
        <v>512</v>
      </c>
      <c r="E128">
        <f>IF(C128=0,ROUNDUP($AA$3*POWER(pogoda47[[#This Row],[temperatura_srednia]],1.5)*pogoda47[[#This Row],[stan_przed_dolaniem]],0),0)</f>
        <v>19</v>
      </c>
      <c r="F128">
        <f>pogoda47[[#This Row],[stan_przed_dolaniem]]-pogoda47[[#This Row],[ubytek]]</f>
        <v>493</v>
      </c>
      <c r="G128">
        <f>IF(pogoda47[[#This Row],[opady]]*$AA$1+D128&gt;$AA$2,$AA$2-pogoda47[[#This Row],[stan_przed_dolaniem]],pogoda47[[#This Row],[opady]]*$AA$1)</f>
        <v>0</v>
      </c>
      <c r="H128">
        <f>pogoda47[[#This Row],[stan_po_ubytku]]+pogoda47[[#This Row],[ile_pogoda_dolała]]</f>
        <v>493</v>
      </c>
      <c r="I128" cm="1">
        <f t="array" ref="I128">_xlfn.IFS(OR(pogoda47[[#This Row],[temperatura_srednia]]&lt;=15,pogoda47[[#This Row],[opady]]&gt;0.61),0,pogoda47[[#This Row],[temperatura_srednia]]&gt;30,24000,pogoda47[[#This Row],[temperatura_srednia]]&gt;15,12000)</f>
        <v>12000</v>
      </c>
      <c r="J128">
        <f>IF(pogoda47[[#This Row],[stan_po_dolaniu]]&lt;pogoda47[[#This Row],[ile_podlewamy]],$AA$2-pogoda47[[#This Row],[stan_po_dolaniu]],0)</f>
        <v>24507</v>
      </c>
      <c r="K128">
        <f>pogoda47[[#This Row],[stan_po_dolaniu]]+pogoda47[[#This Row],[ile_dolać_do_podlania]]</f>
        <v>25000</v>
      </c>
      <c r="L128">
        <f>pogoda47[[#This Row],[stan_po_dolaniu_do_podlania]]-pogoda47[[#This Row],[ile_podlewamy]]</f>
        <v>13000</v>
      </c>
    </row>
    <row r="129" spans="1:12" x14ac:dyDescent="0.25">
      <c r="A129" s="2">
        <v>42222</v>
      </c>
      <c r="B129">
        <v>24</v>
      </c>
      <c r="C129">
        <v>0</v>
      </c>
      <c r="D129">
        <f t="shared" si="3"/>
        <v>13000</v>
      </c>
      <c r="E129">
        <f>IF(C129=0,ROUNDUP($AA$3*POWER(pogoda47[[#This Row],[temperatura_srednia]],1.5)*pogoda47[[#This Row],[stan_przed_dolaniem]],0),0)</f>
        <v>459</v>
      </c>
      <c r="F129">
        <f>pogoda47[[#This Row],[stan_przed_dolaniem]]-pogoda47[[#This Row],[ubytek]]</f>
        <v>12541</v>
      </c>
      <c r="G129">
        <f>IF(pogoda47[[#This Row],[opady]]*$AA$1+D129&gt;$AA$2,$AA$2-pogoda47[[#This Row],[stan_przed_dolaniem]],pogoda47[[#This Row],[opady]]*$AA$1)</f>
        <v>0</v>
      </c>
      <c r="H129">
        <f>pogoda47[[#This Row],[stan_po_ubytku]]+pogoda47[[#This Row],[ile_pogoda_dolała]]</f>
        <v>12541</v>
      </c>
      <c r="I129" cm="1">
        <f t="array" ref="I129">_xlfn.IFS(OR(pogoda47[[#This Row],[temperatura_srednia]]&lt;=15,pogoda47[[#This Row],[opady]]&gt;0.61),0,pogoda47[[#This Row],[temperatura_srednia]]&gt;30,24000,pogoda47[[#This Row],[temperatura_srednia]]&gt;15,12000)</f>
        <v>12000</v>
      </c>
      <c r="J129">
        <f>IF(pogoda47[[#This Row],[stan_po_dolaniu]]&lt;pogoda47[[#This Row],[ile_podlewamy]],$AA$2-pogoda47[[#This Row],[stan_po_dolaniu]],0)</f>
        <v>0</v>
      </c>
      <c r="K129">
        <f>pogoda47[[#This Row],[stan_po_dolaniu]]+pogoda47[[#This Row],[ile_dolać_do_podlania]]</f>
        <v>12541</v>
      </c>
      <c r="L129">
        <f>pogoda47[[#This Row],[stan_po_dolaniu_do_podlania]]-pogoda47[[#This Row],[ile_podlewamy]]</f>
        <v>541</v>
      </c>
    </row>
    <row r="130" spans="1:12" x14ac:dyDescent="0.25">
      <c r="A130" s="2">
        <v>42223</v>
      </c>
      <c r="B130">
        <v>28</v>
      </c>
      <c r="C130">
        <v>0</v>
      </c>
      <c r="D130">
        <f t="shared" si="3"/>
        <v>541</v>
      </c>
      <c r="E130">
        <f>IF(C130=0,ROUNDUP($AA$3*POWER(pogoda47[[#This Row],[temperatura_srednia]],1.5)*pogoda47[[#This Row],[stan_przed_dolaniem]],0),0)</f>
        <v>25</v>
      </c>
      <c r="F130">
        <f>pogoda47[[#This Row],[stan_przed_dolaniem]]-pogoda47[[#This Row],[ubytek]]</f>
        <v>516</v>
      </c>
      <c r="G130">
        <f>IF(pogoda47[[#This Row],[opady]]*$AA$1+D130&gt;$AA$2,$AA$2-pogoda47[[#This Row],[stan_przed_dolaniem]],pogoda47[[#This Row],[opady]]*$AA$1)</f>
        <v>0</v>
      </c>
      <c r="H130">
        <f>pogoda47[[#This Row],[stan_po_ubytku]]+pogoda47[[#This Row],[ile_pogoda_dolała]]</f>
        <v>516</v>
      </c>
      <c r="I130" cm="1">
        <f t="array" ref="I130">_xlfn.IFS(OR(pogoda47[[#This Row],[temperatura_srednia]]&lt;=15,pogoda47[[#This Row],[opady]]&gt;0.61),0,pogoda47[[#This Row],[temperatura_srednia]]&gt;30,24000,pogoda47[[#This Row],[temperatura_srednia]]&gt;15,12000)</f>
        <v>12000</v>
      </c>
      <c r="J130">
        <f>IF(pogoda47[[#This Row],[stan_po_dolaniu]]&lt;pogoda47[[#This Row],[ile_podlewamy]],$AA$2-pogoda47[[#This Row],[stan_po_dolaniu]],0)</f>
        <v>24484</v>
      </c>
      <c r="K130">
        <f>pogoda47[[#This Row],[stan_po_dolaniu]]+pogoda47[[#This Row],[ile_dolać_do_podlania]]</f>
        <v>25000</v>
      </c>
      <c r="L130">
        <f>pogoda47[[#This Row],[stan_po_dolaniu_do_podlania]]-pogoda47[[#This Row],[ile_podlewamy]]</f>
        <v>13000</v>
      </c>
    </row>
    <row r="131" spans="1:12" x14ac:dyDescent="0.25">
      <c r="A131" s="2">
        <v>42224</v>
      </c>
      <c r="B131">
        <v>28</v>
      </c>
      <c r="C131">
        <v>0</v>
      </c>
      <c r="D131">
        <f t="shared" si="3"/>
        <v>13000</v>
      </c>
      <c r="E131">
        <f>IF(C131=0,ROUNDUP($AA$3*POWER(pogoda47[[#This Row],[temperatura_srednia]],1.5)*pogoda47[[#This Row],[stan_przed_dolaniem]],0),0)</f>
        <v>578</v>
      </c>
      <c r="F131">
        <f>pogoda47[[#This Row],[stan_przed_dolaniem]]-pogoda47[[#This Row],[ubytek]]</f>
        <v>12422</v>
      </c>
      <c r="G131">
        <f>IF(pogoda47[[#This Row],[opady]]*$AA$1+D131&gt;$AA$2,$AA$2-pogoda47[[#This Row],[stan_przed_dolaniem]],pogoda47[[#This Row],[opady]]*$AA$1)</f>
        <v>0</v>
      </c>
      <c r="H131">
        <f>pogoda47[[#This Row],[stan_po_ubytku]]+pogoda47[[#This Row],[ile_pogoda_dolała]]</f>
        <v>12422</v>
      </c>
      <c r="I131" cm="1">
        <f t="array" ref="I131">_xlfn.IFS(OR(pogoda47[[#This Row],[temperatura_srednia]]&lt;=15,pogoda47[[#This Row],[opady]]&gt;0.61),0,pogoda47[[#This Row],[temperatura_srednia]]&gt;30,24000,pogoda47[[#This Row],[temperatura_srednia]]&gt;15,12000)</f>
        <v>12000</v>
      </c>
      <c r="J131">
        <f>IF(pogoda47[[#This Row],[stan_po_dolaniu]]&lt;pogoda47[[#This Row],[ile_podlewamy]],$AA$2-pogoda47[[#This Row],[stan_po_dolaniu]],0)</f>
        <v>0</v>
      </c>
      <c r="K131">
        <f>pogoda47[[#This Row],[stan_po_dolaniu]]+pogoda47[[#This Row],[ile_dolać_do_podlania]]</f>
        <v>12422</v>
      </c>
      <c r="L131">
        <f>pogoda47[[#This Row],[stan_po_dolaniu_do_podlania]]-pogoda47[[#This Row],[ile_podlewamy]]</f>
        <v>422</v>
      </c>
    </row>
    <row r="132" spans="1:12" x14ac:dyDescent="0.25">
      <c r="A132" s="2">
        <v>42225</v>
      </c>
      <c r="B132">
        <v>24</v>
      </c>
      <c r="C132">
        <v>0</v>
      </c>
      <c r="D132">
        <f t="shared" ref="D132:D184" si="4">L131</f>
        <v>422</v>
      </c>
      <c r="E132">
        <f>IF(C132=0,ROUNDUP($AA$3*POWER(pogoda47[[#This Row],[temperatura_srednia]],1.5)*pogoda47[[#This Row],[stan_przed_dolaniem]],0),0)</f>
        <v>15</v>
      </c>
      <c r="F132">
        <f>pogoda47[[#This Row],[stan_przed_dolaniem]]-pogoda47[[#This Row],[ubytek]]</f>
        <v>407</v>
      </c>
      <c r="G132">
        <f>IF(pogoda47[[#This Row],[opady]]*$AA$1+D132&gt;$AA$2,$AA$2-pogoda47[[#This Row],[stan_przed_dolaniem]],pogoda47[[#This Row],[opady]]*$AA$1)</f>
        <v>0</v>
      </c>
      <c r="H132">
        <f>pogoda47[[#This Row],[stan_po_ubytku]]+pogoda47[[#This Row],[ile_pogoda_dolała]]</f>
        <v>407</v>
      </c>
      <c r="I132" cm="1">
        <f t="array" ref="I132">_xlfn.IFS(OR(pogoda47[[#This Row],[temperatura_srednia]]&lt;=15,pogoda47[[#This Row],[opady]]&gt;0.61),0,pogoda47[[#This Row],[temperatura_srednia]]&gt;30,24000,pogoda47[[#This Row],[temperatura_srednia]]&gt;15,12000)</f>
        <v>12000</v>
      </c>
      <c r="J132">
        <f>IF(pogoda47[[#This Row],[stan_po_dolaniu]]&lt;pogoda47[[#This Row],[ile_podlewamy]],$AA$2-pogoda47[[#This Row],[stan_po_dolaniu]],0)</f>
        <v>24593</v>
      </c>
      <c r="K132">
        <f>pogoda47[[#This Row],[stan_po_dolaniu]]+pogoda47[[#This Row],[ile_dolać_do_podlania]]</f>
        <v>25000</v>
      </c>
      <c r="L132">
        <f>pogoda47[[#This Row],[stan_po_dolaniu_do_podlania]]-pogoda47[[#This Row],[ile_podlewamy]]</f>
        <v>13000</v>
      </c>
    </row>
    <row r="133" spans="1:12" x14ac:dyDescent="0.25">
      <c r="A133" s="2">
        <v>42226</v>
      </c>
      <c r="B133">
        <v>24</v>
      </c>
      <c r="C133">
        <v>0</v>
      </c>
      <c r="D133">
        <f t="shared" si="4"/>
        <v>13000</v>
      </c>
      <c r="E133">
        <f>IF(C133=0,ROUNDUP($AA$3*POWER(pogoda47[[#This Row],[temperatura_srednia]],1.5)*pogoda47[[#This Row],[stan_przed_dolaniem]],0),0)</f>
        <v>459</v>
      </c>
      <c r="F133">
        <f>pogoda47[[#This Row],[stan_przed_dolaniem]]-pogoda47[[#This Row],[ubytek]]</f>
        <v>12541</v>
      </c>
      <c r="G133">
        <f>IF(pogoda47[[#This Row],[opady]]*$AA$1+D133&gt;$AA$2,$AA$2-pogoda47[[#This Row],[stan_przed_dolaniem]],pogoda47[[#This Row],[opady]]*$AA$1)</f>
        <v>0</v>
      </c>
      <c r="H133">
        <f>pogoda47[[#This Row],[stan_po_ubytku]]+pogoda47[[#This Row],[ile_pogoda_dolała]]</f>
        <v>12541</v>
      </c>
      <c r="I133" cm="1">
        <f t="array" ref="I133">_xlfn.IFS(OR(pogoda47[[#This Row],[temperatura_srednia]]&lt;=15,pogoda47[[#This Row],[opady]]&gt;0.61),0,pogoda47[[#This Row],[temperatura_srednia]]&gt;30,24000,pogoda47[[#This Row],[temperatura_srednia]]&gt;15,12000)</f>
        <v>12000</v>
      </c>
      <c r="J133">
        <f>IF(pogoda47[[#This Row],[stan_po_dolaniu]]&lt;pogoda47[[#This Row],[ile_podlewamy]],$AA$2-pogoda47[[#This Row],[stan_po_dolaniu]],0)</f>
        <v>0</v>
      </c>
      <c r="K133">
        <f>pogoda47[[#This Row],[stan_po_dolaniu]]+pogoda47[[#This Row],[ile_dolać_do_podlania]]</f>
        <v>12541</v>
      </c>
      <c r="L133">
        <f>pogoda47[[#This Row],[stan_po_dolaniu_do_podlania]]-pogoda47[[#This Row],[ile_podlewamy]]</f>
        <v>541</v>
      </c>
    </row>
    <row r="134" spans="1:12" x14ac:dyDescent="0.25">
      <c r="A134" s="2">
        <v>42227</v>
      </c>
      <c r="B134">
        <v>26</v>
      </c>
      <c r="C134">
        <v>0</v>
      </c>
      <c r="D134">
        <f t="shared" si="4"/>
        <v>541</v>
      </c>
      <c r="E134">
        <f>IF(C134=0,ROUNDUP($AA$3*POWER(pogoda47[[#This Row],[temperatura_srednia]],1.5)*pogoda47[[#This Row],[stan_przed_dolaniem]],0),0)</f>
        <v>22</v>
      </c>
      <c r="F134">
        <f>pogoda47[[#This Row],[stan_przed_dolaniem]]-pogoda47[[#This Row],[ubytek]]</f>
        <v>519</v>
      </c>
      <c r="G134">
        <f>IF(pogoda47[[#This Row],[opady]]*$AA$1+D134&gt;$AA$2,$AA$2-pogoda47[[#This Row],[stan_przed_dolaniem]],pogoda47[[#This Row],[opady]]*$AA$1)</f>
        <v>0</v>
      </c>
      <c r="H134">
        <f>pogoda47[[#This Row],[stan_po_ubytku]]+pogoda47[[#This Row],[ile_pogoda_dolała]]</f>
        <v>519</v>
      </c>
      <c r="I134" cm="1">
        <f t="array" ref="I134">_xlfn.IFS(OR(pogoda47[[#This Row],[temperatura_srednia]]&lt;=15,pogoda47[[#This Row],[opady]]&gt;0.61),0,pogoda47[[#This Row],[temperatura_srednia]]&gt;30,24000,pogoda47[[#This Row],[temperatura_srednia]]&gt;15,12000)</f>
        <v>12000</v>
      </c>
      <c r="J134">
        <f>IF(pogoda47[[#This Row],[stan_po_dolaniu]]&lt;pogoda47[[#This Row],[ile_podlewamy]],$AA$2-pogoda47[[#This Row],[stan_po_dolaniu]],0)</f>
        <v>24481</v>
      </c>
      <c r="K134">
        <f>pogoda47[[#This Row],[stan_po_dolaniu]]+pogoda47[[#This Row],[ile_dolać_do_podlania]]</f>
        <v>25000</v>
      </c>
      <c r="L134">
        <f>pogoda47[[#This Row],[stan_po_dolaniu_do_podlania]]-pogoda47[[#This Row],[ile_podlewamy]]</f>
        <v>13000</v>
      </c>
    </row>
    <row r="135" spans="1:12" x14ac:dyDescent="0.25">
      <c r="A135" s="2">
        <v>42228</v>
      </c>
      <c r="B135">
        <v>32</v>
      </c>
      <c r="C135">
        <v>0.6</v>
      </c>
      <c r="D135">
        <f t="shared" si="4"/>
        <v>13000</v>
      </c>
      <c r="E135">
        <f>IF(C135=0,ROUNDUP($AA$3*POWER(pogoda47[[#This Row],[temperatura_srednia]],1.5)*pogoda47[[#This Row],[stan_przed_dolaniem]],0),0)</f>
        <v>0</v>
      </c>
      <c r="F135">
        <f>pogoda47[[#This Row],[stan_przed_dolaniem]]-pogoda47[[#This Row],[ubytek]]</f>
        <v>13000</v>
      </c>
      <c r="G135">
        <f>IF(pogoda47[[#This Row],[opady]]*$AA$1+D135&gt;$AA$2,$AA$2-pogoda47[[#This Row],[stan_przed_dolaniem]],pogoda47[[#This Row],[opady]]*$AA$1)</f>
        <v>420</v>
      </c>
      <c r="H135">
        <f>pogoda47[[#This Row],[stan_po_ubytku]]+pogoda47[[#This Row],[ile_pogoda_dolała]]</f>
        <v>13420</v>
      </c>
      <c r="I135" cm="1">
        <f t="array" ref="I135">_xlfn.IFS(OR(pogoda47[[#This Row],[temperatura_srednia]]&lt;=15,pogoda47[[#This Row],[opady]]&gt;0.61),0,pogoda47[[#This Row],[temperatura_srednia]]&gt;30,24000,pogoda47[[#This Row],[temperatura_srednia]]&gt;15,12000)</f>
        <v>24000</v>
      </c>
      <c r="J135">
        <f>IF(pogoda47[[#This Row],[stan_po_dolaniu]]&lt;pogoda47[[#This Row],[ile_podlewamy]],$AA$2-pogoda47[[#This Row],[stan_po_dolaniu]],0)</f>
        <v>11580</v>
      </c>
      <c r="K135">
        <f>pogoda47[[#This Row],[stan_po_dolaniu]]+pogoda47[[#This Row],[ile_dolać_do_podlania]]</f>
        <v>25000</v>
      </c>
      <c r="L135">
        <f>pogoda47[[#This Row],[stan_po_dolaniu_do_podlania]]-pogoda47[[#This Row],[ile_podlewamy]]</f>
        <v>1000</v>
      </c>
    </row>
    <row r="136" spans="1:12" x14ac:dyDescent="0.25">
      <c r="A136" s="2">
        <v>42229</v>
      </c>
      <c r="B136">
        <v>31</v>
      </c>
      <c r="C136">
        <v>0.1</v>
      </c>
      <c r="D136">
        <f t="shared" si="4"/>
        <v>1000</v>
      </c>
      <c r="E136">
        <f>IF(C136=0,ROUNDUP($AA$3*POWER(pogoda47[[#This Row],[temperatura_srednia]],1.5)*pogoda47[[#This Row],[stan_przed_dolaniem]],0),0)</f>
        <v>0</v>
      </c>
      <c r="F136">
        <f>pogoda47[[#This Row],[stan_przed_dolaniem]]-pogoda47[[#This Row],[ubytek]]</f>
        <v>1000</v>
      </c>
      <c r="G136">
        <f>IF(pogoda47[[#This Row],[opady]]*$AA$1+D136&gt;$AA$2,$AA$2-pogoda47[[#This Row],[stan_przed_dolaniem]],pogoda47[[#This Row],[opady]]*$AA$1)</f>
        <v>70</v>
      </c>
      <c r="H136">
        <f>pogoda47[[#This Row],[stan_po_ubytku]]+pogoda47[[#This Row],[ile_pogoda_dolała]]</f>
        <v>1070</v>
      </c>
      <c r="I136" cm="1">
        <f t="array" ref="I136">_xlfn.IFS(OR(pogoda47[[#This Row],[temperatura_srednia]]&lt;=15,pogoda47[[#This Row],[opady]]&gt;0.61),0,pogoda47[[#This Row],[temperatura_srednia]]&gt;30,24000,pogoda47[[#This Row],[temperatura_srednia]]&gt;15,12000)</f>
        <v>24000</v>
      </c>
      <c r="J136">
        <f>IF(pogoda47[[#This Row],[stan_po_dolaniu]]&lt;pogoda47[[#This Row],[ile_podlewamy]],$AA$2-pogoda47[[#This Row],[stan_po_dolaniu]],0)</f>
        <v>23930</v>
      </c>
      <c r="K136">
        <f>pogoda47[[#This Row],[stan_po_dolaniu]]+pogoda47[[#This Row],[ile_dolać_do_podlania]]</f>
        <v>25000</v>
      </c>
      <c r="L136">
        <f>pogoda47[[#This Row],[stan_po_dolaniu_do_podlania]]-pogoda47[[#This Row],[ile_podlewamy]]</f>
        <v>1000</v>
      </c>
    </row>
    <row r="137" spans="1:12" x14ac:dyDescent="0.25">
      <c r="A137" s="2">
        <v>42230</v>
      </c>
      <c r="B137">
        <v>33</v>
      </c>
      <c r="C137">
        <v>0</v>
      </c>
      <c r="D137">
        <f t="shared" si="4"/>
        <v>1000</v>
      </c>
      <c r="E137">
        <f>IF(C137=0,ROUNDUP($AA$3*POWER(pogoda47[[#This Row],[temperatura_srednia]],1.5)*pogoda47[[#This Row],[stan_przed_dolaniem]],0),0)</f>
        <v>57</v>
      </c>
      <c r="F137">
        <f>pogoda47[[#This Row],[stan_przed_dolaniem]]-pogoda47[[#This Row],[ubytek]]</f>
        <v>943</v>
      </c>
      <c r="G137">
        <f>IF(pogoda47[[#This Row],[opady]]*$AA$1+D137&gt;$AA$2,$AA$2-pogoda47[[#This Row],[stan_przed_dolaniem]],pogoda47[[#This Row],[opady]]*$AA$1)</f>
        <v>0</v>
      </c>
      <c r="H137">
        <f>pogoda47[[#This Row],[stan_po_ubytku]]+pogoda47[[#This Row],[ile_pogoda_dolała]]</f>
        <v>943</v>
      </c>
      <c r="I137" cm="1">
        <f t="array" ref="I137">_xlfn.IFS(OR(pogoda47[[#This Row],[temperatura_srednia]]&lt;=15,pogoda47[[#This Row],[opady]]&gt;0.61),0,pogoda47[[#This Row],[temperatura_srednia]]&gt;30,24000,pogoda47[[#This Row],[temperatura_srednia]]&gt;15,12000)</f>
        <v>24000</v>
      </c>
      <c r="J137">
        <f>IF(pogoda47[[#This Row],[stan_po_dolaniu]]&lt;pogoda47[[#This Row],[ile_podlewamy]],$AA$2-pogoda47[[#This Row],[stan_po_dolaniu]],0)</f>
        <v>24057</v>
      </c>
      <c r="K137">
        <f>pogoda47[[#This Row],[stan_po_dolaniu]]+pogoda47[[#This Row],[ile_dolać_do_podlania]]</f>
        <v>25000</v>
      </c>
      <c r="L137">
        <f>pogoda47[[#This Row],[stan_po_dolaniu_do_podlania]]-pogoda47[[#This Row],[ile_podlewamy]]</f>
        <v>1000</v>
      </c>
    </row>
    <row r="138" spans="1:12" x14ac:dyDescent="0.25">
      <c r="A138" s="2">
        <v>42231</v>
      </c>
      <c r="B138">
        <v>31</v>
      </c>
      <c r="C138">
        <v>12</v>
      </c>
      <c r="D138">
        <f t="shared" si="4"/>
        <v>1000</v>
      </c>
      <c r="E138">
        <f>IF(C138=0,ROUNDUP($AA$3*POWER(pogoda47[[#This Row],[temperatura_srednia]],1.5)*pogoda47[[#This Row],[stan_przed_dolaniem]],0),0)</f>
        <v>0</v>
      </c>
      <c r="F138">
        <f>pogoda47[[#This Row],[stan_przed_dolaniem]]-pogoda47[[#This Row],[ubytek]]</f>
        <v>1000</v>
      </c>
      <c r="G138">
        <f>IF(pogoda47[[#This Row],[opady]]*$AA$1+D138&gt;$AA$2,$AA$2-pogoda47[[#This Row],[stan_przed_dolaniem]],pogoda47[[#This Row],[opady]]*$AA$1)</f>
        <v>8400</v>
      </c>
      <c r="H138">
        <f>pogoda47[[#This Row],[stan_po_ubytku]]+pogoda47[[#This Row],[ile_pogoda_dolała]]</f>
        <v>9400</v>
      </c>
      <c r="I138" cm="1">
        <f t="array" ref="I138">_xlfn.IFS(OR(pogoda47[[#This Row],[temperatura_srednia]]&lt;=15,pogoda47[[#This Row],[opady]]&gt;0.61),0,pogoda47[[#This Row],[temperatura_srednia]]&gt;30,24000,pogoda47[[#This Row],[temperatura_srednia]]&gt;15,12000)</f>
        <v>0</v>
      </c>
      <c r="J138">
        <f>IF(pogoda47[[#This Row],[stan_po_dolaniu]]&lt;pogoda47[[#This Row],[ile_podlewamy]],$AA$2-pogoda47[[#This Row],[stan_po_dolaniu]],0)</f>
        <v>0</v>
      </c>
      <c r="K138">
        <f>pogoda47[[#This Row],[stan_po_dolaniu]]+pogoda47[[#This Row],[ile_dolać_do_podlania]]</f>
        <v>9400</v>
      </c>
      <c r="L138">
        <f>pogoda47[[#This Row],[stan_po_dolaniu_do_podlania]]-pogoda47[[#This Row],[ile_podlewamy]]</f>
        <v>9400</v>
      </c>
    </row>
    <row r="139" spans="1:12" x14ac:dyDescent="0.25">
      <c r="A139" s="2">
        <v>42232</v>
      </c>
      <c r="B139">
        <v>22</v>
      </c>
      <c r="C139">
        <v>0</v>
      </c>
      <c r="D139">
        <f t="shared" si="4"/>
        <v>9400</v>
      </c>
      <c r="E139">
        <f>IF(C139=0,ROUNDUP($AA$3*POWER(pogoda47[[#This Row],[temperatura_srednia]],1.5)*pogoda47[[#This Row],[stan_przed_dolaniem]],0),0)</f>
        <v>291</v>
      </c>
      <c r="F139">
        <f>pogoda47[[#This Row],[stan_przed_dolaniem]]-pogoda47[[#This Row],[ubytek]]</f>
        <v>9109</v>
      </c>
      <c r="G139">
        <f>IF(pogoda47[[#This Row],[opady]]*$AA$1+D139&gt;$AA$2,$AA$2-pogoda47[[#This Row],[stan_przed_dolaniem]],pogoda47[[#This Row],[opady]]*$AA$1)</f>
        <v>0</v>
      </c>
      <c r="H139">
        <f>pogoda47[[#This Row],[stan_po_ubytku]]+pogoda47[[#This Row],[ile_pogoda_dolała]]</f>
        <v>9109</v>
      </c>
      <c r="I139" cm="1">
        <f t="array" ref="I139">_xlfn.IFS(OR(pogoda47[[#This Row],[temperatura_srednia]]&lt;=15,pogoda47[[#This Row],[opady]]&gt;0.61),0,pogoda47[[#This Row],[temperatura_srednia]]&gt;30,24000,pogoda47[[#This Row],[temperatura_srednia]]&gt;15,12000)</f>
        <v>12000</v>
      </c>
      <c r="J139">
        <f>IF(pogoda47[[#This Row],[stan_po_dolaniu]]&lt;pogoda47[[#This Row],[ile_podlewamy]],$AA$2-pogoda47[[#This Row],[stan_po_dolaniu]],0)</f>
        <v>15891</v>
      </c>
      <c r="K139">
        <f>pogoda47[[#This Row],[stan_po_dolaniu]]+pogoda47[[#This Row],[ile_dolać_do_podlania]]</f>
        <v>25000</v>
      </c>
      <c r="L139">
        <f>pogoda47[[#This Row],[stan_po_dolaniu_do_podlania]]-pogoda47[[#This Row],[ile_podlewamy]]</f>
        <v>13000</v>
      </c>
    </row>
    <row r="140" spans="1:12" x14ac:dyDescent="0.25">
      <c r="A140" s="2">
        <v>42233</v>
      </c>
      <c r="B140">
        <v>24</v>
      </c>
      <c r="C140">
        <v>0.2</v>
      </c>
      <c r="D140">
        <f t="shared" si="4"/>
        <v>13000</v>
      </c>
      <c r="E140">
        <f>IF(C140=0,ROUNDUP($AA$3*POWER(pogoda47[[#This Row],[temperatura_srednia]],1.5)*pogoda47[[#This Row],[stan_przed_dolaniem]],0),0)</f>
        <v>0</v>
      </c>
      <c r="F140">
        <f>pogoda47[[#This Row],[stan_przed_dolaniem]]-pogoda47[[#This Row],[ubytek]]</f>
        <v>13000</v>
      </c>
      <c r="G140">
        <f>IF(pogoda47[[#This Row],[opady]]*$AA$1+D140&gt;$AA$2,$AA$2-pogoda47[[#This Row],[stan_przed_dolaniem]],pogoda47[[#This Row],[opady]]*$AA$1)</f>
        <v>140</v>
      </c>
      <c r="H140">
        <f>pogoda47[[#This Row],[stan_po_ubytku]]+pogoda47[[#This Row],[ile_pogoda_dolała]]</f>
        <v>13140</v>
      </c>
      <c r="I140" cm="1">
        <f t="array" ref="I140">_xlfn.IFS(OR(pogoda47[[#This Row],[temperatura_srednia]]&lt;=15,pogoda47[[#This Row],[opady]]&gt;0.61),0,pogoda47[[#This Row],[temperatura_srednia]]&gt;30,24000,pogoda47[[#This Row],[temperatura_srednia]]&gt;15,12000)</f>
        <v>12000</v>
      </c>
      <c r="J140">
        <f>IF(pogoda47[[#This Row],[stan_po_dolaniu]]&lt;pogoda47[[#This Row],[ile_podlewamy]],$AA$2-pogoda47[[#This Row],[stan_po_dolaniu]],0)</f>
        <v>0</v>
      </c>
      <c r="K140">
        <f>pogoda47[[#This Row],[stan_po_dolaniu]]+pogoda47[[#This Row],[ile_dolać_do_podlania]]</f>
        <v>13140</v>
      </c>
      <c r="L140">
        <f>pogoda47[[#This Row],[stan_po_dolaniu_do_podlania]]-pogoda47[[#This Row],[ile_podlewamy]]</f>
        <v>1140</v>
      </c>
    </row>
    <row r="141" spans="1:12" x14ac:dyDescent="0.25">
      <c r="A141" s="2">
        <v>42234</v>
      </c>
      <c r="B141">
        <v>22</v>
      </c>
      <c r="C141">
        <v>0</v>
      </c>
      <c r="D141">
        <f t="shared" si="4"/>
        <v>1140</v>
      </c>
      <c r="E141">
        <f>IF(C141=0,ROUNDUP($AA$3*POWER(pogoda47[[#This Row],[temperatura_srednia]],1.5)*pogoda47[[#This Row],[stan_przed_dolaniem]],0),0)</f>
        <v>36</v>
      </c>
      <c r="F141">
        <f>pogoda47[[#This Row],[stan_przed_dolaniem]]-pogoda47[[#This Row],[ubytek]]</f>
        <v>1104</v>
      </c>
      <c r="G141">
        <f>IF(pogoda47[[#This Row],[opady]]*$AA$1+D141&gt;$AA$2,$AA$2-pogoda47[[#This Row],[stan_przed_dolaniem]],pogoda47[[#This Row],[opady]]*$AA$1)</f>
        <v>0</v>
      </c>
      <c r="H141">
        <f>pogoda47[[#This Row],[stan_po_ubytku]]+pogoda47[[#This Row],[ile_pogoda_dolała]]</f>
        <v>1104</v>
      </c>
      <c r="I141" cm="1">
        <f t="array" ref="I141">_xlfn.IFS(OR(pogoda47[[#This Row],[temperatura_srednia]]&lt;=15,pogoda47[[#This Row],[opady]]&gt;0.61),0,pogoda47[[#This Row],[temperatura_srednia]]&gt;30,24000,pogoda47[[#This Row],[temperatura_srednia]]&gt;15,12000)</f>
        <v>12000</v>
      </c>
      <c r="J141">
        <f>IF(pogoda47[[#This Row],[stan_po_dolaniu]]&lt;pogoda47[[#This Row],[ile_podlewamy]],$AA$2-pogoda47[[#This Row],[stan_po_dolaniu]],0)</f>
        <v>23896</v>
      </c>
      <c r="K141">
        <f>pogoda47[[#This Row],[stan_po_dolaniu]]+pogoda47[[#This Row],[ile_dolać_do_podlania]]</f>
        <v>25000</v>
      </c>
      <c r="L141">
        <f>pogoda47[[#This Row],[stan_po_dolaniu_do_podlania]]-pogoda47[[#This Row],[ile_podlewamy]]</f>
        <v>13000</v>
      </c>
    </row>
    <row r="142" spans="1:12" x14ac:dyDescent="0.25">
      <c r="A142" s="2">
        <v>42235</v>
      </c>
      <c r="B142">
        <v>19</v>
      </c>
      <c r="C142">
        <v>0</v>
      </c>
      <c r="D142">
        <f t="shared" si="4"/>
        <v>13000</v>
      </c>
      <c r="E142">
        <f>IF(C142=0,ROUNDUP($AA$3*POWER(pogoda47[[#This Row],[temperatura_srednia]],1.5)*pogoda47[[#This Row],[stan_przed_dolaniem]],0),0)</f>
        <v>323</v>
      </c>
      <c r="F142">
        <f>pogoda47[[#This Row],[stan_przed_dolaniem]]-pogoda47[[#This Row],[ubytek]]</f>
        <v>12677</v>
      </c>
      <c r="G142">
        <f>IF(pogoda47[[#This Row],[opady]]*$AA$1+D142&gt;$AA$2,$AA$2-pogoda47[[#This Row],[stan_przed_dolaniem]],pogoda47[[#This Row],[opady]]*$AA$1)</f>
        <v>0</v>
      </c>
      <c r="H142">
        <f>pogoda47[[#This Row],[stan_po_ubytku]]+pogoda47[[#This Row],[ile_pogoda_dolała]]</f>
        <v>12677</v>
      </c>
      <c r="I142" cm="1">
        <f t="array" ref="I142">_xlfn.IFS(OR(pogoda47[[#This Row],[temperatura_srednia]]&lt;=15,pogoda47[[#This Row],[opady]]&gt;0.61),0,pogoda47[[#This Row],[temperatura_srednia]]&gt;30,24000,pogoda47[[#This Row],[temperatura_srednia]]&gt;15,12000)</f>
        <v>12000</v>
      </c>
      <c r="J142">
        <f>IF(pogoda47[[#This Row],[stan_po_dolaniu]]&lt;pogoda47[[#This Row],[ile_podlewamy]],$AA$2-pogoda47[[#This Row],[stan_po_dolaniu]],0)</f>
        <v>0</v>
      </c>
      <c r="K142">
        <f>pogoda47[[#This Row],[stan_po_dolaniu]]+pogoda47[[#This Row],[ile_dolać_do_podlania]]</f>
        <v>12677</v>
      </c>
      <c r="L142">
        <f>pogoda47[[#This Row],[stan_po_dolaniu_do_podlania]]-pogoda47[[#This Row],[ile_podlewamy]]</f>
        <v>677</v>
      </c>
    </row>
    <row r="143" spans="1:12" x14ac:dyDescent="0.25">
      <c r="A143" s="2">
        <v>42236</v>
      </c>
      <c r="B143">
        <v>18</v>
      </c>
      <c r="C143">
        <v>0</v>
      </c>
      <c r="D143">
        <f t="shared" si="4"/>
        <v>677</v>
      </c>
      <c r="E143">
        <f>IF(C143=0,ROUNDUP($AA$3*POWER(pogoda47[[#This Row],[temperatura_srednia]],1.5)*pogoda47[[#This Row],[stan_przed_dolaniem]],0),0)</f>
        <v>16</v>
      </c>
      <c r="F143">
        <f>pogoda47[[#This Row],[stan_przed_dolaniem]]-pogoda47[[#This Row],[ubytek]]</f>
        <v>661</v>
      </c>
      <c r="G143">
        <f>IF(pogoda47[[#This Row],[opady]]*$AA$1+D143&gt;$AA$2,$AA$2-pogoda47[[#This Row],[stan_przed_dolaniem]],pogoda47[[#This Row],[opady]]*$AA$1)</f>
        <v>0</v>
      </c>
      <c r="H143">
        <f>pogoda47[[#This Row],[stan_po_ubytku]]+pogoda47[[#This Row],[ile_pogoda_dolała]]</f>
        <v>661</v>
      </c>
      <c r="I143" cm="1">
        <f t="array" ref="I143">_xlfn.IFS(OR(pogoda47[[#This Row],[temperatura_srednia]]&lt;=15,pogoda47[[#This Row],[opady]]&gt;0.61),0,pogoda47[[#This Row],[temperatura_srednia]]&gt;30,24000,pogoda47[[#This Row],[temperatura_srednia]]&gt;15,12000)</f>
        <v>12000</v>
      </c>
      <c r="J143">
        <f>IF(pogoda47[[#This Row],[stan_po_dolaniu]]&lt;pogoda47[[#This Row],[ile_podlewamy]],$AA$2-pogoda47[[#This Row],[stan_po_dolaniu]],0)</f>
        <v>24339</v>
      </c>
      <c r="K143">
        <f>pogoda47[[#This Row],[stan_po_dolaniu]]+pogoda47[[#This Row],[ile_dolać_do_podlania]]</f>
        <v>25000</v>
      </c>
      <c r="L143">
        <f>pogoda47[[#This Row],[stan_po_dolaniu_do_podlania]]-pogoda47[[#This Row],[ile_podlewamy]]</f>
        <v>13000</v>
      </c>
    </row>
    <row r="144" spans="1:12" x14ac:dyDescent="0.25">
      <c r="A144" s="2">
        <v>42237</v>
      </c>
      <c r="B144">
        <v>18</v>
      </c>
      <c r="C144">
        <v>0</v>
      </c>
      <c r="D144">
        <f t="shared" si="4"/>
        <v>13000</v>
      </c>
      <c r="E144">
        <f>IF(C144=0,ROUNDUP($AA$3*POWER(pogoda47[[#This Row],[temperatura_srednia]],1.5)*pogoda47[[#This Row],[stan_przed_dolaniem]],0),0)</f>
        <v>298</v>
      </c>
      <c r="F144">
        <f>pogoda47[[#This Row],[stan_przed_dolaniem]]-pogoda47[[#This Row],[ubytek]]</f>
        <v>12702</v>
      </c>
      <c r="G144">
        <f>IF(pogoda47[[#This Row],[opady]]*$AA$1+D144&gt;$AA$2,$AA$2-pogoda47[[#This Row],[stan_przed_dolaniem]],pogoda47[[#This Row],[opady]]*$AA$1)</f>
        <v>0</v>
      </c>
      <c r="H144">
        <f>pogoda47[[#This Row],[stan_po_ubytku]]+pogoda47[[#This Row],[ile_pogoda_dolała]]</f>
        <v>12702</v>
      </c>
      <c r="I144" cm="1">
        <f t="array" ref="I144">_xlfn.IFS(OR(pogoda47[[#This Row],[temperatura_srednia]]&lt;=15,pogoda47[[#This Row],[opady]]&gt;0.61),0,pogoda47[[#This Row],[temperatura_srednia]]&gt;30,24000,pogoda47[[#This Row],[temperatura_srednia]]&gt;15,12000)</f>
        <v>12000</v>
      </c>
      <c r="J144">
        <f>IF(pogoda47[[#This Row],[stan_po_dolaniu]]&lt;pogoda47[[#This Row],[ile_podlewamy]],$AA$2-pogoda47[[#This Row],[stan_po_dolaniu]],0)</f>
        <v>0</v>
      </c>
      <c r="K144">
        <f>pogoda47[[#This Row],[stan_po_dolaniu]]+pogoda47[[#This Row],[ile_dolać_do_podlania]]</f>
        <v>12702</v>
      </c>
      <c r="L144">
        <f>pogoda47[[#This Row],[stan_po_dolaniu_do_podlania]]-pogoda47[[#This Row],[ile_podlewamy]]</f>
        <v>702</v>
      </c>
    </row>
    <row r="145" spans="1:12" x14ac:dyDescent="0.25">
      <c r="A145" s="2">
        <v>42238</v>
      </c>
      <c r="B145">
        <v>18</v>
      </c>
      <c r="C145">
        <v>0</v>
      </c>
      <c r="D145">
        <f t="shared" si="4"/>
        <v>702</v>
      </c>
      <c r="E145">
        <f>IF(C145=0,ROUNDUP($AA$3*POWER(pogoda47[[#This Row],[temperatura_srednia]],1.5)*pogoda47[[#This Row],[stan_przed_dolaniem]],0),0)</f>
        <v>17</v>
      </c>
      <c r="F145">
        <f>pogoda47[[#This Row],[stan_przed_dolaniem]]-pogoda47[[#This Row],[ubytek]]</f>
        <v>685</v>
      </c>
      <c r="G145">
        <f>IF(pogoda47[[#This Row],[opady]]*$AA$1+D145&gt;$AA$2,$AA$2-pogoda47[[#This Row],[stan_przed_dolaniem]],pogoda47[[#This Row],[opady]]*$AA$1)</f>
        <v>0</v>
      </c>
      <c r="H145">
        <f>pogoda47[[#This Row],[stan_po_ubytku]]+pogoda47[[#This Row],[ile_pogoda_dolała]]</f>
        <v>685</v>
      </c>
      <c r="I145" cm="1">
        <f t="array" ref="I145">_xlfn.IFS(OR(pogoda47[[#This Row],[temperatura_srednia]]&lt;=15,pogoda47[[#This Row],[opady]]&gt;0.61),0,pogoda47[[#This Row],[temperatura_srednia]]&gt;30,24000,pogoda47[[#This Row],[temperatura_srednia]]&gt;15,12000)</f>
        <v>12000</v>
      </c>
      <c r="J145">
        <f>IF(pogoda47[[#This Row],[stan_po_dolaniu]]&lt;pogoda47[[#This Row],[ile_podlewamy]],$AA$2-pogoda47[[#This Row],[stan_po_dolaniu]],0)</f>
        <v>24315</v>
      </c>
      <c r="K145">
        <f>pogoda47[[#This Row],[stan_po_dolaniu]]+pogoda47[[#This Row],[ile_dolać_do_podlania]]</f>
        <v>25000</v>
      </c>
      <c r="L145">
        <f>pogoda47[[#This Row],[stan_po_dolaniu_do_podlania]]-pogoda47[[#This Row],[ile_podlewamy]]</f>
        <v>13000</v>
      </c>
    </row>
    <row r="146" spans="1:12" x14ac:dyDescent="0.25">
      <c r="A146" s="2">
        <v>42239</v>
      </c>
      <c r="B146">
        <v>19</v>
      </c>
      <c r="C146">
        <v>0</v>
      </c>
      <c r="D146">
        <f t="shared" si="4"/>
        <v>13000</v>
      </c>
      <c r="E146">
        <f>IF(C146=0,ROUNDUP($AA$3*POWER(pogoda47[[#This Row],[temperatura_srednia]],1.5)*pogoda47[[#This Row],[stan_przed_dolaniem]],0),0)</f>
        <v>323</v>
      </c>
      <c r="F146">
        <f>pogoda47[[#This Row],[stan_przed_dolaniem]]-pogoda47[[#This Row],[ubytek]]</f>
        <v>12677</v>
      </c>
      <c r="G146">
        <f>IF(pogoda47[[#This Row],[opady]]*$AA$1+D146&gt;$AA$2,$AA$2-pogoda47[[#This Row],[stan_przed_dolaniem]],pogoda47[[#This Row],[opady]]*$AA$1)</f>
        <v>0</v>
      </c>
      <c r="H146">
        <f>pogoda47[[#This Row],[stan_po_ubytku]]+pogoda47[[#This Row],[ile_pogoda_dolała]]</f>
        <v>12677</v>
      </c>
      <c r="I146" cm="1">
        <f t="array" ref="I146">_xlfn.IFS(OR(pogoda47[[#This Row],[temperatura_srednia]]&lt;=15,pogoda47[[#This Row],[opady]]&gt;0.61),0,pogoda47[[#This Row],[temperatura_srednia]]&gt;30,24000,pogoda47[[#This Row],[temperatura_srednia]]&gt;15,12000)</f>
        <v>12000</v>
      </c>
      <c r="J146">
        <f>IF(pogoda47[[#This Row],[stan_po_dolaniu]]&lt;pogoda47[[#This Row],[ile_podlewamy]],$AA$2-pogoda47[[#This Row],[stan_po_dolaniu]],0)</f>
        <v>0</v>
      </c>
      <c r="K146">
        <f>pogoda47[[#This Row],[stan_po_dolaniu]]+pogoda47[[#This Row],[ile_dolać_do_podlania]]</f>
        <v>12677</v>
      </c>
      <c r="L146">
        <f>pogoda47[[#This Row],[stan_po_dolaniu_do_podlania]]-pogoda47[[#This Row],[ile_podlewamy]]</f>
        <v>677</v>
      </c>
    </row>
    <row r="147" spans="1:12" x14ac:dyDescent="0.25">
      <c r="A147" s="2">
        <v>42240</v>
      </c>
      <c r="B147">
        <v>21</v>
      </c>
      <c r="C147">
        <v>5.5</v>
      </c>
      <c r="D147">
        <f t="shared" si="4"/>
        <v>677</v>
      </c>
      <c r="E147">
        <f>IF(C147=0,ROUNDUP($AA$3*POWER(pogoda47[[#This Row],[temperatura_srednia]],1.5)*pogoda47[[#This Row],[stan_przed_dolaniem]],0),0)</f>
        <v>0</v>
      </c>
      <c r="F147">
        <f>pogoda47[[#This Row],[stan_przed_dolaniem]]-pogoda47[[#This Row],[ubytek]]</f>
        <v>677</v>
      </c>
      <c r="G147">
        <f>IF(pogoda47[[#This Row],[opady]]*$AA$1+D147&gt;$AA$2,$AA$2-pogoda47[[#This Row],[stan_przed_dolaniem]],pogoda47[[#This Row],[opady]]*$AA$1)</f>
        <v>3850</v>
      </c>
      <c r="H147">
        <f>pogoda47[[#This Row],[stan_po_ubytku]]+pogoda47[[#This Row],[ile_pogoda_dolała]]</f>
        <v>4527</v>
      </c>
      <c r="I147" cm="1">
        <f t="array" ref="I147">_xlfn.IFS(OR(pogoda47[[#This Row],[temperatura_srednia]]&lt;=15,pogoda47[[#This Row],[opady]]&gt;0.61),0,pogoda47[[#This Row],[temperatura_srednia]]&gt;30,24000,pogoda47[[#This Row],[temperatura_srednia]]&gt;15,12000)</f>
        <v>0</v>
      </c>
      <c r="J147">
        <f>IF(pogoda47[[#This Row],[stan_po_dolaniu]]&lt;pogoda47[[#This Row],[ile_podlewamy]],$AA$2-pogoda47[[#This Row],[stan_po_dolaniu]],0)</f>
        <v>0</v>
      </c>
      <c r="K147">
        <f>pogoda47[[#This Row],[stan_po_dolaniu]]+pogoda47[[#This Row],[ile_dolać_do_podlania]]</f>
        <v>4527</v>
      </c>
      <c r="L147">
        <f>pogoda47[[#This Row],[stan_po_dolaniu_do_podlania]]-pogoda47[[#This Row],[ile_podlewamy]]</f>
        <v>4527</v>
      </c>
    </row>
    <row r="148" spans="1:12" x14ac:dyDescent="0.25">
      <c r="A148" s="2">
        <v>42241</v>
      </c>
      <c r="B148">
        <v>18</v>
      </c>
      <c r="C148">
        <v>18</v>
      </c>
      <c r="D148">
        <f t="shared" si="4"/>
        <v>4527</v>
      </c>
      <c r="E148">
        <f>IF(C148=0,ROUNDUP($AA$3*POWER(pogoda47[[#This Row],[temperatura_srednia]],1.5)*pogoda47[[#This Row],[stan_przed_dolaniem]],0),0)</f>
        <v>0</v>
      </c>
      <c r="F148">
        <f>pogoda47[[#This Row],[stan_przed_dolaniem]]-pogoda47[[#This Row],[ubytek]]</f>
        <v>4527</v>
      </c>
      <c r="G148">
        <f>IF(pogoda47[[#This Row],[opady]]*$AA$1+D148&gt;$AA$2,$AA$2-pogoda47[[#This Row],[stan_przed_dolaniem]],pogoda47[[#This Row],[opady]]*$AA$1)</f>
        <v>12600</v>
      </c>
      <c r="H148">
        <f>pogoda47[[#This Row],[stan_po_ubytku]]+pogoda47[[#This Row],[ile_pogoda_dolała]]</f>
        <v>17127</v>
      </c>
      <c r="I148" cm="1">
        <f t="array" ref="I148">_xlfn.IFS(OR(pogoda47[[#This Row],[temperatura_srednia]]&lt;=15,pogoda47[[#This Row],[opady]]&gt;0.61),0,pogoda47[[#This Row],[temperatura_srednia]]&gt;30,24000,pogoda47[[#This Row],[temperatura_srednia]]&gt;15,12000)</f>
        <v>0</v>
      </c>
      <c r="J148">
        <f>IF(pogoda47[[#This Row],[stan_po_dolaniu]]&lt;pogoda47[[#This Row],[ile_podlewamy]],$AA$2-pogoda47[[#This Row],[stan_po_dolaniu]],0)</f>
        <v>0</v>
      </c>
      <c r="K148">
        <f>pogoda47[[#This Row],[stan_po_dolaniu]]+pogoda47[[#This Row],[ile_dolać_do_podlania]]</f>
        <v>17127</v>
      </c>
      <c r="L148">
        <f>pogoda47[[#This Row],[stan_po_dolaniu_do_podlania]]-pogoda47[[#This Row],[ile_podlewamy]]</f>
        <v>17127</v>
      </c>
    </row>
    <row r="149" spans="1:12" x14ac:dyDescent="0.25">
      <c r="A149" s="2">
        <v>42242</v>
      </c>
      <c r="B149">
        <v>19</v>
      </c>
      <c r="C149">
        <v>12</v>
      </c>
      <c r="D149">
        <f t="shared" si="4"/>
        <v>17127</v>
      </c>
      <c r="E149">
        <f>IF(C149=0,ROUNDUP($AA$3*POWER(pogoda47[[#This Row],[temperatura_srednia]],1.5)*pogoda47[[#This Row],[stan_przed_dolaniem]],0),0)</f>
        <v>0</v>
      </c>
      <c r="F149">
        <f>pogoda47[[#This Row],[stan_przed_dolaniem]]-pogoda47[[#This Row],[ubytek]]</f>
        <v>17127</v>
      </c>
      <c r="G149">
        <f>IF(pogoda47[[#This Row],[opady]]*$AA$1+D149&gt;$AA$2,$AA$2-pogoda47[[#This Row],[stan_przed_dolaniem]],pogoda47[[#This Row],[opady]]*$AA$1)</f>
        <v>7873</v>
      </c>
      <c r="H149">
        <f>pogoda47[[#This Row],[stan_po_ubytku]]+pogoda47[[#This Row],[ile_pogoda_dolała]]</f>
        <v>25000</v>
      </c>
      <c r="I149" cm="1">
        <f t="array" ref="I149">_xlfn.IFS(OR(pogoda47[[#This Row],[temperatura_srednia]]&lt;=15,pogoda47[[#This Row],[opady]]&gt;0.61),0,pogoda47[[#This Row],[temperatura_srednia]]&gt;30,24000,pogoda47[[#This Row],[temperatura_srednia]]&gt;15,12000)</f>
        <v>0</v>
      </c>
      <c r="J149">
        <f>IF(pogoda47[[#This Row],[stan_po_dolaniu]]&lt;pogoda47[[#This Row],[ile_podlewamy]],$AA$2-pogoda47[[#This Row],[stan_po_dolaniu]],0)</f>
        <v>0</v>
      </c>
      <c r="K149">
        <f>pogoda47[[#This Row],[stan_po_dolaniu]]+pogoda47[[#This Row],[ile_dolać_do_podlania]]</f>
        <v>25000</v>
      </c>
      <c r="L149">
        <f>pogoda47[[#This Row],[stan_po_dolaniu_do_podlania]]-pogoda47[[#This Row],[ile_podlewamy]]</f>
        <v>25000</v>
      </c>
    </row>
    <row r="150" spans="1:12" x14ac:dyDescent="0.25">
      <c r="A150" s="2">
        <v>42243</v>
      </c>
      <c r="B150">
        <v>23</v>
      </c>
      <c r="C150">
        <v>0</v>
      </c>
      <c r="D150">
        <f t="shared" si="4"/>
        <v>25000</v>
      </c>
      <c r="E150">
        <f>IF(C150=0,ROUNDUP($AA$3*POWER(pogoda47[[#This Row],[temperatura_srednia]],1.5)*pogoda47[[#This Row],[stan_przed_dolaniem]],0),0)</f>
        <v>828</v>
      </c>
      <c r="F150">
        <f>pogoda47[[#This Row],[stan_przed_dolaniem]]-pogoda47[[#This Row],[ubytek]]</f>
        <v>24172</v>
      </c>
      <c r="G150">
        <f>IF(pogoda47[[#This Row],[opady]]*$AA$1+D150&gt;$AA$2,$AA$2-pogoda47[[#This Row],[stan_przed_dolaniem]],pogoda47[[#This Row],[opady]]*$AA$1)</f>
        <v>0</v>
      </c>
      <c r="H150">
        <f>pogoda47[[#This Row],[stan_po_ubytku]]+pogoda47[[#This Row],[ile_pogoda_dolała]]</f>
        <v>24172</v>
      </c>
      <c r="I150" cm="1">
        <f t="array" ref="I150">_xlfn.IFS(OR(pogoda47[[#This Row],[temperatura_srednia]]&lt;=15,pogoda47[[#This Row],[opady]]&gt;0.61),0,pogoda47[[#This Row],[temperatura_srednia]]&gt;30,24000,pogoda47[[#This Row],[temperatura_srednia]]&gt;15,12000)</f>
        <v>12000</v>
      </c>
      <c r="J150">
        <f>IF(pogoda47[[#This Row],[stan_po_dolaniu]]&lt;pogoda47[[#This Row],[ile_podlewamy]],$AA$2-pogoda47[[#This Row],[stan_po_dolaniu]],0)</f>
        <v>0</v>
      </c>
      <c r="K150">
        <f>pogoda47[[#This Row],[stan_po_dolaniu]]+pogoda47[[#This Row],[ile_dolać_do_podlania]]</f>
        <v>24172</v>
      </c>
      <c r="L150">
        <f>pogoda47[[#This Row],[stan_po_dolaniu_do_podlania]]-pogoda47[[#This Row],[ile_podlewamy]]</f>
        <v>12172</v>
      </c>
    </row>
    <row r="151" spans="1:12" x14ac:dyDescent="0.25">
      <c r="A151" s="2">
        <v>42244</v>
      </c>
      <c r="B151">
        <v>17</v>
      </c>
      <c r="C151">
        <v>0.1</v>
      </c>
      <c r="D151">
        <f t="shared" si="4"/>
        <v>12172</v>
      </c>
      <c r="E151">
        <f>IF(C151=0,ROUNDUP($AA$3*POWER(pogoda47[[#This Row],[temperatura_srednia]],1.5)*pogoda47[[#This Row],[stan_przed_dolaniem]],0),0)</f>
        <v>0</v>
      </c>
      <c r="F151">
        <f>pogoda47[[#This Row],[stan_przed_dolaniem]]-pogoda47[[#This Row],[ubytek]]</f>
        <v>12172</v>
      </c>
      <c r="G151">
        <f>IF(pogoda47[[#This Row],[opady]]*$AA$1+D151&gt;$AA$2,$AA$2-pogoda47[[#This Row],[stan_przed_dolaniem]],pogoda47[[#This Row],[opady]]*$AA$1)</f>
        <v>70</v>
      </c>
      <c r="H151">
        <f>pogoda47[[#This Row],[stan_po_ubytku]]+pogoda47[[#This Row],[ile_pogoda_dolała]]</f>
        <v>12242</v>
      </c>
      <c r="I151" cm="1">
        <f t="array" ref="I151">_xlfn.IFS(OR(pogoda47[[#This Row],[temperatura_srednia]]&lt;=15,pogoda47[[#This Row],[opady]]&gt;0.61),0,pogoda47[[#This Row],[temperatura_srednia]]&gt;30,24000,pogoda47[[#This Row],[temperatura_srednia]]&gt;15,12000)</f>
        <v>12000</v>
      </c>
      <c r="J151">
        <f>IF(pogoda47[[#This Row],[stan_po_dolaniu]]&lt;pogoda47[[#This Row],[ile_podlewamy]],$AA$2-pogoda47[[#This Row],[stan_po_dolaniu]],0)</f>
        <v>0</v>
      </c>
      <c r="K151">
        <f>pogoda47[[#This Row],[stan_po_dolaniu]]+pogoda47[[#This Row],[ile_dolać_do_podlania]]</f>
        <v>12242</v>
      </c>
      <c r="L151">
        <f>pogoda47[[#This Row],[stan_po_dolaniu_do_podlania]]-pogoda47[[#This Row],[ile_podlewamy]]</f>
        <v>242</v>
      </c>
    </row>
    <row r="152" spans="1:12" x14ac:dyDescent="0.25">
      <c r="A152" s="2">
        <v>42245</v>
      </c>
      <c r="B152">
        <v>16</v>
      </c>
      <c r="C152">
        <v>14</v>
      </c>
      <c r="D152">
        <f t="shared" si="4"/>
        <v>242</v>
      </c>
      <c r="E152">
        <f>IF(C152=0,ROUNDUP($AA$3*POWER(pogoda47[[#This Row],[temperatura_srednia]],1.5)*pogoda47[[#This Row],[stan_przed_dolaniem]],0),0)</f>
        <v>0</v>
      </c>
      <c r="F152">
        <f>pogoda47[[#This Row],[stan_przed_dolaniem]]-pogoda47[[#This Row],[ubytek]]</f>
        <v>242</v>
      </c>
      <c r="G152">
        <f>IF(pogoda47[[#This Row],[opady]]*$AA$1+D152&gt;$AA$2,$AA$2-pogoda47[[#This Row],[stan_przed_dolaniem]],pogoda47[[#This Row],[opady]]*$AA$1)</f>
        <v>9800</v>
      </c>
      <c r="H152">
        <f>pogoda47[[#This Row],[stan_po_ubytku]]+pogoda47[[#This Row],[ile_pogoda_dolała]]</f>
        <v>10042</v>
      </c>
      <c r="I152" cm="1">
        <f t="array" ref="I152">_xlfn.IFS(OR(pogoda47[[#This Row],[temperatura_srednia]]&lt;=15,pogoda47[[#This Row],[opady]]&gt;0.61),0,pogoda47[[#This Row],[temperatura_srednia]]&gt;30,24000,pogoda47[[#This Row],[temperatura_srednia]]&gt;15,12000)</f>
        <v>0</v>
      </c>
      <c r="J152">
        <f>IF(pogoda47[[#This Row],[stan_po_dolaniu]]&lt;pogoda47[[#This Row],[ile_podlewamy]],$AA$2-pogoda47[[#This Row],[stan_po_dolaniu]],0)</f>
        <v>0</v>
      </c>
      <c r="K152">
        <f>pogoda47[[#This Row],[stan_po_dolaniu]]+pogoda47[[#This Row],[ile_dolać_do_podlania]]</f>
        <v>10042</v>
      </c>
      <c r="L152">
        <f>pogoda47[[#This Row],[stan_po_dolaniu_do_podlania]]-pogoda47[[#This Row],[ile_podlewamy]]</f>
        <v>10042</v>
      </c>
    </row>
    <row r="153" spans="1:12" x14ac:dyDescent="0.25">
      <c r="A153" s="2">
        <v>42246</v>
      </c>
      <c r="B153">
        <v>22</v>
      </c>
      <c r="C153">
        <v>0</v>
      </c>
      <c r="D153">
        <f t="shared" si="4"/>
        <v>10042</v>
      </c>
      <c r="E153">
        <f>IF(C153=0,ROUNDUP($AA$3*POWER(pogoda47[[#This Row],[temperatura_srednia]],1.5)*pogoda47[[#This Row],[stan_przed_dolaniem]],0),0)</f>
        <v>311</v>
      </c>
      <c r="F153">
        <f>pogoda47[[#This Row],[stan_przed_dolaniem]]-pogoda47[[#This Row],[ubytek]]</f>
        <v>9731</v>
      </c>
      <c r="G153">
        <f>IF(pogoda47[[#This Row],[opady]]*$AA$1+D153&gt;$AA$2,$AA$2-pogoda47[[#This Row],[stan_przed_dolaniem]],pogoda47[[#This Row],[opady]]*$AA$1)</f>
        <v>0</v>
      </c>
      <c r="H153">
        <f>pogoda47[[#This Row],[stan_po_ubytku]]+pogoda47[[#This Row],[ile_pogoda_dolała]]</f>
        <v>9731</v>
      </c>
      <c r="I153" cm="1">
        <f t="array" ref="I153">_xlfn.IFS(OR(pogoda47[[#This Row],[temperatura_srednia]]&lt;=15,pogoda47[[#This Row],[opady]]&gt;0.61),0,pogoda47[[#This Row],[temperatura_srednia]]&gt;30,24000,pogoda47[[#This Row],[temperatura_srednia]]&gt;15,12000)</f>
        <v>12000</v>
      </c>
      <c r="J153">
        <f>IF(pogoda47[[#This Row],[stan_po_dolaniu]]&lt;pogoda47[[#This Row],[ile_podlewamy]],$AA$2-pogoda47[[#This Row],[stan_po_dolaniu]],0)</f>
        <v>15269</v>
      </c>
      <c r="K153">
        <f>pogoda47[[#This Row],[stan_po_dolaniu]]+pogoda47[[#This Row],[ile_dolać_do_podlania]]</f>
        <v>25000</v>
      </c>
      <c r="L153">
        <f>pogoda47[[#This Row],[stan_po_dolaniu_do_podlania]]-pogoda47[[#This Row],[ile_podlewamy]]</f>
        <v>13000</v>
      </c>
    </row>
    <row r="154" spans="1:12" x14ac:dyDescent="0.25">
      <c r="A154" s="2">
        <v>42247</v>
      </c>
      <c r="B154">
        <v>26</v>
      </c>
      <c r="C154">
        <v>0</v>
      </c>
      <c r="D154">
        <f t="shared" si="4"/>
        <v>13000</v>
      </c>
      <c r="E154">
        <f>IF(C154=0,ROUNDUP($AA$3*POWER(pogoda47[[#This Row],[temperatura_srednia]],1.5)*pogoda47[[#This Row],[stan_przed_dolaniem]],0),0)</f>
        <v>518</v>
      </c>
      <c r="F154">
        <f>pogoda47[[#This Row],[stan_przed_dolaniem]]-pogoda47[[#This Row],[ubytek]]</f>
        <v>12482</v>
      </c>
      <c r="G154">
        <f>IF(pogoda47[[#This Row],[opady]]*$AA$1+D154&gt;$AA$2,$AA$2-pogoda47[[#This Row],[stan_przed_dolaniem]],pogoda47[[#This Row],[opady]]*$AA$1)</f>
        <v>0</v>
      </c>
      <c r="H154">
        <f>pogoda47[[#This Row],[stan_po_ubytku]]+pogoda47[[#This Row],[ile_pogoda_dolała]]</f>
        <v>12482</v>
      </c>
      <c r="I154" cm="1">
        <f t="array" ref="I154">_xlfn.IFS(OR(pogoda47[[#This Row],[temperatura_srednia]]&lt;=15,pogoda47[[#This Row],[opady]]&gt;0.61),0,pogoda47[[#This Row],[temperatura_srednia]]&gt;30,24000,pogoda47[[#This Row],[temperatura_srednia]]&gt;15,12000)</f>
        <v>12000</v>
      </c>
      <c r="J154">
        <f>IF(pogoda47[[#This Row],[stan_po_dolaniu]]&lt;pogoda47[[#This Row],[ile_podlewamy]],$AA$2-pogoda47[[#This Row],[stan_po_dolaniu]],0)</f>
        <v>0</v>
      </c>
      <c r="K154">
        <f>pogoda47[[#This Row],[stan_po_dolaniu]]+pogoda47[[#This Row],[ile_dolać_do_podlania]]</f>
        <v>12482</v>
      </c>
      <c r="L154">
        <f>pogoda47[[#This Row],[stan_po_dolaniu_do_podlania]]-pogoda47[[#This Row],[ile_podlewamy]]</f>
        <v>482</v>
      </c>
    </row>
    <row r="155" spans="1:12" x14ac:dyDescent="0.25">
      <c r="A155" s="2">
        <v>42248</v>
      </c>
      <c r="B155">
        <v>27</v>
      </c>
      <c r="C155">
        <v>2</v>
      </c>
      <c r="D155">
        <f t="shared" si="4"/>
        <v>482</v>
      </c>
      <c r="E155">
        <f>IF(C155=0,ROUNDUP($AA$3*POWER(pogoda47[[#This Row],[temperatura_srednia]],1.5)*pogoda47[[#This Row],[stan_przed_dolaniem]],0),0)</f>
        <v>0</v>
      </c>
      <c r="F155">
        <f>pogoda47[[#This Row],[stan_przed_dolaniem]]-pogoda47[[#This Row],[ubytek]]</f>
        <v>482</v>
      </c>
      <c r="G155">
        <f>IF(pogoda47[[#This Row],[opady]]*$AA$1+D155&gt;$AA$2,$AA$2-pogoda47[[#This Row],[stan_przed_dolaniem]],pogoda47[[#This Row],[opady]]*$AA$1)</f>
        <v>1400</v>
      </c>
      <c r="H155">
        <f>pogoda47[[#This Row],[stan_po_ubytku]]+pogoda47[[#This Row],[ile_pogoda_dolała]]</f>
        <v>1882</v>
      </c>
      <c r="I155" cm="1">
        <f t="array" ref="I155">_xlfn.IFS(OR(pogoda47[[#This Row],[temperatura_srednia]]&lt;=15,pogoda47[[#This Row],[opady]]&gt;0.61),0,pogoda47[[#This Row],[temperatura_srednia]]&gt;30,24000,pogoda47[[#This Row],[temperatura_srednia]]&gt;15,12000)</f>
        <v>0</v>
      </c>
      <c r="J155">
        <f>IF(pogoda47[[#This Row],[stan_po_dolaniu]]&lt;pogoda47[[#This Row],[ile_podlewamy]],$AA$2-pogoda47[[#This Row],[stan_po_dolaniu]],0)</f>
        <v>0</v>
      </c>
      <c r="K155">
        <f>pogoda47[[#This Row],[stan_po_dolaniu]]+pogoda47[[#This Row],[ile_dolać_do_podlania]]</f>
        <v>1882</v>
      </c>
      <c r="L155">
        <f>pogoda47[[#This Row],[stan_po_dolaniu_do_podlania]]-pogoda47[[#This Row],[ile_podlewamy]]</f>
        <v>1882</v>
      </c>
    </row>
    <row r="156" spans="1:12" x14ac:dyDescent="0.25">
      <c r="A156" s="2">
        <v>42249</v>
      </c>
      <c r="B156">
        <v>18</v>
      </c>
      <c r="C156">
        <v>0</v>
      </c>
      <c r="D156">
        <f t="shared" si="4"/>
        <v>1882</v>
      </c>
      <c r="E156">
        <f>IF(C156=0,ROUNDUP($AA$3*POWER(pogoda47[[#This Row],[temperatura_srednia]],1.5)*pogoda47[[#This Row],[stan_przed_dolaniem]],0),0)</f>
        <v>44</v>
      </c>
      <c r="F156">
        <f>pogoda47[[#This Row],[stan_przed_dolaniem]]-pogoda47[[#This Row],[ubytek]]</f>
        <v>1838</v>
      </c>
      <c r="G156">
        <f>IF(pogoda47[[#This Row],[opady]]*$AA$1+D156&gt;$AA$2,$AA$2-pogoda47[[#This Row],[stan_przed_dolaniem]],pogoda47[[#This Row],[opady]]*$AA$1)</f>
        <v>0</v>
      </c>
      <c r="H156">
        <f>pogoda47[[#This Row],[stan_po_ubytku]]+pogoda47[[#This Row],[ile_pogoda_dolała]]</f>
        <v>1838</v>
      </c>
      <c r="I156" cm="1">
        <f t="array" ref="I156">_xlfn.IFS(OR(pogoda47[[#This Row],[temperatura_srednia]]&lt;=15,pogoda47[[#This Row],[opady]]&gt;0.61),0,pogoda47[[#This Row],[temperatura_srednia]]&gt;30,24000,pogoda47[[#This Row],[temperatura_srednia]]&gt;15,12000)</f>
        <v>12000</v>
      </c>
      <c r="J156">
        <f>IF(pogoda47[[#This Row],[stan_po_dolaniu]]&lt;pogoda47[[#This Row],[ile_podlewamy]],$AA$2-pogoda47[[#This Row],[stan_po_dolaniu]],0)</f>
        <v>23162</v>
      </c>
      <c r="K156">
        <f>pogoda47[[#This Row],[stan_po_dolaniu]]+pogoda47[[#This Row],[ile_dolać_do_podlania]]</f>
        <v>25000</v>
      </c>
      <c r="L156">
        <f>pogoda47[[#This Row],[stan_po_dolaniu_do_podlania]]-pogoda47[[#This Row],[ile_podlewamy]]</f>
        <v>13000</v>
      </c>
    </row>
    <row r="157" spans="1:12" x14ac:dyDescent="0.25">
      <c r="A157" s="2">
        <v>42250</v>
      </c>
      <c r="B157">
        <v>17</v>
      </c>
      <c r="C157">
        <v>0</v>
      </c>
      <c r="D157">
        <f t="shared" si="4"/>
        <v>13000</v>
      </c>
      <c r="E157">
        <f>IF(C157=0,ROUNDUP($AA$3*POWER(pogoda47[[#This Row],[temperatura_srednia]],1.5)*pogoda47[[#This Row],[stan_przed_dolaniem]],0),0)</f>
        <v>274</v>
      </c>
      <c r="F157">
        <f>pogoda47[[#This Row],[stan_przed_dolaniem]]-pogoda47[[#This Row],[ubytek]]</f>
        <v>12726</v>
      </c>
      <c r="G157">
        <f>IF(pogoda47[[#This Row],[opady]]*$AA$1+D157&gt;$AA$2,$AA$2-pogoda47[[#This Row],[stan_przed_dolaniem]],pogoda47[[#This Row],[opady]]*$AA$1)</f>
        <v>0</v>
      </c>
      <c r="H157">
        <f>pogoda47[[#This Row],[stan_po_ubytku]]+pogoda47[[#This Row],[ile_pogoda_dolała]]</f>
        <v>12726</v>
      </c>
      <c r="I157" cm="1">
        <f t="array" ref="I157">_xlfn.IFS(OR(pogoda47[[#This Row],[temperatura_srednia]]&lt;=15,pogoda47[[#This Row],[opady]]&gt;0.61),0,pogoda47[[#This Row],[temperatura_srednia]]&gt;30,24000,pogoda47[[#This Row],[temperatura_srednia]]&gt;15,12000)</f>
        <v>12000</v>
      </c>
      <c r="J157">
        <f>IF(pogoda47[[#This Row],[stan_po_dolaniu]]&lt;pogoda47[[#This Row],[ile_podlewamy]],$AA$2-pogoda47[[#This Row],[stan_po_dolaniu]],0)</f>
        <v>0</v>
      </c>
      <c r="K157">
        <f>pogoda47[[#This Row],[stan_po_dolaniu]]+pogoda47[[#This Row],[ile_dolać_do_podlania]]</f>
        <v>12726</v>
      </c>
      <c r="L157">
        <f>pogoda47[[#This Row],[stan_po_dolaniu_do_podlania]]-pogoda47[[#This Row],[ile_podlewamy]]</f>
        <v>726</v>
      </c>
    </row>
    <row r="158" spans="1:12" x14ac:dyDescent="0.25">
      <c r="A158" s="2">
        <v>42251</v>
      </c>
      <c r="B158">
        <v>16</v>
      </c>
      <c r="C158">
        <v>0.1</v>
      </c>
      <c r="D158">
        <f t="shared" si="4"/>
        <v>726</v>
      </c>
      <c r="E158">
        <f>IF(C158=0,ROUNDUP($AA$3*POWER(pogoda47[[#This Row],[temperatura_srednia]],1.5)*pogoda47[[#This Row],[stan_przed_dolaniem]],0),0)</f>
        <v>0</v>
      </c>
      <c r="F158">
        <f>pogoda47[[#This Row],[stan_przed_dolaniem]]-pogoda47[[#This Row],[ubytek]]</f>
        <v>726</v>
      </c>
      <c r="G158">
        <f>IF(pogoda47[[#This Row],[opady]]*$AA$1+D158&gt;$AA$2,$AA$2-pogoda47[[#This Row],[stan_przed_dolaniem]],pogoda47[[#This Row],[opady]]*$AA$1)</f>
        <v>70</v>
      </c>
      <c r="H158">
        <f>pogoda47[[#This Row],[stan_po_ubytku]]+pogoda47[[#This Row],[ile_pogoda_dolała]]</f>
        <v>796</v>
      </c>
      <c r="I158" cm="1">
        <f t="array" ref="I158">_xlfn.IFS(OR(pogoda47[[#This Row],[temperatura_srednia]]&lt;=15,pogoda47[[#This Row],[opady]]&gt;0.61),0,pogoda47[[#This Row],[temperatura_srednia]]&gt;30,24000,pogoda47[[#This Row],[temperatura_srednia]]&gt;15,12000)</f>
        <v>12000</v>
      </c>
      <c r="J158">
        <f>IF(pogoda47[[#This Row],[stan_po_dolaniu]]&lt;pogoda47[[#This Row],[ile_podlewamy]],$AA$2-pogoda47[[#This Row],[stan_po_dolaniu]],0)</f>
        <v>24204</v>
      </c>
      <c r="K158">
        <f>pogoda47[[#This Row],[stan_po_dolaniu]]+pogoda47[[#This Row],[ile_dolać_do_podlania]]</f>
        <v>25000</v>
      </c>
      <c r="L158">
        <f>pogoda47[[#This Row],[stan_po_dolaniu_do_podlania]]-pogoda47[[#This Row],[ile_podlewamy]]</f>
        <v>13000</v>
      </c>
    </row>
    <row r="159" spans="1:12" x14ac:dyDescent="0.25">
      <c r="A159" s="2">
        <v>42252</v>
      </c>
      <c r="B159">
        <v>15</v>
      </c>
      <c r="C159">
        <v>0</v>
      </c>
      <c r="D159">
        <f t="shared" si="4"/>
        <v>13000</v>
      </c>
      <c r="E159">
        <f>IF(C159=0,ROUNDUP($AA$3*POWER(pogoda47[[#This Row],[temperatura_srednia]],1.5)*pogoda47[[#This Row],[stan_przed_dolaniem]],0),0)</f>
        <v>227</v>
      </c>
      <c r="F159">
        <f>pogoda47[[#This Row],[stan_przed_dolaniem]]-pogoda47[[#This Row],[ubytek]]</f>
        <v>12773</v>
      </c>
      <c r="G159">
        <f>IF(pogoda47[[#This Row],[opady]]*$AA$1+D159&gt;$AA$2,$AA$2-pogoda47[[#This Row],[stan_przed_dolaniem]],pogoda47[[#This Row],[opady]]*$AA$1)</f>
        <v>0</v>
      </c>
      <c r="H159">
        <f>pogoda47[[#This Row],[stan_po_ubytku]]+pogoda47[[#This Row],[ile_pogoda_dolała]]</f>
        <v>12773</v>
      </c>
      <c r="I159" cm="1">
        <f t="array" ref="I159">_xlfn.IFS(OR(pogoda47[[#This Row],[temperatura_srednia]]&lt;=15,pogoda47[[#This Row],[opady]]&gt;0.61),0,pogoda47[[#This Row],[temperatura_srednia]]&gt;30,24000,pogoda47[[#This Row],[temperatura_srednia]]&gt;15,12000)</f>
        <v>0</v>
      </c>
      <c r="J159">
        <f>IF(pogoda47[[#This Row],[stan_po_dolaniu]]&lt;pogoda47[[#This Row],[ile_podlewamy]],$AA$2-pogoda47[[#This Row],[stan_po_dolaniu]],0)</f>
        <v>0</v>
      </c>
      <c r="K159">
        <f>pogoda47[[#This Row],[stan_po_dolaniu]]+pogoda47[[#This Row],[ile_dolać_do_podlania]]</f>
        <v>12773</v>
      </c>
      <c r="L159">
        <f>pogoda47[[#This Row],[stan_po_dolaniu_do_podlania]]-pogoda47[[#This Row],[ile_podlewamy]]</f>
        <v>12773</v>
      </c>
    </row>
    <row r="160" spans="1:12" x14ac:dyDescent="0.25">
      <c r="A160" s="2">
        <v>42253</v>
      </c>
      <c r="B160">
        <v>12</v>
      </c>
      <c r="C160">
        <v>4</v>
      </c>
      <c r="D160">
        <f t="shared" si="4"/>
        <v>12773</v>
      </c>
      <c r="E160">
        <f>IF(C160=0,ROUNDUP($AA$3*POWER(pogoda47[[#This Row],[temperatura_srednia]],1.5)*pogoda47[[#This Row],[stan_przed_dolaniem]],0),0)</f>
        <v>0</v>
      </c>
      <c r="F160">
        <f>pogoda47[[#This Row],[stan_przed_dolaniem]]-pogoda47[[#This Row],[ubytek]]</f>
        <v>12773</v>
      </c>
      <c r="G160">
        <f>IF(pogoda47[[#This Row],[opady]]*$AA$1+D160&gt;$AA$2,$AA$2-pogoda47[[#This Row],[stan_przed_dolaniem]],pogoda47[[#This Row],[opady]]*$AA$1)</f>
        <v>2800</v>
      </c>
      <c r="H160">
        <f>pogoda47[[#This Row],[stan_po_ubytku]]+pogoda47[[#This Row],[ile_pogoda_dolała]]</f>
        <v>15573</v>
      </c>
      <c r="I160" cm="1">
        <f t="array" ref="I160">_xlfn.IFS(OR(pogoda47[[#This Row],[temperatura_srednia]]&lt;=15,pogoda47[[#This Row],[opady]]&gt;0.61),0,pogoda47[[#This Row],[temperatura_srednia]]&gt;30,24000,pogoda47[[#This Row],[temperatura_srednia]]&gt;15,12000)</f>
        <v>0</v>
      </c>
      <c r="J160">
        <f>IF(pogoda47[[#This Row],[stan_po_dolaniu]]&lt;pogoda47[[#This Row],[ile_podlewamy]],$AA$2-pogoda47[[#This Row],[stan_po_dolaniu]],0)</f>
        <v>0</v>
      </c>
      <c r="K160">
        <f>pogoda47[[#This Row],[stan_po_dolaniu]]+pogoda47[[#This Row],[ile_dolać_do_podlania]]</f>
        <v>15573</v>
      </c>
      <c r="L160">
        <f>pogoda47[[#This Row],[stan_po_dolaniu_do_podlania]]-pogoda47[[#This Row],[ile_podlewamy]]</f>
        <v>15573</v>
      </c>
    </row>
    <row r="161" spans="1:12" x14ac:dyDescent="0.25">
      <c r="A161" s="2">
        <v>42254</v>
      </c>
      <c r="B161">
        <v>13</v>
      </c>
      <c r="C161">
        <v>0</v>
      </c>
      <c r="D161">
        <f t="shared" si="4"/>
        <v>15573</v>
      </c>
      <c r="E161">
        <f>IF(C161=0,ROUNDUP($AA$3*POWER(pogoda47[[#This Row],[temperatura_srednia]],1.5)*pogoda47[[#This Row],[stan_przed_dolaniem]],0),0)</f>
        <v>219</v>
      </c>
      <c r="F161">
        <f>pogoda47[[#This Row],[stan_przed_dolaniem]]-pogoda47[[#This Row],[ubytek]]</f>
        <v>15354</v>
      </c>
      <c r="G161">
        <f>IF(pogoda47[[#This Row],[opady]]*$AA$1+D161&gt;$AA$2,$AA$2-pogoda47[[#This Row],[stan_przed_dolaniem]],pogoda47[[#This Row],[opady]]*$AA$1)</f>
        <v>0</v>
      </c>
      <c r="H161">
        <f>pogoda47[[#This Row],[stan_po_ubytku]]+pogoda47[[#This Row],[ile_pogoda_dolała]]</f>
        <v>15354</v>
      </c>
      <c r="I161" cm="1">
        <f t="array" ref="I161">_xlfn.IFS(OR(pogoda47[[#This Row],[temperatura_srednia]]&lt;=15,pogoda47[[#This Row],[opady]]&gt;0.61),0,pogoda47[[#This Row],[temperatura_srednia]]&gt;30,24000,pogoda47[[#This Row],[temperatura_srednia]]&gt;15,12000)</f>
        <v>0</v>
      </c>
      <c r="J161">
        <f>IF(pogoda47[[#This Row],[stan_po_dolaniu]]&lt;pogoda47[[#This Row],[ile_podlewamy]],$AA$2-pogoda47[[#This Row],[stan_po_dolaniu]],0)</f>
        <v>0</v>
      </c>
      <c r="K161">
        <f>pogoda47[[#This Row],[stan_po_dolaniu]]+pogoda47[[#This Row],[ile_dolać_do_podlania]]</f>
        <v>15354</v>
      </c>
      <c r="L161">
        <f>pogoda47[[#This Row],[stan_po_dolaniu_do_podlania]]-pogoda47[[#This Row],[ile_podlewamy]]</f>
        <v>15354</v>
      </c>
    </row>
    <row r="162" spans="1:12" x14ac:dyDescent="0.25">
      <c r="A162" s="2">
        <v>42255</v>
      </c>
      <c r="B162">
        <v>11</v>
      </c>
      <c r="C162">
        <v>4</v>
      </c>
      <c r="D162">
        <f t="shared" si="4"/>
        <v>15354</v>
      </c>
      <c r="E162">
        <f>IF(C162=0,ROUNDUP($AA$3*POWER(pogoda47[[#This Row],[temperatura_srednia]],1.5)*pogoda47[[#This Row],[stan_przed_dolaniem]],0),0)</f>
        <v>0</v>
      </c>
      <c r="F162">
        <f>pogoda47[[#This Row],[stan_przed_dolaniem]]-pogoda47[[#This Row],[ubytek]]</f>
        <v>15354</v>
      </c>
      <c r="G162">
        <f>IF(pogoda47[[#This Row],[opady]]*$AA$1+D162&gt;$AA$2,$AA$2-pogoda47[[#This Row],[stan_przed_dolaniem]],pogoda47[[#This Row],[opady]]*$AA$1)</f>
        <v>2800</v>
      </c>
      <c r="H162">
        <f>pogoda47[[#This Row],[stan_po_ubytku]]+pogoda47[[#This Row],[ile_pogoda_dolała]]</f>
        <v>18154</v>
      </c>
      <c r="I162" cm="1">
        <f t="array" ref="I162">_xlfn.IFS(OR(pogoda47[[#This Row],[temperatura_srednia]]&lt;=15,pogoda47[[#This Row],[opady]]&gt;0.61),0,pogoda47[[#This Row],[temperatura_srednia]]&gt;30,24000,pogoda47[[#This Row],[temperatura_srednia]]&gt;15,12000)</f>
        <v>0</v>
      </c>
      <c r="J162">
        <f>IF(pogoda47[[#This Row],[stan_po_dolaniu]]&lt;pogoda47[[#This Row],[ile_podlewamy]],$AA$2-pogoda47[[#This Row],[stan_po_dolaniu]],0)</f>
        <v>0</v>
      </c>
      <c r="K162">
        <f>pogoda47[[#This Row],[stan_po_dolaniu]]+pogoda47[[#This Row],[ile_dolać_do_podlania]]</f>
        <v>18154</v>
      </c>
      <c r="L162">
        <f>pogoda47[[#This Row],[stan_po_dolaniu_do_podlania]]-pogoda47[[#This Row],[ile_podlewamy]]</f>
        <v>18154</v>
      </c>
    </row>
    <row r="163" spans="1:12" x14ac:dyDescent="0.25">
      <c r="A163" s="2">
        <v>42256</v>
      </c>
      <c r="B163">
        <v>11</v>
      </c>
      <c r="C163">
        <v>0</v>
      </c>
      <c r="D163">
        <f t="shared" si="4"/>
        <v>18154</v>
      </c>
      <c r="E163">
        <f>IF(C163=0,ROUNDUP($AA$3*POWER(pogoda47[[#This Row],[temperatura_srednia]],1.5)*pogoda47[[#This Row],[stan_przed_dolaniem]],0),0)</f>
        <v>199</v>
      </c>
      <c r="F163">
        <f>pogoda47[[#This Row],[stan_przed_dolaniem]]-pogoda47[[#This Row],[ubytek]]</f>
        <v>17955</v>
      </c>
      <c r="G163">
        <f>IF(pogoda47[[#This Row],[opady]]*$AA$1+D163&gt;$AA$2,$AA$2-pogoda47[[#This Row],[stan_przed_dolaniem]],pogoda47[[#This Row],[opady]]*$AA$1)</f>
        <v>0</v>
      </c>
      <c r="H163">
        <f>pogoda47[[#This Row],[stan_po_ubytku]]+pogoda47[[#This Row],[ile_pogoda_dolała]]</f>
        <v>17955</v>
      </c>
      <c r="I163" cm="1">
        <f t="array" ref="I163">_xlfn.IFS(OR(pogoda47[[#This Row],[temperatura_srednia]]&lt;=15,pogoda47[[#This Row],[opady]]&gt;0.61),0,pogoda47[[#This Row],[temperatura_srednia]]&gt;30,24000,pogoda47[[#This Row],[temperatura_srednia]]&gt;15,12000)</f>
        <v>0</v>
      </c>
      <c r="J163">
        <f>IF(pogoda47[[#This Row],[stan_po_dolaniu]]&lt;pogoda47[[#This Row],[ile_podlewamy]],$AA$2-pogoda47[[#This Row],[stan_po_dolaniu]],0)</f>
        <v>0</v>
      </c>
      <c r="K163">
        <f>pogoda47[[#This Row],[stan_po_dolaniu]]+pogoda47[[#This Row],[ile_dolać_do_podlania]]</f>
        <v>17955</v>
      </c>
      <c r="L163">
        <f>pogoda47[[#This Row],[stan_po_dolaniu_do_podlania]]-pogoda47[[#This Row],[ile_podlewamy]]</f>
        <v>17955</v>
      </c>
    </row>
    <row r="164" spans="1:12" x14ac:dyDescent="0.25">
      <c r="A164" s="2">
        <v>42257</v>
      </c>
      <c r="B164">
        <v>12</v>
      </c>
      <c r="C164">
        <v>0</v>
      </c>
      <c r="D164">
        <f t="shared" si="4"/>
        <v>17955</v>
      </c>
      <c r="E164">
        <f>IF(C164=0,ROUNDUP($AA$3*POWER(pogoda47[[#This Row],[temperatura_srednia]],1.5)*pogoda47[[#This Row],[stan_przed_dolaniem]],0),0)</f>
        <v>224</v>
      </c>
      <c r="F164">
        <f>pogoda47[[#This Row],[stan_przed_dolaniem]]-pogoda47[[#This Row],[ubytek]]</f>
        <v>17731</v>
      </c>
      <c r="G164">
        <f>IF(pogoda47[[#This Row],[opady]]*$AA$1+D164&gt;$AA$2,$AA$2-pogoda47[[#This Row],[stan_przed_dolaniem]],pogoda47[[#This Row],[opady]]*$AA$1)</f>
        <v>0</v>
      </c>
      <c r="H164">
        <f>pogoda47[[#This Row],[stan_po_ubytku]]+pogoda47[[#This Row],[ile_pogoda_dolała]]</f>
        <v>17731</v>
      </c>
      <c r="I164" cm="1">
        <f t="array" ref="I164">_xlfn.IFS(OR(pogoda47[[#This Row],[temperatura_srednia]]&lt;=15,pogoda47[[#This Row],[opady]]&gt;0.61),0,pogoda47[[#This Row],[temperatura_srednia]]&gt;30,24000,pogoda47[[#This Row],[temperatura_srednia]]&gt;15,12000)</f>
        <v>0</v>
      </c>
      <c r="J164">
        <f>IF(pogoda47[[#This Row],[stan_po_dolaniu]]&lt;pogoda47[[#This Row],[ile_podlewamy]],$AA$2-pogoda47[[#This Row],[stan_po_dolaniu]],0)</f>
        <v>0</v>
      </c>
      <c r="K164">
        <f>pogoda47[[#This Row],[stan_po_dolaniu]]+pogoda47[[#This Row],[ile_dolać_do_podlania]]</f>
        <v>17731</v>
      </c>
      <c r="L164">
        <f>pogoda47[[#This Row],[stan_po_dolaniu_do_podlania]]-pogoda47[[#This Row],[ile_podlewamy]]</f>
        <v>17731</v>
      </c>
    </row>
    <row r="165" spans="1:12" x14ac:dyDescent="0.25">
      <c r="A165" s="2">
        <v>42258</v>
      </c>
      <c r="B165">
        <v>16</v>
      </c>
      <c r="C165">
        <v>0.1</v>
      </c>
      <c r="D165">
        <f t="shared" si="4"/>
        <v>17731</v>
      </c>
      <c r="E165">
        <f>IF(C165=0,ROUNDUP($AA$3*POWER(pogoda47[[#This Row],[temperatura_srednia]],1.5)*pogoda47[[#This Row],[stan_przed_dolaniem]],0),0)</f>
        <v>0</v>
      </c>
      <c r="F165">
        <f>pogoda47[[#This Row],[stan_przed_dolaniem]]-pogoda47[[#This Row],[ubytek]]</f>
        <v>17731</v>
      </c>
      <c r="G165">
        <f>IF(pogoda47[[#This Row],[opady]]*$AA$1+D165&gt;$AA$2,$AA$2-pogoda47[[#This Row],[stan_przed_dolaniem]],pogoda47[[#This Row],[opady]]*$AA$1)</f>
        <v>70</v>
      </c>
      <c r="H165">
        <f>pogoda47[[#This Row],[stan_po_ubytku]]+pogoda47[[#This Row],[ile_pogoda_dolała]]</f>
        <v>17801</v>
      </c>
      <c r="I165" cm="1">
        <f t="array" ref="I165">_xlfn.IFS(OR(pogoda47[[#This Row],[temperatura_srednia]]&lt;=15,pogoda47[[#This Row],[opady]]&gt;0.61),0,pogoda47[[#This Row],[temperatura_srednia]]&gt;30,24000,pogoda47[[#This Row],[temperatura_srednia]]&gt;15,12000)</f>
        <v>12000</v>
      </c>
      <c r="J165">
        <f>IF(pogoda47[[#This Row],[stan_po_dolaniu]]&lt;pogoda47[[#This Row],[ile_podlewamy]],$AA$2-pogoda47[[#This Row],[stan_po_dolaniu]],0)</f>
        <v>0</v>
      </c>
      <c r="K165">
        <f>pogoda47[[#This Row],[stan_po_dolaniu]]+pogoda47[[#This Row],[ile_dolać_do_podlania]]</f>
        <v>17801</v>
      </c>
      <c r="L165">
        <f>pogoda47[[#This Row],[stan_po_dolaniu_do_podlania]]-pogoda47[[#This Row],[ile_podlewamy]]</f>
        <v>5801</v>
      </c>
    </row>
    <row r="166" spans="1:12" x14ac:dyDescent="0.25">
      <c r="A166" s="2">
        <v>42259</v>
      </c>
      <c r="B166">
        <v>18</v>
      </c>
      <c r="C166">
        <v>0</v>
      </c>
      <c r="D166">
        <f t="shared" si="4"/>
        <v>5801</v>
      </c>
      <c r="E166">
        <f>IF(C166=0,ROUNDUP($AA$3*POWER(pogoda47[[#This Row],[temperatura_srednia]],1.5)*pogoda47[[#This Row],[stan_przed_dolaniem]],0),0)</f>
        <v>133</v>
      </c>
      <c r="F166">
        <f>pogoda47[[#This Row],[stan_przed_dolaniem]]-pogoda47[[#This Row],[ubytek]]</f>
        <v>5668</v>
      </c>
      <c r="G166">
        <f>IF(pogoda47[[#This Row],[opady]]*$AA$1+D166&gt;$AA$2,$AA$2-pogoda47[[#This Row],[stan_przed_dolaniem]],pogoda47[[#This Row],[opady]]*$AA$1)</f>
        <v>0</v>
      </c>
      <c r="H166">
        <f>pogoda47[[#This Row],[stan_po_ubytku]]+pogoda47[[#This Row],[ile_pogoda_dolała]]</f>
        <v>5668</v>
      </c>
      <c r="I166" cm="1">
        <f t="array" ref="I166">_xlfn.IFS(OR(pogoda47[[#This Row],[temperatura_srednia]]&lt;=15,pogoda47[[#This Row],[opady]]&gt;0.61),0,pogoda47[[#This Row],[temperatura_srednia]]&gt;30,24000,pogoda47[[#This Row],[temperatura_srednia]]&gt;15,12000)</f>
        <v>12000</v>
      </c>
      <c r="J166">
        <f>IF(pogoda47[[#This Row],[stan_po_dolaniu]]&lt;pogoda47[[#This Row],[ile_podlewamy]],$AA$2-pogoda47[[#This Row],[stan_po_dolaniu]],0)</f>
        <v>19332</v>
      </c>
      <c r="K166">
        <f>pogoda47[[#This Row],[stan_po_dolaniu]]+pogoda47[[#This Row],[ile_dolać_do_podlania]]</f>
        <v>25000</v>
      </c>
      <c r="L166">
        <f>pogoda47[[#This Row],[stan_po_dolaniu_do_podlania]]-pogoda47[[#This Row],[ile_podlewamy]]</f>
        <v>13000</v>
      </c>
    </row>
    <row r="167" spans="1:12" x14ac:dyDescent="0.25">
      <c r="A167" s="2">
        <v>42260</v>
      </c>
      <c r="B167">
        <v>18</v>
      </c>
      <c r="C167">
        <v>0</v>
      </c>
      <c r="D167">
        <f t="shared" si="4"/>
        <v>13000</v>
      </c>
      <c r="E167">
        <f>IF(C167=0,ROUNDUP($AA$3*POWER(pogoda47[[#This Row],[temperatura_srednia]],1.5)*pogoda47[[#This Row],[stan_przed_dolaniem]],0),0)</f>
        <v>298</v>
      </c>
      <c r="F167">
        <f>pogoda47[[#This Row],[stan_przed_dolaniem]]-pogoda47[[#This Row],[ubytek]]</f>
        <v>12702</v>
      </c>
      <c r="G167">
        <f>IF(pogoda47[[#This Row],[opady]]*$AA$1+D167&gt;$AA$2,$AA$2-pogoda47[[#This Row],[stan_przed_dolaniem]],pogoda47[[#This Row],[opady]]*$AA$1)</f>
        <v>0</v>
      </c>
      <c r="H167">
        <f>pogoda47[[#This Row],[stan_po_ubytku]]+pogoda47[[#This Row],[ile_pogoda_dolała]]</f>
        <v>12702</v>
      </c>
      <c r="I167" cm="1">
        <f t="array" ref="I167">_xlfn.IFS(OR(pogoda47[[#This Row],[temperatura_srednia]]&lt;=15,pogoda47[[#This Row],[opady]]&gt;0.61),0,pogoda47[[#This Row],[temperatura_srednia]]&gt;30,24000,pogoda47[[#This Row],[temperatura_srednia]]&gt;15,12000)</f>
        <v>12000</v>
      </c>
      <c r="J167">
        <f>IF(pogoda47[[#This Row],[stan_po_dolaniu]]&lt;pogoda47[[#This Row],[ile_podlewamy]],$AA$2-pogoda47[[#This Row],[stan_po_dolaniu]],0)</f>
        <v>0</v>
      </c>
      <c r="K167">
        <f>pogoda47[[#This Row],[stan_po_dolaniu]]+pogoda47[[#This Row],[ile_dolać_do_podlania]]</f>
        <v>12702</v>
      </c>
      <c r="L167">
        <f>pogoda47[[#This Row],[stan_po_dolaniu_do_podlania]]-pogoda47[[#This Row],[ile_podlewamy]]</f>
        <v>702</v>
      </c>
    </row>
    <row r="168" spans="1:12" x14ac:dyDescent="0.25">
      <c r="A168" s="2">
        <v>42261</v>
      </c>
      <c r="B168">
        <v>19</v>
      </c>
      <c r="C168">
        <v>3</v>
      </c>
      <c r="D168">
        <f t="shared" si="4"/>
        <v>702</v>
      </c>
      <c r="E168">
        <f>IF(C168=0,ROUNDUP($AA$3*POWER(pogoda47[[#This Row],[temperatura_srednia]],1.5)*pogoda47[[#This Row],[stan_przed_dolaniem]],0),0)</f>
        <v>0</v>
      </c>
      <c r="F168">
        <f>pogoda47[[#This Row],[stan_przed_dolaniem]]-pogoda47[[#This Row],[ubytek]]</f>
        <v>702</v>
      </c>
      <c r="G168">
        <f>IF(pogoda47[[#This Row],[opady]]*$AA$1+D168&gt;$AA$2,$AA$2-pogoda47[[#This Row],[stan_przed_dolaniem]],pogoda47[[#This Row],[opady]]*$AA$1)</f>
        <v>2100</v>
      </c>
      <c r="H168">
        <f>pogoda47[[#This Row],[stan_po_ubytku]]+pogoda47[[#This Row],[ile_pogoda_dolała]]</f>
        <v>2802</v>
      </c>
      <c r="I168" cm="1">
        <f t="array" ref="I168">_xlfn.IFS(OR(pogoda47[[#This Row],[temperatura_srednia]]&lt;=15,pogoda47[[#This Row],[opady]]&gt;0.61),0,pogoda47[[#This Row],[temperatura_srednia]]&gt;30,24000,pogoda47[[#This Row],[temperatura_srednia]]&gt;15,12000)</f>
        <v>0</v>
      </c>
      <c r="J168">
        <f>IF(pogoda47[[#This Row],[stan_po_dolaniu]]&lt;pogoda47[[#This Row],[ile_podlewamy]],$AA$2-pogoda47[[#This Row],[stan_po_dolaniu]],0)</f>
        <v>0</v>
      </c>
      <c r="K168">
        <f>pogoda47[[#This Row],[stan_po_dolaniu]]+pogoda47[[#This Row],[ile_dolać_do_podlania]]</f>
        <v>2802</v>
      </c>
      <c r="L168">
        <f>pogoda47[[#This Row],[stan_po_dolaniu_do_podlania]]-pogoda47[[#This Row],[ile_podlewamy]]</f>
        <v>2802</v>
      </c>
    </row>
    <row r="169" spans="1:12" x14ac:dyDescent="0.25">
      <c r="A169" s="2">
        <v>42262</v>
      </c>
      <c r="B169">
        <v>16</v>
      </c>
      <c r="C169">
        <v>0.1</v>
      </c>
      <c r="D169">
        <f t="shared" si="4"/>
        <v>2802</v>
      </c>
      <c r="E169">
        <f>IF(C169=0,ROUNDUP($AA$3*POWER(pogoda47[[#This Row],[temperatura_srednia]],1.5)*pogoda47[[#This Row],[stan_przed_dolaniem]],0),0)</f>
        <v>0</v>
      </c>
      <c r="F169">
        <f>pogoda47[[#This Row],[stan_przed_dolaniem]]-pogoda47[[#This Row],[ubytek]]</f>
        <v>2802</v>
      </c>
      <c r="G169">
        <f>IF(pogoda47[[#This Row],[opady]]*$AA$1+D169&gt;$AA$2,$AA$2-pogoda47[[#This Row],[stan_przed_dolaniem]],pogoda47[[#This Row],[opady]]*$AA$1)</f>
        <v>70</v>
      </c>
      <c r="H169">
        <f>pogoda47[[#This Row],[stan_po_ubytku]]+pogoda47[[#This Row],[ile_pogoda_dolała]]</f>
        <v>2872</v>
      </c>
      <c r="I169" cm="1">
        <f t="array" ref="I169">_xlfn.IFS(OR(pogoda47[[#This Row],[temperatura_srednia]]&lt;=15,pogoda47[[#This Row],[opady]]&gt;0.61),0,pogoda47[[#This Row],[temperatura_srednia]]&gt;30,24000,pogoda47[[#This Row],[temperatura_srednia]]&gt;15,12000)</f>
        <v>12000</v>
      </c>
      <c r="J169">
        <f>IF(pogoda47[[#This Row],[stan_po_dolaniu]]&lt;pogoda47[[#This Row],[ile_podlewamy]],$AA$2-pogoda47[[#This Row],[stan_po_dolaniu]],0)</f>
        <v>22128</v>
      </c>
      <c r="K169">
        <f>pogoda47[[#This Row],[stan_po_dolaniu]]+pogoda47[[#This Row],[ile_dolać_do_podlania]]</f>
        <v>25000</v>
      </c>
      <c r="L169">
        <f>pogoda47[[#This Row],[stan_po_dolaniu_do_podlania]]-pogoda47[[#This Row],[ile_podlewamy]]</f>
        <v>13000</v>
      </c>
    </row>
    <row r="170" spans="1:12" x14ac:dyDescent="0.25">
      <c r="A170" s="2">
        <v>42263</v>
      </c>
      <c r="B170">
        <v>18</v>
      </c>
      <c r="C170">
        <v>0</v>
      </c>
      <c r="D170">
        <f t="shared" si="4"/>
        <v>13000</v>
      </c>
      <c r="E170">
        <f>IF(C170=0,ROUNDUP($AA$3*POWER(pogoda47[[#This Row],[temperatura_srednia]],1.5)*pogoda47[[#This Row],[stan_przed_dolaniem]],0),0)</f>
        <v>298</v>
      </c>
      <c r="F170">
        <f>pogoda47[[#This Row],[stan_przed_dolaniem]]-pogoda47[[#This Row],[ubytek]]</f>
        <v>12702</v>
      </c>
      <c r="G170">
        <f>IF(pogoda47[[#This Row],[opady]]*$AA$1+D170&gt;$AA$2,$AA$2-pogoda47[[#This Row],[stan_przed_dolaniem]],pogoda47[[#This Row],[opady]]*$AA$1)</f>
        <v>0</v>
      </c>
      <c r="H170">
        <f>pogoda47[[#This Row],[stan_po_ubytku]]+pogoda47[[#This Row],[ile_pogoda_dolała]]</f>
        <v>12702</v>
      </c>
      <c r="I170" cm="1">
        <f t="array" ref="I170">_xlfn.IFS(OR(pogoda47[[#This Row],[temperatura_srednia]]&lt;=15,pogoda47[[#This Row],[opady]]&gt;0.61),0,pogoda47[[#This Row],[temperatura_srednia]]&gt;30,24000,pogoda47[[#This Row],[temperatura_srednia]]&gt;15,12000)</f>
        <v>12000</v>
      </c>
      <c r="J170">
        <f>IF(pogoda47[[#This Row],[stan_po_dolaniu]]&lt;pogoda47[[#This Row],[ile_podlewamy]],$AA$2-pogoda47[[#This Row],[stan_po_dolaniu]],0)</f>
        <v>0</v>
      </c>
      <c r="K170">
        <f>pogoda47[[#This Row],[stan_po_dolaniu]]+pogoda47[[#This Row],[ile_dolać_do_podlania]]</f>
        <v>12702</v>
      </c>
      <c r="L170">
        <f>pogoda47[[#This Row],[stan_po_dolaniu_do_podlania]]-pogoda47[[#This Row],[ile_podlewamy]]</f>
        <v>702</v>
      </c>
    </row>
    <row r="171" spans="1:12" x14ac:dyDescent="0.25">
      <c r="A171" s="2">
        <v>42264</v>
      </c>
      <c r="B171">
        <v>22</v>
      </c>
      <c r="C171">
        <v>0.5</v>
      </c>
      <c r="D171">
        <f t="shared" si="4"/>
        <v>702</v>
      </c>
      <c r="E171">
        <f>IF(C171=0,ROUNDUP($AA$3*POWER(pogoda47[[#This Row],[temperatura_srednia]],1.5)*pogoda47[[#This Row],[stan_przed_dolaniem]],0),0)</f>
        <v>0</v>
      </c>
      <c r="F171">
        <f>pogoda47[[#This Row],[stan_przed_dolaniem]]-pogoda47[[#This Row],[ubytek]]</f>
        <v>702</v>
      </c>
      <c r="G171">
        <f>IF(pogoda47[[#This Row],[opady]]*$AA$1+D171&gt;$AA$2,$AA$2-pogoda47[[#This Row],[stan_przed_dolaniem]],pogoda47[[#This Row],[opady]]*$AA$1)</f>
        <v>350</v>
      </c>
      <c r="H171">
        <f>pogoda47[[#This Row],[stan_po_ubytku]]+pogoda47[[#This Row],[ile_pogoda_dolała]]</f>
        <v>1052</v>
      </c>
      <c r="I171" cm="1">
        <f t="array" ref="I171">_xlfn.IFS(OR(pogoda47[[#This Row],[temperatura_srednia]]&lt;=15,pogoda47[[#This Row],[opady]]&gt;0.61),0,pogoda47[[#This Row],[temperatura_srednia]]&gt;30,24000,pogoda47[[#This Row],[temperatura_srednia]]&gt;15,12000)</f>
        <v>12000</v>
      </c>
      <c r="J171">
        <f>IF(pogoda47[[#This Row],[stan_po_dolaniu]]&lt;pogoda47[[#This Row],[ile_podlewamy]],$AA$2-pogoda47[[#This Row],[stan_po_dolaniu]],0)</f>
        <v>23948</v>
      </c>
      <c r="K171">
        <f>pogoda47[[#This Row],[stan_po_dolaniu]]+pogoda47[[#This Row],[ile_dolać_do_podlania]]</f>
        <v>25000</v>
      </c>
      <c r="L171">
        <f>pogoda47[[#This Row],[stan_po_dolaniu_do_podlania]]-pogoda47[[#This Row],[ile_podlewamy]]</f>
        <v>13000</v>
      </c>
    </row>
    <row r="172" spans="1:12" x14ac:dyDescent="0.25">
      <c r="A172" s="2">
        <v>42265</v>
      </c>
      <c r="B172">
        <v>16</v>
      </c>
      <c r="C172">
        <v>0</v>
      </c>
      <c r="D172">
        <f t="shared" si="4"/>
        <v>13000</v>
      </c>
      <c r="E172">
        <f>IF(C172=0,ROUNDUP($AA$3*POWER(pogoda47[[#This Row],[temperatura_srednia]],1.5)*pogoda47[[#This Row],[stan_przed_dolaniem]],0),0)</f>
        <v>250</v>
      </c>
      <c r="F172">
        <f>pogoda47[[#This Row],[stan_przed_dolaniem]]-pogoda47[[#This Row],[ubytek]]</f>
        <v>12750</v>
      </c>
      <c r="G172">
        <f>IF(pogoda47[[#This Row],[opady]]*$AA$1+D172&gt;$AA$2,$AA$2-pogoda47[[#This Row],[stan_przed_dolaniem]],pogoda47[[#This Row],[opady]]*$AA$1)</f>
        <v>0</v>
      </c>
      <c r="H172">
        <f>pogoda47[[#This Row],[stan_po_ubytku]]+pogoda47[[#This Row],[ile_pogoda_dolała]]</f>
        <v>12750</v>
      </c>
      <c r="I172" cm="1">
        <f t="array" ref="I172">_xlfn.IFS(OR(pogoda47[[#This Row],[temperatura_srednia]]&lt;=15,pogoda47[[#This Row],[opady]]&gt;0.61),0,pogoda47[[#This Row],[temperatura_srednia]]&gt;30,24000,pogoda47[[#This Row],[temperatura_srednia]]&gt;15,12000)</f>
        <v>12000</v>
      </c>
      <c r="J172">
        <f>IF(pogoda47[[#This Row],[stan_po_dolaniu]]&lt;pogoda47[[#This Row],[ile_podlewamy]],$AA$2-pogoda47[[#This Row],[stan_po_dolaniu]],0)</f>
        <v>0</v>
      </c>
      <c r="K172">
        <f>pogoda47[[#This Row],[stan_po_dolaniu]]+pogoda47[[#This Row],[ile_dolać_do_podlania]]</f>
        <v>12750</v>
      </c>
      <c r="L172">
        <f>pogoda47[[#This Row],[stan_po_dolaniu_do_podlania]]-pogoda47[[#This Row],[ile_podlewamy]]</f>
        <v>750</v>
      </c>
    </row>
    <row r="173" spans="1:12" x14ac:dyDescent="0.25">
      <c r="A173" s="2">
        <v>42266</v>
      </c>
      <c r="B173">
        <v>15</v>
      </c>
      <c r="C173">
        <v>0</v>
      </c>
      <c r="D173">
        <f t="shared" si="4"/>
        <v>750</v>
      </c>
      <c r="E173">
        <f>IF(C173=0,ROUNDUP($AA$3*POWER(pogoda47[[#This Row],[temperatura_srednia]],1.5)*pogoda47[[#This Row],[stan_przed_dolaniem]],0),0)</f>
        <v>14</v>
      </c>
      <c r="F173">
        <f>pogoda47[[#This Row],[stan_przed_dolaniem]]-pogoda47[[#This Row],[ubytek]]</f>
        <v>736</v>
      </c>
      <c r="G173">
        <f>IF(pogoda47[[#This Row],[opady]]*$AA$1+D173&gt;$AA$2,$AA$2-pogoda47[[#This Row],[stan_przed_dolaniem]],pogoda47[[#This Row],[opady]]*$AA$1)</f>
        <v>0</v>
      </c>
      <c r="H173">
        <f>pogoda47[[#This Row],[stan_po_ubytku]]+pogoda47[[#This Row],[ile_pogoda_dolała]]</f>
        <v>736</v>
      </c>
      <c r="I173" cm="1">
        <f t="array" ref="I173">_xlfn.IFS(OR(pogoda47[[#This Row],[temperatura_srednia]]&lt;=15,pogoda47[[#This Row],[opady]]&gt;0.61),0,pogoda47[[#This Row],[temperatura_srednia]]&gt;30,24000,pogoda47[[#This Row],[temperatura_srednia]]&gt;15,12000)</f>
        <v>0</v>
      </c>
      <c r="J173">
        <f>IF(pogoda47[[#This Row],[stan_po_dolaniu]]&lt;pogoda47[[#This Row],[ile_podlewamy]],$AA$2-pogoda47[[#This Row],[stan_po_dolaniu]],0)</f>
        <v>0</v>
      </c>
      <c r="K173">
        <f>pogoda47[[#This Row],[stan_po_dolaniu]]+pogoda47[[#This Row],[ile_dolać_do_podlania]]</f>
        <v>736</v>
      </c>
      <c r="L173">
        <f>pogoda47[[#This Row],[stan_po_dolaniu_do_podlania]]-pogoda47[[#This Row],[ile_podlewamy]]</f>
        <v>736</v>
      </c>
    </row>
    <row r="174" spans="1:12" x14ac:dyDescent="0.25">
      <c r="A174" s="2">
        <v>42267</v>
      </c>
      <c r="B174">
        <v>14</v>
      </c>
      <c r="C174">
        <v>2</v>
      </c>
      <c r="D174">
        <f t="shared" si="4"/>
        <v>736</v>
      </c>
      <c r="E174">
        <f>IF(C174=0,ROUNDUP($AA$3*POWER(pogoda47[[#This Row],[temperatura_srednia]],1.5)*pogoda47[[#This Row],[stan_przed_dolaniem]],0),0)</f>
        <v>0</v>
      </c>
      <c r="F174">
        <f>pogoda47[[#This Row],[stan_przed_dolaniem]]-pogoda47[[#This Row],[ubytek]]</f>
        <v>736</v>
      </c>
      <c r="G174">
        <f>IF(pogoda47[[#This Row],[opady]]*$AA$1+D174&gt;$AA$2,$AA$2-pogoda47[[#This Row],[stan_przed_dolaniem]],pogoda47[[#This Row],[opady]]*$AA$1)</f>
        <v>1400</v>
      </c>
      <c r="H174">
        <f>pogoda47[[#This Row],[stan_po_ubytku]]+pogoda47[[#This Row],[ile_pogoda_dolała]]</f>
        <v>2136</v>
      </c>
      <c r="I174" cm="1">
        <f t="array" ref="I174">_xlfn.IFS(OR(pogoda47[[#This Row],[temperatura_srednia]]&lt;=15,pogoda47[[#This Row],[opady]]&gt;0.61),0,pogoda47[[#This Row],[temperatura_srednia]]&gt;30,24000,pogoda47[[#This Row],[temperatura_srednia]]&gt;15,12000)</f>
        <v>0</v>
      </c>
      <c r="J174">
        <f>IF(pogoda47[[#This Row],[stan_po_dolaniu]]&lt;pogoda47[[#This Row],[ile_podlewamy]],$AA$2-pogoda47[[#This Row],[stan_po_dolaniu]],0)</f>
        <v>0</v>
      </c>
      <c r="K174">
        <f>pogoda47[[#This Row],[stan_po_dolaniu]]+pogoda47[[#This Row],[ile_dolać_do_podlania]]</f>
        <v>2136</v>
      </c>
      <c r="L174">
        <f>pogoda47[[#This Row],[stan_po_dolaniu_do_podlania]]-pogoda47[[#This Row],[ile_podlewamy]]</f>
        <v>2136</v>
      </c>
    </row>
    <row r="175" spans="1:12" x14ac:dyDescent="0.25">
      <c r="A175" s="2">
        <v>42268</v>
      </c>
      <c r="B175">
        <v>12</v>
      </c>
      <c r="C175">
        <v>0</v>
      </c>
      <c r="D175">
        <f t="shared" si="4"/>
        <v>2136</v>
      </c>
      <c r="E175">
        <f>IF(C175=0,ROUNDUP($AA$3*POWER(pogoda47[[#This Row],[temperatura_srednia]],1.5)*pogoda47[[#This Row],[stan_przed_dolaniem]],0),0)</f>
        <v>27</v>
      </c>
      <c r="F175">
        <f>pogoda47[[#This Row],[stan_przed_dolaniem]]-pogoda47[[#This Row],[ubytek]]</f>
        <v>2109</v>
      </c>
      <c r="G175">
        <f>IF(pogoda47[[#This Row],[opady]]*$AA$1+D175&gt;$AA$2,$AA$2-pogoda47[[#This Row],[stan_przed_dolaniem]],pogoda47[[#This Row],[opady]]*$AA$1)</f>
        <v>0</v>
      </c>
      <c r="H175">
        <f>pogoda47[[#This Row],[stan_po_ubytku]]+pogoda47[[#This Row],[ile_pogoda_dolała]]</f>
        <v>2109</v>
      </c>
      <c r="I175" cm="1">
        <f t="array" ref="I175">_xlfn.IFS(OR(pogoda47[[#This Row],[temperatura_srednia]]&lt;=15,pogoda47[[#This Row],[opady]]&gt;0.61),0,pogoda47[[#This Row],[temperatura_srednia]]&gt;30,24000,pogoda47[[#This Row],[temperatura_srednia]]&gt;15,12000)</f>
        <v>0</v>
      </c>
      <c r="J175">
        <f>IF(pogoda47[[#This Row],[stan_po_dolaniu]]&lt;pogoda47[[#This Row],[ile_podlewamy]],$AA$2-pogoda47[[#This Row],[stan_po_dolaniu]],0)</f>
        <v>0</v>
      </c>
      <c r="K175">
        <f>pogoda47[[#This Row],[stan_po_dolaniu]]+pogoda47[[#This Row],[ile_dolać_do_podlania]]</f>
        <v>2109</v>
      </c>
      <c r="L175">
        <f>pogoda47[[#This Row],[stan_po_dolaniu_do_podlania]]-pogoda47[[#This Row],[ile_podlewamy]]</f>
        <v>2109</v>
      </c>
    </row>
    <row r="176" spans="1:12" x14ac:dyDescent="0.25">
      <c r="A176" s="2">
        <v>42269</v>
      </c>
      <c r="B176">
        <v>13</v>
      </c>
      <c r="C176">
        <v>0</v>
      </c>
      <c r="D176">
        <f t="shared" si="4"/>
        <v>2109</v>
      </c>
      <c r="E176">
        <f>IF(C176=0,ROUNDUP($AA$3*POWER(pogoda47[[#This Row],[temperatura_srednia]],1.5)*pogoda47[[#This Row],[stan_przed_dolaniem]],0),0)</f>
        <v>30</v>
      </c>
      <c r="F176">
        <f>pogoda47[[#This Row],[stan_przed_dolaniem]]-pogoda47[[#This Row],[ubytek]]</f>
        <v>2079</v>
      </c>
      <c r="G176">
        <f>IF(pogoda47[[#This Row],[opady]]*$AA$1+D176&gt;$AA$2,$AA$2-pogoda47[[#This Row],[stan_przed_dolaniem]],pogoda47[[#This Row],[opady]]*$AA$1)</f>
        <v>0</v>
      </c>
      <c r="H176">
        <f>pogoda47[[#This Row],[stan_po_ubytku]]+pogoda47[[#This Row],[ile_pogoda_dolała]]</f>
        <v>2079</v>
      </c>
      <c r="I176" cm="1">
        <f t="array" ref="I176">_xlfn.IFS(OR(pogoda47[[#This Row],[temperatura_srednia]]&lt;=15,pogoda47[[#This Row],[opady]]&gt;0.61),0,pogoda47[[#This Row],[temperatura_srednia]]&gt;30,24000,pogoda47[[#This Row],[temperatura_srednia]]&gt;15,12000)</f>
        <v>0</v>
      </c>
      <c r="J176">
        <f>IF(pogoda47[[#This Row],[stan_po_dolaniu]]&lt;pogoda47[[#This Row],[ile_podlewamy]],$AA$2-pogoda47[[#This Row],[stan_po_dolaniu]],0)</f>
        <v>0</v>
      </c>
      <c r="K176">
        <f>pogoda47[[#This Row],[stan_po_dolaniu]]+pogoda47[[#This Row],[ile_dolać_do_podlania]]</f>
        <v>2079</v>
      </c>
      <c r="L176">
        <f>pogoda47[[#This Row],[stan_po_dolaniu_do_podlania]]-pogoda47[[#This Row],[ile_podlewamy]]</f>
        <v>2079</v>
      </c>
    </row>
    <row r="177" spans="1:12" x14ac:dyDescent="0.25">
      <c r="A177" s="2">
        <v>42270</v>
      </c>
      <c r="B177">
        <v>15</v>
      </c>
      <c r="C177">
        <v>0</v>
      </c>
      <c r="D177">
        <f t="shared" si="4"/>
        <v>2079</v>
      </c>
      <c r="E177">
        <f>IF(C177=0,ROUNDUP($AA$3*POWER(pogoda47[[#This Row],[temperatura_srednia]],1.5)*pogoda47[[#This Row],[stan_przed_dolaniem]],0),0)</f>
        <v>37</v>
      </c>
      <c r="F177">
        <f>pogoda47[[#This Row],[stan_przed_dolaniem]]-pogoda47[[#This Row],[ubytek]]</f>
        <v>2042</v>
      </c>
      <c r="G177">
        <f>IF(pogoda47[[#This Row],[opady]]*$AA$1+D177&gt;$AA$2,$AA$2-pogoda47[[#This Row],[stan_przed_dolaniem]],pogoda47[[#This Row],[opady]]*$AA$1)</f>
        <v>0</v>
      </c>
      <c r="H177">
        <f>pogoda47[[#This Row],[stan_po_ubytku]]+pogoda47[[#This Row],[ile_pogoda_dolała]]</f>
        <v>2042</v>
      </c>
      <c r="I177" cm="1">
        <f t="array" ref="I177">_xlfn.IFS(OR(pogoda47[[#This Row],[temperatura_srednia]]&lt;=15,pogoda47[[#This Row],[opady]]&gt;0.61),0,pogoda47[[#This Row],[temperatura_srednia]]&gt;30,24000,pogoda47[[#This Row],[temperatura_srednia]]&gt;15,12000)</f>
        <v>0</v>
      </c>
      <c r="J177">
        <f>IF(pogoda47[[#This Row],[stan_po_dolaniu]]&lt;pogoda47[[#This Row],[ile_podlewamy]],$AA$2-pogoda47[[#This Row],[stan_po_dolaniu]],0)</f>
        <v>0</v>
      </c>
      <c r="K177">
        <f>pogoda47[[#This Row],[stan_po_dolaniu]]+pogoda47[[#This Row],[ile_dolać_do_podlania]]</f>
        <v>2042</v>
      </c>
      <c r="L177">
        <f>pogoda47[[#This Row],[stan_po_dolaniu_do_podlania]]-pogoda47[[#This Row],[ile_podlewamy]]</f>
        <v>2042</v>
      </c>
    </row>
    <row r="178" spans="1:12" x14ac:dyDescent="0.25">
      <c r="A178" s="2">
        <v>42271</v>
      </c>
      <c r="B178">
        <v>15</v>
      </c>
      <c r="C178">
        <v>0</v>
      </c>
      <c r="D178">
        <f t="shared" si="4"/>
        <v>2042</v>
      </c>
      <c r="E178">
        <f>IF(C178=0,ROUNDUP($AA$3*POWER(pogoda47[[#This Row],[temperatura_srednia]],1.5)*pogoda47[[#This Row],[stan_przed_dolaniem]],0),0)</f>
        <v>36</v>
      </c>
      <c r="F178">
        <f>pogoda47[[#This Row],[stan_przed_dolaniem]]-pogoda47[[#This Row],[ubytek]]</f>
        <v>2006</v>
      </c>
      <c r="G178">
        <f>IF(pogoda47[[#This Row],[opady]]*$AA$1+D178&gt;$AA$2,$AA$2-pogoda47[[#This Row],[stan_przed_dolaniem]],pogoda47[[#This Row],[opady]]*$AA$1)</f>
        <v>0</v>
      </c>
      <c r="H178">
        <f>pogoda47[[#This Row],[stan_po_ubytku]]+pogoda47[[#This Row],[ile_pogoda_dolała]]</f>
        <v>2006</v>
      </c>
      <c r="I178" cm="1">
        <f t="array" ref="I178">_xlfn.IFS(OR(pogoda47[[#This Row],[temperatura_srednia]]&lt;=15,pogoda47[[#This Row],[opady]]&gt;0.61),0,pogoda47[[#This Row],[temperatura_srednia]]&gt;30,24000,pogoda47[[#This Row],[temperatura_srednia]]&gt;15,12000)</f>
        <v>0</v>
      </c>
      <c r="J178">
        <f>IF(pogoda47[[#This Row],[stan_po_dolaniu]]&lt;pogoda47[[#This Row],[ile_podlewamy]],$AA$2-pogoda47[[#This Row],[stan_po_dolaniu]],0)</f>
        <v>0</v>
      </c>
      <c r="K178">
        <f>pogoda47[[#This Row],[stan_po_dolaniu]]+pogoda47[[#This Row],[ile_dolać_do_podlania]]</f>
        <v>2006</v>
      </c>
      <c r="L178">
        <f>pogoda47[[#This Row],[stan_po_dolaniu_do_podlania]]-pogoda47[[#This Row],[ile_podlewamy]]</f>
        <v>2006</v>
      </c>
    </row>
    <row r="179" spans="1:12" x14ac:dyDescent="0.25">
      <c r="A179" s="2">
        <v>42272</v>
      </c>
      <c r="B179">
        <v>14</v>
      </c>
      <c r="C179">
        <v>0</v>
      </c>
      <c r="D179">
        <f t="shared" si="4"/>
        <v>2006</v>
      </c>
      <c r="E179">
        <f>IF(C179=0,ROUNDUP($AA$3*POWER(pogoda47[[#This Row],[temperatura_srednia]],1.5)*pogoda47[[#This Row],[stan_przed_dolaniem]],0),0)</f>
        <v>32</v>
      </c>
      <c r="F179">
        <f>pogoda47[[#This Row],[stan_przed_dolaniem]]-pogoda47[[#This Row],[ubytek]]</f>
        <v>1974</v>
      </c>
      <c r="G179">
        <f>IF(pogoda47[[#This Row],[opady]]*$AA$1+D179&gt;$AA$2,$AA$2-pogoda47[[#This Row],[stan_przed_dolaniem]],pogoda47[[#This Row],[opady]]*$AA$1)</f>
        <v>0</v>
      </c>
      <c r="H179">
        <f>pogoda47[[#This Row],[stan_po_ubytku]]+pogoda47[[#This Row],[ile_pogoda_dolała]]</f>
        <v>1974</v>
      </c>
      <c r="I179" cm="1">
        <f t="array" ref="I179">_xlfn.IFS(OR(pogoda47[[#This Row],[temperatura_srednia]]&lt;=15,pogoda47[[#This Row],[opady]]&gt;0.61),0,pogoda47[[#This Row],[temperatura_srednia]]&gt;30,24000,pogoda47[[#This Row],[temperatura_srednia]]&gt;15,12000)</f>
        <v>0</v>
      </c>
      <c r="J179">
        <f>IF(pogoda47[[#This Row],[stan_po_dolaniu]]&lt;pogoda47[[#This Row],[ile_podlewamy]],$AA$2-pogoda47[[#This Row],[stan_po_dolaniu]],0)</f>
        <v>0</v>
      </c>
      <c r="K179">
        <f>pogoda47[[#This Row],[stan_po_dolaniu]]+pogoda47[[#This Row],[ile_dolać_do_podlania]]</f>
        <v>1974</v>
      </c>
      <c r="L179">
        <f>pogoda47[[#This Row],[stan_po_dolaniu_do_podlania]]-pogoda47[[#This Row],[ile_podlewamy]]</f>
        <v>1974</v>
      </c>
    </row>
    <row r="180" spans="1:12" x14ac:dyDescent="0.25">
      <c r="A180" s="2">
        <v>42273</v>
      </c>
      <c r="B180">
        <v>12</v>
      </c>
      <c r="C180">
        <v>0</v>
      </c>
      <c r="D180">
        <f t="shared" si="4"/>
        <v>1974</v>
      </c>
      <c r="E180">
        <f>IF(C180=0,ROUNDUP($AA$3*POWER(pogoda47[[#This Row],[temperatura_srednia]],1.5)*pogoda47[[#This Row],[stan_przed_dolaniem]],0),0)</f>
        <v>25</v>
      </c>
      <c r="F180">
        <f>pogoda47[[#This Row],[stan_przed_dolaniem]]-pogoda47[[#This Row],[ubytek]]</f>
        <v>1949</v>
      </c>
      <c r="G180">
        <f>IF(pogoda47[[#This Row],[opady]]*$AA$1+D180&gt;$AA$2,$AA$2-pogoda47[[#This Row],[stan_przed_dolaniem]],pogoda47[[#This Row],[opady]]*$AA$1)</f>
        <v>0</v>
      </c>
      <c r="H180">
        <f>pogoda47[[#This Row],[stan_po_ubytku]]+pogoda47[[#This Row],[ile_pogoda_dolała]]</f>
        <v>1949</v>
      </c>
      <c r="I180" cm="1">
        <f t="array" ref="I180">_xlfn.IFS(OR(pogoda47[[#This Row],[temperatura_srednia]]&lt;=15,pogoda47[[#This Row],[opady]]&gt;0.61),0,pogoda47[[#This Row],[temperatura_srednia]]&gt;30,24000,pogoda47[[#This Row],[temperatura_srednia]]&gt;15,12000)</f>
        <v>0</v>
      </c>
      <c r="J180">
        <f>IF(pogoda47[[#This Row],[stan_po_dolaniu]]&lt;pogoda47[[#This Row],[ile_podlewamy]],$AA$2-pogoda47[[#This Row],[stan_po_dolaniu]],0)</f>
        <v>0</v>
      </c>
      <c r="K180">
        <f>pogoda47[[#This Row],[stan_po_dolaniu]]+pogoda47[[#This Row],[ile_dolać_do_podlania]]</f>
        <v>1949</v>
      </c>
      <c r="L180">
        <f>pogoda47[[#This Row],[stan_po_dolaniu_do_podlania]]-pogoda47[[#This Row],[ile_podlewamy]]</f>
        <v>1949</v>
      </c>
    </row>
    <row r="181" spans="1:12" x14ac:dyDescent="0.25">
      <c r="A181" s="2">
        <v>42274</v>
      </c>
      <c r="B181">
        <v>11</v>
      </c>
      <c r="C181">
        <v>0</v>
      </c>
      <c r="D181">
        <f t="shared" si="4"/>
        <v>1949</v>
      </c>
      <c r="E181">
        <f>IF(C181=0,ROUNDUP($AA$3*POWER(pogoda47[[#This Row],[temperatura_srednia]],1.5)*pogoda47[[#This Row],[stan_przed_dolaniem]],0),0)</f>
        <v>22</v>
      </c>
      <c r="F181">
        <f>pogoda47[[#This Row],[stan_przed_dolaniem]]-pogoda47[[#This Row],[ubytek]]</f>
        <v>1927</v>
      </c>
      <c r="G181">
        <f>IF(pogoda47[[#This Row],[opady]]*$AA$1+D181&gt;$AA$2,$AA$2-pogoda47[[#This Row],[stan_przed_dolaniem]],pogoda47[[#This Row],[opady]]*$AA$1)</f>
        <v>0</v>
      </c>
      <c r="H181">
        <f>pogoda47[[#This Row],[stan_po_ubytku]]+pogoda47[[#This Row],[ile_pogoda_dolała]]</f>
        <v>1927</v>
      </c>
      <c r="I181" cm="1">
        <f t="array" ref="I181">_xlfn.IFS(OR(pogoda47[[#This Row],[temperatura_srednia]]&lt;=15,pogoda47[[#This Row],[opady]]&gt;0.61),0,pogoda47[[#This Row],[temperatura_srednia]]&gt;30,24000,pogoda47[[#This Row],[temperatura_srednia]]&gt;15,12000)</f>
        <v>0</v>
      </c>
      <c r="J181">
        <f>IF(pogoda47[[#This Row],[stan_po_dolaniu]]&lt;pogoda47[[#This Row],[ile_podlewamy]],$AA$2-pogoda47[[#This Row],[stan_po_dolaniu]],0)</f>
        <v>0</v>
      </c>
      <c r="K181">
        <f>pogoda47[[#This Row],[stan_po_dolaniu]]+pogoda47[[#This Row],[ile_dolać_do_podlania]]</f>
        <v>1927</v>
      </c>
      <c r="L181">
        <f>pogoda47[[#This Row],[stan_po_dolaniu_do_podlania]]-pogoda47[[#This Row],[ile_podlewamy]]</f>
        <v>1927</v>
      </c>
    </row>
    <row r="182" spans="1:12" x14ac:dyDescent="0.25">
      <c r="A182" s="2">
        <v>42275</v>
      </c>
      <c r="B182">
        <v>10</v>
      </c>
      <c r="C182">
        <v>0</v>
      </c>
      <c r="D182">
        <f t="shared" si="4"/>
        <v>1927</v>
      </c>
      <c r="E182">
        <f>IF(C182=0,ROUNDUP($AA$3*POWER(pogoda47[[#This Row],[temperatura_srednia]],1.5)*pogoda47[[#This Row],[stan_przed_dolaniem]],0),0)</f>
        <v>19</v>
      </c>
      <c r="F182">
        <f>pogoda47[[#This Row],[stan_przed_dolaniem]]-pogoda47[[#This Row],[ubytek]]</f>
        <v>1908</v>
      </c>
      <c r="G182">
        <f>IF(pogoda47[[#This Row],[opady]]*$AA$1+D182&gt;$AA$2,$AA$2-pogoda47[[#This Row],[stan_przed_dolaniem]],pogoda47[[#This Row],[opady]]*$AA$1)</f>
        <v>0</v>
      </c>
      <c r="H182">
        <f>pogoda47[[#This Row],[stan_po_ubytku]]+pogoda47[[#This Row],[ile_pogoda_dolała]]</f>
        <v>1908</v>
      </c>
      <c r="I182" cm="1">
        <f t="array" ref="I182">_xlfn.IFS(OR(pogoda47[[#This Row],[temperatura_srednia]]&lt;=15,pogoda47[[#This Row],[opady]]&gt;0.61),0,pogoda47[[#This Row],[temperatura_srednia]]&gt;30,24000,pogoda47[[#This Row],[temperatura_srednia]]&gt;15,12000)</f>
        <v>0</v>
      </c>
      <c r="J182">
        <f>IF(pogoda47[[#This Row],[stan_po_dolaniu]]&lt;pogoda47[[#This Row],[ile_podlewamy]],$AA$2-pogoda47[[#This Row],[stan_po_dolaniu]],0)</f>
        <v>0</v>
      </c>
      <c r="K182">
        <f>pogoda47[[#This Row],[stan_po_dolaniu]]+pogoda47[[#This Row],[ile_dolać_do_podlania]]</f>
        <v>1908</v>
      </c>
      <c r="L182">
        <f>pogoda47[[#This Row],[stan_po_dolaniu_do_podlania]]-pogoda47[[#This Row],[ile_podlewamy]]</f>
        <v>1908</v>
      </c>
    </row>
    <row r="183" spans="1:12" x14ac:dyDescent="0.25">
      <c r="A183" s="2">
        <v>42276</v>
      </c>
      <c r="B183">
        <v>10</v>
      </c>
      <c r="C183">
        <v>0</v>
      </c>
      <c r="D183">
        <f t="shared" si="4"/>
        <v>1908</v>
      </c>
      <c r="E183">
        <f>IF(C183=0,ROUNDUP($AA$3*POWER(pogoda47[[#This Row],[temperatura_srednia]],1.5)*pogoda47[[#This Row],[stan_przed_dolaniem]],0),0)</f>
        <v>19</v>
      </c>
      <c r="F183">
        <f>pogoda47[[#This Row],[stan_przed_dolaniem]]-pogoda47[[#This Row],[ubytek]]</f>
        <v>1889</v>
      </c>
      <c r="G183">
        <f>IF(pogoda47[[#This Row],[opady]]*$AA$1+D183&gt;$AA$2,$AA$2-pogoda47[[#This Row],[stan_przed_dolaniem]],pogoda47[[#This Row],[opady]]*$AA$1)</f>
        <v>0</v>
      </c>
      <c r="H183">
        <f>pogoda47[[#This Row],[stan_po_ubytku]]+pogoda47[[#This Row],[ile_pogoda_dolała]]</f>
        <v>1889</v>
      </c>
      <c r="I183" cm="1">
        <f t="array" ref="I183">_xlfn.IFS(OR(pogoda47[[#This Row],[temperatura_srednia]]&lt;=15,pogoda47[[#This Row],[opady]]&gt;0.61),0,pogoda47[[#This Row],[temperatura_srednia]]&gt;30,24000,pogoda47[[#This Row],[temperatura_srednia]]&gt;15,12000)</f>
        <v>0</v>
      </c>
      <c r="J183">
        <f>IF(pogoda47[[#This Row],[stan_po_dolaniu]]&lt;pogoda47[[#This Row],[ile_podlewamy]],$AA$2-pogoda47[[#This Row],[stan_po_dolaniu]],0)</f>
        <v>0</v>
      </c>
      <c r="K183">
        <f>pogoda47[[#This Row],[stan_po_dolaniu]]+pogoda47[[#This Row],[ile_dolać_do_podlania]]</f>
        <v>1889</v>
      </c>
      <c r="L183">
        <f>pogoda47[[#This Row],[stan_po_dolaniu_do_podlania]]-pogoda47[[#This Row],[ile_podlewamy]]</f>
        <v>1889</v>
      </c>
    </row>
    <row r="184" spans="1:12" x14ac:dyDescent="0.25">
      <c r="A184" s="2">
        <v>42277</v>
      </c>
      <c r="B184">
        <v>10</v>
      </c>
      <c r="C184">
        <v>0</v>
      </c>
      <c r="D184">
        <f t="shared" si="4"/>
        <v>1889</v>
      </c>
      <c r="E184">
        <f>IF(C184=0,ROUNDUP($AA$3*POWER(pogoda47[[#This Row],[temperatura_srednia]],1.5)*pogoda47[[#This Row],[stan_przed_dolaniem]],0),0)</f>
        <v>18</v>
      </c>
      <c r="F184">
        <f>pogoda47[[#This Row],[stan_przed_dolaniem]]-pogoda47[[#This Row],[ubytek]]</f>
        <v>1871</v>
      </c>
      <c r="G184">
        <f>IF(pogoda47[[#This Row],[opady]]*$AA$1+D184&gt;$AA$2,$AA$2-pogoda47[[#This Row],[stan_przed_dolaniem]],pogoda47[[#This Row],[opady]]*$AA$1)</f>
        <v>0</v>
      </c>
      <c r="H184">
        <f>pogoda47[[#This Row],[stan_po_ubytku]]+pogoda47[[#This Row],[ile_pogoda_dolała]]</f>
        <v>1871</v>
      </c>
      <c r="I184" cm="1">
        <f t="array" ref="I184">_xlfn.IFS(OR(pogoda47[[#This Row],[temperatura_srednia]]&lt;=15,pogoda47[[#This Row],[opady]]&gt;0.61),0,pogoda47[[#This Row],[temperatura_srednia]]&gt;30,24000,pogoda47[[#This Row],[temperatura_srednia]]&gt;15,12000)</f>
        <v>0</v>
      </c>
      <c r="J184">
        <f>IF(pogoda47[[#This Row],[stan_po_dolaniu]]&lt;pogoda47[[#This Row],[ile_podlewamy]],$AA$2-pogoda47[[#This Row],[stan_po_dolaniu]],0)</f>
        <v>0</v>
      </c>
      <c r="K184">
        <f>pogoda47[[#This Row],[stan_po_dolaniu]]+pogoda47[[#This Row],[ile_dolać_do_podlania]]</f>
        <v>1871</v>
      </c>
      <c r="L184">
        <f>pogoda47[[#This Row],[stan_po_dolaniu_do_podlania]]-pogoda47[[#This Row],[ile_podlewamy]]</f>
        <v>1871</v>
      </c>
    </row>
  </sheetData>
  <pageMargins left="0.7" right="0.7" top="0.75" bottom="0.75" header="0.3" footer="0.3"/>
  <pageSetup paperSize="9"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0007-26E2-4C6B-A316-117E19D067BC}">
  <dimension ref="A1:AB186"/>
  <sheetViews>
    <sheetView topLeftCell="J165" workbookViewId="0">
      <selection activeCell="M186" sqref="M185:O186"/>
    </sheetView>
  </sheetViews>
  <sheetFormatPr defaultRowHeight="15" x14ac:dyDescent="0.25"/>
  <cols>
    <col min="1" max="1" width="10.140625" bestFit="1" customWidth="1"/>
    <col min="2" max="2" width="22.28515625" bestFit="1" customWidth="1"/>
    <col min="3" max="3" width="8.7109375" bestFit="1" customWidth="1"/>
    <col min="4" max="4" width="22.7109375" bestFit="1" customWidth="1"/>
    <col min="5" max="5" width="9.42578125" bestFit="1" customWidth="1"/>
    <col min="6" max="6" width="17.5703125" bestFit="1" customWidth="1"/>
    <col min="7" max="7" width="19.85546875" bestFit="1" customWidth="1"/>
    <col min="8" max="8" width="18.140625" bestFit="1" customWidth="1"/>
    <col min="9" max="9" width="17.140625" bestFit="1" customWidth="1"/>
    <col min="10" max="10" width="23.7109375" bestFit="1" customWidth="1"/>
    <col min="11" max="11" width="30.5703125" bestFit="1" customWidth="1"/>
    <col min="12" max="12" width="19.28515625" bestFit="1" customWidth="1"/>
    <col min="13" max="13" width="30.7109375" bestFit="1" customWidth="1"/>
    <col min="14" max="14" width="47.28515625" bestFit="1" customWidth="1"/>
    <col min="15" max="15" width="44.42578125" bestFit="1" customWidth="1"/>
    <col min="27" max="27" width="18.28515625" bestFit="1" customWidth="1"/>
    <col min="28" max="29" width="6.140625" bestFit="1" customWidth="1"/>
  </cols>
  <sheetData>
    <row r="1" spans="1:28" x14ac:dyDescent="0.25">
      <c r="A1" t="s">
        <v>9</v>
      </c>
      <c r="B1" t="s">
        <v>0</v>
      </c>
      <c r="C1" t="s">
        <v>1</v>
      </c>
      <c r="D1" t="s">
        <v>3</v>
      </c>
      <c r="E1" t="s">
        <v>6</v>
      </c>
      <c r="F1" t="s">
        <v>8</v>
      </c>
      <c r="G1" t="s">
        <v>14</v>
      </c>
      <c r="H1" t="s">
        <v>5</v>
      </c>
      <c r="I1" t="s">
        <v>10</v>
      </c>
      <c r="J1" t="s">
        <v>12</v>
      </c>
      <c r="K1" t="s">
        <v>13</v>
      </c>
      <c r="L1" t="s">
        <v>11</v>
      </c>
      <c r="M1" t="s">
        <v>28</v>
      </c>
      <c r="N1" t="s">
        <v>29</v>
      </c>
      <c r="O1" t="s">
        <v>30</v>
      </c>
      <c r="AA1" t="s">
        <v>2</v>
      </c>
      <c r="AB1">
        <v>700</v>
      </c>
    </row>
    <row r="2" spans="1:28" x14ac:dyDescent="0.25">
      <c r="A2" s="2">
        <v>42095</v>
      </c>
      <c r="B2">
        <v>4</v>
      </c>
      <c r="C2">
        <v>2</v>
      </c>
      <c r="D2">
        <v>25000</v>
      </c>
      <c r="E2">
        <f>IF(C2=0,ROUNDUP($AB$3*POWER(pogoda48[[#This Row],[temperatura_srednia]],1.5)*pogoda48[[#This Row],[stan_przed_dolaniem]],0),0)</f>
        <v>0</v>
      </c>
      <c r="F2">
        <f>pogoda48[[#This Row],[stan_przed_dolaniem]]-pogoda48[[#This Row],[ubytek]]</f>
        <v>25000</v>
      </c>
      <c r="G2">
        <f>IF(pogoda48[[#This Row],[opady]]*$AB$1+D2&gt;$AB$2,$AB$2-pogoda48[[#This Row],[stan_przed_dolaniem]],pogoda48[[#This Row],[opady]]*$AB$1)</f>
        <v>0</v>
      </c>
      <c r="H2">
        <f>pogoda48[[#This Row],[stan_po_ubytku]]+pogoda48[[#This Row],[ile_pogoda_dolała]]</f>
        <v>25000</v>
      </c>
      <c r="I2" cm="1">
        <f t="array" ref="I2">_xlfn.IFS(OR(pogoda48[[#This Row],[temperatura_srednia]]&lt;=15,pogoda48[[#This Row],[opady]]&gt;0.61),0,pogoda48[[#This Row],[temperatura_srednia]]&gt;30,24000,pogoda48[[#This Row],[temperatura_srednia]]&gt;15,12000)</f>
        <v>0</v>
      </c>
      <c r="J2">
        <f>IF(pogoda48[[#This Row],[stan_po_dolaniu]]&lt;pogoda48[[#This Row],[ile_podlewamy]],$AB$2-pogoda48[[#This Row],[stan_po_dolaniu]],0)</f>
        <v>0</v>
      </c>
      <c r="K2">
        <f>pogoda48[[#This Row],[stan_po_dolaniu]]+pogoda48[[#This Row],[ile_dolać_do_podlania]]</f>
        <v>25000</v>
      </c>
      <c r="L2">
        <f>pogoda48[[#This Row],[stan_po_dolaniu_do_podlania]]-pogoda48[[#This Row],[ile_podlewamy]]</f>
        <v>25000</v>
      </c>
      <c r="M2">
        <f>IF(pogoda48[[#This Row],[temperatura_srednia]]&lt;=15,1,0)</f>
        <v>1</v>
      </c>
      <c r="N2">
        <f>IF(AND(pogoda48[[#This Row],[temperatura_srednia]]&gt;15,pogoda48[[#This Row],[opady]]&lt;=0.61),1,0)</f>
        <v>0</v>
      </c>
      <c r="O2">
        <f>IF(AND(pogoda48[[#This Row],[temperatura_srednia]]&gt;15,pogoda48[[#This Row],[opady]]&gt;0.61),1,0)</f>
        <v>0</v>
      </c>
      <c r="AA2" t="s">
        <v>4</v>
      </c>
      <c r="AB2">
        <v>25000</v>
      </c>
    </row>
    <row r="3" spans="1:28" x14ac:dyDescent="0.25">
      <c r="A3" s="2">
        <v>42096</v>
      </c>
      <c r="B3">
        <v>2</v>
      </c>
      <c r="C3">
        <v>6</v>
      </c>
      <c r="D3">
        <f>L2</f>
        <v>25000</v>
      </c>
      <c r="E3">
        <f>IF(C3=0,ROUNDUP($AB$3*POWER(pogoda48[[#This Row],[temperatura_srednia]],1.5)*pogoda48[[#This Row],[stan_przed_dolaniem]],0),0)</f>
        <v>0</v>
      </c>
      <c r="F3">
        <f>pogoda48[[#This Row],[stan_przed_dolaniem]]-pogoda48[[#This Row],[ubytek]]</f>
        <v>25000</v>
      </c>
      <c r="G3">
        <f>IF(pogoda48[[#This Row],[opady]]*$AB$1+D3&gt;$AB$2,$AB$2-pogoda48[[#This Row],[stan_przed_dolaniem]],pogoda48[[#This Row],[opady]]*$AB$1)</f>
        <v>0</v>
      </c>
      <c r="H3">
        <f>pogoda48[[#This Row],[stan_po_ubytku]]+pogoda48[[#This Row],[ile_pogoda_dolała]]</f>
        <v>25000</v>
      </c>
      <c r="I3" cm="1">
        <f t="array" ref="I3">_xlfn.IFS(OR(pogoda48[[#This Row],[temperatura_srednia]]&lt;=15,pogoda48[[#This Row],[opady]]&gt;0.61),0,pogoda48[[#This Row],[temperatura_srednia]]&gt;30,24000,pogoda48[[#This Row],[temperatura_srednia]]&gt;15,12000)</f>
        <v>0</v>
      </c>
      <c r="J3">
        <f>IF(pogoda48[[#This Row],[stan_po_dolaniu]]&lt;pogoda48[[#This Row],[ile_podlewamy]],$AB$2-pogoda48[[#This Row],[stan_po_dolaniu]],0)</f>
        <v>0</v>
      </c>
      <c r="K3">
        <f>pogoda48[[#This Row],[stan_po_dolaniu]]+pogoda48[[#This Row],[ile_dolać_do_podlania]]</f>
        <v>25000</v>
      </c>
      <c r="L3">
        <f>pogoda48[[#This Row],[stan_po_dolaniu_do_podlania]]-pogoda48[[#This Row],[ile_podlewamy]]</f>
        <v>25000</v>
      </c>
      <c r="M3">
        <f>IF(pogoda48[[#This Row],[temperatura_srednia]]&lt;=15,1,0)</f>
        <v>1</v>
      </c>
      <c r="N3">
        <f>IF(AND(pogoda48[[#This Row],[temperatura_srednia]]&gt;15,pogoda48[[#This Row],[opady]]&lt;=0.61),1,0)</f>
        <v>0</v>
      </c>
      <c r="O3">
        <f>IF(AND(pogoda48[[#This Row],[temperatura_srednia]]&gt;15,pogoda48[[#This Row],[opady]]&gt;0.61),1,0)</f>
        <v>0</v>
      </c>
      <c r="AA3" t="s">
        <v>7</v>
      </c>
      <c r="AB3" s="1">
        <v>2.9999999999999997E-4</v>
      </c>
    </row>
    <row r="4" spans="1:28" x14ac:dyDescent="0.25">
      <c r="A4" s="2">
        <v>42097</v>
      </c>
      <c r="B4">
        <v>4</v>
      </c>
      <c r="C4">
        <v>1</v>
      </c>
      <c r="D4">
        <f t="shared" ref="D4:D67" si="0">L3</f>
        <v>25000</v>
      </c>
      <c r="E4">
        <f>IF(C4=0,ROUNDUP($AB$3*POWER(pogoda48[[#This Row],[temperatura_srednia]],1.5)*pogoda48[[#This Row],[stan_przed_dolaniem]],0),0)</f>
        <v>0</v>
      </c>
      <c r="F4">
        <f>pogoda48[[#This Row],[stan_przed_dolaniem]]-pogoda48[[#This Row],[ubytek]]</f>
        <v>25000</v>
      </c>
      <c r="G4">
        <f>IF(pogoda48[[#This Row],[opady]]*$AB$1+D4&gt;$AB$2,$AB$2-pogoda48[[#This Row],[stan_przed_dolaniem]],pogoda48[[#This Row],[opady]]*$AB$1)</f>
        <v>0</v>
      </c>
      <c r="H4">
        <f>pogoda48[[#This Row],[stan_po_ubytku]]+pogoda48[[#This Row],[ile_pogoda_dolała]]</f>
        <v>25000</v>
      </c>
      <c r="I4" cm="1">
        <f t="array" ref="I4">_xlfn.IFS(OR(pogoda48[[#This Row],[temperatura_srednia]]&lt;=15,pogoda48[[#This Row],[opady]]&gt;0.61),0,pogoda48[[#This Row],[temperatura_srednia]]&gt;30,24000,pogoda48[[#This Row],[temperatura_srednia]]&gt;15,12000)</f>
        <v>0</v>
      </c>
      <c r="J4">
        <f>IF(pogoda48[[#This Row],[stan_po_dolaniu]]&lt;pogoda48[[#This Row],[ile_podlewamy]],$AB$2-pogoda48[[#This Row],[stan_po_dolaniu]],0)</f>
        <v>0</v>
      </c>
      <c r="K4">
        <f>pogoda48[[#This Row],[stan_po_dolaniu]]+pogoda48[[#This Row],[ile_dolać_do_podlania]]</f>
        <v>25000</v>
      </c>
      <c r="L4">
        <f>pogoda48[[#This Row],[stan_po_dolaniu_do_podlania]]-pogoda48[[#This Row],[ile_podlewamy]]</f>
        <v>25000</v>
      </c>
      <c r="M4">
        <f>IF(pogoda48[[#This Row],[temperatura_srednia]]&lt;=15,1,0)</f>
        <v>1</v>
      </c>
      <c r="N4">
        <f>IF(AND(pogoda48[[#This Row],[temperatura_srednia]]&gt;15,pogoda48[[#This Row],[opady]]&lt;=0.61),1,0)</f>
        <v>0</v>
      </c>
      <c r="O4">
        <f>IF(AND(pogoda48[[#This Row],[temperatura_srednia]]&gt;15,pogoda48[[#This Row],[opady]]&gt;0.61),1,0)</f>
        <v>0</v>
      </c>
    </row>
    <row r="5" spans="1:28" x14ac:dyDescent="0.25">
      <c r="A5" s="2">
        <v>42098</v>
      </c>
      <c r="B5">
        <v>4</v>
      </c>
      <c r="C5">
        <v>0.8</v>
      </c>
      <c r="D5">
        <f t="shared" si="0"/>
        <v>25000</v>
      </c>
      <c r="E5">
        <f>IF(C5=0,ROUNDUP($AB$3*POWER(pogoda48[[#This Row],[temperatura_srednia]],1.5)*pogoda48[[#This Row],[stan_przed_dolaniem]],0),0)</f>
        <v>0</v>
      </c>
      <c r="F5">
        <f>pogoda48[[#This Row],[stan_przed_dolaniem]]-pogoda48[[#This Row],[ubytek]]</f>
        <v>25000</v>
      </c>
      <c r="G5">
        <f>IF(pogoda48[[#This Row],[opady]]*$AB$1+D5&gt;$AB$2,$AB$2-pogoda48[[#This Row],[stan_przed_dolaniem]],pogoda48[[#This Row],[opady]]*$AB$1)</f>
        <v>0</v>
      </c>
      <c r="H5">
        <f>pogoda48[[#This Row],[stan_po_ubytku]]+pogoda48[[#This Row],[ile_pogoda_dolała]]</f>
        <v>25000</v>
      </c>
      <c r="I5" cm="1">
        <f t="array" ref="I5">_xlfn.IFS(OR(pogoda48[[#This Row],[temperatura_srednia]]&lt;=15,pogoda48[[#This Row],[opady]]&gt;0.61),0,pogoda48[[#This Row],[temperatura_srednia]]&gt;30,24000,pogoda48[[#This Row],[temperatura_srednia]]&gt;15,12000)</f>
        <v>0</v>
      </c>
      <c r="J5">
        <f>IF(pogoda48[[#This Row],[stan_po_dolaniu]]&lt;pogoda48[[#This Row],[ile_podlewamy]],$AB$2-pogoda48[[#This Row],[stan_po_dolaniu]],0)</f>
        <v>0</v>
      </c>
      <c r="K5">
        <f>pogoda48[[#This Row],[stan_po_dolaniu]]+pogoda48[[#This Row],[ile_dolać_do_podlania]]</f>
        <v>25000</v>
      </c>
      <c r="L5">
        <f>pogoda48[[#This Row],[stan_po_dolaniu_do_podlania]]-pogoda48[[#This Row],[ile_podlewamy]]</f>
        <v>25000</v>
      </c>
      <c r="M5">
        <f>IF(pogoda48[[#This Row],[temperatura_srednia]]&lt;=15,1,0)</f>
        <v>1</v>
      </c>
      <c r="N5">
        <f>IF(AND(pogoda48[[#This Row],[temperatura_srednia]]&gt;15,pogoda48[[#This Row],[opady]]&lt;=0.61),1,0)</f>
        <v>0</v>
      </c>
      <c r="O5">
        <f>IF(AND(pogoda48[[#This Row],[temperatura_srednia]]&gt;15,pogoda48[[#This Row],[opady]]&gt;0.61),1,0)</f>
        <v>0</v>
      </c>
    </row>
    <row r="6" spans="1:28" x14ac:dyDescent="0.25">
      <c r="A6" s="2">
        <v>42099</v>
      </c>
      <c r="B6">
        <v>3</v>
      </c>
      <c r="C6">
        <v>0</v>
      </c>
      <c r="D6">
        <f t="shared" si="0"/>
        <v>25000</v>
      </c>
      <c r="E6">
        <f>IF(C6=0,ROUNDUP($AB$3*POWER(pogoda48[[#This Row],[temperatura_srednia]],1.5)*pogoda48[[#This Row],[stan_przed_dolaniem]],0),0)</f>
        <v>39</v>
      </c>
      <c r="F6">
        <f>pogoda48[[#This Row],[stan_przed_dolaniem]]-pogoda48[[#This Row],[ubytek]]</f>
        <v>24961</v>
      </c>
      <c r="G6">
        <f>IF(pogoda48[[#This Row],[opady]]*$AB$1+D6&gt;$AB$2,$AB$2-pogoda48[[#This Row],[stan_przed_dolaniem]],pogoda48[[#This Row],[opady]]*$AB$1)</f>
        <v>0</v>
      </c>
      <c r="H6">
        <f>pogoda48[[#This Row],[stan_po_ubytku]]+pogoda48[[#This Row],[ile_pogoda_dolała]]</f>
        <v>24961</v>
      </c>
      <c r="I6" cm="1">
        <f t="array" ref="I6">_xlfn.IFS(OR(pogoda48[[#This Row],[temperatura_srednia]]&lt;=15,pogoda48[[#This Row],[opady]]&gt;0.61),0,pogoda48[[#This Row],[temperatura_srednia]]&gt;30,24000,pogoda48[[#This Row],[temperatura_srednia]]&gt;15,12000)</f>
        <v>0</v>
      </c>
      <c r="J6">
        <f>IF(pogoda48[[#This Row],[stan_po_dolaniu]]&lt;pogoda48[[#This Row],[ile_podlewamy]],$AB$2-pogoda48[[#This Row],[stan_po_dolaniu]],0)</f>
        <v>0</v>
      </c>
      <c r="K6">
        <f>pogoda48[[#This Row],[stan_po_dolaniu]]+pogoda48[[#This Row],[ile_dolać_do_podlania]]</f>
        <v>24961</v>
      </c>
      <c r="L6">
        <f>pogoda48[[#This Row],[stan_po_dolaniu_do_podlania]]-pogoda48[[#This Row],[ile_podlewamy]]</f>
        <v>24961</v>
      </c>
      <c r="M6">
        <f>IF(pogoda48[[#This Row],[temperatura_srednia]]&lt;=15,1,0)</f>
        <v>1</v>
      </c>
      <c r="N6">
        <f>IF(AND(pogoda48[[#This Row],[temperatura_srednia]]&gt;15,pogoda48[[#This Row],[opady]]&lt;=0.61),1,0)</f>
        <v>0</v>
      </c>
      <c r="O6">
        <f>IF(AND(pogoda48[[#This Row],[temperatura_srednia]]&gt;15,pogoda48[[#This Row],[opady]]&gt;0.61),1,0)</f>
        <v>0</v>
      </c>
    </row>
    <row r="7" spans="1:28" x14ac:dyDescent="0.25">
      <c r="A7" s="2">
        <v>42100</v>
      </c>
      <c r="B7">
        <v>4</v>
      </c>
      <c r="C7">
        <v>0</v>
      </c>
      <c r="D7">
        <f t="shared" si="0"/>
        <v>24961</v>
      </c>
      <c r="E7">
        <f>IF(C7=0,ROUNDUP($AB$3*POWER(pogoda48[[#This Row],[temperatura_srednia]],1.5)*pogoda48[[#This Row],[stan_przed_dolaniem]],0),0)</f>
        <v>60</v>
      </c>
      <c r="F7">
        <f>pogoda48[[#This Row],[stan_przed_dolaniem]]-pogoda48[[#This Row],[ubytek]]</f>
        <v>24901</v>
      </c>
      <c r="G7">
        <f>IF(pogoda48[[#This Row],[opady]]*$AB$1+D7&gt;$AB$2,$AB$2-pogoda48[[#This Row],[stan_przed_dolaniem]],pogoda48[[#This Row],[opady]]*$AB$1)</f>
        <v>0</v>
      </c>
      <c r="H7">
        <f>pogoda48[[#This Row],[stan_po_ubytku]]+pogoda48[[#This Row],[ile_pogoda_dolała]]</f>
        <v>24901</v>
      </c>
      <c r="I7" cm="1">
        <f t="array" ref="I7">_xlfn.IFS(OR(pogoda48[[#This Row],[temperatura_srednia]]&lt;=15,pogoda48[[#This Row],[opady]]&gt;0.61),0,pogoda48[[#This Row],[temperatura_srednia]]&gt;30,24000,pogoda48[[#This Row],[temperatura_srednia]]&gt;15,12000)</f>
        <v>0</v>
      </c>
      <c r="J7">
        <f>IF(pogoda48[[#This Row],[stan_po_dolaniu]]&lt;pogoda48[[#This Row],[ile_podlewamy]],$AB$2-pogoda48[[#This Row],[stan_po_dolaniu]],0)</f>
        <v>0</v>
      </c>
      <c r="K7">
        <f>pogoda48[[#This Row],[stan_po_dolaniu]]+pogoda48[[#This Row],[ile_dolać_do_podlania]]</f>
        <v>24901</v>
      </c>
      <c r="L7">
        <f>pogoda48[[#This Row],[stan_po_dolaniu_do_podlania]]-pogoda48[[#This Row],[ile_podlewamy]]</f>
        <v>24901</v>
      </c>
      <c r="M7">
        <f>IF(pogoda48[[#This Row],[temperatura_srednia]]&lt;=15,1,0)</f>
        <v>1</v>
      </c>
      <c r="N7">
        <f>IF(AND(pogoda48[[#This Row],[temperatura_srednia]]&gt;15,pogoda48[[#This Row],[opady]]&lt;=0.61),1,0)</f>
        <v>0</v>
      </c>
      <c r="O7">
        <f>IF(AND(pogoda48[[#This Row],[temperatura_srednia]]&gt;15,pogoda48[[#This Row],[opady]]&gt;0.61),1,0)</f>
        <v>0</v>
      </c>
    </row>
    <row r="8" spans="1:28" x14ac:dyDescent="0.25">
      <c r="A8" s="2">
        <v>42101</v>
      </c>
      <c r="B8">
        <v>4</v>
      </c>
      <c r="C8">
        <v>1</v>
      </c>
      <c r="D8">
        <f t="shared" si="0"/>
        <v>24901</v>
      </c>
      <c r="E8">
        <f>IF(C8=0,ROUNDUP($AB$3*POWER(pogoda48[[#This Row],[temperatura_srednia]],1.5)*pogoda48[[#This Row],[stan_przed_dolaniem]],0),0)</f>
        <v>0</v>
      </c>
      <c r="F8">
        <f>pogoda48[[#This Row],[stan_przed_dolaniem]]-pogoda48[[#This Row],[ubytek]]</f>
        <v>24901</v>
      </c>
      <c r="G8">
        <f>IF(pogoda48[[#This Row],[opady]]*$AB$1+D8&gt;$AB$2,$AB$2-pogoda48[[#This Row],[stan_przed_dolaniem]],pogoda48[[#This Row],[opady]]*$AB$1)</f>
        <v>99</v>
      </c>
      <c r="H8">
        <f>pogoda48[[#This Row],[stan_po_ubytku]]+pogoda48[[#This Row],[ile_pogoda_dolała]]</f>
        <v>25000</v>
      </c>
      <c r="I8" cm="1">
        <f t="array" ref="I8">_xlfn.IFS(OR(pogoda48[[#This Row],[temperatura_srednia]]&lt;=15,pogoda48[[#This Row],[opady]]&gt;0.61),0,pogoda48[[#This Row],[temperatura_srednia]]&gt;30,24000,pogoda48[[#This Row],[temperatura_srednia]]&gt;15,12000)</f>
        <v>0</v>
      </c>
      <c r="J8">
        <f>IF(pogoda48[[#This Row],[stan_po_dolaniu]]&lt;pogoda48[[#This Row],[ile_podlewamy]],$AB$2-pogoda48[[#This Row],[stan_po_dolaniu]],0)</f>
        <v>0</v>
      </c>
      <c r="K8">
        <f>pogoda48[[#This Row],[stan_po_dolaniu]]+pogoda48[[#This Row],[ile_dolać_do_podlania]]</f>
        <v>25000</v>
      </c>
      <c r="L8">
        <f>pogoda48[[#This Row],[stan_po_dolaniu_do_podlania]]-pogoda48[[#This Row],[ile_podlewamy]]</f>
        <v>25000</v>
      </c>
      <c r="M8">
        <f>IF(pogoda48[[#This Row],[temperatura_srednia]]&lt;=15,1,0)</f>
        <v>1</v>
      </c>
      <c r="N8">
        <f>IF(AND(pogoda48[[#This Row],[temperatura_srednia]]&gt;15,pogoda48[[#This Row],[opady]]&lt;=0.61),1,0)</f>
        <v>0</v>
      </c>
      <c r="O8">
        <f>IF(AND(pogoda48[[#This Row],[temperatura_srednia]]&gt;15,pogoda48[[#This Row],[opady]]&gt;0.61),1,0)</f>
        <v>0</v>
      </c>
    </row>
    <row r="9" spans="1:28" x14ac:dyDescent="0.25">
      <c r="A9" s="2">
        <v>42102</v>
      </c>
      <c r="B9">
        <v>8</v>
      </c>
      <c r="C9">
        <v>1</v>
      </c>
      <c r="D9">
        <f t="shared" si="0"/>
        <v>25000</v>
      </c>
      <c r="E9">
        <f>IF(C9=0,ROUNDUP($AB$3*POWER(pogoda48[[#This Row],[temperatura_srednia]],1.5)*pogoda48[[#This Row],[stan_przed_dolaniem]],0),0)</f>
        <v>0</v>
      </c>
      <c r="F9">
        <f>pogoda48[[#This Row],[stan_przed_dolaniem]]-pogoda48[[#This Row],[ubytek]]</f>
        <v>25000</v>
      </c>
      <c r="G9">
        <f>IF(pogoda48[[#This Row],[opady]]*$AB$1+D9&gt;$AB$2,$AB$2-pogoda48[[#This Row],[stan_przed_dolaniem]],pogoda48[[#This Row],[opady]]*$AB$1)</f>
        <v>0</v>
      </c>
      <c r="H9">
        <f>pogoda48[[#This Row],[stan_po_ubytku]]+pogoda48[[#This Row],[ile_pogoda_dolała]]</f>
        <v>25000</v>
      </c>
      <c r="I9" cm="1">
        <f t="array" ref="I9">_xlfn.IFS(OR(pogoda48[[#This Row],[temperatura_srednia]]&lt;=15,pogoda48[[#This Row],[opady]]&gt;0.61),0,pogoda48[[#This Row],[temperatura_srednia]]&gt;30,24000,pogoda48[[#This Row],[temperatura_srednia]]&gt;15,12000)</f>
        <v>0</v>
      </c>
      <c r="J9">
        <f>IF(pogoda48[[#This Row],[stan_po_dolaniu]]&lt;pogoda48[[#This Row],[ile_podlewamy]],$AB$2-pogoda48[[#This Row],[stan_po_dolaniu]],0)</f>
        <v>0</v>
      </c>
      <c r="K9">
        <f>pogoda48[[#This Row],[stan_po_dolaniu]]+pogoda48[[#This Row],[ile_dolać_do_podlania]]</f>
        <v>25000</v>
      </c>
      <c r="L9">
        <f>pogoda48[[#This Row],[stan_po_dolaniu_do_podlania]]-pogoda48[[#This Row],[ile_podlewamy]]</f>
        <v>25000</v>
      </c>
      <c r="M9">
        <f>IF(pogoda48[[#This Row],[temperatura_srednia]]&lt;=15,1,0)</f>
        <v>1</v>
      </c>
      <c r="N9">
        <f>IF(AND(pogoda48[[#This Row],[temperatura_srednia]]&gt;15,pogoda48[[#This Row],[opady]]&lt;=0.61),1,0)</f>
        <v>0</v>
      </c>
      <c r="O9">
        <f>IF(AND(pogoda48[[#This Row],[temperatura_srednia]]&gt;15,pogoda48[[#This Row],[opady]]&gt;0.61),1,0)</f>
        <v>0</v>
      </c>
    </row>
    <row r="10" spans="1:28" x14ac:dyDescent="0.25">
      <c r="A10" s="2">
        <v>42103</v>
      </c>
      <c r="B10">
        <v>6</v>
      </c>
      <c r="C10">
        <v>2</v>
      </c>
      <c r="D10">
        <f t="shared" si="0"/>
        <v>25000</v>
      </c>
      <c r="E10">
        <f>IF(C10=0,ROUNDUP($AB$3*POWER(pogoda48[[#This Row],[temperatura_srednia]],1.5)*pogoda48[[#This Row],[stan_przed_dolaniem]],0),0)</f>
        <v>0</v>
      </c>
      <c r="F10">
        <f>pogoda48[[#This Row],[stan_przed_dolaniem]]-pogoda48[[#This Row],[ubytek]]</f>
        <v>25000</v>
      </c>
      <c r="G10">
        <f>IF(pogoda48[[#This Row],[opady]]*$AB$1+D10&gt;$AB$2,$AB$2-pogoda48[[#This Row],[stan_przed_dolaniem]],pogoda48[[#This Row],[opady]]*$AB$1)</f>
        <v>0</v>
      </c>
      <c r="H10">
        <f>pogoda48[[#This Row],[stan_po_ubytku]]+pogoda48[[#This Row],[ile_pogoda_dolała]]</f>
        <v>25000</v>
      </c>
      <c r="I10" cm="1">
        <f t="array" ref="I10">_xlfn.IFS(OR(pogoda48[[#This Row],[temperatura_srednia]]&lt;=15,pogoda48[[#This Row],[opady]]&gt;0.61),0,pogoda48[[#This Row],[temperatura_srednia]]&gt;30,24000,pogoda48[[#This Row],[temperatura_srednia]]&gt;15,12000)</f>
        <v>0</v>
      </c>
      <c r="J10">
        <f>IF(pogoda48[[#This Row],[stan_po_dolaniu]]&lt;pogoda48[[#This Row],[ile_podlewamy]],$AB$2-pogoda48[[#This Row],[stan_po_dolaniu]],0)</f>
        <v>0</v>
      </c>
      <c r="K10">
        <f>pogoda48[[#This Row],[stan_po_dolaniu]]+pogoda48[[#This Row],[ile_dolać_do_podlania]]</f>
        <v>25000</v>
      </c>
      <c r="L10">
        <f>pogoda48[[#This Row],[stan_po_dolaniu_do_podlania]]-pogoda48[[#This Row],[ile_podlewamy]]</f>
        <v>25000</v>
      </c>
      <c r="M10">
        <f>IF(pogoda48[[#This Row],[temperatura_srednia]]&lt;=15,1,0)</f>
        <v>1</v>
      </c>
      <c r="N10">
        <f>IF(AND(pogoda48[[#This Row],[temperatura_srednia]]&gt;15,pogoda48[[#This Row],[opady]]&lt;=0.61),1,0)</f>
        <v>0</v>
      </c>
      <c r="O10">
        <f>IF(AND(pogoda48[[#This Row],[temperatura_srednia]]&gt;15,pogoda48[[#This Row],[opady]]&gt;0.61),1,0)</f>
        <v>0</v>
      </c>
    </row>
    <row r="11" spans="1:28" x14ac:dyDescent="0.25">
      <c r="A11" s="2">
        <v>42104</v>
      </c>
      <c r="B11">
        <v>9</v>
      </c>
      <c r="C11">
        <v>2</v>
      </c>
      <c r="D11">
        <f t="shared" si="0"/>
        <v>25000</v>
      </c>
      <c r="E11">
        <f>IF(C11=0,ROUNDUP($AB$3*POWER(pogoda48[[#This Row],[temperatura_srednia]],1.5)*pogoda48[[#This Row],[stan_przed_dolaniem]],0),0)</f>
        <v>0</v>
      </c>
      <c r="F11">
        <f>pogoda48[[#This Row],[stan_przed_dolaniem]]-pogoda48[[#This Row],[ubytek]]</f>
        <v>25000</v>
      </c>
      <c r="G11">
        <f>IF(pogoda48[[#This Row],[opady]]*$AB$1+D11&gt;$AB$2,$AB$2-pogoda48[[#This Row],[stan_przed_dolaniem]],pogoda48[[#This Row],[opady]]*$AB$1)</f>
        <v>0</v>
      </c>
      <c r="H11">
        <f>pogoda48[[#This Row],[stan_po_ubytku]]+pogoda48[[#This Row],[ile_pogoda_dolała]]</f>
        <v>25000</v>
      </c>
      <c r="I11" cm="1">
        <f t="array" ref="I11">_xlfn.IFS(OR(pogoda48[[#This Row],[temperatura_srednia]]&lt;=15,pogoda48[[#This Row],[opady]]&gt;0.61),0,pogoda48[[#This Row],[temperatura_srednia]]&gt;30,24000,pogoda48[[#This Row],[temperatura_srednia]]&gt;15,12000)</f>
        <v>0</v>
      </c>
      <c r="J11">
        <f>IF(pogoda48[[#This Row],[stan_po_dolaniu]]&lt;pogoda48[[#This Row],[ile_podlewamy]],$AB$2-pogoda48[[#This Row],[stan_po_dolaniu]],0)</f>
        <v>0</v>
      </c>
      <c r="K11">
        <f>pogoda48[[#This Row],[stan_po_dolaniu]]+pogoda48[[#This Row],[ile_dolać_do_podlania]]</f>
        <v>25000</v>
      </c>
      <c r="L11">
        <f>pogoda48[[#This Row],[stan_po_dolaniu_do_podlania]]-pogoda48[[#This Row],[ile_podlewamy]]</f>
        <v>25000</v>
      </c>
      <c r="M11">
        <f>IF(pogoda48[[#This Row],[temperatura_srednia]]&lt;=15,1,0)</f>
        <v>1</v>
      </c>
      <c r="N11">
        <f>IF(AND(pogoda48[[#This Row],[temperatura_srednia]]&gt;15,pogoda48[[#This Row],[opady]]&lt;=0.61),1,0)</f>
        <v>0</v>
      </c>
      <c r="O11">
        <f>IF(AND(pogoda48[[#This Row],[temperatura_srednia]]&gt;15,pogoda48[[#This Row],[opady]]&gt;0.61),1,0)</f>
        <v>0</v>
      </c>
    </row>
    <row r="12" spans="1:28" x14ac:dyDescent="0.25">
      <c r="A12" s="2">
        <v>42105</v>
      </c>
      <c r="B12">
        <v>12</v>
      </c>
      <c r="C12">
        <v>3</v>
      </c>
      <c r="D12">
        <f t="shared" si="0"/>
        <v>25000</v>
      </c>
      <c r="E12">
        <f>IF(C12=0,ROUNDUP($AB$3*POWER(pogoda48[[#This Row],[temperatura_srednia]],1.5)*pogoda48[[#This Row],[stan_przed_dolaniem]],0),0)</f>
        <v>0</v>
      </c>
      <c r="F12">
        <f>pogoda48[[#This Row],[stan_przed_dolaniem]]-pogoda48[[#This Row],[ubytek]]</f>
        <v>25000</v>
      </c>
      <c r="G12">
        <f>IF(pogoda48[[#This Row],[opady]]*$AB$1+D12&gt;$AB$2,$AB$2-pogoda48[[#This Row],[stan_przed_dolaniem]],pogoda48[[#This Row],[opady]]*$AB$1)</f>
        <v>0</v>
      </c>
      <c r="H12">
        <f>pogoda48[[#This Row],[stan_po_ubytku]]+pogoda48[[#This Row],[ile_pogoda_dolała]]</f>
        <v>25000</v>
      </c>
      <c r="I12" cm="1">
        <f t="array" ref="I12">_xlfn.IFS(OR(pogoda48[[#This Row],[temperatura_srednia]]&lt;=15,pogoda48[[#This Row],[opady]]&gt;0.61),0,pogoda48[[#This Row],[temperatura_srednia]]&gt;30,24000,pogoda48[[#This Row],[temperatura_srednia]]&gt;15,12000)</f>
        <v>0</v>
      </c>
      <c r="J12">
        <f>IF(pogoda48[[#This Row],[stan_po_dolaniu]]&lt;pogoda48[[#This Row],[ile_podlewamy]],$AB$2-pogoda48[[#This Row],[stan_po_dolaniu]],0)</f>
        <v>0</v>
      </c>
      <c r="K12">
        <f>pogoda48[[#This Row],[stan_po_dolaniu]]+pogoda48[[#This Row],[ile_dolać_do_podlania]]</f>
        <v>25000</v>
      </c>
      <c r="L12">
        <f>pogoda48[[#This Row],[stan_po_dolaniu_do_podlania]]-pogoda48[[#This Row],[ile_podlewamy]]</f>
        <v>25000</v>
      </c>
      <c r="M12">
        <f>IF(pogoda48[[#This Row],[temperatura_srednia]]&lt;=15,1,0)</f>
        <v>1</v>
      </c>
      <c r="N12">
        <f>IF(AND(pogoda48[[#This Row],[temperatura_srednia]]&gt;15,pogoda48[[#This Row],[opady]]&lt;=0.61),1,0)</f>
        <v>0</v>
      </c>
      <c r="O12">
        <f>IF(AND(pogoda48[[#This Row],[temperatura_srednia]]&gt;15,pogoda48[[#This Row],[opady]]&gt;0.61),1,0)</f>
        <v>0</v>
      </c>
    </row>
    <row r="13" spans="1:28" x14ac:dyDescent="0.25">
      <c r="A13" s="2">
        <v>42106</v>
      </c>
      <c r="B13">
        <v>10</v>
      </c>
      <c r="C13">
        <v>2</v>
      </c>
      <c r="D13">
        <f t="shared" si="0"/>
        <v>25000</v>
      </c>
      <c r="E13">
        <f>IF(C13=0,ROUNDUP($AB$3*POWER(pogoda48[[#This Row],[temperatura_srednia]],1.5)*pogoda48[[#This Row],[stan_przed_dolaniem]],0),0)</f>
        <v>0</v>
      </c>
      <c r="F13">
        <f>pogoda48[[#This Row],[stan_przed_dolaniem]]-pogoda48[[#This Row],[ubytek]]</f>
        <v>25000</v>
      </c>
      <c r="G13">
        <f>IF(pogoda48[[#This Row],[opady]]*$AB$1+D13&gt;$AB$2,$AB$2-pogoda48[[#This Row],[stan_przed_dolaniem]],pogoda48[[#This Row],[opady]]*$AB$1)</f>
        <v>0</v>
      </c>
      <c r="H13">
        <f>pogoda48[[#This Row],[stan_po_ubytku]]+pogoda48[[#This Row],[ile_pogoda_dolała]]</f>
        <v>25000</v>
      </c>
      <c r="I13" cm="1">
        <f t="array" ref="I13">_xlfn.IFS(OR(pogoda48[[#This Row],[temperatura_srednia]]&lt;=15,pogoda48[[#This Row],[opady]]&gt;0.61),0,pogoda48[[#This Row],[temperatura_srednia]]&gt;30,24000,pogoda48[[#This Row],[temperatura_srednia]]&gt;15,12000)</f>
        <v>0</v>
      </c>
      <c r="J13">
        <f>IF(pogoda48[[#This Row],[stan_po_dolaniu]]&lt;pogoda48[[#This Row],[ile_podlewamy]],$AB$2-pogoda48[[#This Row],[stan_po_dolaniu]],0)</f>
        <v>0</v>
      </c>
      <c r="K13">
        <f>pogoda48[[#This Row],[stan_po_dolaniu]]+pogoda48[[#This Row],[ile_dolać_do_podlania]]</f>
        <v>25000</v>
      </c>
      <c r="L13">
        <f>pogoda48[[#This Row],[stan_po_dolaniu_do_podlania]]-pogoda48[[#This Row],[ile_podlewamy]]</f>
        <v>25000</v>
      </c>
      <c r="M13">
        <f>IF(pogoda48[[#This Row],[temperatura_srednia]]&lt;=15,1,0)</f>
        <v>1</v>
      </c>
      <c r="N13">
        <f>IF(AND(pogoda48[[#This Row],[temperatura_srednia]]&gt;15,pogoda48[[#This Row],[opady]]&lt;=0.61),1,0)</f>
        <v>0</v>
      </c>
      <c r="O13">
        <f>IF(AND(pogoda48[[#This Row],[temperatura_srednia]]&gt;15,pogoda48[[#This Row],[opady]]&gt;0.61),1,0)</f>
        <v>0</v>
      </c>
    </row>
    <row r="14" spans="1:28" x14ac:dyDescent="0.25">
      <c r="A14" s="2">
        <v>42107</v>
      </c>
      <c r="B14">
        <v>8</v>
      </c>
      <c r="C14">
        <v>1</v>
      </c>
      <c r="D14">
        <f t="shared" si="0"/>
        <v>25000</v>
      </c>
      <c r="E14">
        <f>IF(C14=0,ROUNDUP($AB$3*POWER(pogoda48[[#This Row],[temperatura_srednia]],1.5)*pogoda48[[#This Row],[stan_przed_dolaniem]],0),0)</f>
        <v>0</v>
      </c>
      <c r="F14">
        <f>pogoda48[[#This Row],[stan_przed_dolaniem]]-pogoda48[[#This Row],[ubytek]]</f>
        <v>25000</v>
      </c>
      <c r="G14">
        <f>IF(pogoda48[[#This Row],[opady]]*$AB$1+D14&gt;$AB$2,$AB$2-pogoda48[[#This Row],[stan_przed_dolaniem]],pogoda48[[#This Row],[opady]]*$AB$1)</f>
        <v>0</v>
      </c>
      <c r="H14">
        <f>pogoda48[[#This Row],[stan_po_ubytku]]+pogoda48[[#This Row],[ile_pogoda_dolała]]</f>
        <v>25000</v>
      </c>
      <c r="I14" cm="1">
        <f t="array" ref="I14">_xlfn.IFS(OR(pogoda48[[#This Row],[temperatura_srednia]]&lt;=15,pogoda48[[#This Row],[opady]]&gt;0.61),0,pogoda48[[#This Row],[temperatura_srednia]]&gt;30,24000,pogoda48[[#This Row],[temperatura_srednia]]&gt;15,12000)</f>
        <v>0</v>
      </c>
      <c r="J14">
        <f>IF(pogoda48[[#This Row],[stan_po_dolaniu]]&lt;pogoda48[[#This Row],[ile_podlewamy]],$AB$2-pogoda48[[#This Row],[stan_po_dolaniu]],0)</f>
        <v>0</v>
      </c>
      <c r="K14">
        <f>pogoda48[[#This Row],[stan_po_dolaniu]]+pogoda48[[#This Row],[ile_dolać_do_podlania]]</f>
        <v>25000</v>
      </c>
      <c r="L14">
        <f>pogoda48[[#This Row],[stan_po_dolaniu_do_podlania]]-pogoda48[[#This Row],[ile_podlewamy]]</f>
        <v>25000</v>
      </c>
      <c r="M14">
        <f>IF(pogoda48[[#This Row],[temperatura_srednia]]&lt;=15,1,0)</f>
        <v>1</v>
      </c>
      <c r="N14">
        <f>IF(AND(pogoda48[[#This Row],[temperatura_srednia]]&gt;15,pogoda48[[#This Row],[opady]]&lt;=0.61),1,0)</f>
        <v>0</v>
      </c>
      <c r="O14">
        <f>IF(AND(pogoda48[[#This Row],[temperatura_srednia]]&gt;15,pogoda48[[#This Row],[opady]]&gt;0.61),1,0)</f>
        <v>0</v>
      </c>
    </row>
    <row r="15" spans="1:28" x14ac:dyDescent="0.25">
      <c r="A15" s="2">
        <v>42108</v>
      </c>
      <c r="B15">
        <v>6</v>
      </c>
      <c r="C15">
        <v>0</v>
      </c>
      <c r="D15">
        <f t="shared" si="0"/>
        <v>25000</v>
      </c>
      <c r="E15">
        <f>IF(C15=0,ROUNDUP($AB$3*POWER(pogoda48[[#This Row],[temperatura_srednia]],1.5)*pogoda48[[#This Row],[stan_przed_dolaniem]],0),0)</f>
        <v>111</v>
      </c>
      <c r="F15">
        <f>pogoda48[[#This Row],[stan_przed_dolaniem]]-pogoda48[[#This Row],[ubytek]]</f>
        <v>24889</v>
      </c>
      <c r="G15">
        <f>IF(pogoda48[[#This Row],[opady]]*$AB$1+D15&gt;$AB$2,$AB$2-pogoda48[[#This Row],[stan_przed_dolaniem]],pogoda48[[#This Row],[opady]]*$AB$1)</f>
        <v>0</v>
      </c>
      <c r="H15">
        <f>pogoda48[[#This Row],[stan_po_ubytku]]+pogoda48[[#This Row],[ile_pogoda_dolała]]</f>
        <v>24889</v>
      </c>
      <c r="I15" cm="1">
        <f t="array" ref="I15">_xlfn.IFS(OR(pogoda48[[#This Row],[temperatura_srednia]]&lt;=15,pogoda48[[#This Row],[opady]]&gt;0.61),0,pogoda48[[#This Row],[temperatura_srednia]]&gt;30,24000,pogoda48[[#This Row],[temperatura_srednia]]&gt;15,12000)</f>
        <v>0</v>
      </c>
      <c r="J15">
        <f>IF(pogoda48[[#This Row],[stan_po_dolaniu]]&lt;pogoda48[[#This Row],[ile_podlewamy]],$AB$2-pogoda48[[#This Row],[stan_po_dolaniu]],0)</f>
        <v>0</v>
      </c>
      <c r="K15">
        <f>pogoda48[[#This Row],[stan_po_dolaniu]]+pogoda48[[#This Row],[ile_dolać_do_podlania]]</f>
        <v>24889</v>
      </c>
      <c r="L15">
        <f>pogoda48[[#This Row],[stan_po_dolaniu_do_podlania]]-pogoda48[[#This Row],[ile_podlewamy]]</f>
        <v>24889</v>
      </c>
      <c r="M15">
        <f>IF(pogoda48[[#This Row],[temperatura_srednia]]&lt;=15,1,0)</f>
        <v>1</v>
      </c>
      <c r="N15">
        <f>IF(AND(pogoda48[[#This Row],[temperatura_srednia]]&gt;15,pogoda48[[#This Row],[opady]]&lt;=0.61),1,0)</f>
        <v>0</v>
      </c>
      <c r="O15">
        <f>IF(AND(pogoda48[[#This Row],[temperatura_srednia]]&gt;15,pogoda48[[#This Row],[opady]]&gt;0.61),1,0)</f>
        <v>0</v>
      </c>
    </row>
    <row r="16" spans="1:28" x14ac:dyDescent="0.25">
      <c r="A16" s="2">
        <v>42109</v>
      </c>
      <c r="B16">
        <v>14</v>
      </c>
      <c r="C16">
        <v>0</v>
      </c>
      <c r="D16">
        <f t="shared" si="0"/>
        <v>24889</v>
      </c>
      <c r="E16">
        <f>IF(C16=0,ROUNDUP($AB$3*POWER(pogoda48[[#This Row],[temperatura_srednia]],1.5)*pogoda48[[#This Row],[stan_przed_dolaniem]],0),0)</f>
        <v>392</v>
      </c>
      <c r="F16">
        <f>pogoda48[[#This Row],[stan_przed_dolaniem]]-pogoda48[[#This Row],[ubytek]]</f>
        <v>24497</v>
      </c>
      <c r="G16">
        <f>IF(pogoda48[[#This Row],[opady]]*$AB$1+D16&gt;$AB$2,$AB$2-pogoda48[[#This Row],[stan_przed_dolaniem]],pogoda48[[#This Row],[opady]]*$AB$1)</f>
        <v>0</v>
      </c>
      <c r="H16">
        <f>pogoda48[[#This Row],[stan_po_ubytku]]+pogoda48[[#This Row],[ile_pogoda_dolała]]</f>
        <v>24497</v>
      </c>
      <c r="I16" cm="1">
        <f t="array" ref="I16">_xlfn.IFS(OR(pogoda48[[#This Row],[temperatura_srednia]]&lt;=15,pogoda48[[#This Row],[opady]]&gt;0.61),0,pogoda48[[#This Row],[temperatura_srednia]]&gt;30,24000,pogoda48[[#This Row],[temperatura_srednia]]&gt;15,12000)</f>
        <v>0</v>
      </c>
      <c r="J16">
        <f>IF(pogoda48[[#This Row],[stan_po_dolaniu]]&lt;pogoda48[[#This Row],[ile_podlewamy]],$AB$2-pogoda48[[#This Row],[stan_po_dolaniu]],0)</f>
        <v>0</v>
      </c>
      <c r="K16">
        <f>pogoda48[[#This Row],[stan_po_dolaniu]]+pogoda48[[#This Row],[ile_dolać_do_podlania]]</f>
        <v>24497</v>
      </c>
      <c r="L16">
        <f>pogoda48[[#This Row],[stan_po_dolaniu_do_podlania]]-pogoda48[[#This Row],[ile_podlewamy]]</f>
        <v>24497</v>
      </c>
      <c r="M16">
        <f>IF(pogoda48[[#This Row],[temperatura_srednia]]&lt;=15,1,0)</f>
        <v>1</v>
      </c>
      <c r="N16">
        <f>IF(AND(pogoda48[[#This Row],[temperatura_srednia]]&gt;15,pogoda48[[#This Row],[opady]]&lt;=0.61),1,0)</f>
        <v>0</v>
      </c>
      <c r="O16">
        <f>IF(AND(pogoda48[[#This Row],[temperatura_srednia]]&gt;15,pogoda48[[#This Row],[opady]]&gt;0.61),1,0)</f>
        <v>0</v>
      </c>
    </row>
    <row r="17" spans="1:15" x14ac:dyDescent="0.25">
      <c r="A17" s="2">
        <v>42110</v>
      </c>
      <c r="B17">
        <v>10</v>
      </c>
      <c r="C17">
        <v>0</v>
      </c>
      <c r="D17">
        <f t="shared" si="0"/>
        <v>24497</v>
      </c>
      <c r="E17">
        <f>IF(C17=0,ROUNDUP($AB$3*POWER(pogoda48[[#This Row],[temperatura_srednia]],1.5)*pogoda48[[#This Row],[stan_przed_dolaniem]],0),0)</f>
        <v>233</v>
      </c>
      <c r="F17">
        <f>pogoda48[[#This Row],[stan_przed_dolaniem]]-pogoda48[[#This Row],[ubytek]]</f>
        <v>24264</v>
      </c>
      <c r="G17">
        <f>IF(pogoda48[[#This Row],[opady]]*$AB$1+D17&gt;$AB$2,$AB$2-pogoda48[[#This Row],[stan_przed_dolaniem]],pogoda48[[#This Row],[opady]]*$AB$1)</f>
        <v>0</v>
      </c>
      <c r="H17">
        <f>pogoda48[[#This Row],[stan_po_ubytku]]+pogoda48[[#This Row],[ile_pogoda_dolała]]</f>
        <v>24264</v>
      </c>
      <c r="I17" cm="1">
        <f t="array" ref="I17">_xlfn.IFS(OR(pogoda48[[#This Row],[temperatura_srednia]]&lt;=15,pogoda48[[#This Row],[opady]]&gt;0.61),0,pogoda48[[#This Row],[temperatura_srednia]]&gt;30,24000,pogoda48[[#This Row],[temperatura_srednia]]&gt;15,12000)</f>
        <v>0</v>
      </c>
      <c r="J17">
        <f>IF(pogoda48[[#This Row],[stan_po_dolaniu]]&lt;pogoda48[[#This Row],[ile_podlewamy]],$AB$2-pogoda48[[#This Row],[stan_po_dolaniu]],0)</f>
        <v>0</v>
      </c>
      <c r="K17">
        <f>pogoda48[[#This Row],[stan_po_dolaniu]]+pogoda48[[#This Row],[ile_dolać_do_podlania]]</f>
        <v>24264</v>
      </c>
      <c r="L17">
        <f>pogoda48[[#This Row],[stan_po_dolaniu_do_podlania]]-pogoda48[[#This Row],[ile_podlewamy]]</f>
        <v>24264</v>
      </c>
      <c r="M17">
        <f>IF(pogoda48[[#This Row],[temperatura_srednia]]&lt;=15,1,0)</f>
        <v>1</v>
      </c>
      <c r="N17">
        <f>IF(AND(pogoda48[[#This Row],[temperatura_srednia]]&gt;15,pogoda48[[#This Row],[opady]]&lt;=0.61),1,0)</f>
        <v>0</v>
      </c>
      <c r="O17">
        <f>IF(AND(pogoda48[[#This Row],[temperatura_srednia]]&gt;15,pogoda48[[#This Row],[opady]]&gt;0.61),1,0)</f>
        <v>0</v>
      </c>
    </row>
    <row r="18" spans="1:15" x14ac:dyDescent="0.25">
      <c r="A18" s="2">
        <v>42111</v>
      </c>
      <c r="B18">
        <v>6</v>
      </c>
      <c r="C18">
        <v>0</v>
      </c>
      <c r="D18">
        <f t="shared" si="0"/>
        <v>24264</v>
      </c>
      <c r="E18">
        <f>IF(C18=0,ROUNDUP($AB$3*POWER(pogoda48[[#This Row],[temperatura_srednia]],1.5)*pogoda48[[#This Row],[stan_przed_dolaniem]],0),0)</f>
        <v>107</v>
      </c>
      <c r="F18">
        <f>pogoda48[[#This Row],[stan_przed_dolaniem]]-pogoda48[[#This Row],[ubytek]]</f>
        <v>24157</v>
      </c>
      <c r="G18">
        <f>IF(pogoda48[[#This Row],[opady]]*$AB$1+D18&gt;$AB$2,$AB$2-pogoda48[[#This Row],[stan_przed_dolaniem]],pogoda48[[#This Row],[opady]]*$AB$1)</f>
        <v>0</v>
      </c>
      <c r="H18">
        <f>pogoda48[[#This Row],[stan_po_ubytku]]+pogoda48[[#This Row],[ile_pogoda_dolała]]</f>
        <v>24157</v>
      </c>
      <c r="I18" cm="1">
        <f t="array" ref="I18">_xlfn.IFS(OR(pogoda48[[#This Row],[temperatura_srednia]]&lt;=15,pogoda48[[#This Row],[opady]]&gt;0.61),0,pogoda48[[#This Row],[temperatura_srednia]]&gt;30,24000,pogoda48[[#This Row],[temperatura_srednia]]&gt;15,12000)</f>
        <v>0</v>
      </c>
      <c r="J18">
        <f>IF(pogoda48[[#This Row],[stan_po_dolaniu]]&lt;pogoda48[[#This Row],[ile_podlewamy]],$AB$2-pogoda48[[#This Row],[stan_po_dolaniu]],0)</f>
        <v>0</v>
      </c>
      <c r="K18">
        <f>pogoda48[[#This Row],[stan_po_dolaniu]]+pogoda48[[#This Row],[ile_dolać_do_podlania]]</f>
        <v>24157</v>
      </c>
      <c r="L18">
        <f>pogoda48[[#This Row],[stan_po_dolaniu_do_podlania]]-pogoda48[[#This Row],[ile_podlewamy]]</f>
        <v>24157</v>
      </c>
      <c r="M18">
        <f>IF(pogoda48[[#This Row],[temperatura_srednia]]&lt;=15,1,0)</f>
        <v>1</v>
      </c>
      <c r="N18">
        <f>IF(AND(pogoda48[[#This Row],[temperatura_srednia]]&gt;15,pogoda48[[#This Row],[opady]]&lt;=0.61),1,0)</f>
        <v>0</v>
      </c>
      <c r="O18">
        <f>IF(AND(pogoda48[[#This Row],[temperatura_srednia]]&gt;15,pogoda48[[#This Row],[opady]]&gt;0.61),1,0)</f>
        <v>0</v>
      </c>
    </row>
    <row r="19" spans="1:15" x14ac:dyDescent="0.25">
      <c r="A19" s="2">
        <v>42112</v>
      </c>
      <c r="B19">
        <v>4</v>
      </c>
      <c r="C19">
        <v>0</v>
      </c>
      <c r="D19">
        <f t="shared" si="0"/>
        <v>24157</v>
      </c>
      <c r="E19">
        <f>IF(C19=0,ROUNDUP($AB$3*POWER(pogoda48[[#This Row],[temperatura_srednia]],1.5)*pogoda48[[#This Row],[stan_przed_dolaniem]],0),0)</f>
        <v>58</v>
      </c>
      <c r="F19">
        <f>pogoda48[[#This Row],[stan_przed_dolaniem]]-pogoda48[[#This Row],[ubytek]]</f>
        <v>24099</v>
      </c>
      <c r="G19">
        <f>IF(pogoda48[[#This Row],[opady]]*$AB$1+D19&gt;$AB$2,$AB$2-pogoda48[[#This Row],[stan_przed_dolaniem]],pogoda48[[#This Row],[opady]]*$AB$1)</f>
        <v>0</v>
      </c>
      <c r="H19">
        <f>pogoda48[[#This Row],[stan_po_ubytku]]+pogoda48[[#This Row],[ile_pogoda_dolała]]</f>
        <v>24099</v>
      </c>
      <c r="I19" cm="1">
        <f t="array" ref="I19">_xlfn.IFS(OR(pogoda48[[#This Row],[temperatura_srednia]]&lt;=15,pogoda48[[#This Row],[opady]]&gt;0.61),0,pogoda48[[#This Row],[temperatura_srednia]]&gt;30,24000,pogoda48[[#This Row],[temperatura_srednia]]&gt;15,12000)</f>
        <v>0</v>
      </c>
      <c r="J19">
        <f>IF(pogoda48[[#This Row],[stan_po_dolaniu]]&lt;pogoda48[[#This Row],[ile_podlewamy]],$AB$2-pogoda48[[#This Row],[stan_po_dolaniu]],0)</f>
        <v>0</v>
      </c>
      <c r="K19">
        <f>pogoda48[[#This Row],[stan_po_dolaniu]]+pogoda48[[#This Row],[ile_dolać_do_podlania]]</f>
        <v>24099</v>
      </c>
      <c r="L19">
        <f>pogoda48[[#This Row],[stan_po_dolaniu_do_podlania]]-pogoda48[[#This Row],[ile_podlewamy]]</f>
        <v>24099</v>
      </c>
      <c r="M19">
        <f>IF(pogoda48[[#This Row],[temperatura_srednia]]&lt;=15,1,0)</f>
        <v>1</v>
      </c>
      <c r="N19">
        <f>IF(AND(pogoda48[[#This Row],[temperatura_srednia]]&gt;15,pogoda48[[#This Row],[opady]]&lt;=0.61),1,0)</f>
        <v>0</v>
      </c>
      <c r="O19">
        <f>IF(AND(pogoda48[[#This Row],[temperatura_srednia]]&gt;15,pogoda48[[#This Row],[opady]]&gt;0.61),1,0)</f>
        <v>0</v>
      </c>
    </row>
    <row r="20" spans="1:15" x14ac:dyDescent="0.25">
      <c r="A20" s="2">
        <v>42113</v>
      </c>
      <c r="B20">
        <v>7</v>
      </c>
      <c r="C20">
        <v>0</v>
      </c>
      <c r="D20">
        <f t="shared" si="0"/>
        <v>24099</v>
      </c>
      <c r="E20">
        <f>IF(C20=0,ROUNDUP($AB$3*POWER(pogoda48[[#This Row],[temperatura_srednia]],1.5)*pogoda48[[#This Row],[stan_przed_dolaniem]],0),0)</f>
        <v>134</v>
      </c>
      <c r="F20">
        <f>pogoda48[[#This Row],[stan_przed_dolaniem]]-pogoda48[[#This Row],[ubytek]]</f>
        <v>23965</v>
      </c>
      <c r="G20">
        <f>IF(pogoda48[[#This Row],[opady]]*$AB$1+D20&gt;$AB$2,$AB$2-pogoda48[[#This Row],[stan_przed_dolaniem]],pogoda48[[#This Row],[opady]]*$AB$1)</f>
        <v>0</v>
      </c>
      <c r="H20">
        <f>pogoda48[[#This Row],[stan_po_ubytku]]+pogoda48[[#This Row],[ile_pogoda_dolała]]</f>
        <v>23965</v>
      </c>
      <c r="I20" cm="1">
        <f t="array" ref="I20">_xlfn.IFS(OR(pogoda48[[#This Row],[temperatura_srednia]]&lt;=15,pogoda48[[#This Row],[opady]]&gt;0.61),0,pogoda48[[#This Row],[temperatura_srednia]]&gt;30,24000,pogoda48[[#This Row],[temperatura_srednia]]&gt;15,12000)</f>
        <v>0</v>
      </c>
      <c r="J20">
        <f>IF(pogoda48[[#This Row],[stan_po_dolaniu]]&lt;pogoda48[[#This Row],[ile_podlewamy]],$AB$2-pogoda48[[#This Row],[stan_po_dolaniu]],0)</f>
        <v>0</v>
      </c>
      <c r="K20">
        <f>pogoda48[[#This Row],[stan_po_dolaniu]]+pogoda48[[#This Row],[ile_dolać_do_podlania]]</f>
        <v>23965</v>
      </c>
      <c r="L20">
        <f>pogoda48[[#This Row],[stan_po_dolaniu_do_podlania]]-pogoda48[[#This Row],[ile_podlewamy]]</f>
        <v>23965</v>
      </c>
      <c r="M20">
        <f>IF(pogoda48[[#This Row],[temperatura_srednia]]&lt;=15,1,0)</f>
        <v>1</v>
      </c>
      <c r="N20">
        <f>IF(AND(pogoda48[[#This Row],[temperatura_srednia]]&gt;15,pogoda48[[#This Row],[opady]]&lt;=0.61),1,0)</f>
        <v>0</v>
      </c>
      <c r="O20">
        <f>IF(AND(pogoda48[[#This Row],[temperatura_srednia]]&gt;15,pogoda48[[#This Row],[opady]]&gt;0.61),1,0)</f>
        <v>0</v>
      </c>
    </row>
    <row r="21" spans="1:15" x14ac:dyDescent="0.25">
      <c r="A21" s="2">
        <v>42114</v>
      </c>
      <c r="B21">
        <v>10</v>
      </c>
      <c r="C21">
        <v>1</v>
      </c>
      <c r="D21">
        <f t="shared" si="0"/>
        <v>23965</v>
      </c>
      <c r="E21">
        <f>IF(C21=0,ROUNDUP($AB$3*POWER(pogoda48[[#This Row],[temperatura_srednia]],1.5)*pogoda48[[#This Row],[stan_przed_dolaniem]],0),0)</f>
        <v>0</v>
      </c>
      <c r="F21">
        <f>pogoda48[[#This Row],[stan_przed_dolaniem]]-pogoda48[[#This Row],[ubytek]]</f>
        <v>23965</v>
      </c>
      <c r="G21">
        <f>IF(pogoda48[[#This Row],[opady]]*$AB$1+D21&gt;$AB$2,$AB$2-pogoda48[[#This Row],[stan_przed_dolaniem]],pogoda48[[#This Row],[opady]]*$AB$1)</f>
        <v>700</v>
      </c>
      <c r="H21">
        <f>pogoda48[[#This Row],[stan_po_ubytku]]+pogoda48[[#This Row],[ile_pogoda_dolała]]</f>
        <v>24665</v>
      </c>
      <c r="I21" cm="1">
        <f t="array" ref="I21">_xlfn.IFS(OR(pogoda48[[#This Row],[temperatura_srednia]]&lt;=15,pogoda48[[#This Row],[opady]]&gt;0.61),0,pogoda48[[#This Row],[temperatura_srednia]]&gt;30,24000,pogoda48[[#This Row],[temperatura_srednia]]&gt;15,12000)</f>
        <v>0</v>
      </c>
      <c r="J21">
        <f>IF(pogoda48[[#This Row],[stan_po_dolaniu]]&lt;pogoda48[[#This Row],[ile_podlewamy]],$AB$2-pogoda48[[#This Row],[stan_po_dolaniu]],0)</f>
        <v>0</v>
      </c>
      <c r="K21">
        <f>pogoda48[[#This Row],[stan_po_dolaniu]]+pogoda48[[#This Row],[ile_dolać_do_podlania]]</f>
        <v>24665</v>
      </c>
      <c r="L21">
        <f>pogoda48[[#This Row],[stan_po_dolaniu_do_podlania]]-pogoda48[[#This Row],[ile_podlewamy]]</f>
        <v>24665</v>
      </c>
      <c r="M21">
        <f>IF(pogoda48[[#This Row],[temperatura_srednia]]&lt;=15,1,0)</f>
        <v>1</v>
      </c>
      <c r="N21">
        <f>IF(AND(pogoda48[[#This Row],[temperatura_srednia]]&gt;15,pogoda48[[#This Row],[opady]]&lt;=0.61),1,0)</f>
        <v>0</v>
      </c>
      <c r="O21">
        <f>IF(AND(pogoda48[[#This Row],[temperatura_srednia]]&gt;15,pogoda48[[#This Row],[opady]]&gt;0.61),1,0)</f>
        <v>0</v>
      </c>
    </row>
    <row r="22" spans="1:15" x14ac:dyDescent="0.25">
      <c r="A22" s="2">
        <v>42115</v>
      </c>
      <c r="B22">
        <v>11</v>
      </c>
      <c r="C22">
        <v>3.2</v>
      </c>
      <c r="D22">
        <f t="shared" si="0"/>
        <v>24665</v>
      </c>
      <c r="E22">
        <f>IF(C22=0,ROUNDUP($AB$3*POWER(pogoda48[[#This Row],[temperatura_srednia]],1.5)*pogoda48[[#This Row],[stan_przed_dolaniem]],0),0)</f>
        <v>0</v>
      </c>
      <c r="F22">
        <f>pogoda48[[#This Row],[stan_przed_dolaniem]]-pogoda48[[#This Row],[ubytek]]</f>
        <v>24665</v>
      </c>
      <c r="G22">
        <f>IF(pogoda48[[#This Row],[opady]]*$AB$1+D22&gt;$AB$2,$AB$2-pogoda48[[#This Row],[stan_przed_dolaniem]],pogoda48[[#This Row],[opady]]*$AB$1)</f>
        <v>335</v>
      </c>
      <c r="H22">
        <f>pogoda48[[#This Row],[stan_po_ubytku]]+pogoda48[[#This Row],[ile_pogoda_dolała]]</f>
        <v>25000</v>
      </c>
      <c r="I22" cm="1">
        <f t="array" ref="I22">_xlfn.IFS(OR(pogoda48[[#This Row],[temperatura_srednia]]&lt;=15,pogoda48[[#This Row],[opady]]&gt;0.61),0,pogoda48[[#This Row],[temperatura_srednia]]&gt;30,24000,pogoda48[[#This Row],[temperatura_srednia]]&gt;15,12000)</f>
        <v>0</v>
      </c>
      <c r="J22">
        <f>IF(pogoda48[[#This Row],[stan_po_dolaniu]]&lt;pogoda48[[#This Row],[ile_podlewamy]],$AB$2-pogoda48[[#This Row],[stan_po_dolaniu]],0)</f>
        <v>0</v>
      </c>
      <c r="K22">
        <f>pogoda48[[#This Row],[stan_po_dolaniu]]+pogoda48[[#This Row],[ile_dolać_do_podlania]]</f>
        <v>25000</v>
      </c>
      <c r="L22">
        <f>pogoda48[[#This Row],[stan_po_dolaniu_do_podlania]]-pogoda48[[#This Row],[ile_podlewamy]]</f>
        <v>25000</v>
      </c>
      <c r="M22">
        <f>IF(pogoda48[[#This Row],[temperatura_srednia]]&lt;=15,1,0)</f>
        <v>1</v>
      </c>
      <c r="N22">
        <f>IF(AND(pogoda48[[#This Row],[temperatura_srednia]]&gt;15,pogoda48[[#This Row],[opady]]&lt;=0.61),1,0)</f>
        <v>0</v>
      </c>
      <c r="O22">
        <f>IF(AND(pogoda48[[#This Row],[temperatura_srednia]]&gt;15,pogoda48[[#This Row],[opady]]&gt;0.61),1,0)</f>
        <v>0</v>
      </c>
    </row>
    <row r="23" spans="1:15" x14ac:dyDescent="0.25">
      <c r="A23" s="2">
        <v>42116</v>
      </c>
      <c r="B23">
        <v>8</v>
      </c>
      <c r="C23">
        <v>2.2000000000000002</v>
      </c>
      <c r="D23">
        <f t="shared" si="0"/>
        <v>25000</v>
      </c>
      <c r="E23">
        <f>IF(C23=0,ROUNDUP($AB$3*POWER(pogoda48[[#This Row],[temperatura_srednia]],1.5)*pogoda48[[#This Row],[stan_przed_dolaniem]],0),0)</f>
        <v>0</v>
      </c>
      <c r="F23">
        <f>pogoda48[[#This Row],[stan_przed_dolaniem]]-pogoda48[[#This Row],[ubytek]]</f>
        <v>25000</v>
      </c>
      <c r="G23">
        <f>IF(pogoda48[[#This Row],[opady]]*$AB$1+D23&gt;$AB$2,$AB$2-pogoda48[[#This Row],[stan_przed_dolaniem]],pogoda48[[#This Row],[opady]]*$AB$1)</f>
        <v>0</v>
      </c>
      <c r="H23">
        <f>pogoda48[[#This Row],[stan_po_ubytku]]+pogoda48[[#This Row],[ile_pogoda_dolała]]</f>
        <v>25000</v>
      </c>
      <c r="I23" cm="1">
        <f t="array" ref="I23">_xlfn.IFS(OR(pogoda48[[#This Row],[temperatura_srednia]]&lt;=15,pogoda48[[#This Row],[opady]]&gt;0.61),0,pogoda48[[#This Row],[temperatura_srednia]]&gt;30,24000,pogoda48[[#This Row],[temperatura_srednia]]&gt;15,12000)</f>
        <v>0</v>
      </c>
      <c r="J23">
        <f>IF(pogoda48[[#This Row],[stan_po_dolaniu]]&lt;pogoda48[[#This Row],[ile_podlewamy]],$AB$2-pogoda48[[#This Row],[stan_po_dolaniu]],0)</f>
        <v>0</v>
      </c>
      <c r="K23">
        <f>pogoda48[[#This Row],[stan_po_dolaniu]]+pogoda48[[#This Row],[ile_dolać_do_podlania]]</f>
        <v>25000</v>
      </c>
      <c r="L23">
        <f>pogoda48[[#This Row],[stan_po_dolaniu_do_podlania]]-pogoda48[[#This Row],[ile_podlewamy]]</f>
        <v>25000</v>
      </c>
      <c r="M23">
        <f>IF(pogoda48[[#This Row],[temperatura_srednia]]&lt;=15,1,0)</f>
        <v>1</v>
      </c>
      <c r="N23">
        <f>IF(AND(pogoda48[[#This Row],[temperatura_srednia]]&gt;15,pogoda48[[#This Row],[opady]]&lt;=0.61),1,0)</f>
        <v>0</v>
      </c>
      <c r="O23">
        <f>IF(AND(pogoda48[[#This Row],[temperatura_srednia]]&gt;15,pogoda48[[#This Row],[opady]]&gt;0.61),1,0)</f>
        <v>0</v>
      </c>
    </row>
    <row r="24" spans="1:15" x14ac:dyDescent="0.25">
      <c r="A24" s="2">
        <v>42117</v>
      </c>
      <c r="B24">
        <v>11</v>
      </c>
      <c r="C24">
        <v>1</v>
      </c>
      <c r="D24">
        <f t="shared" si="0"/>
        <v>25000</v>
      </c>
      <c r="E24">
        <f>IF(C24=0,ROUNDUP($AB$3*POWER(pogoda48[[#This Row],[temperatura_srednia]],1.5)*pogoda48[[#This Row],[stan_przed_dolaniem]],0),0)</f>
        <v>0</v>
      </c>
      <c r="F24">
        <f>pogoda48[[#This Row],[stan_przed_dolaniem]]-pogoda48[[#This Row],[ubytek]]</f>
        <v>25000</v>
      </c>
      <c r="G24">
        <f>IF(pogoda48[[#This Row],[opady]]*$AB$1+D24&gt;$AB$2,$AB$2-pogoda48[[#This Row],[stan_przed_dolaniem]],pogoda48[[#This Row],[opady]]*$AB$1)</f>
        <v>0</v>
      </c>
      <c r="H24">
        <f>pogoda48[[#This Row],[stan_po_ubytku]]+pogoda48[[#This Row],[ile_pogoda_dolała]]</f>
        <v>25000</v>
      </c>
      <c r="I24" cm="1">
        <f t="array" ref="I24">_xlfn.IFS(OR(pogoda48[[#This Row],[temperatura_srednia]]&lt;=15,pogoda48[[#This Row],[opady]]&gt;0.61),0,pogoda48[[#This Row],[temperatura_srednia]]&gt;30,24000,pogoda48[[#This Row],[temperatura_srednia]]&gt;15,12000)</f>
        <v>0</v>
      </c>
      <c r="J24">
        <f>IF(pogoda48[[#This Row],[stan_po_dolaniu]]&lt;pogoda48[[#This Row],[ile_podlewamy]],$AB$2-pogoda48[[#This Row],[stan_po_dolaniu]],0)</f>
        <v>0</v>
      </c>
      <c r="K24">
        <f>pogoda48[[#This Row],[stan_po_dolaniu]]+pogoda48[[#This Row],[ile_dolać_do_podlania]]</f>
        <v>25000</v>
      </c>
      <c r="L24">
        <f>pogoda48[[#This Row],[stan_po_dolaniu_do_podlania]]-pogoda48[[#This Row],[ile_podlewamy]]</f>
        <v>25000</v>
      </c>
      <c r="M24">
        <f>IF(pogoda48[[#This Row],[temperatura_srednia]]&lt;=15,1,0)</f>
        <v>1</v>
      </c>
      <c r="N24">
        <f>IF(AND(pogoda48[[#This Row],[temperatura_srednia]]&gt;15,pogoda48[[#This Row],[opady]]&lt;=0.61),1,0)</f>
        <v>0</v>
      </c>
      <c r="O24">
        <f>IF(AND(pogoda48[[#This Row],[temperatura_srednia]]&gt;15,pogoda48[[#This Row],[opady]]&gt;0.61),1,0)</f>
        <v>0</v>
      </c>
    </row>
    <row r="25" spans="1:15" x14ac:dyDescent="0.25">
      <c r="A25" s="2">
        <v>42118</v>
      </c>
      <c r="B25">
        <v>12</v>
      </c>
      <c r="C25">
        <v>1</v>
      </c>
      <c r="D25">
        <f t="shared" si="0"/>
        <v>25000</v>
      </c>
      <c r="E25">
        <f>IF(C25=0,ROUNDUP($AB$3*POWER(pogoda48[[#This Row],[temperatura_srednia]],1.5)*pogoda48[[#This Row],[stan_przed_dolaniem]],0),0)</f>
        <v>0</v>
      </c>
      <c r="F25">
        <f>pogoda48[[#This Row],[stan_przed_dolaniem]]-pogoda48[[#This Row],[ubytek]]</f>
        <v>25000</v>
      </c>
      <c r="G25">
        <f>IF(pogoda48[[#This Row],[opady]]*$AB$1+D25&gt;$AB$2,$AB$2-pogoda48[[#This Row],[stan_przed_dolaniem]],pogoda48[[#This Row],[opady]]*$AB$1)</f>
        <v>0</v>
      </c>
      <c r="H25">
        <f>pogoda48[[#This Row],[stan_po_ubytku]]+pogoda48[[#This Row],[ile_pogoda_dolała]]</f>
        <v>25000</v>
      </c>
      <c r="I25" cm="1">
        <f t="array" ref="I25">_xlfn.IFS(OR(pogoda48[[#This Row],[temperatura_srednia]]&lt;=15,pogoda48[[#This Row],[opady]]&gt;0.61),0,pogoda48[[#This Row],[temperatura_srednia]]&gt;30,24000,pogoda48[[#This Row],[temperatura_srednia]]&gt;15,12000)</f>
        <v>0</v>
      </c>
      <c r="J25">
        <f>IF(pogoda48[[#This Row],[stan_po_dolaniu]]&lt;pogoda48[[#This Row],[ile_podlewamy]],$AB$2-pogoda48[[#This Row],[stan_po_dolaniu]],0)</f>
        <v>0</v>
      </c>
      <c r="K25">
        <f>pogoda48[[#This Row],[stan_po_dolaniu]]+pogoda48[[#This Row],[ile_dolać_do_podlania]]</f>
        <v>25000</v>
      </c>
      <c r="L25">
        <f>pogoda48[[#This Row],[stan_po_dolaniu_do_podlania]]-pogoda48[[#This Row],[ile_podlewamy]]</f>
        <v>25000</v>
      </c>
      <c r="M25">
        <f>IF(pogoda48[[#This Row],[temperatura_srednia]]&lt;=15,1,0)</f>
        <v>1</v>
      </c>
      <c r="N25">
        <f>IF(AND(pogoda48[[#This Row],[temperatura_srednia]]&gt;15,pogoda48[[#This Row],[opady]]&lt;=0.61),1,0)</f>
        <v>0</v>
      </c>
      <c r="O25">
        <f>IF(AND(pogoda48[[#This Row],[temperatura_srednia]]&gt;15,pogoda48[[#This Row],[opady]]&gt;0.61),1,0)</f>
        <v>0</v>
      </c>
    </row>
    <row r="26" spans="1:15" x14ac:dyDescent="0.25">
      <c r="A26" s="2">
        <v>42119</v>
      </c>
      <c r="B26">
        <v>14</v>
      </c>
      <c r="C26">
        <v>1</v>
      </c>
      <c r="D26">
        <f t="shared" si="0"/>
        <v>25000</v>
      </c>
      <c r="E26">
        <f>IF(C26=0,ROUNDUP($AB$3*POWER(pogoda48[[#This Row],[temperatura_srednia]],1.5)*pogoda48[[#This Row],[stan_przed_dolaniem]],0),0)</f>
        <v>0</v>
      </c>
      <c r="F26">
        <f>pogoda48[[#This Row],[stan_przed_dolaniem]]-pogoda48[[#This Row],[ubytek]]</f>
        <v>25000</v>
      </c>
      <c r="G26">
        <f>IF(pogoda48[[#This Row],[opady]]*$AB$1+D26&gt;$AB$2,$AB$2-pogoda48[[#This Row],[stan_przed_dolaniem]],pogoda48[[#This Row],[opady]]*$AB$1)</f>
        <v>0</v>
      </c>
      <c r="H26">
        <f>pogoda48[[#This Row],[stan_po_ubytku]]+pogoda48[[#This Row],[ile_pogoda_dolała]]</f>
        <v>25000</v>
      </c>
      <c r="I26" cm="1">
        <f t="array" ref="I26">_xlfn.IFS(OR(pogoda48[[#This Row],[temperatura_srednia]]&lt;=15,pogoda48[[#This Row],[opady]]&gt;0.61),0,pogoda48[[#This Row],[temperatura_srednia]]&gt;30,24000,pogoda48[[#This Row],[temperatura_srednia]]&gt;15,12000)</f>
        <v>0</v>
      </c>
      <c r="J26">
        <f>IF(pogoda48[[#This Row],[stan_po_dolaniu]]&lt;pogoda48[[#This Row],[ile_podlewamy]],$AB$2-pogoda48[[#This Row],[stan_po_dolaniu]],0)</f>
        <v>0</v>
      </c>
      <c r="K26">
        <f>pogoda48[[#This Row],[stan_po_dolaniu]]+pogoda48[[#This Row],[ile_dolać_do_podlania]]</f>
        <v>25000</v>
      </c>
      <c r="L26">
        <f>pogoda48[[#This Row],[stan_po_dolaniu_do_podlania]]-pogoda48[[#This Row],[ile_podlewamy]]</f>
        <v>25000</v>
      </c>
      <c r="M26">
        <f>IF(pogoda48[[#This Row],[temperatura_srednia]]&lt;=15,1,0)</f>
        <v>1</v>
      </c>
      <c r="N26">
        <f>IF(AND(pogoda48[[#This Row],[temperatura_srednia]]&gt;15,pogoda48[[#This Row],[opady]]&lt;=0.61),1,0)</f>
        <v>0</v>
      </c>
      <c r="O26">
        <f>IF(AND(pogoda48[[#This Row],[temperatura_srednia]]&gt;15,pogoda48[[#This Row],[opady]]&gt;0.61),1,0)</f>
        <v>0</v>
      </c>
    </row>
    <row r="27" spans="1:15" x14ac:dyDescent="0.25">
      <c r="A27" s="2">
        <v>42120</v>
      </c>
      <c r="B27">
        <v>16</v>
      </c>
      <c r="C27">
        <v>0</v>
      </c>
      <c r="D27">
        <f t="shared" si="0"/>
        <v>25000</v>
      </c>
      <c r="E27">
        <f>IF(C27=0,ROUNDUP($AB$3*POWER(pogoda48[[#This Row],[temperatura_srednia]],1.5)*pogoda48[[#This Row],[stan_przed_dolaniem]],0),0)</f>
        <v>480</v>
      </c>
      <c r="F27">
        <f>pogoda48[[#This Row],[stan_przed_dolaniem]]-pogoda48[[#This Row],[ubytek]]</f>
        <v>24520</v>
      </c>
      <c r="G27">
        <f>IF(pogoda48[[#This Row],[opady]]*$AB$1+D27&gt;$AB$2,$AB$2-pogoda48[[#This Row],[stan_przed_dolaniem]],pogoda48[[#This Row],[opady]]*$AB$1)</f>
        <v>0</v>
      </c>
      <c r="H27">
        <f>pogoda48[[#This Row],[stan_po_ubytku]]+pogoda48[[#This Row],[ile_pogoda_dolała]]</f>
        <v>24520</v>
      </c>
      <c r="I27" cm="1">
        <f t="array" ref="I27">_xlfn.IFS(OR(pogoda48[[#This Row],[temperatura_srednia]]&lt;=15,pogoda48[[#This Row],[opady]]&gt;0.61),0,pogoda48[[#This Row],[temperatura_srednia]]&gt;30,24000,pogoda48[[#This Row],[temperatura_srednia]]&gt;15,12000)</f>
        <v>12000</v>
      </c>
      <c r="J27">
        <f>IF(pogoda48[[#This Row],[stan_po_dolaniu]]&lt;pogoda48[[#This Row],[ile_podlewamy]],$AB$2-pogoda48[[#This Row],[stan_po_dolaniu]],0)</f>
        <v>0</v>
      </c>
      <c r="K27">
        <f>pogoda48[[#This Row],[stan_po_dolaniu]]+pogoda48[[#This Row],[ile_dolać_do_podlania]]</f>
        <v>24520</v>
      </c>
      <c r="L27">
        <f>pogoda48[[#This Row],[stan_po_dolaniu_do_podlania]]-pogoda48[[#This Row],[ile_podlewamy]]</f>
        <v>12520</v>
      </c>
      <c r="M27">
        <f>IF(pogoda48[[#This Row],[temperatura_srednia]]&lt;=15,1,0)</f>
        <v>0</v>
      </c>
      <c r="N27">
        <f>IF(AND(pogoda48[[#This Row],[temperatura_srednia]]&gt;15,pogoda48[[#This Row],[opady]]&lt;=0.61),1,0)</f>
        <v>1</v>
      </c>
      <c r="O27">
        <f>IF(AND(pogoda48[[#This Row],[temperatura_srednia]]&gt;15,pogoda48[[#This Row],[opady]]&gt;0.61),1,0)</f>
        <v>0</v>
      </c>
    </row>
    <row r="28" spans="1:15" x14ac:dyDescent="0.25">
      <c r="A28" s="2">
        <v>42121</v>
      </c>
      <c r="B28">
        <v>16</v>
      </c>
      <c r="C28">
        <v>1</v>
      </c>
      <c r="D28">
        <f t="shared" si="0"/>
        <v>12520</v>
      </c>
      <c r="E28">
        <f>IF(C28=0,ROUNDUP($AB$3*POWER(pogoda48[[#This Row],[temperatura_srednia]],1.5)*pogoda48[[#This Row],[stan_przed_dolaniem]],0),0)</f>
        <v>0</v>
      </c>
      <c r="F28">
        <f>pogoda48[[#This Row],[stan_przed_dolaniem]]-pogoda48[[#This Row],[ubytek]]</f>
        <v>12520</v>
      </c>
      <c r="G28">
        <f>IF(pogoda48[[#This Row],[opady]]*$AB$1+D28&gt;$AB$2,$AB$2-pogoda48[[#This Row],[stan_przed_dolaniem]],pogoda48[[#This Row],[opady]]*$AB$1)</f>
        <v>700</v>
      </c>
      <c r="H28">
        <f>pogoda48[[#This Row],[stan_po_ubytku]]+pogoda48[[#This Row],[ile_pogoda_dolała]]</f>
        <v>13220</v>
      </c>
      <c r="I28" cm="1">
        <f t="array" ref="I28">_xlfn.IFS(OR(pogoda48[[#This Row],[temperatura_srednia]]&lt;=15,pogoda48[[#This Row],[opady]]&gt;0.61),0,pogoda48[[#This Row],[temperatura_srednia]]&gt;30,24000,pogoda48[[#This Row],[temperatura_srednia]]&gt;15,12000)</f>
        <v>0</v>
      </c>
      <c r="J28">
        <f>IF(pogoda48[[#This Row],[stan_po_dolaniu]]&lt;pogoda48[[#This Row],[ile_podlewamy]],$AB$2-pogoda48[[#This Row],[stan_po_dolaniu]],0)</f>
        <v>0</v>
      </c>
      <c r="K28">
        <f>pogoda48[[#This Row],[stan_po_dolaniu]]+pogoda48[[#This Row],[ile_dolać_do_podlania]]</f>
        <v>13220</v>
      </c>
      <c r="L28">
        <f>pogoda48[[#This Row],[stan_po_dolaniu_do_podlania]]-pogoda48[[#This Row],[ile_podlewamy]]</f>
        <v>13220</v>
      </c>
      <c r="M28">
        <f>IF(pogoda48[[#This Row],[temperatura_srednia]]&lt;=15,1,0)</f>
        <v>0</v>
      </c>
      <c r="N28">
        <f>IF(AND(pogoda48[[#This Row],[temperatura_srednia]]&gt;15,pogoda48[[#This Row],[opady]]&lt;=0.61),1,0)</f>
        <v>0</v>
      </c>
      <c r="O28">
        <f>IF(AND(pogoda48[[#This Row],[temperatura_srednia]]&gt;15,pogoda48[[#This Row],[opady]]&gt;0.61),1,0)</f>
        <v>1</v>
      </c>
    </row>
    <row r="29" spans="1:15" x14ac:dyDescent="0.25">
      <c r="A29" s="2">
        <v>42122</v>
      </c>
      <c r="B29">
        <v>6</v>
      </c>
      <c r="C29">
        <v>2</v>
      </c>
      <c r="D29">
        <f t="shared" si="0"/>
        <v>13220</v>
      </c>
      <c r="E29">
        <f>IF(C29=0,ROUNDUP($AB$3*POWER(pogoda48[[#This Row],[temperatura_srednia]],1.5)*pogoda48[[#This Row],[stan_przed_dolaniem]],0),0)</f>
        <v>0</v>
      </c>
      <c r="F29">
        <f>pogoda48[[#This Row],[stan_przed_dolaniem]]-pogoda48[[#This Row],[ubytek]]</f>
        <v>13220</v>
      </c>
      <c r="G29">
        <f>IF(pogoda48[[#This Row],[opady]]*$AB$1+D29&gt;$AB$2,$AB$2-pogoda48[[#This Row],[stan_przed_dolaniem]],pogoda48[[#This Row],[opady]]*$AB$1)</f>
        <v>1400</v>
      </c>
      <c r="H29">
        <f>pogoda48[[#This Row],[stan_po_ubytku]]+pogoda48[[#This Row],[ile_pogoda_dolała]]</f>
        <v>14620</v>
      </c>
      <c r="I29" cm="1">
        <f t="array" ref="I29">_xlfn.IFS(OR(pogoda48[[#This Row],[temperatura_srednia]]&lt;=15,pogoda48[[#This Row],[opady]]&gt;0.61),0,pogoda48[[#This Row],[temperatura_srednia]]&gt;30,24000,pogoda48[[#This Row],[temperatura_srednia]]&gt;15,12000)</f>
        <v>0</v>
      </c>
      <c r="J29">
        <f>IF(pogoda48[[#This Row],[stan_po_dolaniu]]&lt;pogoda48[[#This Row],[ile_podlewamy]],$AB$2-pogoda48[[#This Row],[stan_po_dolaniu]],0)</f>
        <v>0</v>
      </c>
      <c r="K29">
        <f>pogoda48[[#This Row],[stan_po_dolaniu]]+pogoda48[[#This Row],[ile_dolać_do_podlania]]</f>
        <v>14620</v>
      </c>
      <c r="L29">
        <f>pogoda48[[#This Row],[stan_po_dolaniu_do_podlania]]-pogoda48[[#This Row],[ile_podlewamy]]</f>
        <v>14620</v>
      </c>
      <c r="M29">
        <f>IF(pogoda48[[#This Row],[temperatura_srednia]]&lt;=15,1,0)</f>
        <v>1</v>
      </c>
      <c r="N29">
        <f>IF(AND(pogoda48[[#This Row],[temperatura_srednia]]&gt;15,pogoda48[[#This Row],[opady]]&lt;=0.61),1,0)</f>
        <v>0</v>
      </c>
      <c r="O29">
        <f>IF(AND(pogoda48[[#This Row],[temperatura_srednia]]&gt;15,pogoda48[[#This Row],[opady]]&gt;0.61),1,0)</f>
        <v>0</v>
      </c>
    </row>
    <row r="30" spans="1:15" x14ac:dyDescent="0.25">
      <c r="A30" s="2">
        <v>42123</v>
      </c>
      <c r="B30">
        <v>7</v>
      </c>
      <c r="C30">
        <v>0</v>
      </c>
      <c r="D30">
        <f t="shared" si="0"/>
        <v>14620</v>
      </c>
      <c r="E30">
        <f>IF(C30=0,ROUNDUP($AB$3*POWER(pogoda48[[#This Row],[temperatura_srednia]],1.5)*pogoda48[[#This Row],[stan_przed_dolaniem]],0),0)</f>
        <v>82</v>
      </c>
      <c r="F30">
        <f>pogoda48[[#This Row],[stan_przed_dolaniem]]-pogoda48[[#This Row],[ubytek]]</f>
        <v>14538</v>
      </c>
      <c r="G30">
        <f>IF(pogoda48[[#This Row],[opady]]*$AB$1+D30&gt;$AB$2,$AB$2-pogoda48[[#This Row],[stan_przed_dolaniem]],pogoda48[[#This Row],[opady]]*$AB$1)</f>
        <v>0</v>
      </c>
      <c r="H30">
        <f>pogoda48[[#This Row],[stan_po_ubytku]]+pogoda48[[#This Row],[ile_pogoda_dolała]]</f>
        <v>14538</v>
      </c>
      <c r="I30" cm="1">
        <f t="array" ref="I30">_xlfn.IFS(OR(pogoda48[[#This Row],[temperatura_srednia]]&lt;=15,pogoda48[[#This Row],[opady]]&gt;0.61),0,pogoda48[[#This Row],[temperatura_srednia]]&gt;30,24000,pogoda48[[#This Row],[temperatura_srednia]]&gt;15,12000)</f>
        <v>0</v>
      </c>
      <c r="J30">
        <f>IF(pogoda48[[#This Row],[stan_po_dolaniu]]&lt;pogoda48[[#This Row],[ile_podlewamy]],$AB$2-pogoda48[[#This Row],[stan_po_dolaniu]],0)</f>
        <v>0</v>
      </c>
      <c r="K30">
        <f>pogoda48[[#This Row],[stan_po_dolaniu]]+pogoda48[[#This Row],[ile_dolać_do_podlania]]</f>
        <v>14538</v>
      </c>
      <c r="L30">
        <f>pogoda48[[#This Row],[stan_po_dolaniu_do_podlania]]-pogoda48[[#This Row],[ile_podlewamy]]</f>
        <v>14538</v>
      </c>
      <c r="M30">
        <f>IF(pogoda48[[#This Row],[temperatura_srednia]]&lt;=15,1,0)</f>
        <v>1</v>
      </c>
      <c r="N30">
        <f>IF(AND(pogoda48[[#This Row],[temperatura_srednia]]&gt;15,pogoda48[[#This Row],[opady]]&lt;=0.61),1,0)</f>
        <v>0</v>
      </c>
      <c r="O30">
        <f>IF(AND(pogoda48[[#This Row],[temperatura_srednia]]&gt;15,pogoda48[[#This Row],[opady]]&gt;0.61),1,0)</f>
        <v>0</v>
      </c>
    </row>
    <row r="31" spans="1:15" x14ac:dyDescent="0.25">
      <c r="A31" s="2">
        <v>42124</v>
      </c>
      <c r="B31">
        <v>10</v>
      </c>
      <c r="C31">
        <v>0</v>
      </c>
      <c r="D31">
        <f t="shared" si="0"/>
        <v>14538</v>
      </c>
      <c r="E31">
        <f>IF(C31=0,ROUNDUP($AB$3*POWER(pogoda48[[#This Row],[temperatura_srednia]],1.5)*pogoda48[[#This Row],[stan_przed_dolaniem]],0),0)</f>
        <v>138</v>
      </c>
      <c r="F31">
        <f>pogoda48[[#This Row],[stan_przed_dolaniem]]-pogoda48[[#This Row],[ubytek]]</f>
        <v>14400</v>
      </c>
      <c r="G31">
        <f>IF(pogoda48[[#This Row],[opady]]*$AB$1+D31&gt;$AB$2,$AB$2-pogoda48[[#This Row],[stan_przed_dolaniem]],pogoda48[[#This Row],[opady]]*$AB$1)</f>
        <v>0</v>
      </c>
      <c r="H31">
        <f>pogoda48[[#This Row],[stan_po_ubytku]]+pogoda48[[#This Row],[ile_pogoda_dolała]]</f>
        <v>14400</v>
      </c>
      <c r="I31" cm="1">
        <f t="array" ref="I31">_xlfn.IFS(OR(pogoda48[[#This Row],[temperatura_srednia]]&lt;=15,pogoda48[[#This Row],[opady]]&gt;0.61),0,pogoda48[[#This Row],[temperatura_srednia]]&gt;30,24000,pogoda48[[#This Row],[temperatura_srednia]]&gt;15,12000)</f>
        <v>0</v>
      </c>
      <c r="J31">
        <f>IF(pogoda48[[#This Row],[stan_po_dolaniu]]&lt;pogoda48[[#This Row],[ile_podlewamy]],$AB$2-pogoda48[[#This Row],[stan_po_dolaniu]],0)</f>
        <v>0</v>
      </c>
      <c r="K31">
        <f>pogoda48[[#This Row],[stan_po_dolaniu]]+pogoda48[[#This Row],[ile_dolać_do_podlania]]</f>
        <v>14400</v>
      </c>
      <c r="L31">
        <f>pogoda48[[#This Row],[stan_po_dolaniu_do_podlania]]-pogoda48[[#This Row],[ile_podlewamy]]</f>
        <v>14400</v>
      </c>
      <c r="M31">
        <f>IF(pogoda48[[#This Row],[temperatura_srednia]]&lt;=15,1,0)</f>
        <v>1</v>
      </c>
      <c r="N31">
        <f>IF(AND(pogoda48[[#This Row],[temperatura_srednia]]&gt;15,pogoda48[[#This Row],[opady]]&lt;=0.61),1,0)</f>
        <v>0</v>
      </c>
      <c r="O31">
        <f>IF(AND(pogoda48[[#This Row],[temperatura_srednia]]&gt;15,pogoda48[[#This Row],[opady]]&gt;0.61),1,0)</f>
        <v>0</v>
      </c>
    </row>
    <row r="32" spans="1:15" x14ac:dyDescent="0.25">
      <c r="A32" s="2">
        <v>42125</v>
      </c>
      <c r="B32">
        <v>10</v>
      </c>
      <c r="C32">
        <v>4</v>
      </c>
      <c r="D32">
        <f t="shared" si="0"/>
        <v>14400</v>
      </c>
      <c r="E32">
        <f>IF(C32=0,ROUNDUP($AB$3*POWER(pogoda48[[#This Row],[temperatura_srednia]],1.5)*pogoda48[[#This Row],[stan_przed_dolaniem]],0),0)</f>
        <v>0</v>
      </c>
      <c r="F32">
        <f>pogoda48[[#This Row],[stan_przed_dolaniem]]-pogoda48[[#This Row],[ubytek]]</f>
        <v>14400</v>
      </c>
      <c r="G32">
        <f>IF(pogoda48[[#This Row],[opady]]*$AB$1+D32&gt;$AB$2,$AB$2-pogoda48[[#This Row],[stan_przed_dolaniem]],pogoda48[[#This Row],[opady]]*$AB$1)</f>
        <v>2800</v>
      </c>
      <c r="H32">
        <f>pogoda48[[#This Row],[stan_po_ubytku]]+pogoda48[[#This Row],[ile_pogoda_dolała]]</f>
        <v>17200</v>
      </c>
      <c r="I32" cm="1">
        <f t="array" ref="I32">_xlfn.IFS(OR(pogoda48[[#This Row],[temperatura_srednia]]&lt;=15,pogoda48[[#This Row],[opady]]&gt;0.61),0,pogoda48[[#This Row],[temperatura_srednia]]&gt;30,24000,pogoda48[[#This Row],[temperatura_srednia]]&gt;15,12000)</f>
        <v>0</v>
      </c>
      <c r="J32">
        <f>IF(pogoda48[[#This Row],[stan_po_dolaniu]]&lt;pogoda48[[#This Row],[ile_podlewamy]],$AB$2-pogoda48[[#This Row],[stan_po_dolaniu]],0)</f>
        <v>0</v>
      </c>
      <c r="K32">
        <f>pogoda48[[#This Row],[stan_po_dolaniu]]+pogoda48[[#This Row],[ile_dolać_do_podlania]]</f>
        <v>17200</v>
      </c>
      <c r="L32">
        <f>pogoda48[[#This Row],[stan_po_dolaniu_do_podlania]]-pogoda48[[#This Row],[ile_podlewamy]]</f>
        <v>17200</v>
      </c>
      <c r="M32">
        <f>IF(pogoda48[[#This Row],[temperatura_srednia]]&lt;=15,1,0)</f>
        <v>1</v>
      </c>
      <c r="N32">
        <f>IF(AND(pogoda48[[#This Row],[temperatura_srednia]]&gt;15,pogoda48[[#This Row],[opady]]&lt;=0.61),1,0)</f>
        <v>0</v>
      </c>
      <c r="O32">
        <f>IF(AND(pogoda48[[#This Row],[temperatura_srednia]]&gt;15,pogoda48[[#This Row],[opady]]&gt;0.61),1,0)</f>
        <v>0</v>
      </c>
    </row>
    <row r="33" spans="1:15" x14ac:dyDescent="0.25">
      <c r="A33" s="2">
        <v>42126</v>
      </c>
      <c r="B33">
        <v>7</v>
      </c>
      <c r="C33">
        <v>5</v>
      </c>
      <c r="D33">
        <f t="shared" si="0"/>
        <v>17200</v>
      </c>
      <c r="E33">
        <f>IF(C33=0,ROUNDUP($AB$3*POWER(pogoda48[[#This Row],[temperatura_srednia]],1.5)*pogoda48[[#This Row],[stan_przed_dolaniem]],0),0)</f>
        <v>0</v>
      </c>
      <c r="F33">
        <f>pogoda48[[#This Row],[stan_przed_dolaniem]]-pogoda48[[#This Row],[ubytek]]</f>
        <v>17200</v>
      </c>
      <c r="G33">
        <f>IF(pogoda48[[#This Row],[opady]]*$AB$1+D33&gt;$AB$2,$AB$2-pogoda48[[#This Row],[stan_przed_dolaniem]],pogoda48[[#This Row],[opady]]*$AB$1)</f>
        <v>3500</v>
      </c>
      <c r="H33">
        <f>pogoda48[[#This Row],[stan_po_ubytku]]+pogoda48[[#This Row],[ile_pogoda_dolała]]</f>
        <v>20700</v>
      </c>
      <c r="I33" cm="1">
        <f t="array" ref="I33">_xlfn.IFS(OR(pogoda48[[#This Row],[temperatura_srednia]]&lt;=15,pogoda48[[#This Row],[opady]]&gt;0.61),0,pogoda48[[#This Row],[temperatura_srednia]]&gt;30,24000,pogoda48[[#This Row],[temperatura_srednia]]&gt;15,12000)</f>
        <v>0</v>
      </c>
      <c r="J33">
        <f>IF(pogoda48[[#This Row],[stan_po_dolaniu]]&lt;pogoda48[[#This Row],[ile_podlewamy]],$AB$2-pogoda48[[#This Row],[stan_po_dolaniu]],0)</f>
        <v>0</v>
      </c>
      <c r="K33">
        <f>pogoda48[[#This Row],[stan_po_dolaniu]]+pogoda48[[#This Row],[ile_dolać_do_podlania]]</f>
        <v>20700</v>
      </c>
      <c r="L33">
        <f>pogoda48[[#This Row],[stan_po_dolaniu_do_podlania]]-pogoda48[[#This Row],[ile_podlewamy]]</f>
        <v>20700</v>
      </c>
      <c r="M33">
        <f>IF(pogoda48[[#This Row],[temperatura_srednia]]&lt;=15,1,0)</f>
        <v>1</v>
      </c>
      <c r="N33">
        <f>IF(AND(pogoda48[[#This Row],[temperatura_srednia]]&gt;15,pogoda48[[#This Row],[opady]]&lt;=0.61),1,0)</f>
        <v>0</v>
      </c>
      <c r="O33">
        <f>IF(AND(pogoda48[[#This Row],[temperatura_srednia]]&gt;15,pogoda48[[#This Row],[opady]]&gt;0.61),1,0)</f>
        <v>0</v>
      </c>
    </row>
    <row r="34" spans="1:15" x14ac:dyDescent="0.25">
      <c r="A34" s="2">
        <v>42127</v>
      </c>
      <c r="B34">
        <v>9</v>
      </c>
      <c r="C34">
        <v>4</v>
      </c>
      <c r="D34">
        <f t="shared" si="0"/>
        <v>20700</v>
      </c>
      <c r="E34">
        <f>IF(C34=0,ROUNDUP($AB$3*POWER(pogoda48[[#This Row],[temperatura_srednia]],1.5)*pogoda48[[#This Row],[stan_przed_dolaniem]],0),0)</f>
        <v>0</v>
      </c>
      <c r="F34">
        <f>pogoda48[[#This Row],[stan_przed_dolaniem]]-pogoda48[[#This Row],[ubytek]]</f>
        <v>20700</v>
      </c>
      <c r="G34">
        <f>IF(pogoda48[[#This Row],[opady]]*$AB$1+D34&gt;$AB$2,$AB$2-pogoda48[[#This Row],[stan_przed_dolaniem]],pogoda48[[#This Row],[opady]]*$AB$1)</f>
        <v>2800</v>
      </c>
      <c r="H34">
        <f>pogoda48[[#This Row],[stan_po_ubytku]]+pogoda48[[#This Row],[ile_pogoda_dolała]]</f>
        <v>23500</v>
      </c>
      <c r="I34" cm="1">
        <f t="array" ref="I34">_xlfn.IFS(OR(pogoda48[[#This Row],[temperatura_srednia]]&lt;=15,pogoda48[[#This Row],[opady]]&gt;0.61),0,pogoda48[[#This Row],[temperatura_srednia]]&gt;30,24000,pogoda48[[#This Row],[temperatura_srednia]]&gt;15,12000)</f>
        <v>0</v>
      </c>
      <c r="J34">
        <f>IF(pogoda48[[#This Row],[stan_po_dolaniu]]&lt;pogoda48[[#This Row],[ile_podlewamy]],$AB$2-pogoda48[[#This Row],[stan_po_dolaniu]],0)</f>
        <v>0</v>
      </c>
      <c r="K34">
        <f>pogoda48[[#This Row],[stan_po_dolaniu]]+pogoda48[[#This Row],[ile_dolać_do_podlania]]</f>
        <v>23500</v>
      </c>
      <c r="L34">
        <f>pogoda48[[#This Row],[stan_po_dolaniu_do_podlania]]-pogoda48[[#This Row],[ile_podlewamy]]</f>
        <v>23500</v>
      </c>
      <c r="M34">
        <f>IF(pogoda48[[#This Row],[temperatura_srednia]]&lt;=15,1,0)</f>
        <v>1</v>
      </c>
      <c r="N34">
        <f>IF(AND(pogoda48[[#This Row],[temperatura_srednia]]&gt;15,pogoda48[[#This Row],[opady]]&lt;=0.61),1,0)</f>
        <v>0</v>
      </c>
      <c r="O34">
        <f>IF(AND(pogoda48[[#This Row],[temperatura_srednia]]&gt;15,pogoda48[[#This Row],[opady]]&gt;0.61),1,0)</f>
        <v>0</v>
      </c>
    </row>
    <row r="35" spans="1:15" x14ac:dyDescent="0.25">
      <c r="A35" s="2">
        <v>42128</v>
      </c>
      <c r="B35">
        <v>15</v>
      </c>
      <c r="C35">
        <v>0.4</v>
      </c>
      <c r="D35">
        <f t="shared" si="0"/>
        <v>23500</v>
      </c>
      <c r="E35">
        <f>IF(C35=0,ROUNDUP($AB$3*POWER(pogoda48[[#This Row],[temperatura_srednia]],1.5)*pogoda48[[#This Row],[stan_przed_dolaniem]],0),0)</f>
        <v>0</v>
      </c>
      <c r="F35">
        <f>pogoda48[[#This Row],[stan_przed_dolaniem]]-pogoda48[[#This Row],[ubytek]]</f>
        <v>23500</v>
      </c>
      <c r="G35">
        <f>IF(pogoda48[[#This Row],[opady]]*$AB$1+D35&gt;$AB$2,$AB$2-pogoda48[[#This Row],[stan_przed_dolaniem]],pogoda48[[#This Row],[opady]]*$AB$1)</f>
        <v>280</v>
      </c>
      <c r="H35">
        <f>pogoda48[[#This Row],[stan_po_ubytku]]+pogoda48[[#This Row],[ile_pogoda_dolała]]</f>
        <v>23780</v>
      </c>
      <c r="I35" cm="1">
        <f t="array" ref="I35">_xlfn.IFS(OR(pogoda48[[#This Row],[temperatura_srednia]]&lt;=15,pogoda48[[#This Row],[opady]]&gt;0.61),0,pogoda48[[#This Row],[temperatura_srednia]]&gt;30,24000,pogoda48[[#This Row],[temperatura_srednia]]&gt;15,12000)</f>
        <v>0</v>
      </c>
      <c r="J35">
        <f>IF(pogoda48[[#This Row],[stan_po_dolaniu]]&lt;pogoda48[[#This Row],[ile_podlewamy]],$AB$2-pogoda48[[#This Row],[stan_po_dolaniu]],0)</f>
        <v>0</v>
      </c>
      <c r="K35">
        <f>pogoda48[[#This Row],[stan_po_dolaniu]]+pogoda48[[#This Row],[ile_dolać_do_podlania]]</f>
        <v>23780</v>
      </c>
      <c r="L35">
        <f>pogoda48[[#This Row],[stan_po_dolaniu_do_podlania]]-pogoda48[[#This Row],[ile_podlewamy]]</f>
        <v>23780</v>
      </c>
      <c r="M35">
        <f>IF(pogoda48[[#This Row],[temperatura_srednia]]&lt;=15,1,0)</f>
        <v>1</v>
      </c>
      <c r="N35">
        <f>IF(AND(pogoda48[[#This Row],[temperatura_srednia]]&gt;15,pogoda48[[#This Row],[opady]]&lt;=0.61),1,0)</f>
        <v>0</v>
      </c>
      <c r="O35">
        <f>IF(AND(pogoda48[[#This Row],[temperatura_srednia]]&gt;15,pogoda48[[#This Row],[opady]]&gt;0.61),1,0)</f>
        <v>0</v>
      </c>
    </row>
    <row r="36" spans="1:15" x14ac:dyDescent="0.25">
      <c r="A36" s="2">
        <v>42129</v>
      </c>
      <c r="B36">
        <v>18</v>
      </c>
      <c r="C36">
        <v>0.4</v>
      </c>
      <c r="D36">
        <f t="shared" si="0"/>
        <v>23780</v>
      </c>
      <c r="E36">
        <f>IF(C36=0,ROUNDUP($AB$3*POWER(pogoda48[[#This Row],[temperatura_srednia]],1.5)*pogoda48[[#This Row],[stan_przed_dolaniem]],0),0)</f>
        <v>0</v>
      </c>
      <c r="F36">
        <f>pogoda48[[#This Row],[stan_przed_dolaniem]]-pogoda48[[#This Row],[ubytek]]</f>
        <v>23780</v>
      </c>
      <c r="G36">
        <f>IF(pogoda48[[#This Row],[opady]]*$AB$1+D36&gt;$AB$2,$AB$2-pogoda48[[#This Row],[stan_przed_dolaniem]],pogoda48[[#This Row],[opady]]*$AB$1)</f>
        <v>280</v>
      </c>
      <c r="H36">
        <f>pogoda48[[#This Row],[stan_po_ubytku]]+pogoda48[[#This Row],[ile_pogoda_dolała]]</f>
        <v>24060</v>
      </c>
      <c r="I36" cm="1">
        <f t="array" ref="I36">_xlfn.IFS(OR(pogoda48[[#This Row],[temperatura_srednia]]&lt;=15,pogoda48[[#This Row],[opady]]&gt;0.61),0,pogoda48[[#This Row],[temperatura_srednia]]&gt;30,24000,pogoda48[[#This Row],[temperatura_srednia]]&gt;15,12000)</f>
        <v>12000</v>
      </c>
      <c r="J36">
        <f>IF(pogoda48[[#This Row],[stan_po_dolaniu]]&lt;pogoda48[[#This Row],[ile_podlewamy]],$AB$2-pogoda48[[#This Row],[stan_po_dolaniu]],0)</f>
        <v>0</v>
      </c>
      <c r="K36">
        <f>pogoda48[[#This Row],[stan_po_dolaniu]]+pogoda48[[#This Row],[ile_dolać_do_podlania]]</f>
        <v>24060</v>
      </c>
      <c r="L36">
        <f>pogoda48[[#This Row],[stan_po_dolaniu_do_podlania]]-pogoda48[[#This Row],[ile_podlewamy]]</f>
        <v>12060</v>
      </c>
      <c r="M36">
        <f>IF(pogoda48[[#This Row],[temperatura_srednia]]&lt;=15,1,0)</f>
        <v>0</v>
      </c>
      <c r="N36">
        <f>IF(AND(pogoda48[[#This Row],[temperatura_srednia]]&gt;15,pogoda48[[#This Row],[opady]]&lt;=0.61),1,0)</f>
        <v>1</v>
      </c>
      <c r="O36">
        <f>IF(AND(pogoda48[[#This Row],[temperatura_srednia]]&gt;15,pogoda48[[#This Row],[opady]]&gt;0.61),1,0)</f>
        <v>0</v>
      </c>
    </row>
    <row r="37" spans="1:15" x14ac:dyDescent="0.25">
      <c r="A37" s="2">
        <v>42130</v>
      </c>
      <c r="B37">
        <v>16</v>
      </c>
      <c r="C37">
        <v>0</v>
      </c>
      <c r="D37">
        <f t="shared" si="0"/>
        <v>12060</v>
      </c>
      <c r="E37">
        <f>IF(C37=0,ROUNDUP($AB$3*POWER(pogoda48[[#This Row],[temperatura_srednia]],1.5)*pogoda48[[#This Row],[stan_przed_dolaniem]],0),0)</f>
        <v>232</v>
      </c>
      <c r="F37">
        <f>pogoda48[[#This Row],[stan_przed_dolaniem]]-pogoda48[[#This Row],[ubytek]]</f>
        <v>11828</v>
      </c>
      <c r="G37">
        <f>IF(pogoda48[[#This Row],[opady]]*$AB$1+D37&gt;$AB$2,$AB$2-pogoda48[[#This Row],[stan_przed_dolaniem]],pogoda48[[#This Row],[opady]]*$AB$1)</f>
        <v>0</v>
      </c>
      <c r="H37">
        <f>pogoda48[[#This Row],[stan_po_ubytku]]+pogoda48[[#This Row],[ile_pogoda_dolała]]</f>
        <v>11828</v>
      </c>
      <c r="I37" cm="1">
        <f t="array" ref="I37">_xlfn.IFS(OR(pogoda48[[#This Row],[temperatura_srednia]]&lt;=15,pogoda48[[#This Row],[opady]]&gt;0.61),0,pogoda48[[#This Row],[temperatura_srednia]]&gt;30,24000,pogoda48[[#This Row],[temperatura_srednia]]&gt;15,12000)</f>
        <v>12000</v>
      </c>
      <c r="J37">
        <f>IF(pogoda48[[#This Row],[stan_po_dolaniu]]&lt;pogoda48[[#This Row],[ile_podlewamy]],$AB$2-pogoda48[[#This Row],[stan_po_dolaniu]],0)</f>
        <v>13172</v>
      </c>
      <c r="K37">
        <f>pogoda48[[#This Row],[stan_po_dolaniu]]+pogoda48[[#This Row],[ile_dolać_do_podlania]]</f>
        <v>25000</v>
      </c>
      <c r="L37">
        <f>pogoda48[[#This Row],[stan_po_dolaniu_do_podlania]]-pogoda48[[#This Row],[ile_podlewamy]]</f>
        <v>13000</v>
      </c>
      <c r="M37">
        <f>IF(pogoda48[[#This Row],[temperatura_srednia]]&lt;=15,1,0)</f>
        <v>0</v>
      </c>
      <c r="N37">
        <f>IF(AND(pogoda48[[#This Row],[temperatura_srednia]]&gt;15,pogoda48[[#This Row],[opady]]&lt;=0.61),1,0)</f>
        <v>1</v>
      </c>
      <c r="O37">
        <f>IF(AND(pogoda48[[#This Row],[temperatura_srednia]]&gt;15,pogoda48[[#This Row],[opady]]&gt;0.61),1,0)</f>
        <v>0</v>
      </c>
    </row>
    <row r="38" spans="1:15" x14ac:dyDescent="0.25">
      <c r="A38" s="2">
        <v>42131</v>
      </c>
      <c r="B38">
        <v>14</v>
      </c>
      <c r="C38">
        <v>0</v>
      </c>
      <c r="D38">
        <f t="shared" si="0"/>
        <v>13000</v>
      </c>
      <c r="E38">
        <f>IF(C38=0,ROUNDUP($AB$3*POWER(pogoda48[[#This Row],[temperatura_srednia]],1.5)*pogoda48[[#This Row],[stan_przed_dolaniem]],0),0)</f>
        <v>205</v>
      </c>
      <c r="F38">
        <f>pogoda48[[#This Row],[stan_przed_dolaniem]]-pogoda48[[#This Row],[ubytek]]</f>
        <v>12795</v>
      </c>
      <c r="G38">
        <f>IF(pogoda48[[#This Row],[opady]]*$AB$1+D38&gt;$AB$2,$AB$2-pogoda48[[#This Row],[stan_przed_dolaniem]],pogoda48[[#This Row],[opady]]*$AB$1)</f>
        <v>0</v>
      </c>
      <c r="H38">
        <f>pogoda48[[#This Row],[stan_po_ubytku]]+pogoda48[[#This Row],[ile_pogoda_dolała]]</f>
        <v>12795</v>
      </c>
      <c r="I38" cm="1">
        <f t="array" ref="I38">_xlfn.IFS(OR(pogoda48[[#This Row],[temperatura_srednia]]&lt;=15,pogoda48[[#This Row],[opady]]&gt;0.61),0,pogoda48[[#This Row],[temperatura_srednia]]&gt;30,24000,pogoda48[[#This Row],[temperatura_srednia]]&gt;15,12000)</f>
        <v>0</v>
      </c>
      <c r="J38">
        <f>IF(pogoda48[[#This Row],[stan_po_dolaniu]]&lt;pogoda48[[#This Row],[ile_podlewamy]],$AB$2-pogoda48[[#This Row],[stan_po_dolaniu]],0)</f>
        <v>0</v>
      </c>
      <c r="K38">
        <f>pogoda48[[#This Row],[stan_po_dolaniu]]+pogoda48[[#This Row],[ile_dolać_do_podlania]]</f>
        <v>12795</v>
      </c>
      <c r="L38">
        <f>pogoda48[[#This Row],[stan_po_dolaniu_do_podlania]]-pogoda48[[#This Row],[ile_podlewamy]]</f>
        <v>12795</v>
      </c>
      <c r="M38">
        <f>IF(pogoda48[[#This Row],[temperatura_srednia]]&lt;=15,1,0)</f>
        <v>1</v>
      </c>
      <c r="N38">
        <f>IF(AND(pogoda48[[#This Row],[temperatura_srednia]]&gt;15,pogoda48[[#This Row],[opady]]&lt;=0.61),1,0)</f>
        <v>0</v>
      </c>
      <c r="O38">
        <f>IF(AND(pogoda48[[#This Row],[temperatura_srednia]]&gt;15,pogoda48[[#This Row],[opady]]&gt;0.61),1,0)</f>
        <v>0</v>
      </c>
    </row>
    <row r="39" spans="1:15" x14ac:dyDescent="0.25">
      <c r="A39" s="2">
        <v>42132</v>
      </c>
      <c r="B39">
        <v>10</v>
      </c>
      <c r="C39">
        <v>0</v>
      </c>
      <c r="D39">
        <f t="shared" si="0"/>
        <v>12795</v>
      </c>
      <c r="E39">
        <f>IF(C39=0,ROUNDUP($AB$3*POWER(pogoda48[[#This Row],[temperatura_srednia]],1.5)*pogoda48[[#This Row],[stan_przed_dolaniem]],0),0)</f>
        <v>122</v>
      </c>
      <c r="F39">
        <f>pogoda48[[#This Row],[stan_przed_dolaniem]]-pogoda48[[#This Row],[ubytek]]</f>
        <v>12673</v>
      </c>
      <c r="G39">
        <f>IF(pogoda48[[#This Row],[opady]]*$AB$1+D39&gt;$AB$2,$AB$2-pogoda48[[#This Row],[stan_przed_dolaniem]],pogoda48[[#This Row],[opady]]*$AB$1)</f>
        <v>0</v>
      </c>
      <c r="H39">
        <f>pogoda48[[#This Row],[stan_po_ubytku]]+pogoda48[[#This Row],[ile_pogoda_dolała]]</f>
        <v>12673</v>
      </c>
      <c r="I39" cm="1">
        <f t="array" ref="I39">_xlfn.IFS(OR(pogoda48[[#This Row],[temperatura_srednia]]&lt;=15,pogoda48[[#This Row],[opady]]&gt;0.61),0,pogoda48[[#This Row],[temperatura_srednia]]&gt;30,24000,pogoda48[[#This Row],[temperatura_srednia]]&gt;15,12000)</f>
        <v>0</v>
      </c>
      <c r="J39">
        <f>IF(pogoda48[[#This Row],[stan_po_dolaniu]]&lt;pogoda48[[#This Row],[ile_podlewamy]],$AB$2-pogoda48[[#This Row],[stan_po_dolaniu]],0)</f>
        <v>0</v>
      </c>
      <c r="K39">
        <f>pogoda48[[#This Row],[stan_po_dolaniu]]+pogoda48[[#This Row],[ile_dolać_do_podlania]]</f>
        <v>12673</v>
      </c>
      <c r="L39">
        <f>pogoda48[[#This Row],[stan_po_dolaniu_do_podlania]]-pogoda48[[#This Row],[ile_podlewamy]]</f>
        <v>12673</v>
      </c>
      <c r="M39">
        <f>IF(pogoda48[[#This Row],[temperatura_srednia]]&lt;=15,1,0)</f>
        <v>1</v>
      </c>
      <c r="N39">
        <f>IF(AND(pogoda48[[#This Row],[temperatura_srednia]]&gt;15,pogoda48[[#This Row],[opady]]&lt;=0.61),1,0)</f>
        <v>0</v>
      </c>
      <c r="O39">
        <f>IF(AND(pogoda48[[#This Row],[temperatura_srednia]]&gt;15,pogoda48[[#This Row],[opady]]&gt;0.61),1,0)</f>
        <v>0</v>
      </c>
    </row>
    <row r="40" spans="1:15" x14ac:dyDescent="0.25">
      <c r="A40" s="2">
        <v>42133</v>
      </c>
      <c r="B40">
        <v>14</v>
      </c>
      <c r="C40">
        <v>0.3</v>
      </c>
      <c r="D40">
        <f t="shared" si="0"/>
        <v>12673</v>
      </c>
      <c r="E40">
        <f>IF(C40=0,ROUNDUP($AB$3*POWER(pogoda48[[#This Row],[temperatura_srednia]],1.5)*pogoda48[[#This Row],[stan_przed_dolaniem]],0),0)</f>
        <v>0</v>
      </c>
      <c r="F40">
        <f>pogoda48[[#This Row],[stan_przed_dolaniem]]-pogoda48[[#This Row],[ubytek]]</f>
        <v>12673</v>
      </c>
      <c r="G40">
        <f>IF(pogoda48[[#This Row],[opady]]*$AB$1+D40&gt;$AB$2,$AB$2-pogoda48[[#This Row],[stan_przed_dolaniem]],pogoda48[[#This Row],[opady]]*$AB$1)</f>
        <v>210</v>
      </c>
      <c r="H40">
        <f>pogoda48[[#This Row],[stan_po_ubytku]]+pogoda48[[#This Row],[ile_pogoda_dolała]]</f>
        <v>12883</v>
      </c>
      <c r="I40" cm="1">
        <f t="array" ref="I40">_xlfn.IFS(OR(pogoda48[[#This Row],[temperatura_srednia]]&lt;=15,pogoda48[[#This Row],[opady]]&gt;0.61),0,pogoda48[[#This Row],[temperatura_srednia]]&gt;30,24000,pogoda48[[#This Row],[temperatura_srednia]]&gt;15,12000)</f>
        <v>0</v>
      </c>
      <c r="J40">
        <f>IF(pogoda48[[#This Row],[stan_po_dolaniu]]&lt;pogoda48[[#This Row],[ile_podlewamy]],$AB$2-pogoda48[[#This Row],[stan_po_dolaniu]],0)</f>
        <v>0</v>
      </c>
      <c r="K40">
        <f>pogoda48[[#This Row],[stan_po_dolaniu]]+pogoda48[[#This Row],[ile_dolać_do_podlania]]</f>
        <v>12883</v>
      </c>
      <c r="L40">
        <f>pogoda48[[#This Row],[stan_po_dolaniu_do_podlania]]-pogoda48[[#This Row],[ile_podlewamy]]</f>
        <v>12883</v>
      </c>
      <c r="M40">
        <f>IF(pogoda48[[#This Row],[temperatura_srednia]]&lt;=15,1,0)</f>
        <v>1</v>
      </c>
      <c r="N40">
        <f>IF(AND(pogoda48[[#This Row],[temperatura_srednia]]&gt;15,pogoda48[[#This Row],[opady]]&lt;=0.61),1,0)</f>
        <v>0</v>
      </c>
      <c r="O40">
        <f>IF(AND(pogoda48[[#This Row],[temperatura_srednia]]&gt;15,pogoda48[[#This Row],[opady]]&gt;0.61),1,0)</f>
        <v>0</v>
      </c>
    </row>
    <row r="41" spans="1:15" x14ac:dyDescent="0.25">
      <c r="A41" s="2">
        <v>42134</v>
      </c>
      <c r="B41">
        <v>12</v>
      </c>
      <c r="C41">
        <v>0.1</v>
      </c>
      <c r="D41">
        <f t="shared" si="0"/>
        <v>12883</v>
      </c>
      <c r="E41">
        <f>IF(C41=0,ROUNDUP($AB$3*POWER(pogoda48[[#This Row],[temperatura_srednia]],1.5)*pogoda48[[#This Row],[stan_przed_dolaniem]],0),0)</f>
        <v>0</v>
      </c>
      <c r="F41">
        <f>pogoda48[[#This Row],[stan_przed_dolaniem]]-pogoda48[[#This Row],[ubytek]]</f>
        <v>12883</v>
      </c>
      <c r="G41">
        <f>IF(pogoda48[[#This Row],[opady]]*$AB$1+D41&gt;$AB$2,$AB$2-pogoda48[[#This Row],[stan_przed_dolaniem]],pogoda48[[#This Row],[opady]]*$AB$1)</f>
        <v>70</v>
      </c>
      <c r="H41">
        <f>pogoda48[[#This Row],[stan_po_ubytku]]+pogoda48[[#This Row],[ile_pogoda_dolała]]</f>
        <v>12953</v>
      </c>
      <c r="I41" cm="1">
        <f t="array" ref="I41">_xlfn.IFS(OR(pogoda48[[#This Row],[temperatura_srednia]]&lt;=15,pogoda48[[#This Row],[opady]]&gt;0.61),0,pogoda48[[#This Row],[temperatura_srednia]]&gt;30,24000,pogoda48[[#This Row],[temperatura_srednia]]&gt;15,12000)</f>
        <v>0</v>
      </c>
      <c r="J41">
        <f>IF(pogoda48[[#This Row],[stan_po_dolaniu]]&lt;pogoda48[[#This Row],[ile_podlewamy]],$AB$2-pogoda48[[#This Row],[stan_po_dolaniu]],0)</f>
        <v>0</v>
      </c>
      <c r="K41">
        <f>pogoda48[[#This Row],[stan_po_dolaniu]]+pogoda48[[#This Row],[ile_dolać_do_podlania]]</f>
        <v>12953</v>
      </c>
      <c r="L41">
        <f>pogoda48[[#This Row],[stan_po_dolaniu_do_podlania]]-pogoda48[[#This Row],[ile_podlewamy]]</f>
        <v>12953</v>
      </c>
      <c r="M41">
        <f>IF(pogoda48[[#This Row],[temperatura_srednia]]&lt;=15,1,0)</f>
        <v>1</v>
      </c>
      <c r="N41">
        <f>IF(AND(pogoda48[[#This Row],[temperatura_srednia]]&gt;15,pogoda48[[#This Row],[opady]]&lt;=0.61),1,0)</f>
        <v>0</v>
      </c>
      <c r="O41">
        <f>IF(AND(pogoda48[[#This Row],[temperatura_srednia]]&gt;15,pogoda48[[#This Row],[opady]]&gt;0.61),1,0)</f>
        <v>0</v>
      </c>
    </row>
    <row r="42" spans="1:15" x14ac:dyDescent="0.25">
      <c r="A42" s="2">
        <v>42135</v>
      </c>
      <c r="B42">
        <v>11</v>
      </c>
      <c r="C42">
        <v>0</v>
      </c>
      <c r="D42">
        <f t="shared" si="0"/>
        <v>12953</v>
      </c>
      <c r="E42">
        <f>IF(C42=0,ROUNDUP($AB$3*POWER(pogoda48[[#This Row],[temperatura_srednia]],1.5)*pogoda48[[#This Row],[stan_przed_dolaniem]],0),0)</f>
        <v>142</v>
      </c>
      <c r="F42">
        <f>pogoda48[[#This Row],[stan_przed_dolaniem]]-pogoda48[[#This Row],[ubytek]]</f>
        <v>12811</v>
      </c>
      <c r="G42">
        <f>IF(pogoda48[[#This Row],[opady]]*$AB$1+D42&gt;$AB$2,$AB$2-pogoda48[[#This Row],[stan_przed_dolaniem]],pogoda48[[#This Row],[opady]]*$AB$1)</f>
        <v>0</v>
      </c>
      <c r="H42">
        <f>pogoda48[[#This Row],[stan_po_ubytku]]+pogoda48[[#This Row],[ile_pogoda_dolała]]</f>
        <v>12811</v>
      </c>
      <c r="I42" cm="1">
        <f t="array" ref="I42">_xlfn.IFS(OR(pogoda48[[#This Row],[temperatura_srednia]]&lt;=15,pogoda48[[#This Row],[opady]]&gt;0.61),0,pogoda48[[#This Row],[temperatura_srednia]]&gt;30,24000,pogoda48[[#This Row],[temperatura_srednia]]&gt;15,12000)</f>
        <v>0</v>
      </c>
      <c r="J42">
        <f>IF(pogoda48[[#This Row],[stan_po_dolaniu]]&lt;pogoda48[[#This Row],[ile_podlewamy]],$AB$2-pogoda48[[#This Row],[stan_po_dolaniu]],0)</f>
        <v>0</v>
      </c>
      <c r="K42">
        <f>pogoda48[[#This Row],[stan_po_dolaniu]]+pogoda48[[#This Row],[ile_dolać_do_podlania]]</f>
        <v>12811</v>
      </c>
      <c r="L42">
        <f>pogoda48[[#This Row],[stan_po_dolaniu_do_podlania]]-pogoda48[[#This Row],[ile_podlewamy]]</f>
        <v>12811</v>
      </c>
      <c r="M42">
        <f>IF(pogoda48[[#This Row],[temperatura_srednia]]&lt;=15,1,0)</f>
        <v>1</v>
      </c>
      <c r="N42">
        <f>IF(AND(pogoda48[[#This Row],[temperatura_srednia]]&gt;15,pogoda48[[#This Row],[opady]]&lt;=0.61),1,0)</f>
        <v>0</v>
      </c>
      <c r="O42">
        <f>IF(AND(pogoda48[[#This Row],[temperatura_srednia]]&gt;15,pogoda48[[#This Row],[opady]]&gt;0.61),1,0)</f>
        <v>0</v>
      </c>
    </row>
    <row r="43" spans="1:15" x14ac:dyDescent="0.25">
      <c r="A43" s="2">
        <v>42136</v>
      </c>
      <c r="B43">
        <v>16</v>
      </c>
      <c r="C43">
        <v>3</v>
      </c>
      <c r="D43">
        <f t="shared" si="0"/>
        <v>12811</v>
      </c>
      <c r="E43">
        <f>IF(C43=0,ROUNDUP($AB$3*POWER(pogoda48[[#This Row],[temperatura_srednia]],1.5)*pogoda48[[#This Row],[stan_przed_dolaniem]],0),0)</f>
        <v>0</v>
      </c>
      <c r="F43">
        <f>pogoda48[[#This Row],[stan_przed_dolaniem]]-pogoda48[[#This Row],[ubytek]]</f>
        <v>12811</v>
      </c>
      <c r="G43">
        <f>IF(pogoda48[[#This Row],[opady]]*$AB$1+D43&gt;$AB$2,$AB$2-pogoda48[[#This Row],[stan_przed_dolaniem]],pogoda48[[#This Row],[opady]]*$AB$1)</f>
        <v>2100</v>
      </c>
      <c r="H43">
        <f>pogoda48[[#This Row],[stan_po_ubytku]]+pogoda48[[#This Row],[ile_pogoda_dolała]]</f>
        <v>14911</v>
      </c>
      <c r="I43" cm="1">
        <f t="array" ref="I43">_xlfn.IFS(OR(pogoda48[[#This Row],[temperatura_srednia]]&lt;=15,pogoda48[[#This Row],[opady]]&gt;0.61),0,pogoda48[[#This Row],[temperatura_srednia]]&gt;30,24000,pogoda48[[#This Row],[temperatura_srednia]]&gt;15,12000)</f>
        <v>0</v>
      </c>
      <c r="J43">
        <f>IF(pogoda48[[#This Row],[stan_po_dolaniu]]&lt;pogoda48[[#This Row],[ile_podlewamy]],$AB$2-pogoda48[[#This Row],[stan_po_dolaniu]],0)</f>
        <v>0</v>
      </c>
      <c r="K43">
        <f>pogoda48[[#This Row],[stan_po_dolaniu]]+pogoda48[[#This Row],[ile_dolać_do_podlania]]</f>
        <v>14911</v>
      </c>
      <c r="L43">
        <f>pogoda48[[#This Row],[stan_po_dolaniu_do_podlania]]-pogoda48[[#This Row],[ile_podlewamy]]</f>
        <v>14911</v>
      </c>
      <c r="M43">
        <f>IF(pogoda48[[#This Row],[temperatura_srednia]]&lt;=15,1,0)</f>
        <v>0</v>
      </c>
      <c r="N43">
        <f>IF(AND(pogoda48[[#This Row],[temperatura_srednia]]&gt;15,pogoda48[[#This Row],[opady]]&lt;=0.61),1,0)</f>
        <v>0</v>
      </c>
      <c r="O43">
        <f>IF(AND(pogoda48[[#This Row],[temperatura_srednia]]&gt;15,pogoda48[[#This Row],[opady]]&gt;0.61),1,0)</f>
        <v>1</v>
      </c>
    </row>
    <row r="44" spans="1:15" x14ac:dyDescent="0.25">
      <c r="A44" s="2">
        <v>42137</v>
      </c>
      <c r="B44">
        <v>12</v>
      </c>
      <c r="C44">
        <v>0</v>
      </c>
      <c r="D44">
        <f t="shared" si="0"/>
        <v>14911</v>
      </c>
      <c r="E44">
        <f>IF(C44=0,ROUNDUP($AB$3*POWER(pogoda48[[#This Row],[temperatura_srednia]],1.5)*pogoda48[[#This Row],[stan_przed_dolaniem]],0),0)</f>
        <v>186</v>
      </c>
      <c r="F44">
        <f>pogoda48[[#This Row],[stan_przed_dolaniem]]-pogoda48[[#This Row],[ubytek]]</f>
        <v>14725</v>
      </c>
      <c r="G44">
        <f>IF(pogoda48[[#This Row],[opady]]*$AB$1+D44&gt;$AB$2,$AB$2-pogoda48[[#This Row],[stan_przed_dolaniem]],pogoda48[[#This Row],[opady]]*$AB$1)</f>
        <v>0</v>
      </c>
      <c r="H44">
        <f>pogoda48[[#This Row],[stan_po_ubytku]]+pogoda48[[#This Row],[ile_pogoda_dolała]]</f>
        <v>14725</v>
      </c>
      <c r="I44" cm="1">
        <f t="array" ref="I44">_xlfn.IFS(OR(pogoda48[[#This Row],[temperatura_srednia]]&lt;=15,pogoda48[[#This Row],[opady]]&gt;0.61),0,pogoda48[[#This Row],[temperatura_srednia]]&gt;30,24000,pogoda48[[#This Row],[temperatura_srednia]]&gt;15,12000)</f>
        <v>0</v>
      </c>
      <c r="J44">
        <f>IF(pogoda48[[#This Row],[stan_po_dolaniu]]&lt;pogoda48[[#This Row],[ile_podlewamy]],$AB$2-pogoda48[[#This Row],[stan_po_dolaniu]],0)</f>
        <v>0</v>
      </c>
      <c r="K44">
        <f>pogoda48[[#This Row],[stan_po_dolaniu]]+pogoda48[[#This Row],[ile_dolać_do_podlania]]</f>
        <v>14725</v>
      </c>
      <c r="L44">
        <f>pogoda48[[#This Row],[stan_po_dolaniu_do_podlania]]-pogoda48[[#This Row],[ile_podlewamy]]</f>
        <v>14725</v>
      </c>
      <c r="M44">
        <f>IF(pogoda48[[#This Row],[temperatura_srednia]]&lt;=15,1,0)</f>
        <v>1</v>
      </c>
      <c r="N44">
        <f>IF(AND(pogoda48[[#This Row],[temperatura_srednia]]&gt;15,pogoda48[[#This Row],[opady]]&lt;=0.61),1,0)</f>
        <v>0</v>
      </c>
      <c r="O44">
        <f>IF(AND(pogoda48[[#This Row],[temperatura_srednia]]&gt;15,pogoda48[[#This Row],[opady]]&gt;0.61),1,0)</f>
        <v>0</v>
      </c>
    </row>
    <row r="45" spans="1:15" x14ac:dyDescent="0.25">
      <c r="A45" s="2">
        <v>42138</v>
      </c>
      <c r="B45">
        <v>10</v>
      </c>
      <c r="C45">
        <v>0</v>
      </c>
      <c r="D45">
        <f t="shared" si="0"/>
        <v>14725</v>
      </c>
      <c r="E45">
        <f>IF(C45=0,ROUNDUP($AB$3*POWER(pogoda48[[#This Row],[temperatura_srednia]],1.5)*pogoda48[[#This Row],[stan_przed_dolaniem]],0),0)</f>
        <v>140</v>
      </c>
      <c r="F45">
        <f>pogoda48[[#This Row],[stan_przed_dolaniem]]-pogoda48[[#This Row],[ubytek]]</f>
        <v>14585</v>
      </c>
      <c r="G45">
        <f>IF(pogoda48[[#This Row],[opady]]*$AB$1+D45&gt;$AB$2,$AB$2-pogoda48[[#This Row],[stan_przed_dolaniem]],pogoda48[[#This Row],[opady]]*$AB$1)</f>
        <v>0</v>
      </c>
      <c r="H45">
        <f>pogoda48[[#This Row],[stan_po_ubytku]]+pogoda48[[#This Row],[ile_pogoda_dolała]]</f>
        <v>14585</v>
      </c>
      <c r="I45" cm="1">
        <f t="array" ref="I45">_xlfn.IFS(OR(pogoda48[[#This Row],[temperatura_srednia]]&lt;=15,pogoda48[[#This Row],[opady]]&gt;0.61),0,pogoda48[[#This Row],[temperatura_srednia]]&gt;30,24000,pogoda48[[#This Row],[temperatura_srednia]]&gt;15,12000)</f>
        <v>0</v>
      </c>
      <c r="J45">
        <f>IF(pogoda48[[#This Row],[stan_po_dolaniu]]&lt;pogoda48[[#This Row],[ile_podlewamy]],$AB$2-pogoda48[[#This Row],[stan_po_dolaniu]],0)</f>
        <v>0</v>
      </c>
      <c r="K45">
        <f>pogoda48[[#This Row],[stan_po_dolaniu]]+pogoda48[[#This Row],[ile_dolać_do_podlania]]</f>
        <v>14585</v>
      </c>
      <c r="L45">
        <f>pogoda48[[#This Row],[stan_po_dolaniu_do_podlania]]-pogoda48[[#This Row],[ile_podlewamy]]</f>
        <v>14585</v>
      </c>
      <c r="M45">
        <f>IF(pogoda48[[#This Row],[temperatura_srednia]]&lt;=15,1,0)</f>
        <v>1</v>
      </c>
      <c r="N45">
        <f>IF(AND(pogoda48[[#This Row],[temperatura_srednia]]&gt;15,pogoda48[[#This Row],[opady]]&lt;=0.61),1,0)</f>
        <v>0</v>
      </c>
      <c r="O45">
        <f>IF(AND(pogoda48[[#This Row],[temperatura_srednia]]&gt;15,pogoda48[[#This Row],[opady]]&gt;0.61),1,0)</f>
        <v>0</v>
      </c>
    </row>
    <row r="46" spans="1:15" x14ac:dyDescent="0.25">
      <c r="A46" s="2">
        <v>42139</v>
      </c>
      <c r="B46">
        <v>12</v>
      </c>
      <c r="C46">
        <v>0</v>
      </c>
      <c r="D46">
        <f t="shared" si="0"/>
        <v>14585</v>
      </c>
      <c r="E46">
        <f>IF(C46=0,ROUNDUP($AB$3*POWER(pogoda48[[#This Row],[temperatura_srednia]],1.5)*pogoda48[[#This Row],[stan_przed_dolaniem]],0),0)</f>
        <v>182</v>
      </c>
      <c r="F46">
        <f>pogoda48[[#This Row],[stan_przed_dolaniem]]-pogoda48[[#This Row],[ubytek]]</f>
        <v>14403</v>
      </c>
      <c r="G46">
        <f>IF(pogoda48[[#This Row],[opady]]*$AB$1+D46&gt;$AB$2,$AB$2-pogoda48[[#This Row],[stan_przed_dolaniem]],pogoda48[[#This Row],[opady]]*$AB$1)</f>
        <v>0</v>
      </c>
      <c r="H46">
        <f>pogoda48[[#This Row],[stan_po_ubytku]]+pogoda48[[#This Row],[ile_pogoda_dolała]]</f>
        <v>14403</v>
      </c>
      <c r="I46" cm="1">
        <f t="array" ref="I46">_xlfn.IFS(OR(pogoda48[[#This Row],[temperatura_srednia]]&lt;=15,pogoda48[[#This Row],[opady]]&gt;0.61),0,pogoda48[[#This Row],[temperatura_srednia]]&gt;30,24000,pogoda48[[#This Row],[temperatura_srednia]]&gt;15,12000)</f>
        <v>0</v>
      </c>
      <c r="J46">
        <f>IF(pogoda48[[#This Row],[stan_po_dolaniu]]&lt;pogoda48[[#This Row],[ile_podlewamy]],$AB$2-pogoda48[[#This Row],[stan_po_dolaniu]],0)</f>
        <v>0</v>
      </c>
      <c r="K46">
        <f>pogoda48[[#This Row],[stan_po_dolaniu]]+pogoda48[[#This Row],[ile_dolać_do_podlania]]</f>
        <v>14403</v>
      </c>
      <c r="L46">
        <f>pogoda48[[#This Row],[stan_po_dolaniu_do_podlania]]-pogoda48[[#This Row],[ile_podlewamy]]</f>
        <v>14403</v>
      </c>
      <c r="M46">
        <f>IF(pogoda48[[#This Row],[temperatura_srednia]]&lt;=15,1,0)</f>
        <v>1</v>
      </c>
      <c r="N46">
        <f>IF(AND(pogoda48[[#This Row],[temperatura_srednia]]&gt;15,pogoda48[[#This Row],[opady]]&lt;=0.61),1,0)</f>
        <v>0</v>
      </c>
      <c r="O46">
        <f>IF(AND(pogoda48[[#This Row],[temperatura_srednia]]&gt;15,pogoda48[[#This Row],[opady]]&gt;0.61),1,0)</f>
        <v>0</v>
      </c>
    </row>
    <row r="47" spans="1:15" x14ac:dyDescent="0.25">
      <c r="A47" s="2">
        <v>42140</v>
      </c>
      <c r="B47">
        <v>10</v>
      </c>
      <c r="C47">
        <v>1.8</v>
      </c>
      <c r="D47">
        <f t="shared" si="0"/>
        <v>14403</v>
      </c>
      <c r="E47">
        <f>IF(C47=0,ROUNDUP($AB$3*POWER(pogoda48[[#This Row],[temperatura_srednia]],1.5)*pogoda48[[#This Row],[stan_przed_dolaniem]],0),0)</f>
        <v>0</v>
      </c>
      <c r="F47">
        <f>pogoda48[[#This Row],[stan_przed_dolaniem]]-pogoda48[[#This Row],[ubytek]]</f>
        <v>14403</v>
      </c>
      <c r="G47">
        <f>IF(pogoda48[[#This Row],[opady]]*$AB$1+D47&gt;$AB$2,$AB$2-pogoda48[[#This Row],[stan_przed_dolaniem]],pogoda48[[#This Row],[opady]]*$AB$1)</f>
        <v>1260</v>
      </c>
      <c r="H47">
        <f>pogoda48[[#This Row],[stan_po_ubytku]]+pogoda48[[#This Row],[ile_pogoda_dolała]]</f>
        <v>15663</v>
      </c>
      <c r="I47" cm="1">
        <f t="array" ref="I47">_xlfn.IFS(OR(pogoda48[[#This Row],[temperatura_srednia]]&lt;=15,pogoda48[[#This Row],[opady]]&gt;0.61),0,pogoda48[[#This Row],[temperatura_srednia]]&gt;30,24000,pogoda48[[#This Row],[temperatura_srednia]]&gt;15,12000)</f>
        <v>0</v>
      </c>
      <c r="J47">
        <f>IF(pogoda48[[#This Row],[stan_po_dolaniu]]&lt;pogoda48[[#This Row],[ile_podlewamy]],$AB$2-pogoda48[[#This Row],[stan_po_dolaniu]],0)</f>
        <v>0</v>
      </c>
      <c r="K47">
        <f>pogoda48[[#This Row],[stan_po_dolaniu]]+pogoda48[[#This Row],[ile_dolać_do_podlania]]</f>
        <v>15663</v>
      </c>
      <c r="L47">
        <f>pogoda48[[#This Row],[stan_po_dolaniu_do_podlania]]-pogoda48[[#This Row],[ile_podlewamy]]</f>
        <v>15663</v>
      </c>
      <c r="M47">
        <f>IF(pogoda48[[#This Row],[temperatura_srednia]]&lt;=15,1,0)</f>
        <v>1</v>
      </c>
      <c r="N47">
        <f>IF(AND(pogoda48[[#This Row],[temperatura_srednia]]&gt;15,pogoda48[[#This Row],[opady]]&lt;=0.61),1,0)</f>
        <v>0</v>
      </c>
      <c r="O47">
        <f>IF(AND(pogoda48[[#This Row],[temperatura_srednia]]&gt;15,pogoda48[[#This Row],[opady]]&gt;0.61),1,0)</f>
        <v>0</v>
      </c>
    </row>
    <row r="48" spans="1:15" x14ac:dyDescent="0.25">
      <c r="A48" s="2">
        <v>42141</v>
      </c>
      <c r="B48">
        <v>11</v>
      </c>
      <c r="C48">
        <v>2.8</v>
      </c>
      <c r="D48">
        <f t="shared" si="0"/>
        <v>15663</v>
      </c>
      <c r="E48">
        <f>IF(C48=0,ROUNDUP($AB$3*POWER(pogoda48[[#This Row],[temperatura_srednia]],1.5)*pogoda48[[#This Row],[stan_przed_dolaniem]],0),0)</f>
        <v>0</v>
      </c>
      <c r="F48">
        <f>pogoda48[[#This Row],[stan_przed_dolaniem]]-pogoda48[[#This Row],[ubytek]]</f>
        <v>15663</v>
      </c>
      <c r="G48">
        <f>IF(pogoda48[[#This Row],[opady]]*$AB$1+D48&gt;$AB$2,$AB$2-pogoda48[[#This Row],[stan_przed_dolaniem]],pogoda48[[#This Row],[opady]]*$AB$1)</f>
        <v>1959.9999999999998</v>
      </c>
      <c r="H48">
        <f>pogoda48[[#This Row],[stan_po_ubytku]]+pogoda48[[#This Row],[ile_pogoda_dolała]]</f>
        <v>17623</v>
      </c>
      <c r="I48" cm="1">
        <f t="array" ref="I48">_xlfn.IFS(OR(pogoda48[[#This Row],[temperatura_srednia]]&lt;=15,pogoda48[[#This Row],[opady]]&gt;0.61),0,pogoda48[[#This Row],[temperatura_srednia]]&gt;30,24000,pogoda48[[#This Row],[temperatura_srednia]]&gt;15,12000)</f>
        <v>0</v>
      </c>
      <c r="J48">
        <f>IF(pogoda48[[#This Row],[stan_po_dolaniu]]&lt;pogoda48[[#This Row],[ile_podlewamy]],$AB$2-pogoda48[[#This Row],[stan_po_dolaniu]],0)</f>
        <v>0</v>
      </c>
      <c r="K48">
        <f>pogoda48[[#This Row],[stan_po_dolaniu]]+pogoda48[[#This Row],[ile_dolać_do_podlania]]</f>
        <v>17623</v>
      </c>
      <c r="L48">
        <f>pogoda48[[#This Row],[stan_po_dolaniu_do_podlania]]-pogoda48[[#This Row],[ile_podlewamy]]</f>
        <v>17623</v>
      </c>
      <c r="M48">
        <f>IF(pogoda48[[#This Row],[temperatura_srednia]]&lt;=15,1,0)</f>
        <v>1</v>
      </c>
      <c r="N48">
        <f>IF(AND(pogoda48[[#This Row],[temperatura_srednia]]&gt;15,pogoda48[[#This Row],[opady]]&lt;=0.61),1,0)</f>
        <v>0</v>
      </c>
      <c r="O48">
        <f>IF(AND(pogoda48[[#This Row],[temperatura_srednia]]&gt;15,pogoda48[[#This Row],[opady]]&gt;0.61),1,0)</f>
        <v>0</v>
      </c>
    </row>
    <row r="49" spans="1:15" x14ac:dyDescent="0.25">
      <c r="A49" s="2">
        <v>42142</v>
      </c>
      <c r="B49">
        <v>12</v>
      </c>
      <c r="C49">
        <v>1.9</v>
      </c>
      <c r="D49">
        <f t="shared" si="0"/>
        <v>17623</v>
      </c>
      <c r="E49">
        <f>IF(C49=0,ROUNDUP($AB$3*POWER(pogoda48[[#This Row],[temperatura_srednia]],1.5)*pogoda48[[#This Row],[stan_przed_dolaniem]],0),0)</f>
        <v>0</v>
      </c>
      <c r="F49">
        <f>pogoda48[[#This Row],[stan_przed_dolaniem]]-pogoda48[[#This Row],[ubytek]]</f>
        <v>17623</v>
      </c>
      <c r="G49">
        <f>IF(pogoda48[[#This Row],[opady]]*$AB$1+D49&gt;$AB$2,$AB$2-pogoda48[[#This Row],[stan_przed_dolaniem]],pogoda48[[#This Row],[opady]]*$AB$1)</f>
        <v>1330</v>
      </c>
      <c r="H49">
        <f>pogoda48[[#This Row],[stan_po_ubytku]]+pogoda48[[#This Row],[ile_pogoda_dolała]]</f>
        <v>18953</v>
      </c>
      <c r="I49" cm="1">
        <f t="array" ref="I49">_xlfn.IFS(OR(pogoda48[[#This Row],[temperatura_srednia]]&lt;=15,pogoda48[[#This Row],[opady]]&gt;0.61),0,pogoda48[[#This Row],[temperatura_srednia]]&gt;30,24000,pogoda48[[#This Row],[temperatura_srednia]]&gt;15,12000)</f>
        <v>0</v>
      </c>
      <c r="J49">
        <f>IF(pogoda48[[#This Row],[stan_po_dolaniu]]&lt;pogoda48[[#This Row],[ile_podlewamy]],$AB$2-pogoda48[[#This Row],[stan_po_dolaniu]],0)</f>
        <v>0</v>
      </c>
      <c r="K49">
        <f>pogoda48[[#This Row],[stan_po_dolaniu]]+pogoda48[[#This Row],[ile_dolać_do_podlania]]</f>
        <v>18953</v>
      </c>
      <c r="L49">
        <f>pogoda48[[#This Row],[stan_po_dolaniu_do_podlania]]-pogoda48[[#This Row],[ile_podlewamy]]</f>
        <v>18953</v>
      </c>
      <c r="M49">
        <f>IF(pogoda48[[#This Row],[temperatura_srednia]]&lt;=15,1,0)</f>
        <v>1</v>
      </c>
      <c r="N49">
        <f>IF(AND(pogoda48[[#This Row],[temperatura_srednia]]&gt;15,pogoda48[[#This Row],[opady]]&lt;=0.61),1,0)</f>
        <v>0</v>
      </c>
      <c r="O49">
        <f>IF(AND(pogoda48[[#This Row],[temperatura_srednia]]&gt;15,pogoda48[[#This Row],[opady]]&gt;0.61),1,0)</f>
        <v>0</v>
      </c>
    </row>
    <row r="50" spans="1:15" x14ac:dyDescent="0.25">
      <c r="A50" s="2">
        <v>42143</v>
      </c>
      <c r="B50">
        <v>16</v>
      </c>
      <c r="C50">
        <v>2.2000000000000002</v>
      </c>
      <c r="D50">
        <f t="shared" si="0"/>
        <v>18953</v>
      </c>
      <c r="E50">
        <f>IF(C50=0,ROUNDUP($AB$3*POWER(pogoda48[[#This Row],[temperatura_srednia]],1.5)*pogoda48[[#This Row],[stan_przed_dolaniem]],0),0)</f>
        <v>0</v>
      </c>
      <c r="F50">
        <f>pogoda48[[#This Row],[stan_przed_dolaniem]]-pogoda48[[#This Row],[ubytek]]</f>
        <v>18953</v>
      </c>
      <c r="G50">
        <f>IF(pogoda48[[#This Row],[opady]]*$AB$1+D50&gt;$AB$2,$AB$2-pogoda48[[#This Row],[stan_przed_dolaniem]],pogoda48[[#This Row],[opady]]*$AB$1)</f>
        <v>1540.0000000000002</v>
      </c>
      <c r="H50">
        <f>pogoda48[[#This Row],[stan_po_ubytku]]+pogoda48[[#This Row],[ile_pogoda_dolała]]</f>
        <v>20493</v>
      </c>
      <c r="I50" cm="1">
        <f t="array" ref="I50">_xlfn.IFS(OR(pogoda48[[#This Row],[temperatura_srednia]]&lt;=15,pogoda48[[#This Row],[opady]]&gt;0.61),0,pogoda48[[#This Row],[temperatura_srednia]]&gt;30,24000,pogoda48[[#This Row],[temperatura_srednia]]&gt;15,12000)</f>
        <v>0</v>
      </c>
      <c r="J50">
        <f>IF(pogoda48[[#This Row],[stan_po_dolaniu]]&lt;pogoda48[[#This Row],[ile_podlewamy]],$AB$2-pogoda48[[#This Row],[stan_po_dolaniu]],0)</f>
        <v>0</v>
      </c>
      <c r="K50">
        <f>pogoda48[[#This Row],[stan_po_dolaniu]]+pogoda48[[#This Row],[ile_dolać_do_podlania]]</f>
        <v>20493</v>
      </c>
      <c r="L50">
        <f>pogoda48[[#This Row],[stan_po_dolaniu_do_podlania]]-pogoda48[[#This Row],[ile_podlewamy]]</f>
        <v>20493</v>
      </c>
      <c r="M50">
        <f>IF(pogoda48[[#This Row],[temperatura_srednia]]&lt;=15,1,0)</f>
        <v>0</v>
      </c>
      <c r="N50">
        <f>IF(AND(pogoda48[[#This Row],[temperatura_srednia]]&gt;15,pogoda48[[#This Row],[opady]]&lt;=0.61),1,0)</f>
        <v>0</v>
      </c>
      <c r="O50">
        <f>IF(AND(pogoda48[[#This Row],[temperatura_srednia]]&gt;15,pogoda48[[#This Row],[opady]]&gt;0.61),1,0)</f>
        <v>1</v>
      </c>
    </row>
    <row r="51" spans="1:15" x14ac:dyDescent="0.25">
      <c r="A51" s="2">
        <v>42144</v>
      </c>
      <c r="B51">
        <v>13</v>
      </c>
      <c r="C51">
        <v>2.2999999999999998</v>
      </c>
      <c r="D51">
        <f t="shared" si="0"/>
        <v>20493</v>
      </c>
      <c r="E51">
        <f>IF(C51=0,ROUNDUP($AB$3*POWER(pogoda48[[#This Row],[temperatura_srednia]],1.5)*pogoda48[[#This Row],[stan_przed_dolaniem]],0),0)</f>
        <v>0</v>
      </c>
      <c r="F51">
        <f>pogoda48[[#This Row],[stan_przed_dolaniem]]-pogoda48[[#This Row],[ubytek]]</f>
        <v>20493</v>
      </c>
      <c r="G51">
        <f>IF(pogoda48[[#This Row],[opady]]*$AB$1+D51&gt;$AB$2,$AB$2-pogoda48[[#This Row],[stan_przed_dolaniem]],pogoda48[[#This Row],[opady]]*$AB$1)</f>
        <v>1609.9999999999998</v>
      </c>
      <c r="H51">
        <f>pogoda48[[#This Row],[stan_po_ubytku]]+pogoda48[[#This Row],[ile_pogoda_dolała]]</f>
        <v>22103</v>
      </c>
      <c r="I51" cm="1">
        <f t="array" ref="I51">_xlfn.IFS(OR(pogoda48[[#This Row],[temperatura_srednia]]&lt;=15,pogoda48[[#This Row],[opady]]&gt;0.61),0,pogoda48[[#This Row],[temperatura_srednia]]&gt;30,24000,pogoda48[[#This Row],[temperatura_srednia]]&gt;15,12000)</f>
        <v>0</v>
      </c>
      <c r="J51">
        <f>IF(pogoda48[[#This Row],[stan_po_dolaniu]]&lt;pogoda48[[#This Row],[ile_podlewamy]],$AB$2-pogoda48[[#This Row],[stan_po_dolaniu]],0)</f>
        <v>0</v>
      </c>
      <c r="K51">
        <f>pogoda48[[#This Row],[stan_po_dolaniu]]+pogoda48[[#This Row],[ile_dolać_do_podlania]]</f>
        <v>22103</v>
      </c>
      <c r="L51">
        <f>pogoda48[[#This Row],[stan_po_dolaniu_do_podlania]]-pogoda48[[#This Row],[ile_podlewamy]]</f>
        <v>22103</v>
      </c>
      <c r="M51">
        <f>IF(pogoda48[[#This Row],[temperatura_srednia]]&lt;=15,1,0)</f>
        <v>1</v>
      </c>
      <c r="N51">
        <f>IF(AND(pogoda48[[#This Row],[temperatura_srednia]]&gt;15,pogoda48[[#This Row],[opady]]&lt;=0.61),1,0)</f>
        <v>0</v>
      </c>
      <c r="O51">
        <f>IF(AND(pogoda48[[#This Row],[temperatura_srednia]]&gt;15,pogoda48[[#This Row],[opady]]&gt;0.61),1,0)</f>
        <v>0</v>
      </c>
    </row>
    <row r="52" spans="1:15" x14ac:dyDescent="0.25">
      <c r="A52" s="2">
        <v>42145</v>
      </c>
      <c r="B52">
        <v>11</v>
      </c>
      <c r="C52">
        <v>5.4</v>
      </c>
      <c r="D52">
        <f t="shared" si="0"/>
        <v>22103</v>
      </c>
      <c r="E52">
        <f>IF(C52=0,ROUNDUP($AB$3*POWER(pogoda48[[#This Row],[temperatura_srednia]],1.5)*pogoda48[[#This Row],[stan_przed_dolaniem]],0),0)</f>
        <v>0</v>
      </c>
      <c r="F52">
        <f>pogoda48[[#This Row],[stan_przed_dolaniem]]-pogoda48[[#This Row],[ubytek]]</f>
        <v>22103</v>
      </c>
      <c r="G52">
        <f>IF(pogoda48[[#This Row],[opady]]*$AB$1+D52&gt;$AB$2,$AB$2-pogoda48[[#This Row],[stan_przed_dolaniem]],pogoda48[[#This Row],[opady]]*$AB$1)</f>
        <v>2897</v>
      </c>
      <c r="H52">
        <f>pogoda48[[#This Row],[stan_po_ubytku]]+pogoda48[[#This Row],[ile_pogoda_dolała]]</f>
        <v>25000</v>
      </c>
      <c r="I52" cm="1">
        <f t="array" ref="I52">_xlfn.IFS(OR(pogoda48[[#This Row],[temperatura_srednia]]&lt;=15,pogoda48[[#This Row],[opady]]&gt;0.61),0,pogoda48[[#This Row],[temperatura_srednia]]&gt;30,24000,pogoda48[[#This Row],[temperatura_srednia]]&gt;15,12000)</f>
        <v>0</v>
      </c>
      <c r="J52">
        <f>IF(pogoda48[[#This Row],[stan_po_dolaniu]]&lt;pogoda48[[#This Row],[ile_podlewamy]],$AB$2-pogoda48[[#This Row],[stan_po_dolaniu]],0)</f>
        <v>0</v>
      </c>
      <c r="K52">
        <f>pogoda48[[#This Row],[stan_po_dolaniu]]+pogoda48[[#This Row],[ile_dolać_do_podlania]]</f>
        <v>25000</v>
      </c>
      <c r="L52">
        <f>pogoda48[[#This Row],[stan_po_dolaniu_do_podlania]]-pogoda48[[#This Row],[ile_podlewamy]]</f>
        <v>25000</v>
      </c>
      <c r="M52">
        <f>IF(pogoda48[[#This Row],[temperatura_srednia]]&lt;=15,1,0)</f>
        <v>1</v>
      </c>
      <c r="N52">
        <f>IF(AND(pogoda48[[#This Row],[temperatura_srednia]]&gt;15,pogoda48[[#This Row],[opady]]&lt;=0.61),1,0)</f>
        <v>0</v>
      </c>
      <c r="O52">
        <f>IF(AND(pogoda48[[#This Row],[temperatura_srednia]]&gt;15,pogoda48[[#This Row],[opady]]&gt;0.61),1,0)</f>
        <v>0</v>
      </c>
    </row>
    <row r="53" spans="1:15" x14ac:dyDescent="0.25">
      <c r="A53" s="2">
        <v>42146</v>
      </c>
      <c r="B53">
        <v>12</v>
      </c>
      <c r="C53">
        <v>5.5</v>
      </c>
      <c r="D53">
        <f t="shared" si="0"/>
        <v>25000</v>
      </c>
      <c r="E53">
        <f>IF(C53=0,ROUNDUP($AB$3*POWER(pogoda48[[#This Row],[temperatura_srednia]],1.5)*pogoda48[[#This Row],[stan_przed_dolaniem]],0),0)</f>
        <v>0</v>
      </c>
      <c r="F53">
        <f>pogoda48[[#This Row],[stan_przed_dolaniem]]-pogoda48[[#This Row],[ubytek]]</f>
        <v>25000</v>
      </c>
      <c r="G53">
        <f>IF(pogoda48[[#This Row],[opady]]*$AB$1+D53&gt;$AB$2,$AB$2-pogoda48[[#This Row],[stan_przed_dolaniem]],pogoda48[[#This Row],[opady]]*$AB$1)</f>
        <v>0</v>
      </c>
      <c r="H53">
        <f>pogoda48[[#This Row],[stan_po_ubytku]]+pogoda48[[#This Row],[ile_pogoda_dolała]]</f>
        <v>25000</v>
      </c>
      <c r="I53" cm="1">
        <f t="array" ref="I53">_xlfn.IFS(OR(pogoda48[[#This Row],[temperatura_srednia]]&lt;=15,pogoda48[[#This Row],[opady]]&gt;0.61),0,pogoda48[[#This Row],[temperatura_srednia]]&gt;30,24000,pogoda48[[#This Row],[temperatura_srednia]]&gt;15,12000)</f>
        <v>0</v>
      </c>
      <c r="J53">
        <f>IF(pogoda48[[#This Row],[stan_po_dolaniu]]&lt;pogoda48[[#This Row],[ile_podlewamy]],$AB$2-pogoda48[[#This Row],[stan_po_dolaniu]],0)</f>
        <v>0</v>
      </c>
      <c r="K53">
        <f>pogoda48[[#This Row],[stan_po_dolaniu]]+pogoda48[[#This Row],[ile_dolać_do_podlania]]</f>
        <v>25000</v>
      </c>
      <c r="L53">
        <f>pogoda48[[#This Row],[stan_po_dolaniu_do_podlania]]-pogoda48[[#This Row],[ile_podlewamy]]</f>
        <v>25000</v>
      </c>
      <c r="M53">
        <f>IF(pogoda48[[#This Row],[temperatura_srednia]]&lt;=15,1,0)</f>
        <v>1</v>
      </c>
      <c r="N53">
        <f>IF(AND(pogoda48[[#This Row],[temperatura_srednia]]&gt;15,pogoda48[[#This Row],[opady]]&lt;=0.61),1,0)</f>
        <v>0</v>
      </c>
      <c r="O53">
        <f>IF(AND(pogoda48[[#This Row],[temperatura_srednia]]&gt;15,pogoda48[[#This Row],[opady]]&gt;0.61),1,0)</f>
        <v>0</v>
      </c>
    </row>
    <row r="54" spans="1:15" x14ac:dyDescent="0.25">
      <c r="A54" s="2">
        <v>42147</v>
      </c>
      <c r="B54">
        <v>12</v>
      </c>
      <c r="C54">
        <v>5.2</v>
      </c>
      <c r="D54">
        <f t="shared" si="0"/>
        <v>25000</v>
      </c>
      <c r="E54">
        <f>IF(C54=0,ROUNDUP($AB$3*POWER(pogoda48[[#This Row],[temperatura_srednia]],1.5)*pogoda48[[#This Row],[stan_przed_dolaniem]],0),0)</f>
        <v>0</v>
      </c>
      <c r="F54">
        <f>pogoda48[[#This Row],[stan_przed_dolaniem]]-pogoda48[[#This Row],[ubytek]]</f>
        <v>25000</v>
      </c>
      <c r="G54">
        <f>IF(pogoda48[[#This Row],[opady]]*$AB$1+D54&gt;$AB$2,$AB$2-pogoda48[[#This Row],[stan_przed_dolaniem]],pogoda48[[#This Row],[opady]]*$AB$1)</f>
        <v>0</v>
      </c>
      <c r="H54">
        <f>pogoda48[[#This Row],[stan_po_ubytku]]+pogoda48[[#This Row],[ile_pogoda_dolała]]</f>
        <v>25000</v>
      </c>
      <c r="I54" cm="1">
        <f t="array" ref="I54">_xlfn.IFS(OR(pogoda48[[#This Row],[temperatura_srednia]]&lt;=15,pogoda48[[#This Row],[opady]]&gt;0.61),0,pogoda48[[#This Row],[temperatura_srednia]]&gt;30,24000,pogoda48[[#This Row],[temperatura_srednia]]&gt;15,12000)</f>
        <v>0</v>
      </c>
      <c r="J54">
        <f>IF(pogoda48[[#This Row],[stan_po_dolaniu]]&lt;pogoda48[[#This Row],[ile_podlewamy]],$AB$2-pogoda48[[#This Row],[stan_po_dolaniu]],0)</f>
        <v>0</v>
      </c>
      <c r="K54">
        <f>pogoda48[[#This Row],[stan_po_dolaniu]]+pogoda48[[#This Row],[ile_dolać_do_podlania]]</f>
        <v>25000</v>
      </c>
      <c r="L54">
        <f>pogoda48[[#This Row],[stan_po_dolaniu_do_podlania]]-pogoda48[[#This Row],[ile_podlewamy]]</f>
        <v>25000</v>
      </c>
      <c r="M54">
        <f>IF(pogoda48[[#This Row],[temperatura_srednia]]&lt;=15,1,0)</f>
        <v>1</v>
      </c>
      <c r="N54">
        <f>IF(AND(pogoda48[[#This Row],[temperatura_srednia]]&gt;15,pogoda48[[#This Row],[opady]]&lt;=0.61),1,0)</f>
        <v>0</v>
      </c>
      <c r="O54">
        <f>IF(AND(pogoda48[[#This Row],[temperatura_srednia]]&gt;15,pogoda48[[#This Row],[opady]]&gt;0.61),1,0)</f>
        <v>0</v>
      </c>
    </row>
    <row r="55" spans="1:15" x14ac:dyDescent="0.25">
      <c r="A55" s="2">
        <v>42148</v>
      </c>
      <c r="B55">
        <v>14</v>
      </c>
      <c r="C55">
        <v>3</v>
      </c>
      <c r="D55">
        <f t="shared" si="0"/>
        <v>25000</v>
      </c>
      <c r="E55">
        <f>IF(C55=0,ROUNDUP($AB$3*POWER(pogoda48[[#This Row],[temperatura_srednia]],1.5)*pogoda48[[#This Row],[stan_przed_dolaniem]],0),0)</f>
        <v>0</v>
      </c>
      <c r="F55">
        <f>pogoda48[[#This Row],[stan_przed_dolaniem]]-pogoda48[[#This Row],[ubytek]]</f>
        <v>25000</v>
      </c>
      <c r="G55">
        <f>IF(pogoda48[[#This Row],[opady]]*$AB$1+D55&gt;$AB$2,$AB$2-pogoda48[[#This Row],[stan_przed_dolaniem]],pogoda48[[#This Row],[opady]]*$AB$1)</f>
        <v>0</v>
      </c>
      <c r="H55">
        <f>pogoda48[[#This Row],[stan_po_ubytku]]+pogoda48[[#This Row],[ile_pogoda_dolała]]</f>
        <v>25000</v>
      </c>
      <c r="I55" cm="1">
        <f t="array" ref="I55">_xlfn.IFS(OR(pogoda48[[#This Row],[temperatura_srednia]]&lt;=15,pogoda48[[#This Row],[opady]]&gt;0.61),0,pogoda48[[#This Row],[temperatura_srednia]]&gt;30,24000,pogoda48[[#This Row],[temperatura_srednia]]&gt;15,12000)</f>
        <v>0</v>
      </c>
      <c r="J55">
        <f>IF(pogoda48[[#This Row],[stan_po_dolaniu]]&lt;pogoda48[[#This Row],[ile_podlewamy]],$AB$2-pogoda48[[#This Row],[stan_po_dolaniu]],0)</f>
        <v>0</v>
      </c>
      <c r="K55">
        <f>pogoda48[[#This Row],[stan_po_dolaniu]]+pogoda48[[#This Row],[ile_dolać_do_podlania]]</f>
        <v>25000</v>
      </c>
      <c r="L55">
        <f>pogoda48[[#This Row],[stan_po_dolaniu_do_podlania]]-pogoda48[[#This Row],[ile_podlewamy]]</f>
        <v>25000</v>
      </c>
      <c r="M55">
        <f>IF(pogoda48[[#This Row],[temperatura_srednia]]&lt;=15,1,0)</f>
        <v>1</v>
      </c>
      <c r="N55">
        <f>IF(AND(pogoda48[[#This Row],[temperatura_srednia]]&gt;15,pogoda48[[#This Row],[opady]]&lt;=0.61),1,0)</f>
        <v>0</v>
      </c>
      <c r="O55">
        <f>IF(AND(pogoda48[[#This Row],[temperatura_srednia]]&gt;15,pogoda48[[#This Row],[opady]]&gt;0.61),1,0)</f>
        <v>0</v>
      </c>
    </row>
    <row r="56" spans="1:15" x14ac:dyDescent="0.25">
      <c r="A56" s="2">
        <v>42149</v>
      </c>
      <c r="B56">
        <v>15</v>
      </c>
      <c r="C56">
        <v>0</v>
      </c>
      <c r="D56">
        <f t="shared" si="0"/>
        <v>25000</v>
      </c>
      <c r="E56">
        <f>IF(C56=0,ROUNDUP($AB$3*POWER(pogoda48[[#This Row],[temperatura_srednia]],1.5)*pogoda48[[#This Row],[stan_przed_dolaniem]],0),0)</f>
        <v>436</v>
      </c>
      <c r="F56">
        <f>pogoda48[[#This Row],[stan_przed_dolaniem]]-pogoda48[[#This Row],[ubytek]]</f>
        <v>24564</v>
      </c>
      <c r="G56">
        <f>IF(pogoda48[[#This Row],[opady]]*$AB$1+D56&gt;$AB$2,$AB$2-pogoda48[[#This Row],[stan_przed_dolaniem]],pogoda48[[#This Row],[opady]]*$AB$1)</f>
        <v>0</v>
      </c>
      <c r="H56">
        <f>pogoda48[[#This Row],[stan_po_ubytku]]+pogoda48[[#This Row],[ile_pogoda_dolała]]</f>
        <v>24564</v>
      </c>
      <c r="I56" cm="1">
        <f t="array" ref="I56">_xlfn.IFS(OR(pogoda48[[#This Row],[temperatura_srednia]]&lt;=15,pogoda48[[#This Row],[opady]]&gt;0.61),0,pogoda48[[#This Row],[temperatura_srednia]]&gt;30,24000,pogoda48[[#This Row],[temperatura_srednia]]&gt;15,12000)</f>
        <v>0</v>
      </c>
      <c r="J56">
        <f>IF(pogoda48[[#This Row],[stan_po_dolaniu]]&lt;pogoda48[[#This Row],[ile_podlewamy]],$AB$2-pogoda48[[#This Row],[stan_po_dolaniu]],0)</f>
        <v>0</v>
      </c>
      <c r="K56">
        <f>pogoda48[[#This Row],[stan_po_dolaniu]]+pogoda48[[#This Row],[ile_dolać_do_podlania]]</f>
        <v>24564</v>
      </c>
      <c r="L56">
        <f>pogoda48[[#This Row],[stan_po_dolaniu_do_podlania]]-pogoda48[[#This Row],[ile_podlewamy]]</f>
        <v>24564</v>
      </c>
      <c r="M56">
        <f>IF(pogoda48[[#This Row],[temperatura_srednia]]&lt;=15,1,0)</f>
        <v>1</v>
      </c>
      <c r="N56">
        <f>IF(AND(pogoda48[[#This Row],[temperatura_srednia]]&gt;15,pogoda48[[#This Row],[opady]]&lt;=0.61),1,0)</f>
        <v>0</v>
      </c>
      <c r="O56">
        <f>IF(AND(pogoda48[[#This Row],[temperatura_srednia]]&gt;15,pogoda48[[#This Row],[opady]]&gt;0.61),1,0)</f>
        <v>0</v>
      </c>
    </row>
    <row r="57" spans="1:15" x14ac:dyDescent="0.25">
      <c r="A57" s="2">
        <v>42150</v>
      </c>
      <c r="B57">
        <v>14</v>
      </c>
      <c r="C57">
        <v>0</v>
      </c>
      <c r="D57">
        <f t="shared" si="0"/>
        <v>24564</v>
      </c>
      <c r="E57">
        <f>IF(C57=0,ROUNDUP($AB$3*POWER(pogoda48[[#This Row],[temperatura_srednia]],1.5)*pogoda48[[#This Row],[stan_przed_dolaniem]],0),0)</f>
        <v>387</v>
      </c>
      <c r="F57">
        <f>pogoda48[[#This Row],[stan_przed_dolaniem]]-pogoda48[[#This Row],[ubytek]]</f>
        <v>24177</v>
      </c>
      <c r="G57">
        <f>IF(pogoda48[[#This Row],[opady]]*$AB$1+D57&gt;$AB$2,$AB$2-pogoda48[[#This Row],[stan_przed_dolaniem]],pogoda48[[#This Row],[opady]]*$AB$1)</f>
        <v>0</v>
      </c>
      <c r="H57">
        <f>pogoda48[[#This Row],[stan_po_ubytku]]+pogoda48[[#This Row],[ile_pogoda_dolała]]</f>
        <v>24177</v>
      </c>
      <c r="I57" cm="1">
        <f t="array" ref="I57">_xlfn.IFS(OR(pogoda48[[#This Row],[temperatura_srednia]]&lt;=15,pogoda48[[#This Row],[opady]]&gt;0.61),0,pogoda48[[#This Row],[temperatura_srednia]]&gt;30,24000,pogoda48[[#This Row],[temperatura_srednia]]&gt;15,12000)</f>
        <v>0</v>
      </c>
      <c r="J57">
        <f>IF(pogoda48[[#This Row],[stan_po_dolaniu]]&lt;pogoda48[[#This Row],[ile_podlewamy]],$AB$2-pogoda48[[#This Row],[stan_po_dolaniu]],0)</f>
        <v>0</v>
      </c>
      <c r="K57">
        <f>pogoda48[[#This Row],[stan_po_dolaniu]]+pogoda48[[#This Row],[ile_dolać_do_podlania]]</f>
        <v>24177</v>
      </c>
      <c r="L57">
        <f>pogoda48[[#This Row],[stan_po_dolaniu_do_podlania]]-pogoda48[[#This Row],[ile_podlewamy]]</f>
        <v>24177</v>
      </c>
      <c r="M57">
        <f>IF(pogoda48[[#This Row],[temperatura_srednia]]&lt;=15,1,0)</f>
        <v>1</v>
      </c>
      <c r="N57">
        <f>IF(AND(pogoda48[[#This Row],[temperatura_srednia]]&gt;15,pogoda48[[#This Row],[opady]]&lt;=0.61),1,0)</f>
        <v>0</v>
      </c>
      <c r="O57">
        <f>IF(AND(pogoda48[[#This Row],[temperatura_srednia]]&gt;15,pogoda48[[#This Row],[opady]]&gt;0.61),1,0)</f>
        <v>0</v>
      </c>
    </row>
    <row r="58" spans="1:15" x14ac:dyDescent="0.25">
      <c r="A58" s="2">
        <v>42151</v>
      </c>
      <c r="B58">
        <v>10</v>
      </c>
      <c r="C58">
        <v>0</v>
      </c>
      <c r="D58">
        <f t="shared" si="0"/>
        <v>24177</v>
      </c>
      <c r="E58">
        <f>IF(C58=0,ROUNDUP($AB$3*POWER(pogoda48[[#This Row],[temperatura_srednia]],1.5)*pogoda48[[#This Row],[stan_przed_dolaniem]],0),0)</f>
        <v>230</v>
      </c>
      <c r="F58">
        <f>pogoda48[[#This Row],[stan_przed_dolaniem]]-pogoda48[[#This Row],[ubytek]]</f>
        <v>23947</v>
      </c>
      <c r="G58">
        <f>IF(pogoda48[[#This Row],[opady]]*$AB$1+D58&gt;$AB$2,$AB$2-pogoda48[[#This Row],[stan_przed_dolaniem]],pogoda48[[#This Row],[opady]]*$AB$1)</f>
        <v>0</v>
      </c>
      <c r="H58">
        <f>pogoda48[[#This Row],[stan_po_ubytku]]+pogoda48[[#This Row],[ile_pogoda_dolała]]</f>
        <v>23947</v>
      </c>
      <c r="I58" cm="1">
        <f t="array" ref="I58">_xlfn.IFS(OR(pogoda48[[#This Row],[temperatura_srednia]]&lt;=15,pogoda48[[#This Row],[opady]]&gt;0.61),0,pogoda48[[#This Row],[temperatura_srednia]]&gt;30,24000,pogoda48[[#This Row],[temperatura_srednia]]&gt;15,12000)</f>
        <v>0</v>
      </c>
      <c r="J58">
        <f>IF(pogoda48[[#This Row],[stan_po_dolaniu]]&lt;pogoda48[[#This Row],[ile_podlewamy]],$AB$2-pogoda48[[#This Row],[stan_po_dolaniu]],0)</f>
        <v>0</v>
      </c>
      <c r="K58">
        <f>pogoda48[[#This Row],[stan_po_dolaniu]]+pogoda48[[#This Row],[ile_dolać_do_podlania]]</f>
        <v>23947</v>
      </c>
      <c r="L58">
        <f>pogoda48[[#This Row],[stan_po_dolaniu_do_podlania]]-pogoda48[[#This Row],[ile_podlewamy]]</f>
        <v>23947</v>
      </c>
      <c r="M58">
        <f>IF(pogoda48[[#This Row],[temperatura_srednia]]&lt;=15,1,0)</f>
        <v>1</v>
      </c>
      <c r="N58">
        <f>IF(AND(pogoda48[[#This Row],[temperatura_srednia]]&gt;15,pogoda48[[#This Row],[opady]]&lt;=0.61),1,0)</f>
        <v>0</v>
      </c>
      <c r="O58">
        <f>IF(AND(pogoda48[[#This Row],[temperatura_srednia]]&gt;15,pogoda48[[#This Row],[opady]]&gt;0.61),1,0)</f>
        <v>0</v>
      </c>
    </row>
    <row r="59" spans="1:15" x14ac:dyDescent="0.25">
      <c r="A59" s="2">
        <v>42152</v>
      </c>
      <c r="B59">
        <v>12</v>
      </c>
      <c r="C59">
        <v>0.1</v>
      </c>
      <c r="D59">
        <f t="shared" si="0"/>
        <v>23947</v>
      </c>
      <c r="E59">
        <f>IF(C59=0,ROUNDUP($AB$3*POWER(pogoda48[[#This Row],[temperatura_srednia]],1.5)*pogoda48[[#This Row],[stan_przed_dolaniem]],0),0)</f>
        <v>0</v>
      </c>
      <c r="F59">
        <f>pogoda48[[#This Row],[stan_przed_dolaniem]]-pogoda48[[#This Row],[ubytek]]</f>
        <v>23947</v>
      </c>
      <c r="G59">
        <f>IF(pogoda48[[#This Row],[opady]]*$AB$1+D59&gt;$AB$2,$AB$2-pogoda48[[#This Row],[stan_przed_dolaniem]],pogoda48[[#This Row],[opady]]*$AB$1)</f>
        <v>70</v>
      </c>
      <c r="H59">
        <f>pogoda48[[#This Row],[stan_po_ubytku]]+pogoda48[[#This Row],[ile_pogoda_dolała]]</f>
        <v>24017</v>
      </c>
      <c r="I59" cm="1">
        <f t="array" ref="I59">_xlfn.IFS(OR(pogoda48[[#This Row],[temperatura_srednia]]&lt;=15,pogoda48[[#This Row],[opady]]&gt;0.61),0,pogoda48[[#This Row],[temperatura_srednia]]&gt;30,24000,pogoda48[[#This Row],[temperatura_srednia]]&gt;15,12000)</f>
        <v>0</v>
      </c>
      <c r="J59">
        <f>IF(pogoda48[[#This Row],[stan_po_dolaniu]]&lt;pogoda48[[#This Row],[ile_podlewamy]],$AB$2-pogoda48[[#This Row],[stan_po_dolaniu]],0)</f>
        <v>0</v>
      </c>
      <c r="K59">
        <f>pogoda48[[#This Row],[stan_po_dolaniu]]+pogoda48[[#This Row],[ile_dolać_do_podlania]]</f>
        <v>24017</v>
      </c>
      <c r="L59">
        <f>pogoda48[[#This Row],[stan_po_dolaniu_do_podlania]]-pogoda48[[#This Row],[ile_podlewamy]]</f>
        <v>24017</v>
      </c>
      <c r="M59">
        <f>IF(pogoda48[[#This Row],[temperatura_srednia]]&lt;=15,1,0)</f>
        <v>1</v>
      </c>
      <c r="N59">
        <f>IF(AND(pogoda48[[#This Row],[temperatura_srednia]]&gt;15,pogoda48[[#This Row],[opady]]&lt;=0.61),1,0)</f>
        <v>0</v>
      </c>
      <c r="O59">
        <f>IF(AND(pogoda48[[#This Row],[temperatura_srednia]]&gt;15,pogoda48[[#This Row],[opady]]&gt;0.61),1,0)</f>
        <v>0</v>
      </c>
    </row>
    <row r="60" spans="1:15" x14ac:dyDescent="0.25">
      <c r="A60" s="2">
        <v>42153</v>
      </c>
      <c r="B60">
        <v>14</v>
      </c>
      <c r="C60">
        <v>0</v>
      </c>
      <c r="D60">
        <f t="shared" si="0"/>
        <v>24017</v>
      </c>
      <c r="E60">
        <f>IF(C60=0,ROUNDUP($AB$3*POWER(pogoda48[[#This Row],[temperatura_srednia]],1.5)*pogoda48[[#This Row],[stan_przed_dolaniem]],0),0)</f>
        <v>378</v>
      </c>
      <c r="F60">
        <f>pogoda48[[#This Row],[stan_przed_dolaniem]]-pogoda48[[#This Row],[ubytek]]</f>
        <v>23639</v>
      </c>
      <c r="G60">
        <f>IF(pogoda48[[#This Row],[opady]]*$AB$1+D60&gt;$AB$2,$AB$2-pogoda48[[#This Row],[stan_przed_dolaniem]],pogoda48[[#This Row],[opady]]*$AB$1)</f>
        <v>0</v>
      </c>
      <c r="H60">
        <f>pogoda48[[#This Row],[stan_po_ubytku]]+pogoda48[[#This Row],[ile_pogoda_dolała]]</f>
        <v>23639</v>
      </c>
      <c r="I60" cm="1">
        <f t="array" ref="I60">_xlfn.IFS(OR(pogoda48[[#This Row],[temperatura_srednia]]&lt;=15,pogoda48[[#This Row],[opady]]&gt;0.61),0,pogoda48[[#This Row],[temperatura_srednia]]&gt;30,24000,pogoda48[[#This Row],[temperatura_srednia]]&gt;15,12000)</f>
        <v>0</v>
      </c>
      <c r="J60">
        <f>IF(pogoda48[[#This Row],[stan_po_dolaniu]]&lt;pogoda48[[#This Row],[ile_podlewamy]],$AB$2-pogoda48[[#This Row],[stan_po_dolaniu]],0)</f>
        <v>0</v>
      </c>
      <c r="K60">
        <f>pogoda48[[#This Row],[stan_po_dolaniu]]+pogoda48[[#This Row],[ile_dolać_do_podlania]]</f>
        <v>23639</v>
      </c>
      <c r="L60">
        <f>pogoda48[[#This Row],[stan_po_dolaniu_do_podlania]]-pogoda48[[#This Row],[ile_podlewamy]]</f>
        <v>23639</v>
      </c>
      <c r="M60">
        <f>IF(pogoda48[[#This Row],[temperatura_srednia]]&lt;=15,1,0)</f>
        <v>1</v>
      </c>
      <c r="N60">
        <f>IF(AND(pogoda48[[#This Row],[temperatura_srednia]]&gt;15,pogoda48[[#This Row],[opady]]&lt;=0.61),1,0)</f>
        <v>0</v>
      </c>
      <c r="O60">
        <f>IF(AND(pogoda48[[#This Row],[temperatura_srednia]]&gt;15,pogoda48[[#This Row],[opady]]&gt;0.61),1,0)</f>
        <v>0</v>
      </c>
    </row>
    <row r="61" spans="1:15" x14ac:dyDescent="0.25">
      <c r="A61" s="2">
        <v>42154</v>
      </c>
      <c r="B61">
        <v>13</v>
      </c>
      <c r="C61">
        <v>0</v>
      </c>
      <c r="D61">
        <f t="shared" si="0"/>
        <v>23639</v>
      </c>
      <c r="E61">
        <f>IF(C61=0,ROUNDUP($AB$3*POWER(pogoda48[[#This Row],[temperatura_srednia]],1.5)*pogoda48[[#This Row],[stan_przed_dolaniem]],0),0)</f>
        <v>333</v>
      </c>
      <c r="F61">
        <f>pogoda48[[#This Row],[stan_przed_dolaniem]]-pogoda48[[#This Row],[ubytek]]</f>
        <v>23306</v>
      </c>
      <c r="G61">
        <f>IF(pogoda48[[#This Row],[opady]]*$AB$1+D61&gt;$AB$2,$AB$2-pogoda48[[#This Row],[stan_przed_dolaniem]],pogoda48[[#This Row],[opady]]*$AB$1)</f>
        <v>0</v>
      </c>
      <c r="H61">
        <f>pogoda48[[#This Row],[stan_po_ubytku]]+pogoda48[[#This Row],[ile_pogoda_dolała]]</f>
        <v>23306</v>
      </c>
      <c r="I61" cm="1">
        <f t="array" ref="I61">_xlfn.IFS(OR(pogoda48[[#This Row],[temperatura_srednia]]&lt;=15,pogoda48[[#This Row],[opady]]&gt;0.61),0,pogoda48[[#This Row],[temperatura_srednia]]&gt;30,24000,pogoda48[[#This Row],[temperatura_srednia]]&gt;15,12000)</f>
        <v>0</v>
      </c>
      <c r="J61">
        <f>IF(pogoda48[[#This Row],[stan_po_dolaniu]]&lt;pogoda48[[#This Row],[ile_podlewamy]],$AB$2-pogoda48[[#This Row],[stan_po_dolaniu]],0)</f>
        <v>0</v>
      </c>
      <c r="K61">
        <f>pogoda48[[#This Row],[stan_po_dolaniu]]+pogoda48[[#This Row],[ile_dolać_do_podlania]]</f>
        <v>23306</v>
      </c>
      <c r="L61">
        <f>pogoda48[[#This Row],[stan_po_dolaniu_do_podlania]]-pogoda48[[#This Row],[ile_podlewamy]]</f>
        <v>23306</v>
      </c>
      <c r="M61">
        <f>IF(pogoda48[[#This Row],[temperatura_srednia]]&lt;=15,1,0)</f>
        <v>1</v>
      </c>
      <c r="N61">
        <f>IF(AND(pogoda48[[#This Row],[temperatura_srednia]]&gt;15,pogoda48[[#This Row],[opady]]&lt;=0.61),1,0)</f>
        <v>0</v>
      </c>
      <c r="O61">
        <f>IF(AND(pogoda48[[#This Row],[temperatura_srednia]]&gt;15,pogoda48[[#This Row],[opady]]&gt;0.61),1,0)</f>
        <v>0</v>
      </c>
    </row>
    <row r="62" spans="1:15" x14ac:dyDescent="0.25">
      <c r="A62" s="2">
        <v>42155</v>
      </c>
      <c r="B62">
        <v>12</v>
      </c>
      <c r="C62">
        <v>0</v>
      </c>
      <c r="D62">
        <f t="shared" si="0"/>
        <v>23306</v>
      </c>
      <c r="E62">
        <f>IF(C62=0,ROUNDUP($AB$3*POWER(pogoda48[[#This Row],[temperatura_srednia]],1.5)*pogoda48[[#This Row],[stan_przed_dolaniem]],0),0)</f>
        <v>291</v>
      </c>
      <c r="F62">
        <f>pogoda48[[#This Row],[stan_przed_dolaniem]]-pogoda48[[#This Row],[ubytek]]</f>
        <v>23015</v>
      </c>
      <c r="G62">
        <f>IF(pogoda48[[#This Row],[opady]]*$AB$1+D62&gt;$AB$2,$AB$2-pogoda48[[#This Row],[stan_przed_dolaniem]],pogoda48[[#This Row],[opady]]*$AB$1)</f>
        <v>0</v>
      </c>
      <c r="H62">
        <f>pogoda48[[#This Row],[stan_po_ubytku]]+pogoda48[[#This Row],[ile_pogoda_dolała]]</f>
        <v>23015</v>
      </c>
      <c r="I62" cm="1">
        <f t="array" ref="I62">_xlfn.IFS(OR(pogoda48[[#This Row],[temperatura_srednia]]&lt;=15,pogoda48[[#This Row],[opady]]&gt;0.61),0,pogoda48[[#This Row],[temperatura_srednia]]&gt;30,24000,pogoda48[[#This Row],[temperatura_srednia]]&gt;15,12000)</f>
        <v>0</v>
      </c>
      <c r="J62">
        <f>IF(pogoda48[[#This Row],[stan_po_dolaniu]]&lt;pogoda48[[#This Row],[ile_podlewamy]],$AB$2-pogoda48[[#This Row],[stan_po_dolaniu]],0)</f>
        <v>0</v>
      </c>
      <c r="K62">
        <f>pogoda48[[#This Row],[stan_po_dolaniu]]+pogoda48[[#This Row],[ile_dolać_do_podlania]]</f>
        <v>23015</v>
      </c>
      <c r="L62">
        <f>pogoda48[[#This Row],[stan_po_dolaniu_do_podlania]]-pogoda48[[#This Row],[ile_podlewamy]]</f>
        <v>23015</v>
      </c>
      <c r="M62">
        <f>IF(pogoda48[[#This Row],[temperatura_srednia]]&lt;=15,1,0)</f>
        <v>1</v>
      </c>
      <c r="N62">
        <f>IF(AND(pogoda48[[#This Row],[temperatura_srednia]]&gt;15,pogoda48[[#This Row],[opady]]&lt;=0.61),1,0)</f>
        <v>0</v>
      </c>
      <c r="O62">
        <f>IF(AND(pogoda48[[#This Row],[temperatura_srednia]]&gt;15,pogoda48[[#This Row],[opady]]&gt;0.61),1,0)</f>
        <v>0</v>
      </c>
    </row>
    <row r="63" spans="1:15" x14ac:dyDescent="0.25">
      <c r="A63" s="2">
        <v>42156</v>
      </c>
      <c r="B63">
        <v>18</v>
      </c>
      <c r="C63">
        <v>4</v>
      </c>
      <c r="D63">
        <f t="shared" si="0"/>
        <v>23015</v>
      </c>
      <c r="E63">
        <f>IF(C63=0,ROUNDUP($AB$3*POWER(pogoda48[[#This Row],[temperatura_srednia]],1.5)*pogoda48[[#This Row],[stan_przed_dolaniem]],0),0)</f>
        <v>0</v>
      </c>
      <c r="F63">
        <f>pogoda48[[#This Row],[stan_przed_dolaniem]]-pogoda48[[#This Row],[ubytek]]</f>
        <v>23015</v>
      </c>
      <c r="G63">
        <f>IF(pogoda48[[#This Row],[opady]]*$AB$1+D63&gt;$AB$2,$AB$2-pogoda48[[#This Row],[stan_przed_dolaniem]],pogoda48[[#This Row],[opady]]*$AB$1)</f>
        <v>1985</v>
      </c>
      <c r="H63">
        <f>pogoda48[[#This Row],[stan_po_ubytku]]+pogoda48[[#This Row],[ile_pogoda_dolała]]</f>
        <v>25000</v>
      </c>
      <c r="I63" cm="1">
        <f t="array" ref="I63">_xlfn.IFS(OR(pogoda48[[#This Row],[temperatura_srednia]]&lt;=15,pogoda48[[#This Row],[opady]]&gt;0.61),0,pogoda48[[#This Row],[temperatura_srednia]]&gt;30,24000,pogoda48[[#This Row],[temperatura_srednia]]&gt;15,12000)</f>
        <v>0</v>
      </c>
      <c r="J63">
        <f>IF(pogoda48[[#This Row],[stan_po_dolaniu]]&lt;pogoda48[[#This Row],[ile_podlewamy]],$AB$2-pogoda48[[#This Row],[stan_po_dolaniu]],0)</f>
        <v>0</v>
      </c>
      <c r="K63">
        <f>pogoda48[[#This Row],[stan_po_dolaniu]]+pogoda48[[#This Row],[ile_dolać_do_podlania]]</f>
        <v>25000</v>
      </c>
      <c r="L63">
        <f>pogoda48[[#This Row],[stan_po_dolaniu_do_podlania]]-pogoda48[[#This Row],[ile_podlewamy]]</f>
        <v>25000</v>
      </c>
      <c r="M63">
        <f>IF(pogoda48[[#This Row],[temperatura_srednia]]&lt;=15,1,0)</f>
        <v>0</v>
      </c>
      <c r="N63">
        <f>IF(AND(pogoda48[[#This Row],[temperatura_srednia]]&gt;15,pogoda48[[#This Row],[opady]]&lt;=0.61),1,0)</f>
        <v>0</v>
      </c>
      <c r="O63">
        <f>IF(AND(pogoda48[[#This Row],[temperatura_srednia]]&gt;15,pogoda48[[#This Row],[opady]]&gt;0.61),1,0)</f>
        <v>1</v>
      </c>
    </row>
    <row r="64" spans="1:15" x14ac:dyDescent="0.25">
      <c r="A64" s="2">
        <v>42157</v>
      </c>
      <c r="B64">
        <v>18</v>
      </c>
      <c r="C64">
        <v>3</v>
      </c>
      <c r="D64">
        <f t="shared" si="0"/>
        <v>25000</v>
      </c>
      <c r="E64">
        <f>IF(C64=0,ROUNDUP($AB$3*POWER(pogoda48[[#This Row],[temperatura_srednia]],1.5)*pogoda48[[#This Row],[stan_przed_dolaniem]],0),0)</f>
        <v>0</v>
      </c>
      <c r="F64">
        <f>pogoda48[[#This Row],[stan_przed_dolaniem]]-pogoda48[[#This Row],[ubytek]]</f>
        <v>25000</v>
      </c>
      <c r="G64">
        <f>IF(pogoda48[[#This Row],[opady]]*$AB$1+D64&gt;$AB$2,$AB$2-pogoda48[[#This Row],[stan_przed_dolaniem]],pogoda48[[#This Row],[opady]]*$AB$1)</f>
        <v>0</v>
      </c>
      <c r="H64">
        <f>pogoda48[[#This Row],[stan_po_ubytku]]+pogoda48[[#This Row],[ile_pogoda_dolała]]</f>
        <v>25000</v>
      </c>
      <c r="I64" cm="1">
        <f t="array" ref="I64">_xlfn.IFS(OR(pogoda48[[#This Row],[temperatura_srednia]]&lt;=15,pogoda48[[#This Row],[opady]]&gt;0.61),0,pogoda48[[#This Row],[temperatura_srednia]]&gt;30,24000,pogoda48[[#This Row],[temperatura_srednia]]&gt;15,12000)</f>
        <v>0</v>
      </c>
      <c r="J64">
        <f>IF(pogoda48[[#This Row],[stan_po_dolaniu]]&lt;pogoda48[[#This Row],[ile_podlewamy]],$AB$2-pogoda48[[#This Row],[stan_po_dolaniu]],0)</f>
        <v>0</v>
      </c>
      <c r="K64">
        <f>pogoda48[[#This Row],[stan_po_dolaniu]]+pogoda48[[#This Row],[ile_dolać_do_podlania]]</f>
        <v>25000</v>
      </c>
      <c r="L64">
        <f>pogoda48[[#This Row],[stan_po_dolaniu_do_podlania]]-pogoda48[[#This Row],[ile_podlewamy]]</f>
        <v>25000</v>
      </c>
      <c r="M64">
        <f>IF(pogoda48[[#This Row],[temperatura_srednia]]&lt;=15,1,0)</f>
        <v>0</v>
      </c>
      <c r="N64">
        <f>IF(AND(pogoda48[[#This Row],[temperatura_srednia]]&gt;15,pogoda48[[#This Row],[opady]]&lt;=0.61),1,0)</f>
        <v>0</v>
      </c>
      <c r="O64">
        <f>IF(AND(pogoda48[[#This Row],[temperatura_srednia]]&gt;15,pogoda48[[#This Row],[opady]]&gt;0.61),1,0)</f>
        <v>1</v>
      </c>
    </row>
    <row r="65" spans="1:15" x14ac:dyDescent="0.25">
      <c r="A65" s="2">
        <v>42158</v>
      </c>
      <c r="B65">
        <v>22</v>
      </c>
      <c r="C65">
        <v>0</v>
      </c>
      <c r="D65">
        <f t="shared" si="0"/>
        <v>25000</v>
      </c>
      <c r="E65">
        <f>IF(C65=0,ROUNDUP($AB$3*POWER(pogoda48[[#This Row],[temperatura_srednia]],1.5)*pogoda48[[#This Row],[stan_przed_dolaniem]],0),0)</f>
        <v>774</v>
      </c>
      <c r="F65">
        <f>pogoda48[[#This Row],[stan_przed_dolaniem]]-pogoda48[[#This Row],[ubytek]]</f>
        <v>24226</v>
      </c>
      <c r="G65">
        <f>IF(pogoda48[[#This Row],[opady]]*$AB$1+D65&gt;$AB$2,$AB$2-pogoda48[[#This Row],[stan_przed_dolaniem]],pogoda48[[#This Row],[opady]]*$AB$1)</f>
        <v>0</v>
      </c>
      <c r="H65">
        <f>pogoda48[[#This Row],[stan_po_ubytku]]+pogoda48[[#This Row],[ile_pogoda_dolała]]</f>
        <v>24226</v>
      </c>
      <c r="I65" cm="1">
        <f t="array" ref="I65">_xlfn.IFS(OR(pogoda48[[#This Row],[temperatura_srednia]]&lt;=15,pogoda48[[#This Row],[opady]]&gt;0.61),0,pogoda48[[#This Row],[temperatura_srednia]]&gt;30,24000,pogoda48[[#This Row],[temperatura_srednia]]&gt;15,12000)</f>
        <v>12000</v>
      </c>
      <c r="J65">
        <f>IF(pogoda48[[#This Row],[stan_po_dolaniu]]&lt;pogoda48[[#This Row],[ile_podlewamy]],$AB$2-pogoda48[[#This Row],[stan_po_dolaniu]],0)</f>
        <v>0</v>
      </c>
      <c r="K65">
        <f>pogoda48[[#This Row],[stan_po_dolaniu]]+pogoda48[[#This Row],[ile_dolać_do_podlania]]</f>
        <v>24226</v>
      </c>
      <c r="L65">
        <f>pogoda48[[#This Row],[stan_po_dolaniu_do_podlania]]-pogoda48[[#This Row],[ile_podlewamy]]</f>
        <v>12226</v>
      </c>
      <c r="M65">
        <f>IF(pogoda48[[#This Row],[temperatura_srednia]]&lt;=15,1,0)</f>
        <v>0</v>
      </c>
      <c r="N65">
        <f>IF(AND(pogoda48[[#This Row],[temperatura_srednia]]&gt;15,pogoda48[[#This Row],[opady]]&lt;=0.61),1,0)</f>
        <v>1</v>
      </c>
      <c r="O65">
        <f>IF(AND(pogoda48[[#This Row],[temperatura_srednia]]&gt;15,pogoda48[[#This Row],[opady]]&gt;0.61),1,0)</f>
        <v>0</v>
      </c>
    </row>
    <row r="66" spans="1:15" x14ac:dyDescent="0.25">
      <c r="A66" s="2">
        <v>42159</v>
      </c>
      <c r="B66">
        <v>15</v>
      </c>
      <c r="C66">
        <v>0</v>
      </c>
      <c r="D66">
        <f t="shared" si="0"/>
        <v>12226</v>
      </c>
      <c r="E66">
        <f>IF(C66=0,ROUNDUP($AB$3*POWER(pogoda48[[#This Row],[temperatura_srednia]],1.5)*pogoda48[[#This Row],[stan_przed_dolaniem]],0),0)</f>
        <v>214</v>
      </c>
      <c r="F66">
        <f>pogoda48[[#This Row],[stan_przed_dolaniem]]-pogoda48[[#This Row],[ubytek]]</f>
        <v>12012</v>
      </c>
      <c r="G66">
        <f>IF(pogoda48[[#This Row],[opady]]*$AB$1+D66&gt;$AB$2,$AB$2-pogoda48[[#This Row],[stan_przed_dolaniem]],pogoda48[[#This Row],[opady]]*$AB$1)</f>
        <v>0</v>
      </c>
      <c r="H66">
        <f>pogoda48[[#This Row],[stan_po_ubytku]]+pogoda48[[#This Row],[ile_pogoda_dolała]]</f>
        <v>12012</v>
      </c>
      <c r="I66" cm="1">
        <f t="array" ref="I66">_xlfn.IFS(OR(pogoda48[[#This Row],[temperatura_srednia]]&lt;=15,pogoda48[[#This Row],[opady]]&gt;0.61),0,pogoda48[[#This Row],[temperatura_srednia]]&gt;30,24000,pogoda48[[#This Row],[temperatura_srednia]]&gt;15,12000)</f>
        <v>0</v>
      </c>
      <c r="J66">
        <f>IF(pogoda48[[#This Row],[stan_po_dolaniu]]&lt;pogoda48[[#This Row],[ile_podlewamy]],$AB$2-pogoda48[[#This Row],[stan_po_dolaniu]],0)</f>
        <v>0</v>
      </c>
      <c r="K66">
        <f>pogoda48[[#This Row],[stan_po_dolaniu]]+pogoda48[[#This Row],[ile_dolać_do_podlania]]</f>
        <v>12012</v>
      </c>
      <c r="L66">
        <f>pogoda48[[#This Row],[stan_po_dolaniu_do_podlania]]-pogoda48[[#This Row],[ile_podlewamy]]</f>
        <v>12012</v>
      </c>
      <c r="M66">
        <f>IF(pogoda48[[#This Row],[temperatura_srednia]]&lt;=15,1,0)</f>
        <v>1</v>
      </c>
      <c r="N66">
        <f>IF(AND(pogoda48[[#This Row],[temperatura_srednia]]&gt;15,pogoda48[[#This Row],[opady]]&lt;=0.61),1,0)</f>
        <v>0</v>
      </c>
      <c r="O66">
        <f>IF(AND(pogoda48[[#This Row],[temperatura_srednia]]&gt;15,pogoda48[[#This Row],[opady]]&gt;0.61),1,0)</f>
        <v>0</v>
      </c>
    </row>
    <row r="67" spans="1:15" x14ac:dyDescent="0.25">
      <c r="A67" s="2">
        <v>42160</v>
      </c>
      <c r="B67">
        <v>18</v>
      </c>
      <c r="C67">
        <v>0</v>
      </c>
      <c r="D67">
        <f t="shared" si="0"/>
        <v>12012</v>
      </c>
      <c r="E67">
        <f>IF(C67=0,ROUNDUP($AB$3*POWER(pogoda48[[#This Row],[temperatura_srednia]],1.5)*pogoda48[[#This Row],[stan_przed_dolaniem]],0),0)</f>
        <v>276</v>
      </c>
      <c r="F67">
        <f>pogoda48[[#This Row],[stan_przed_dolaniem]]-pogoda48[[#This Row],[ubytek]]</f>
        <v>11736</v>
      </c>
      <c r="G67">
        <f>IF(pogoda48[[#This Row],[opady]]*$AB$1+D67&gt;$AB$2,$AB$2-pogoda48[[#This Row],[stan_przed_dolaniem]],pogoda48[[#This Row],[opady]]*$AB$1)</f>
        <v>0</v>
      </c>
      <c r="H67">
        <f>pogoda48[[#This Row],[stan_po_ubytku]]+pogoda48[[#This Row],[ile_pogoda_dolała]]</f>
        <v>11736</v>
      </c>
      <c r="I67" cm="1">
        <f t="array" ref="I67">_xlfn.IFS(OR(pogoda48[[#This Row],[temperatura_srednia]]&lt;=15,pogoda48[[#This Row],[opady]]&gt;0.61),0,pogoda48[[#This Row],[temperatura_srednia]]&gt;30,24000,pogoda48[[#This Row],[temperatura_srednia]]&gt;15,12000)</f>
        <v>12000</v>
      </c>
      <c r="J67">
        <f>IF(pogoda48[[#This Row],[stan_po_dolaniu]]&lt;pogoda48[[#This Row],[ile_podlewamy]],$AB$2-pogoda48[[#This Row],[stan_po_dolaniu]],0)</f>
        <v>13264</v>
      </c>
      <c r="K67">
        <f>pogoda48[[#This Row],[stan_po_dolaniu]]+pogoda48[[#This Row],[ile_dolać_do_podlania]]</f>
        <v>25000</v>
      </c>
      <c r="L67">
        <f>pogoda48[[#This Row],[stan_po_dolaniu_do_podlania]]-pogoda48[[#This Row],[ile_podlewamy]]</f>
        <v>13000</v>
      </c>
      <c r="M67">
        <f>IF(pogoda48[[#This Row],[temperatura_srednia]]&lt;=15,1,0)</f>
        <v>0</v>
      </c>
      <c r="N67">
        <f>IF(AND(pogoda48[[#This Row],[temperatura_srednia]]&gt;15,pogoda48[[#This Row],[opady]]&lt;=0.61),1,0)</f>
        <v>1</v>
      </c>
      <c r="O67">
        <f>IF(AND(pogoda48[[#This Row],[temperatura_srednia]]&gt;15,pogoda48[[#This Row],[opady]]&gt;0.61),1,0)</f>
        <v>0</v>
      </c>
    </row>
    <row r="68" spans="1:15" x14ac:dyDescent="0.25">
      <c r="A68" s="2">
        <v>42161</v>
      </c>
      <c r="B68">
        <v>22</v>
      </c>
      <c r="C68">
        <v>0</v>
      </c>
      <c r="D68">
        <f t="shared" ref="D68:D131" si="1">L67</f>
        <v>13000</v>
      </c>
      <c r="E68">
        <f>IF(C68=0,ROUNDUP($AB$3*POWER(pogoda48[[#This Row],[temperatura_srednia]],1.5)*pogoda48[[#This Row],[stan_przed_dolaniem]],0),0)</f>
        <v>403</v>
      </c>
      <c r="F68">
        <f>pogoda48[[#This Row],[stan_przed_dolaniem]]-pogoda48[[#This Row],[ubytek]]</f>
        <v>12597</v>
      </c>
      <c r="G68">
        <f>IF(pogoda48[[#This Row],[opady]]*$AB$1+D68&gt;$AB$2,$AB$2-pogoda48[[#This Row],[stan_przed_dolaniem]],pogoda48[[#This Row],[opady]]*$AB$1)</f>
        <v>0</v>
      </c>
      <c r="H68">
        <f>pogoda48[[#This Row],[stan_po_ubytku]]+pogoda48[[#This Row],[ile_pogoda_dolała]]</f>
        <v>12597</v>
      </c>
      <c r="I68" cm="1">
        <f t="array" ref="I68">_xlfn.IFS(OR(pogoda48[[#This Row],[temperatura_srednia]]&lt;=15,pogoda48[[#This Row],[opady]]&gt;0.61),0,pogoda48[[#This Row],[temperatura_srednia]]&gt;30,24000,pogoda48[[#This Row],[temperatura_srednia]]&gt;15,12000)</f>
        <v>12000</v>
      </c>
      <c r="J68">
        <f>IF(pogoda48[[#This Row],[stan_po_dolaniu]]&lt;pogoda48[[#This Row],[ile_podlewamy]],$AB$2-pogoda48[[#This Row],[stan_po_dolaniu]],0)</f>
        <v>0</v>
      </c>
      <c r="K68">
        <f>pogoda48[[#This Row],[stan_po_dolaniu]]+pogoda48[[#This Row],[ile_dolać_do_podlania]]</f>
        <v>12597</v>
      </c>
      <c r="L68">
        <f>pogoda48[[#This Row],[stan_po_dolaniu_do_podlania]]-pogoda48[[#This Row],[ile_podlewamy]]</f>
        <v>597</v>
      </c>
      <c r="M68">
        <f>IF(pogoda48[[#This Row],[temperatura_srednia]]&lt;=15,1,0)</f>
        <v>0</v>
      </c>
      <c r="N68">
        <f>IF(AND(pogoda48[[#This Row],[temperatura_srednia]]&gt;15,pogoda48[[#This Row],[opady]]&lt;=0.61),1,0)</f>
        <v>1</v>
      </c>
      <c r="O68">
        <f>IF(AND(pogoda48[[#This Row],[temperatura_srednia]]&gt;15,pogoda48[[#This Row],[opady]]&gt;0.61),1,0)</f>
        <v>0</v>
      </c>
    </row>
    <row r="69" spans="1:15" x14ac:dyDescent="0.25">
      <c r="A69" s="2">
        <v>42162</v>
      </c>
      <c r="B69">
        <v>14</v>
      </c>
      <c r="C69">
        <v>8</v>
      </c>
      <c r="D69">
        <f t="shared" si="1"/>
        <v>597</v>
      </c>
      <c r="E69">
        <f>IF(C69=0,ROUNDUP($AB$3*POWER(pogoda48[[#This Row],[temperatura_srednia]],1.5)*pogoda48[[#This Row],[stan_przed_dolaniem]],0),0)</f>
        <v>0</v>
      </c>
      <c r="F69">
        <f>pogoda48[[#This Row],[stan_przed_dolaniem]]-pogoda48[[#This Row],[ubytek]]</f>
        <v>597</v>
      </c>
      <c r="G69">
        <f>IF(pogoda48[[#This Row],[opady]]*$AB$1+D69&gt;$AB$2,$AB$2-pogoda48[[#This Row],[stan_przed_dolaniem]],pogoda48[[#This Row],[opady]]*$AB$1)</f>
        <v>5600</v>
      </c>
      <c r="H69">
        <f>pogoda48[[#This Row],[stan_po_ubytku]]+pogoda48[[#This Row],[ile_pogoda_dolała]]</f>
        <v>6197</v>
      </c>
      <c r="I69" cm="1">
        <f t="array" ref="I69">_xlfn.IFS(OR(pogoda48[[#This Row],[temperatura_srednia]]&lt;=15,pogoda48[[#This Row],[opady]]&gt;0.61),0,pogoda48[[#This Row],[temperatura_srednia]]&gt;30,24000,pogoda48[[#This Row],[temperatura_srednia]]&gt;15,12000)</f>
        <v>0</v>
      </c>
      <c r="J69">
        <f>IF(pogoda48[[#This Row],[stan_po_dolaniu]]&lt;pogoda48[[#This Row],[ile_podlewamy]],$AB$2-pogoda48[[#This Row],[stan_po_dolaniu]],0)</f>
        <v>0</v>
      </c>
      <c r="K69">
        <f>pogoda48[[#This Row],[stan_po_dolaniu]]+pogoda48[[#This Row],[ile_dolać_do_podlania]]</f>
        <v>6197</v>
      </c>
      <c r="L69">
        <f>pogoda48[[#This Row],[stan_po_dolaniu_do_podlania]]-pogoda48[[#This Row],[ile_podlewamy]]</f>
        <v>6197</v>
      </c>
      <c r="M69">
        <f>IF(pogoda48[[#This Row],[temperatura_srednia]]&lt;=15,1,0)</f>
        <v>1</v>
      </c>
      <c r="N69">
        <f>IF(AND(pogoda48[[#This Row],[temperatura_srednia]]&gt;15,pogoda48[[#This Row],[opady]]&lt;=0.61),1,0)</f>
        <v>0</v>
      </c>
      <c r="O69">
        <f>IF(AND(pogoda48[[#This Row],[temperatura_srednia]]&gt;15,pogoda48[[#This Row],[opady]]&gt;0.61),1,0)</f>
        <v>0</v>
      </c>
    </row>
    <row r="70" spans="1:15" x14ac:dyDescent="0.25">
      <c r="A70" s="2">
        <v>42163</v>
      </c>
      <c r="B70">
        <v>14</v>
      </c>
      <c r="C70">
        <v>5.9</v>
      </c>
      <c r="D70">
        <f t="shared" si="1"/>
        <v>6197</v>
      </c>
      <c r="E70">
        <f>IF(C70=0,ROUNDUP($AB$3*POWER(pogoda48[[#This Row],[temperatura_srednia]],1.5)*pogoda48[[#This Row],[stan_przed_dolaniem]],0),0)</f>
        <v>0</v>
      </c>
      <c r="F70">
        <f>pogoda48[[#This Row],[stan_przed_dolaniem]]-pogoda48[[#This Row],[ubytek]]</f>
        <v>6197</v>
      </c>
      <c r="G70">
        <f>IF(pogoda48[[#This Row],[opady]]*$AB$1+D70&gt;$AB$2,$AB$2-pogoda48[[#This Row],[stan_przed_dolaniem]],pogoda48[[#This Row],[opady]]*$AB$1)</f>
        <v>4130</v>
      </c>
      <c r="H70">
        <f>pogoda48[[#This Row],[stan_po_ubytku]]+pogoda48[[#This Row],[ile_pogoda_dolała]]</f>
        <v>10327</v>
      </c>
      <c r="I70" cm="1">
        <f t="array" ref="I70">_xlfn.IFS(OR(pogoda48[[#This Row],[temperatura_srednia]]&lt;=15,pogoda48[[#This Row],[opady]]&gt;0.61),0,pogoda48[[#This Row],[temperatura_srednia]]&gt;30,24000,pogoda48[[#This Row],[temperatura_srednia]]&gt;15,12000)</f>
        <v>0</v>
      </c>
      <c r="J70">
        <f>IF(pogoda48[[#This Row],[stan_po_dolaniu]]&lt;pogoda48[[#This Row],[ile_podlewamy]],$AB$2-pogoda48[[#This Row],[stan_po_dolaniu]],0)</f>
        <v>0</v>
      </c>
      <c r="K70">
        <f>pogoda48[[#This Row],[stan_po_dolaniu]]+pogoda48[[#This Row],[ile_dolać_do_podlania]]</f>
        <v>10327</v>
      </c>
      <c r="L70">
        <f>pogoda48[[#This Row],[stan_po_dolaniu_do_podlania]]-pogoda48[[#This Row],[ile_podlewamy]]</f>
        <v>10327</v>
      </c>
      <c r="M70">
        <f>IF(pogoda48[[#This Row],[temperatura_srednia]]&lt;=15,1,0)</f>
        <v>1</v>
      </c>
      <c r="N70">
        <f>IF(AND(pogoda48[[#This Row],[temperatura_srednia]]&gt;15,pogoda48[[#This Row],[opady]]&lt;=0.61),1,0)</f>
        <v>0</v>
      </c>
      <c r="O70">
        <f>IF(AND(pogoda48[[#This Row],[temperatura_srednia]]&gt;15,pogoda48[[#This Row],[opady]]&gt;0.61),1,0)</f>
        <v>0</v>
      </c>
    </row>
    <row r="71" spans="1:15" x14ac:dyDescent="0.25">
      <c r="A71" s="2">
        <v>42164</v>
      </c>
      <c r="B71">
        <v>12</v>
      </c>
      <c r="C71">
        <v>5</v>
      </c>
      <c r="D71">
        <f t="shared" si="1"/>
        <v>10327</v>
      </c>
      <c r="E71">
        <f>IF(C71=0,ROUNDUP($AB$3*POWER(pogoda48[[#This Row],[temperatura_srednia]],1.5)*pogoda48[[#This Row],[stan_przed_dolaniem]],0),0)</f>
        <v>0</v>
      </c>
      <c r="F71">
        <f>pogoda48[[#This Row],[stan_przed_dolaniem]]-pogoda48[[#This Row],[ubytek]]</f>
        <v>10327</v>
      </c>
      <c r="G71">
        <f>IF(pogoda48[[#This Row],[opady]]*$AB$1+D71&gt;$AB$2,$AB$2-pogoda48[[#This Row],[stan_przed_dolaniem]],pogoda48[[#This Row],[opady]]*$AB$1)</f>
        <v>3500</v>
      </c>
      <c r="H71">
        <f>pogoda48[[#This Row],[stan_po_ubytku]]+pogoda48[[#This Row],[ile_pogoda_dolała]]</f>
        <v>13827</v>
      </c>
      <c r="I71" cm="1">
        <f t="array" ref="I71">_xlfn.IFS(OR(pogoda48[[#This Row],[temperatura_srednia]]&lt;=15,pogoda48[[#This Row],[opady]]&gt;0.61),0,pogoda48[[#This Row],[temperatura_srednia]]&gt;30,24000,pogoda48[[#This Row],[temperatura_srednia]]&gt;15,12000)</f>
        <v>0</v>
      </c>
      <c r="J71">
        <f>IF(pogoda48[[#This Row],[stan_po_dolaniu]]&lt;pogoda48[[#This Row],[ile_podlewamy]],$AB$2-pogoda48[[#This Row],[stan_po_dolaniu]],0)</f>
        <v>0</v>
      </c>
      <c r="K71">
        <f>pogoda48[[#This Row],[stan_po_dolaniu]]+pogoda48[[#This Row],[ile_dolać_do_podlania]]</f>
        <v>13827</v>
      </c>
      <c r="L71">
        <f>pogoda48[[#This Row],[stan_po_dolaniu_do_podlania]]-pogoda48[[#This Row],[ile_podlewamy]]</f>
        <v>13827</v>
      </c>
      <c r="M71">
        <f>IF(pogoda48[[#This Row],[temperatura_srednia]]&lt;=15,1,0)</f>
        <v>1</v>
      </c>
      <c r="N71">
        <f>IF(AND(pogoda48[[#This Row],[temperatura_srednia]]&gt;15,pogoda48[[#This Row],[opady]]&lt;=0.61),1,0)</f>
        <v>0</v>
      </c>
      <c r="O71">
        <f>IF(AND(pogoda48[[#This Row],[temperatura_srednia]]&gt;15,pogoda48[[#This Row],[opady]]&gt;0.61),1,0)</f>
        <v>0</v>
      </c>
    </row>
    <row r="72" spans="1:15" x14ac:dyDescent="0.25">
      <c r="A72" s="2">
        <v>42165</v>
      </c>
      <c r="B72">
        <v>16</v>
      </c>
      <c r="C72">
        <v>0</v>
      </c>
      <c r="D72">
        <f t="shared" si="1"/>
        <v>13827</v>
      </c>
      <c r="E72">
        <f>IF(C72=0,ROUNDUP($AB$3*POWER(pogoda48[[#This Row],[temperatura_srednia]],1.5)*pogoda48[[#This Row],[stan_przed_dolaniem]],0),0)</f>
        <v>266</v>
      </c>
      <c r="F72">
        <f>pogoda48[[#This Row],[stan_przed_dolaniem]]-pogoda48[[#This Row],[ubytek]]</f>
        <v>13561</v>
      </c>
      <c r="G72">
        <f>IF(pogoda48[[#This Row],[opady]]*$AB$1+D72&gt;$AB$2,$AB$2-pogoda48[[#This Row],[stan_przed_dolaniem]],pogoda48[[#This Row],[opady]]*$AB$1)</f>
        <v>0</v>
      </c>
      <c r="H72">
        <f>pogoda48[[#This Row],[stan_po_ubytku]]+pogoda48[[#This Row],[ile_pogoda_dolała]]</f>
        <v>13561</v>
      </c>
      <c r="I72" cm="1">
        <f t="array" ref="I72">_xlfn.IFS(OR(pogoda48[[#This Row],[temperatura_srednia]]&lt;=15,pogoda48[[#This Row],[opady]]&gt;0.61),0,pogoda48[[#This Row],[temperatura_srednia]]&gt;30,24000,pogoda48[[#This Row],[temperatura_srednia]]&gt;15,12000)</f>
        <v>12000</v>
      </c>
      <c r="J72">
        <f>IF(pogoda48[[#This Row],[stan_po_dolaniu]]&lt;pogoda48[[#This Row],[ile_podlewamy]],$AB$2-pogoda48[[#This Row],[stan_po_dolaniu]],0)</f>
        <v>0</v>
      </c>
      <c r="K72">
        <f>pogoda48[[#This Row],[stan_po_dolaniu]]+pogoda48[[#This Row],[ile_dolać_do_podlania]]</f>
        <v>13561</v>
      </c>
      <c r="L72">
        <f>pogoda48[[#This Row],[stan_po_dolaniu_do_podlania]]-pogoda48[[#This Row],[ile_podlewamy]]</f>
        <v>1561</v>
      </c>
      <c r="M72">
        <f>IF(pogoda48[[#This Row],[temperatura_srednia]]&lt;=15,1,0)</f>
        <v>0</v>
      </c>
      <c r="N72">
        <f>IF(AND(pogoda48[[#This Row],[temperatura_srednia]]&gt;15,pogoda48[[#This Row],[opady]]&lt;=0.61),1,0)</f>
        <v>1</v>
      </c>
      <c r="O72">
        <f>IF(AND(pogoda48[[#This Row],[temperatura_srednia]]&gt;15,pogoda48[[#This Row],[opady]]&gt;0.61),1,0)</f>
        <v>0</v>
      </c>
    </row>
    <row r="73" spans="1:15" x14ac:dyDescent="0.25">
      <c r="A73" s="2">
        <v>42166</v>
      </c>
      <c r="B73">
        <v>16</v>
      </c>
      <c r="C73">
        <v>0</v>
      </c>
      <c r="D73">
        <f t="shared" si="1"/>
        <v>1561</v>
      </c>
      <c r="E73">
        <f>IF(C73=0,ROUNDUP($AB$3*POWER(pogoda48[[#This Row],[temperatura_srednia]],1.5)*pogoda48[[#This Row],[stan_przed_dolaniem]],0),0)</f>
        <v>30</v>
      </c>
      <c r="F73">
        <f>pogoda48[[#This Row],[stan_przed_dolaniem]]-pogoda48[[#This Row],[ubytek]]</f>
        <v>1531</v>
      </c>
      <c r="G73">
        <f>IF(pogoda48[[#This Row],[opady]]*$AB$1+D73&gt;$AB$2,$AB$2-pogoda48[[#This Row],[stan_przed_dolaniem]],pogoda48[[#This Row],[opady]]*$AB$1)</f>
        <v>0</v>
      </c>
      <c r="H73">
        <f>pogoda48[[#This Row],[stan_po_ubytku]]+pogoda48[[#This Row],[ile_pogoda_dolała]]</f>
        <v>1531</v>
      </c>
      <c r="I73" cm="1">
        <f t="array" ref="I73">_xlfn.IFS(OR(pogoda48[[#This Row],[temperatura_srednia]]&lt;=15,pogoda48[[#This Row],[opady]]&gt;0.61),0,pogoda48[[#This Row],[temperatura_srednia]]&gt;30,24000,pogoda48[[#This Row],[temperatura_srednia]]&gt;15,12000)</f>
        <v>12000</v>
      </c>
      <c r="J73">
        <f>IF(pogoda48[[#This Row],[stan_po_dolaniu]]&lt;pogoda48[[#This Row],[ile_podlewamy]],$AB$2-pogoda48[[#This Row],[stan_po_dolaniu]],0)</f>
        <v>23469</v>
      </c>
      <c r="K73">
        <f>pogoda48[[#This Row],[stan_po_dolaniu]]+pogoda48[[#This Row],[ile_dolać_do_podlania]]</f>
        <v>25000</v>
      </c>
      <c r="L73">
        <f>pogoda48[[#This Row],[stan_po_dolaniu_do_podlania]]-pogoda48[[#This Row],[ile_podlewamy]]</f>
        <v>13000</v>
      </c>
      <c r="M73">
        <f>IF(pogoda48[[#This Row],[temperatura_srednia]]&lt;=15,1,0)</f>
        <v>0</v>
      </c>
      <c r="N73">
        <f>IF(AND(pogoda48[[#This Row],[temperatura_srednia]]&gt;15,pogoda48[[#This Row],[opady]]&lt;=0.61),1,0)</f>
        <v>1</v>
      </c>
      <c r="O73">
        <f>IF(AND(pogoda48[[#This Row],[temperatura_srednia]]&gt;15,pogoda48[[#This Row],[opady]]&gt;0.61),1,0)</f>
        <v>0</v>
      </c>
    </row>
    <row r="74" spans="1:15" x14ac:dyDescent="0.25">
      <c r="A74" s="2">
        <v>42167</v>
      </c>
      <c r="B74">
        <v>18</v>
      </c>
      <c r="C74">
        <v>5</v>
      </c>
      <c r="D74">
        <f t="shared" si="1"/>
        <v>13000</v>
      </c>
      <c r="E74">
        <f>IF(C74=0,ROUNDUP($AB$3*POWER(pogoda48[[#This Row],[temperatura_srednia]],1.5)*pogoda48[[#This Row],[stan_przed_dolaniem]],0),0)</f>
        <v>0</v>
      </c>
      <c r="F74">
        <f>pogoda48[[#This Row],[stan_przed_dolaniem]]-pogoda48[[#This Row],[ubytek]]</f>
        <v>13000</v>
      </c>
      <c r="G74">
        <f>IF(pogoda48[[#This Row],[opady]]*$AB$1+D74&gt;$AB$2,$AB$2-pogoda48[[#This Row],[stan_przed_dolaniem]],pogoda48[[#This Row],[opady]]*$AB$1)</f>
        <v>3500</v>
      </c>
      <c r="H74">
        <f>pogoda48[[#This Row],[stan_po_ubytku]]+pogoda48[[#This Row],[ile_pogoda_dolała]]</f>
        <v>16500</v>
      </c>
      <c r="I74" cm="1">
        <f t="array" ref="I74">_xlfn.IFS(OR(pogoda48[[#This Row],[temperatura_srednia]]&lt;=15,pogoda48[[#This Row],[opady]]&gt;0.61),0,pogoda48[[#This Row],[temperatura_srednia]]&gt;30,24000,pogoda48[[#This Row],[temperatura_srednia]]&gt;15,12000)</f>
        <v>0</v>
      </c>
      <c r="J74">
        <f>IF(pogoda48[[#This Row],[stan_po_dolaniu]]&lt;pogoda48[[#This Row],[ile_podlewamy]],$AB$2-pogoda48[[#This Row],[stan_po_dolaniu]],0)</f>
        <v>0</v>
      </c>
      <c r="K74">
        <f>pogoda48[[#This Row],[stan_po_dolaniu]]+pogoda48[[#This Row],[ile_dolać_do_podlania]]</f>
        <v>16500</v>
      </c>
      <c r="L74">
        <f>pogoda48[[#This Row],[stan_po_dolaniu_do_podlania]]-pogoda48[[#This Row],[ile_podlewamy]]</f>
        <v>16500</v>
      </c>
      <c r="M74">
        <f>IF(pogoda48[[#This Row],[temperatura_srednia]]&lt;=15,1,0)</f>
        <v>0</v>
      </c>
      <c r="N74">
        <f>IF(AND(pogoda48[[#This Row],[temperatura_srednia]]&gt;15,pogoda48[[#This Row],[opady]]&lt;=0.61),1,0)</f>
        <v>0</v>
      </c>
      <c r="O74">
        <f>IF(AND(pogoda48[[#This Row],[temperatura_srednia]]&gt;15,pogoda48[[#This Row],[opady]]&gt;0.61),1,0)</f>
        <v>1</v>
      </c>
    </row>
    <row r="75" spans="1:15" x14ac:dyDescent="0.25">
      <c r="A75" s="2">
        <v>42168</v>
      </c>
      <c r="B75">
        <v>19</v>
      </c>
      <c r="C75">
        <v>1</v>
      </c>
      <c r="D75">
        <f t="shared" si="1"/>
        <v>16500</v>
      </c>
      <c r="E75">
        <f>IF(C75=0,ROUNDUP($AB$3*POWER(pogoda48[[#This Row],[temperatura_srednia]],1.5)*pogoda48[[#This Row],[stan_przed_dolaniem]],0),0)</f>
        <v>0</v>
      </c>
      <c r="F75">
        <f>pogoda48[[#This Row],[stan_przed_dolaniem]]-pogoda48[[#This Row],[ubytek]]</f>
        <v>16500</v>
      </c>
      <c r="G75">
        <f>IF(pogoda48[[#This Row],[opady]]*$AB$1+D75&gt;$AB$2,$AB$2-pogoda48[[#This Row],[stan_przed_dolaniem]],pogoda48[[#This Row],[opady]]*$AB$1)</f>
        <v>700</v>
      </c>
      <c r="H75">
        <f>pogoda48[[#This Row],[stan_po_ubytku]]+pogoda48[[#This Row],[ile_pogoda_dolała]]</f>
        <v>17200</v>
      </c>
      <c r="I75" cm="1">
        <f t="array" ref="I75">_xlfn.IFS(OR(pogoda48[[#This Row],[temperatura_srednia]]&lt;=15,pogoda48[[#This Row],[opady]]&gt;0.61),0,pogoda48[[#This Row],[temperatura_srednia]]&gt;30,24000,pogoda48[[#This Row],[temperatura_srednia]]&gt;15,12000)</f>
        <v>0</v>
      </c>
      <c r="J75">
        <f>IF(pogoda48[[#This Row],[stan_po_dolaniu]]&lt;pogoda48[[#This Row],[ile_podlewamy]],$AB$2-pogoda48[[#This Row],[stan_po_dolaniu]],0)</f>
        <v>0</v>
      </c>
      <c r="K75">
        <f>pogoda48[[#This Row],[stan_po_dolaniu]]+pogoda48[[#This Row],[ile_dolać_do_podlania]]</f>
        <v>17200</v>
      </c>
      <c r="L75">
        <f>pogoda48[[#This Row],[stan_po_dolaniu_do_podlania]]-pogoda48[[#This Row],[ile_podlewamy]]</f>
        <v>17200</v>
      </c>
      <c r="M75">
        <f>IF(pogoda48[[#This Row],[temperatura_srednia]]&lt;=15,1,0)</f>
        <v>0</v>
      </c>
      <c r="N75">
        <f>IF(AND(pogoda48[[#This Row],[temperatura_srednia]]&gt;15,pogoda48[[#This Row],[opady]]&lt;=0.61),1,0)</f>
        <v>0</v>
      </c>
      <c r="O75">
        <f>IF(AND(pogoda48[[#This Row],[temperatura_srednia]]&gt;15,pogoda48[[#This Row],[opady]]&gt;0.61),1,0)</f>
        <v>1</v>
      </c>
    </row>
    <row r="76" spans="1:15" x14ac:dyDescent="0.25">
      <c r="A76" s="2">
        <v>42169</v>
      </c>
      <c r="B76">
        <v>22</v>
      </c>
      <c r="C76">
        <v>0</v>
      </c>
      <c r="D76">
        <f t="shared" si="1"/>
        <v>17200</v>
      </c>
      <c r="E76">
        <f>IF(C76=0,ROUNDUP($AB$3*POWER(pogoda48[[#This Row],[temperatura_srednia]],1.5)*pogoda48[[#This Row],[stan_przed_dolaniem]],0),0)</f>
        <v>533</v>
      </c>
      <c r="F76">
        <f>pogoda48[[#This Row],[stan_przed_dolaniem]]-pogoda48[[#This Row],[ubytek]]</f>
        <v>16667</v>
      </c>
      <c r="G76">
        <f>IF(pogoda48[[#This Row],[opady]]*$AB$1+D76&gt;$AB$2,$AB$2-pogoda48[[#This Row],[stan_przed_dolaniem]],pogoda48[[#This Row],[opady]]*$AB$1)</f>
        <v>0</v>
      </c>
      <c r="H76">
        <f>pogoda48[[#This Row],[stan_po_ubytku]]+pogoda48[[#This Row],[ile_pogoda_dolała]]</f>
        <v>16667</v>
      </c>
      <c r="I76" cm="1">
        <f t="array" ref="I76">_xlfn.IFS(OR(pogoda48[[#This Row],[temperatura_srednia]]&lt;=15,pogoda48[[#This Row],[opady]]&gt;0.61),0,pogoda48[[#This Row],[temperatura_srednia]]&gt;30,24000,pogoda48[[#This Row],[temperatura_srednia]]&gt;15,12000)</f>
        <v>12000</v>
      </c>
      <c r="J76">
        <f>IF(pogoda48[[#This Row],[stan_po_dolaniu]]&lt;pogoda48[[#This Row],[ile_podlewamy]],$AB$2-pogoda48[[#This Row],[stan_po_dolaniu]],0)</f>
        <v>0</v>
      </c>
      <c r="K76">
        <f>pogoda48[[#This Row],[stan_po_dolaniu]]+pogoda48[[#This Row],[ile_dolać_do_podlania]]</f>
        <v>16667</v>
      </c>
      <c r="L76">
        <f>pogoda48[[#This Row],[stan_po_dolaniu_do_podlania]]-pogoda48[[#This Row],[ile_podlewamy]]</f>
        <v>4667</v>
      </c>
      <c r="M76">
        <f>IF(pogoda48[[#This Row],[temperatura_srednia]]&lt;=15,1,0)</f>
        <v>0</v>
      </c>
      <c r="N76">
        <f>IF(AND(pogoda48[[#This Row],[temperatura_srednia]]&gt;15,pogoda48[[#This Row],[opady]]&lt;=0.61),1,0)</f>
        <v>1</v>
      </c>
      <c r="O76">
        <f>IF(AND(pogoda48[[#This Row],[temperatura_srednia]]&gt;15,pogoda48[[#This Row],[opady]]&gt;0.61),1,0)</f>
        <v>0</v>
      </c>
    </row>
    <row r="77" spans="1:15" x14ac:dyDescent="0.25">
      <c r="A77" s="2">
        <v>42170</v>
      </c>
      <c r="B77">
        <v>16</v>
      </c>
      <c r="C77">
        <v>0</v>
      </c>
      <c r="D77">
        <f t="shared" si="1"/>
        <v>4667</v>
      </c>
      <c r="E77">
        <f>IF(C77=0,ROUNDUP($AB$3*POWER(pogoda48[[#This Row],[temperatura_srednia]],1.5)*pogoda48[[#This Row],[stan_przed_dolaniem]],0),0)</f>
        <v>90</v>
      </c>
      <c r="F77">
        <f>pogoda48[[#This Row],[stan_przed_dolaniem]]-pogoda48[[#This Row],[ubytek]]</f>
        <v>4577</v>
      </c>
      <c r="G77">
        <f>IF(pogoda48[[#This Row],[opady]]*$AB$1+D77&gt;$AB$2,$AB$2-pogoda48[[#This Row],[stan_przed_dolaniem]],pogoda48[[#This Row],[opady]]*$AB$1)</f>
        <v>0</v>
      </c>
      <c r="H77">
        <f>pogoda48[[#This Row],[stan_po_ubytku]]+pogoda48[[#This Row],[ile_pogoda_dolała]]</f>
        <v>4577</v>
      </c>
      <c r="I77" cm="1">
        <f t="array" ref="I77">_xlfn.IFS(OR(pogoda48[[#This Row],[temperatura_srednia]]&lt;=15,pogoda48[[#This Row],[opady]]&gt;0.61),0,pogoda48[[#This Row],[temperatura_srednia]]&gt;30,24000,pogoda48[[#This Row],[temperatura_srednia]]&gt;15,12000)</f>
        <v>12000</v>
      </c>
      <c r="J77">
        <f>IF(pogoda48[[#This Row],[stan_po_dolaniu]]&lt;pogoda48[[#This Row],[ile_podlewamy]],$AB$2-pogoda48[[#This Row],[stan_po_dolaniu]],0)</f>
        <v>20423</v>
      </c>
      <c r="K77">
        <f>pogoda48[[#This Row],[stan_po_dolaniu]]+pogoda48[[#This Row],[ile_dolać_do_podlania]]</f>
        <v>25000</v>
      </c>
      <c r="L77">
        <f>pogoda48[[#This Row],[stan_po_dolaniu_do_podlania]]-pogoda48[[#This Row],[ile_podlewamy]]</f>
        <v>13000</v>
      </c>
      <c r="M77">
        <f>IF(pogoda48[[#This Row],[temperatura_srednia]]&lt;=15,1,0)</f>
        <v>0</v>
      </c>
      <c r="N77">
        <f>IF(AND(pogoda48[[#This Row],[temperatura_srednia]]&gt;15,pogoda48[[#This Row],[opady]]&lt;=0.61),1,0)</f>
        <v>1</v>
      </c>
      <c r="O77">
        <f>IF(AND(pogoda48[[#This Row],[temperatura_srednia]]&gt;15,pogoda48[[#This Row],[opady]]&gt;0.61),1,0)</f>
        <v>0</v>
      </c>
    </row>
    <row r="78" spans="1:15" x14ac:dyDescent="0.25">
      <c r="A78" s="2">
        <v>42171</v>
      </c>
      <c r="B78">
        <v>12</v>
      </c>
      <c r="C78">
        <v>0</v>
      </c>
      <c r="D78">
        <f t="shared" si="1"/>
        <v>13000</v>
      </c>
      <c r="E78">
        <f>IF(C78=0,ROUNDUP($AB$3*POWER(pogoda48[[#This Row],[temperatura_srednia]],1.5)*pogoda48[[#This Row],[stan_przed_dolaniem]],0),0)</f>
        <v>163</v>
      </c>
      <c r="F78">
        <f>pogoda48[[#This Row],[stan_przed_dolaniem]]-pogoda48[[#This Row],[ubytek]]</f>
        <v>12837</v>
      </c>
      <c r="G78">
        <f>IF(pogoda48[[#This Row],[opady]]*$AB$1+D78&gt;$AB$2,$AB$2-pogoda48[[#This Row],[stan_przed_dolaniem]],pogoda48[[#This Row],[opady]]*$AB$1)</f>
        <v>0</v>
      </c>
      <c r="H78">
        <f>pogoda48[[#This Row],[stan_po_ubytku]]+pogoda48[[#This Row],[ile_pogoda_dolała]]</f>
        <v>12837</v>
      </c>
      <c r="I78" cm="1">
        <f t="array" ref="I78">_xlfn.IFS(OR(pogoda48[[#This Row],[temperatura_srednia]]&lt;=15,pogoda48[[#This Row],[opady]]&gt;0.61),0,pogoda48[[#This Row],[temperatura_srednia]]&gt;30,24000,pogoda48[[#This Row],[temperatura_srednia]]&gt;15,12000)</f>
        <v>0</v>
      </c>
      <c r="J78">
        <f>IF(pogoda48[[#This Row],[stan_po_dolaniu]]&lt;pogoda48[[#This Row],[ile_podlewamy]],$AB$2-pogoda48[[#This Row],[stan_po_dolaniu]],0)</f>
        <v>0</v>
      </c>
      <c r="K78">
        <f>pogoda48[[#This Row],[stan_po_dolaniu]]+pogoda48[[#This Row],[ile_dolać_do_podlania]]</f>
        <v>12837</v>
      </c>
      <c r="L78">
        <f>pogoda48[[#This Row],[stan_po_dolaniu_do_podlania]]-pogoda48[[#This Row],[ile_podlewamy]]</f>
        <v>12837</v>
      </c>
      <c r="M78">
        <f>IF(pogoda48[[#This Row],[temperatura_srednia]]&lt;=15,1,0)</f>
        <v>1</v>
      </c>
      <c r="N78">
        <f>IF(AND(pogoda48[[#This Row],[temperatura_srednia]]&gt;15,pogoda48[[#This Row],[opady]]&lt;=0.61),1,0)</f>
        <v>0</v>
      </c>
      <c r="O78">
        <f>IF(AND(pogoda48[[#This Row],[temperatura_srednia]]&gt;15,pogoda48[[#This Row],[opady]]&gt;0.61),1,0)</f>
        <v>0</v>
      </c>
    </row>
    <row r="79" spans="1:15" x14ac:dyDescent="0.25">
      <c r="A79" s="2">
        <v>42172</v>
      </c>
      <c r="B79">
        <v>14</v>
      </c>
      <c r="C79">
        <v>0</v>
      </c>
      <c r="D79">
        <f t="shared" si="1"/>
        <v>12837</v>
      </c>
      <c r="E79">
        <f>IF(C79=0,ROUNDUP($AB$3*POWER(pogoda48[[#This Row],[temperatura_srednia]],1.5)*pogoda48[[#This Row],[stan_przed_dolaniem]],0),0)</f>
        <v>202</v>
      </c>
      <c r="F79">
        <f>pogoda48[[#This Row],[stan_przed_dolaniem]]-pogoda48[[#This Row],[ubytek]]</f>
        <v>12635</v>
      </c>
      <c r="G79">
        <f>IF(pogoda48[[#This Row],[opady]]*$AB$1+D79&gt;$AB$2,$AB$2-pogoda48[[#This Row],[stan_przed_dolaniem]],pogoda48[[#This Row],[opady]]*$AB$1)</f>
        <v>0</v>
      </c>
      <c r="H79">
        <f>pogoda48[[#This Row],[stan_po_ubytku]]+pogoda48[[#This Row],[ile_pogoda_dolała]]</f>
        <v>12635</v>
      </c>
      <c r="I79" cm="1">
        <f t="array" ref="I79">_xlfn.IFS(OR(pogoda48[[#This Row],[temperatura_srednia]]&lt;=15,pogoda48[[#This Row],[opady]]&gt;0.61),0,pogoda48[[#This Row],[temperatura_srednia]]&gt;30,24000,pogoda48[[#This Row],[temperatura_srednia]]&gt;15,12000)</f>
        <v>0</v>
      </c>
      <c r="J79">
        <f>IF(pogoda48[[#This Row],[stan_po_dolaniu]]&lt;pogoda48[[#This Row],[ile_podlewamy]],$AB$2-pogoda48[[#This Row],[stan_po_dolaniu]],0)</f>
        <v>0</v>
      </c>
      <c r="K79">
        <f>pogoda48[[#This Row],[stan_po_dolaniu]]+pogoda48[[#This Row],[ile_dolać_do_podlania]]</f>
        <v>12635</v>
      </c>
      <c r="L79">
        <f>pogoda48[[#This Row],[stan_po_dolaniu_do_podlania]]-pogoda48[[#This Row],[ile_podlewamy]]</f>
        <v>12635</v>
      </c>
      <c r="M79">
        <f>IF(pogoda48[[#This Row],[temperatura_srednia]]&lt;=15,1,0)</f>
        <v>1</v>
      </c>
      <c r="N79">
        <f>IF(AND(pogoda48[[#This Row],[temperatura_srednia]]&gt;15,pogoda48[[#This Row],[opady]]&lt;=0.61),1,0)</f>
        <v>0</v>
      </c>
      <c r="O79">
        <f>IF(AND(pogoda48[[#This Row],[temperatura_srednia]]&gt;15,pogoda48[[#This Row],[opady]]&gt;0.61),1,0)</f>
        <v>0</v>
      </c>
    </row>
    <row r="80" spans="1:15" x14ac:dyDescent="0.25">
      <c r="A80" s="2">
        <v>42173</v>
      </c>
      <c r="B80">
        <v>16</v>
      </c>
      <c r="C80">
        <v>0.3</v>
      </c>
      <c r="D80">
        <f t="shared" si="1"/>
        <v>12635</v>
      </c>
      <c r="E80">
        <f>IF(C80=0,ROUNDUP($AB$3*POWER(pogoda48[[#This Row],[temperatura_srednia]],1.5)*pogoda48[[#This Row],[stan_przed_dolaniem]],0),0)</f>
        <v>0</v>
      </c>
      <c r="F80">
        <f>pogoda48[[#This Row],[stan_przed_dolaniem]]-pogoda48[[#This Row],[ubytek]]</f>
        <v>12635</v>
      </c>
      <c r="G80">
        <f>IF(pogoda48[[#This Row],[opady]]*$AB$1+D80&gt;$AB$2,$AB$2-pogoda48[[#This Row],[stan_przed_dolaniem]],pogoda48[[#This Row],[opady]]*$AB$1)</f>
        <v>210</v>
      </c>
      <c r="H80">
        <f>pogoda48[[#This Row],[stan_po_ubytku]]+pogoda48[[#This Row],[ile_pogoda_dolała]]</f>
        <v>12845</v>
      </c>
      <c r="I80" cm="1">
        <f t="array" ref="I80">_xlfn.IFS(OR(pogoda48[[#This Row],[temperatura_srednia]]&lt;=15,pogoda48[[#This Row],[opady]]&gt;0.61),0,pogoda48[[#This Row],[temperatura_srednia]]&gt;30,24000,pogoda48[[#This Row],[temperatura_srednia]]&gt;15,12000)</f>
        <v>12000</v>
      </c>
      <c r="J80">
        <f>IF(pogoda48[[#This Row],[stan_po_dolaniu]]&lt;pogoda48[[#This Row],[ile_podlewamy]],$AB$2-pogoda48[[#This Row],[stan_po_dolaniu]],0)</f>
        <v>0</v>
      </c>
      <c r="K80">
        <f>pogoda48[[#This Row],[stan_po_dolaniu]]+pogoda48[[#This Row],[ile_dolać_do_podlania]]</f>
        <v>12845</v>
      </c>
      <c r="L80">
        <f>pogoda48[[#This Row],[stan_po_dolaniu_do_podlania]]-pogoda48[[#This Row],[ile_podlewamy]]</f>
        <v>845</v>
      </c>
      <c r="M80">
        <f>IF(pogoda48[[#This Row],[temperatura_srednia]]&lt;=15,1,0)</f>
        <v>0</v>
      </c>
      <c r="N80">
        <f>IF(AND(pogoda48[[#This Row],[temperatura_srednia]]&gt;15,pogoda48[[#This Row],[opady]]&lt;=0.61),1,0)</f>
        <v>1</v>
      </c>
      <c r="O80">
        <f>IF(AND(pogoda48[[#This Row],[temperatura_srednia]]&gt;15,pogoda48[[#This Row],[opady]]&gt;0.61),1,0)</f>
        <v>0</v>
      </c>
    </row>
    <row r="81" spans="1:15" x14ac:dyDescent="0.25">
      <c r="A81" s="2">
        <v>42174</v>
      </c>
      <c r="B81">
        <v>12</v>
      </c>
      <c r="C81">
        <v>3</v>
      </c>
      <c r="D81">
        <f t="shared" si="1"/>
        <v>845</v>
      </c>
      <c r="E81">
        <f>IF(C81=0,ROUNDUP($AB$3*POWER(pogoda48[[#This Row],[temperatura_srednia]],1.5)*pogoda48[[#This Row],[stan_przed_dolaniem]],0),0)</f>
        <v>0</v>
      </c>
      <c r="F81">
        <f>pogoda48[[#This Row],[stan_przed_dolaniem]]-pogoda48[[#This Row],[ubytek]]</f>
        <v>845</v>
      </c>
      <c r="G81">
        <f>IF(pogoda48[[#This Row],[opady]]*$AB$1+D81&gt;$AB$2,$AB$2-pogoda48[[#This Row],[stan_przed_dolaniem]],pogoda48[[#This Row],[opady]]*$AB$1)</f>
        <v>2100</v>
      </c>
      <c r="H81">
        <f>pogoda48[[#This Row],[stan_po_ubytku]]+pogoda48[[#This Row],[ile_pogoda_dolała]]</f>
        <v>2945</v>
      </c>
      <c r="I81" cm="1">
        <f t="array" ref="I81">_xlfn.IFS(OR(pogoda48[[#This Row],[temperatura_srednia]]&lt;=15,pogoda48[[#This Row],[opady]]&gt;0.61),0,pogoda48[[#This Row],[temperatura_srednia]]&gt;30,24000,pogoda48[[#This Row],[temperatura_srednia]]&gt;15,12000)</f>
        <v>0</v>
      </c>
      <c r="J81">
        <f>IF(pogoda48[[#This Row],[stan_po_dolaniu]]&lt;pogoda48[[#This Row],[ile_podlewamy]],$AB$2-pogoda48[[#This Row],[stan_po_dolaniu]],0)</f>
        <v>0</v>
      </c>
      <c r="K81">
        <f>pogoda48[[#This Row],[stan_po_dolaniu]]+pogoda48[[#This Row],[ile_dolać_do_podlania]]</f>
        <v>2945</v>
      </c>
      <c r="L81">
        <f>pogoda48[[#This Row],[stan_po_dolaniu_do_podlania]]-pogoda48[[#This Row],[ile_podlewamy]]</f>
        <v>2945</v>
      </c>
      <c r="M81">
        <f>IF(pogoda48[[#This Row],[temperatura_srednia]]&lt;=15,1,0)</f>
        <v>1</v>
      </c>
      <c r="N81">
        <f>IF(AND(pogoda48[[#This Row],[temperatura_srednia]]&gt;15,pogoda48[[#This Row],[opady]]&lt;=0.61),1,0)</f>
        <v>0</v>
      </c>
      <c r="O81">
        <f>IF(AND(pogoda48[[#This Row],[temperatura_srednia]]&gt;15,pogoda48[[#This Row],[opady]]&gt;0.61),1,0)</f>
        <v>0</v>
      </c>
    </row>
    <row r="82" spans="1:15" x14ac:dyDescent="0.25">
      <c r="A82" s="2">
        <v>42175</v>
      </c>
      <c r="B82">
        <v>13</v>
      </c>
      <c r="C82">
        <v>2</v>
      </c>
      <c r="D82">
        <f t="shared" si="1"/>
        <v>2945</v>
      </c>
      <c r="E82">
        <f>IF(C82=0,ROUNDUP($AB$3*POWER(pogoda48[[#This Row],[temperatura_srednia]],1.5)*pogoda48[[#This Row],[stan_przed_dolaniem]],0),0)</f>
        <v>0</v>
      </c>
      <c r="F82">
        <f>pogoda48[[#This Row],[stan_przed_dolaniem]]-pogoda48[[#This Row],[ubytek]]</f>
        <v>2945</v>
      </c>
      <c r="G82">
        <f>IF(pogoda48[[#This Row],[opady]]*$AB$1+D82&gt;$AB$2,$AB$2-pogoda48[[#This Row],[stan_przed_dolaniem]],pogoda48[[#This Row],[opady]]*$AB$1)</f>
        <v>1400</v>
      </c>
      <c r="H82">
        <f>pogoda48[[#This Row],[stan_po_ubytku]]+pogoda48[[#This Row],[ile_pogoda_dolała]]</f>
        <v>4345</v>
      </c>
      <c r="I82" cm="1">
        <f t="array" ref="I82">_xlfn.IFS(OR(pogoda48[[#This Row],[temperatura_srednia]]&lt;=15,pogoda48[[#This Row],[opady]]&gt;0.61),0,pogoda48[[#This Row],[temperatura_srednia]]&gt;30,24000,pogoda48[[#This Row],[temperatura_srednia]]&gt;15,12000)</f>
        <v>0</v>
      </c>
      <c r="J82">
        <f>IF(pogoda48[[#This Row],[stan_po_dolaniu]]&lt;pogoda48[[#This Row],[ile_podlewamy]],$AB$2-pogoda48[[#This Row],[stan_po_dolaniu]],0)</f>
        <v>0</v>
      </c>
      <c r="K82">
        <f>pogoda48[[#This Row],[stan_po_dolaniu]]+pogoda48[[#This Row],[ile_dolać_do_podlania]]</f>
        <v>4345</v>
      </c>
      <c r="L82">
        <f>pogoda48[[#This Row],[stan_po_dolaniu_do_podlania]]-pogoda48[[#This Row],[ile_podlewamy]]</f>
        <v>4345</v>
      </c>
      <c r="M82">
        <f>IF(pogoda48[[#This Row],[temperatura_srednia]]&lt;=15,1,0)</f>
        <v>1</v>
      </c>
      <c r="N82">
        <f>IF(AND(pogoda48[[#This Row],[temperatura_srednia]]&gt;15,pogoda48[[#This Row],[opady]]&lt;=0.61),1,0)</f>
        <v>0</v>
      </c>
      <c r="O82">
        <f>IF(AND(pogoda48[[#This Row],[temperatura_srednia]]&gt;15,pogoda48[[#This Row],[opady]]&gt;0.61),1,0)</f>
        <v>0</v>
      </c>
    </row>
    <row r="83" spans="1:15" x14ac:dyDescent="0.25">
      <c r="A83" s="2">
        <v>42176</v>
      </c>
      <c r="B83">
        <v>12</v>
      </c>
      <c r="C83">
        <v>0</v>
      </c>
      <c r="D83">
        <f t="shared" si="1"/>
        <v>4345</v>
      </c>
      <c r="E83">
        <f>IF(C83=0,ROUNDUP($AB$3*POWER(pogoda48[[#This Row],[temperatura_srednia]],1.5)*pogoda48[[#This Row],[stan_przed_dolaniem]],0),0)</f>
        <v>55</v>
      </c>
      <c r="F83">
        <f>pogoda48[[#This Row],[stan_przed_dolaniem]]-pogoda48[[#This Row],[ubytek]]</f>
        <v>4290</v>
      </c>
      <c r="G83">
        <f>IF(pogoda48[[#This Row],[opady]]*$AB$1+D83&gt;$AB$2,$AB$2-pogoda48[[#This Row],[stan_przed_dolaniem]],pogoda48[[#This Row],[opady]]*$AB$1)</f>
        <v>0</v>
      </c>
      <c r="H83">
        <f>pogoda48[[#This Row],[stan_po_ubytku]]+pogoda48[[#This Row],[ile_pogoda_dolała]]</f>
        <v>4290</v>
      </c>
      <c r="I83" cm="1">
        <f t="array" ref="I83">_xlfn.IFS(OR(pogoda48[[#This Row],[temperatura_srednia]]&lt;=15,pogoda48[[#This Row],[opady]]&gt;0.61),0,pogoda48[[#This Row],[temperatura_srednia]]&gt;30,24000,pogoda48[[#This Row],[temperatura_srednia]]&gt;15,12000)</f>
        <v>0</v>
      </c>
      <c r="J83">
        <f>IF(pogoda48[[#This Row],[stan_po_dolaniu]]&lt;pogoda48[[#This Row],[ile_podlewamy]],$AB$2-pogoda48[[#This Row],[stan_po_dolaniu]],0)</f>
        <v>0</v>
      </c>
      <c r="K83">
        <f>pogoda48[[#This Row],[stan_po_dolaniu]]+pogoda48[[#This Row],[ile_dolać_do_podlania]]</f>
        <v>4290</v>
      </c>
      <c r="L83">
        <f>pogoda48[[#This Row],[stan_po_dolaniu_do_podlania]]-pogoda48[[#This Row],[ile_podlewamy]]</f>
        <v>4290</v>
      </c>
      <c r="M83">
        <f>IF(pogoda48[[#This Row],[temperatura_srednia]]&lt;=15,1,0)</f>
        <v>1</v>
      </c>
      <c r="N83">
        <f>IF(AND(pogoda48[[#This Row],[temperatura_srednia]]&gt;15,pogoda48[[#This Row],[opady]]&lt;=0.61),1,0)</f>
        <v>0</v>
      </c>
      <c r="O83">
        <f>IF(AND(pogoda48[[#This Row],[temperatura_srednia]]&gt;15,pogoda48[[#This Row],[opady]]&gt;0.61),1,0)</f>
        <v>0</v>
      </c>
    </row>
    <row r="84" spans="1:15" x14ac:dyDescent="0.25">
      <c r="A84" s="2">
        <v>42177</v>
      </c>
      <c r="B84">
        <v>12</v>
      </c>
      <c r="C84">
        <v>3</v>
      </c>
      <c r="D84">
        <f t="shared" si="1"/>
        <v>4290</v>
      </c>
      <c r="E84">
        <f>IF(C84=0,ROUNDUP($AB$3*POWER(pogoda48[[#This Row],[temperatura_srednia]],1.5)*pogoda48[[#This Row],[stan_przed_dolaniem]],0),0)</f>
        <v>0</v>
      </c>
      <c r="F84">
        <f>pogoda48[[#This Row],[stan_przed_dolaniem]]-pogoda48[[#This Row],[ubytek]]</f>
        <v>4290</v>
      </c>
      <c r="G84">
        <f>IF(pogoda48[[#This Row],[opady]]*$AB$1+D84&gt;$AB$2,$AB$2-pogoda48[[#This Row],[stan_przed_dolaniem]],pogoda48[[#This Row],[opady]]*$AB$1)</f>
        <v>2100</v>
      </c>
      <c r="H84">
        <f>pogoda48[[#This Row],[stan_po_ubytku]]+pogoda48[[#This Row],[ile_pogoda_dolała]]</f>
        <v>6390</v>
      </c>
      <c r="I84" cm="1">
        <f t="array" ref="I84">_xlfn.IFS(OR(pogoda48[[#This Row],[temperatura_srednia]]&lt;=15,pogoda48[[#This Row],[opady]]&gt;0.61),0,pogoda48[[#This Row],[temperatura_srednia]]&gt;30,24000,pogoda48[[#This Row],[temperatura_srednia]]&gt;15,12000)</f>
        <v>0</v>
      </c>
      <c r="J84">
        <f>IF(pogoda48[[#This Row],[stan_po_dolaniu]]&lt;pogoda48[[#This Row],[ile_podlewamy]],$AB$2-pogoda48[[#This Row],[stan_po_dolaniu]],0)</f>
        <v>0</v>
      </c>
      <c r="K84">
        <f>pogoda48[[#This Row],[stan_po_dolaniu]]+pogoda48[[#This Row],[ile_dolać_do_podlania]]</f>
        <v>6390</v>
      </c>
      <c r="L84">
        <f>pogoda48[[#This Row],[stan_po_dolaniu_do_podlania]]-pogoda48[[#This Row],[ile_podlewamy]]</f>
        <v>6390</v>
      </c>
      <c r="M84">
        <f>IF(pogoda48[[#This Row],[temperatura_srednia]]&lt;=15,1,0)</f>
        <v>1</v>
      </c>
      <c r="N84">
        <f>IF(AND(pogoda48[[#This Row],[temperatura_srednia]]&gt;15,pogoda48[[#This Row],[opady]]&lt;=0.61),1,0)</f>
        <v>0</v>
      </c>
      <c r="O84">
        <f>IF(AND(pogoda48[[#This Row],[temperatura_srednia]]&gt;15,pogoda48[[#This Row],[opady]]&gt;0.61),1,0)</f>
        <v>0</v>
      </c>
    </row>
    <row r="85" spans="1:15" x14ac:dyDescent="0.25">
      <c r="A85" s="2">
        <v>42178</v>
      </c>
      <c r="B85">
        <v>13</v>
      </c>
      <c r="C85">
        <v>3</v>
      </c>
      <c r="D85">
        <f t="shared" si="1"/>
        <v>6390</v>
      </c>
      <c r="E85">
        <f>IF(C85=0,ROUNDUP($AB$3*POWER(pogoda48[[#This Row],[temperatura_srednia]],1.5)*pogoda48[[#This Row],[stan_przed_dolaniem]],0),0)</f>
        <v>0</v>
      </c>
      <c r="F85">
        <f>pogoda48[[#This Row],[stan_przed_dolaniem]]-pogoda48[[#This Row],[ubytek]]</f>
        <v>6390</v>
      </c>
      <c r="G85">
        <f>IF(pogoda48[[#This Row],[opady]]*$AB$1+D85&gt;$AB$2,$AB$2-pogoda48[[#This Row],[stan_przed_dolaniem]],pogoda48[[#This Row],[opady]]*$AB$1)</f>
        <v>2100</v>
      </c>
      <c r="H85">
        <f>pogoda48[[#This Row],[stan_po_ubytku]]+pogoda48[[#This Row],[ile_pogoda_dolała]]</f>
        <v>8490</v>
      </c>
      <c r="I85" cm="1">
        <f t="array" ref="I85">_xlfn.IFS(OR(pogoda48[[#This Row],[temperatura_srednia]]&lt;=15,pogoda48[[#This Row],[opady]]&gt;0.61),0,pogoda48[[#This Row],[temperatura_srednia]]&gt;30,24000,pogoda48[[#This Row],[temperatura_srednia]]&gt;15,12000)</f>
        <v>0</v>
      </c>
      <c r="J85">
        <f>IF(pogoda48[[#This Row],[stan_po_dolaniu]]&lt;pogoda48[[#This Row],[ile_podlewamy]],$AB$2-pogoda48[[#This Row],[stan_po_dolaniu]],0)</f>
        <v>0</v>
      </c>
      <c r="K85">
        <f>pogoda48[[#This Row],[stan_po_dolaniu]]+pogoda48[[#This Row],[ile_dolać_do_podlania]]</f>
        <v>8490</v>
      </c>
      <c r="L85">
        <f>pogoda48[[#This Row],[stan_po_dolaniu_do_podlania]]-pogoda48[[#This Row],[ile_podlewamy]]</f>
        <v>8490</v>
      </c>
      <c r="M85">
        <f>IF(pogoda48[[#This Row],[temperatura_srednia]]&lt;=15,1,0)</f>
        <v>1</v>
      </c>
      <c r="N85">
        <f>IF(AND(pogoda48[[#This Row],[temperatura_srednia]]&gt;15,pogoda48[[#This Row],[opady]]&lt;=0.61),1,0)</f>
        <v>0</v>
      </c>
      <c r="O85">
        <f>IF(AND(pogoda48[[#This Row],[temperatura_srednia]]&gt;15,pogoda48[[#This Row],[opady]]&gt;0.61),1,0)</f>
        <v>0</v>
      </c>
    </row>
    <row r="86" spans="1:15" x14ac:dyDescent="0.25">
      <c r="A86" s="2">
        <v>42179</v>
      </c>
      <c r="B86">
        <v>12</v>
      </c>
      <c r="C86">
        <v>0</v>
      </c>
      <c r="D86">
        <f t="shared" si="1"/>
        <v>8490</v>
      </c>
      <c r="E86">
        <f>IF(C86=0,ROUNDUP($AB$3*POWER(pogoda48[[#This Row],[temperatura_srednia]],1.5)*pogoda48[[#This Row],[stan_przed_dolaniem]],0),0)</f>
        <v>106</v>
      </c>
      <c r="F86">
        <f>pogoda48[[#This Row],[stan_przed_dolaniem]]-pogoda48[[#This Row],[ubytek]]</f>
        <v>8384</v>
      </c>
      <c r="G86">
        <f>IF(pogoda48[[#This Row],[opady]]*$AB$1+D86&gt;$AB$2,$AB$2-pogoda48[[#This Row],[stan_przed_dolaniem]],pogoda48[[#This Row],[opady]]*$AB$1)</f>
        <v>0</v>
      </c>
      <c r="H86">
        <f>pogoda48[[#This Row],[stan_po_ubytku]]+pogoda48[[#This Row],[ile_pogoda_dolała]]</f>
        <v>8384</v>
      </c>
      <c r="I86" cm="1">
        <f t="array" ref="I86">_xlfn.IFS(OR(pogoda48[[#This Row],[temperatura_srednia]]&lt;=15,pogoda48[[#This Row],[opady]]&gt;0.61),0,pogoda48[[#This Row],[temperatura_srednia]]&gt;30,24000,pogoda48[[#This Row],[temperatura_srednia]]&gt;15,12000)</f>
        <v>0</v>
      </c>
      <c r="J86">
        <f>IF(pogoda48[[#This Row],[stan_po_dolaniu]]&lt;pogoda48[[#This Row],[ile_podlewamy]],$AB$2-pogoda48[[#This Row],[stan_po_dolaniu]],0)</f>
        <v>0</v>
      </c>
      <c r="K86">
        <f>pogoda48[[#This Row],[stan_po_dolaniu]]+pogoda48[[#This Row],[ile_dolać_do_podlania]]</f>
        <v>8384</v>
      </c>
      <c r="L86">
        <f>pogoda48[[#This Row],[stan_po_dolaniu_do_podlania]]-pogoda48[[#This Row],[ile_podlewamy]]</f>
        <v>8384</v>
      </c>
      <c r="M86">
        <f>IF(pogoda48[[#This Row],[temperatura_srednia]]&lt;=15,1,0)</f>
        <v>1</v>
      </c>
      <c r="N86">
        <f>IF(AND(pogoda48[[#This Row],[temperatura_srednia]]&gt;15,pogoda48[[#This Row],[opady]]&lt;=0.61),1,0)</f>
        <v>0</v>
      </c>
      <c r="O86">
        <f>IF(AND(pogoda48[[#This Row],[temperatura_srednia]]&gt;15,pogoda48[[#This Row],[opady]]&gt;0.61),1,0)</f>
        <v>0</v>
      </c>
    </row>
    <row r="87" spans="1:15" x14ac:dyDescent="0.25">
      <c r="A87" s="2">
        <v>42180</v>
      </c>
      <c r="B87">
        <v>16</v>
      </c>
      <c r="C87">
        <v>0</v>
      </c>
      <c r="D87">
        <f t="shared" si="1"/>
        <v>8384</v>
      </c>
      <c r="E87">
        <f>IF(C87=0,ROUNDUP($AB$3*POWER(pogoda48[[#This Row],[temperatura_srednia]],1.5)*pogoda48[[#This Row],[stan_przed_dolaniem]],0),0)</f>
        <v>161</v>
      </c>
      <c r="F87">
        <f>pogoda48[[#This Row],[stan_przed_dolaniem]]-pogoda48[[#This Row],[ubytek]]</f>
        <v>8223</v>
      </c>
      <c r="G87">
        <f>IF(pogoda48[[#This Row],[opady]]*$AB$1+D87&gt;$AB$2,$AB$2-pogoda48[[#This Row],[stan_przed_dolaniem]],pogoda48[[#This Row],[opady]]*$AB$1)</f>
        <v>0</v>
      </c>
      <c r="H87">
        <f>pogoda48[[#This Row],[stan_po_ubytku]]+pogoda48[[#This Row],[ile_pogoda_dolała]]</f>
        <v>8223</v>
      </c>
      <c r="I87" cm="1">
        <f t="array" ref="I87">_xlfn.IFS(OR(pogoda48[[#This Row],[temperatura_srednia]]&lt;=15,pogoda48[[#This Row],[opady]]&gt;0.61),0,pogoda48[[#This Row],[temperatura_srednia]]&gt;30,24000,pogoda48[[#This Row],[temperatura_srednia]]&gt;15,12000)</f>
        <v>12000</v>
      </c>
      <c r="J87">
        <f>IF(pogoda48[[#This Row],[stan_po_dolaniu]]&lt;pogoda48[[#This Row],[ile_podlewamy]],$AB$2-pogoda48[[#This Row],[stan_po_dolaniu]],0)</f>
        <v>16777</v>
      </c>
      <c r="K87">
        <f>pogoda48[[#This Row],[stan_po_dolaniu]]+pogoda48[[#This Row],[ile_dolać_do_podlania]]</f>
        <v>25000</v>
      </c>
      <c r="L87">
        <f>pogoda48[[#This Row],[stan_po_dolaniu_do_podlania]]-pogoda48[[#This Row],[ile_podlewamy]]</f>
        <v>13000</v>
      </c>
      <c r="M87">
        <f>IF(pogoda48[[#This Row],[temperatura_srednia]]&lt;=15,1,0)</f>
        <v>0</v>
      </c>
      <c r="N87">
        <f>IF(AND(pogoda48[[#This Row],[temperatura_srednia]]&gt;15,pogoda48[[#This Row],[opady]]&lt;=0.61),1,0)</f>
        <v>1</v>
      </c>
      <c r="O87">
        <f>IF(AND(pogoda48[[#This Row],[temperatura_srednia]]&gt;15,pogoda48[[#This Row],[opady]]&gt;0.61),1,0)</f>
        <v>0</v>
      </c>
    </row>
    <row r="88" spans="1:15" x14ac:dyDescent="0.25">
      <c r="A88" s="2">
        <v>42181</v>
      </c>
      <c r="B88">
        <v>16</v>
      </c>
      <c r="C88">
        <v>7</v>
      </c>
      <c r="D88">
        <f t="shared" si="1"/>
        <v>13000</v>
      </c>
      <c r="E88">
        <f>IF(C88=0,ROUNDUP($AB$3*POWER(pogoda48[[#This Row],[temperatura_srednia]],1.5)*pogoda48[[#This Row],[stan_przed_dolaniem]],0),0)</f>
        <v>0</v>
      </c>
      <c r="F88">
        <f>pogoda48[[#This Row],[stan_przed_dolaniem]]-pogoda48[[#This Row],[ubytek]]</f>
        <v>13000</v>
      </c>
      <c r="G88">
        <f>IF(pogoda48[[#This Row],[opady]]*$AB$1+D88&gt;$AB$2,$AB$2-pogoda48[[#This Row],[stan_przed_dolaniem]],pogoda48[[#This Row],[opady]]*$AB$1)</f>
        <v>4900</v>
      </c>
      <c r="H88">
        <f>pogoda48[[#This Row],[stan_po_ubytku]]+pogoda48[[#This Row],[ile_pogoda_dolała]]</f>
        <v>17900</v>
      </c>
      <c r="I88" cm="1">
        <f t="array" ref="I88">_xlfn.IFS(OR(pogoda48[[#This Row],[temperatura_srednia]]&lt;=15,pogoda48[[#This Row],[opady]]&gt;0.61),0,pogoda48[[#This Row],[temperatura_srednia]]&gt;30,24000,pogoda48[[#This Row],[temperatura_srednia]]&gt;15,12000)</f>
        <v>0</v>
      </c>
      <c r="J88">
        <f>IF(pogoda48[[#This Row],[stan_po_dolaniu]]&lt;pogoda48[[#This Row],[ile_podlewamy]],$AB$2-pogoda48[[#This Row],[stan_po_dolaniu]],0)</f>
        <v>0</v>
      </c>
      <c r="K88">
        <f>pogoda48[[#This Row],[stan_po_dolaniu]]+pogoda48[[#This Row],[ile_dolać_do_podlania]]</f>
        <v>17900</v>
      </c>
      <c r="L88">
        <f>pogoda48[[#This Row],[stan_po_dolaniu_do_podlania]]-pogoda48[[#This Row],[ile_podlewamy]]</f>
        <v>17900</v>
      </c>
      <c r="M88">
        <f>IF(pogoda48[[#This Row],[temperatura_srednia]]&lt;=15,1,0)</f>
        <v>0</v>
      </c>
      <c r="N88">
        <f>IF(AND(pogoda48[[#This Row],[temperatura_srednia]]&gt;15,pogoda48[[#This Row],[opady]]&lt;=0.61),1,0)</f>
        <v>0</v>
      </c>
      <c r="O88">
        <f>IF(AND(pogoda48[[#This Row],[temperatura_srednia]]&gt;15,pogoda48[[#This Row],[opady]]&gt;0.61),1,0)</f>
        <v>1</v>
      </c>
    </row>
    <row r="89" spans="1:15" x14ac:dyDescent="0.25">
      <c r="A89" s="2">
        <v>42182</v>
      </c>
      <c r="B89">
        <v>18</v>
      </c>
      <c r="C89">
        <v>6</v>
      </c>
      <c r="D89">
        <f t="shared" si="1"/>
        <v>17900</v>
      </c>
      <c r="E89">
        <f>IF(C89=0,ROUNDUP($AB$3*POWER(pogoda48[[#This Row],[temperatura_srednia]],1.5)*pogoda48[[#This Row],[stan_przed_dolaniem]],0),0)</f>
        <v>0</v>
      </c>
      <c r="F89">
        <f>pogoda48[[#This Row],[stan_przed_dolaniem]]-pogoda48[[#This Row],[ubytek]]</f>
        <v>17900</v>
      </c>
      <c r="G89">
        <f>IF(pogoda48[[#This Row],[opady]]*$AB$1+D89&gt;$AB$2,$AB$2-pogoda48[[#This Row],[stan_przed_dolaniem]],pogoda48[[#This Row],[opady]]*$AB$1)</f>
        <v>4200</v>
      </c>
      <c r="H89">
        <f>pogoda48[[#This Row],[stan_po_ubytku]]+pogoda48[[#This Row],[ile_pogoda_dolała]]</f>
        <v>22100</v>
      </c>
      <c r="I89" cm="1">
        <f t="array" ref="I89">_xlfn.IFS(OR(pogoda48[[#This Row],[temperatura_srednia]]&lt;=15,pogoda48[[#This Row],[opady]]&gt;0.61),0,pogoda48[[#This Row],[temperatura_srednia]]&gt;30,24000,pogoda48[[#This Row],[temperatura_srednia]]&gt;15,12000)</f>
        <v>0</v>
      </c>
      <c r="J89">
        <f>IF(pogoda48[[#This Row],[stan_po_dolaniu]]&lt;pogoda48[[#This Row],[ile_podlewamy]],$AB$2-pogoda48[[#This Row],[stan_po_dolaniu]],0)</f>
        <v>0</v>
      </c>
      <c r="K89">
        <f>pogoda48[[#This Row],[stan_po_dolaniu]]+pogoda48[[#This Row],[ile_dolać_do_podlania]]</f>
        <v>22100</v>
      </c>
      <c r="L89">
        <f>pogoda48[[#This Row],[stan_po_dolaniu_do_podlania]]-pogoda48[[#This Row],[ile_podlewamy]]</f>
        <v>22100</v>
      </c>
      <c r="M89">
        <f>IF(pogoda48[[#This Row],[temperatura_srednia]]&lt;=15,1,0)</f>
        <v>0</v>
      </c>
      <c r="N89">
        <f>IF(AND(pogoda48[[#This Row],[temperatura_srednia]]&gt;15,pogoda48[[#This Row],[opady]]&lt;=0.61),1,0)</f>
        <v>0</v>
      </c>
      <c r="O89">
        <f>IF(AND(pogoda48[[#This Row],[temperatura_srednia]]&gt;15,pogoda48[[#This Row],[opady]]&gt;0.61),1,0)</f>
        <v>1</v>
      </c>
    </row>
    <row r="90" spans="1:15" x14ac:dyDescent="0.25">
      <c r="A90" s="2">
        <v>42183</v>
      </c>
      <c r="B90">
        <v>16</v>
      </c>
      <c r="C90">
        <v>0</v>
      </c>
      <c r="D90">
        <f t="shared" si="1"/>
        <v>22100</v>
      </c>
      <c r="E90">
        <f>IF(C90=0,ROUNDUP($AB$3*POWER(pogoda48[[#This Row],[temperatura_srednia]],1.5)*pogoda48[[#This Row],[stan_przed_dolaniem]],0),0)</f>
        <v>425</v>
      </c>
      <c r="F90">
        <f>pogoda48[[#This Row],[stan_przed_dolaniem]]-pogoda48[[#This Row],[ubytek]]</f>
        <v>21675</v>
      </c>
      <c r="G90">
        <f>IF(pogoda48[[#This Row],[opady]]*$AB$1+D90&gt;$AB$2,$AB$2-pogoda48[[#This Row],[stan_przed_dolaniem]],pogoda48[[#This Row],[opady]]*$AB$1)</f>
        <v>0</v>
      </c>
      <c r="H90">
        <f>pogoda48[[#This Row],[stan_po_ubytku]]+pogoda48[[#This Row],[ile_pogoda_dolała]]</f>
        <v>21675</v>
      </c>
      <c r="I90" cm="1">
        <f t="array" ref="I90">_xlfn.IFS(OR(pogoda48[[#This Row],[temperatura_srednia]]&lt;=15,pogoda48[[#This Row],[opady]]&gt;0.61),0,pogoda48[[#This Row],[temperatura_srednia]]&gt;30,24000,pogoda48[[#This Row],[temperatura_srednia]]&gt;15,12000)</f>
        <v>12000</v>
      </c>
      <c r="J90">
        <f>IF(pogoda48[[#This Row],[stan_po_dolaniu]]&lt;pogoda48[[#This Row],[ile_podlewamy]],$AB$2-pogoda48[[#This Row],[stan_po_dolaniu]],0)</f>
        <v>0</v>
      </c>
      <c r="K90">
        <f>pogoda48[[#This Row],[stan_po_dolaniu]]+pogoda48[[#This Row],[ile_dolać_do_podlania]]</f>
        <v>21675</v>
      </c>
      <c r="L90">
        <f>pogoda48[[#This Row],[stan_po_dolaniu_do_podlania]]-pogoda48[[#This Row],[ile_podlewamy]]</f>
        <v>9675</v>
      </c>
      <c r="M90">
        <f>IF(pogoda48[[#This Row],[temperatura_srednia]]&lt;=15,1,0)</f>
        <v>0</v>
      </c>
      <c r="N90">
        <f>IF(AND(pogoda48[[#This Row],[temperatura_srednia]]&gt;15,pogoda48[[#This Row],[opady]]&lt;=0.61),1,0)</f>
        <v>1</v>
      </c>
      <c r="O90">
        <f>IF(AND(pogoda48[[#This Row],[temperatura_srednia]]&gt;15,pogoda48[[#This Row],[opady]]&gt;0.61),1,0)</f>
        <v>0</v>
      </c>
    </row>
    <row r="91" spans="1:15" x14ac:dyDescent="0.25">
      <c r="A91" s="2">
        <v>42184</v>
      </c>
      <c r="B91">
        <v>16</v>
      </c>
      <c r="C91">
        <v>0</v>
      </c>
      <c r="D91">
        <f t="shared" si="1"/>
        <v>9675</v>
      </c>
      <c r="E91">
        <f>IF(C91=0,ROUNDUP($AB$3*POWER(pogoda48[[#This Row],[temperatura_srednia]],1.5)*pogoda48[[#This Row],[stan_przed_dolaniem]],0),0)</f>
        <v>186</v>
      </c>
      <c r="F91">
        <f>pogoda48[[#This Row],[stan_przed_dolaniem]]-pogoda48[[#This Row],[ubytek]]</f>
        <v>9489</v>
      </c>
      <c r="G91">
        <f>IF(pogoda48[[#This Row],[opady]]*$AB$1+D91&gt;$AB$2,$AB$2-pogoda48[[#This Row],[stan_przed_dolaniem]],pogoda48[[#This Row],[opady]]*$AB$1)</f>
        <v>0</v>
      </c>
      <c r="H91">
        <f>pogoda48[[#This Row],[stan_po_ubytku]]+pogoda48[[#This Row],[ile_pogoda_dolała]]</f>
        <v>9489</v>
      </c>
      <c r="I91" cm="1">
        <f t="array" ref="I91">_xlfn.IFS(OR(pogoda48[[#This Row],[temperatura_srednia]]&lt;=15,pogoda48[[#This Row],[opady]]&gt;0.61),0,pogoda48[[#This Row],[temperatura_srednia]]&gt;30,24000,pogoda48[[#This Row],[temperatura_srednia]]&gt;15,12000)</f>
        <v>12000</v>
      </c>
      <c r="J91">
        <f>IF(pogoda48[[#This Row],[stan_po_dolaniu]]&lt;pogoda48[[#This Row],[ile_podlewamy]],$AB$2-pogoda48[[#This Row],[stan_po_dolaniu]],0)</f>
        <v>15511</v>
      </c>
      <c r="K91">
        <f>pogoda48[[#This Row],[stan_po_dolaniu]]+pogoda48[[#This Row],[ile_dolać_do_podlania]]</f>
        <v>25000</v>
      </c>
      <c r="L91">
        <f>pogoda48[[#This Row],[stan_po_dolaniu_do_podlania]]-pogoda48[[#This Row],[ile_podlewamy]]</f>
        <v>13000</v>
      </c>
      <c r="M91">
        <f>IF(pogoda48[[#This Row],[temperatura_srednia]]&lt;=15,1,0)</f>
        <v>0</v>
      </c>
      <c r="N91">
        <f>IF(AND(pogoda48[[#This Row],[temperatura_srednia]]&gt;15,pogoda48[[#This Row],[opady]]&lt;=0.61),1,0)</f>
        <v>1</v>
      </c>
      <c r="O91">
        <f>IF(AND(pogoda48[[#This Row],[temperatura_srednia]]&gt;15,pogoda48[[#This Row],[opady]]&gt;0.61),1,0)</f>
        <v>0</v>
      </c>
    </row>
    <row r="92" spans="1:15" x14ac:dyDescent="0.25">
      <c r="A92" s="2">
        <v>42185</v>
      </c>
      <c r="B92">
        <v>19</v>
      </c>
      <c r="C92">
        <v>0</v>
      </c>
      <c r="D92">
        <f t="shared" si="1"/>
        <v>13000</v>
      </c>
      <c r="E92">
        <f>IF(C92=0,ROUNDUP($AB$3*POWER(pogoda48[[#This Row],[temperatura_srednia]],1.5)*pogoda48[[#This Row],[stan_przed_dolaniem]],0),0)</f>
        <v>323</v>
      </c>
      <c r="F92">
        <f>pogoda48[[#This Row],[stan_przed_dolaniem]]-pogoda48[[#This Row],[ubytek]]</f>
        <v>12677</v>
      </c>
      <c r="G92">
        <f>IF(pogoda48[[#This Row],[opady]]*$AB$1+D92&gt;$AB$2,$AB$2-pogoda48[[#This Row],[stan_przed_dolaniem]],pogoda48[[#This Row],[opady]]*$AB$1)</f>
        <v>0</v>
      </c>
      <c r="H92">
        <f>pogoda48[[#This Row],[stan_po_ubytku]]+pogoda48[[#This Row],[ile_pogoda_dolała]]</f>
        <v>12677</v>
      </c>
      <c r="I92" cm="1">
        <f t="array" ref="I92">_xlfn.IFS(OR(pogoda48[[#This Row],[temperatura_srednia]]&lt;=15,pogoda48[[#This Row],[opady]]&gt;0.61),0,pogoda48[[#This Row],[temperatura_srednia]]&gt;30,24000,pogoda48[[#This Row],[temperatura_srednia]]&gt;15,12000)</f>
        <v>12000</v>
      </c>
      <c r="J92">
        <f>IF(pogoda48[[#This Row],[stan_po_dolaniu]]&lt;pogoda48[[#This Row],[ile_podlewamy]],$AB$2-pogoda48[[#This Row],[stan_po_dolaniu]],0)</f>
        <v>0</v>
      </c>
      <c r="K92">
        <f>pogoda48[[#This Row],[stan_po_dolaniu]]+pogoda48[[#This Row],[ile_dolać_do_podlania]]</f>
        <v>12677</v>
      </c>
      <c r="L92">
        <f>pogoda48[[#This Row],[stan_po_dolaniu_do_podlania]]-pogoda48[[#This Row],[ile_podlewamy]]</f>
        <v>677</v>
      </c>
      <c r="M92">
        <f>IF(pogoda48[[#This Row],[temperatura_srednia]]&lt;=15,1,0)</f>
        <v>0</v>
      </c>
      <c r="N92">
        <f>IF(AND(pogoda48[[#This Row],[temperatura_srednia]]&gt;15,pogoda48[[#This Row],[opady]]&lt;=0.61),1,0)</f>
        <v>1</v>
      </c>
      <c r="O92">
        <f>IF(AND(pogoda48[[#This Row],[temperatura_srednia]]&gt;15,pogoda48[[#This Row],[opady]]&gt;0.61),1,0)</f>
        <v>0</v>
      </c>
    </row>
    <row r="93" spans="1:15" x14ac:dyDescent="0.25">
      <c r="A93" s="2">
        <v>42186</v>
      </c>
      <c r="B93">
        <v>18</v>
      </c>
      <c r="C93">
        <v>0</v>
      </c>
      <c r="D93">
        <f t="shared" si="1"/>
        <v>677</v>
      </c>
      <c r="E93">
        <f>IF(C93=0,ROUNDUP($AB$3*POWER(pogoda48[[#This Row],[temperatura_srednia]],1.5)*pogoda48[[#This Row],[stan_przed_dolaniem]],0),0)</f>
        <v>16</v>
      </c>
      <c r="F93">
        <f>pogoda48[[#This Row],[stan_przed_dolaniem]]-pogoda48[[#This Row],[ubytek]]</f>
        <v>661</v>
      </c>
      <c r="G93">
        <f>IF(pogoda48[[#This Row],[opady]]*$AB$1+D93&gt;$AB$2,$AB$2-pogoda48[[#This Row],[stan_przed_dolaniem]],pogoda48[[#This Row],[opady]]*$AB$1)</f>
        <v>0</v>
      </c>
      <c r="H93">
        <f>pogoda48[[#This Row],[stan_po_ubytku]]+pogoda48[[#This Row],[ile_pogoda_dolała]]</f>
        <v>661</v>
      </c>
      <c r="I93" cm="1">
        <f t="array" ref="I93">_xlfn.IFS(OR(pogoda48[[#This Row],[temperatura_srednia]]&lt;=15,pogoda48[[#This Row],[opady]]&gt;0.61),0,pogoda48[[#This Row],[temperatura_srednia]]&gt;30,24000,pogoda48[[#This Row],[temperatura_srednia]]&gt;15,12000)</f>
        <v>12000</v>
      </c>
      <c r="J93">
        <f>IF(pogoda48[[#This Row],[stan_po_dolaniu]]&lt;pogoda48[[#This Row],[ile_podlewamy]],$AB$2-pogoda48[[#This Row],[stan_po_dolaniu]],0)</f>
        <v>24339</v>
      </c>
      <c r="K93">
        <f>pogoda48[[#This Row],[stan_po_dolaniu]]+pogoda48[[#This Row],[ile_dolać_do_podlania]]</f>
        <v>25000</v>
      </c>
      <c r="L93">
        <f>pogoda48[[#This Row],[stan_po_dolaniu_do_podlania]]-pogoda48[[#This Row],[ile_podlewamy]]</f>
        <v>13000</v>
      </c>
      <c r="M93">
        <f>IF(pogoda48[[#This Row],[temperatura_srednia]]&lt;=15,1,0)</f>
        <v>0</v>
      </c>
      <c r="N93">
        <f>IF(AND(pogoda48[[#This Row],[temperatura_srednia]]&gt;15,pogoda48[[#This Row],[opady]]&lt;=0.61),1,0)</f>
        <v>1</v>
      </c>
      <c r="O93">
        <f>IF(AND(pogoda48[[#This Row],[temperatura_srednia]]&gt;15,pogoda48[[#This Row],[opady]]&gt;0.61),1,0)</f>
        <v>0</v>
      </c>
    </row>
    <row r="94" spans="1:15" x14ac:dyDescent="0.25">
      <c r="A94" s="2">
        <v>42187</v>
      </c>
      <c r="B94">
        <v>20</v>
      </c>
      <c r="C94">
        <v>0</v>
      </c>
      <c r="D94">
        <f t="shared" si="1"/>
        <v>13000</v>
      </c>
      <c r="E94">
        <f>IF(C94=0,ROUNDUP($AB$3*POWER(pogoda48[[#This Row],[temperatura_srednia]],1.5)*pogoda48[[#This Row],[stan_przed_dolaniem]],0),0)</f>
        <v>349</v>
      </c>
      <c r="F94">
        <f>pogoda48[[#This Row],[stan_przed_dolaniem]]-pogoda48[[#This Row],[ubytek]]</f>
        <v>12651</v>
      </c>
      <c r="G94">
        <f>IF(pogoda48[[#This Row],[opady]]*$AB$1+D94&gt;$AB$2,$AB$2-pogoda48[[#This Row],[stan_przed_dolaniem]],pogoda48[[#This Row],[opady]]*$AB$1)</f>
        <v>0</v>
      </c>
      <c r="H94">
        <f>pogoda48[[#This Row],[stan_po_ubytku]]+pogoda48[[#This Row],[ile_pogoda_dolała]]</f>
        <v>12651</v>
      </c>
      <c r="I94" cm="1">
        <f t="array" ref="I94">_xlfn.IFS(OR(pogoda48[[#This Row],[temperatura_srednia]]&lt;=15,pogoda48[[#This Row],[opady]]&gt;0.61),0,pogoda48[[#This Row],[temperatura_srednia]]&gt;30,24000,pogoda48[[#This Row],[temperatura_srednia]]&gt;15,12000)</f>
        <v>12000</v>
      </c>
      <c r="J94">
        <f>IF(pogoda48[[#This Row],[stan_po_dolaniu]]&lt;pogoda48[[#This Row],[ile_podlewamy]],$AB$2-pogoda48[[#This Row],[stan_po_dolaniu]],0)</f>
        <v>0</v>
      </c>
      <c r="K94">
        <f>pogoda48[[#This Row],[stan_po_dolaniu]]+pogoda48[[#This Row],[ile_dolać_do_podlania]]</f>
        <v>12651</v>
      </c>
      <c r="L94">
        <f>pogoda48[[#This Row],[stan_po_dolaniu_do_podlania]]-pogoda48[[#This Row],[ile_podlewamy]]</f>
        <v>651</v>
      </c>
      <c r="M94">
        <f>IF(pogoda48[[#This Row],[temperatura_srednia]]&lt;=15,1,0)</f>
        <v>0</v>
      </c>
      <c r="N94">
        <f>IF(AND(pogoda48[[#This Row],[temperatura_srednia]]&gt;15,pogoda48[[#This Row],[opady]]&lt;=0.61),1,0)</f>
        <v>1</v>
      </c>
      <c r="O94">
        <f>IF(AND(pogoda48[[#This Row],[temperatura_srednia]]&gt;15,pogoda48[[#This Row],[opady]]&gt;0.61),1,0)</f>
        <v>0</v>
      </c>
    </row>
    <row r="95" spans="1:15" x14ac:dyDescent="0.25">
      <c r="A95" s="2">
        <v>42188</v>
      </c>
      <c r="B95">
        <v>22</v>
      </c>
      <c r="C95">
        <v>0</v>
      </c>
      <c r="D95">
        <f t="shared" si="1"/>
        <v>651</v>
      </c>
      <c r="E95">
        <f>IF(C95=0,ROUNDUP($AB$3*POWER(pogoda48[[#This Row],[temperatura_srednia]],1.5)*pogoda48[[#This Row],[stan_przed_dolaniem]],0),0)</f>
        <v>21</v>
      </c>
      <c r="F95">
        <f>pogoda48[[#This Row],[stan_przed_dolaniem]]-pogoda48[[#This Row],[ubytek]]</f>
        <v>630</v>
      </c>
      <c r="G95">
        <f>IF(pogoda48[[#This Row],[opady]]*$AB$1+D95&gt;$AB$2,$AB$2-pogoda48[[#This Row],[stan_przed_dolaniem]],pogoda48[[#This Row],[opady]]*$AB$1)</f>
        <v>0</v>
      </c>
      <c r="H95">
        <f>pogoda48[[#This Row],[stan_po_ubytku]]+pogoda48[[#This Row],[ile_pogoda_dolała]]</f>
        <v>630</v>
      </c>
      <c r="I95" cm="1">
        <f t="array" ref="I95">_xlfn.IFS(OR(pogoda48[[#This Row],[temperatura_srednia]]&lt;=15,pogoda48[[#This Row],[opady]]&gt;0.61),0,pogoda48[[#This Row],[temperatura_srednia]]&gt;30,24000,pogoda48[[#This Row],[temperatura_srednia]]&gt;15,12000)</f>
        <v>12000</v>
      </c>
      <c r="J95">
        <f>IF(pogoda48[[#This Row],[stan_po_dolaniu]]&lt;pogoda48[[#This Row],[ile_podlewamy]],$AB$2-pogoda48[[#This Row],[stan_po_dolaniu]],0)</f>
        <v>24370</v>
      </c>
      <c r="K95">
        <f>pogoda48[[#This Row],[stan_po_dolaniu]]+pogoda48[[#This Row],[ile_dolać_do_podlania]]</f>
        <v>25000</v>
      </c>
      <c r="L95">
        <f>pogoda48[[#This Row],[stan_po_dolaniu_do_podlania]]-pogoda48[[#This Row],[ile_podlewamy]]</f>
        <v>13000</v>
      </c>
      <c r="M95">
        <f>IF(pogoda48[[#This Row],[temperatura_srednia]]&lt;=15,1,0)</f>
        <v>0</v>
      </c>
      <c r="N95">
        <f>IF(AND(pogoda48[[#This Row],[temperatura_srednia]]&gt;15,pogoda48[[#This Row],[opady]]&lt;=0.61),1,0)</f>
        <v>1</v>
      </c>
      <c r="O95">
        <f>IF(AND(pogoda48[[#This Row],[temperatura_srednia]]&gt;15,pogoda48[[#This Row],[opady]]&gt;0.61),1,0)</f>
        <v>0</v>
      </c>
    </row>
    <row r="96" spans="1:15" x14ac:dyDescent="0.25">
      <c r="A96" s="2">
        <v>42189</v>
      </c>
      <c r="B96">
        <v>25</v>
      </c>
      <c r="C96">
        <v>0</v>
      </c>
      <c r="D96">
        <f t="shared" si="1"/>
        <v>13000</v>
      </c>
      <c r="E96">
        <f>IF(C96=0,ROUNDUP($AB$3*POWER(pogoda48[[#This Row],[temperatura_srednia]],1.5)*pogoda48[[#This Row],[stan_przed_dolaniem]],0),0)</f>
        <v>488</v>
      </c>
      <c r="F96">
        <f>pogoda48[[#This Row],[stan_przed_dolaniem]]-pogoda48[[#This Row],[ubytek]]</f>
        <v>12512</v>
      </c>
      <c r="G96">
        <f>IF(pogoda48[[#This Row],[opady]]*$AB$1+D96&gt;$AB$2,$AB$2-pogoda48[[#This Row],[stan_przed_dolaniem]],pogoda48[[#This Row],[opady]]*$AB$1)</f>
        <v>0</v>
      </c>
      <c r="H96">
        <f>pogoda48[[#This Row],[stan_po_ubytku]]+pogoda48[[#This Row],[ile_pogoda_dolała]]</f>
        <v>12512</v>
      </c>
      <c r="I96" cm="1">
        <f t="array" ref="I96">_xlfn.IFS(OR(pogoda48[[#This Row],[temperatura_srednia]]&lt;=15,pogoda48[[#This Row],[opady]]&gt;0.61),0,pogoda48[[#This Row],[temperatura_srednia]]&gt;30,24000,pogoda48[[#This Row],[temperatura_srednia]]&gt;15,12000)</f>
        <v>12000</v>
      </c>
      <c r="J96">
        <f>IF(pogoda48[[#This Row],[stan_po_dolaniu]]&lt;pogoda48[[#This Row],[ile_podlewamy]],$AB$2-pogoda48[[#This Row],[stan_po_dolaniu]],0)</f>
        <v>0</v>
      </c>
      <c r="K96">
        <f>pogoda48[[#This Row],[stan_po_dolaniu]]+pogoda48[[#This Row],[ile_dolać_do_podlania]]</f>
        <v>12512</v>
      </c>
      <c r="L96">
        <f>pogoda48[[#This Row],[stan_po_dolaniu_do_podlania]]-pogoda48[[#This Row],[ile_podlewamy]]</f>
        <v>512</v>
      </c>
      <c r="M96">
        <f>IF(pogoda48[[#This Row],[temperatura_srednia]]&lt;=15,1,0)</f>
        <v>0</v>
      </c>
      <c r="N96">
        <f>IF(AND(pogoda48[[#This Row],[temperatura_srednia]]&gt;15,pogoda48[[#This Row],[opady]]&lt;=0.61),1,0)</f>
        <v>1</v>
      </c>
      <c r="O96">
        <f>IF(AND(pogoda48[[#This Row],[temperatura_srednia]]&gt;15,pogoda48[[#This Row],[opady]]&gt;0.61),1,0)</f>
        <v>0</v>
      </c>
    </row>
    <row r="97" spans="1:15" x14ac:dyDescent="0.25">
      <c r="A97" s="2">
        <v>42190</v>
      </c>
      <c r="B97">
        <v>26</v>
      </c>
      <c r="C97">
        <v>0</v>
      </c>
      <c r="D97">
        <f t="shared" si="1"/>
        <v>512</v>
      </c>
      <c r="E97">
        <f>IF(C97=0,ROUNDUP($AB$3*POWER(pogoda48[[#This Row],[temperatura_srednia]],1.5)*pogoda48[[#This Row],[stan_przed_dolaniem]],0),0)</f>
        <v>21</v>
      </c>
      <c r="F97">
        <f>pogoda48[[#This Row],[stan_przed_dolaniem]]-pogoda48[[#This Row],[ubytek]]</f>
        <v>491</v>
      </c>
      <c r="G97">
        <f>IF(pogoda48[[#This Row],[opady]]*$AB$1+D97&gt;$AB$2,$AB$2-pogoda48[[#This Row],[stan_przed_dolaniem]],pogoda48[[#This Row],[opady]]*$AB$1)</f>
        <v>0</v>
      </c>
      <c r="H97">
        <f>pogoda48[[#This Row],[stan_po_ubytku]]+pogoda48[[#This Row],[ile_pogoda_dolała]]</f>
        <v>491</v>
      </c>
      <c r="I97" cm="1">
        <f t="array" ref="I97">_xlfn.IFS(OR(pogoda48[[#This Row],[temperatura_srednia]]&lt;=15,pogoda48[[#This Row],[opady]]&gt;0.61),0,pogoda48[[#This Row],[temperatura_srednia]]&gt;30,24000,pogoda48[[#This Row],[temperatura_srednia]]&gt;15,12000)</f>
        <v>12000</v>
      </c>
      <c r="J97">
        <f>IF(pogoda48[[#This Row],[stan_po_dolaniu]]&lt;pogoda48[[#This Row],[ile_podlewamy]],$AB$2-pogoda48[[#This Row],[stan_po_dolaniu]],0)</f>
        <v>24509</v>
      </c>
      <c r="K97">
        <f>pogoda48[[#This Row],[stan_po_dolaniu]]+pogoda48[[#This Row],[ile_dolać_do_podlania]]</f>
        <v>25000</v>
      </c>
      <c r="L97">
        <f>pogoda48[[#This Row],[stan_po_dolaniu_do_podlania]]-pogoda48[[#This Row],[ile_podlewamy]]</f>
        <v>13000</v>
      </c>
      <c r="M97">
        <f>IF(pogoda48[[#This Row],[temperatura_srednia]]&lt;=15,1,0)</f>
        <v>0</v>
      </c>
      <c r="N97">
        <f>IF(AND(pogoda48[[#This Row],[temperatura_srednia]]&gt;15,pogoda48[[#This Row],[opady]]&lt;=0.61),1,0)</f>
        <v>1</v>
      </c>
      <c r="O97">
        <f>IF(AND(pogoda48[[#This Row],[temperatura_srednia]]&gt;15,pogoda48[[#This Row],[opady]]&gt;0.61),1,0)</f>
        <v>0</v>
      </c>
    </row>
    <row r="98" spans="1:15" x14ac:dyDescent="0.25">
      <c r="A98" s="2">
        <v>42191</v>
      </c>
      <c r="B98">
        <v>22</v>
      </c>
      <c r="C98">
        <v>0</v>
      </c>
      <c r="D98">
        <f t="shared" si="1"/>
        <v>13000</v>
      </c>
      <c r="E98">
        <f>IF(C98=0,ROUNDUP($AB$3*POWER(pogoda48[[#This Row],[temperatura_srednia]],1.5)*pogoda48[[#This Row],[stan_przed_dolaniem]],0),0)</f>
        <v>403</v>
      </c>
      <c r="F98">
        <f>pogoda48[[#This Row],[stan_przed_dolaniem]]-pogoda48[[#This Row],[ubytek]]</f>
        <v>12597</v>
      </c>
      <c r="G98">
        <f>IF(pogoda48[[#This Row],[opady]]*$AB$1+D98&gt;$AB$2,$AB$2-pogoda48[[#This Row],[stan_przed_dolaniem]],pogoda48[[#This Row],[opady]]*$AB$1)</f>
        <v>0</v>
      </c>
      <c r="H98">
        <f>pogoda48[[#This Row],[stan_po_ubytku]]+pogoda48[[#This Row],[ile_pogoda_dolała]]</f>
        <v>12597</v>
      </c>
      <c r="I98" cm="1">
        <f t="array" ref="I98">_xlfn.IFS(OR(pogoda48[[#This Row],[temperatura_srednia]]&lt;=15,pogoda48[[#This Row],[opady]]&gt;0.61),0,pogoda48[[#This Row],[temperatura_srednia]]&gt;30,24000,pogoda48[[#This Row],[temperatura_srednia]]&gt;15,12000)</f>
        <v>12000</v>
      </c>
      <c r="J98">
        <f>IF(pogoda48[[#This Row],[stan_po_dolaniu]]&lt;pogoda48[[#This Row],[ile_podlewamy]],$AB$2-pogoda48[[#This Row],[stan_po_dolaniu]],0)</f>
        <v>0</v>
      </c>
      <c r="K98">
        <f>pogoda48[[#This Row],[stan_po_dolaniu]]+pogoda48[[#This Row],[ile_dolać_do_podlania]]</f>
        <v>12597</v>
      </c>
      <c r="L98">
        <f>pogoda48[[#This Row],[stan_po_dolaniu_do_podlania]]-pogoda48[[#This Row],[ile_podlewamy]]</f>
        <v>597</v>
      </c>
      <c r="M98">
        <f>IF(pogoda48[[#This Row],[temperatura_srednia]]&lt;=15,1,0)</f>
        <v>0</v>
      </c>
      <c r="N98">
        <f>IF(AND(pogoda48[[#This Row],[temperatura_srednia]]&gt;15,pogoda48[[#This Row],[opady]]&lt;=0.61),1,0)</f>
        <v>1</v>
      </c>
      <c r="O98">
        <f>IF(AND(pogoda48[[#This Row],[temperatura_srednia]]&gt;15,pogoda48[[#This Row],[opady]]&gt;0.61),1,0)</f>
        <v>0</v>
      </c>
    </row>
    <row r="99" spans="1:15" x14ac:dyDescent="0.25">
      <c r="A99" s="2">
        <v>42192</v>
      </c>
      <c r="B99">
        <v>22</v>
      </c>
      <c r="C99">
        <v>18</v>
      </c>
      <c r="D99">
        <f t="shared" si="1"/>
        <v>597</v>
      </c>
      <c r="E99">
        <f>IF(C99=0,ROUNDUP($AB$3*POWER(pogoda48[[#This Row],[temperatura_srednia]],1.5)*pogoda48[[#This Row],[stan_przed_dolaniem]],0),0)</f>
        <v>0</v>
      </c>
      <c r="F99">
        <f>pogoda48[[#This Row],[stan_przed_dolaniem]]-pogoda48[[#This Row],[ubytek]]</f>
        <v>597</v>
      </c>
      <c r="G99">
        <f>IF(pogoda48[[#This Row],[opady]]*$AB$1+D99&gt;$AB$2,$AB$2-pogoda48[[#This Row],[stan_przed_dolaniem]],pogoda48[[#This Row],[opady]]*$AB$1)</f>
        <v>12600</v>
      </c>
      <c r="H99">
        <f>pogoda48[[#This Row],[stan_po_ubytku]]+pogoda48[[#This Row],[ile_pogoda_dolała]]</f>
        <v>13197</v>
      </c>
      <c r="I99" cm="1">
        <f t="array" ref="I99">_xlfn.IFS(OR(pogoda48[[#This Row],[temperatura_srednia]]&lt;=15,pogoda48[[#This Row],[opady]]&gt;0.61),0,pogoda48[[#This Row],[temperatura_srednia]]&gt;30,24000,pogoda48[[#This Row],[temperatura_srednia]]&gt;15,12000)</f>
        <v>0</v>
      </c>
      <c r="J99">
        <f>IF(pogoda48[[#This Row],[stan_po_dolaniu]]&lt;pogoda48[[#This Row],[ile_podlewamy]],$AB$2-pogoda48[[#This Row],[stan_po_dolaniu]],0)</f>
        <v>0</v>
      </c>
      <c r="K99">
        <f>pogoda48[[#This Row],[stan_po_dolaniu]]+pogoda48[[#This Row],[ile_dolać_do_podlania]]</f>
        <v>13197</v>
      </c>
      <c r="L99">
        <f>pogoda48[[#This Row],[stan_po_dolaniu_do_podlania]]-pogoda48[[#This Row],[ile_podlewamy]]</f>
        <v>13197</v>
      </c>
      <c r="M99">
        <f>IF(pogoda48[[#This Row],[temperatura_srednia]]&lt;=15,1,0)</f>
        <v>0</v>
      </c>
      <c r="N99">
        <f>IF(AND(pogoda48[[#This Row],[temperatura_srednia]]&gt;15,pogoda48[[#This Row],[opady]]&lt;=0.61),1,0)</f>
        <v>0</v>
      </c>
      <c r="O99">
        <f>IF(AND(pogoda48[[#This Row],[temperatura_srednia]]&gt;15,pogoda48[[#This Row],[opady]]&gt;0.61),1,0)</f>
        <v>1</v>
      </c>
    </row>
    <row r="100" spans="1:15" x14ac:dyDescent="0.25">
      <c r="A100" s="2">
        <v>42193</v>
      </c>
      <c r="B100">
        <v>20</v>
      </c>
      <c r="C100">
        <v>3</v>
      </c>
      <c r="D100">
        <f t="shared" si="1"/>
        <v>13197</v>
      </c>
      <c r="E100">
        <f>IF(C100=0,ROUNDUP($AB$3*POWER(pogoda48[[#This Row],[temperatura_srednia]],1.5)*pogoda48[[#This Row],[stan_przed_dolaniem]],0),0)</f>
        <v>0</v>
      </c>
      <c r="F100">
        <f>pogoda48[[#This Row],[stan_przed_dolaniem]]-pogoda48[[#This Row],[ubytek]]</f>
        <v>13197</v>
      </c>
      <c r="G100">
        <f>IF(pogoda48[[#This Row],[opady]]*$AB$1+D100&gt;$AB$2,$AB$2-pogoda48[[#This Row],[stan_przed_dolaniem]],pogoda48[[#This Row],[opady]]*$AB$1)</f>
        <v>2100</v>
      </c>
      <c r="H100">
        <f>pogoda48[[#This Row],[stan_po_ubytku]]+pogoda48[[#This Row],[ile_pogoda_dolała]]</f>
        <v>15297</v>
      </c>
      <c r="I100" cm="1">
        <f t="array" ref="I100">_xlfn.IFS(OR(pogoda48[[#This Row],[temperatura_srednia]]&lt;=15,pogoda48[[#This Row],[opady]]&gt;0.61),0,pogoda48[[#This Row],[temperatura_srednia]]&gt;30,24000,pogoda48[[#This Row],[temperatura_srednia]]&gt;15,12000)</f>
        <v>0</v>
      </c>
      <c r="J100">
        <f>IF(pogoda48[[#This Row],[stan_po_dolaniu]]&lt;pogoda48[[#This Row],[ile_podlewamy]],$AB$2-pogoda48[[#This Row],[stan_po_dolaniu]],0)</f>
        <v>0</v>
      </c>
      <c r="K100">
        <f>pogoda48[[#This Row],[stan_po_dolaniu]]+pogoda48[[#This Row],[ile_dolać_do_podlania]]</f>
        <v>15297</v>
      </c>
      <c r="L100">
        <f>pogoda48[[#This Row],[stan_po_dolaniu_do_podlania]]-pogoda48[[#This Row],[ile_podlewamy]]</f>
        <v>15297</v>
      </c>
      <c r="M100">
        <f>IF(pogoda48[[#This Row],[temperatura_srednia]]&lt;=15,1,0)</f>
        <v>0</v>
      </c>
      <c r="N100">
        <f>IF(AND(pogoda48[[#This Row],[temperatura_srednia]]&gt;15,pogoda48[[#This Row],[opady]]&lt;=0.61),1,0)</f>
        <v>0</v>
      </c>
      <c r="O100">
        <f>IF(AND(pogoda48[[#This Row],[temperatura_srednia]]&gt;15,pogoda48[[#This Row],[opady]]&gt;0.61),1,0)</f>
        <v>1</v>
      </c>
    </row>
    <row r="101" spans="1:15" x14ac:dyDescent="0.25">
      <c r="A101" s="2">
        <v>42194</v>
      </c>
      <c r="B101">
        <v>16</v>
      </c>
      <c r="C101">
        <v>0.2</v>
      </c>
      <c r="D101">
        <f t="shared" si="1"/>
        <v>15297</v>
      </c>
      <c r="E101">
        <f>IF(C101=0,ROUNDUP($AB$3*POWER(pogoda48[[#This Row],[temperatura_srednia]],1.5)*pogoda48[[#This Row],[stan_przed_dolaniem]],0),0)</f>
        <v>0</v>
      </c>
      <c r="F101">
        <f>pogoda48[[#This Row],[stan_przed_dolaniem]]-pogoda48[[#This Row],[ubytek]]</f>
        <v>15297</v>
      </c>
      <c r="G101">
        <f>IF(pogoda48[[#This Row],[opady]]*$AB$1+D101&gt;$AB$2,$AB$2-pogoda48[[#This Row],[stan_przed_dolaniem]],pogoda48[[#This Row],[opady]]*$AB$1)</f>
        <v>140</v>
      </c>
      <c r="H101">
        <f>pogoda48[[#This Row],[stan_po_ubytku]]+pogoda48[[#This Row],[ile_pogoda_dolała]]</f>
        <v>15437</v>
      </c>
      <c r="I101" cm="1">
        <f t="array" ref="I101">_xlfn.IFS(OR(pogoda48[[#This Row],[temperatura_srednia]]&lt;=15,pogoda48[[#This Row],[opady]]&gt;0.61),0,pogoda48[[#This Row],[temperatura_srednia]]&gt;30,24000,pogoda48[[#This Row],[temperatura_srednia]]&gt;15,12000)</f>
        <v>12000</v>
      </c>
      <c r="J101">
        <f>IF(pogoda48[[#This Row],[stan_po_dolaniu]]&lt;pogoda48[[#This Row],[ile_podlewamy]],$AB$2-pogoda48[[#This Row],[stan_po_dolaniu]],0)</f>
        <v>0</v>
      </c>
      <c r="K101">
        <f>pogoda48[[#This Row],[stan_po_dolaniu]]+pogoda48[[#This Row],[ile_dolać_do_podlania]]</f>
        <v>15437</v>
      </c>
      <c r="L101">
        <f>pogoda48[[#This Row],[stan_po_dolaniu_do_podlania]]-pogoda48[[#This Row],[ile_podlewamy]]</f>
        <v>3437</v>
      </c>
      <c r="M101">
        <f>IF(pogoda48[[#This Row],[temperatura_srednia]]&lt;=15,1,0)</f>
        <v>0</v>
      </c>
      <c r="N101">
        <f>IF(AND(pogoda48[[#This Row],[temperatura_srednia]]&gt;15,pogoda48[[#This Row],[opady]]&lt;=0.61),1,0)</f>
        <v>1</v>
      </c>
      <c r="O101">
        <f>IF(AND(pogoda48[[#This Row],[temperatura_srednia]]&gt;15,pogoda48[[#This Row],[opady]]&gt;0.61),1,0)</f>
        <v>0</v>
      </c>
    </row>
    <row r="102" spans="1:15" x14ac:dyDescent="0.25">
      <c r="A102" s="2">
        <v>42195</v>
      </c>
      <c r="B102">
        <v>13</v>
      </c>
      <c r="C102">
        <v>12.2</v>
      </c>
      <c r="D102">
        <f t="shared" si="1"/>
        <v>3437</v>
      </c>
      <c r="E102">
        <f>IF(C102=0,ROUNDUP($AB$3*POWER(pogoda48[[#This Row],[temperatura_srednia]],1.5)*pogoda48[[#This Row],[stan_przed_dolaniem]],0),0)</f>
        <v>0</v>
      </c>
      <c r="F102">
        <f>pogoda48[[#This Row],[stan_przed_dolaniem]]-pogoda48[[#This Row],[ubytek]]</f>
        <v>3437</v>
      </c>
      <c r="G102">
        <f>IF(pogoda48[[#This Row],[opady]]*$AB$1+D102&gt;$AB$2,$AB$2-pogoda48[[#This Row],[stan_przed_dolaniem]],pogoda48[[#This Row],[opady]]*$AB$1)</f>
        <v>8540</v>
      </c>
      <c r="H102">
        <f>pogoda48[[#This Row],[stan_po_ubytku]]+pogoda48[[#This Row],[ile_pogoda_dolała]]</f>
        <v>11977</v>
      </c>
      <c r="I102" cm="1">
        <f t="array" ref="I102">_xlfn.IFS(OR(pogoda48[[#This Row],[temperatura_srednia]]&lt;=15,pogoda48[[#This Row],[opady]]&gt;0.61),0,pogoda48[[#This Row],[temperatura_srednia]]&gt;30,24000,pogoda48[[#This Row],[temperatura_srednia]]&gt;15,12000)</f>
        <v>0</v>
      </c>
      <c r="J102">
        <f>IF(pogoda48[[#This Row],[stan_po_dolaniu]]&lt;pogoda48[[#This Row],[ile_podlewamy]],$AB$2-pogoda48[[#This Row],[stan_po_dolaniu]],0)</f>
        <v>0</v>
      </c>
      <c r="K102">
        <f>pogoda48[[#This Row],[stan_po_dolaniu]]+pogoda48[[#This Row],[ile_dolać_do_podlania]]</f>
        <v>11977</v>
      </c>
      <c r="L102">
        <f>pogoda48[[#This Row],[stan_po_dolaniu_do_podlania]]-pogoda48[[#This Row],[ile_podlewamy]]</f>
        <v>11977</v>
      </c>
      <c r="M102">
        <f>IF(pogoda48[[#This Row],[temperatura_srednia]]&lt;=15,1,0)</f>
        <v>1</v>
      </c>
      <c r="N102">
        <f>IF(AND(pogoda48[[#This Row],[temperatura_srednia]]&gt;15,pogoda48[[#This Row],[opady]]&lt;=0.61),1,0)</f>
        <v>0</v>
      </c>
      <c r="O102">
        <f>IF(AND(pogoda48[[#This Row],[temperatura_srednia]]&gt;15,pogoda48[[#This Row],[opady]]&gt;0.61),1,0)</f>
        <v>0</v>
      </c>
    </row>
    <row r="103" spans="1:15" x14ac:dyDescent="0.25">
      <c r="A103" s="2">
        <v>42196</v>
      </c>
      <c r="B103">
        <v>16</v>
      </c>
      <c r="C103">
        <v>0</v>
      </c>
      <c r="D103">
        <f t="shared" si="1"/>
        <v>11977</v>
      </c>
      <c r="E103">
        <f>IF(C103=0,ROUNDUP($AB$3*POWER(pogoda48[[#This Row],[temperatura_srednia]],1.5)*pogoda48[[#This Row],[stan_przed_dolaniem]],0),0)</f>
        <v>230</v>
      </c>
      <c r="F103">
        <f>pogoda48[[#This Row],[stan_przed_dolaniem]]-pogoda48[[#This Row],[ubytek]]</f>
        <v>11747</v>
      </c>
      <c r="G103">
        <f>IF(pogoda48[[#This Row],[opady]]*$AB$1+D103&gt;$AB$2,$AB$2-pogoda48[[#This Row],[stan_przed_dolaniem]],pogoda48[[#This Row],[opady]]*$AB$1)</f>
        <v>0</v>
      </c>
      <c r="H103">
        <f>pogoda48[[#This Row],[stan_po_ubytku]]+pogoda48[[#This Row],[ile_pogoda_dolała]]</f>
        <v>11747</v>
      </c>
      <c r="I103" cm="1">
        <f t="array" ref="I103">_xlfn.IFS(OR(pogoda48[[#This Row],[temperatura_srednia]]&lt;=15,pogoda48[[#This Row],[opady]]&gt;0.61),0,pogoda48[[#This Row],[temperatura_srednia]]&gt;30,24000,pogoda48[[#This Row],[temperatura_srednia]]&gt;15,12000)</f>
        <v>12000</v>
      </c>
      <c r="J103">
        <f>IF(pogoda48[[#This Row],[stan_po_dolaniu]]&lt;pogoda48[[#This Row],[ile_podlewamy]],$AB$2-pogoda48[[#This Row],[stan_po_dolaniu]],0)</f>
        <v>13253</v>
      </c>
      <c r="K103">
        <f>pogoda48[[#This Row],[stan_po_dolaniu]]+pogoda48[[#This Row],[ile_dolać_do_podlania]]</f>
        <v>25000</v>
      </c>
      <c r="L103">
        <f>pogoda48[[#This Row],[stan_po_dolaniu_do_podlania]]-pogoda48[[#This Row],[ile_podlewamy]]</f>
        <v>13000</v>
      </c>
      <c r="M103">
        <f>IF(pogoda48[[#This Row],[temperatura_srednia]]&lt;=15,1,0)</f>
        <v>0</v>
      </c>
      <c r="N103">
        <f>IF(AND(pogoda48[[#This Row],[temperatura_srednia]]&gt;15,pogoda48[[#This Row],[opady]]&lt;=0.61),1,0)</f>
        <v>1</v>
      </c>
      <c r="O103">
        <f>IF(AND(pogoda48[[#This Row],[temperatura_srednia]]&gt;15,pogoda48[[#This Row],[opady]]&gt;0.61),1,0)</f>
        <v>0</v>
      </c>
    </row>
    <row r="104" spans="1:15" x14ac:dyDescent="0.25">
      <c r="A104" s="2">
        <v>42197</v>
      </c>
      <c r="B104">
        <v>18</v>
      </c>
      <c r="C104">
        <v>2</v>
      </c>
      <c r="D104">
        <f t="shared" si="1"/>
        <v>13000</v>
      </c>
      <c r="E104">
        <f>IF(C104=0,ROUNDUP($AB$3*POWER(pogoda48[[#This Row],[temperatura_srednia]],1.5)*pogoda48[[#This Row],[stan_przed_dolaniem]],0),0)</f>
        <v>0</v>
      </c>
      <c r="F104">
        <f>pogoda48[[#This Row],[stan_przed_dolaniem]]-pogoda48[[#This Row],[ubytek]]</f>
        <v>13000</v>
      </c>
      <c r="G104">
        <f>IF(pogoda48[[#This Row],[opady]]*$AB$1+D104&gt;$AB$2,$AB$2-pogoda48[[#This Row],[stan_przed_dolaniem]],pogoda48[[#This Row],[opady]]*$AB$1)</f>
        <v>1400</v>
      </c>
      <c r="H104">
        <f>pogoda48[[#This Row],[stan_po_ubytku]]+pogoda48[[#This Row],[ile_pogoda_dolała]]</f>
        <v>14400</v>
      </c>
      <c r="I104" cm="1">
        <f t="array" ref="I104">_xlfn.IFS(OR(pogoda48[[#This Row],[temperatura_srednia]]&lt;=15,pogoda48[[#This Row],[opady]]&gt;0.61),0,pogoda48[[#This Row],[temperatura_srednia]]&gt;30,24000,pogoda48[[#This Row],[temperatura_srednia]]&gt;15,12000)</f>
        <v>0</v>
      </c>
      <c r="J104">
        <f>IF(pogoda48[[#This Row],[stan_po_dolaniu]]&lt;pogoda48[[#This Row],[ile_podlewamy]],$AB$2-pogoda48[[#This Row],[stan_po_dolaniu]],0)</f>
        <v>0</v>
      </c>
      <c r="K104">
        <f>pogoda48[[#This Row],[stan_po_dolaniu]]+pogoda48[[#This Row],[ile_dolać_do_podlania]]</f>
        <v>14400</v>
      </c>
      <c r="L104">
        <f>pogoda48[[#This Row],[stan_po_dolaniu_do_podlania]]-pogoda48[[#This Row],[ile_podlewamy]]</f>
        <v>14400</v>
      </c>
      <c r="M104">
        <f>IF(pogoda48[[#This Row],[temperatura_srednia]]&lt;=15,1,0)</f>
        <v>0</v>
      </c>
      <c r="N104">
        <f>IF(AND(pogoda48[[#This Row],[temperatura_srednia]]&gt;15,pogoda48[[#This Row],[opady]]&lt;=0.61),1,0)</f>
        <v>0</v>
      </c>
      <c r="O104">
        <f>IF(AND(pogoda48[[#This Row],[temperatura_srednia]]&gt;15,pogoda48[[#This Row],[opady]]&gt;0.61),1,0)</f>
        <v>1</v>
      </c>
    </row>
    <row r="105" spans="1:15" x14ac:dyDescent="0.25">
      <c r="A105" s="2">
        <v>42198</v>
      </c>
      <c r="B105">
        <v>18</v>
      </c>
      <c r="C105">
        <v>12</v>
      </c>
      <c r="D105">
        <f t="shared" si="1"/>
        <v>14400</v>
      </c>
      <c r="E105">
        <f>IF(C105=0,ROUNDUP($AB$3*POWER(pogoda48[[#This Row],[temperatura_srednia]],1.5)*pogoda48[[#This Row],[stan_przed_dolaniem]],0),0)</f>
        <v>0</v>
      </c>
      <c r="F105">
        <f>pogoda48[[#This Row],[stan_przed_dolaniem]]-pogoda48[[#This Row],[ubytek]]</f>
        <v>14400</v>
      </c>
      <c r="G105">
        <f>IF(pogoda48[[#This Row],[opady]]*$AB$1+D105&gt;$AB$2,$AB$2-pogoda48[[#This Row],[stan_przed_dolaniem]],pogoda48[[#This Row],[opady]]*$AB$1)</f>
        <v>8400</v>
      </c>
      <c r="H105">
        <f>pogoda48[[#This Row],[stan_po_ubytku]]+pogoda48[[#This Row],[ile_pogoda_dolała]]</f>
        <v>22800</v>
      </c>
      <c r="I105" cm="1">
        <f t="array" ref="I105">_xlfn.IFS(OR(pogoda48[[#This Row],[temperatura_srednia]]&lt;=15,pogoda48[[#This Row],[opady]]&gt;0.61),0,pogoda48[[#This Row],[temperatura_srednia]]&gt;30,24000,pogoda48[[#This Row],[temperatura_srednia]]&gt;15,12000)</f>
        <v>0</v>
      </c>
      <c r="J105">
        <f>IF(pogoda48[[#This Row],[stan_po_dolaniu]]&lt;pogoda48[[#This Row],[ile_podlewamy]],$AB$2-pogoda48[[#This Row],[stan_po_dolaniu]],0)</f>
        <v>0</v>
      </c>
      <c r="K105">
        <f>pogoda48[[#This Row],[stan_po_dolaniu]]+pogoda48[[#This Row],[ile_dolać_do_podlania]]</f>
        <v>22800</v>
      </c>
      <c r="L105">
        <f>pogoda48[[#This Row],[stan_po_dolaniu_do_podlania]]-pogoda48[[#This Row],[ile_podlewamy]]</f>
        <v>22800</v>
      </c>
      <c r="M105">
        <f>IF(pogoda48[[#This Row],[temperatura_srednia]]&lt;=15,1,0)</f>
        <v>0</v>
      </c>
      <c r="N105">
        <f>IF(AND(pogoda48[[#This Row],[temperatura_srednia]]&gt;15,pogoda48[[#This Row],[opady]]&lt;=0.61),1,0)</f>
        <v>0</v>
      </c>
      <c r="O105">
        <f>IF(AND(pogoda48[[#This Row],[temperatura_srednia]]&gt;15,pogoda48[[#This Row],[opady]]&gt;0.61),1,0)</f>
        <v>1</v>
      </c>
    </row>
    <row r="106" spans="1:15" x14ac:dyDescent="0.25">
      <c r="A106" s="2">
        <v>42199</v>
      </c>
      <c r="B106">
        <v>18</v>
      </c>
      <c r="C106">
        <v>0</v>
      </c>
      <c r="D106">
        <f t="shared" si="1"/>
        <v>22800</v>
      </c>
      <c r="E106">
        <f>IF(C106=0,ROUNDUP($AB$3*POWER(pogoda48[[#This Row],[temperatura_srednia]],1.5)*pogoda48[[#This Row],[stan_przed_dolaniem]],0),0)</f>
        <v>523</v>
      </c>
      <c r="F106">
        <f>pogoda48[[#This Row],[stan_przed_dolaniem]]-pogoda48[[#This Row],[ubytek]]</f>
        <v>22277</v>
      </c>
      <c r="G106">
        <f>IF(pogoda48[[#This Row],[opady]]*$AB$1+D106&gt;$AB$2,$AB$2-pogoda48[[#This Row],[stan_przed_dolaniem]],pogoda48[[#This Row],[opady]]*$AB$1)</f>
        <v>0</v>
      </c>
      <c r="H106">
        <f>pogoda48[[#This Row],[stan_po_ubytku]]+pogoda48[[#This Row],[ile_pogoda_dolała]]</f>
        <v>22277</v>
      </c>
      <c r="I106" cm="1">
        <f t="array" ref="I106">_xlfn.IFS(OR(pogoda48[[#This Row],[temperatura_srednia]]&lt;=15,pogoda48[[#This Row],[opady]]&gt;0.61),0,pogoda48[[#This Row],[temperatura_srednia]]&gt;30,24000,pogoda48[[#This Row],[temperatura_srednia]]&gt;15,12000)</f>
        <v>12000</v>
      </c>
      <c r="J106">
        <f>IF(pogoda48[[#This Row],[stan_po_dolaniu]]&lt;pogoda48[[#This Row],[ile_podlewamy]],$AB$2-pogoda48[[#This Row],[stan_po_dolaniu]],0)</f>
        <v>0</v>
      </c>
      <c r="K106">
        <f>pogoda48[[#This Row],[stan_po_dolaniu]]+pogoda48[[#This Row],[ile_dolać_do_podlania]]</f>
        <v>22277</v>
      </c>
      <c r="L106">
        <f>pogoda48[[#This Row],[stan_po_dolaniu_do_podlania]]-pogoda48[[#This Row],[ile_podlewamy]]</f>
        <v>10277</v>
      </c>
      <c r="M106">
        <f>IF(pogoda48[[#This Row],[temperatura_srednia]]&lt;=15,1,0)</f>
        <v>0</v>
      </c>
      <c r="N106">
        <f>IF(AND(pogoda48[[#This Row],[temperatura_srednia]]&gt;15,pogoda48[[#This Row],[opady]]&lt;=0.61),1,0)</f>
        <v>1</v>
      </c>
      <c r="O106">
        <f>IF(AND(pogoda48[[#This Row],[temperatura_srednia]]&gt;15,pogoda48[[#This Row],[opady]]&gt;0.61),1,0)</f>
        <v>0</v>
      </c>
    </row>
    <row r="107" spans="1:15" x14ac:dyDescent="0.25">
      <c r="A107" s="2">
        <v>42200</v>
      </c>
      <c r="B107">
        <v>18</v>
      </c>
      <c r="C107">
        <v>0</v>
      </c>
      <c r="D107">
        <f t="shared" si="1"/>
        <v>10277</v>
      </c>
      <c r="E107">
        <f>IF(C107=0,ROUNDUP($AB$3*POWER(pogoda48[[#This Row],[temperatura_srednia]],1.5)*pogoda48[[#This Row],[stan_przed_dolaniem]],0),0)</f>
        <v>236</v>
      </c>
      <c r="F107">
        <f>pogoda48[[#This Row],[stan_przed_dolaniem]]-pogoda48[[#This Row],[ubytek]]</f>
        <v>10041</v>
      </c>
      <c r="G107">
        <f>IF(pogoda48[[#This Row],[opady]]*$AB$1+D107&gt;$AB$2,$AB$2-pogoda48[[#This Row],[stan_przed_dolaniem]],pogoda48[[#This Row],[opady]]*$AB$1)</f>
        <v>0</v>
      </c>
      <c r="H107">
        <f>pogoda48[[#This Row],[stan_po_ubytku]]+pogoda48[[#This Row],[ile_pogoda_dolała]]</f>
        <v>10041</v>
      </c>
      <c r="I107" cm="1">
        <f t="array" ref="I107">_xlfn.IFS(OR(pogoda48[[#This Row],[temperatura_srednia]]&lt;=15,pogoda48[[#This Row],[opady]]&gt;0.61),0,pogoda48[[#This Row],[temperatura_srednia]]&gt;30,24000,pogoda48[[#This Row],[temperatura_srednia]]&gt;15,12000)</f>
        <v>12000</v>
      </c>
      <c r="J107">
        <f>IF(pogoda48[[#This Row],[stan_po_dolaniu]]&lt;pogoda48[[#This Row],[ile_podlewamy]],$AB$2-pogoda48[[#This Row],[stan_po_dolaniu]],0)</f>
        <v>14959</v>
      </c>
      <c r="K107">
        <f>pogoda48[[#This Row],[stan_po_dolaniu]]+pogoda48[[#This Row],[ile_dolać_do_podlania]]</f>
        <v>25000</v>
      </c>
      <c r="L107">
        <f>pogoda48[[#This Row],[stan_po_dolaniu_do_podlania]]-pogoda48[[#This Row],[ile_podlewamy]]</f>
        <v>13000</v>
      </c>
      <c r="M107">
        <f>IF(pogoda48[[#This Row],[temperatura_srednia]]&lt;=15,1,0)</f>
        <v>0</v>
      </c>
      <c r="N107">
        <f>IF(AND(pogoda48[[#This Row],[temperatura_srednia]]&gt;15,pogoda48[[#This Row],[opady]]&lt;=0.61),1,0)</f>
        <v>1</v>
      </c>
      <c r="O107">
        <f>IF(AND(pogoda48[[#This Row],[temperatura_srednia]]&gt;15,pogoda48[[#This Row],[opady]]&gt;0.61),1,0)</f>
        <v>0</v>
      </c>
    </row>
    <row r="108" spans="1:15" x14ac:dyDescent="0.25">
      <c r="A108" s="2">
        <v>42201</v>
      </c>
      <c r="B108">
        <v>16</v>
      </c>
      <c r="C108">
        <v>0</v>
      </c>
      <c r="D108">
        <f t="shared" si="1"/>
        <v>13000</v>
      </c>
      <c r="E108">
        <f>IF(C108=0,ROUNDUP($AB$3*POWER(pogoda48[[#This Row],[temperatura_srednia]],1.5)*pogoda48[[#This Row],[stan_przed_dolaniem]],0),0)</f>
        <v>250</v>
      </c>
      <c r="F108">
        <f>pogoda48[[#This Row],[stan_przed_dolaniem]]-pogoda48[[#This Row],[ubytek]]</f>
        <v>12750</v>
      </c>
      <c r="G108">
        <f>IF(pogoda48[[#This Row],[opady]]*$AB$1+D108&gt;$AB$2,$AB$2-pogoda48[[#This Row],[stan_przed_dolaniem]],pogoda48[[#This Row],[opady]]*$AB$1)</f>
        <v>0</v>
      </c>
      <c r="H108">
        <f>pogoda48[[#This Row],[stan_po_ubytku]]+pogoda48[[#This Row],[ile_pogoda_dolała]]</f>
        <v>12750</v>
      </c>
      <c r="I108" cm="1">
        <f t="array" ref="I108">_xlfn.IFS(OR(pogoda48[[#This Row],[temperatura_srednia]]&lt;=15,pogoda48[[#This Row],[opady]]&gt;0.61),0,pogoda48[[#This Row],[temperatura_srednia]]&gt;30,24000,pogoda48[[#This Row],[temperatura_srednia]]&gt;15,12000)</f>
        <v>12000</v>
      </c>
      <c r="J108">
        <f>IF(pogoda48[[#This Row],[stan_po_dolaniu]]&lt;pogoda48[[#This Row],[ile_podlewamy]],$AB$2-pogoda48[[#This Row],[stan_po_dolaniu]],0)</f>
        <v>0</v>
      </c>
      <c r="K108">
        <f>pogoda48[[#This Row],[stan_po_dolaniu]]+pogoda48[[#This Row],[ile_dolać_do_podlania]]</f>
        <v>12750</v>
      </c>
      <c r="L108">
        <f>pogoda48[[#This Row],[stan_po_dolaniu_do_podlania]]-pogoda48[[#This Row],[ile_podlewamy]]</f>
        <v>750</v>
      </c>
      <c r="M108">
        <f>IF(pogoda48[[#This Row],[temperatura_srednia]]&lt;=15,1,0)</f>
        <v>0</v>
      </c>
      <c r="N108">
        <f>IF(AND(pogoda48[[#This Row],[temperatura_srednia]]&gt;15,pogoda48[[#This Row],[opady]]&lt;=0.61),1,0)</f>
        <v>1</v>
      </c>
      <c r="O108">
        <f>IF(AND(pogoda48[[#This Row],[temperatura_srednia]]&gt;15,pogoda48[[#This Row],[opady]]&gt;0.61),1,0)</f>
        <v>0</v>
      </c>
    </row>
    <row r="109" spans="1:15" x14ac:dyDescent="0.25">
      <c r="A109" s="2">
        <v>42202</v>
      </c>
      <c r="B109">
        <v>21</v>
      </c>
      <c r="C109">
        <v>0</v>
      </c>
      <c r="D109">
        <f t="shared" si="1"/>
        <v>750</v>
      </c>
      <c r="E109">
        <f>IF(C109=0,ROUNDUP($AB$3*POWER(pogoda48[[#This Row],[temperatura_srednia]],1.5)*pogoda48[[#This Row],[stan_przed_dolaniem]],0),0)</f>
        <v>22</v>
      </c>
      <c r="F109">
        <f>pogoda48[[#This Row],[stan_przed_dolaniem]]-pogoda48[[#This Row],[ubytek]]</f>
        <v>728</v>
      </c>
      <c r="G109">
        <f>IF(pogoda48[[#This Row],[opady]]*$AB$1+D109&gt;$AB$2,$AB$2-pogoda48[[#This Row],[stan_przed_dolaniem]],pogoda48[[#This Row],[opady]]*$AB$1)</f>
        <v>0</v>
      </c>
      <c r="H109">
        <f>pogoda48[[#This Row],[stan_po_ubytku]]+pogoda48[[#This Row],[ile_pogoda_dolała]]</f>
        <v>728</v>
      </c>
      <c r="I109" cm="1">
        <f t="array" ref="I109">_xlfn.IFS(OR(pogoda48[[#This Row],[temperatura_srednia]]&lt;=15,pogoda48[[#This Row],[opady]]&gt;0.61),0,pogoda48[[#This Row],[temperatura_srednia]]&gt;30,24000,pogoda48[[#This Row],[temperatura_srednia]]&gt;15,12000)</f>
        <v>12000</v>
      </c>
      <c r="J109">
        <f>IF(pogoda48[[#This Row],[stan_po_dolaniu]]&lt;pogoda48[[#This Row],[ile_podlewamy]],$AB$2-pogoda48[[#This Row],[stan_po_dolaniu]],0)</f>
        <v>24272</v>
      </c>
      <c r="K109">
        <f>pogoda48[[#This Row],[stan_po_dolaniu]]+pogoda48[[#This Row],[ile_dolać_do_podlania]]</f>
        <v>25000</v>
      </c>
      <c r="L109">
        <f>pogoda48[[#This Row],[stan_po_dolaniu_do_podlania]]-pogoda48[[#This Row],[ile_podlewamy]]</f>
        <v>13000</v>
      </c>
      <c r="M109">
        <f>IF(pogoda48[[#This Row],[temperatura_srednia]]&lt;=15,1,0)</f>
        <v>0</v>
      </c>
      <c r="N109">
        <f>IF(AND(pogoda48[[#This Row],[temperatura_srednia]]&gt;15,pogoda48[[#This Row],[opady]]&lt;=0.61),1,0)</f>
        <v>1</v>
      </c>
      <c r="O109">
        <f>IF(AND(pogoda48[[#This Row],[temperatura_srednia]]&gt;15,pogoda48[[#This Row],[opady]]&gt;0.61),1,0)</f>
        <v>0</v>
      </c>
    </row>
    <row r="110" spans="1:15" x14ac:dyDescent="0.25">
      <c r="A110" s="2">
        <v>42203</v>
      </c>
      <c r="B110">
        <v>26</v>
      </c>
      <c r="C110">
        <v>0</v>
      </c>
      <c r="D110">
        <f t="shared" si="1"/>
        <v>13000</v>
      </c>
      <c r="E110">
        <f>IF(C110=0,ROUNDUP($AB$3*POWER(pogoda48[[#This Row],[temperatura_srednia]],1.5)*pogoda48[[#This Row],[stan_przed_dolaniem]],0),0)</f>
        <v>518</v>
      </c>
      <c r="F110">
        <f>pogoda48[[#This Row],[stan_przed_dolaniem]]-pogoda48[[#This Row],[ubytek]]</f>
        <v>12482</v>
      </c>
      <c r="G110">
        <f>IF(pogoda48[[#This Row],[opady]]*$AB$1+D110&gt;$AB$2,$AB$2-pogoda48[[#This Row],[stan_przed_dolaniem]],pogoda48[[#This Row],[opady]]*$AB$1)</f>
        <v>0</v>
      </c>
      <c r="H110">
        <f>pogoda48[[#This Row],[stan_po_ubytku]]+pogoda48[[#This Row],[ile_pogoda_dolała]]</f>
        <v>12482</v>
      </c>
      <c r="I110" cm="1">
        <f t="array" ref="I110">_xlfn.IFS(OR(pogoda48[[#This Row],[temperatura_srednia]]&lt;=15,pogoda48[[#This Row],[opady]]&gt;0.61),0,pogoda48[[#This Row],[temperatura_srednia]]&gt;30,24000,pogoda48[[#This Row],[temperatura_srednia]]&gt;15,12000)</f>
        <v>12000</v>
      </c>
      <c r="J110">
        <f>IF(pogoda48[[#This Row],[stan_po_dolaniu]]&lt;pogoda48[[#This Row],[ile_podlewamy]],$AB$2-pogoda48[[#This Row],[stan_po_dolaniu]],0)</f>
        <v>0</v>
      </c>
      <c r="K110">
        <f>pogoda48[[#This Row],[stan_po_dolaniu]]+pogoda48[[#This Row],[ile_dolać_do_podlania]]</f>
        <v>12482</v>
      </c>
      <c r="L110">
        <f>pogoda48[[#This Row],[stan_po_dolaniu_do_podlania]]-pogoda48[[#This Row],[ile_podlewamy]]</f>
        <v>482</v>
      </c>
      <c r="M110">
        <f>IF(pogoda48[[#This Row],[temperatura_srednia]]&lt;=15,1,0)</f>
        <v>0</v>
      </c>
      <c r="N110">
        <f>IF(AND(pogoda48[[#This Row],[temperatura_srednia]]&gt;15,pogoda48[[#This Row],[opady]]&lt;=0.61),1,0)</f>
        <v>1</v>
      </c>
      <c r="O110">
        <f>IF(AND(pogoda48[[#This Row],[temperatura_srednia]]&gt;15,pogoda48[[#This Row],[opady]]&gt;0.61),1,0)</f>
        <v>0</v>
      </c>
    </row>
    <row r="111" spans="1:15" x14ac:dyDescent="0.25">
      <c r="A111" s="2">
        <v>42204</v>
      </c>
      <c r="B111">
        <v>23</v>
      </c>
      <c r="C111">
        <v>18</v>
      </c>
      <c r="D111">
        <f t="shared" si="1"/>
        <v>482</v>
      </c>
      <c r="E111">
        <f>IF(C111=0,ROUNDUP($AB$3*POWER(pogoda48[[#This Row],[temperatura_srednia]],1.5)*pogoda48[[#This Row],[stan_przed_dolaniem]],0),0)</f>
        <v>0</v>
      </c>
      <c r="F111">
        <f>pogoda48[[#This Row],[stan_przed_dolaniem]]-pogoda48[[#This Row],[ubytek]]</f>
        <v>482</v>
      </c>
      <c r="G111">
        <f>IF(pogoda48[[#This Row],[opady]]*$AB$1+D111&gt;$AB$2,$AB$2-pogoda48[[#This Row],[stan_przed_dolaniem]],pogoda48[[#This Row],[opady]]*$AB$1)</f>
        <v>12600</v>
      </c>
      <c r="H111">
        <f>pogoda48[[#This Row],[stan_po_ubytku]]+pogoda48[[#This Row],[ile_pogoda_dolała]]</f>
        <v>13082</v>
      </c>
      <c r="I111" cm="1">
        <f t="array" ref="I111">_xlfn.IFS(OR(pogoda48[[#This Row],[temperatura_srednia]]&lt;=15,pogoda48[[#This Row],[opady]]&gt;0.61),0,pogoda48[[#This Row],[temperatura_srednia]]&gt;30,24000,pogoda48[[#This Row],[temperatura_srednia]]&gt;15,12000)</f>
        <v>0</v>
      </c>
      <c r="J111">
        <f>IF(pogoda48[[#This Row],[stan_po_dolaniu]]&lt;pogoda48[[#This Row],[ile_podlewamy]],$AB$2-pogoda48[[#This Row],[stan_po_dolaniu]],0)</f>
        <v>0</v>
      </c>
      <c r="K111">
        <f>pogoda48[[#This Row],[stan_po_dolaniu]]+pogoda48[[#This Row],[ile_dolać_do_podlania]]</f>
        <v>13082</v>
      </c>
      <c r="L111">
        <f>pogoda48[[#This Row],[stan_po_dolaniu_do_podlania]]-pogoda48[[#This Row],[ile_podlewamy]]</f>
        <v>13082</v>
      </c>
      <c r="M111">
        <f>IF(pogoda48[[#This Row],[temperatura_srednia]]&lt;=15,1,0)</f>
        <v>0</v>
      </c>
      <c r="N111">
        <f>IF(AND(pogoda48[[#This Row],[temperatura_srednia]]&gt;15,pogoda48[[#This Row],[opady]]&lt;=0.61),1,0)</f>
        <v>0</v>
      </c>
      <c r="O111">
        <f>IF(AND(pogoda48[[#This Row],[temperatura_srednia]]&gt;15,pogoda48[[#This Row],[opady]]&gt;0.61),1,0)</f>
        <v>1</v>
      </c>
    </row>
    <row r="112" spans="1:15" x14ac:dyDescent="0.25">
      <c r="A112" s="2">
        <v>42205</v>
      </c>
      <c r="B112">
        <v>19</v>
      </c>
      <c r="C112">
        <v>0</v>
      </c>
      <c r="D112">
        <f t="shared" si="1"/>
        <v>13082</v>
      </c>
      <c r="E112">
        <f>IF(C112=0,ROUNDUP($AB$3*POWER(pogoda48[[#This Row],[temperatura_srednia]],1.5)*pogoda48[[#This Row],[stan_przed_dolaniem]],0),0)</f>
        <v>326</v>
      </c>
      <c r="F112">
        <f>pogoda48[[#This Row],[stan_przed_dolaniem]]-pogoda48[[#This Row],[ubytek]]</f>
        <v>12756</v>
      </c>
      <c r="G112">
        <f>IF(pogoda48[[#This Row],[opady]]*$AB$1+D112&gt;$AB$2,$AB$2-pogoda48[[#This Row],[stan_przed_dolaniem]],pogoda48[[#This Row],[opady]]*$AB$1)</f>
        <v>0</v>
      </c>
      <c r="H112">
        <f>pogoda48[[#This Row],[stan_po_ubytku]]+pogoda48[[#This Row],[ile_pogoda_dolała]]</f>
        <v>12756</v>
      </c>
      <c r="I112" cm="1">
        <f t="array" ref="I112">_xlfn.IFS(OR(pogoda48[[#This Row],[temperatura_srednia]]&lt;=15,pogoda48[[#This Row],[opady]]&gt;0.61),0,pogoda48[[#This Row],[temperatura_srednia]]&gt;30,24000,pogoda48[[#This Row],[temperatura_srednia]]&gt;15,12000)</f>
        <v>12000</v>
      </c>
      <c r="J112">
        <f>IF(pogoda48[[#This Row],[stan_po_dolaniu]]&lt;pogoda48[[#This Row],[ile_podlewamy]],$AB$2-pogoda48[[#This Row],[stan_po_dolaniu]],0)</f>
        <v>0</v>
      </c>
      <c r="K112">
        <f>pogoda48[[#This Row],[stan_po_dolaniu]]+pogoda48[[#This Row],[ile_dolać_do_podlania]]</f>
        <v>12756</v>
      </c>
      <c r="L112">
        <f>pogoda48[[#This Row],[stan_po_dolaniu_do_podlania]]-pogoda48[[#This Row],[ile_podlewamy]]</f>
        <v>756</v>
      </c>
      <c r="M112">
        <f>IF(pogoda48[[#This Row],[temperatura_srednia]]&lt;=15,1,0)</f>
        <v>0</v>
      </c>
      <c r="N112">
        <f>IF(AND(pogoda48[[#This Row],[temperatura_srednia]]&gt;15,pogoda48[[#This Row],[opady]]&lt;=0.61),1,0)</f>
        <v>1</v>
      </c>
      <c r="O112">
        <f>IF(AND(pogoda48[[#This Row],[temperatura_srednia]]&gt;15,pogoda48[[#This Row],[opady]]&gt;0.61),1,0)</f>
        <v>0</v>
      </c>
    </row>
    <row r="113" spans="1:15" x14ac:dyDescent="0.25">
      <c r="A113" s="2">
        <v>42206</v>
      </c>
      <c r="B113">
        <v>20</v>
      </c>
      <c r="C113">
        <v>6</v>
      </c>
      <c r="D113">
        <f t="shared" si="1"/>
        <v>756</v>
      </c>
      <c r="E113">
        <f>IF(C113=0,ROUNDUP($AB$3*POWER(pogoda48[[#This Row],[temperatura_srednia]],1.5)*pogoda48[[#This Row],[stan_przed_dolaniem]],0),0)</f>
        <v>0</v>
      </c>
      <c r="F113">
        <f>pogoda48[[#This Row],[stan_przed_dolaniem]]-pogoda48[[#This Row],[ubytek]]</f>
        <v>756</v>
      </c>
      <c r="G113">
        <f>IF(pogoda48[[#This Row],[opady]]*$AB$1+D113&gt;$AB$2,$AB$2-pogoda48[[#This Row],[stan_przed_dolaniem]],pogoda48[[#This Row],[opady]]*$AB$1)</f>
        <v>4200</v>
      </c>
      <c r="H113">
        <f>pogoda48[[#This Row],[stan_po_ubytku]]+pogoda48[[#This Row],[ile_pogoda_dolała]]</f>
        <v>4956</v>
      </c>
      <c r="I113" cm="1">
        <f t="array" ref="I113">_xlfn.IFS(OR(pogoda48[[#This Row],[temperatura_srednia]]&lt;=15,pogoda48[[#This Row],[opady]]&gt;0.61),0,pogoda48[[#This Row],[temperatura_srednia]]&gt;30,24000,pogoda48[[#This Row],[temperatura_srednia]]&gt;15,12000)</f>
        <v>0</v>
      </c>
      <c r="J113">
        <f>IF(pogoda48[[#This Row],[stan_po_dolaniu]]&lt;pogoda48[[#This Row],[ile_podlewamy]],$AB$2-pogoda48[[#This Row],[stan_po_dolaniu]],0)</f>
        <v>0</v>
      </c>
      <c r="K113">
        <f>pogoda48[[#This Row],[stan_po_dolaniu]]+pogoda48[[#This Row],[ile_dolać_do_podlania]]</f>
        <v>4956</v>
      </c>
      <c r="L113">
        <f>pogoda48[[#This Row],[stan_po_dolaniu_do_podlania]]-pogoda48[[#This Row],[ile_podlewamy]]</f>
        <v>4956</v>
      </c>
      <c r="M113">
        <f>IF(pogoda48[[#This Row],[temperatura_srednia]]&lt;=15,1,0)</f>
        <v>0</v>
      </c>
      <c r="N113">
        <f>IF(AND(pogoda48[[#This Row],[temperatura_srednia]]&gt;15,pogoda48[[#This Row],[opady]]&lt;=0.61),1,0)</f>
        <v>0</v>
      </c>
      <c r="O113">
        <f>IF(AND(pogoda48[[#This Row],[temperatura_srednia]]&gt;15,pogoda48[[#This Row],[opady]]&gt;0.61),1,0)</f>
        <v>1</v>
      </c>
    </row>
    <row r="114" spans="1:15" x14ac:dyDescent="0.25">
      <c r="A114" s="2">
        <v>42207</v>
      </c>
      <c r="B114">
        <v>22</v>
      </c>
      <c r="C114">
        <v>0</v>
      </c>
      <c r="D114">
        <f t="shared" si="1"/>
        <v>4956</v>
      </c>
      <c r="E114">
        <f>IF(C114=0,ROUNDUP($AB$3*POWER(pogoda48[[#This Row],[temperatura_srednia]],1.5)*pogoda48[[#This Row],[stan_przed_dolaniem]],0),0)</f>
        <v>154</v>
      </c>
      <c r="F114">
        <f>pogoda48[[#This Row],[stan_przed_dolaniem]]-pogoda48[[#This Row],[ubytek]]</f>
        <v>4802</v>
      </c>
      <c r="G114">
        <f>IF(pogoda48[[#This Row],[opady]]*$AB$1+D114&gt;$AB$2,$AB$2-pogoda48[[#This Row],[stan_przed_dolaniem]],pogoda48[[#This Row],[opady]]*$AB$1)</f>
        <v>0</v>
      </c>
      <c r="H114">
        <f>pogoda48[[#This Row],[stan_po_ubytku]]+pogoda48[[#This Row],[ile_pogoda_dolała]]</f>
        <v>4802</v>
      </c>
      <c r="I114" cm="1">
        <f t="array" ref="I114">_xlfn.IFS(OR(pogoda48[[#This Row],[temperatura_srednia]]&lt;=15,pogoda48[[#This Row],[opady]]&gt;0.61),0,pogoda48[[#This Row],[temperatura_srednia]]&gt;30,24000,pogoda48[[#This Row],[temperatura_srednia]]&gt;15,12000)</f>
        <v>12000</v>
      </c>
      <c r="J114">
        <f>IF(pogoda48[[#This Row],[stan_po_dolaniu]]&lt;pogoda48[[#This Row],[ile_podlewamy]],$AB$2-pogoda48[[#This Row],[stan_po_dolaniu]],0)</f>
        <v>20198</v>
      </c>
      <c r="K114">
        <f>pogoda48[[#This Row],[stan_po_dolaniu]]+pogoda48[[#This Row],[ile_dolać_do_podlania]]</f>
        <v>25000</v>
      </c>
      <c r="L114">
        <f>pogoda48[[#This Row],[stan_po_dolaniu_do_podlania]]-pogoda48[[#This Row],[ile_podlewamy]]</f>
        <v>13000</v>
      </c>
      <c r="M114">
        <f>IF(pogoda48[[#This Row],[temperatura_srednia]]&lt;=15,1,0)</f>
        <v>0</v>
      </c>
      <c r="N114">
        <f>IF(AND(pogoda48[[#This Row],[temperatura_srednia]]&gt;15,pogoda48[[#This Row],[opady]]&lt;=0.61),1,0)</f>
        <v>1</v>
      </c>
      <c r="O114">
        <f>IF(AND(pogoda48[[#This Row],[temperatura_srednia]]&gt;15,pogoda48[[#This Row],[opady]]&gt;0.61),1,0)</f>
        <v>0</v>
      </c>
    </row>
    <row r="115" spans="1:15" x14ac:dyDescent="0.25">
      <c r="A115" s="2">
        <v>42208</v>
      </c>
      <c r="B115">
        <v>20</v>
      </c>
      <c r="C115">
        <v>0</v>
      </c>
      <c r="D115">
        <f t="shared" si="1"/>
        <v>13000</v>
      </c>
      <c r="E115">
        <f>IF(C115=0,ROUNDUP($AB$3*POWER(pogoda48[[#This Row],[temperatura_srednia]],1.5)*pogoda48[[#This Row],[stan_przed_dolaniem]],0),0)</f>
        <v>349</v>
      </c>
      <c r="F115">
        <f>pogoda48[[#This Row],[stan_przed_dolaniem]]-pogoda48[[#This Row],[ubytek]]</f>
        <v>12651</v>
      </c>
      <c r="G115">
        <f>IF(pogoda48[[#This Row],[opady]]*$AB$1+D115&gt;$AB$2,$AB$2-pogoda48[[#This Row],[stan_przed_dolaniem]],pogoda48[[#This Row],[opady]]*$AB$1)</f>
        <v>0</v>
      </c>
      <c r="H115">
        <f>pogoda48[[#This Row],[stan_po_ubytku]]+pogoda48[[#This Row],[ile_pogoda_dolała]]</f>
        <v>12651</v>
      </c>
      <c r="I115" cm="1">
        <f t="array" ref="I115">_xlfn.IFS(OR(pogoda48[[#This Row],[temperatura_srednia]]&lt;=15,pogoda48[[#This Row],[opady]]&gt;0.61),0,pogoda48[[#This Row],[temperatura_srednia]]&gt;30,24000,pogoda48[[#This Row],[temperatura_srednia]]&gt;15,12000)</f>
        <v>12000</v>
      </c>
      <c r="J115">
        <f>IF(pogoda48[[#This Row],[stan_po_dolaniu]]&lt;pogoda48[[#This Row],[ile_podlewamy]],$AB$2-pogoda48[[#This Row],[stan_po_dolaniu]],0)</f>
        <v>0</v>
      </c>
      <c r="K115">
        <f>pogoda48[[#This Row],[stan_po_dolaniu]]+pogoda48[[#This Row],[ile_dolać_do_podlania]]</f>
        <v>12651</v>
      </c>
      <c r="L115">
        <f>pogoda48[[#This Row],[stan_po_dolaniu_do_podlania]]-pogoda48[[#This Row],[ile_podlewamy]]</f>
        <v>651</v>
      </c>
      <c r="M115">
        <f>IF(pogoda48[[#This Row],[temperatura_srednia]]&lt;=15,1,0)</f>
        <v>0</v>
      </c>
      <c r="N115">
        <f>IF(AND(pogoda48[[#This Row],[temperatura_srednia]]&gt;15,pogoda48[[#This Row],[opady]]&lt;=0.61),1,0)</f>
        <v>1</v>
      </c>
      <c r="O115">
        <f>IF(AND(pogoda48[[#This Row],[temperatura_srednia]]&gt;15,pogoda48[[#This Row],[opady]]&gt;0.61),1,0)</f>
        <v>0</v>
      </c>
    </row>
    <row r="116" spans="1:15" x14ac:dyDescent="0.25">
      <c r="A116" s="2">
        <v>42209</v>
      </c>
      <c r="B116">
        <v>20</v>
      </c>
      <c r="C116">
        <v>0</v>
      </c>
      <c r="D116">
        <f t="shared" si="1"/>
        <v>651</v>
      </c>
      <c r="E116">
        <f>IF(C116=0,ROUNDUP($AB$3*POWER(pogoda48[[#This Row],[temperatura_srednia]],1.5)*pogoda48[[#This Row],[stan_przed_dolaniem]],0),0)</f>
        <v>18</v>
      </c>
      <c r="F116">
        <f>pogoda48[[#This Row],[stan_przed_dolaniem]]-pogoda48[[#This Row],[ubytek]]</f>
        <v>633</v>
      </c>
      <c r="G116">
        <f>IF(pogoda48[[#This Row],[opady]]*$AB$1+D116&gt;$AB$2,$AB$2-pogoda48[[#This Row],[stan_przed_dolaniem]],pogoda48[[#This Row],[opady]]*$AB$1)</f>
        <v>0</v>
      </c>
      <c r="H116">
        <f>pogoda48[[#This Row],[stan_po_ubytku]]+pogoda48[[#This Row],[ile_pogoda_dolała]]</f>
        <v>633</v>
      </c>
      <c r="I116" cm="1">
        <f t="array" ref="I116">_xlfn.IFS(OR(pogoda48[[#This Row],[temperatura_srednia]]&lt;=15,pogoda48[[#This Row],[opady]]&gt;0.61),0,pogoda48[[#This Row],[temperatura_srednia]]&gt;30,24000,pogoda48[[#This Row],[temperatura_srednia]]&gt;15,12000)</f>
        <v>12000</v>
      </c>
      <c r="J116">
        <f>IF(pogoda48[[#This Row],[stan_po_dolaniu]]&lt;pogoda48[[#This Row],[ile_podlewamy]],$AB$2-pogoda48[[#This Row],[stan_po_dolaniu]],0)</f>
        <v>24367</v>
      </c>
      <c r="K116">
        <f>pogoda48[[#This Row],[stan_po_dolaniu]]+pogoda48[[#This Row],[ile_dolać_do_podlania]]</f>
        <v>25000</v>
      </c>
      <c r="L116">
        <f>pogoda48[[#This Row],[stan_po_dolaniu_do_podlania]]-pogoda48[[#This Row],[ile_podlewamy]]</f>
        <v>13000</v>
      </c>
      <c r="M116">
        <f>IF(pogoda48[[#This Row],[temperatura_srednia]]&lt;=15,1,0)</f>
        <v>0</v>
      </c>
      <c r="N116">
        <f>IF(AND(pogoda48[[#This Row],[temperatura_srednia]]&gt;15,pogoda48[[#This Row],[opady]]&lt;=0.61),1,0)</f>
        <v>1</v>
      </c>
      <c r="O116">
        <f>IF(AND(pogoda48[[#This Row],[temperatura_srednia]]&gt;15,pogoda48[[#This Row],[opady]]&gt;0.61),1,0)</f>
        <v>0</v>
      </c>
    </row>
    <row r="117" spans="1:15" x14ac:dyDescent="0.25">
      <c r="A117" s="2">
        <v>42210</v>
      </c>
      <c r="B117">
        <v>23</v>
      </c>
      <c r="C117">
        <v>0.1</v>
      </c>
      <c r="D117">
        <f t="shared" si="1"/>
        <v>13000</v>
      </c>
      <c r="E117">
        <f>IF(C117=0,ROUNDUP($AB$3*POWER(pogoda48[[#This Row],[temperatura_srednia]],1.5)*pogoda48[[#This Row],[stan_przed_dolaniem]],0),0)</f>
        <v>0</v>
      </c>
      <c r="F117">
        <f>pogoda48[[#This Row],[stan_przed_dolaniem]]-pogoda48[[#This Row],[ubytek]]</f>
        <v>13000</v>
      </c>
      <c r="G117">
        <f>IF(pogoda48[[#This Row],[opady]]*$AB$1+D117&gt;$AB$2,$AB$2-pogoda48[[#This Row],[stan_przed_dolaniem]],pogoda48[[#This Row],[opady]]*$AB$1)</f>
        <v>70</v>
      </c>
      <c r="H117">
        <f>pogoda48[[#This Row],[stan_po_ubytku]]+pogoda48[[#This Row],[ile_pogoda_dolała]]</f>
        <v>13070</v>
      </c>
      <c r="I117" cm="1">
        <f t="array" ref="I117">_xlfn.IFS(OR(pogoda48[[#This Row],[temperatura_srednia]]&lt;=15,pogoda48[[#This Row],[opady]]&gt;0.61),0,pogoda48[[#This Row],[temperatura_srednia]]&gt;30,24000,pogoda48[[#This Row],[temperatura_srednia]]&gt;15,12000)</f>
        <v>12000</v>
      </c>
      <c r="J117">
        <f>IF(pogoda48[[#This Row],[stan_po_dolaniu]]&lt;pogoda48[[#This Row],[ile_podlewamy]],$AB$2-pogoda48[[#This Row],[stan_po_dolaniu]],0)</f>
        <v>0</v>
      </c>
      <c r="K117">
        <f>pogoda48[[#This Row],[stan_po_dolaniu]]+pogoda48[[#This Row],[ile_dolać_do_podlania]]</f>
        <v>13070</v>
      </c>
      <c r="L117">
        <f>pogoda48[[#This Row],[stan_po_dolaniu_do_podlania]]-pogoda48[[#This Row],[ile_podlewamy]]</f>
        <v>1070</v>
      </c>
      <c r="M117">
        <f>IF(pogoda48[[#This Row],[temperatura_srednia]]&lt;=15,1,0)</f>
        <v>0</v>
      </c>
      <c r="N117">
        <f>IF(AND(pogoda48[[#This Row],[temperatura_srednia]]&gt;15,pogoda48[[#This Row],[opady]]&lt;=0.61),1,0)</f>
        <v>1</v>
      </c>
      <c r="O117">
        <f>IF(AND(pogoda48[[#This Row],[temperatura_srednia]]&gt;15,pogoda48[[#This Row],[opady]]&gt;0.61),1,0)</f>
        <v>0</v>
      </c>
    </row>
    <row r="118" spans="1:15" x14ac:dyDescent="0.25">
      <c r="A118" s="2">
        <v>42211</v>
      </c>
      <c r="B118">
        <v>16</v>
      </c>
      <c r="C118">
        <v>0</v>
      </c>
      <c r="D118">
        <f t="shared" si="1"/>
        <v>1070</v>
      </c>
      <c r="E118">
        <f>IF(C118=0,ROUNDUP($AB$3*POWER(pogoda48[[#This Row],[temperatura_srednia]],1.5)*pogoda48[[#This Row],[stan_przed_dolaniem]],0),0)</f>
        <v>21</v>
      </c>
      <c r="F118">
        <f>pogoda48[[#This Row],[stan_przed_dolaniem]]-pogoda48[[#This Row],[ubytek]]</f>
        <v>1049</v>
      </c>
      <c r="G118">
        <f>IF(pogoda48[[#This Row],[opady]]*$AB$1+D118&gt;$AB$2,$AB$2-pogoda48[[#This Row],[stan_przed_dolaniem]],pogoda48[[#This Row],[opady]]*$AB$1)</f>
        <v>0</v>
      </c>
      <c r="H118">
        <f>pogoda48[[#This Row],[stan_po_ubytku]]+pogoda48[[#This Row],[ile_pogoda_dolała]]</f>
        <v>1049</v>
      </c>
      <c r="I118" cm="1">
        <f t="array" ref="I118">_xlfn.IFS(OR(pogoda48[[#This Row],[temperatura_srednia]]&lt;=15,pogoda48[[#This Row],[opady]]&gt;0.61),0,pogoda48[[#This Row],[temperatura_srednia]]&gt;30,24000,pogoda48[[#This Row],[temperatura_srednia]]&gt;15,12000)</f>
        <v>12000</v>
      </c>
      <c r="J118">
        <f>IF(pogoda48[[#This Row],[stan_po_dolaniu]]&lt;pogoda48[[#This Row],[ile_podlewamy]],$AB$2-pogoda48[[#This Row],[stan_po_dolaniu]],0)</f>
        <v>23951</v>
      </c>
      <c r="K118">
        <f>pogoda48[[#This Row],[stan_po_dolaniu]]+pogoda48[[#This Row],[ile_dolać_do_podlania]]</f>
        <v>25000</v>
      </c>
      <c r="L118">
        <f>pogoda48[[#This Row],[stan_po_dolaniu_do_podlania]]-pogoda48[[#This Row],[ile_podlewamy]]</f>
        <v>13000</v>
      </c>
      <c r="M118">
        <f>IF(pogoda48[[#This Row],[temperatura_srednia]]&lt;=15,1,0)</f>
        <v>0</v>
      </c>
      <c r="N118">
        <f>IF(AND(pogoda48[[#This Row],[temperatura_srednia]]&gt;15,pogoda48[[#This Row],[opady]]&lt;=0.61),1,0)</f>
        <v>1</v>
      </c>
      <c r="O118">
        <f>IF(AND(pogoda48[[#This Row],[temperatura_srednia]]&gt;15,pogoda48[[#This Row],[opady]]&gt;0.61),1,0)</f>
        <v>0</v>
      </c>
    </row>
    <row r="119" spans="1:15" x14ac:dyDescent="0.25">
      <c r="A119" s="2">
        <v>42212</v>
      </c>
      <c r="B119">
        <v>16</v>
      </c>
      <c r="C119">
        <v>0.1</v>
      </c>
      <c r="D119">
        <f t="shared" si="1"/>
        <v>13000</v>
      </c>
      <c r="E119">
        <f>IF(C119=0,ROUNDUP($AB$3*POWER(pogoda48[[#This Row],[temperatura_srednia]],1.5)*pogoda48[[#This Row],[stan_przed_dolaniem]],0),0)</f>
        <v>0</v>
      </c>
      <c r="F119">
        <f>pogoda48[[#This Row],[stan_przed_dolaniem]]-pogoda48[[#This Row],[ubytek]]</f>
        <v>13000</v>
      </c>
      <c r="G119">
        <f>IF(pogoda48[[#This Row],[opady]]*$AB$1+D119&gt;$AB$2,$AB$2-pogoda48[[#This Row],[stan_przed_dolaniem]],pogoda48[[#This Row],[opady]]*$AB$1)</f>
        <v>70</v>
      </c>
      <c r="H119">
        <f>pogoda48[[#This Row],[stan_po_ubytku]]+pogoda48[[#This Row],[ile_pogoda_dolała]]</f>
        <v>13070</v>
      </c>
      <c r="I119" cm="1">
        <f t="array" ref="I119">_xlfn.IFS(OR(pogoda48[[#This Row],[temperatura_srednia]]&lt;=15,pogoda48[[#This Row],[opady]]&gt;0.61),0,pogoda48[[#This Row],[temperatura_srednia]]&gt;30,24000,pogoda48[[#This Row],[temperatura_srednia]]&gt;15,12000)</f>
        <v>12000</v>
      </c>
      <c r="J119">
        <f>IF(pogoda48[[#This Row],[stan_po_dolaniu]]&lt;pogoda48[[#This Row],[ile_podlewamy]],$AB$2-pogoda48[[#This Row],[stan_po_dolaniu]],0)</f>
        <v>0</v>
      </c>
      <c r="K119">
        <f>pogoda48[[#This Row],[stan_po_dolaniu]]+pogoda48[[#This Row],[ile_dolać_do_podlania]]</f>
        <v>13070</v>
      </c>
      <c r="L119">
        <f>pogoda48[[#This Row],[stan_po_dolaniu_do_podlania]]-pogoda48[[#This Row],[ile_podlewamy]]</f>
        <v>1070</v>
      </c>
      <c r="M119">
        <f>IF(pogoda48[[#This Row],[temperatura_srednia]]&lt;=15,1,0)</f>
        <v>0</v>
      </c>
      <c r="N119">
        <f>IF(AND(pogoda48[[#This Row],[temperatura_srednia]]&gt;15,pogoda48[[#This Row],[opady]]&lt;=0.61),1,0)</f>
        <v>1</v>
      </c>
      <c r="O119">
        <f>IF(AND(pogoda48[[#This Row],[temperatura_srednia]]&gt;15,pogoda48[[#This Row],[opady]]&gt;0.61),1,0)</f>
        <v>0</v>
      </c>
    </row>
    <row r="120" spans="1:15" x14ac:dyDescent="0.25">
      <c r="A120" s="2">
        <v>42213</v>
      </c>
      <c r="B120">
        <v>18</v>
      </c>
      <c r="C120">
        <v>0.3</v>
      </c>
      <c r="D120">
        <f t="shared" si="1"/>
        <v>1070</v>
      </c>
      <c r="E120">
        <f>IF(C120=0,ROUNDUP($AB$3*POWER(pogoda48[[#This Row],[temperatura_srednia]],1.5)*pogoda48[[#This Row],[stan_przed_dolaniem]],0),0)</f>
        <v>0</v>
      </c>
      <c r="F120">
        <f>pogoda48[[#This Row],[stan_przed_dolaniem]]-pogoda48[[#This Row],[ubytek]]</f>
        <v>1070</v>
      </c>
      <c r="G120">
        <f>IF(pogoda48[[#This Row],[opady]]*$AB$1+D120&gt;$AB$2,$AB$2-pogoda48[[#This Row],[stan_przed_dolaniem]],pogoda48[[#This Row],[opady]]*$AB$1)</f>
        <v>210</v>
      </c>
      <c r="H120">
        <f>pogoda48[[#This Row],[stan_po_ubytku]]+pogoda48[[#This Row],[ile_pogoda_dolała]]</f>
        <v>1280</v>
      </c>
      <c r="I120" cm="1">
        <f t="array" ref="I120">_xlfn.IFS(OR(pogoda48[[#This Row],[temperatura_srednia]]&lt;=15,pogoda48[[#This Row],[opady]]&gt;0.61),0,pogoda48[[#This Row],[temperatura_srednia]]&gt;30,24000,pogoda48[[#This Row],[temperatura_srednia]]&gt;15,12000)</f>
        <v>12000</v>
      </c>
      <c r="J120">
        <f>IF(pogoda48[[#This Row],[stan_po_dolaniu]]&lt;pogoda48[[#This Row],[ile_podlewamy]],$AB$2-pogoda48[[#This Row],[stan_po_dolaniu]],0)</f>
        <v>23720</v>
      </c>
      <c r="K120">
        <f>pogoda48[[#This Row],[stan_po_dolaniu]]+pogoda48[[#This Row],[ile_dolać_do_podlania]]</f>
        <v>25000</v>
      </c>
      <c r="L120">
        <f>pogoda48[[#This Row],[stan_po_dolaniu_do_podlania]]-pogoda48[[#This Row],[ile_podlewamy]]</f>
        <v>13000</v>
      </c>
      <c r="M120">
        <f>IF(pogoda48[[#This Row],[temperatura_srednia]]&lt;=15,1,0)</f>
        <v>0</v>
      </c>
      <c r="N120">
        <f>IF(AND(pogoda48[[#This Row],[temperatura_srednia]]&gt;15,pogoda48[[#This Row],[opady]]&lt;=0.61),1,0)</f>
        <v>1</v>
      </c>
      <c r="O120">
        <f>IF(AND(pogoda48[[#This Row],[temperatura_srednia]]&gt;15,pogoda48[[#This Row],[opady]]&gt;0.61),1,0)</f>
        <v>0</v>
      </c>
    </row>
    <row r="121" spans="1:15" x14ac:dyDescent="0.25">
      <c r="A121" s="2">
        <v>42214</v>
      </c>
      <c r="B121">
        <v>18</v>
      </c>
      <c r="C121">
        <v>0</v>
      </c>
      <c r="D121">
        <f t="shared" si="1"/>
        <v>13000</v>
      </c>
      <c r="E121">
        <f>IF(C121=0,ROUNDUP($AB$3*POWER(pogoda48[[#This Row],[temperatura_srednia]],1.5)*pogoda48[[#This Row],[stan_przed_dolaniem]],0),0)</f>
        <v>298</v>
      </c>
      <c r="F121">
        <f>pogoda48[[#This Row],[stan_przed_dolaniem]]-pogoda48[[#This Row],[ubytek]]</f>
        <v>12702</v>
      </c>
      <c r="G121">
        <f>IF(pogoda48[[#This Row],[opady]]*$AB$1+D121&gt;$AB$2,$AB$2-pogoda48[[#This Row],[stan_przed_dolaniem]],pogoda48[[#This Row],[opady]]*$AB$1)</f>
        <v>0</v>
      </c>
      <c r="H121">
        <f>pogoda48[[#This Row],[stan_po_ubytku]]+pogoda48[[#This Row],[ile_pogoda_dolała]]</f>
        <v>12702</v>
      </c>
      <c r="I121" cm="1">
        <f t="array" ref="I121">_xlfn.IFS(OR(pogoda48[[#This Row],[temperatura_srednia]]&lt;=15,pogoda48[[#This Row],[opady]]&gt;0.61),0,pogoda48[[#This Row],[temperatura_srednia]]&gt;30,24000,pogoda48[[#This Row],[temperatura_srednia]]&gt;15,12000)</f>
        <v>12000</v>
      </c>
      <c r="J121">
        <f>IF(pogoda48[[#This Row],[stan_po_dolaniu]]&lt;pogoda48[[#This Row],[ile_podlewamy]],$AB$2-pogoda48[[#This Row],[stan_po_dolaniu]],0)</f>
        <v>0</v>
      </c>
      <c r="K121">
        <f>pogoda48[[#This Row],[stan_po_dolaniu]]+pogoda48[[#This Row],[ile_dolać_do_podlania]]</f>
        <v>12702</v>
      </c>
      <c r="L121">
        <f>pogoda48[[#This Row],[stan_po_dolaniu_do_podlania]]-pogoda48[[#This Row],[ile_podlewamy]]</f>
        <v>702</v>
      </c>
      <c r="M121">
        <f>IF(pogoda48[[#This Row],[temperatura_srednia]]&lt;=15,1,0)</f>
        <v>0</v>
      </c>
      <c r="N121">
        <f>IF(AND(pogoda48[[#This Row],[temperatura_srednia]]&gt;15,pogoda48[[#This Row],[opady]]&lt;=0.61),1,0)</f>
        <v>1</v>
      </c>
      <c r="O121">
        <f>IF(AND(pogoda48[[#This Row],[temperatura_srednia]]&gt;15,pogoda48[[#This Row],[opady]]&gt;0.61),1,0)</f>
        <v>0</v>
      </c>
    </row>
    <row r="122" spans="1:15" x14ac:dyDescent="0.25">
      <c r="A122" s="2">
        <v>42215</v>
      </c>
      <c r="B122">
        <v>14</v>
      </c>
      <c r="C122">
        <v>0</v>
      </c>
      <c r="D122">
        <f t="shared" si="1"/>
        <v>702</v>
      </c>
      <c r="E122">
        <f>IF(C122=0,ROUNDUP($AB$3*POWER(pogoda48[[#This Row],[temperatura_srednia]],1.5)*pogoda48[[#This Row],[stan_przed_dolaniem]],0),0)</f>
        <v>12</v>
      </c>
      <c r="F122">
        <f>pogoda48[[#This Row],[stan_przed_dolaniem]]-pogoda48[[#This Row],[ubytek]]</f>
        <v>690</v>
      </c>
      <c r="G122">
        <f>IF(pogoda48[[#This Row],[opady]]*$AB$1+D122&gt;$AB$2,$AB$2-pogoda48[[#This Row],[stan_przed_dolaniem]],pogoda48[[#This Row],[opady]]*$AB$1)</f>
        <v>0</v>
      </c>
      <c r="H122">
        <f>pogoda48[[#This Row],[stan_po_ubytku]]+pogoda48[[#This Row],[ile_pogoda_dolała]]</f>
        <v>690</v>
      </c>
      <c r="I122" cm="1">
        <f t="array" ref="I122">_xlfn.IFS(OR(pogoda48[[#This Row],[temperatura_srednia]]&lt;=15,pogoda48[[#This Row],[opady]]&gt;0.61),0,pogoda48[[#This Row],[temperatura_srednia]]&gt;30,24000,pogoda48[[#This Row],[temperatura_srednia]]&gt;15,12000)</f>
        <v>0</v>
      </c>
      <c r="J122">
        <f>IF(pogoda48[[#This Row],[stan_po_dolaniu]]&lt;pogoda48[[#This Row],[ile_podlewamy]],$AB$2-pogoda48[[#This Row],[stan_po_dolaniu]],0)</f>
        <v>0</v>
      </c>
      <c r="K122">
        <f>pogoda48[[#This Row],[stan_po_dolaniu]]+pogoda48[[#This Row],[ile_dolać_do_podlania]]</f>
        <v>690</v>
      </c>
      <c r="L122">
        <f>pogoda48[[#This Row],[stan_po_dolaniu_do_podlania]]-pogoda48[[#This Row],[ile_podlewamy]]</f>
        <v>690</v>
      </c>
      <c r="M122">
        <f>IF(pogoda48[[#This Row],[temperatura_srednia]]&lt;=15,1,0)</f>
        <v>1</v>
      </c>
      <c r="N122">
        <f>IF(AND(pogoda48[[#This Row],[temperatura_srednia]]&gt;15,pogoda48[[#This Row],[opady]]&lt;=0.61),1,0)</f>
        <v>0</v>
      </c>
      <c r="O122">
        <f>IF(AND(pogoda48[[#This Row],[temperatura_srednia]]&gt;15,pogoda48[[#This Row],[opady]]&gt;0.61),1,0)</f>
        <v>0</v>
      </c>
    </row>
    <row r="123" spans="1:15" x14ac:dyDescent="0.25">
      <c r="A123" s="2">
        <v>42216</v>
      </c>
      <c r="B123">
        <v>14</v>
      </c>
      <c r="C123">
        <v>0</v>
      </c>
      <c r="D123">
        <f t="shared" si="1"/>
        <v>690</v>
      </c>
      <c r="E123">
        <f>IF(C123=0,ROUNDUP($AB$3*POWER(pogoda48[[#This Row],[temperatura_srednia]],1.5)*pogoda48[[#This Row],[stan_przed_dolaniem]],0),0)</f>
        <v>11</v>
      </c>
      <c r="F123">
        <f>pogoda48[[#This Row],[stan_przed_dolaniem]]-pogoda48[[#This Row],[ubytek]]</f>
        <v>679</v>
      </c>
      <c r="G123">
        <f>IF(pogoda48[[#This Row],[opady]]*$AB$1+D123&gt;$AB$2,$AB$2-pogoda48[[#This Row],[stan_przed_dolaniem]],pogoda48[[#This Row],[opady]]*$AB$1)</f>
        <v>0</v>
      </c>
      <c r="H123">
        <f>pogoda48[[#This Row],[stan_po_ubytku]]+pogoda48[[#This Row],[ile_pogoda_dolała]]</f>
        <v>679</v>
      </c>
      <c r="I123" cm="1">
        <f t="array" ref="I123">_xlfn.IFS(OR(pogoda48[[#This Row],[temperatura_srednia]]&lt;=15,pogoda48[[#This Row],[opady]]&gt;0.61),0,pogoda48[[#This Row],[temperatura_srednia]]&gt;30,24000,pogoda48[[#This Row],[temperatura_srednia]]&gt;15,12000)</f>
        <v>0</v>
      </c>
      <c r="J123">
        <f>IF(pogoda48[[#This Row],[stan_po_dolaniu]]&lt;pogoda48[[#This Row],[ile_podlewamy]],$AB$2-pogoda48[[#This Row],[stan_po_dolaniu]],0)</f>
        <v>0</v>
      </c>
      <c r="K123">
        <f>pogoda48[[#This Row],[stan_po_dolaniu]]+pogoda48[[#This Row],[ile_dolać_do_podlania]]</f>
        <v>679</v>
      </c>
      <c r="L123">
        <f>pogoda48[[#This Row],[stan_po_dolaniu_do_podlania]]-pogoda48[[#This Row],[ile_podlewamy]]</f>
        <v>679</v>
      </c>
      <c r="M123">
        <f>IF(pogoda48[[#This Row],[temperatura_srednia]]&lt;=15,1,0)</f>
        <v>1</v>
      </c>
      <c r="N123">
        <f>IF(AND(pogoda48[[#This Row],[temperatura_srednia]]&gt;15,pogoda48[[#This Row],[opady]]&lt;=0.61),1,0)</f>
        <v>0</v>
      </c>
      <c r="O123">
        <f>IF(AND(pogoda48[[#This Row],[temperatura_srednia]]&gt;15,pogoda48[[#This Row],[opady]]&gt;0.61),1,0)</f>
        <v>0</v>
      </c>
    </row>
    <row r="124" spans="1:15" x14ac:dyDescent="0.25">
      <c r="A124" s="2">
        <v>42217</v>
      </c>
      <c r="B124">
        <v>16</v>
      </c>
      <c r="C124">
        <v>0</v>
      </c>
      <c r="D124">
        <f t="shared" si="1"/>
        <v>679</v>
      </c>
      <c r="E124">
        <f>IF(C124=0,ROUNDUP($AB$3*POWER(pogoda48[[#This Row],[temperatura_srednia]],1.5)*pogoda48[[#This Row],[stan_przed_dolaniem]],0),0)</f>
        <v>14</v>
      </c>
      <c r="F124">
        <f>pogoda48[[#This Row],[stan_przed_dolaniem]]-pogoda48[[#This Row],[ubytek]]</f>
        <v>665</v>
      </c>
      <c r="G124">
        <f>IF(pogoda48[[#This Row],[opady]]*$AB$1+D124&gt;$AB$2,$AB$2-pogoda48[[#This Row],[stan_przed_dolaniem]],pogoda48[[#This Row],[opady]]*$AB$1)</f>
        <v>0</v>
      </c>
      <c r="H124">
        <f>pogoda48[[#This Row],[stan_po_ubytku]]+pogoda48[[#This Row],[ile_pogoda_dolała]]</f>
        <v>665</v>
      </c>
      <c r="I124" cm="1">
        <f t="array" ref="I124">_xlfn.IFS(OR(pogoda48[[#This Row],[temperatura_srednia]]&lt;=15,pogoda48[[#This Row],[opady]]&gt;0.61),0,pogoda48[[#This Row],[temperatura_srednia]]&gt;30,24000,pogoda48[[#This Row],[temperatura_srednia]]&gt;15,12000)</f>
        <v>12000</v>
      </c>
      <c r="J124">
        <f>IF(pogoda48[[#This Row],[stan_po_dolaniu]]&lt;pogoda48[[#This Row],[ile_podlewamy]],$AB$2-pogoda48[[#This Row],[stan_po_dolaniu]],0)</f>
        <v>24335</v>
      </c>
      <c r="K124">
        <f>pogoda48[[#This Row],[stan_po_dolaniu]]+pogoda48[[#This Row],[ile_dolać_do_podlania]]</f>
        <v>25000</v>
      </c>
      <c r="L124">
        <f>pogoda48[[#This Row],[stan_po_dolaniu_do_podlania]]-pogoda48[[#This Row],[ile_podlewamy]]</f>
        <v>13000</v>
      </c>
      <c r="M124">
        <f>IF(pogoda48[[#This Row],[temperatura_srednia]]&lt;=15,1,0)</f>
        <v>0</v>
      </c>
      <c r="N124">
        <f>IF(AND(pogoda48[[#This Row],[temperatura_srednia]]&gt;15,pogoda48[[#This Row],[opady]]&lt;=0.61),1,0)</f>
        <v>1</v>
      </c>
      <c r="O124">
        <f>IF(AND(pogoda48[[#This Row],[temperatura_srednia]]&gt;15,pogoda48[[#This Row],[opady]]&gt;0.61),1,0)</f>
        <v>0</v>
      </c>
    </row>
    <row r="125" spans="1:15" x14ac:dyDescent="0.25">
      <c r="A125" s="2">
        <v>42218</v>
      </c>
      <c r="B125">
        <v>22</v>
      </c>
      <c r="C125">
        <v>0</v>
      </c>
      <c r="D125">
        <f t="shared" si="1"/>
        <v>13000</v>
      </c>
      <c r="E125">
        <f>IF(C125=0,ROUNDUP($AB$3*POWER(pogoda48[[#This Row],[temperatura_srednia]],1.5)*pogoda48[[#This Row],[stan_przed_dolaniem]],0),0)</f>
        <v>403</v>
      </c>
      <c r="F125">
        <f>pogoda48[[#This Row],[stan_przed_dolaniem]]-pogoda48[[#This Row],[ubytek]]</f>
        <v>12597</v>
      </c>
      <c r="G125">
        <f>IF(pogoda48[[#This Row],[opady]]*$AB$1+D125&gt;$AB$2,$AB$2-pogoda48[[#This Row],[stan_przed_dolaniem]],pogoda48[[#This Row],[opady]]*$AB$1)</f>
        <v>0</v>
      </c>
      <c r="H125">
        <f>pogoda48[[#This Row],[stan_po_ubytku]]+pogoda48[[#This Row],[ile_pogoda_dolała]]</f>
        <v>12597</v>
      </c>
      <c r="I125" cm="1">
        <f t="array" ref="I125">_xlfn.IFS(OR(pogoda48[[#This Row],[temperatura_srednia]]&lt;=15,pogoda48[[#This Row],[opady]]&gt;0.61),0,pogoda48[[#This Row],[temperatura_srednia]]&gt;30,24000,pogoda48[[#This Row],[temperatura_srednia]]&gt;15,12000)</f>
        <v>12000</v>
      </c>
      <c r="J125">
        <f>IF(pogoda48[[#This Row],[stan_po_dolaniu]]&lt;pogoda48[[#This Row],[ile_podlewamy]],$AB$2-pogoda48[[#This Row],[stan_po_dolaniu]],0)</f>
        <v>0</v>
      </c>
      <c r="K125">
        <f>pogoda48[[#This Row],[stan_po_dolaniu]]+pogoda48[[#This Row],[ile_dolać_do_podlania]]</f>
        <v>12597</v>
      </c>
      <c r="L125">
        <f>pogoda48[[#This Row],[stan_po_dolaniu_do_podlania]]-pogoda48[[#This Row],[ile_podlewamy]]</f>
        <v>597</v>
      </c>
      <c r="M125">
        <f>IF(pogoda48[[#This Row],[temperatura_srednia]]&lt;=15,1,0)</f>
        <v>0</v>
      </c>
      <c r="N125">
        <f>IF(AND(pogoda48[[#This Row],[temperatura_srednia]]&gt;15,pogoda48[[#This Row],[opady]]&lt;=0.61),1,0)</f>
        <v>1</v>
      </c>
      <c r="O125">
        <f>IF(AND(pogoda48[[#This Row],[temperatura_srednia]]&gt;15,pogoda48[[#This Row],[opady]]&gt;0.61),1,0)</f>
        <v>0</v>
      </c>
    </row>
    <row r="126" spans="1:15" x14ac:dyDescent="0.25">
      <c r="A126" s="2">
        <v>42219</v>
      </c>
      <c r="B126">
        <v>22</v>
      </c>
      <c r="C126">
        <v>0</v>
      </c>
      <c r="D126">
        <f t="shared" si="1"/>
        <v>597</v>
      </c>
      <c r="E126">
        <f>IF(C126=0,ROUNDUP($AB$3*POWER(pogoda48[[#This Row],[temperatura_srednia]],1.5)*pogoda48[[#This Row],[stan_przed_dolaniem]],0),0)</f>
        <v>19</v>
      </c>
      <c r="F126">
        <f>pogoda48[[#This Row],[stan_przed_dolaniem]]-pogoda48[[#This Row],[ubytek]]</f>
        <v>578</v>
      </c>
      <c r="G126">
        <f>IF(pogoda48[[#This Row],[opady]]*$AB$1+D126&gt;$AB$2,$AB$2-pogoda48[[#This Row],[stan_przed_dolaniem]],pogoda48[[#This Row],[opady]]*$AB$1)</f>
        <v>0</v>
      </c>
      <c r="H126">
        <f>pogoda48[[#This Row],[stan_po_ubytku]]+pogoda48[[#This Row],[ile_pogoda_dolała]]</f>
        <v>578</v>
      </c>
      <c r="I126" cm="1">
        <f t="array" ref="I126">_xlfn.IFS(OR(pogoda48[[#This Row],[temperatura_srednia]]&lt;=15,pogoda48[[#This Row],[opady]]&gt;0.61),0,pogoda48[[#This Row],[temperatura_srednia]]&gt;30,24000,pogoda48[[#This Row],[temperatura_srednia]]&gt;15,12000)</f>
        <v>12000</v>
      </c>
      <c r="J126">
        <f>IF(pogoda48[[#This Row],[stan_po_dolaniu]]&lt;pogoda48[[#This Row],[ile_podlewamy]],$AB$2-pogoda48[[#This Row],[stan_po_dolaniu]],0)</f>
        <v>24422</v>
      </c>
      <c r="K126">
        <f>pogoda48[[#This Row],[stan_po_dolaniu]]+pogoda48[[#This Row],[ile_dolać_do_podlania]]</f>
        <v>25000</v>
      </c>
      <c r="L126">
        <f>pogoda48[[#This Row],[stan_po_dolaniu_do_podlania]]-pogoda48[[#This Row],[ile_podlewamy]]</f>
        <v>13000</v>
      </c>
      <c r="M126">
        <f>IF(pogoda48[[#This Row],[temperatura_srednia]]&lt;=15,1,0)</f>
        <v>0</v>
      </c>
      <c r="N126">
        <f>IF(AND(pogoda48[[#This Row],[temperatura_srednia]]&gt;15,pogoda48[[#This Row],[opady]]&lt;=0.61),1,0)</f>
        <v>1</v>
      </c>
      <c r="O126">
        <f>IF(AND(pogoda48[[#This Row],[temperatura_srednia]]&gt;15,pogoda48[[#This Row],[opady]]&gt;0.61),1,0)</f>
        <v>0</v>
      </c>
    </row>
    <row r="127" spans="1:15" x14ac:dyDescent="0.25">
      <c r="A127" s="2">
        <v>42220</v>
      </c>
      <c r="B127">
        <v>25</v>
      </c>
      <c r="C127">
        <v>0</v>
      </c>
      <c r="D127">
        <f t="shared" si="1"/>
        <v>13000</v>
      </c>
      <c r="E127">
        <f>IF(C127=0,ROUNDUP($AB$3*POWER(pogoda48[[#This Row],[temperatura_srednia]],1.5)*pogoda48[[#This Row],[stan_przed_dolaniem]],0),0)</f>
        <v>488</v>
      </c>
      <c r="F127">
        <f>pogoda48[[#This Row],[stan_przed_dolaniem]]-pogoda48[[#This Row],[ubytek]]</f>
        <v>12512</v>
      </c>
      <c r="G127">
        <f>IF(pogoda48[[#This Row],[opady]]*$AB$1+D127&gt;$AB$2,$AB$2-pogoda48[[#This Row],[stan_przed_dolaniem]],pogoda48[[#This Row],[opady]]*$AB$1)</f>
        <v>0</v>
      </c>
      <c r="H127">
        <f>pogoda48[[#This Row],[stan_po_ubytku]]+pogoda48[[#This Row],[ile_pogoda_dolała]]</f>
        <v>12512</v>
      </c>
      <c r="I127" cm="1">
        <f t="array" ref="I127">_xlfn.IFS(OR(pogoda48[[#This Row],[temperatura_srednia]]&lt;=15,pogoda48[[#This Row],[opady]]&gt;0.61),0,pogoda48[[#This Row],[temperatura_srednia]]&gt;30,24000,pogoda48[[#This Row],[temperatura_srednia]]&gt;15,12000)</f>
        <v>12000</v>
      </c>
      <c r="J127">
        <f>IF(pogoda48[[#This Row],[stan_po_dolaniu]]&lt;pogoda48[[#This Row],[ile_podlewamy]],$AB$2-pogoda48[[#This Row],[stan_po_dolaniu]],0)</f>
        <v>0</v>
      </c>
      <c r="K127">
        <f>pogoda48[[#This Row],[stan_po_dolaniu]]+pogoda48[[#This Row],[ile_dolać_do_podlania]]</f>
        <v>12512</v>
      </c>
      <c r="L127">
        <f>pogoda48[[#This Row],[stan_po_dolaniu_do_podlania]]-pogoda48[[#This Row],[ile_podlewamy]]</f>
        <v>512</v>
      </c>
      <c r="M127">
        <f>IF(pogoda48[[#This Row],[temperatura_srednia]]&lt;=15,1,0)</f>
        <v>0</v>
      </c>
      <c r="N127">
        <f>IF(AND(pogoda48[[#This Row],[temperatura_srednia]]&gt;15,pogoda48[[#This Row],[opady]]&lt;=0.61),1,0)</f>
        <v>1</v>
      </c>
      <c r="O127">
        <f>IF(AND(pogoda48[[#This Row],[temperatura_srednia]]&gt;15,pogoda48[[#This Row],[opady]]&gt;0.61),1,0)</f>
        <v>0</v>
      </c>
    </row>
    <row r="128" spans="1:15" x14ac:dyDescent="0.25">
      <c r="A128" s="2">
        <v>42221</v>
      </c>
      <c r="B128">
        <v>24</v>
      </c>
      <c r="C128">
        <v>0</v>
      </c>
      <c r="D128">
        <f t="shared" si="1"/>
        <v>512</v>
      </c>
      <c r="E128">
        <f>IF(C128=0,ROUNDUP($AB$3*POWER(pogoda48[[#This Row],[temperatura_srednia]],1.5)*pogoda48[[#This Row],[stan_przed_dolaniem]],0),0)</f>
        <v>19</v>
      </c>
      <c r="F128">
        <f>pogoda48[[#This Row],[stan_przed_dolaniem]]-pogoda48[[#This Row],[ubytek]]</f>
        <v>493</v>
      </c>
      <c r="G128">
        <f>IF(pogoda48[[#This Row],[opady]]*$AB$1+D128&gt;$AB$2,$AB$2-pogoda48[[#This Row],[stan_przed_dolaniem]],pogoda48[[#This Row],[opady]]*$AB$1)</f>
        <v>0</v>
      </c>
      <c r="H128">
        <f>pogoda48[[#This Row],[stan_po_ubytku]]+pogoda48[[#This Row],[ile_pogoda_dolała]]</f>
        <v>493</v>
      </c>
      <c r="I128" cm="1">
        <f t="array" ref="I128">_xlfn.IFS(OR(pogoda48[[#This Row],[temperatura_srednia]]&lt;=15,pogoda48[[#This Row],[opady]]&gt;0.61),0,pogoda48[[#This Row],[temperatura_srednia]]&gt;30,24000,pogoda48[[#This Row],[temperatura_srednia]]&gt;15,12000)</f>
        <v>12000</v>
      </c>
      <c r="J128">
        <f>IF(pogoda48[[#This Row],[stan_po_dolaniu]]&lt;pogoda48[[#This Row],[ile_podlewamy]],$AB$2-pogoda48[[#This Row],[stan_po_dolaniu]],0)</f>
        <v>24507</v>
      </c>
      <c r="K128">
        <f>pogoda48[[#This Row],[stan_po_dolaniu]]+pogoda48[[#This Row],[ile_dolać_do_podlania]]</f>
        <v>25000</v>
      </c>
      <c r="L128">
        <f>pogoda48[[#This Row],[stan_po_dolaniu_do_podlania]]-pogoda48[[#This Row],[ile_podlewamy]]</f>
        <v>13000</v>
      </c>
      <c r="M128">
        <f>IF(pogoda48[[#This Row],[temperatura_srednia]]&lt;=15,1,0)</f>
        <v>0</v>
      </c>
      <c r="N128">
        <f>IF(AND(pogoda48[[#This Row],[temperatura_srednia]]&gt;15,pogoda48[[#This Row],[opady]]&lt;=0.61),1,0)</f>
        <v>1</v>
      </c>
      <c r="O128">
        <f>IF(AND(pogoda48[[#This Row],[temperatura_srednia]]&gt;15,pogoda48[[#This Row],[opady]]&gt;0.61),1,0)</f>
        <v>0</v>
      </c>
    </row>
    <row r="129" spans="1:15" x14ac:dyDescent="0.25">
      <c r="A129" s="2">
        <v>42222</v>
      </c>
      <c r="B129">
        <v>24</v>
      </c>
      <c r="C129">
        <v>0</v>
      </c>
      <c r="D129">
        <f t="shared" si="1"/>
        <v>13000</v>
      </c>
      <c r="E129">
        <f>IF(C129=0,ROUNDUP($AB$3*POWER(pogoda48[[#This Row],[temperatura_srednia]],1.5)*pogoda48[[#This Row],[stan_przed_dolaniem]],0),0)</f>
        <v>459</v>
      </c>
      <c r="F129">
        <f>pogoda48[[#This Row],[stan_przed_dolaniem]]-pogoda48[[#This Row],[ubytek]]</f>
        <v>12541</v>
      </c>
      <c r="G129">
        <f>IF(pogoda48[[#This Row],[opady]]*$AB$1+D129&gt;$AB$2,$AB$2-pogoda48[[#This Row],[stan_przed_dolaniem]],pogoda48[[#This Row],[opady]]*$AB$1)</f>
        <v>0</v>
      </c>
      <c r="H129">
        <f>pogoda48[[#This Row],[stan_po_ubytku]]+pogoda48[[#This Row],[ile_pogoda_dolała]]</f>
        <v>12541</v>
      </c>
      <c r="I129" cm="1">
        <f t="array" ref="I129">_xlfn.IFS(OR(pogoda48[[#This Row],[temperatura_srednia]]&lt;=15,pogoda48[[#This Row],[opady]]&gt;0.61),0,pogoda48[[#This Row],[temperatura_srednia]]&gt;30,24000,pogoda48[[#This Row],[temperatura_srednia]]&gt;15,12000)</f>
        <v>12000</v>
      </c>
      <c r="J129">
        <f>IF(pogoda48[[#This Row],[stan_po_dolaniu]]&lt;pogoda48[[#This Row],[ile_podlewamy]],$AB$2-pogoda48[[#This Row],[stan_po_dolaniu]],0)</f>
        <v>0</v>
      </c>
      <c r="K129">
        <f>pogoda48[[#This Row],[stan_po_dolaniu]]+pogoda48[[#This Row],[ile_dolać_do_podlania]]</f>
        <v>12541</v>
      </c>
      <c r="L129">
        <f>pogoda48[[#This Row],[stan_po_dolaniu_do_podlania]]-pogoda48[[#This Row],[ile_podlewamy]]</f>
        <v>541</v>
      </c>
      <c r="M129">
        <f>IF(pogoda48[[#This Row],[temperatura_srednia]]&lt;=15,1,0)</f>
        <v>0</v>
      </c>
      <c r="N129">
        <f>IF(AND(pogoda48[[#This Row],[temperatura_srednia]]&gt;15,pogoda48[[#This Row],[opady]]&lt;=0.61),1,0)</f>
        <v>1</v>
      </c>
      <c r="O129">
        <f>IF(AND(pogoda48[[#This Row],[temperatura_srednia]]&gt;15,pogoda48[[#This Row],[opady]]&gt;0.61),1,0)</f>
        <v>0</v>
      </c>
    </row>
    <row r="130" spans="1:15" x14ac:dyDescent="0.25">
      <c r="A130" s="2">
        <v>42223</v>
      </c>
      <c r="B130">
        <v>28</v>
      </c>
      <c r="C130">
        <v>0</v>
      </c>
      <c r="D130">
        <f t="shared" si="1"/>
        <v>541</v>
      </c>
      <c r="E130">
        <f>IF(C130=0,ROUNDUP($AB$3*POWER(pogoda48[[#This Row],[temperatura_srednia]],1.5)*pogoda48[[#This Row],[stan_przed_dolaniem]],0),0)</f>
        <v>25</v>
      </c>
      <c r="F130">
        <f>pogoda48[[#This Row],[stan_przed_dolaniem]]-pogoda48[[#This Row],[ubytek]]</f>
        <v>516</v>
      </c>
      <c r="G130">
        <f>IF(pogoda48[[#This Row],[opady]]*$AB$1+D130&gt;$AB$2,$AB$2-pogoda48[[#This Row],[stan_przed_dolaniem]],pogoda48[[#This Row],[opady]]*$AB$1)</f>
        <v>0</v>
      </c>
      <c r="H130">
        <f>pogoda48[[#This Row],[stan_po_ubytku]]+pogoda48[[#This Row],[ile_pogoda_dolała]]</f>
        <v>516</v>
      </c>
      <c r="I130" cm="1">
        <f t="array" ref="I130">_xlfn.IFS(OR(pogoda48[[#This Row],[temperatura_srednia]]&lt;=15,pogoda48[[#This Row],[opady]]&gt;0.61),0,pogoda48[[#This Row],[temperatura_srednia]]&gt;30,24000,pogoda48[[#This Row],[temperatura_srednia]]&gt;15,12000)</f>
        <v>12000</v>
      </c>
      <c r="J130">
        <f>IF(pogoda48[[#This Row],[stan_po_dolaniu]]&lt;pogoda48[[#This Row],[ile_podlewamy]],$AB$2-pogoda48[[#This Row],[stan_po_dolaniu]],0)</f>
        <v>24484</v>
      </c>
      <c r="K130">
        <f>pogoda48[[#This Row],[stan_po_dolaniu]]+pogoda48[[#This Row],[ile_dolać_do_podlania]]</f>
        <v>25000</v>
      </c>
      <c r="L130">
        <f>pogoda48[[#This Row],[stan_po_dolaniu_do_podlania]]-pogoda48[[#This Row],[ile_podlewamy]]</f>
        <v>13000</v>
      </c>
      <c r="M130">
        <f>IF(pogoda48[[#This Row],[temperatura_srednia]]&lt;=15,1,0)</f>
        <v>0</v>
      </c>
      <c r="N130">
        <f>IF(AND(pogoda48[[#This Row],[temperatura_srednia]]&gt;15,pogoda48[[#This Row],[opady]]&lt;=0.61),1,0)</f>
        <v>1</v>
      </c>
      <c r="O130">
        <f>IF(AND(pogoda48[[#This Row],[temperatura_srednia]]&gt;15,pogoda48[[#This Row],[opady]]&gt;0.61),1,0)</f>
        <v>0</v>
      </c>
    </row>
    <row r="131" spans="1:15" x14ac:dyDescent="0.25">
      <c r="A131" s="2">
        <v>42224</v>
      </c>
      <c r="B131">
        <v>28</v>
      </c>
      <c r="C131">
        <v>0</v>
      </c>
      <c r="D131">
        <f t="shared" si="1"/>
        <v>13000</v>
      </c>
      <c r="E131">
        <f>IF(C131=0,ROUNDUP($AB$3*POWER(pogoda48[[#This Row],[temperatura_srednia]],1.5)*pogoda48[[#This Row],[stan_przed_dolaniem]],0),0)</f>
        <v>578</v>
      </c>
      <c r="F131">
        <f>pogoda48[[#This Row],[stan_przed_dolaniem]]-pogoda48[[#This Row],[ubytek]]</f>
        <v>12422</v>
      </c>
      <c r="G131">
        <f>IF(pogoda48[[#This Row],[opady]]*$AB$1+D131&gt;$AB$2,$AB$2-pogoda48[[#This Row],[stan_przed_dolaniem]],pogoda48[[#This Row],[opady]]*$AB$1)</f>
        <v>0</v>
      </c>
      <c r="H131">
        <f>pogoda48[[#This Row],[stan_po_ubytku]]+pogoda48[[#This Row],[ile_pogoda_dolała]]</f>
        <v>12422</v>
      </c>
      <c r="I131" cm="1">
        <f t="array" ref="I131">_xlfn.IFS(OR(pogoda48[[#This Row],[temperatura_srednia]]&lt;=15,pogoda48[[#This Row],[opady]]&gt;0.61),0,pogoda48[[#This Row],[temperatura_srednia]]&gt;30,24000,pogoda48[[#This Row],[temperatura_srednia]]&gt;15,12000)</f>
        <v>12000</v>
      </c>
      <c r="J131">
        <f>IF(pogoda48[[#This Row],[stan_po_dolaniu]]&lt;pogoda48[[#This Row],[ile_podlewamy]],$AB$2-pogoda48[[#This Row],[stan_po_dolaniu]],0)</f>
        <v>0</v>
      </c>
      <c r="K131">
        <f>pogoda48[[#This Row],[stan_po_dolaniu]]+pogoda48[[#This Row],[ile_dolać_do_podlania]]</f>
        <v>12422</v>
      </c>
      <c r="L131">
        <f>pogoda48[[#This Row],[stan_po_dolaniu_do_podlania]]-pogoda48[[#This Row],[ile_podlewamy]]</f>
        <v>422</v>
      </c>
      <c r="M131">
        <f>IF(pogoda48[[#This Row],[temperatura_srednia]]&lt;=15,1,0)</f>
        <v>0</v>
      </c>
      <c r="N131">
        <f>IF(AND(pogoda48[[#This Row],[temperatura_srednia]]&gt;15,pogoda48[[#This Row],[opady]]&lt;=0.61),1,0)</f>
        <v>1</v>
      </c>
      <c r="O131">
        <f>IF(AND(pogoda48[[#This Row],[temperatura_srednia]]&gt;15,pogoda48[[#This Row],[opady]]&gt;0.61),1,0)</f>
        <v>0</v>
      </c>
    </row>
    <row r="132" spans="1:15" x14ac:dyDescent="0.25">
      <c r="A132" s="2">
        <v>42225</v>
      </c>
      <c r="B132">
        <v>24</v>
      </c>
      <c r="C132">
        <v>0</v>
      </c>
      <c r="D132">
        <f t="shared" ref="D132:D184" si="2">L131</f>
        <v>422</v>
      </c>
      <c r="E132">
        <f>IF(C132=0,ROUNDUP($AB$3*POWER(pogoda48[[#This Row],[temperatura_srednia]],1.5)*pogoda48[[#This Row],[stan_przed_dolaniem]],0),0)</f>
        <v>15</v>
      </c>
      <c r="F132">
        <f>pogoda48[[#This Row],[stan_przed_dolaniem]]-pogoda48[[#This Row],[ubytek]]</f>
        <v>407</v>
      </c>
      <c r="G132">
        <f>IF(pogoda48[[#This Row],[opady]]*$AB$1+D132&gt;$AB$2,$AB$2-pogoda48[[#This Row],[stan_przed_dolaniem]],pogoda48[[#This Row],[opady]]*$AB$1)</f>
        <v>0</v>
      </c>
      <c r="H132">
        <f>pogoda48[[#This Row],[stan_po_ubytku]]+pogoda48[[#This Row],[ile_pogoda_dolała]]</f>
        <v>407</v>
      </c>
      <c r="I132" cm="1">
        <f t="array" ref="I132">_xlfn.IFS(OR(pogoda48[[#This Row],[temperatura_srednia]]&lt;=15,pogoda48[[#This Row],[opady]]&gt;0.61),0,pogoda48[[#This Row],[temperatura_srednia]]&gt;30,24000,pogoda48[[#This Row],[temperatura_srednia]]&gt;15,12000)</f>
        <v>12000</v>
      </c>
      <c r="J132">
        <f>IF(pogoda48[[#This Row],[stan_po_dolaniu]]&lt;pogoda48[[#This Row],[ile_podlewamy]],$AB$2-pogoda48[[#This Row],[stan_po_dolaniu]],0)</f>
        <v>24593</v>
      </c>
      <c r="K132">
        <f>pogoda48[[#This Row],[stan_po_dolaniu]]+pogoda48[[#This Row],[ile_dolać_do_podlania]]</f>
        <v>25000</v>
      </c>
      <c r="L132">
        <f>pogoda48[[#This Row],[stan_po_dolaniu_do_podlania]]-pogoda48[[#This Row],[ile_podlewamy]]</f>
        <v>13000</v>
      </c>
      <c r="M132">
        <f>IF(pogoda48[[#This Row],[temperatura_srednia]]&lt;=15,1,0)</f>
        <v>0</v>
      </c>
      <c r="N132">
        <f>IF(AND(pogoda48[[#This Row],[temperatura_srednia]]&gt;15,pogoda48[[#This Row],[opady]]&lt;=0.61),1,0)</f>
        <v>1</v>
      </c>
      <c r="O132">
        <f>IF(AND(pogoda48[[#This Row],[temperatura_srednia]]&gt;15,pogoda48[[#This Row],[opady]]&gt;0.61),1,0)</f>
        <v>0</v>
      </c>
    </row>
    <row r="133" spans="1:15" x14ac:dyDescent="0.25">
      <c r="A133" s="2">
        <v>42226</v>
      </c>
      <c r="B133">
        <v>24</v>
      </c>
      <c r="C133">
        <v>0</v>
      </c>
      <c r="D133">
        <f t="shared" si="2"/>
        <v>13000</v>
      </c>
      <c r="E133">
        <f>IF(C133=0,ROUNDUP($AB$3*POWER(pogoda48[[#This Row],[temperatura_srednia]],1.5)*pogoda48[[#This Row],[stan_przed_dolaniem]],0),0)</f>
        <v>459</v>
      </c>
      <c r="F133">
        <f>pogoda48[[#This Row],[stan_przed_dolaniem]]-pogoda48[[#This Row],[ubytek]]</f>
        <v>12541</v>
      </c>
      <c r="G133">
        <f>IF(pogoda48[[#This Row],[opady]]*$AB$1+D133&gt;$AB$2,$AB$2-pogoda48[[#This Row],[stan_przed_dolaniem]],pogoda48[[#This Row],[opady]]*$AB$1)</f>
        <v>0</v>
      </c>
      <c r="H133">
        <f>pogoda48[[#This Row],[stan_po_ubytku]]+pogoda48[[#This Row],[ile_pogoda_dolała]]</f>
        <v>12541</v>
      </c>
      <c r="I133" cm="1">
        <f t="array" ref="I133">_xlfn.IFS(OR(pogoda48[[#This Row],[temperatura_srednia]]&lt;=15,pogoda48[[#This Row],[opady]]&gt;0.61),0,pogoda48[[#This Row],[temperatura_srednia]]&gt;30,24000,pogoda48[[#This Row],[temperatura_srednia]]&gt;15,12000)</f>
        <v>12000</v>
      </c>
      <c r="J133">
        <f>IF(pogoda48[[#This Row],[stan_po_dolaniu]]&lt;pogoda48[[#This Row],[ile_podlewamy]],$AB$2-pogoda48[[#This Row],[stan_po_dolaniu]],0)</f>
        <v>0</v>
      </c>
      <c r="K133">
        <f>pogoda48[[#This Row],[stan_po_dolaniu]]+pogoda48[[#This Row],[ile_dolać_do_podlania]]</f>
        <v>12541</v>
      </c>
      <c r="L133">
        <f>pogoda48[[#This Row],[stan_po_dolaniu_do_podlania]]-pogoda48[[#This Row],[ile_podlewamy]]</f>
        <v>541</v>
      </c>
      <c r="M133">
        <f>IF(pogoda48[[#This Row],[temperatura_srednia]]&lt;=15,1,0)</f>
        <v>0</v>
      </c>
      <c r="N133">
        <f>IF(AND(pogoda48[[#This Row],[temperatura_srednia]]&gt;15,pogoda48[[#This Row],[opady]]&lt;=0.61),1,0)</f>
        <v>1</v>
      </c>
      <c r="O133">
        <f>IF(AND(pogoda48[[#This Row],[temperatura_srednia]]&gt;15,pogoda48[[#This Row],[opady]]&gt;0.61),1,0)</f>
        <v>0</v>
      </c>
    </row>
    <row r="134" spans="1:15" x14ac:dyDescent="0.25">
      <c r="A134" s="2">
        <v>42227</v>
      </c>
      <c r="B134">
        <v>26</v>
      </c>
      <c r="C134">
        <v>0</v>
      </c>
      <c r="D134">
        <f t="shared" si="2"/>
        <v>541</v>
      </c>
      <c r="E134">
        <f>IF(C134=0,ROUNDUP($AB$3*POWER(pogoda48[[#This Row],[temperatura_srednia]],1.5)*pogoda48[[#This Row],[stan_przed_dolaniem]],0),0)</f>
        <v>22</v>
      </c>
      <c r="F134">
        <f>pogoda48[[#This Row],[stan_przed_dolaniem]]-pogoda48[[#This Row],[ubytek]]</f>
        <v>519</v>
      </c>
      <c r="G134">
        <f>IF(pogoda48[[#This Row],[opady]]*$AB$1+D134&gt;$AB$2,$AB$2-pogoda48[[#This Row],[stan_przed_dolaniem]],pogoda48[[#This Row],[opady]]*$AB$1)</f>
        <v>0</v>
      </c>
      <c r="H134">
        <f>pogoda48[[#This Row],[stan_po_ubytku]]+pogoda48[[#This Row],[ile_pogoda_dolała]]</f>
        <v>519</v>
      </c>
      <c r="I134" cm="1">
        <f t="array" ref="I134">_xlfn.IFS(OR(pogoda48[[#This Row],[temperatura_srednia]]&lt;=15,pogoda48[[#This Row],[opady]]&gt;0.61),0,pogoda48[[#This Row],[temperatura_srednia]]&gt;30,24000,pogoda48[[#This Row],[temperatura_srednia]]&gt;15,12000)</f>
        <v>12000</v>
      </c>
      <c r="J134">
        <f>IF(pogoda48[[#This Row],[stan_po_dolaniu]]&lt;pogoda48[[#This Row],[ile_podlewamy]],$AB$2-pogoda48[[#This Row],[stan_po_dolaniu]],0)</f>
        <v>24481</v>
      </c>
      <c r="K134">
        <f>pogoda48[[#This Row],[stan_po_dolaniu]]+pogoda48[[#This Row],[ile_dolać_do_podlania]]</f>
        <v>25000</v>
      </c>
      <c r="L134">
        <f>pogoda48[[#This Row],[stan_po_dolaniu_do_podlania]]-pogoda48[[#This Row],[ile_podlewamy]]</f>
        <v>13000</v>
      </c>
      <c r="M134">
        <f>IF(pogoda48[[#This Row],[temperatura_srednia]]&lt;=15,1,0)</f>
        <v>0</v>
      </c>
      <c r="N134">
        <f>IF(AND(pogoda48[[#This Row],[temperatura_srednia]]&gt;15,pogoda48[[#This Row],[opady]]&lt;=0.61),1,0)</f>
        <v>1</v>
      </c>
      <c r="O134">
        <f>IF(AND(pogoda48[[#This Row],[temperatura_srednia]]&gt;15,pogoda48[[#This Row],[opady]]&gt;0.61),1,0)</f>
        <v>0</v>
      </c>
    </row>
    <row r="135" spans="1:15" x14ac:dyDescent="0.25">
      <c r="A135" s="2">
        <v>42228</v>
      </c>
      <c r="B135">
        <v>32</v>
      </c>
      <c r="C135">
        <v>0.6</v>
      </c>
      <c r="D135">
        <f t="shared" si="2"/>
        <v>13000</v>
      </c>
      <c r="E135">
        <f>IF(C135=0,ROUNDUP($AB$3*POWER(pogoda48[[#This Row],[temperatura_srednia]],1.5)*pogoda48[[#This Row],[stan_przed_dolaniem]],0),0)</f>
        <v>0</v>
      </c>
      <c r="F135">
        <f>pogoda48[[#This Row],[stan_przed_dolaniem]]-pogoda48[[#This Row],[ubytek]]</f>
        <v>13000</v>
      </c>
      <c r="G135">
        <f>IF(pogoda48[[#This Row],[opady]]*$AB$1+D135&gt;$AB$2,$AB$2-pogoda48[[#This Row],[stan_przed_dolaniem]],pogoda48[[#This Row],[opady]]*$AB$1)</f>
        <v>420</v>
      </c>
      <c r="H135">
        <f>pogoda48[[#This Row],[stan_po_ubytku]]+pogoda48[[#This Row],[ile_pogoda_dolała]]</f>
        <v>13420</v>
      </c>
      <c r="I135" cm="1">
        <f t="array" ref="I135">_xlfn.IFS(OR(pogoda48[[#This Row],[temperatura_srednia]]&lt;=15,pogoda48[[#This Row],[opady]]&gt;0.61),0,pogoda48[[#This Row],[temperatura_srednia]]&gt;30,24000,pogoda48[[#This Row],[temperatura_srednia]]&gt;15,12000)</f>
        <v>24000</v>
      </c>
      <c r="J135">
        <f>IF(pogoda48[[#This Row],[stan_po_dolaniu]]&lt;pogoda48[[#This Row],[ile_podlewamy]],$AB$2-pogoda48[[#This Row],[stan_po_dolaniu]],0)</f>
        <v>11580</v>
      </c>
      <c r="K135">
        <f>pogoda48[[#This Row],[stan_po_dolaniu]]+pogoda48[[#This Row],[ile_dolać_do_podlania]]</f>
        <v>25000</v>
      </c>
      <c r="L135">
        <f>pogoda48[[#This Row],[stan_po_dolaniu_do_podlania]]-pogoda48[[#This Row],[ile_podlewamy]]</f>
        <v>1000</v>
      </c>
      <c r="M135">
        <f>IF(pogoda48[[#This Row],[temperatura_srednia]]&lt;=15,1,0)</f>
        <v>0</v>
      </c>
      <c r="N135">
        <f>IF(AND(pogoda48[[#This Row],[temperatura_srednia]]&gt;15,pogoda48[[#This Row],[opady]]&lt;=0.61),1,0)</f>
        <v>1</v>
      </c>
      <c r="O135">
        <f>IF(AND(pogoda48[[#This Row],[temperatura_srednia]]&gt;15,pogoda48[[#This Row],[opady]]&gt;0.61),1,0)</f>
        <v>0</v>
      </c>
    </row>
    <row r="136" spans="1:15" x14ac:dyDescent="0.25">
      <c r="A136" s="2">
        <v>42229</v>
      </c>
      <c r="B136">
        <v>31</v>
      </c>
      <c r="C136">
        <v>0.1</v>
      </c>
      <c r="D136">
        <f t="shared" si="2"/>
        <v>1000</v>
      </c>
      <c r="E136">
        <f>IF(C136=0,ROUNDUP($AB$3*POWER(pogoda48[[#This Row],[temperatura_srednia]],1.5)*pogoda48[[#This Row],[stan_przed_dolaniem]],0),0)</f>
        <v>0</v>
      </c>
      <c r="F136">
        <f>pogoda48[[#This Row],[stan_przed_dolaniem]]-pogoda48[[#This Row],[ubytek]]</f>
        <v>1000</v>
      </c>
      <c r="G136">
        <f>IF(pogoda48[[#This Row],[opady]]*$AB$1+D136&gt;$AB$2,$AB$2-pogoda48[[#This Row],[stan_przed_dolaniem]],pogoda48[[#This Row],[opady]]*$AB$1)</f>
        <v>70</v>
      </c>
      <c r="H136">
        <f>pogoda48[[#This Row],[stan_po_ubytku]]+pogoda48[[#This Row],[ile_pogoda_dolała]]</f>
        <v>1070</v>
      </c>
      <c r="I136" cm="1">
        <f t="array" ref="I136">_xlfn.IFS(OR(pogoda48[[#This Row],[temperatura_srednia]]&lt;=15,pogoda48[[#This Row],[opady]]&gt;0.61),0,pogoda48[[#This Row],[temperatura_srednia]]&gt;30,24000,pogoda48[[#This Row],[temperatura_srednia]]&gt;15,12000)</f>
        <v>24000</v>
      </c>
      <c r="J136">
        <f>IF(pogoda48[[#This Row],[stan_po_dolaniu]]&lt;pogoda48[[#This Row],[ile_podlewamy]],$AB$2-pogoda48[[#This Row],[stan_po_dolaniu]],0)</f>
        <v>23930</v>
      </c>
      <c r="K136">
        <f>pogoda48[[#This Row],[stan_po_dolaniu]]+pogoda48[[#This Row],[ile_dolać_do_podlania]]</f>
        <v>25000</v>
      </c>
      <c r="L136">
        <f>pogoda48[[#This Row],[stan_po_dolaniu_do_podlania]]-pogoda48[[#This Row],[ile_podlewamy]]</f>
        <v>1000</v>
      </c>
      <c r="M136">
        <f>IF(pogoda48[[#This Row],[temperatura_srednia]]&lt;=15,1,0)</f>
        <v>0</v>
      </c>
      <c r="N136">
        <f>IF(AND(pogoda48[[#This Row],[temperatura_srednia]]&gt;15,pogoda48[[#This Row],[opady]]&lt;=0.61),1,0)</f>
        <v>1</v>
      </c>
      <c r="O136">
        <f>IF(AND(pogoda48[[#This Row],[temperatura_srednia]]&gt;15,pogoda48[[#This Row],[opady]]&gt;0.61),1,0)</f>
        <v>0</v>
      </c>
    </row>
    <row r="137" spans="1:15" x14ac:dyDescent="0.25">
      <c r="A137" s="2">
        <v>42230</v>
      </c>
      <c r="B137">
        <v>33</v>
      </c>
      <c r="C137">
        <v>0</v>
      </c>
      <c r="D137">
        <f t="shared" si="2"/>
        <v>1000</v>
      </c>
      <c r="E137">
        <f>IF(C137=0,ROUNDUP($AB$3*POWER(pogoda48[[#This Row],[temperatura_srednia]],1.5)*pogoda48[[#This Row],[stan_przed_dolaniem]],0),0)</f>
        <v>57</v>
      </c>
      <c r="F137">
        <f>pogoda48[[#This Row],[stan_przed_dolaniem]]-pogoda48[[#This Row],[ubytek]]</f>
        <v>943</v>
      </c>
      <c r="G137">
        <f>IF(pogoda48[[#This Row],[opady]]*$AB$1+D137&gt;$AB$2,$AB$2-pogoda48[[#This Row],[stan_przed_dolaniem]],pogoda48[[#This Row],[opady]]*$AB$1)</f>
        <v>0</v>
      </c>
      <c r="H137">
        <f>pogoda48[[#This Row],[stan_po_ubytku]]+pogoda48[[#This Row],[ile_pogoda_dolała]]</f>
        <v>943</v>
      </c>
      <c r="I137" cm="1">
        <f t="array" ref="I137">_xlfn.IFS(OR(pogoda48[[#This Row],[temperatura_srednia]]&lt;=15,pogoda48[[#This Row],[opady]]&gt;0.61),0,pogoda48[[#This Row],[temperatura_srednia]]&gt;30,24000,pogoda48[[#This Row],[temperatura_srednia]]&gt;15,12000)</f>
        <v>24000</v>
      </c>
      <c r="J137">
        <f>IF(pogoda48[[#This Row],[stan_po_dolaniu]]&lt;pogoda48[[#This Row],[ile_podlewamy]],$AB$2-pogoda48[[#This Row],[stan_po_dolaniu]],0)</f>
        <v>24057</v>
      </c>
      <c r="K137">
        <f>pogoda48[[#This Row],[stan_po_dolaniu]]+pogoda48[[#This Row],[ile_dolać_do_podlania]]</f>
        <v>25000</v>
      </c>
      <c r="L137">
        <f>pogoda48[[#This Row],[stan_po_dolaniu_do_podlania]]-pogoda48[[#This Row],[ile_podlewamy]]</f>
        <v>1000</v>
      </c>
      <c r="M137">
        <f>IF(pogoda48[[#This Row],[temperatura_srednia]]&lt;=15,1,0)</f>
        <v>0</v>
      </c>
      <c r="N137">
        <f>IF(AND(pogoda48[[#This Row],[temperatura_srednia]]&gt;15,pogoda48[[#This Row],[opady]]&lt;=0.61),1,0)</f>
        <v>1</v>
      </c>
      <c r="O137">
        <f>IF(AND(pogoda48[[#This Row],[temperatura_srednia]]&gt;15,pogoda48[[#This Row],[opady]]&gt;0.61),1,0)</f>
        <v>0</v>
      </c>
    </row>
    <row r="138" spans="1:15" x14ac:dyDescent="0.25">
      <c r="A138" s="2">
        <v>42231</v>
      </c>
      <c r="B138">
        <v>31</v>
      </c>
      <c r="C138">
        <v>12</v>
      </c>
      <c r="D138">
        <f t="shared" si="2"/>
        <v>1000</v>
      </c>
      <c r="E138">
        <f>IF(C138=0,ROUNDUP($AB$3*POWER(pogoda48[[#This Row],[temperatura_srednia]],1.5)*pogoda48[[#This Row],[stan_przed_dolaniem]],0),0)</f>
        <v>0</v>
      </c>
      <c r="F138">
        <f>pogoda48[[#This Row],[stan_przed_dolaniem]]-pogoda48[[#This Row],[ubytek]]</f>
        <v>1000</v>
      </c>
      <c r="G138">
        <f>IF(pogoda48[[#This Row],[opady]]*$AB$1+D138&gt;$AB$2,$AB$2-pogoda48[[#This Row],[stan_przed_dolaniem]],pogoda48[[#This Row],[opady]]*$AB$1)</f>
        <v>8400</v>
      </c>
      <c r="H138">
        <f>pogoda48[[#This Row],[stan_po_ubytku]]+pogoda48[[#This Row],[ile_pogoda_dolała]]</f>
        <v>9400</v>
      </c>
      <c r="I138" cm="1">
        <f t="array" ref="I138">_xlfn.IFS(OR(pogoda48[[#This Row],[temperatura_srednia]]&lt;=15,pogoda48[[#This Row],[opady]]&gt;0.61),0,pogoda48[[#This Row],[temperatura_srednia]]&gt;30,24000,pogoda48[[#This Row],[temperatura_srednia]]&gt;15,12000)</f>
        <v>0</v>
      </c>
      <c r="J138">
        <f>IF(pogoda48[[#This Row],[stan_po_dolaniu]]&lt;pogoda48[[#This Row],[ile_podlewamy]],$AB$2-pogoda48[[#This Row],[stan_po_dolaniu]],0)</f>
        <v>0</v>
      </c>
      <c r="K138">
        <f>pogoda48[[#This Row],[stan_po_dolaniu]]+pogoda48[[#This Row],[ile_dolać_do_podlania]]</f>
        <v>9400</v>
      </c>
      <c r="L138">
        <f>pogoda48[[#This Row],[stan_po_dolaniu_do_podlania]]-pogoda48[[#This Row],[ile_podlewamy]]</f>
        <v>9400</v>
      </c>
      <c r="M138">
        <f>IF(pogoda48[[#This Row],[temperatura_srednia]]&lt;=15,1,0)</f>
        <v>0</v>
      </c>
      <c r="N138">
        <f>IF(AND(pogoda48[[#This Row],[temperatura_srednia]]&gt;15,pogoda48[[#This Row],[opady]]&lt;=0.61),1,0)</f>
        <v>0</v>
      </c>
      <c r="O138">
        <f>IF(AND(pogoda48[[#This Row],[temperatura_srednia]]&gt;15,pogoda48[[#This Row],[opady]]&gt;0.61),1,0)</f>
        <v>1</v>
      </c>
    </row>
    <row r="139" spans="1:15" x14ac:dyDescent="0.25">
      <c r="A139" s="2">
        <v>42232</v>
      </c>
      <c r="B139">
        <v>22</v>
      </c>
      <c r="C139">
        <v>0</v>
      </c>
      <c r="D139">
        <f t="shared" si="2"/>
        <v>9400</v>
      </c>
      <c r="E139">
        <f>IF(C139=0,ROUNDUP($AB$3*POWER(pogoda48[[#This Row],[temperatura_srednia]],1.5)*pogoda48[[#This Row],[stan_przed_dolaniem]],0),0)</f>
        <v>291</v>
      </c>
      <c r="F139">
        <f>pogoda48[[#This Row],[stan_przed_dolaniem]]-pogoda48[[#This Row],[ubytek]]</f>
        <v>9109</v>
      </c>
      <c r="G139">
        <f>IF(pogoda48[[#This Row],[opady]]*$AB$1+D139&gt;$AB$2,$AB$2-pogoda48[[#This Row],[stan_przed_dolaniem]],pogoda48[[#This Row],[opady]]*$AB$1)</f>
        <v>0</v>
      </c>
      <c r="H139">
        <f>pogoda48[[#This Row],[stan_po_ubytku]]+pogoda48[[#This Row],[ile_pogoda_dolała]]</f>
        <v>9109</v>
      </c>
      <c r="I139" cm="1">
        <f t="array" ref="I139">_xlfn.IFS(OR(pogoda48[[#This Row],[temperatura_srednia]]&lt;=15,pogoda48[[#This Row],[opady]]&gt;0.61),0,pogoda48[[#This Row],[temperatura_srednia]]&gt;30,24000,pogoda48[[#This Row],[temperatura_srednia]]&gt;15,12000)</f>
        <v>12000</v>
      </c>
      <c r="J139">
        <f>IF(pogoda48[[#This Row],[stan_po_dolaniu]]&lt;pogoda48[[#This Row],[ile_podlewamy]],$AB$2-pogoda48[[#This Row],[stan_po_dolaniu]],0)</f>
        <v>15891</v>
      </c>
      <c r="K139">
        <f>pogoda48[[#This Row],[stan_po_dolaniu]]+pogoda48[[#This Row],[ile_dolać_do_podlania]]</f>
        <v>25000</v>
      </c>
      <c r="L139">
        <f>pogoda48[[#This Row],[stan_po_dolaniu_do_podlania]]-pogoda48[[#This Row],[ile_podlewamy]]</f>
        <v>13000</v>
      </c>
      <c r="M139">
        <f>IF(pogoda48[[#This Row],[temperatura_srednia]]&lt;=15,1,0)</f>
        <v>0</v>
      </c>
      <c r="N139">
        <f>IF(AND(pogoda48[[#This Row],[temperatura_srednia]]&gt;15,pogoda48[[#This Row],[opady]]&lt;=0.61),1,0)</f>
        <v>1</v>
      </c>
      <c r="O139">
        <f>IF(AND(pogoda48[[#This Row],[temperatura_srednia]]&gt;15,pogoda48[[#This Row],[opady]]&gt;0.61),1,0)</f>
        <v>0</v>
      </c>
    </row>
    <row r="140" spans="1:15" x14ac:dyDescent="0.25">
      <c r="A140" s="2">
        <v>42233</v>
      </c>
      <c r="B140">
        <v>24</v>
      </c>
      <c r="C140">
        <v>0.2</v>
      </c>
      <c r="D140">
        <f t="shared" si="2"/>
        <v>13000</v>
      </c>
      <c r="E140">
        <f>IF(C140=0,ROUNDUP($AB$3*POWER(pogoda48[[#This Row],[temperatura_srednia]],1.5)*pogoda48[[#This Row],[stan_przed_dolaniem]],0),0)</f>
        <v>0</v>
      </c>
      <c r="F140">
        <f>pogoda48[[#This Row],[stan_przed_dolaniem]]-pogoda48[[#This Row],[ubytek]]</f>
        <v>13000</v>
      </c>
      <c r="G140">
        <f>IF(pogoda48[[#This Row],[opady]]*$AB$1+D140&gt;$AB$2,$AB$2-pogoda48[[#This Row],[stan_przed_dolaniem]],pogoda48[[#This Row],[opady]]*$AB$1)</f>
        <v>140</v>
      </c>
      <c r="H140">
        <f>pogoda48[[#This Row],[stan_po_ubytku]]+pogoda48[[#This Row],[ile_pogoda_dolała]]</f>
        <v>13140</v>
      </c>
      <c r="I140" cm="1">
        <f t="array" ref="I140">_xlfn.IFS(OR(pogoda48[[#This Row],[temperatura_srednia]]&lt;=15,pogoda48[[#This Row],[opady]]&gt;0.61),0,pogoda48[[#This Row],[temperatura_srednia]]&gt;30,24000,pogoda48[[#This Row],[temperatura_srednia]]&gt;15,12000)</f>
        <v>12000</v>
      </c>
      <c r="J140">
        <f>IF(pogoda48[[#This Row],[stan_po_dolaniu]]&lt;pogoda48[[#This Row],[ile_podlewamy]],$AB$2-pogoda48[[#This Row],[stan_po_dolaniu]],0)</f>
        <v>0</v>
      </c>
      <c r="K140">
        <f>pogoda48[[#This Row],[stan_po_dolaniu]]+pogoda48[[#This Row],[ile_dolać_do_podlania]]</f>
        <v>13140</v>
      </c>
      <c r="L140">
        <f>pogoda48[[#This Row],[stan_po_dolaniu_do_podlania]]-pogoda48[[#This Row],[ile_podlewamy]]</f>
        <v>1140</v>
      </c>
      <c r="M140">
        <f>IF(pogoda48[[#This Row],[temperatura_srednia]]&lt;=15,1,0)</f>
        <v>0</v>
      </c>
      <c r="N140">
        <f>IF(AND(pogoda48[[#This Row],[temperatura_srednia]]&gt;15,pogoda48[[#This Row],[opady]]&lt;=0.61),1,0)</f>
        <v>1</v>
      </c>
      <c r="O140">
        <f>IF(AND(pogoda48[[#This Row],[temperatura_srednia]]&gt;15,pogoda48[[#This Row],[opady]]&gt;0.61),1,0)</f>
        <v>0</v>
      </c>
    </row>
    <row r="141" spans="1:15" x14ac:dyDescent="0.25">
      <c r="A141" s="2">
        <v>42234</v>
      </c>
      <c r="B141">
        <v>22</v>
      </c>
      <c r="C141">
        <v>0</v>
      </c>
      <c r="D141">
        <f t="shared" si="2"/>
        <v>1140</v>
      </c>
      <c r="E141">
        <f>IF(C141=0,ROUNDUP($AB$3*POWER(pogoda48[[#This Row],[temperatura_srednia]],1.5)*pogoda48[[#This Row],[stan_przed_dolaniem]],0),0)</f>
        <v>36</v>
      </c>
      <c r="F141">
        <f>pogoda48[[#This Row],[stan_przed_dolaniem]]-pogoda48[[#This Row],[ubytek]]</f>
        <v>1104</v>
      </c>
      <c r="G141">
        <f>IF(pogoda48[[#This Row],[opady]]*$AB$1+D141&gt;$AB$2,$AB$2-pogoda48[[#This Row],[stan_przed_dolaniem]],pogoda48[[#This Row],[opady]]*$AB$1)</f>
        <v>0</v>
      </c>
      <c r="H141">
        <f>pogoda48[[#This Row],[stan_po_ubytku]]+pogoda48[[#This Row],[ile_pogoda_dolała]]</f>
        <v>1104</v>
      </c>
      <c r="I141" cm="1">
        <f t="array" ref="I141">_xlfn.IFS(OR(pogoda48[[#This Row],[temperatura_srednia]]&lt;=15,pogoda48[[#This Row],[opady]]&gt;0.61),0,pogoda48[[#This Row],[temperatura_srednia]]&gt;30,24000,pogoda48[[#This Row],[temperatura_srednia]]&gt;15,12000)</f>
        <v>12000</v>
      </c>
      <c r="J141">
        <f>IF(pogoda48[[#This Row],[stan_po_dolaniu]]&lt;pogoda48[[#This Row],[ile_podlewamy]],$AB$2-pogoda48[[#This Row],[stan_po_dolaniu]],0)</f>
        <v>23896</v>
      </c>
      <c r="K141">
        <f>pogoda48[[#This Row],[stan_po_dolaniu]]+pogoda48[[#This Row],[ile_dolać_do_podlania]]</f>
        <v>25000</v>
      </c>
      <c r="L141">
        <f>pogoda48[[#This Row],[stan_po_dolaniu_do_podlania]]-pogoda48[[#This Row],[ile_podlewamy]]</f>
        <v>13000</v>
      </c>
      <c r="M141">
        <f>IF(pogoda48[[#This Row],[temperatura_srednia]]&lt;=15,1,0)</f>
        <v>0</v>
      </c>
      <c r="N141">
        <f>IF(AND(pogoda48[[#This Row],[temperatura_srednia]]&gt;15,pogoda48[[#This Row],[opady]]&lt;=0.61),1,0)</f>
        <v>1</v>
      </c>
      <c r="O141">
        <f>IF(AND(pogoda48[[#This Row],[temperatura_srednia]]&gt;15,pogoda48[[#This Row],[opady]]&gt;0.61),1,0)</f>
        <v>0</v>
      </c>
    </row>
    <row r="142" spans="1:15" x14ac:dyDescent="0.25">
      <c r="A142" s="2">
        <v>42235</v>
      </c>
      <c r="B142">
        <v>19</v>
      </c>
      <c r="C142">
        <v>0</v>
      </c>
      <c r="D142">
        <f t="shared" si="2"/>
        <v>13000</v>
      </c>
      <c r="E142">
        <f>IF(C142=0,ROUNDUP($AB$3*POWER(pogoda48[[#This Row],[temperatura_srednia]],1.5)*pogoda48[[#This Row],[stan_przed_dolaniem]],0),0)</f>
        <v>323</v>
      </c>
      <c r="F142">
        <f>pogoda48[[#This Row],[stan_przed_dolaniem]]-pogoda48[[#This Row],[ubytek]]</f>
        <v>12677</v>
      </c>
      <c r="G142">
        <f>IF(pogoda48[[#This Row],[opady]]*$AB$1+D142&gt;$AB$2,$AB$2-pogoda48[[#This Row],[stan_przed_dolaniem]],pogoda48[[#This Row],[opady]]*$AB$1)</f>
        <v>0</v>
      </c>
      <c r="H142">
        <f>pogoda48[[#This Row],[stan_po_ubytku]]+pogoda48[[#This Row],[ile_pogoda_dolała]]</f>
        <v>12677</v>
      </c>
      <c r="I142" cm="1">
        <f t="array" ref="I142">_xlfn.IFS(OR(pogoda48[[#This Row],[temperatura_srednia]]&lt;=15,pogoda48[[#This Row],[opady]]&gt;0.61),0,pogoda48[[#This Row],[temperatura_srednia]]&gt;30,24000,pogoda48[[#This Row],[temperatura_srednia]]&gt;15,12000)</f>
        <v>12000</v>
      </c>
      <c r="J142">
        <f>IF(pogoda48[[#This Row],[stan_po_dolaniu]]&lt;pogoda48[[#This Row],[ile_podlewamy]],$AB$2-pogoda48[[#This Row],[stan_po_dolaniu]],0)</f>
        <v>0</v>
      </c>
      <c r="K142">
        <f>pogoda48[[#This Row],[stan_po_dolaniu]]+pogoda48[[#This Row],[ile_dolać_do_podlania]]</f>
        <v>12677</v>
      </c>
      <c r="L142">
        <f>pogoda48[[#This Row],[stan_po_dolaniu_do_podlania]]-pogoda48[[#This Row],[ile_podlewamy]]</f>
        <v>677</v>
      </c>
      <c r="M142">
        <f>IF(pogoda48[[#This Row],[temperatura_srednia]]&lt;=15,1,0)</f>
        <v>0</v>
      </c>
      <c r="N142">
        <f>IF(AND(pogoda48[[#This Row],[temperatura_srednia]]&gt;15,pogoda48[[#This Row],[opady]]&lt;=0.61),1,0)</f>
        <v>1</v>
      </c>
      <c r="O142">
        <f>IF(AND(pogoda48[[#This Row],[temperatura_srednia]]&gt;15,pogoda48[[#This Row],[opady]]&gt;0.61),1,0)</f>
        <v>0</v>
      </c>
    </row>
    <row r="143" spans="1:15" x14ac:dyDescent="0.25">
      <c r="A143" s="2">
        <v>42236</v>
      </c>
      <c r="B143">
        <v>18</v>
      </c>
      <c r="C143">
        <v>0</v>
      </c>
      <c r="D143">
        <f t="shared" si="2"/>
        <v>677</v>
      </c>
      <c r="E143">
        <f>IF(C143=0,ROUNDUP($AB$3*POWER(pogoda48[[#This Row],[temperatura_srednia]],1.5)*pogoda48[[#This Row],[stan_przed_dolaniem]],0),0)</f>
        <v>16</v>
      </c>
      <c r="F143">
        <f>pogoda48[[#This Row],[stan_przed_dolaniem]]-pogoda48[[#This Row],[ubytek]]</f>
        <v>661</v>
      </c>
      <c r="G143">
        <f>IF(pogoda48[[#This Row],[opady]]*$AB$1+D143&gt;$AB$2,$AB$2-pogoda48[[#This Row],[stan_przed_dolaniem]],pogoda48[[#This Row],[opady]]*$AB$1)</f>
        <v>0</v>
      </c>
      <c r="H143">
        <f>pogoda48[[#This Row],[stan_po_ubytku]]+pogoda48[[#This Row],[ile_pogoda_dolała]]</f>
        <v>661</v>
      </c>
      <c r="I143" cm="1">
        <f t="array" ref="I143">_xlfn.IFS(OR(pogoda48[[#This Row],[temperatura_srednia]]&lt;=15,pogoda48[[#This Row],[opady]]&gt;0.61),0,pogoda48[[#This Row],[temperatura_srednia]]&gt;30,24000,pogoda48[[#This Row],[temperatura_srednia]]&gt;15,12000)</f>
        <v>12000</v>
      </c>
      <c r="J143">
        <f>IF(pogoda48[[#This Row],[stan_po_dolaniu]]&lt;pogoda48[[#This Row],[ile_podlewamy]],$AB$2-pogoda48[[#This Row],[stan_po_dolaniu]],0)</f>
        <v>24339</v>
      </c>
      <c r="K143">
        <f>pogoda48[[#This Row],[stan_po_dolaniu]]+pogoda48[[#This Row],[ile_dolać_do_podlania]]</f>
        <v>25000</v>
      </c>
      <c r="L143">
        <f>pogoda48[[#This Row],[stan_po_dolaniu_do_podlania]]-pogoda48[[#This Row],[ile_podlewamy]]</f>
        <v>13000</v>
      </c>
      <c r="M143">
        <f>IF(pogoda48[[#This Row],[temperatura_srednia]]&lt;=15,1,0)</f>
        <v>0</v>
      </c>
      <c r="N143">
        <f>IF(AND(pogoda48[[#This Row],[temperatura_srednia]]&gt;15,pogoda48[[#This Row],[opady]]&lt;=0.61),1,0)</f>
        <v>1</v>
      </c>
      <c r="O143">
        <f>IF(AND(pogoda48[[#This Row],[temperatura_srednia]]&gt;15,pogoda48[[#This Row],[opady]]&gt;0.61),1,0)</f>
        <v>0</v>
      </c>
    </row>
    <row r="144" spans="1:15" x14ac:dyDescent="0.25">
      <c r="A144" s="2">
        <v>42237</v>
      </c>
      <c r="B144">
        <v>18</v>
      </c>
      <c r="C144">
        <v>0</v>
      </c>
      <c r="D144">
        <f t="shared" si="2"/>
        <v>13000</v>
      </c>
      <c r="E144">
        <f>IF(C144=0,ROUNDUP($AB$3*POWER(pogoda48[[#This Row],[temperatura_srednia]],1.5)*pogoda48[[#This Row],[stan_przed_dolaniem]],0),0)</f>
        <v>298</v>
      </c>
      <c r="F144">
        <f>pogoda48[[#This Row],[stan_przed_dolaniem]]-pogoda48[[#This Row],[ubytek]]</f>
        <v>12702</v>
      </c>
      <c r="G144">
        <f>IF(pogoda48[[#This Row],[opady]]*$AB$1+D144&gt;$AB$2,$AB$2-pogoda48[[#This Row],[stan_przed_dolaniem]],pogoda48[[#This Row],[opady]]*$AB$1)</f>
        <v>0</v>
      </c>
      <c r="H144">
        <f>pogoda48[[#This Row],[stan_po_ubytku]]+pogoda48[[#This Row],[ile_pogoda_dolała]]</f>
        <v>12702</v>
      </c>
      <c r="I144" cm="1">
        <f t="array" ref="I144">_xlfn.IFS(OR(pogoda48[[#This Row],[temperatura_srednia]]&lt;=15,pogoda48[[#This Row],[opady]]&gt;0.61),0,pogoda48[[#This Row],[temperatura_srednia]]&gt;30,24000,pogoda48[[#This Row],[temperatura_srednia]]&gt;15,12000)</f>
        <v>12000</v>
      </c>
      <c r="J144">
        <f>IF(pogoda48[[#This Row],[stan_po_dolaniu]]&lt;pogoda48[[#This Row],[ile_podlewamy]],$AB$2-pogoda48[[#This Row],[stan_po_dolaniu]],0)</f>
        <v>0</v>
      </c>
      <c r="K144">
        <f>pogoda48[[#This Row],[stan_po_dolaniu]]+pogoda48[[#This Row],[ile_dolać_do_podlania]]</f>
        <v>12702</v>
      </c>
      <c r="L144">
        <f>pogoda48[[#This Row],[stan_po_dolaniu_do_podlania]]-pogoda48[[#This Row],[ile_podlewamy]]</f>
        <v>702</v>
      </c>
      <c r="M144">
        <f>IF(pogoda48[[#This Row],[temperatura_srednia]]&lt;=15,1,0)</f>
        <v>0</v>
      </c>
      <c r="N144">
        <f>IF(AND(pogoda48[[#This Row],[temperatura_srednia]]&gt;15,pogoda48[[#This Row],[opady]]&lt;=0.61),1,0)</f>
        <v>1</v>
      </c>
      <c r="O144">
        <f>IF(AND(pogoda48[[#This Row],[temperatura_srednia]]&gt;15,pogoda48[[#This Row],[opady]]&gt;0.61),1,0)</f>
        <v>0</v>
      </c>
    </row>
    <row r="145" spans="1:15" x14ac:dyDescent="0.25">
      <c r="A145" s="2">
        <v>42238</v>
      </c>
      <c r="B145">
        <v>18</v>
      </c>
      <c r="C145">
        <v>0</v>
      </c>
      <c r="D145">
        <f t="shared" si="2"/>
        <v>702</v>
      </c>
      <c r="E145">
        <f>IF(C145=0,ROUNDUP($AB$3*POWER(pogoda48[[#This Row],[temperatura_srednia]],1.5)*pogoda48[[#This Row],[stan_przed_dolaniem]],0),0)</f>
        <v>17</v>
      </c>
      <c r="F145">
        <f>pogoda48[[#This Row],[stan_przed_dolaniem]]-pogoda48[[#This Row],[ubytek]]</f>
        <v>685</v>
      </c>
      <c r="G145">
        <f>IF(pogoda48[[#This Row],[opady]]*$AB$1+D145&gt;$AB$2,$AB$2-pogoda48[[#This Row],[stan_przed_dolaniem]],pogoda48[[#This Row],[opady]]*$AB$1)</f>
        <v>0</v>
      </c>
      <c r="H145">
        <f>pogoda48[[#This Row],[stan_po_ubytku]]+pogoda48[[#This Row],[ile_pogoda_dolała]]</f>
        <v>685</v>
      </c>
      <c r="I145" cm="1">
        <f t="array" ref="I145">_xlfn.IFS(OR(pogoda48[[#This Row],[temperatura_srednia]]&lt;=15,pogoda48[[#This Row],[opady]]&gt;0.61),0,pogoda48[[#This Row],[temperatura_srednia]]&gt;30,24000,pogoda48[[#This Row],[temperatura_srednia]]&gt;15,12000)</f>
        <v>12000</v>
      </c>
      <c r="J145">
        <f>IF(pogoda48[[#This Row],[stan_po_dolaniu]]&lt;pogoda48[[#This Row],[ile_podlewamy]],$AB$2-pogoda48[[#This Row],[stan_po_dolaniu]],0)</f>
        <v>24315</v>
      </c>
      <c r="K145">
        <f>pogoda48[[#This Row],[stan_po_dolaniu]]+pogoda48[[#This Row],[ile_dolać_do_podlania]]</f>
        <v>25000</v>
      </c>
      <c r="L145">
        <f>pogoda48[[#This Row],[stan_po_dolaniu_do_podlania]]-pogoda48[[#This Row],[ile_podlewamy]]</f>
        <v>13000</v>
      </c>
      <c r="M145">
        <f>IF(pogoda48[[#This Row],[temperatura_srednia]]&lt;=15,1,0)</f>
        <v>0</v>
      </c>
      <c r="N145">
        <f>IF(AND(pogoda48[[#This Row],[temperatura_srednia]]&gt;15,pogoda48[[#This Row],[opady]]&lt;=0.61),1,0)</f>
        <v>1</v>
      </c>
      <c r="O145">
        <f>IF(AND(pogoda48[[#This Row],[temperatura_srednia]]&gt;15,pogoda48[[#This Row],[opady]]&gt;0.61),1,0)</f>
        <v>0</v>
      </c>
    </row>
    <row r="146" spans="1:15" x14ac:dyDescent="0.25">
      <c r="A146" s="2">
        <v>42239</v>
      </c>
      <c r="B146">
        <v>19</v>
      </c>
      <c r="C146">
        <v>0</v>
      </c>
      <c r="D146">
        <f t="shared" si="2"/>
        <v>13000</v>
      </c>
      <c r="E146">
        <f>IF(C146=0,ROUNDUP($AB$3*POWER(pogoda48[[#This Row],[temperatura_srednia]],1.5)*pogoda48[[#This Row],[stan_przed_dolaniem]],0),0)</f>
        <v>323</v>
      </c>
      <c r="F146">
        <f>pogoda48[[#This Row],[stan_przed_dolaniem]]-pogoda48[[#This Row],[ubytek]]</f>
        <v>12677</v>
      </c>
      <c r="G146">
        <f>IF(pogoda48[[#This Row],[opady]]*$AB$1+D146&gt;$AB$2,$AB$2-pogoda48[[#This Row],[stan_przed_dolaniem]],pogoda48[[#This Row],[opady]]*$AB$1)</f>
        <v>0</v>
      </c>
      <c r="H146">
        <f>pogoda48[[#This Row],[stan_po_ubytku]]+pogoda48[[#This Row],[ile_pogoda_dolała]]</f>
        <v>12677</v>
      </c>
      <c r="I146" cm="1">
        <f t="array" ref="I146">_xlfn.IFS(OR(pogoda48[[#This Row],[temperatura_srednia]]&lt;=15,pogoda48[[#This Row],[opady]]&gt;0.61),0,pogoda48[[#This Row],[temperatura_srednia]]&gt;30,24000,pogoda48[[#This Row],[temperatura_srednia]]&gt;15,12000)</f>
        <v>12000</v>
      </c>
      <c r="J146">
        <f>IF(pogoda48[[#This Row],[stan_po_dolaniu]]&lt;pogoda48[[#This Row],[ile_podlewamy]],$AB$2-pogoda48[[#This Row],[stan_po_dolaniu]],0)</f>
        <v>0</v>
      </c>
      <c r="K146">
        <f>pogoda48[[#This Row],[stan_po_dolaniu]]+pogoda48[[#This Row],[ile_dolać_do_podlania]]</f>
        <v>12677</v>
      </c>
      <c r="L146">
        <f>pogoda48[[#This Row],[stan_po_dolaniu_do_podlania]]-pogoda48[[#This Row],[ile_podlewamy]]</f>
        <v>677</v>
      </c>
      <c r="M146">
        <f>IF(pogoda48[[#This Row],[temperatura_srednia]]&lt;=15,1,0)</f>
        <v>0</v>
      </c>
      <c r="N146">
        <f>IF(AND(pogoda48[[#This Row],[temperatura_srednia]]&gt;15,pogoda48[[#This Row],[opady]]&lt;=0.61),1,0)</f>
        <v>1</v>
      </c>
      <c r="O146">
        <f>IF(AND(pogoda48[[#This Row],[temperatura_srednia]]&gt;15,pogoda48[[#This Row],[opady]]&gt;0.61),1,0)</f>
        <v>0</v>
      </c>
    </row>
    <row r="147" spans="1:15" x14ac:dyDescent="0.25">
      <c r="A147" s="2">
        <v>42240</v>
      </c>
      <c r="B147">
        <v>21</v>
      </c>
      <c r="C147">
        <v>5.5</v>
      </c>
      <c r="D147">
        <f t="shared" si="2"/>
        <v>677</v>
      </c>
      <c r="E147">
        <f>IF(C147=0,ROUNDUP($AB$3*POWER(pogoda48[[#This Row],[temperatura_srednia]],1.5)*pogoda48[[#This Row],[stan_przed_dolaniem]],0),0)</f>
        <v>0</v>
      </c>
      <c r="F147">
        <f>pogoda48[[#This Row],[stan_przed_dolaniem]]-pogoda48[[#This Row],[ubytek]]</f>
        <v>677</v>
      </c>
      <c r="G147">
        <f>IF(pogoda48[[#This Row],[opady]]*$AB$1+D147&gt;$AB$2,$AB$2-pogoda48[[#This Row],[stan_przed_dolaniem]],pogoda48[[#This Row],[opady]]*$AB$1)</f>
        <v>3850</v>
      </c>
      <c r="H147">
        <f>pogoda48[[#This Row],[stan_po_ubytku]]+pogoda48[[#This Row],[ile_pogoda_dolała]]</f>
        <v>4527</v>
      </c>
      <c r="I147" cm="1">
        <f t="array" ref="I147">_xlfn.IFS(OR(pogoda48[[#This Row],[temperatura_srednia]]&lt;=15,pogoda48[[#This Row],[opady]]&gt;0.61),0,pogoda48[[#This Row],[temperatura_srednia]]&gt;30,24000,pogoda48[[#This Row],[temperatura_srednia]]&gt;15,12000)</f>
        <v>0</v>
      </c>
      <c r="J147">
        <f>IF(pogoda48[[#This Row],[stan_po_dolaniu]]&lt;pogoda48[[#This Row],[ile_podlewamy]],$AB$2-pogoda48[[#This Row],[stan_po_dolaniu]],0)</f>
        <v>0</v>
      </c>
      <c r="K147">
        <f>pogoda48[[#This Row],[stan_po_dolaniu]]+pogoda48[[#This Row],[ile_dolać_do_podlania]]</f>
        <v>4527</v>
      </c>
      <c r="L147">
        <f>pogoda48[[#This Row],[stan_po_dolaniu_do_podlania]]-pogoda48[[#This Row],[ile_podlewamy]]</f>
        <v>4527</v>
      </c>
      <c r="M147">
        <f>IF(pogoda48[[#This Row],[temperatura_srednia]]&lt;=15,1,0)</f>
        <v>0</v>
      </c>
      <c r="N147">
        <f>IF(AND(pogoda48[[#This Row],[temperatura_srednia]]&gt;15,pogoda48[[#This Row],[opady]]&lt;=0.61),1,0)</f>
        <v>0</v>
      </c>
      <c r="O147">
        <f>IF(AND(pogoda48[[#This Row],[temperatura_srednia]]&gt;15,pogoda48[[#This Row],[opady]]&gt;0.61),1,0)</f>
        <v>1</v>
      </c>
    </row>
    <row r="148" spans="1:15" x14ac:dyDescent="0.25">
      <c r="A148" s="2">
        <v>42241</v>
      </c>
      <c r="B148">
        <v>18</v>
      </c>
      <c r="C148">
        <v>18</v>
      </c>
      <c r="D148">
        <f t="shared" si="2"/>
        <v>4527</v>
      </c>
      <c r="E148">
        <f>IF(C148=0,ROUNDUP($AB$3*POWER(pogoda48[[#This Row],[temperatura_srednia]],1.5)*pogoda48[[#This Row],[stan_przed_dolaniem]],0),0)</f>
        <v>0</v>
      </c>
      <c r="F148">
        <f>pogoda48[[#This Row],[stan_przed_dolaniem]]-pogoda48[[#This Row],[ubytek]]</f>
        <v>4527</v>
      </c>
      <c r="G148">
        <f>IF(pogoda48[[#This Row],[opady]]*$AB$1+D148&gt;$AB$2,$AB$2-pogoda48[[#This Row],[stan_przed_dolaniem]],pogoda48[[#This Row],[opady]]*$AB$1)</f>
        <v>12600</v>
      </c>
      <c r="H148">
        <f>pogoda48[[#This Row],[stan_po_ubytku]]+pogoda48[[#This Row],[ile_pogoda_dolała]]</f>
        <v>17127</v>
      </c>
      <c r="I148" cm="1">
        <f t="array" ref="I148">_xlfn.IFS(OR(pogoda48[[#This Row],[temperatura_srednia]]&lt;=15,pogoda48[[#This Row],[opady]]&gt;0.61),0,pogoda48[[#This Row],[temperatura_srednia]]&gt;30,24000,pogoda48[[#This Row],[temperatura_srednia]]&gt;15,12000)</f>
        <v>0</v>
      </c>
      <c r="J148">
        <f>IF(pogoda48[[#This Row],[stan_po_dolaniu]]&lt;pogoda48[[#This Row],[ile_podlewamy]],$AB$2-pogoda48[[#This Row],[stan_po_dolaniu]],0)</f>
        <v>0</v>
      </c>
      <c r="K148">
        <f>pogoda48[[#This Row],[stan_po_dolaniu]]+pogoda48[[#This Row],[ile_dolać_do_podlania]]</f>
        <v>17127</v>
      </c>
      <c r="L148">
        <f>pogoda48[[#This Row],[stan_po_dolaniu_do_podlania]]-pogoda48[[#This Row],[ile_podlewamy]]</f>
        <v>17127</v>
      </c>
      <c r="M148">
        <f>IF(pogoda48[[#This Row],[temperatura_srednia]]&lt;=15,1,0)</f>
        <v>0</v>
      </c>
      <c r="N148">
        <f>IF(AND(pogoda48[[#This Row],[temperatura_srednia]]&gt;15,pogoda48[[#This Row],[opady]]&lt;=0.61),1,0)</f>
        <v>0</v>
      </c>
      <c r="O148">
        <f>IF(AND(pogoda48[[#This Row],[temperatura_srednia]]&gt;15,pogoda48[[#This Row],[opady]]&gt;0.61),1,0)</f>
        <v>1</v>
      </c>
    </row>
    <row r="149" spans="1:15" x14ac:dyDescent="0.25">
      <c r="A149" s="2">
        <v>42242</v>
      </c>
      <c r="B149">
        <v>19</v>
      </c>
      <c r="C149">
        <v>12</v>
      </c>
      <c r="D149">
        <f t="shared" si="2"/>
        <v>17127</v>
      </c>
      <c r="E149">
        <f>IF(C149=0,ROUNDUP($AB$3*POWER(pogoda48[[#This Row],[temperatura_srednia]],1.5)*pogoda48[[#This Row],[stan_przed_dolaniem]],0),0)</f>
        <v>0</v>
      </c>
      <c r="F149">
        <f>pogoda48[[#This Row],[stan_przed_dolaniem]]-pogoda48[[#This Row],[ubytek]]</f>
        <v>17127</v>
      </c>
      <c r="G149">
        <f>IF(pogoda48[[#This Row],[opady]]*$AB$1+D149&gt;$AB$2,$AB$2-pogoda48[[#This Row],[stan_przed_dolaniem]],pogoda48[[#This Row],[opady]]*$AB$1)</f>
        <v>7873</v>
      </c>
      <c r="H149">
        <f>pogoda48[[#This Row],[stan_po_ubytku]]+pogoda48[[#This Row],[ile_pogoda_dolała]]</f>
        <v>25000</v>
      </c>
      <c r="I149" cm="1">
        <f t="array" ref="I149">_xlfn.IFS(OR(pogoda48[[#This Row],[temperatura_srednia]]&lt;=15,pogoda48[[#This Row],[opady]]&gt;0.61),0,pogoda48[[#This Row],[temperatura_srednia]]&gt;30,24000,pogoda48[[#This Row],[temperatura_srednia]]&gt;15,12000)</f>
        <v>0</v>
      </c>
      <c r="J149">
        <f>IF(pogoda48[[#This Row],[stan_po_dolaniu]]&lt;pogoda48[[#This Row],[ile_podlewamy]],$AB$2-pogoda48[[#This Row],[stan_po_dolaniu]],0)</f>
        <v>0</v>
      </c>
      <c r="K149">
        <f>pogoda48[[#This Row],[stan_po_dolaniu]]+pogoda48[[#This Row],[ile_dolać_do_podlania]]</f>
        <v>25000</v>
      </c>
      <c r="L149">
        <f>pogoda48[[#This Row],[stan_po_dolaniu_do_podlania]]-pogoda48[[#This Row],[ile_podlewamy]]</f>
        <v>25000</v>
      </c>
      <c r="M149">
        <f>IF(pogoda48[[#This Row],[temperatura_srednia]]&lt;=15,1,0)</f>
        <v>0</v>
      </c>
      <c r="N149">
        <f>IF(AND(pogoda48[[#This Row],[temperatura_srednia]]&gt;15,pogoda48[[#This Row],[opady]]&lt;=0.61),1,0)</f>
        <v>0</v>
      </c>
      <c r="O149">
        <f>IF(AND(pogoda48[[#This Row],[temperatura_srednia]]&gt;15,pogoda48[[#This Row],[opady]]&gt;0.61),1,0)</f>
        <v>1</v>
      </c>
    </row>
    <row r="150" spans="1:15" x14ac:dyDescent="0.25">
      <c r="A150" s="2">
        <v>42243</v>
      </c>
      <c r="B150">
        <v>23</v>
      </c>
      <c r="C150">
        <v>0</v>
      </c>
      <c r="D150">
        <f t="shared" si="2"/>
        <v>25000</v>
      </c>
      <c r="E150">
        <f>IF(C150=0,ROUNDUP($AB$3*POWER(pogoda48[[#This Row],[temperatura_srednia]],1.5)*pogoda48[[#This Row],[stan_przed_dolaniem]],0),0)</f>
        <v>828</v>
      </c>
      <c r="F150">
        <f>pogoda48[[#This Row],[stan_przed_dolaniem]]-pogoda48[[#This Row],[ubytek]]</f>
        <v>24172</v>
      </c>
      <c r="G150">
        <f>IF(pogoda48[[#This Row],[opady]]*$AB$1+D150&gt;$AB$2,$AB$2-pogoda48[[#This Row],[stan_przed_dolaniem]],pogoda48[[#This Row],[opady]]*$AB$1)</f>
        <v>0</v>
      </c>
      <c r="H150">
        <f>pogoda48[[#This Row],[stan_po_ubytku]]+pogoda48[[#This Row],[ile_pogoda_dolała]]</f>
        <v>24172</v>
      </c>
      <c r="I150" cm="1">
        <f t="array" ref="I150">_xlfn.IFS(OR(pogoda48[[#This Row],[temperatura_srednia]]&lt;=15,pogoda48[[#This Row],[opady]]&gt;0.61),0,pogoda48[[#This Row],[temperatura_srednia]]&gt;30,24000,pogoda48[[#This Row],[temperatura_srednia]]&gt;15,12000)</f>
        <v>12000</v>
      </c>
      <c r="J150">
        <f>IF(pogoda48[[#This Row],[stan_po_dolaniu]]&lt;pogoda48[[#This Row],[ile_podlewamy]],$AB$2-pogoda48[[#This Row],[stan_po_dolaniu]],0)</f>
        <v>0</v>
      </c>
      <c r="K150">
        <f>pogoda48[[#This Row],[stan_po_dolaniu]]+pogoda48[[#This Row],[ile_dolać_do_podlania]]</f>
        <v>24172</v>
      </c>
      <c r="L150">
        <f>pogoda48[[#This Row],[stan_po_dolaniu_do_podlania]]-pogoda48[[#This Row],[ile_podlewamy]]</f>
        <v>12172</v>
      </c>
      <c r="M150">
        <f>IF(pogoda48[[#This Row],[temperatura_srednia]]&lt;=15,1,0)</f>
        <v>0</v>
      </c>
      <c r="N150">
        <f>IF(AND(pogoda48[[#This Row],[temperatura_srednia]]&gt;15,pogoda48[[#This Row],[opady]]&lt;=0.61),1,0)</f>
        <v>1</v>
      </c>
      <c r="O150">
        <f>IF(AND(pogoda48[[#This Row],[temperatura_srednia]]&gt;15,pogoda48[[#This Row],[opady]]&gt;0.61),1,0)</f>
        <v>0</v>
      </c>
    </row>
    <row r="151" spans="1:15" x14ac:dyDescent="0.25">
      <c r="A151" s="2">
        <v>42244</v>
      </c>
      <c r="B151">
        <v>17</v>
      </c>
      <c r="C151">
        <v>0.1</v>
      </c>
      <c r="D151">
        <f t="shared" si="2"/>
        <v>12172</v>
      </c>
      <c r="E151">
        <f>IF(C151=0,ROUNDUP($AB$3*POWER(pogoda48[[#This Row],[temperatura_srednia]],1.5)*pogoda48[[#This Row],[stan_przed_dolaniem]],0),0)</f>
        <v>0</v>
      </c>
      <c r="F151">
        <f>pogoda48[[#This Row],[stan_przed_dolaniem]]-pogoda48[[#This Row],[ubytek]]</f>
        <v>12172</v>
      </c>
      <c r="G151">
        <f>IF(pogoda48[[#This Row],[opady]]*$AB$1+D151&gt;$AB$2,$AB$2-pogoda48[[#This Row],[stan_przed_dolaniem]],pogoda48[[#This Row],[opady]]*$AB$1)</f>
        <v>70</v>
      </c>
      <c r="H151">
        <f>pogoda48[[#This Row],[stan_po_ubytku]]+pogoda48[[#This Row],[ile_pogoda_dolała]]</f>
        <v>12242</v>
      </c>
      <c r="I151" cm="1">
        <f t="array" ref="I151">_xlfn.IFS(OR(pogoda48[[#This Row],[temperatura_srednia]]&lt;=15,pogoda48[[#This Row],[opady]]&gt;0.61),0,pogoda48[[#This Row],[temperatura_srednia]]&gt;30,24000,pogoda48[[#This Row],[temperatura_srednia]]&gt;15,12000)</f>
        <v>12000</v>
      </c>
      <c r="J151">
        <f>IF(pogoda48[[#This Row],[stan_po_dolaniu]]&lt;pogoda48[[#This Row],[ile_podlewamy]],$AB$2-pogoda48[[#This Row],[stan_po_dolaniu]],0)</f>
        <v>0</v>
      </c>
      <c r="K151">
        <f>pogoda48[[#This Row],[stan_po_dolaniu]]+pogoda48[[#This Row],[ile_dolać_do_podlania]]</f>
        <v>12242</v>
      </c>
      <c r="L151">
        <f>pogoda48[[#This Row],[stan_po_dolaniu_do_podlania]]-pogoda48[[#This Row],[ile_podlewamy]]</f>
        <v>242</v>
      </c>
      <c r="M151">
        <f>IF(pogoda48[[#This Row],[temperatura_srednia]]&lt;=15,1,0)</f>
        <v>0</v>
      </c>
      <c r="N151">
        <f>IF(AND(pogoda48[[#This Row],[temperatura_srednia]]&gt;15,pogoda48[[#This Row],[opady]]&lt;=0.61),1,0)</f>
        <v>1</v>
      </c>
      <c r="O151">
        <f>IF(AND(pogoda48[[#This Row],[temperatura_srednia]]&gt;15,pogoda48[[#This Row],[opady]]&gt;0.61),1,0)</f>
        <v>0</v>
      </c>
    </row>
    <row r="152" spans="1:15" x14ac:dyDescent="0.25">
      <c r="A152" s="2">
        <v>42245</v>
      </c>
      <c r="B152">
        <v>16</v>
      </c>
      <c r="C152">
        <v>14</v>
      </c>
      <c r="D152">
        <f t="shared" si="2"/>
        <v>242</v>
      </c>
      <c r="E152">
        <f>IF(C152=0,ROUNDUP($AB$3*POWER(pogoda48[[#This Row],[temperatura_srednia]],1.5)*pogoda48[[#This Row],[stan_przed_dolaniem]],0),0)</f>
        <v>0</v>
      </c>
      <c r="F152">
        <f>pogoda48[[#This Row],[stan_przed_dolaniem]]-pogoda48[[#This Row],[ubytek]]</f>
        <v>242</v>
      </c>
      <c r="G152">
        <f>IF(pogoda48[[#This Row],[opady]]*$AB$1+D152&gt;$AB$2,$AB$2-pogoda48[[#This Row],[stan_przed_dolaniem]],pogoda48[[#This Row],[opady]]*$AB$1)</f>
        <v>9800</v>
      </c>
      <c r="H152">
        <f>pogoda48[[#This Row],[stan_po_ubytku]]+pogoda48[[#This Row],[ile_pogoda_dolała]]</f>
        <v>10042</v>
      </c>
      <c r="I152" cm="1">
        <f t="array" ref="I152">_xlfn.IFS(OR(pogoda48[[#This Row],[temperatura_srednia]]&lt;=15,pogoda48[[#This Row],[opady]]&gt;0.61),0,pogoda48[[#This Row],[temperatura_srednia]]&gt;30,24000,pogoda48[[#This Row],[temperatura_srednia]]&gt;15,12000)</f>
        <v>0</v>
      </c>
      <c r="J152">
        <f>IF(pogoda48[[#This Row],[stan_po_dolaniu]]&lt;pogoda48[[#This Row],[ile_podlewamy]],$AB$2-pogoda48[[#This Row],[stan_po_dolaniu]],0)</f>
        <v>0</v>
      </c>
      <c r="K152">
        <f>pogoda48[[#This Row],[stan_po_dolaniu]]+pogoda48[[#This Row],[ile_dolać_do_podlania]]</f>
        <v>10042</v>
      </c>
      <c r="L152">
        <f>pogoda48[[#This Row],[stan_po_dolaniu_do_podlania]]-pogoda48[[#This Row],[ile_podlewamy]]</f>
        <v>10042</v>
      </c>
      <c r="M152">
        <f>IF(pogoda48[[#This Row],[temperatura_srednia]]&lt;=15,1,0)</f>
        <v>0</v>
      </c>
      <c r="N152">
        <f>IF(AND(pogoda48[[#This Row],[temperatura_srednia]]&gt;15,pogoda48[[#This Row],[opady]]&lt;=0.61),1,0)</f>
        <v>0</v>
      </c>
      <c r="O152">
        <f>IF(AND(pogoda48[[#This Row],[temperatura_srednia]]&gt;15,pogoda48[[#This Row],[opady]]&gt;0.61),1,0)</f>
        <v>1</v>
      </c>
    </row>
    <row r="153" spans="1:15" x14ac:dyDescent="0.25">
      <c r="A153" s="2">
        <v>42246</v>
      </c>
      <c r="B153">
        <v>22</v>
      </c>
      <c r="C153">
        <v>0</v>
      </c>
      <c r="D153">
        <f t="shared" si="2"/>
        <v>10042</v>
      </c>
      <c r="E153">
        <f>IF(C153=0,ROUNDUP($AB$3*POWER(pogoda48[[#This Row],[temperatura_srednia]],1.5)*pogoda48[[#This Row],[stan_przed_dolaniem]],0),0)</f>
        <v>311</v>
      </c>
      <c r="F153">
        <f>pogoda48[[#This Row],[stan_przed_dolaniem]]-pogoda48[[#This Row],[ubytek]]</f>
        <v>9731</v>
      </c>
      <c r="G153">
        <f>IF(pogoda48[[#This Row],[opady]]*$AB$1+D153&gt;$AB$2,$AB$2-pogoda48[[#This Row],[stan_przed_dolaniem]],pogoda48[[#This Row],[opady]]*$AB$1)</f>
        <v>0</v>
      </c>
      <c r="H153">
        <f>pogoda48[[#This Row],[stan_po_ubytku]]+pogoda48[[#This Row],[ile_pogoda_dolała]]</f>
        <v>9731</v>
      </c>
      <c r="I153" cm="1">
        <f t="array" ref="I153">_xlfn.IFS(OR(pogoda48[[#This Row],[temperatura_srednia]]&lt;=15,pogoda48[[#This Row],[opady]]&gt;0.61),0,pogoda48[[#This Row],[temperatura_srednia]]&gt;30,24000,pogoda48[[#This Row],[temperatura_srednia]]&gt;15,12000)</f>
        <v>12000</v>
      </c>
      <c r="J153">
        <f>IF(pogoda48[[#This Row],[stan_po_dolaniu]]&lt;pogoda48[[#This Row],[ile_podlewamy]],$AB$2-pogoda48[[#This Row],[stan_po_dolaniu]],0)</f>
        <v>15269</v>
      </c>
      <c r="K153">
        <f>pogoda48[[#This Row],[stan_po_dolaniu]]+pogoda48[[#This Row],[ile_dolać_do_podlania]]</f>
        <v>25000</v>
      </c>
      <c r="L153">
        <f>pogoda48[[#This Row],[stan_po_dolaniu_do_podlania]]-pogoda48[[#This Row],[ile_podlewamy]]</f>
        <v>13000</v>
      </c>
      <c r="M153">
        <f>IF(pogoda48[[#This Row],[temperatura_srednia]]&lt;=15,1,0)</f>
        <v>0</v>
      </c>
      <c r="N153">
        <f>IF(AND(pogoda48[[#This Row],[temperatura_srednia]]&gt;15,pogoda48[[#This Row],[opady]]&lt;=0.61),1,0)</f>
        <v>1</v>
      </c>
      <c r="O153">
        <f>IF(AND(pogoda48[[#This Row],[temperatura_srednia]]&gt;15,pogoda48[[#This Row],[opady]]&gt;0.61),1,0)</f>
        <v>0</v>
      </c>
    </row>
    <row r="154" spans="1:15" x14ac:dyDescent="0.25">
      <c r="A154" s="2">
        <v>42247</v>
      </c>
      <c r="B154">
        <v>26</v>
      </c>
      <c r="C154">
        <v>0</v>
      </c>
      <c r="D154">
        <f t="shared" si="2"/>
        <v>13000</v>
      </c>
      <c r="E154">
        <f>IF(C154=0,ROUNDUP($AB$3*POWER(pogoda48[[#This Row],[temperatura_srednia]],1.5)*pogoda48[[#This Row],[stan_przed_dolaniem]],0),0)</f>
        <v>518</v>
      </c>
      <c r="F154">
        <f>pogoda48[[#This Row],[stan_przed_dolaniem]]-pogoda48[[#This Row],[ubytek]]</f>
        <v>12482</v>
      </c>
      <c r="G154">
        <f>IF(pogoda48[[#This Row],[opady]]*$AB$1+D154&gt;$AB$2,$AB$2-pogoda48[[#This Row],[stan_przed_dolaniem]],pogoda48[[#This Row],[opady]]*$AB$1)</f>
        <v>0</v>
      </c>
      <c r="H154">
        <f>pogoda48[[#This Row],[stan_po_ubytku]]+pogoda48[[#This Row],[ile_pogoda_dolała]]</f>
        <v>12482</v>
      </c>
      <c r="I154" cm="1">
        <f t="array" ref="I154">_xlfn.IFS(OR(pogoda48[[#This Row],[temperatura_srednia]]&lt;=15,pogoda48[[#This Row],[opady]]&gt;0.61),0,pogoda48[[#This Row],[temperatura_srednia]]&gt;30,24000,pogoda48[[#This Row],[temperatura_srednia]]&gt;15,12000)</f>
        <v>12000</v>
      </c>
      <c r="J154">
        <f>IF(pogoda48[[#This Row],[stan_po_dolaniu]]&lt;pogoda48[[#This Row],[ile_podlewamy]],$AB$2-pogoda48[[#This Row],[stan_po_dolaniu]],0)</f>
        <v>0</v>
      </c>
      <c r="K154">
        <f>pogoda48[[#This Row],[stan_po_dolaniu]]+pogoda48[[#This Row],[ile_dolać_do_podlania]]</f>
        <v>12482</v>
      </c>
      <c r="L154">
        <f>pogoda48[[#This Row],[stan_po_dolaniu_do_podlania]]-pogoda48[[#This Row],[ile_podlewamy]]</f>
        <v>482</v>
      </c>
      <c r="M154">
        <f>IF(pogoda48[[#This Row],[temperatura_srednia]]&lt;=15,1,0)</f>
        <v>0</v>
      </c>
      <c r="N154">
        <f>IF(AND(pogoda48[[#This Row],[temperatura_srednia]]&gt;15,pogoda48[[#This Row],[opady]]&lt;=0.61),1,0)</f>
        <v>1</v>
      </c>
      <c r="O154">
        <f>IF(AND(pogoda48[[#This Row],[temperatura_srednia]]&gt;15,pogoda48[[#This Row],[opady]]&gt;0.61),1,0)</f>
        <v>0</v>
      </c>
    </row>
    <row r="155" spans="1:15" x14ac:dyDescent="0.25">
      <c r="A155" s="2">
        <v>42248</v>
      </c>
      <c r="B155">
        <v>27</v>
      </c>
      <c r="C155">
        <v>2</v>
      </c>
      <c r="D155">
        <f t="shared" si="2"/>
        <v>482</v>
      </c>
      <c r="E155">
        <f>IF(C155=0,ROUNDUP($AB$3*POWER(pogoda48[[#This Row],[temperatura_srednia]],1.5)*pogoda48[[#This Row],[stan_przed_dolaniem]],0),0)</f>
        <v>0</v>
      </c>
      <c r="F155">
        <f>pogoda48[[#This Row],[stan_przed_dolaniem]]-pogoda48[[#This Row],[ubytek]]</f>
        <v>482</v>
      </c>
      <c r="G155">
        <f>IF(pogoda48[[#This Row],[opady]]*$AB$1+D155&gt;$AB$2,$AB$2-pogoda48[[#This Row],[stan_przed_dolaniem]],pogoda48[[#This Row],[opady]]*$AB$1)</f>
        <v>1400</v>
      </c>
      <c r="H155">
        <f>pogoda48[[#This Row],[stan_po_ubytku]]+pogoda48[[#This Row],[ile_pogoda_dolała]]</f>
        <v>1882</v>
      </c>
      <c r="I155" cm="1">
        <f t="array" ref="I155">_xlfn.IFS(OR(pogoda48[[#This Row],[temperatura_srednia]]&lt;=15,pogoda48[[#This Row],[opady]]&gt;0.61),0,pogoda48[[#This Row],[temperatura_srednia]]&gt;30,24000,pogoda48[[#This Row],[temperatura_srednia]]&gt;15,12000)</f>
        <v>0</v>
      </c>
      <c r="J155">
        <f>IF(pogoda48[[#This Row],[stan_po_dolaniu]]&lt;pogoda48[[#This Row],[ile_podlewamy]],$AB$2-pogoda48[[#This Row],[stan_po_dolaniu]],0)</f>
        <v>0</v>
      </c>
      <c r="K155">
        <f>pogoda48[[#This Row],[stan_po_dolaniu]]+pogoda48[[#This Row],[ile_dolać_do_podlania]]</f>
        <v>1882</v>
      </c>
      <c r="L155">
        <f>pogoda48[[#This Row],[stan_po_dolaniu_do_podlania]]-pogoda48[[#This Row],[ile_podlewamy]]</f>
        <v>1882</v>
      </c>
      <c r="M155">
        <f>IF(pogoda48[[#This Row],[temperatura_srednia]]&lt;=15,1,0)</f>
        <v>0</v>
      </c>
      <c r="N155">
        <f>IF(AND(pogoda48[[#This Row],[temperatura_srednia]]&gt;15,pogoda48[[#This Row],[opady]]&lt;=0.61),1,0)</f>
        <v>0</v>
      </c>
      <c r="O155">
        <f>IF(AND(pogoda48[[#This Row],[temperatura_srednia]]&gt;15,pogoda48[[#This Row],[opady]]&gt;0.61),1,0)</f>
        <v>1</v>
      </c>
    </row>
    <row r="156" spans="1:15" x14ac:dyDescent="0.25">
      <c r="A156" s="2">
        <v>42249</v>
      </c>
      <c r="B156">
        <v>18</v>
      </c>
      <c r="C156">
        <v>0</v>
      </c>
      <c r="D156">
        <f t="shared" si="2"/>
        <v>1882</v>
      </c>
      <c r="E156">
        <f>IF(C156=0,ROUNDUP($AB$3*POWER(pogoda48[[#This Row],[temperatura_srednia]],1.5)*pogoda48[[#This Row],[stan_przed_dolaniem]],0),0)</f>
        <v>44</v>
      </c>
      <c r="F156">
        <f>pogoda48[[#This Row],[stan_przed_dolaniem]]-pogoda48[[#This Row],[ubytek]]</f>
        <v>1838</v>
      </c>
      <c r="G156">
        <f>IF(pogoda48[[#This Row],[opady]]*$AB$1+D156&gt;$AB$2,$AB$2-pogoda48[[#This Row],[stan_przed_dolaniem]],pogoda48[[#This Row],[opady]]*$AB$1)</f>
        <v>0</v>
      </c>
      <c r="H156">
        <f>pogoda48[[#This Row],[stan_po_ubytku]]+pogoda48[[#This Row],[ile_pogoda_dolała]]</f>
        <v>1838</v>
      </c>
      <c r="I156" cm="1">
        <f t="array" ref="I156">_xlfn.IFS(OR(pogoda48[[#This Row],[temperatura_srednia]]&lt;=15,pogoda48[[#This Row],[opady]]&gt;0.61),0,pogoda48[[#This Row],[temperatura_srednia]]&gt;30,24000,pogoda48[[#This Row],[temperatura_srednia]]&gt;15,12000)</f>
        <v>12000</v>
      </c>
      <c r="J156">
        <f>IF(pogoda48[[#This Row],[stan_po_dolaniu]]&lt;pogoda48[[#This Row],[ile_podlewamy]],$AB$2-pogoda48[[#This Row],[stan_po_dolaniu]],0)</f>
        <v>23162</v>
      </c>
      <c r="K156">
        <f>pogoda48[[#This Row],[stan_po_dolaniu]]+pogoda48[[#This Row],[ile_dolać_do_podlania]]</f>
        <v>25000</v>
      </c>
      <c r="L156">
        <f>pogoda48[[#This Row],[stan_po_dolaniu_do_podlania]]-pogoda48[[#This Row],[ile_podlewamy]]</f>
        <v>13000</v>
      </c>
      <c r="M156">
        <f>IF(pogoda48[[#This Row],[temperatura_srednia]]&lt;=15,1,0)</f>
        <v>0</v>
      </c>
      <c r="N156">
        <f>IF(AND(pogoda48[[#This Row],[temperatura_srednia]]&gt;15,pogoda48[[#This Row],[opady]]&lt;=0.61),1,0)</f>
        <v>1</v>
      </c>
      <c r="O156">
        <f>IF(AND(pogoda48[[#This Row],[temperatura_srednia]]&gt;15,pogoda48[[#This Row],[opady]]&gt;0.61),1,0)</f>
        <v>0</v>
      </c>
    </row>
    <row r="157" spans="1:15" x14ac:dyDescent="0.25">
      <c r="A157" s="2">
        <v>42250</v>
      </c>
      <c r="B157">
        <v>17</v>
      </c>
      <c r="C157">
        <v>0</v>
      </c>
      <c r="D157">
        <f t="shared" si="2"/>
        <v>13000</v>
      </c>
      <c r="E157">
        <f>IF(C157=0,ROUNDUP($AB$3*POWER(pogoda48[[#This Row],[temperatura_srednia]],1.5)*pogoda48[[#This Row],[stan_przed_dolaniem]],0),0)</f>
        <v>274</v>
      </c>
      <c r="F157">
        <f>pogoda48[[#This Row],[stan_przed_dolaniem]]-pogoda48[[#This Row],[ubytek]]</f>
        <v>12726</v>
      </c>
      <c r="G157">
        <f>IF(pogoda48[[#This Row],[opady]]*$AB$1+D157&gt;$AB$2,$AB$2-pogoda48[[#This Row],[stan_przed_dolaniem]],pogoda48[[#This Row],[opady]]*$AB$1)</f>
        <v>0</v>
      </c>
      <c r="H157">
        <f>pogoda48[[#This Row],[stan_po_ubytku]]+pogoda48[[#This Row],[ile_pogoda_dolała]]</f>
        <v>12726</v>
      </c>
      <c r="I157" cm="1">
        <f t="array" ref="I157">_xlfn.IFS(OR(pogoda48[[#This Row],[temperatura_srednia]]&lt;=15,pogoda48[[#This Row],[opady]]&gt;0.61),0,pogoda48[[#This Row],[temperatura_srednia]]&gt;30,24000,pogoda48[[#This Row],[temperatura_srednia]]&gt;15,12000)</f>
        <v>12000</v>
      </c>
      <c r="J157">
        <f>IF(pogoda48[[#This Row],[stan_po_dolaniu]]&lt;pogoda48[[#This Row],[ile_podlewamy]],$AB$2-pogoda48[[#This Row],[stan_po_dolaniu]],0)</f>
        <v>0</v>
      </c>
      <c r="K157">
        <f>pogoda48[[#This Row],[stan_po_dolaniu]]+pogoda48[[#This Row],[ile_dolać_do_podlania]]</f>
        <v>12726</v>
      </c>
      <c r="L157">
        <f>pogoda48[[#This Row],[stan_po_dolaniu_do_podlania]]-pogoda48[[#This Row],[ile_podlewamy]]</f>
        <v>726</v>
      </c>
      <c r="M157">
        <f>IF(pogoda48[[#This Row],[temperatura_srednia]]&lt;=15,1,0)</f>
        <v>0</v>
      </c>
      <c r="N157">
        <f>IF(AND(pogoda48[[#This Row],[temperatura_srednia]]&gt;15,pogoda48[[#This Row],[opady]]&lt;=0.61),1,0)</f>
        <v>1</v>
      </c>
      <c r="O157">
        <f>IF(AND(pogoda48[[#This Row],[temperatura_srednia]]&gt;15,pogoda48[[#This Row],[opady]]&gt;0.61),1,0)</f>
        <v>0</v>
      </c>
    </row>
    <row r="158" spans="1:15" x14ac:dyDescent="0.25">
      <c r="A158" s="2">
        <v>42251</v>
      </c>
      <c r="B158">
        <v>16</v>
      </c>
      <c r="C158">
        <v>0.1</v>
      </c>
      <c r="D158">
        <f t="shared" si="2"/>
        <v>726</v>
      </c>
      <c r="E158">
        <f>IF(C158=0,ROUNDUP($AB$3*POWER(pogoda48[[#This Row],[temperatura_srednia]],1.5)*pogoda48[[#This Row],[stan_przed_dolaniem]],0),0)</f>
        <v>0</v>
      </c>
      <c r="F158">
        <f>pogoda48[[#This Row],[stan_przed_dolaniem]]-pogoda48[[#This Row],[ubytek]]</f>
        <v>726</v>
      </c>
      <c r="G158">
        <f>IF(pogoda48[[#This Row],[opady]]*$AB$1+D158&gt;$AB$2,$AB$2-pogoda48[[#This Row],[stan_przed_dolaniem]],pogoda48[[#This Row],[opady]]*$AB$1)</f>
        <v>70</v>
      </c>
      <c r="H158">
        <f>pogoda48[[#This Row],[stan_po_ubytku]]+pogoda48[[#This Row],[ile_pogoda_dolała]]</f>
        <v>796</v>
      </c>
      <c r="I158" cm="1">
        <f t="array" ref="I158">_xlfn.IFS(OR(pogoda48[[#This Row],[temperatura_srednia]]&lt;=15,pogoda48[[#This Row],[opady]]&gt;0.61),0,pogoda48[[#This Row],[temperatura_srednia]]&gt;30,24000,pogoda48[[#This Row],[temperatura_srednia]]&gt;15,12000)</f>
        <v>12000</v>
      </c>
      <c r="J158">
        <f>IF(pogoda48[[#This Row],[stan_po_dolaniu]]&lt;pogoda48[[#This Row],[ile_podlewamy]],$AB$2-pogoda48[[#This Row],[stan_po_dolaniu]],0)</f>
        <v>24204</v>
      </c>
      <c r="K158">
        <f>pogoda48[[#This Row],[stan_po_dolaniu]]+pogoda48[[#This Row],[ile_dolać_do_podlania]]</f>
        <v>25000</v>
      </c>
      <c r="L158">
        <f>pogoda48[[#This Row],[stan_po_dolaniu_do_podlania]]-pogoda48[[#This Row],[ile_podlewamy]]</f>
        <v>13000</v>
      </c>
      <c r="M158">
        <f>IF(pogoda48[[#This Row],[temperatura_srednia]]&lt;=15,1,0)</f>
        <v>0</v>
      </c>
      <c r="N158">
        <f>IF(AND(pogoda48[[#This Row],[temperatura_srednia]]&gt;15,pogoda48[[#This Row],[opady]]&lt;=0.61),1,0)</f>
        <v>1</v>
      </c>
      <c r="O158">
        <f>IF(AND(pogoda48[[#This Row],[temperatura_srednia]]&gt;15,pogoda48[[#This Row],[opady]]&gt;0.61),1,0)</f>
        <v>0</v>
      </c>
    </row>
    <row r="159" spans="1:15" x14ac:dyDescent="0.25">
      <c r="A159" s="2">
        <v>42252</v>
      </c>
      <c r="B159">
        <v>15</v>
      </c>
      <c r="C159">
        <v>0</v>
      </c>
      <c r="D159">
        <f t="shared" si="2"/>
        <v>13000</v>
      </c>
      <c r="E159">
        <f>IF(C159=0,ROUNDUP($AB$3*POWER(pogoda48[[#This Row],[temperatura_srednia]],1.5)*pogoda48[[#This Row],[stan_przed_dolaniem]],0),0)</f>
        <v>227</v>
      </c>
      <c r="F159">
        <f>pogoda48[[#This Row],[stan_przed_dolaniem]]-pogoda48[[#This Row],[ubytek]]</f>
        <v>12773</v>
      </c>
      <c r="G159">
        <f>IF(pogoda48[[#This Row],[opady]]*$AB$1+D159&gt;$AB$2,$AB$2-pogoda48[[#This Row],[stan_przed_dolaniem]],pogoda48[[#This Row],[opady]]*$AB$1)</f>
        <v>0</v>
      </c>
      <c r="H159">
        <f>pogoda48[[#This Row],[stan_po_ubytku]]+pogoda48[[#This Row],[ile_pogoda_dolała]]</f>
        <v>12773</v>
      </c>
      <c r="I159" cm="1">
        <f t="array" ref="I159">_xlfn.IFS(OR(pogoda48[[#This Row],[temperatura_srednia]]&lt;=15,pogoda48[[#This Row],[opady]]&gt;0.61),0,pogoda48[[#This Row],[temperatura_srednia]]&gt;30,24000,pogoda48[[#This Row],[temperatura_srednia]]&gt;15,12000)</f>
        <v>0</v>
      </c>
      <c r="J159">
        <f>IF(pogoda48[[#This Row],[stan_po_dolaniu]]&lt;pogoda48[[#This Row],[ile_podlewamy]],$AB$2-pogoda48[[#This Row],[stan_po_dolaniu]],0)</f>
        <v>0</v>
      </c>
      <c r="K159">
        <f>pogoda48[[#This Row],[stan_po_dolaniu]]+pogoda48[[#This Row],[ile_dolać_do_podlania]]</f>
        <v>12773</v>
      </c>
      <c r="L159">
        <f>pogoda48[[#This Row],[stan_po_dolaniu_do_podlania]]-pogoda48[[#This Row],[ile_podlewamy]]</f>
        <v>12773</v>
      </c>
      <c r="M159">
        <f>IF(pogoda48[[#This Row],[temperatura_srednia]]&lt;=15,1,0)</f>
        <v>1</v>
      </c>
      <c r="N159">
        <f>IF(AND(pogoda48[[#This Row],[temperatura_srednia]]&gt;15,pogoda48[[#This Row],[opady]]&lt;=0.61),1,0)</f>
        <v>0</v>
      </c>
      <c r="O159">
        <f>IF(AND(pogoda48[[#This Row],[temperatura_srednia]]&gt;15,pogoda48[[#This Row],[opady]]&gt;0.61),1,0)</f>
        <v>0</v>
      </c>
    </row>
    <row r="160" spans="1:15" x14ac:dyDescent="0.25">
      <c r="A160" s="2">
        <v>42253</v>
      </c>
      <c r="B160">
        <v>12</v>
      </c>
      <c r="C160">
        <v>4</v>
      </c>
      <c r="D160">
        <f t="shared" si="2"/>
        <v>12773</v>
      </c>
      <c r="E160">
        <f>IF(C160=0,ROUNDUP($AB$3*POWER(pogoda48[[#This Row],[temperatura_srednia]],1.5)*pogoda48[[#This Row],[stan_przed_dolaniem]],0),0)</f>
        <v>0</v>
      </c>
      <c r="F160">
        <f>pogoda48[[#This Row],[stan_przed_dolaniem]]-pogoda48[[#This Row],[ubytek]]</f>
        <v>12773</v>
      </c>
      <c r="G160">
        <f>IF(pogoda48[[#This Row],[opady]]*$AB$1+D160&gt;$AB$2,$AB$2-pogoda48[[#This Row],[stan_przed_dolaniem]],pogoda48[[#This Row],[opady]]*$AB$1)</f>
        <v>2800</v>
      </c>
      <c r="H160">
        <f>pogoda48[[#This Row],[stan_po_ubytku]]+pogoda48[[#This Row],[ile_pogoda_dolała]]</f>
        <v>15573</v>
      </c>
      <c r="I160" cm="1">
        <f t="array" ref="I160">_xlfn.IFS(OR(pogoda48[[#This Row],[temperatura_srednia]]&lt;=15,pogoda48[[#This Row],[opady]]&gt;0.61),0,pogoda48[[#This Row],[temperatura_srednia]]&gt;30,24000,pogoda48[[#This Row],[temperatura_srednia]]&gt;15,12000)</f>
        <v>0</v>
      </c>
      <c r="J160">
        <f>IF(pogoda48[[#This Row],[stan_po_dolaniu]]&lt;pogoda48[[#This Row],[ile_podlewamy]],$AB$2-pogoda48[[#This Row],[stan_po_dolaniu]],0)</f>
        <v>0</v>
      </c>
      <c r="K160">
        <f>pogoda48[[#This Row],[stan_po_dolaniu]]+pogoda48[[#This Row],[ile_dolać_do_podlania]]</f>
        <v>15573</v>
      </c>
      <c r="L160">
        <f>pogoda48[[#This Row],[stan_po_dolaniu_do_podlania]]-pogoda48[[#This Row],[ile_podlewamy]]</f>
        <v>15573</v>
      </c>
      <c r="M160">
        <f>IF(pogoda48[[#This Row],[temperatura_srednia]]&lt;=15,1,0)</f>
        <v>1</v>
      </c>
      <c r="N160">
        <f>IF(AND(pogoda48[[#This Row],[temperatura_srednia]]&gt;15,pogoda48[[#This Row],[opady]]&lt;=0.61),1,0)</f>
        <v>0</v>
      </c>
      <c r="O160">
        <f>IF(AND(pogoda48[[#This Row],[temperatura_srednia]]&gt;15,pogoda48[[#This Row],[opady]]&gt;0.61),1,0)</f>
        <v>0</v>
      </c>
    </row>
    <row r="161" spans="1:15" x14ac:dyDescent="0.25">
      <c r="A161" s="2">
        <v>42254</v>
      </c>
      <c r="B161">
        <v>13</v>
      </c>
      <c r="C161">
        <v>0</v>
      </c>
      <c r="D161">
        <f t="shared" si="2"/>
        <v>15573</v>
      </c>
      <c r="E161">
        <f>IF(C161=0,ROUNDUP($AB$3*POWER(pogoda48[[#This Row],[temperatura_srednia]],1.5)*pogoda48[[#This Row],[stan_przed_dolaniem]],0),0)</f>
        <v>219</v>
      </c>
      <c r="F161">
        <f>pogoda48[[#This Row],[stan_przed_dolaniem]]-pogoda48[[#This Row],[ubytek]]</f>
        <v>15354</v>
      </c>
      <c r="G161">
        <f>IF(pogoda48[[#This Row],[opady]]*$AB$1+D161&gt;$AB$2,$AB$2-pogoda48[[#This Row],[stan_przed_dolaniem]],pogoda48[[#This Row],[opady]]*$AB$1)</f>
        <v>0</v>
      </c>
      <c r="H161">
        <f>pogoda48[[#This Row],[stan_po_ubytku]]+pogoda48[[#This Row],[ile_pogoda_dolała]]</f>
        <v>15354</v>
      </c>
      <c r="I161" cm="1">
        <f t="array" ref="I161">_xlfn.IFS(OR(pogoda48[[#This Row],[temperatura_srednia]]&lt;=15,pogoda48[[#This Row],[opady]]&gt;0.61),0,pogoda48[[#This Row],[temperatura_srednia]]&gt;30,24000,pogoda48[[#This Row],[temperatura_srednia]]&gt;15,12000)</f>
        <v>0</v>
      </c>
      <c r="J161">
        <f>IF(pogoda48[[#This Row],[stan_po_dolaniu]]&lt;pogoda48[[#This Row],[ile_podlewamy]],$AB$2-pogoda48[[#This Row],[stan_po_dolaniu]],0)</f>
        <v>0</v>
      </c>
      <c r="K161">
        <f>pogoda48[[#This Row],[stan_po_dolaniu]]+pogoda48[[#This Row],[ile_dolać_do_podlania]]</f>
        <v>15354</v>
      </c>
      <c r="L161">
        <f>pogoda48[[#This Row],[stan_po_dolaniu_do_podlania]]-pogoda48[[#This Row],[ile_podlewamy]]</f>
        <v>15354</v>
      </c>
      <c r="M161">
        <f>IF(pogoda48[[#This Row],[temperatura_srednia]]&lt;=15,1,0)</f>
        <v>1</v>
      </c>
      <c r="N161">
        <f>IF(AND(pogoda48[[#This Row],[temperatura_srednia]]&gt;15,pogoda48[[#This Row],[opady]]&lt;=0.61),1,0)</f>
        <v>0</v>
      </c>
      <c r="O161">
        <f>IF(AND(pogoda48[[#This Row],[temperatura_srednia]]&gt;15,pogoda48[[#This Row],[opady]]&gt;0.61),1,0)</f>
        <v>0</v>
      </c>
    </row>
    <row r="162" spans="1:15" x14ac:dyDescent="0.25">
      <c r="A162" s="2">
        <v>42255</v>
      </c>
      <c r="B162">
        <v>11</v>
      </c>
      <c r="C162">
        <v>4</v>
      </c>
      <c r="D162">
        <f t="shared" si="2"/>
        <v>15354</v>
      </c>
      <c r="E162">
        <f>IF(C162=0,ROUNDUP($AB$3*POWER(pogoda48[[#This Row],[temperatura_srednia]],1.5)*pogoda48[[#This Row],[stan_przed_dolaniem]],0),0)</f>
        <v>0</v>
      </c>
      <c r="F162">
        <f>pogoda48[[#This Row],[stan_przed_dolaniem]]-pogoda48[[#This Row],[ubytek]]</f>
        <v>15354</v>
      </c>
      <c r="G162">
        <f>IF(pogoda48[[#This Row],[opady]]*$AB$1+D162&gt;$AB$2,$AB$2-pogoda48[[#This Row],[stan_przed_dolaniem]],pogoda48[[#This Row],[opady]]*$AB$1)</f>
        <v>2800</v>
      </c>
      <c r="H162">
        <f>pogoda48[[#This Row],[stan_po_ubytku]]+pogoda48[[#This Row],[ile_pogoda_dolała]]</f>
        <v>18154</v>
      </c>
      <c r="I162" cm="1">
        <f t="array" ref="I162">_xlfn.IFS(OR(pogoda48[[#This Row],[temperatura_srednia]]&lt;=15,pogoda48[[#This Row],[opady]]&gt;0.61),0,pogoda48[[#This Row],[temperatura_srednia]]&gt;30,24000,pogoda48[[#This Row],[temperatura_srednia]]&gt;15,12000)</f>
        <v>0</v>
      </c>
      <c r="J162">
        <f>IF(pogoda48[[#This Row],[stan_po_dolaniu]]&lt;pogoda48[[#This Row],[ile_podlewamy]],$AB$2-pogoda48[[#This Row],[stan_po_dolaniu]],0)</f>
        <v>0</v>
      </c>
      <c r="K162">
        <f>pogoda48[[#This Row],[stan_po_dolaniu]]+pogoda48[[#This Row],[ile_dolać_do_podlania]]</f>
        <v>18154</v>
      </c>
      <c r="L162">
        <f>pogoda48[[#This Row],[stan_po_dolaniu_do_podlania]]-pogoda48[[#This Row],[ile_podlewamy]]</f>
        <v>18154</v>
      </c>
      <c r="M162">
        <f>IF(pogoda48[[#This Row],[temperatura_srednia]]&lt;=15,1,0)</f>
        <v>1</v>
      </c>
      <c r="N162">
        <f>IF(AND(pogoda48[[#This Row],[temperatura_srednia]]&gt;15,pogoda48[[#This Row],[opady]]&lt;=0.61),1,0)</f>
        <v>0</v>
      </c>
      <c r="O162">
        <f>IF(AND(pogoda48[[#This Row],[temperatura_srednia]]&gt;15,pogoda48[[#This Row],[opady]]&gt;0.61),1,0)</f>
        <v>0</v>
      </c>
    </row>
    <row r="163" spans="1:15" x14ac:dyDescent="0.25">
      <c r="A163" s="2">
        <v>42256</v>
      </c>
      <c r="B163">
        <v>11</v>
      </c>
      <c r="C163">
        <v>0</v>
      </c>
      <c r="D163">
        <f t="shared" si="2"/>
        <v>18154</v>
      </c>
      <c r="E163">
        <f>IF(C163=0,ROUNDUP($AB$3*POWER(pogoda48[[#This Row],[temperatura_srednia]],1.5)*pogoda48[[#This Row],[stan_przed_dolaniem]],0),0)</f>
        <v>199</v>
      </c>
      <c r="F163">
        <f>pogoda48[[#This Row],[stan_przed_dolaniem]]-pogoda48[[#This Row],[ubytek]]</f>
        <v>17955</v>
      </c>
      <c r="G163">
        <f>IF(pogoda48[[#This Row],[opady]]*$AB$1+D163&gt;$AB$2,$AB$2-pogoda48[[#This Row],[stan_przed_dolaniem]],pogoda48[[#This Row],[opady]]*$AB$1)</f>
        <v>0</v>
      </c>
      <c r="H163">
        <f>pogoda48[[#This Row],[stan_po_ubytku]]+pogoda48[[#This Row],[ile_pogoda_dolała]]</f>
        <v>17955</v>
      </c>
      <c r="I163" cm="1">
        <f t="array" ref="I163">_xlfn.IFS(OR(pogoda48[[#This Row],[temperatura_srednia]]&lt;=15,pogoda48[[#This Row],[opady]]&gt;0.61),0,pogoda48[[#This Row],[temperatura_srednia]]&gt;30,24000,pogoda48[[#This Row],[temperatura_srednia]]&gt;15,12000)</f>
        <v>0</v>
      </c>
      <c r="J163">
        <f>IF(pogoda48[[#This Row],[stan_po_dolaniu]]&lt;pogoda48[[#This Row],[ile_podlewamy]],$AB$2-pogoda48[[#This Row],[stan_po_dolaniu]],0)</f>
        <v>0</v>
      </c>
      <c r="K163">
        <f>pogoda48[[#This Row],[stan_po_dolaniu]]+pogoda48[[#This Row],[ile_dolać_do_podlania]]</f>
        <v>17955</v>
      </c>
      <c r="L163">
        <f>pogoda48[[#This Row],[stan_po_dolaniu_do_podlania]]-pogoda48[[#This Row],[ile_podlewamy]]</f>
        <v>17955</v>
      </c>
      <c r="M163">
        <f>IF(pogoda48[[#This Row],[temperatura_srednia]]&lt;=15,1,0)</f>
        <v>1</v>
      </c>
      <c r="N163">
        <f>IF(AND(pogoda48[[#This Row],[temperatura_srednia]]&gt;15,pogoda48[[#This Row],[opady]]&lt;=0.61),1,0)</f>
        <v>0</v>
      </c>
      <c r="O163">
        <f>IF(AND(pogoda48[[#This Row],[temperatura_srednia]]&gt;15,pogoda48[[#This Row],[opady]]&gt;0.61),1,0)</f>
        <v>0</v>
      </c>
    </row>
    <row r="164" spans="1:15" x14ac:dyDescent="0.25">
      <c r="A164" s="2">
        <v>42257</v>
      </c>
      <c r="B164">
        <v>12</v>
      </c>
      <c r="C164">
        <v>0</v>
      </c>
      <c r="D164">
        <f t="shared" si="2"/>
        <v>17955</v>
      </c>
      <c r="E164">
        <f>IF(C164=0,ROUNDUP($AB$3*POWER(pogoda48[[#This Row],[temperatura_srednia]],1.5)*pogoda48[[#This Row],[stan_przed_dolaniem]],0),0)</f>
        <v>224</v>
      </c>
      <c r="F164">
        <f>pogoda48[[#This Row],[stan_przed_dolaniem]]-pogoda48[[#This Row],[ubytek]]</f>
        <v>17731</v>
      </c>
      <c r="G164">
        <f>IF(pogoda48[[#This Row],[opady]]*$AB$1+D164&gt;$AB$2,$AB$2-pogoda48[[#This Row],[stan_przed_dolaniem]],pogoda48[[#This Row],[opady]]*$AB$1)</f>
        <v>0</v>
      </c>
      <c r="H164">
        <f>pogoda48[[#This Row],[stan_po_ubytku]]+pogoda48[[#This Row],[ile_pogoda_dolała]]</f>
        <v>17731</v>
      </c>
      <c r="I164" cm="1">
        <f t="array" ref="I164">_xlfn.IFS(OR(pogoda48[[#This Row],[temperatura_srednia]]&lt;=15,pogoda48[[#This Row],[opady]]&gt;0.61),0,pogoda48[[#This Row],[temperatura_srednia]]&gt;30,24000,pogoda48[[#This Row],[temperatura_srednia]]&gt;15,12000)</f>
        <v>0</v>
      </c>
      <c r="J164">
        <f>IF(pogoda48[[#This Row],[stan_po_dolaniu]]&lt;pogoda48[[#This Row],[ile_podlewamy]],$AB$2-pogoda48[[#This Row],[stan_po_dolaniu]],0)</f>
        <v>0</v>
      </c>
      <c r="K164">
        <f>pogoda48[[#This Row],[stan_po_dolaniu]]+pogoda48[[#This Row],[ile_dolać_do_podlania]]</f>
        <v>17731</v>
      </c>
      <c r="L164">
        <f>pogoda48[[#This Row],[stan_po_dolaniu_do_podlania]]-pogoda48[[#This Row],[ile_podlewamy]]</f>
        <v>17731</v>
      </c>
      <c r="M164">
        <f>IF(pogoda48[[#This Row],[temperatura_srednia]]&lt;=15,1,0)</f>
        <v>1</v>
      </c>
      <c r="N164">
        <f>IF(AND(pogoda48[[#This Row],[temperatura_srednia]]&gt;15,pogoda48[[#This Row],[opady]]&lt;=0.61),1,0)</f>
        <v>0</v>
      </c>
      <c r="O164">
        <f>IF(AND(pogoda48[[#This Row],[temperatura_srednia]]&gt;15,pogoda48[[#This Row],[opady]]&gt;0.61),1,0)</f>
        <v>0</v>
      </c>
    </row>
    <row r="165" spans="1:15" x14ac:dyDescent="0.25">
      <c r="A165" s="2">
        <v>42258</v>
      </c>
      <c r="B165">
        <v>16</v>
      </c>
      <c r="C165">
        <v>0.1</v>
      </c>
      <c r="D165">
        <f t="shared" si="2"/>
        <v>17731</v>
      </c>
      <c r="E165">
        <f>IF(C165=0,ROUNDUP($AB$3*POWER(pogoda48[[#This Row],[temperatura_srednia]],1.5)*pogoda48[[#This Row],[stan_przed_dolaniem]],0),0)</f>
        <v>0</v>
      </c>
      <c r="F165">
        <f>pogoda48[[#This Row],[stan_przed_dolaniem]]-pogoda48[[#This Row],[ubytek]]</f>
        <v>17731</v>
      </c>
      <c r="G165">
        <f>IF(pogoda48[[#This Row],[opady]]*$AB$1+D165&gt;$AB$2,$AB$2-pogoda48[[#This Row],[stan_przed_dolaniem]],pogoda48[[#This Row],[opady]]*$AB$1)</f>
        <v>70</v>
      </c>
      <c r="H165">
        <f>pogoda48[[#This Row],[stan_po_ubytku]]+pogoda48[[#This Row],[ile_pogoda_dolała]]</f>
        <v>17801</v>
      </c>
      <c r="I165" cm="1">
        <f t="array" ref="I165">_xlfn.IFS(OR(pogoda48[[#This Row],[temperatura_srednia]]&lt;=15,pogoda48[[#This Row],[opady]]&gt;0.61),0,pogoda48[[#This Row],[temperatura_srednia]]&gt;30,24000,pogoda48[[#This Row],[temperatura_srednia]]&gt;15,12000)</f>
        <v>12000</v>
      </c>
      <c r="J165">
        <f>IF(pogoda48[[#This Row],[stan_po_dolaniu]]&lt;pogoda48[[#This Row],[ile_podlewamy]],$AB$2-pogoda48[[#This Row],[stan_po_dolaniu]],0)</f>
        <v>0</v>
      </c>
      <c r="K165">
        <f>pogoda48[[#This Row],[stan_po_dolaniu]]+pogoda48[[#This Row],[ile_dolać_do_podlania]]</f>
        <v>17801</v>
      </c>
      <c r="L165">
        <f>pogoda48[[#This Row],[stan_po_dolaniu_do_podlania]]-pogoda48[[#This Row],[ile_podlewamy]]</f>
        <v>5801</v>
      </c>
      <c r="M165">
        <f>IF(pogoda48[[#This Row],[temperatura_srednia]]&lt;=15,1,0)</f>
        <v>0</v>
      </c>
      <c r="N165">
        <f>IF(AND(pogoda48[[#This Row],[temperatura_srednia]]&gt;15,pogoda48[[#This Row],[opady]]&lt;=0.61),1,0)</f>
        <v>1</v>
      </c>
      <c r="O165">
        <f>IF(AND(pogoda48[[#This Row],[temperatura_srednia]]&gt;15,pogoda48[[#This Row],[opady]]&gt;0.61),1,0)</f>
        <v>0</v>
      </c>
    </row>
    <row r="166" spans="1:15" x14ac:dyDescent="0.25">
      <c r="A166" s="2">
        <v>42259</v>
      </c>
      <c r="B166">
        <v>18</v>
      </c>
      <c r="C166">
        <v>0</v>
      </c>
      <c r="D166">
        <f t="shared" si="2"/>
        <v>5801</v>
      </c>
      <c r="E166">
        <f>IF(C166=0,ROUNDUP($AB$3*POWER(pogoda48[[#This Row],[temperatura_srednia]],1.5)*pogoda48[[#This Row],[stan_przed_dolaniem]],0),0)</f>
        <v>133</v>
      </c>
      <c r="F166">
        <f>pogoda48[[#This Row],[stan_przed_dolaniem]]-pogoda48[[#This Row],[ubytek]]</f>
        <v>5668</v>
      </c>
      <c r="G166">
        <f>IF(pogoda48[[#This Row],[opady]]*$AB$1+D166&gt;$AB$2,$AB$2-pogoda48[[#This Row],[stan_przed_dolaniem]],pogoda48[[#This Row],[opady]]*$AB$1)</f>
        <v>0</v>
      </c>
      <c r="H166">
        <f>pogoda48[[#This Row],[stan_po_ubytku]]+pogoda48[[#This Row],[ile_pogoda_dolała]]</f>
        <v>5668</v>
      </c>
      <c r="I166" cm="1">
        <f t="array" ref="I166">_xlfn.IFS(OR(pogoda48[[#This Row],[temperatura_srednia]]&lt;=15,pogoda48[[#This Row],[opady]]&gt;0.61),0,pogoda48[[#This Row],[temperatura_srednia]]&gt;30,24000,pogoda48[[#This Row],[temperatura_srednia]]&gt;15,12000)</f>
        <v>12000</v>
      </c>
      <c r="J166">
        <f>IF(pogoda48[[#This Row],[stan_po_dolaniu]]&lt;pogoda48[[#This Row],[ile_podlewamy]],$AB$2-pogoda48[[#This Row],[stan_po_dolaniu]],0)</f>
        <v>19332</v>
      </c>
      <c r="K166">
        <f>pogoda48[[#This Row],[stan_po_dolaniu]]+pogoda48[[#This Row],[ile_dolać_do_podlania]]</f>
        <v>25000</v>
      </c>
      <c r="L166">
        <f>pogoda48[[#This Row],[stan_po_dolaniu_do_podlania]]-pogoda48[[#This Row],[ile_podlewamy]]</f>
        <v>13000</v>
      </c>
      <c r="M166">
        <f>IF(pogoda48[[#This Row],[temperatura_srednia]]&lt;=15,1,0)</f>
        <v>0</v>
      </c>
      <c r="N166">
        <f>IF(AND(pogoda48[[#This Row],[temperatura_srednia]]&gt;15,pogoda48[[#This Row],[opady]]&lt;=0.61),1,0)</f>
        <v>1</v>
      </c>
      <c r="O166">
        <f>IF(AND(pogoda48[[#This Row],[temperatura_srednia]]&gt;15,pogoda48[[#This Row],[opady]]&gt;0.61),1,0)</f>
        <v>0</v>
      </c>
    </row>
    <row r="167" spans="1:15" x14ac:dyDescent="0.25">
      <c r="A167" s="2">
        <v>42260</v>
      </c>
      <c r="B167">
        <v>18</v>
      </c>
      <c r="C167">
        <v>0</v>
      </c>
      <c r="D167">
        <f t="shared" si="2"/>
        <v>13000</v>
      </c>
      <c r="E167">
        <f>IF(C167=0,ROUNDUP($AB$3*POWER(pogoda48[[#This Row],[temperatura_srednia]],1.5)*pogoda48[[#This Row],[stan_przed_dolaniem]],0),0)</f>
        <v>298</v>
      </c>
      <c r="F167">
        <f>pogoda48[[#This Row],[stan_przed_dolaniem]]-pogoda48[[#This Row],[ubytek]]</f>
        <v>12702</v>
      </c>
      <c r="G167">
        <f>IF(pogoda48[[#This Row],[opady]]*$AB$1+D167&gt;$AB$2,$AB$2-pogoda48[[#This Row],[stan_przed_dolaniem]],pogoda48[[#This Row],[opady]]*$AB$1)</f>
        <v>0</v>
      </c>
      <c r="H167">
        <f>pogoda48[[#This Row],[stan_po_ubytku]]+pogoda48[[#This Row],[ile_pogoda_dolała]]</f>
        <v>12702</v>
      </c>
      <c r="I167" cm="1">
        <f t="array" ref="I167">_xlfn.IFS(OR(pogoda48[[#This Row],[temperatura_srednia]]&lt;=15,pogoda48[[#This Row],[opady]]&gt;0.61),0,pogoda48[[#This Row],[temperatura_srednia]]&gt;30,24000,pogoda48[[#This Row],[temperatura_srednia]]&gt;15,12000)</f>
        <v>12000</v>
      </c>
      <c r="J167">
        <f>IF(pogoda48[[#This Row],[stan_po_dolaniu]]&lt;pogoda48[[#This Row],[ile_podlewamy]],$AB$2-pogoda48[[#This Row],[stan_po_dolaniu]],0)</f>
        <v>0</v>
      </c>
      <c r="K167">
        <f>pogoda48[[#This Row],[stan_po_dolaniu]]+pogoda48[[#This Row],[ile_dolać_do_podlania]]</f>
        <v>12702</v>
      </c>
      <c r="L167">
        <f>pogoda48[[#This Row],[stan_po_dolaniu_do_podlania]]-pogoda48[[#This Row],[ile_podlewamy]]</f>
        <v>702</v>
      </c>
      <c r="M167">
        <f>IF(pogoda48[[#This Row],[temperatura_srednia]]&lt;=15,1,0)</f>
        <v>0</v>
      </c>
      <c r="N167">
        <f>IF(AND(pogoda48[[#This Row],[temperatura_srednia]]&gt;15,pogoda48[[#This Row],[opady]]&lt;=0.61),1,0)</f>
        <v>1</v>
      </c>
      <c r="O167">
        <f>IF(AND(pogoda48[[#This Row],[temperatura_srednia]]&gt;15,pogoda48[[#This Row],[opady]]&gt;0.61),1,0)</f>
        <v>0</v>
      </c>
    </row>
    <row r="168" spans="1:15" x14ac:dyDescent="0.25">
      <c r="A168" s="2">
        <v>42261</v>
      </c>
      <c r="B168">
        <v>19</v>
      </c>
      <c r="C168">
        <v>3</v>
      </c>
      <c r="D168">
        <f t="shared" si="2"/>
        <v>702</v>
      </c>
      <c r="E168">
        <f>IF(C168=0,ROUNDUP($AB$3*POWER(pogoda48[[#This Row],[temperatura_srednia]],1.5)*pogoda48[[#This Row],[stan_przed_dolaniem]],0),0)</f>
        <v>0</v>
      </c>
      <c r="F168">
        <f>pogoda48[[#This Row],[stan_przed_dolaniem]]-pogoda48[[#This Row],[ubytek]]</f>
        <v>702</v>
      </c>
      <c r="G168">
        <f>IF(pogoda48[[#This Row],[opady]]*$AB$1+D168&gt;$AB$2,$AB$2-pogoda48[[#This Row],[stan_przed_dolaniem]],pogoda48[[#This Row],[opady]]*$AB$1)</f>
        <v>2100</v>
      </c>
      <c r="H168">
        <f>pogoda48[[#This Row],[stan_po_ubytku]]+pogoda48[[#This Row],[ile_pogoda_dolała]]</f>
        <v>2802</v>
      </c>
      <c r="I168" cm="1">
        <f t="array" ref="I168">_xlfn.IFS(OR(pogoda48[[#This Row],[temperatura_srednia]]&lt;=15,pogoda48[[#This Row],[opady]]&gt;0.61),0,pogoda48[[#This Row],[temperatura_srednia]]&gt;30,24000,pogoda48[[#This Row],[temperatura_srednia]]&gt;15,12000)</f>
        <v>0</v>
      </c>
      <c r="J168">
        <f>IF(pogoda48[[#This Row],[stan_po_dolaniu]]&lt;pogoda48[[#This Row],[ile_podlewamy]],$AB$2-pogoda48[[#This Row],[stan_po_dolaniu]],0)</f>
        <v>0</v>
      </c>
      <c r="K168">
        <f>pogoda48[[#This Row],[stan_po_dolaniu]]+pogoda48[[#This Row],[ile_dolać_do_podlania]]</f>
        <v>2802</v>
      </c>
      <c r="L168">
        <f>pogoda48[[#This Row],[stan_po_dolaniu_do_podlania]]-pogoda48[[#This Row],[ile_podlewamy]]</f>
        <v>2802</v>
      </c>
      <c r="M168">
        <f>IF(pogoda48[[#This Row],[temperatura_srednia]]&lt;=15,1,0)</f>
        <v>0</v>
      </c>
      <c r="N168">
        <f>IF(AND(pogoda48[[#This Row],[temperatura_srednia]]&gt;15,pogoda48[[#This Row],[opady]]&lt;=0.61),1,0)</f>
        <v>0</v>
      </c>
      <c r="O168">
        <f>IF(AND(pogoda48[[#This Row],[temperatura_srednia]]&gt;15,pogoda48[[#This Row],[opady]]&gt;0.61),1,0)</f>
        <v>1</v>
      </c>
    </row>
    <row r="169" spans="1:15" x14ac:dyDescent="0.25">
      <c r="A169" s="2">
        <v>42262</v>
      </c>
      <c r="B169">
        <v>16</v>
      </c>
      <c r="C169">
        <v>0.1</v>
      </c>
      <c r="D169">
        <f t="shared" si="2"/>
        <v>2802</v>
      </c>
      <c r="E169">
        <f>IF(C169=0,ROUNDUP($AB$3*POWER(pogoda48[[#This Row],[temperatura_srednia]],1.5)*pogoda48[[#This Row],[stan_przed_dolaniem]],0),0)</f>
        <v>0</v>
      </c>
      <c r="F169">
        <f>pogoda48[[#This Row],[stan_przed_dolaniem]]-pogoda48[[#This Row],[ubytek]]</f>
        <v>2802</v>
      </c>
      <c r="G169">
        <f>IF(pogoda48[[#This Row],[opady]]*$AB$1+D169&gt;$AB$2,$AB$2-pogoda48[[#This Row],[stan_przed_dolaniem]],pogoda48[[#This Row],[opady]]*$AB$1)</f>
        <v>70</v>
      </c>
      <c r="H169">
        <f>pogoda48[[#This Row],[stan_po_ubytku]]+pogoda48[[#This Row],[ile_pogoda_dolała]]</f>
        <v>2872</v>
      </c>
      <c r="I169" cm="1">
        <f t="array" ref="I169">_xlfn.IFS(OR(pogoda48[[#This Row],[temperatura_srednia]]&lt;=15,pogoda48[[#This Row],[opady]]&gt;0.61),0,pogoda48[[#This Row],[temperatura_srednia]]&gt;30,24000,pogoda48[[#This Row],[temperatura_srednia]]&gt;15,12000)</f>
        <v>12000</v>
      </c>
      <c r="J169">
        <f>IF(pogoda48[[#This Row],[stan_po_dolaniu]]&lt;pogoda48[[#This Row],[ile_podlewamy]],$AB$2-pogoda48[[#This Row],[stan_po_dolaniu]],0)</f>
        <v>22128</v>
      </c>
      <c r="K169">
        <f>pogoda48[[#This Row],[stan_po_dolaniu]]+pogoda48[[#This Row],[ile_dolać_do_podlania]]</f>
        <v>25000</v>
      </c>
      <c r="L169">
        <f>pogoda48[[#This Row],[stan_po_dolaniu_do_podlania]]-pogoda48[[#This Row],[ile_podlewamy]]</f>
        <v>13000</v>
      </c>
      <c r="M169">
        <f>IF(pogoda48[[#This Row],[temperatura_srednia]]&lt;=15,1,0)</f>
        <v>0</v>
      </c>
      <c r="N169">
        <f>IF(AND(pogoda48[[#This Row],[temperatura_srednia]]&gt;15,pogoda48[[#This Row],[opady]]&lt;=0.61),1,0)</f>
        <v>1</v>
      </c>
      <c r="O169">
        <f>IF(AND(pogoda48[[#This Row],[temperatura_srednia]]&gt;15,pogoda48[[#This Row],[opady]]&gt;0.61),1,0)</f>
        <v>0</v>
      </c>
    </row>
    <row r="170" spans="1:15" x14ac:dyDescent="0.25">
      <c r="A170" s="2">
        <v>42263</v>
      </c>
      <c r="B170">
        <v>18</v>
      </c>
      <c r="C170">
        <v>0</v>
      </c>
      <c r="D170">
        <f t="shared" si="2"/>
        <v>13000</v>
      </c>
      <c r="E170">
        <f>IF(C170=0,ROUNDUP($AB$3*POWER(pogoda48[[#This Row],[temperatura_srednia]],1.5)*pogoda48[[#This Row],[stan_przed_dolaniem]],0),0)</f>
        <v>298</v>
      </c>
      <c r="F170">
        <f>pogoda48[[#This Row],[stan_przed_dolaniem]]-pogoda48[[#This Row],[ubytek]]</f>
        <v>12702</v>
      </c>
      <c r="G170">
        <f>IF(pogoda48[[#This Row],[opady]]*$AB$1+D170&gt;$AB$2,$AB$2-pogoda48[[#This Row],[stan_przed_dolaniem]],pogoda48[[#This Row],[opady]]*$AB$1)</f>
        <v>0</v>
      </c>
      <c r="H170">
        <f>pogoda48[[#This Row],[stan_po_ubytku]]+pogoda48[[#This Row],[ile_pogoda_dolała]]</f>
        <v>12702</v>
      </c>
      <c r="I170" cm="1">
        <f t="array" ref="I170">_xlfn.IFS(OR(pogoda48[[#This Row],[temperatura_srednia]]&lt;=15,pogoda48[[#This Row],[opady]]&gt;0.61),0,pogoda48[[#This Row],[temperatura_srednia]]&gt;30,24000,pogoda48[[#This Row],[temperatura_srednia]]&gt;15,12000)</f>
        <v>12000</v>
      </c>
      <c r="J170">
        <f>IF(pogoda48[[#This Row],[stan_po_dolaniu]]&lt;pogoda48[[#This Row],[ile_podlewamy]],$AB$2-pogoda48[[#This Row],[stan_po_dolaniu]],0)</f>
        <v>0</v>
      </c>
      <c r="K170">
        <f>pogoda48[[#This Row],[stan_po_dolaniu]]+pogoda48[[#This Row],[ile_dolać_do_podlania]]</f>
        <v>12702</v>
      </c>
      <c r="L170">
        <f>pogoda48[[#This Row],[stan_po_dolaniu_do_podlania]]-pogoda48[[#This Row],[ile_podlewamy]]</f>
        <v>702</v>
      </c>
      <c r="M170">
        <f>IF(pogoda48[[#This Row],[temperatura_srednia]]&lt;=15,1,0)</f>
        <v>0</v>
      </c>
      <c r="N170">
        <f>IF(AND(pogoda48[[#This Row],[temperatura_srednia]]&gt;15,pogoda48[[#This Row],[opady]]&lt;=0.61),1,0)</f>
        <v>1</v>
      </c>
      <c r="O170">
        <f>IF(AND(pogoda48[[#This Row],[temperatura_srednia]]&gt;15,pogoda48[[#This Row],[opady]]&gt;0.61),1,0)</f>
        <v>0</v>
      </c>
    </row>
    <row r="171" spans="1:15" x14ac:dyDescent="0.25">
      <c r="A171" s="2">
        <v>42264</v>
      </c>
      <c r="B171">
        <v>22</v>
      </c>
      <c r="C171">
        <v>0.5</v>
      </c>
      <c r="D171">
        <f t="shared" si="2"/>
        <v>702</v>
      </c>
      <c r="E171">
        <f>IF(C171=0,ROUNDUP($AB$3*POWER(pogoda48[[#This Row],[temperatura_srednia]],1.5)*pogoda48[[#This Row],[stan_przed_dolaniem]],0),0)</f>
        <v>0</v>
      </c>
      <c r="F171">
        <f>pogoda48[[#This Row],[stan_przed_dolaniem]]-pogoda48[[#This Row],[ubytek]]</f>
        <v>702</v>
      </c>
      <c r="G171">
        <f>IF(pogoda48[[#This Row],[opady]]*$AB$1+D171&gt;$AB$2,$AB$2-pogoda48[[#This Row],[stan_przed_dolaniem]],pogoda48[[#This Row],[opady]]*$AB$1)</f>
        <v>350</v>
      </c>
      <c r="H171">
        <f>pogoda48[[#This Row],[stan_po_ubytku]]+pogoda48[[#This Row],[ile_pogoda_dolała]]</f>
        <v>1052</v>
      </c>
      <c r="I171" cm="1">
        <f t="array" ref="I171">_xlfn.IFS(OR(pogoda48[[#This Row],[temperatura_srednia]]&lt;=15,pogoda48[[#This Row],[opady]]&gt;0.61),0,pogoda48[[#This Row],[temperatura_srednia]]&gt;30,24000,pogoda48[[#This Row],[temperatura_srednia]]&gt;15,12000)</f>
        <v>12000</v>
      </c>
      <c r="J171">
        <f>IF(pogoda48[[#This Row],[stan_po_dolaniu]]&lt;pogoda48[[#This Row],[ile_podlewamy]],$AB$2-pogoda48[[#This Row],[stan_po_dolaniu]],0)</f>
        <v>23948</v>
      </c>
      <c r="K171">
        <f>pogoda48[[#This Row],[stan_po_dolaniu]]+pogoda48[[#This Row],[ile_dolać_do_podlania]]</f>
        <v>25000</v>
      </c>
      <c r="L171">
        <f>pogoda48[[#This Row],[stan_po_dolaniu_do_podlania]]-pogoda48[[#This Row],[ile_podlewamy]]</f>
        <v>13000</v>
      </c>
      <c r="M171">
        <f>IF(pogoda48[[#This Row],[temperatura_srednia]]&lt;=15,1,0)</f>
        <v>0</v>
      </c>
      <c r="N171">
        <f>IF(AND(pogoda48[[#This Row],[temperatura_srednia]]&gt;15,pogoda48[[#This Row],[opady]]&lt;=0.61),1,0)</f>
        <v>1</v>
      </c>
      <c r="O171">
        <f>IF(AND(pogoda48[[#This Row],[temperatura_srednia]]&gt;15,pogoda48[[#This Row],[opady]]&gt;0.61),1,0)</f>
        <v>0</v>
      </c>
    </row>
    <row r="172" spans="1:15" x14ac:dyDescent="0.25">
      <c r="A172" s="2">
        <v>42265</v>
      </c>
      <c r="B172">
        <v>16</v>
      </c>
      <c r="C172">
        <v>0</v>
      </c>
      <c r="D172">
        <f t="shared" si="2"/>
        <v>13000</v>
      </c>
      <c r="E172">
        <f>IF(C172=0,ROUNDUP($AB$3*POWER(pogoda48[[#This Row],[temperatura_srednia]],1.5)*pogoda48[[#This Row],[stan_przed_dolaniem]],0),0)</f>
        <v>250</v>
      </c>
      <c r="F172">
        <f>pogoda48[[#This Row],[stan_przed_dolaniem]]-pogoda48[[#This Row],[ubytek]]</f>
        <v>12750</v>
      </c>
      <c r="G172">
        <f>IF(pogoda48[[#This Row],[opady]]*$AB$1+D172&gt;$AB$2,$AB$2-pogoda48[[#This Row],[stan_przed_dolaniem]],pogoda48[[#This Row],[opady]]*$AB$1)</f>
        <v>0</v>
      </c>
      <c r="H172">
        <f>pogoda48[[#This Row],[stan_po_ubytku]]+pogoda48[[#This Row],[ile_pogoda_dolała]]</f>
        <v>12750</v>
      </c>
      <c r="I172" cm="1">
        <f t="array" ref="I172">_xlfn.IFS(OR(pogoda48[[#This Row],[temperatura_srednia]]&lt;=15,pogoda48[[#This Row],[opady]]&gt;0.61),0,pogoda48[[#This Row],[temperatura_srednia]]&gt;30,24000,pogoda48[[#This Row],[temperatura_srednia]]&gt;15,12000)</f>
        <v>12000</v>
      </c>
      <c r="J172">
        <f>IF(pogoda48[[#This Row],[stan_po_dolaniu]]&lt;pogoda48[[#This Row],[ile_podlewamy]],$AB$2-pogoda48[[#This Row],[stan_po_dolaniu]],0)</f>
        <v>0</v>
      </c>
      <c r="K172">
        <f>pogoda48[[#This Row],[stan_po_dolaniu]]+pogoda48[[#This Row],[ile_dolać_do_podlania]]</f>
        <v>12750</v>
      </c>
      <c r="L172">
        <f>pogoda48[[#This Row],[stan_po_dolaniu_do_podlania]]-pogoda48[[#This Row],[ile_podlewamy]]</f>
        <v>750</v>
      </c>
      <c r="M172">
        <f>IF(pogoda48[[#This Row],[temperatura_srednia]]&lt;=15,1,0)</f>
        <v>0</v>
      </c>
      <c r="N172">
        <f>IF(AND(pogoda48[[#This Row],[temperatura_srednia]]&gt;15,pogoda48[[#This Row],[opady]]&lt;=0.61),1,0)</f>
        <v>1</v>
      </c>
      <c r="O172">
        <f>IF(AND(pogoda48[[#This Row],[temperatura_srednia]]&gt;15,pogoda48[[#This Row],[opady]]&gt;0.61),1,0)</f>
        <v>0</v>
      </c>
    </row>
    <row r="173" spans="1:15" x14ac:dyDescent="0.25">
      <c r="A173" s="2">
        <v>42266</v>
      </c>
      <c r="B173">
        <v>15</v>
      </c>
      <c r="C173">
        <v>0</v>
      </c>
      <c r="D173">
        <f t="shared" si="2"/>
        <v>750</v>
      </c>
      <c r="E173">
        <f>IF(C173=0,ROUNDUP($AB$3*POWER(pogoda48[[#This Row],[temperatura_srednia]],1.5)*pogoda48[[#This Row],[stan_przed_dolaniem]],0),0)</f>
        <v>14</v>
      </c>
      <c r="F173">
        <f>pogoda48[[#This Row],[stan_przed_dolaniem]]-pogoda48[[#This Row],[ubytek]]</f>
        <v>736</v>
      </c>
      <c r="G173">
        <f>IF(pogoda48[[#This Row],[opady]]*$AB$1+D173&gt;$AB$2,$AB$2-pogoda48[[#This Row],[stan_przed_dolaniem]],pogoda48[[#This Row],[opady]]*$AB$1)</f>
        <v>0</v>
      </c>
      <c r="H173">
        <f>pogoda48[[#This Row],[stan_po_ubytku]]+pogoda48[[#This Row],[ile_pogoda_dolała]]</f>
        <v>736</v>
      </c>
      <c r="I173" cm="1">
        <f t="array" ref="I173">_xlfn.IFS(OR(pogoda48[[#This Row],[temperatura_srednia]]&lt;=15,pogoda48[[#This Row],[opady]]&gt;0.61),0,pogoda48[[#This Row],[temperatura_srednia]]&gt;30,24000,pogoda48[[#This Row],[temperatura_srednia]]&gt;15,12000)</f>
        <v>0</v>
      </c>
      <c r="J173">
        <f>IF(pogoda48[[#This Row],[stan_po_dolaniu]]&lt;pogoda48[[#This Row],[ile_podlewamy]],$AB$2-pogoda48[[#This Row],[stan_po_dolaniu]],0)</f>
        <v>0</v>
      </c>
      <c r="K173">
        <f>pogoda48[[#This Row],[stan_po_dolaniu]]+pogoda48[[#This Row],[ile_dolać_do_podlania]]</f>
        <v>736</v>
      </c>
      <c r="L173">
        <f>pogoda48[[#This Row],[stan_po_dolaniu_do_podlania]]-pogoda48[[#This Row],[ile_podlewamy]]</f>
        <v>736</v>
      </c>
      <c r="M173">
        <f>IF(pogoda48[[#This Row],[temperatura_srednia]]&lt;=15,1,0)</f>
        <v>1</v>
      </c>
      <c r="N173">
        <f>IF(AND(pogoda48[[#This Row],[temperatura_srednia]]&gt;15,pogoda48[[#This Row],[opady]]&lt;=0.61),1,0)</f>
        <v>0</v>
      </c>
      <c r="O173">
        <f>IF(AND(pogoda48[[#This Row],[temperatura_srednia]]&gt;15,pogoda48[[#This Row],[opady]]&gt;0.61),1,0)</f>
        <v>0</v>
      </c>
    </row>
    <row r="174" spans="1:15" x14ac:dyDescent="0.25">
      <c r="A174" s="2">
        <v>42267</v>
      </c>
      <c r="B174">
        <v>14</v>
      </c>
      <c r="C174">
        <v>2</v>
      </c>
      <c r="D174">
        <f t="shared" si="2"/>
        <v>736</v>
      </c>
      <c r="E174">
        <f>IF(C174=0,ROUNDUP($AB$3*POWER(pogoda48[[#This Row],[temperatura_srednia]],1.5)*pogoda48[[#This Row],[stan_przed_dolaniem]],0),0)</f>
        <v>0</v>
      </c>
      <c r="F174">
        <f>pogoda48[[#This Row],[stan_przed_dolaniem]]-pogoda48[[#This Row],[ubytek]]</f>
        <v>736</v>
      </c>
      <c r="G174">
        <f>IF(pogoda48[[#This Row],[opady]]*$AB$1+D174&gt;$AB$2,$AB$2-pogoda48[[#This Row],[stan_przed_dolaniem]],pogoda48[[#This Row],[opady]]*$AB$1)</f>
        <v>1400</v>
      </c>
      <c r="H174">
        <f>pogoda48[[#This Row],[stan_po_ubytku]]+pogoda48[[#This Row],[ile_pogoda_dolała]]</f>
        <v>2136</v>
      </c>
      <c r="I174" cm="1">
        <f t="array" ref="I174">_xlfn.IFS(OR(pogoda48[[#This Row],[temperatura_srednia]]&lt;=15,pogoda48[[#This Row],[opady]]&gt;0.61),0,pogoda48[[#This Row],[temperatura_srednia]]&gt;30,24000,pogoda48[[#This Row],[temperatura_srednia]]&gt;15,12000)</f>
        <v>0</v>
      </c>
      <c r="J174">
        <f>IF(pogoda48[[#This Row],[stan_po_dolaniu]]&lt;pogoda48[[#This Row],[ile_podlewamy]],$AB$2-pogoda48[[#This Row],[stan_po_dolaniu]],0)</f>
        <v>0</v>
      </c>
      <c r="K174">
        <f>pogoda48[[#This Row],[stan_po_dolaniu]]+pogoda48[[#This Row],[ile_dolać_do_podlania]]</f>
        <v>2136</v>
      </c>
      <c r="L174">
        <f>pogoda48[[#This Row],[stan_po_dolaniu_do_podlania]]-pogoda48[[#This Row],[ile_podlewamy]]</f>
        <v>2136</v>
      </c>
      <c r="M174">
        <f>IF(pogoda48[[#This Row],[temperatura_srednia]]&lt;=15,1,0)</f>
        <v>1</v>
      </c>
      <c r="N174">
        <f>IF(AND(pogoda48[[#This Row],[temperatura_srednia]]&gt;15,pogoda48[[#This Row],[opady]]&lt;=0.61),1,0)</f>
        <v>0</v>
      </c>
      <c r="O174">
        <f>IF(AND(pogoda48[[#This Row],[temperatura_srednia]]&gt;15,pogoda48[[#This Row],[opady]]&gt;0.61),1,0)</f>
        <v>0</v>
      </c>
    </row>
    <row r="175" spans="1:15" x14ac:dyDescent="0.25">
      <c r="A175" s="2">
        <v>42268</v>
      </c>
      <c r="B175">
        <v>12</v>
      </c>
      <c r="C175">
        <v>0</v>
      </c>
      <c r="D175">
        <f t="shared" si="2"/>
        <v>2136</v>
      </c>
      <c r="E175">
        <f>IF(C175=0,ROUNDUP($AB$3*POWER(pogoda48[[#This Row],[temperatura_srednia]],1.5)*pogoda48[[#This Row],[stan_przed_dolaniem]],0),0)</f>
        <v>27</v>
      </c>
      <c r="F175">
        <f>pogoda48[[#This Row],[stan_przed_dolaniem]]-pogoda48[[#This Row],[ubytek]]</f>
        <v>2109</v>
      </c>
      <c r="G175">
        <f>IF(pogoda48[[#This Row],[opady]]*$AB$1+D175&gt;$AB$2,$AB$2-pogoda48[[#This Row],[stan_przed_dolaniem]],pogoda48[[#This Row],[opady]]*$AB$1)</f>
        <v>0</v>
      </c>
      <c r="H175">
        <f>pogoda48[[#This Row],[stan_po_ubytku]]+pogoda48[[#This Row],[ile_pogoda_dolała]]</f>
        <v>2109</v>
      </c>
      <c r="I175" cm="1">
        <f t="array" ref="I175">_xlfn.IFS(OR(pogoda48[[#This Row],[temperatura_srednia]]&lt;=15,pogoda48[[#This Row],[opady]]&gt;0.61),0,pogoda48[[#This Row],[temperatura_srednia]]&gt;30,24000,pogoda48[[#This Row],[temperatura_srednia]]&gt;15,12000)</f>
        <v>0</v>
      </c>
      <c r="J175">
        <f>IF(pogoda48[[#This Row],[stan_po_dolaniu]]&lt;pogoda48[[#This Row],[ile_podlewamy]],$AB$2-pogoda48[[#This Row],[stan_po_dolaniu]],0)</f>
        <v>0</v>
      </c>
      <c r="K175">
        <f>pogoda48[[#This Row],[stan_po_dolaniu]]+pogoda48[[#This Row],[ile_dolać_do_podlania]]</f>
        <v>2109</v>
      </c>
      <c r="L175">
        <f>pogoda48[[#This Row],[stan_po_dolaniu_do_podlania]]-pogoda48[[#This Row],[ile_podlewamy]]</f>
        <v>2109</v>
      </c>
      <c r="M175">
        <f>IF(pogoda48[[#This Row],[temperatura_srednia]]&lt;=15,1,0)</f>
        <v>1</v>
      </c>
      <c r="N175">
        <f>IF(AND(pogoda48[[#This Row],[temperatura_srednia]]&gt;15,pogoda48[[#This Row],[opady]]&lt;=0.61),1,0)</f>
        <v>0</v>
      </c>
      <c r="O175">
        <f>IF(AND(pogoda48[[#This Row],[temperatura_srednia]]&gt;15,pogoda48[[#This Row],[opady]]&gt;0.61),1,0)</f>
        <v>0</v>
      </c>
    </row>
    <row r="176" spans="1:15" x14ac:dyDescent="0.25">
      <c r="A176" s="2">
        <v>42269</v>
      </c>
      <c r="B176">
        <v>13</v>
      </c>
      <c r="C176">
        <v>0</v>
      </c>
      <c r="D176">
        <f t="shared" si="2"/>
        <v>2109</v>
      </c>
      <c r="E176">
        <f>IF(C176=0,ROUNDUP($AB$3*POWER(pogoda48[[#This Row],[temperatura_srednia]],1.5)*pogoda48[[#This Row],[stan_przed_dolaniem]],0),0)</f>
        <v>30</v>
      </c>
      <c r="F176">
        <f>pogoda48[[#This Row],[stan_przed_dolaniem]]-pogoda48[[#This Row],[ubytek]]</f>
        <v>2079</v>
      </c>
      <c r="G176">
        <f>IF(pogoda48[[#This Row],[opady]]*$AB$1+D176&gt;$AB$2,$AB$2-pogoda48[[#This Row],[stan_przed_dolaniem]],pogoda48[[#This Row],[opady]]*$AB$1)</f>
        <v>0</v>
      </c>
      <c r="H176">
        <f>pogoda48[[#This Row],[stan_po_ubytku]]+pogoda48[[#This Row],[ile_pogoda_dolała]]</f>
        <v>2079</v>
      </c>
      <c r="I176" cm="1">
        <f t="array" ref="I176">_xlfn.IFS(OR(pogoda48[[#This Row],[temperatura_srednia]]&lt;=15,pogoda48[[#This Row],[opady]]&gt;0.61),0,pogoda48[[#This Row],[temperatura_srednia]]&gt;30,24000,pogoda48[[#This Row],[temperatura_srednia]]&gt;15,12000)</f>
        <v>0</v>
      </c>
      <c r="J176">
        <f>IF(pogoda48[[#This Row],[stan_po_dolaniu]]&lt;pogoda48[[#This Row],[ile_podlewamy]],$AB$2-pogoda48[[#This Row],[stan_po_dolaniu]],0)</f>
        <v>0</v>
      </c>
      <c r="K176">
        <f>pogoda48[[#This Row],[stan_po_dolaniu]]+pogoda48[[#This Row],[ile_dolać_do_podlania]]</f>
        <v>2079</v>
      </c>
      <c r="L176">
        <f>pogoda48[[#This Row],[stan_po_dolaniu_do_podlania]]-pogoda48[[#This Row],[ile_podlewamy]]</f>
        <v>2079</v>
      </c>
      <c r="M176">
        <f>IF(pogoda48[[#This Row],[temperatura_srednia]]&lt;=15,1,0)</f>
        <v>1</v>
      </c>
      <c r="N176">
        <f>IF(AND(pogoda48[[#This Row],[temperatura_srednia]]&gt;15,pogoda48[[#This Row],[opady]]&lt;=0.61),1,0)</f>
        <v>0</v>
      </c>
      <c r="O176">
        <f>IF(AND(pogoda48[[#This Row],[temperatura_srednia]]&gt;15,pogoda48[[#This Row],[opady]]&gt;0.61),1,0)</f>
        <v>0</v>
      </c>
    </row>
    <row r="177" spans="1:15" x14ac:dyDescent="0.25">
      <c r="A177" s="2">
        <v>42270</v>
      </c>
      <c r="B177">
        <v>15</v>
      </c>
      <c r="C177">
        <v>0</v>
      </c>
      <c r="D177">
        <f t="shared" si="2"/>
        <v>2079</v>
      </c>
      <c r="E177">
        <f>IF(C177=0,ROUNDUP($AB$3*POWER(pogoda48[[#This Row],[temperatura_srednia]],1.5)*pogoda48[[#This Row],[stan_przed_dolaniem]],0),0)</f>
        <v>37</v>
      </c>
      <c r="F177">
        <f>pogoda48[[#This Row],[stan_przed_dolaniem]]-pogoda48[[#This Row],[ubytek]]</f>
        <v>2042</v>
      </c>
      <c r="G177">
        <f>IF(pogoda48[[#This Row],[opady]]*$AB$1+D177&gt;$AB$2,$AB$2-pogoda48[[#This Row],[stan_przed_dolaniem]],pogoda48[[#This Row],[opady]]*$AB$1)</f>
        <v>0</v>
      </c>
      <c r="H177">
        <f>pogoda48[[#This Row],[stan_po_ubytku]]+pogoda48[[#This Row],[ile_pogoda_dolała]]</f>
        <v>2042</v>
      </c>
      <c r="I177" cm="1">
        <f t="array" ref="I177">_xlfn.IFS(OR(pogoda48[[#This Row],[temperatura_srednia]]&lt;=15,pogoda48[[#This Row],[opady]]&gt;0.61),0,pogoda48[[#This Row],[temperatura_srednia]]&gt;30,24000,pogoda48[[#This Row],[temperatura_srednia]]&gt;15,12000)</f>
        <v>0</v>
      </c>
      <c r="J177">
        <f>IF(pogoda48[[#This Row],[stan_po_dolaniu]]&lt;pogoda48[[#This Row],[ile_podlewamy]],$AB$2-pogoda48[[#This Row],[stan_po_dolaniu]],0)</f>
        <v>0</v>
      </c>
      <c r="K177">
        <f>pogoda48[[#This Row],[stan_po_dolaniu]]+pogoda48[[#This Row],[ile_dolać_do_podlania]]</f>
        <v>2042</v>
      </c>
      <c r="L177">
        <f>pogoda48[[#This Row],[stan_po_dolaniu_do_podlania]]-pogoda48[[#This Row],[ile_podlewamy]]</f>
        <v>2042</v>
      </c>
      <c r="M177">
        <f>IF(pogoda48[[#This Row],[temperatura_srednia]]&lt;=15,1,0)</f>
        <v>1</v>
      </c>
      <c r="N177">
        <f>IF(AND(pogoda48[[#This Row],[temperatura_srednia]]&gt;15,pogoda48[[#This Row],[opady]]&lt;=0.61),1,0)</f>
        <v>0</v>
      </c>
      <c r="O177">
        <f>IF(AND(pogoda48[[#This Row],[temperatura_srednia]]&gt;15,pogoda48[[#This Row],[opady]]&gt;0.61),1,0)</f>
        <v>0</v>
      </c>
    </row>
    <row r="178" spans="1:15" x14ac:dyDescent="0.25">
      <c r="A178" s="2">
        <v>42271</v>
      </c>
      <c r="B178">
        <v>15</v>
      </c>
      <c r="C178">
        <v>0</v>
      </c>
      <c r="D178">
        <f t="shared" si="2"/>
        <v>2042</v>
      </c>
      <c r="E178">
        <f>IF(C178=0,ROUNDUP($AB$3*POWER(pogoda48[[#This Row],[temperatura_srednia]],1.5)*pogoda48[[#This Row],[stan_przed_dolaniem]],0),0)</f>
        <v>36</v>
      </c>
      <c r="F178">
        <f>pogoda48[[#This Row],[stan_przed_dolaniem]]-pogoda48[[#This Row],[ubytek]]</f>
        <v>2006</v>
      </c>
      <c r="G178">
        <f>IF(pogoda48[[#This Row],[opady]]*$AB$1+D178&gt;$AB$2,$AB$2-pogoda48[[#This Row],[stan_przed_dolaniem]],pogoda48[[#This Row],[opady]]*$AB$1)</f>
        <v>0</v>
      </c>
      <c r="H178">
        <f>pogoda48[[#This Row],[stan_po_ubytku]]+pogoda48[[#This Row],[ile_pogoda_dolała]]</f>
        <v>2006</v>
      </c>
      <c r="I178" cm="1">
        <f t="array" ref="I178">_xlfn.IFS(OR(pogoda48[[#This Row],[temperatura_srednia]]&lt;=15,pogoda48[[#This Row],[opady]]&gt;0.61),0,pogoda48[[#This Row],[temperatura_srednia]]&gt;30,24000,pogoda48[[#This Row],[temperatura_srednia]]&gt;15,12000)</f>
        <v>0</v>
      </c>
      <c r="J178">
        <f>IF(pogoda48[[#This Row],[stan_po_dolaniu]]&lt;pogoda48[[#This Row],[ile_podlewamy]],$AB$2-pogoda48[[#This Row],[stan_po_dolaniu]],0)</f>
        <v>0</v>
      </c>
      <c r="K178">
        <f>pogoda48[[#This Row],[stan_po_dolaniu]]+pogoda48[[#This Row],[ile_dolać_do_podlania]]</f>
        <v>2006</v>
      </c>
      <c r="L178">
        <f>pogoda48[[#This Row],[stan_po_dolaniu_do_podlania]]-pogoda48[[#This Row],[ile_podlewamy]]</f>
        <v>2006</v>
      </c>
      <c r="M178">
        <f>IF(pogoda48[[#This Row],[temperatura_srednia]]&lt;=15,1,0)</f>
        <v>1</v>
      </c>
      <c r="N178">
        <f>IF(AND(pogoda48[[#This Row],[temperatura_srednia]]&gt;15,pogoda48[[#This Row],[opady]]&lt;=0.61),1,0)</f>
        <v>0</v>
      </c>
      <c r="O178">
        <f>IF(AND(pogoda48[[#This Row],[temperatura_srednia]]&gt;15,pogoda48[[#This Row],[opady]]&gt;0.61),1,0)</f>
        <v>0</v>
      </c>
    </row>
    <row r="179" spans="1:15" x14ac:dyDescent="0.25">
      <c r="A179" s="2">
        <v>42272</v>
      </c>
      <c r="B179">
        <v>14</v>
      </c>
      <c r="C179">
        <v>0</v>
      </c>
      <c r="D179">
        <f t="shared" si="2"/>
        <v>2006</v>
      </c>
      <c r="E179">
        <f>IF(C179=0,ROUNDUP($AB$3*POWER(pogoda48[[#This Row],[temperatura_srednia]],1.5)*pogoda48[[#This Row],[stan_przed_dolaniem]],0),0)</f>
        <v>32</v>
      </c>
      <c r="F179">
        <f>pogoda48[[#This Row],[stan_przed_dolaniem]]-pogoda48[[#This Row],[ubytek]]</f>
        <v>1974</v>
      </c>
      <c r="G179">
        <f>IF(pogoda48[[#This Row],[opady]]*$AB$1+D179&gt;$AB$2,$AB$2-pogoda48[[#This Row],[stan_przed_dolaniem]],pogoda48[[#This Row],[opady]]*$AB$1)</f>
        <v>0</v>
      </c>
      <c r="H179">
        <f>pogoda48[[#This Row],[stan_po_ubytku]]+pogoda48[[#This Row],[ile_pogoda_dolała]]</f>
        <v>1974</v>
      </c>
      <c r="I179" cm="1">
        <f t="array" ref="I179">_xlfn.IFS(OR(pogoda48[[#This Row],[temperatura_srednia]]&lt;=15,pogoda48[[#This Row],[opady]]&gt;0.61),0,pogoda48[[#This Row],[temperatura_srednia]]&gt;30,24000,pogoda48[[#This Row],[temperatura_srednia]]&gt;15,12000)</f>
        <v>0</v>
      </c>
      <c r="J179">
        <f>IF(pogoda48[[#This Row],[stan_po_dolaniu]]&lt;pogoda48[[#This Row],[ile_podlewamy]],$AB$2-pogoda48[[#This Row],[stan_po_dolaniu]],0)</f>
        <v>0</v>
      </c>
      <c r="K179">
        <f>pogoda48[[#This Row],[stan_po_dolaniu]]+pogoda48[[#This Row],[ile_dolać_do_podlania]]</f>
        <v>1974</v>
      </c>
      <c r="L179">
        <f>pogoda48[[#This Row],[stan_po_dolaniu_do_podlania]]-pogoda48[[#This Row],[ile_podlewamy]]</f>
        <v>1974</v>
      </c>
      <c r="M179">
        <f>IF(pogoda48[[#This Row],[temperatura_srednia]]&lt;=15,1,0)</f>
        <v>1</v>
      </c>
      <c r="N179">
        <f>IF(AND(pogoda48[[#This Row],[temperatura_srednia]]&gt;15,pogoda48[[#This Row],[opady]]&lt;=0.61),1,0)</f>
        <v>0</v>
      </c>
      <c r="O179">
        <f>IF(AND(pogoda48[[#This Row],[temperatura_srednia]]&gt;15,pogoda48[[#This Row],[opady]]&gt;0.61),1,0)</f>
        <v>0</v>
      </c>
    </row>
    <row r="180" spans="1:15" x14ac:dyDescent="0.25">
      <c r="A180" s="2">
        <v>42273</v>
      </c>
      <c r="B180">
        <v>12</v>
      </c>
      <c r="C180">
        <v>0</v>
      </c>
      <c r="D180">
        <f t="shared" si="2"/>
        <v>1974</v>
      </c>
      <c r="E180">
        <f>IF(C180=0,ROUNDUP($AB$3*POWER(pogoda48[[#This Row],[temperatura_srednia]],1.5)*pogoda48[[#This Row],[stan_przed_dolaniem]],0),0)</f>
        <v>25</v>
      </c>
      <c r="F180">
        <f>pogoda48[[#This Row],[stan_przed_dolaniem]]-pogoda48[[#This Row],[ubytek]]</f>
        <v>1949</v>
      </c>
      <c r="G180">
        <f>IF(pogoda48[[#This Row],[opady]]*$AB$1+D180&gt;$AB$2,$AB$2-pogoda48[[#This Row],[stan_przed_dolaniem]],pogoda48[[#This Row],[opady]]*$AB$1)</f>
        <v>0</v>
      </c>
      <c r="H180">
        <f>pogoda48[[#This Row],[stan_po_ubytku]]+pogoda48[[#This Row],[ile_pogoda_dolała]]</f>
        <v>1949</v>
      </c>
      <c r="I180" cm="1">
        <f t="array" ref="I180">_xlfn.IFS(OR(pogoda48[[#This Row],[temperatura_srednia]]&lt;=15,pogoda48[[#This Row],[opady]]&gt;0.61),0,pogoda48[[#This Row],[temperatura_srednia]]&gt;30,24000,pogoda48[[#This Row],[temperatura_srednia]]&gt;15,12000)</f>
        <v>0</v>
      </c>
      <c r="J180">
        <f>IF(pogoda48[[#This Row],[stan_po_dolaniu]]&lt;pogoda48[[#This Row],[ile_podlewamy]],$AB$2-pogoda48[[#This Row],[stan_po_dolaniu]],0)</f>
        <v>0</v>
      </c>
      <c r="K180">
        <f>pogoda48[[#This Row],[stan_po_dolaniu]]+pogoda48[[#This Row],[ile_dolać_do_podlania]]</f>
        <v>1949</v>
      </c>
      <c r="L180">
        <f>pogoda48[[#This Row],[stan_po_dolaniu_do_podlania]]-pogoda48[[#This Row],[ile_podlewamy]]</f>
        <v>1949</v>
      </c>
      <c r="M180">
        <f>IF(pogoda48[[#This Row],[temperatura_srednia]]&lt;=15,1,0)</f>
        <v>1</v>
      </c>
      <c r="N180">
        <f>IF(AND(pogoda48[[#This Row],[temperatura_srednia]]&gt;15,pogoda48[[#This Row],[opady]]&lt;=0.61),1,0)</f>
        <v>0</v>
      </c>
      <c r="O180">
        <f>IF(AND(pogoda48[[#This Row],[temperatura_srednia]]&gt;15,pogoda48[[#This Row],[opady]]&gt;0.61),1,0)</f>
        <v>0</v>
      </c>
    </row>
    <row r="181" spans="1:15" x14ac:dyDescent="0.25">
      <c r="A181" s="2">
        <v>42274</v>
      </c>
      <c r="B181">
        <v>11</v>
      </c>
      <c r="C181">
        <v>0</v>
      </c>
      <c r="D181">
        <f t="shared" si="2"/>
        <v>1949</v>
      </c>
      <c r="E181">
        <f>IF(C181=0,ROUNDUP($AB$3*POWER(pogoda48[[#This Row],[temperatura_srednia]],1.5)*pogoda48[[#This Row],[stan_przed_dolaniem]],0),0)</f>
        <v>22</v>
      </c>
      <c r="F181">
        <f>pogoda48[[#This Row],[stan_przed_dolaniem]]-pogoda48[[#This Row],[ubytek]]</f>
        <v>1927</v>
      </c>
      <c r="G181">
        <f>IF(pogoda48[[#This Row],[opady]]*$AB$1+D181&gt;$AB$2,$AB$2-pogoda48[[#This Row],[stan_przed_dolaniem]],pogoda48[[#This Row],[opady]]*$AB$1)</f>
        <v>0</v>
      </c>
      <c r="H181">
        <f>pogoda48[[#This Row],[stan_po_ubytku]]+pogoda48[[#This Row],[ile_pogoda_dolała]]</f>
        <v>1927</v>
      </c>
      <c r="I181" cm="1">
        <f t="array" ref="I181">_xlfn.IFS(OR(pogoda48[[#This Row],[temperatura_srednia]]&lt;=15,pogoda48[[#This Row],[opady]]&gt;0.61),0,pogoda48[[#This Row],[temperatura_srednia]]&gt;30,24000,pogoda48[[#This Row],[temperatura_srednia]]&gt;15,12000)</f>
        <v>0</v>
      </c>
      <c r="J181">
        <f>IF(pogoda48[[#This Row],[stan_po_dolaniu]]&lt;pogoda48[[#This Row],[ile_podlewamy]],$AB$2-pogoda48[[#This Row],[stan_po_dolaniu]],0)</f>
        <v>0</v>
      </c>
      <c r="K181">
        <f>pogoda48[[#This Row],[stan_po_dolaniu]]+pogoda48[[#This Row],[ile_dolać_do_podlania]]</f>
        <v>1927</v>
      </c>
      <c r="L181">
        <f>pogoda48[[#This Row],[stan_po_dolaniu_do_podlania]]-pogoda48[[#This Row],[ile_podlewamy]]</f>
        <v>1927</v>
      </c>
      <c r="M181">
        <f>IF(pogoda48[[#This Row],[temperatura_srednia]]&lt;=15,1,0)</f>
        <v>1</v>
      </c>
      <c r="N181">
        <f>IF(AND(pogoda48[[#This Row],[temperatura_srednia]]&gt;15,pogoda48[[#This Row],[opady]]&lt;=0.61),1,0)</f>
        <v>0</v>
      </c>
      <c r="O181">
        <f>IF(AND(pogoda48[[#This Row],[temperatura_srednia]]&gt;15,pogoda48[[#This Row],[opady]]&gt;0.61),1,0)</f>
        <v>0</v>
      </c>
    </row>
    <row r="182" spans="1:15" x14ac:dyDescent="0.25">
      <c r="A182" s="2">
        <v>42275</v>
      </c>
      <c r="B182">
        <v>10</v>
      </c>
      <c r="C182">
        <v>0</v>
      </c>
      <c r="D182">
        <f t="shared" si="2"/>
        <v>1927</v>
      </c>
      <c r="E182">
        <f>IF(C182=0,ROUNDUP($AB$3*POWER(pogoda48[[#This Row],[temperatura_srednia]],1.5)*pogoda48[[#This Row],[stan_przed_dolaniem]],0),0)</f>
        <v>19</v>
      </c>
      <c r="F182">
        <f>pogoda48[[#This Row],[stan_przed_dolaniem]]-pogoda48[[#This Row],[ubytek]]</f>
        <v>1908</v>
      </c>
      <c r="G182">
        <f>IF(pogoda48[[#This Row],[opady]]*$AB$1+D182&gt;$AB$2,$AB$2-pogoda48[[#This Row],[stan_przed_dolaniem]],pogoda48[[#This Row],[opady]]*$AB$1)</f>
        <v>0</v>
      </c>
      <c r="H182">
        <f>pogoda48[[#This Row],[stan_po_ubytku]]+pogoda48[[#This Row],[ile_pogoda_dolała]]</f>
        <v>1908</v>
      </c>
      <c r="I182" cm="1">
        <f t="array" ref="I182">_xlfn.IFS(OR(pogoda48[[#This Row],[temperatura_srednia]]&lt;=15,pogoda48[[#This Row],[opady]]&gt;0.61),0,pogoda48[[#This Row],[temperatura_srednia]]&gt;30,24000,pogoda48[[#This Row],[temperatura_srednia]]&gt;15,12000)</f>
        <v>0</v>
      </c>
      <c r="J182">
        <f>IF(pogoda48[[#This Row],[stan_po_dolaniu]]&lt;pogoda48[[#This Row],[ile_podlewamy]],$AB$2-pogoda48[[#This Row],[stan_po_dolaniu]],0)</f>
        <v>0</v>
      </c>
      <c r="K182">
        <f>pogoda48[[#This Row],[stan_po_dolaniu]]+pogoda48[[#This Row],[ile_dolać_do_podlania]]</f>
        <v>1908</v>
      </c>
      <c r="L182">
        <f>pogoda48[[#This Row],[stan_po_dolaniu_do_podlania]]-pogoda48[[#This Row],[ile_podlewamy]]</f>
        <v>1908</v>
      </c>
      <c r="M182">
        <f>IF(pogoda48[[#This Row],[temperatura_srednia]]&lt;=15,1,0)</f>
        <v>1</v>
      </c>
      <c r="N182">
        <f>IF(AND(pogoda48[[#This Row],[temperatura_srednia]]&gt;15,pogoda48[[#This Row],[opady]]&lt;=0.61),1,0)</f>
        <v>0</v>
      </c>
      <c r="O182">
        <f>IF(AND(pogoda48[[#This Row],[temperatura_srednia]]&gt;15,pogoda48[[#This Row],[opady]]&gt;0.61),1,0)</f>
        <v>0</v>
      </c>
    </row>
    <row r="183" spans="1:15" x14ac:dyDescent="0.25">
      <c r="A183" s="2">
        <v>42276</v>
      </c>
      <c r="B183">
        <v>10</v>
      </c>
      <c r="C183">
        <v>0</v>
      </c>
      <c r="D183">
        <f t="shared" si="2"/>
        <v>1908</v>
      </c>
      <c r="E183">
        <f>IF(C183=0,ROUNDUP($AB$3*POWER(pogoda48[[#This Row],[temperatura_srednia]],1.5)*pogoda48[[#This Row],[stan_przed_dolaniem]],0),0)</f>
        <v>19</v>
      </c>
      <c r="F183">
        <f>pogoda48[[#This Row],[stan_przed_dolaniem]]-pogoda48[[#This Row],[ubytek]]</f>
        <v>1889</v>
      </c>
      <c r="G183">
        <f>IF(pogoda48[[#This Row],[opady]]*$AB$1+D183&gt;$AB$2,$AB$2-pogoda48[[#This Row],[stan_przed_dolaniem]],pogoda48[[#This Row],[opady]]*$AB$1)</f>
        <v>0</v>
      </c>
      <c r="H183">
        <f>pogoda48[[#This Row],[stan_po_ubytku]]+pogoda48[[#This Row],[ile_pogoda_dolała]]</f>
        <v>1889</v>
      </c>
      <c r="I183" cm="1">
        <f t="array" ref="I183">_xlfn.IFS(OR(pogoda48[[#This Row],[temperatura_srednia]]&lt;=15,pogoda48[[#This Row],[opady]]&gt;0.61),0,pogoda48[[#This Row],[temperatura_srednia]]&gt;30,24000,pogoda48[[#This Row],[temperatura_srednia]]&gt;15,12000)</f>
        <v>0</v>
      </c>
      <c r="J183">
        <f>IF(pogoda48[[#This Row],[stan_po_dolaniu]]&lt;pogoda48[[#This Row],[ile_podlewamy]],$AB$2-pogoda48[[#This Row],[stan_po_dolaniu]],0)</f>
        <v>0</v>
      </c>
      <c r="K183">
        <f>pogoda48[[#This Row],[stan_po_dolaniu]]+pogoda48[[#This Row],[ile_dolać_do_podlania]]</f>
        <v>1889</v>
      </c>
      <c r="L183">
        <f>pogoda48[[#This Row],[stan_po_dolaniu_do_podlania]]-pogoda48[[#This Row],[ile_podlewamy]]</f>
        <v>1889</v>
      </c>
      <c r="M183">
        <f>IF(pogoda48[[#This Row],[temperatura_srednia]]&lt;=15,1,0)</f>
        <v>1</v>
      </c>
      <c r="N183">
        <f>IF(AND(pogoda48[[#This Row],[temperatura_srednia]]&gt;15,pogoda48[[#This Row],[opady]]&lt;=0.61),1,0)</f>
        <v>0</v>
      </c>
      <c r="O183">
        <f>IF(AND(pogoda48[[#This Row],[temperatura_srednia]]&gt;15,pogoda48[[#This Row],[opady]]&gt;0.61),1,0)</f>
        <v>0</v>
      </c>
    </row>
    <row r="184" spans="1:15" x14ac:dyDescent="0.25">
      <c r="A184" s="2">
        <v>42277</v>
      </c>
      <c r="B184">
        <v>10</v>
      </c>
      <c r="C184">
        <v>0</v>
      </c>
      <c r="D184">
        <f t="shared" si="2"/>
        <v>1889</v>
      </c>
      <c r="E184">
        <f>IF(C184=0,ROUNDUP($AB$3*POWER(pogoda48[[#This Row],[temperatura_srednia]],1.5)*pogoda48[[#This Row],[stan_przed_dolaniem]],0),0)</f>
        <v>18</v>
      </c>
      <c r="F184">
        <f>pogoda48[[#This Row],[stan_przed_dolaniem]]-pogoda48[[#This Row],[ubytek]]</f>
        <v>1871</v>
      </c>
      <c r="G184">
        <f>IF(pogoda48[[#This Row],[opady]]*$AB$1+D184&gt;$AB$2,$AB$2-pogoda48[[#This Row],[stan_przed_dolaniem]],pogoda48[[#This Row],[opady]]*$AB$1)</f>
        <v>0</v>
      </c>
      <c r="H184">
        <f>pogoda48[[#This Row],[stan_po_ubytku]]+pogoda48[[#This Row],[ile_pogoda_dolała]]</f>
        <v>1871</v>
      </c>
      <c r="I184" cm="1">
        <f t="array" ref="I184">_xlfn.IFS(OR(pogoda48[[#This Row],[temperatura_srednia]]&lt;=15,pogoda48[[#This Row],[opady]]&gt;0.61),0,pogoda48[[#This Row],[temperatura_srednia]]&gt;30,24000,pogoda48[[#This Row],[temperatura_srednia]]&gt;15,12000)</f>
        <v>0</v>
      </c>
      <c r="J184">
        <f>IF(pogoda48[[#This Row],[stan_po_dolaniu]]&lt;pogoda48[[#This Row],[ile_podlewamy]],$AB$2-pogoda48[[#This Row],[stan_po_dolaniu]],0)</f>
        <v>0</v>
      </c>
      <c r="K184">
        <f>pogoda48[[#This Row],[stan_po_dolaniu]]+pogoda48[[#This Row],[ile_dolać_do_podlania]]</f>
        <v>1871</v>
      </c>
      <c r="L184">
        <f>pogoda48[[#This Row],[stan_po_dolaniu_do_podlania]]-pogoda48[[#This Row],[ile_podlewamy]]</f>
        <v>1871</v>
      </c>
      <c r="M184">
        <f>IF(pogoda48[[#This Row],[temperatura_srednia]]&lt;=15,1,0)</f>
        <v>1</v>
      </c>
      <c r="N184">
        <f>IF(AND(pogoda48[[#This Row],[temperatura_srednia]]&gt;15,pogoda48[[#This Row],[opady]]&lt;=0.61),1,0)</f>
        <v>0</v>
      </c>
      <c r="O184">
        <f>IF(AND(pogoda48[[#This Row],[temperatura_srednia]]&gt;15,pogoda48[[#This Row],[opady]]&gt;0.61),1,0)</f>
        <v>0</v>
      </c>
    </row>
    <row r="185" spans="1:15" x14ac:dyDescent="0.25">
      <c r="A185" s="2"/>
      <c r="M185" s="8">
        <f>COUNTIF(M1:M184,"=1")</f>
        <v>88</v>
      </c>
      <c r="N185" s="8">
        <f t="shared" ref="N185:O185" si="3">COUNTIF(N1:N184,"=1")</f>
        <v>73</v>
      </c>
      <c r="O185" s="8">
        <f t="shared" si="3"/>
        <v>22</v>
      </c>
    </row>
    <row r="186" spans="1:15" x14ac:dyDescent="0.25">
      <c r="M186" s="8" t="s">
        <v>31</v>
      </c>
      <c r="N186" s="8" t="s">
        <v>29</v>
      </c>
      <c r="O186" s="8" t="s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C658-9080-4E6F-87A0-A9A9A9CF07C5}">
  <dimension ref="A1:AB184"/>
  <sheetViews>
    <sheetView workbookViewId="0">
      <selection activeCell="L184" sqref="A1:L184"/>
    </sheetView>
  </sheetViews>
  <sheetFormatPr defaultRowHeight="15" x14ac:dyDescent="0.25"/>
  <cols>
    <col min="1" max="1" width="22.28515625" customWidth="1"/>
    <col min="2" max="2" width="22.28515625" bestFit="1" customWidth="1"/>
    <col min="4" max="4" width="8.7109375" bestFit="1" customWidth="1"/>
    <col min="5" max="5" width="22.7109375" bestFit="1" customWidth="1"/>
    <col min="6" max="6" width="9.42578125" bestFit="1" customWidth="1"/>
    <col min="7" max="7" width="17.5703125" bestFit="1" customWidth="1"/>
    <col min="8" max="8" width="19.85546875" bestFit="1" customWidth="1"/>
    <col min="9" max="9" width="18.140625" bestFit="1" customWidth="1"/>
    <col min="10" max="10" width="17.140625" bestFit="1" customWidth="1"/>
    <col min="11" max="11" width="23.7109375" bestFit="1" customWidth="1"/>
    <col min="12" max="12" width="30.5703125" bestFit="1" customWidth="1"/>
    <col min="13" max="13" width="19.28515625" bestFit="1" customWidth="1"/>
    <col min="28" max="28" width="18.28515625" bestFit="1" customWidth="1"/>
    <col min="29" max="29" width="6.140625" bestFit="1" customWidth="1"/>
  </cols>
  <sheetData>
    <row r="1" spans="1:28" x14ac:dyDescent="0.25">
      <c r="A1" t="s">
        <v>9</v>
      </c>
      <c r="B1" t="s">
        <v>0</v>
      </c>
      <c r="C1" t="s">
        <v>1</v>
      </c>
      <c r="D1" t="s">
        <v>3</v>
      </c>
      <c r="E1" t="s">
        <v>6</v>
      </c>
      <c r="F1" t="s">
        <v>8</v>
      </c>
      <c r="G1" t="s">
        <v>14</v>
      </c>
      <c r="H1" t="s">
        <v>5</v>
      </c>
      <c r="I1" t="s">
        <v>10</v>
      </c>
      <c r="J1" t="s">
        <v>12</v>
      </c>
      <c r="K1" t="s">
        <v>13</v>
      </c>
      <c r="L1" t="s">
        <v>11</v>
      </c>
      <c r="AA1" t="s">
        <v>2</v>
      </c>
      <c r="AB1">
        <v>700</v>
      </c>
    </row>
    <row r="2" spans="1:28" x14ac:dyDescent="0.25">
      <c r="A2" s="2">
        <v>42095</v>
      </c>
      <c r="B2">
        <v>4</v>
      </c>
      <c r="C2">
        <v>2</v>
      </c>
      <c r="D2">
        <v>25000</v>
      </c>
      <c r="E2">
        <f>IF(C2=0,ROUNDUP($AB$3*POWER(pogoda4[[#This Row],[temperatura_srednia]],1.5)*pogoda4[[#This Row],[stan_przed_dolaniem]],0),0)</f>
        <v>0</v>
      </c>
      <c r="F2">
        <f>pogoda4[[#This Row],[stan_przed_dolaniem]]-pogoda4[[#This Row],[ubytek]]</f>
        <v>25000</v>
      </c>
      <c r="G2">
        <f>IF(pogoda4[[#This Row],[opady]]*$AB$1+D2&gt;$AB$2,$AB$2-pogoda4[[#This Row],[stan_przed_dolaniem]],pogoda4[[#This Row],[opady]]*$AB$1)</f>
        <v>0</v>
      </c>
      <c r="H2">
        <f>pogoda4[[#This Row],[stan_po_ubytku]]+pogoda4[[#This Row],[ile_pogoda_dolała]]</f>
        <v>25000</v>
      </c>
      <c r="I2" cm="1">
        <f t="array" ref="I2">_xlfn.IFS(OR(pogoda4[[#This Row],[temperatura_srednia]]&lt;=15,pogoda4[[#This Row],[opady]]&gt;0.61),0,pogoda4[[#This Row],[temperatura_srednia]]&gt;30,24000,pogoda4[[#This Row],[temperatura_srednia]]&gt;15,12000)</f>
        <v>0</v>
      </c>
      <c r="J2">
        <f>IF(pogoda4[[#This Row],[stan_po_dolaniu]]&lt;pogoda4[[#This Row],[ile_podlewamy]],$AB$2-pogoda4[[#This Row],[stan_po_dolaniu]],0)</f>
        <v>0</v>
      </c>
      <c r="K2">
        <f>pogoda4[[#This Row],[stan_po_dolaniu]]+pogoda4[[#This Row],[ile_dolać_do_podlania]]</f>
        <v>25000</v>
      </c>
      <c r="L2">
        <f>pogoda4[[#This Row],[stan_po_dolaniu_do_podlania]]-pogoda4[[#This Row],[ile_podlewamy]]</f>
        <v>25000</v>
      </c>
      <c r="AA2" t="s">
        <v>4</v>
      </c>
      <c r="AB2">
        <v>25000</v>
      </c>
    </row>
    <row r="3" spans="1:28" x14ac:dyDescent="0.25">
      <c r="A3" s="2">
        <v>42096</v>
      </c>
      <c r="B3">
        <v>2</v>
      </c>
      <c r="C3">
        <v>6</v>
      </c>
      <c r="D3">
        <f>L2</f>
        <v>25000</v>
      </c>
      <c r="E3">
        <f>IF(C3=0,ROUNDUP($AB$3*POWER(pogoda4[[#This Row],[temperatura_srednia]],1.5)*pogoda4[[#This Row],[stan_przed_dolaniem]],0),0)</f>
        <v>0</v>
      </c>
      <c r="F3">
        <f>pogoda4[[#This Row],[stan_przed_dolaniem]]-pogoda4[[#This Row],[ubytek]]</f>
        <v>25000</v>
      </c>
      <c r="G3">
        <f>IF(pogoda4[[#This Row],[opady]]*$AB$1+D3&gt;$AB$2,$AB$2-pogoda4[[#This Row],[stan_przed_dolaniem]],pogoda4[[#This Row],[opady]]*$AB$1)</f>
        <v>0</v>
      </c>
      <c r="H3">
        <f>pogoda4[[#This Row],[stan_po_ubytku]]+pogoda4[[#This Row],[ile_pogoda_dolała]]</f>
        <v>25000</v>
      </c>
      <c r="I3" cm="1">
        <f t="array" ref="I3">_xlfn.IFS(OR(pogoda4[[#This Row],[temperatura_srednia]]&lt;=15,pogoda4[[#This Row],[opady]]&gt;0.61),0,pogoda4[[#This Row],[temperatura_srednia]]&gt;30,24000,pogoda4[[#This Row],[temperatura_srednia]]&gt;15,12000)</f>
        <v>0</v>
      </c>
      <c r="J3">
        <f>IF(pogoda4[[#This Row],[stan_po_dolaniu]]&lt;pogoda4[[#This Row],[ile_podlewamy]],$AB$2-pogoda4[[#This Row],[stan_po_dolaniu]],0)</f>
        <v>0</v>
      </c>
      <c r="K3">
        <f>pogoda4[[#This Row],[stan_po_dolaniu]]+pogoda4[[#This Row],[ile_dolać_do_podlania]]</f>
        <v>25000</v>
      </c>
      <c r="L3">
        <f>pogoda4[[#This Row],[stan_po_dolaniu_do_podlania]]-pogoda4[[#This Row],[ile_podlewamy]]</f>
        <v>25000</v>
      </c>
      <c r="AA3" t="s">
        <v>7</v>
      </c>
      <c r="AB3" s="1">
        <v>2.9999999999999997E-4</v>
      </c>
    </row>
    <row r="4" spans="1:28" x14ac:dyDescent="0.25">
      <c r="A4" s="2">
        <v>42097</v>
      </c>
      <c r="B4">
        <v>4</v>
      </c>
      <c r="C4">
        <v>1</v>
      </c>
      <c r="D4">
        <f t="shared" ref="D4:D67" si="0">L3</f>
        <v>25000</v>
      </c>
      <c r="E4">
        <f>IF(C4=0,ROUNDUP($AB$3*POWER(pogoda4[[#This Row],[temperatura_srednia]],1.5)*pogoda4[[#This Row],[stan_przed_dolaniem]],0),0)</f>
        <v>0</v>
      </c>
      <c r="F4">
        <f>pogoda4[[#This Row],[stan_przed_dolaniem]]-pogoda4[[#This Row],[ubytek]]</f>
        <v>25000</v>
      </c>
      <c r="G4">
        <f>IF(pogoda4[[#This Row],[opady]]*$AB$1+D4&gt;$AB$2,$AB$2-pogoda4[[#This Row],[stan_przed_dolaniem]],pogoda4[[#This Row],[opady]]*$AB$1)</f>
        <v>0</v>
      </c>
      <c r="H4">
        <f>pogoda4[[#This Row],[stan_po_ubytku]]+pogoda4[[#This Row],[ile_pogoda_dolała]]</f>
        <v>25000</v>
      </c>
      <c r="I4" cm="1">
        <f t="array" ref="I4">_xlfn.IFS(OR(pogoda4[[#This Row],[temperatura_srednia]]&lt;=15,pogoda4[[#This Row],[opady]]&gt;0.61),0,pogoda4[[#This Row],[temperatura_srednia]]&gt;30,24000,pogoda4[[#This Row],[temperatura_srednia]]&gt;15,12000)</f>
        <v>0</v>
      </c>
      <c r="J4">
        <f>IF(pogoda4[[#This Row],[stan_po_dolaniu]]&lt;pogoda4[[#This Row],[ile_podlewamy]],$AB$2-pogoda4[[#This Row],[stan_po_dolaniu]],0)</f>
        <v>0</v>
      </c>
      <c r="K4">
        <f>pogoda4[[#This Row],[stan_po_dolaniu]]+pogoda4[[#This Row],[ile_dolać_do_podlania]]</f>
        <v>25000</v>
      </c>
      <c r="L4">
        <f>pogoda4[[#This Row],[stan_po_dolaniu_do_podlania]]-pogoda4[[#This Row],[ile_podlewamy]]</f>
        <v>25000</v>
      </c>
    </row>
    <row r="5" spans="1:28" x14ac:dyDescent="0.25">
      <c r="A5" s="2">
        <v>42098</v>
      </c>
      <c r="B5">
        <v>4</v>
      </c>
      <c r="C5">
        <v>0.8</v>
      </c>
      <c r="D5">
        <f t="shared" si="0"/>
        <v>25000</v>
      </c>
      <c r="E5">
        <f>IF(C5=0,ROUNDUP($AB$3*POWER(pogoda4[[#This Row],[temperatura_srednia]],1.5)*pogoda4[[#This Row],[stan_przed_dolaniem]],0),0)</f>
        <v>0</v>
      </c>
      <c r="F5">
        <f>pogoda4[[#This Row],[stan_przed_dolaniem]]-pogoda4[[#This Row],[ubytek]]</f>
        <v>25000</v>
      </c>
      <c r="G5">
        <f>IF(pogoda4[[#This Row],[opady]]*$AB$1+D5&gt;$AB$2,$AB$2-pogoda4[[#This Row],[stan_przed_dolaniem]],pogoda4[[#This Row],[opady]]*$AB$1)</f>
        <v>0</v>
      </c>
      <c r="H5">
        <f>pogoda4[[#This Row],[stan_po_ubytku]]+pogoda4[[#This Row],[ile_pogoda_dolała]]</f>
        <v>25000</v>
      </c>
      <c r="I5" cm="1">
        <f t="array" ref="I5">_xlfn.IFS(OR(pogoda4[[#This Row],[temperatura_srednia]]&lt;=15,pogoda4[[#This Row],[opady]]&gt;0.61),0,pogoda4[[#This Row],[temperatura_srednia]]&gt;30,24000,pogoda4[[#This Row],[temperatura_srednia]]&gt;15,12000)</f>
        <v>0</v>
      </c>
      <c r="J5">
        <f>IF(pogoda4[[#This Row],[stan_po_dolaniu]]&lt;pogoda4[[#This Row],[ile_podlewamy]],$AB$2-pogoda4[[#This Row],[stan_po_dolaniu]],0)</f>
        <v>0</v>
      </c>
      <c r="K5">
        <f>pogoda4[[#This Row],[stan_po_dolaniu]]+pogoda4[[#This Row],[ile_dolać_do_podlania]]</f>
        <v>25000</v>
      </c>
      <c r="L5">
        <f>pogoda4[[#This Row],[stan_po_dolaniu_do_podlania]]-pogoda4[[#This Row],[ile_podlewamy]]</f>
        <v>25000</v>
      </c>
    </row>
    <row r="6" spans="1:28" x14ac:dyDescent="0.25">
      <c r="A6" s="2">
        <v>42099</v>
      </c>
      <c r="B6">
        <v>3</v>
      </c>
      <c r="C6">
        <v>0</v>
      </c>
      <c r="D6">
        <f t="shared" si="0"/>
        <v>25000</v>
      </c>
      <c r="E6">
        <f>IF(C6=0,ROUNDUP($AB$3*POWER(pogoda4[[#This Row],[temperatura_srednia]],1.5)*pogoda4[[#This Row],[stan_przed_dolaniem]],0),0)</f>
        <v>39</v>
      </c>
      <c r="F6">
        <f>pogoda4[[#This Row],[stan_przed_dolaniem]]-pogoda4[[#This Row],[ubytek]]</f>
        <v>24961</v>
      </c>
      <c r="G6">
        <f>IF(pogoda4[[#This Row],[opady]]*$AB$1+D6&gt;$AB$2,$AB$2-pogoda4[[#This Row],[stan_przed_dolaniem]],pogoda4[[#This Row],[opady]]*$AB$1)</f>
        <v>0</v>
      </c>
      <c r="H6">
        <f>pogoda4[[#This Row],[stan_po_ubytku]]+pogoda4[[#This Row],[ile_pogoda_dolała]]</f>
        <v>24961</v>
      </c>
      <c r="I6" cm="1">
        <f t="array" ref="I6">_xlfn.IFS(OR(pogoda4[[#This Row],[temperatura_srednia]]&lt;=15,pogoda4[[#This Row],[opady]]&gt;0.61),0,pogoda4[[#This Row],[temperatura_srednia]]&gt;30,24000,pogoda4[[#This Row],[temperatura_srednia]]&gt;15,12000)</f>
        <v>0</v>
      </c>
      <c r="J6">
        <f>IF(pogoda4[[#This Row],[stan_po_dolaniu]]&lt;pogoda4[[#This Row],[ile_podlewamy]],$AB$2-pogoda4[[#This Row],[stan_po_dolaniu]],0)</f>
        <v>0</v>
      </c>
      <c r="K6">
        <f>pogoda4[[#This Row],[stan_po_dolaniu]]+pogoda4[[#This Row],[ile_dolać_do_podlania]]</f>
        <v>24961</v>
      </c>
      <c r="L6">
        <f>pogoda4[[#This Row],[stan_po_dolaniu_do_podlania]]-pogoda4[[#This Row],[ile_podlewamy]]</f>
        <v>24961</v>
      </c>
    </row>
    <row r="7" spans="1:28" x14ac:dyDescent="0.25">
      <c r="A7" s="2">
        <v>42100</v>
      </c>
      <c r="B7">
        <v>4</v>
      </c>
      <c r="C7">
        <v>0</v>
      </c>
      <c r="D7">
        <f t="shared" si="0"/>
        <v>24961</v>
      </c>
      <c r="E7">
        <f>IF(C7=0,ROUNDUP($AB$3*POWER(pogoda4[[#This Row],[temperatura_srednia]],1.5)*pogoda4[[#This Row],[stan_przed_dolaniem]],0),0)</f>
        <v>60</v>
      </c>
      <c r="F7">
        <f>pogoda4[[#This Row],[stan_przed_dolaniem]]-pogoda4[[#This Row],[ubytek]]</f>
        <v>24901</v>
      </c>
      <c r="G7">
        <f>IF(pogoda4[[#This Row],[opady]]*$AB$1+D7&gt;$AB$2,$AB$2-pogoda4[[#This Row],[stan_przed_dolaniem]],pogoda4[[#This Row],[opady]]*$AB$1)</f>
        <v>0</v>
      </c>
      <c r="H7">
        <f>pogoda4[[#This Row],[stan_po_ubytku]]+pogoda4[[#This Row],[ile_pogoda_dolała]]</f>
        <v>24901</v>
      </c>
      <c r="I7" cm="1">
        <f t="array" ref="I7">_xlfn.IFS(OR(pogoda4[[#This Row],[temperatura_srednia]]&lt;=15,pogoda4[[#This Row],[opady]]&gt;0.61),0,pogoda4[[#This Row],[temperatura_srednia]]&gt;30,24000,pogoda4[[#This Row],[temperatura_srednia]]&gt;15,12000)</f>
        <v>0</v>
      </c>
      <c r="J7">
        <f>IF(pogoda4[[#This Row],[stan_po_dolaniu]]&lt;pogoda4[[#This Row],[ile_podlewamy]],$AB$2-pogoda4[[#This Row],[stan_po_dolaniu]],0)</f>
        <v>0</v>
      </c>
      <c r="K7">
        <f>pogoda4[[#This Row],[stan_po_dolaniu]]+pogoda4[[#This Row],[ile_dolać_do_podlania]]</f>
        <v>24901</v>
      </c>
      <c r="L7">
        <f>pogoda4[[#This Row],[stan_po_dolaniu_do_podlania]]-pogoda4[[#This Row],[ile_podlewamy]]</f>
        <v>24901</v>
      </c>
    </row>
    <row r="8" spans="1:28" x14ac:dyDescent="0.25">
      <c r="A8" s="2">
        <v>42101</v>
      </c>
      <c r="B8">
        <v>4</v>
      </c>
      <c r="C8">
        <v>1</v>
      </c>
      <c r="D8">
        <f t="shared" si="0"/>
        <v>24901</v>
      </c>
      <c r="E8">
        <f>IF(C8=0,ROUNDUP($AB$3*POWER(pogoda4[[#This Row],[temperatura_srednia]],1.5)*pogoda4[[#This Row],[stan_przed_dolaniem]],0),0)</f>
        <v>0</v>
      </c>
      <c r="F8">
        <f>pogoda4[[#This Row],[stan_przed_dolaniem]]-pogoda4[[#This Row],[ubytek]]</f>
        <v>24901</v>
      </c>
      <c r="G8">
        <f>IF(pogoda4[[#This Row],[opady]]*$AB$1+D8&gt;$AB$2,$AB$2-pogoda4[[#This Row],[stan_przed_dolaniem]],pogoda4[[#This Row],[opady]]*$AB$1)</f>
        <v>99</v>
      </c>
      <c r="H8">
        <f>pogoda4[[#This Row],[stan_po_ubytku]]+pogoda4[[#This Row],[ile_pogoda_dolała]]</f>
        <v>25000</v>
      </c>
      <c r="I8" cm="1">
        <f t="array" ref="I8">_xlfn.IFS(OR(pogoda4[[#This Row],[temperatura_srednia]]&lt;=15,pogoda4[[#This Row],[opady]]&gt;0.61),0,pogoda4[[#This Row],[temperatura_srednia]]&gt;30,24000,pogoda4[[#This Row],[temperatura_srednia]]&gt;15,12000)</f>
        <v>0</v>
      </c>
      <c r="J8">
        <f>IF(pogoda4[[#This Row],[stan_po_dolaniu]]&lt;pogoda4[[#This Row],[ile_podlewamy]],$AB$2-pogoda4[[#This Row],[stan_po_dolaniu]],0)</f>
        <v>0</v>
      </c>
      <c r="K8">
        <f>pogoda4[[#This Row],[stan_po_dolaniu]]+pogoda4[[#This Row],[ile_dolać_do_podlania]]</f>
        <v>25000</v>
      </c>
      <c r="L8">
        <f>pogoda4[[#This Row],[stan_po_dolaniu_do_podlania]]-pogoda4[[#This Row],[ile_podlewamy]]</f>
        <v>25000</v>
      </c>
    </row>
    <row r="9" spans="1:28" x14ac:dyDescent="0.25">
      <c r="A9" s="2">
        <v>42102</v>
      </c>
      <c r="B9">
        <v>8</v>
      </c>
      <c r="C9">
        <v>1</v>
      </c>
      <c r="D9">
        <f t="shared" si="0"/>
        <v>25000</v>
      </c>
      <c r="E9">
        <f>IF(C9=0,ROUNDUP($AB$3*POWER(pogoda4[[#This Row],[temperatura_srednia]],1.5)*pogoda4[[#This Row],[stan_przed_dolaniem]],0),0)</f>
        <v>0</v>
      </c>
      <c r="F9">
        <f>pogoda4[[#This Row],[stan_przed_dolaniem]]-pogoda4[[#This Row],[ubytek]]</f>
        <v>25000</v>
      </c>
      <c r="G9">
        <f>IF(pogoda4[[#This Row],[opady]]*$AB$1+D9&gt;$AB$2,$AB$2-pogoda4[[#This Row],[stan_przed_dolaniem]],pogoda4[[#This Row],[opady]]*$AB$1)</f>
        <v>0</v>
      </c>
      <c r="H9">
        <f>pogoda4[[#This Row],[stan_po_ubytku]]+pogoda4[[#This Row],[ile_pogoda_dolała]]</f>
        <v>25000</v>
      </c>
      <c r="I9" cm="1">
        <f t="array" ref="I9">_xlfn.IFS(OR(pogoda4[[#This Row],[temperatura_srednia]]&lt;=15,pogoda4[[#This Row],[opady]]&gt;0.61),0,pogoda4[[#This Row],[temperatura_srednia]]&gt;30,24000,pogoda4[[#This Row],[temperatura_srednia]]&gt;15,12000)</f>
        <v>0</v>
      </c>
      <c r="J9">
        <f>IF(pogoda4[[#This Row],[stan_po_dolaniu]]&lt;pogoda4[[#This Row],[ile_podlewamy]],$AB$2-pogoda4[[#This Row],[stan_po_dolaniu]],0)</f>
        <v>0</v>
      </c>
      <c r="K9">
        <f>pogoda4[[#This Row],[stan_po_dolaniu]]+pogoda4[[#This Row],[ile_dolać_do_podlania]]</f>
        <v>25000</v>
      </c>
      <c r="L9">
        <f>pogoda4[[#This Row],[stan_po_dolaniu_do_podlania]]-pogoda4[[#This Row],[ile_podlewamy]]</f>
        <v>25000</v>
      </c>
    </row>
    <row r="10" spans="1:28" x14ac:dyDescent="0.25">
      <c r="A10" s="2">
        <v>42103</v>
      </c>
      <c r="B10">
        <v>6</v>
      </c>
      <c r="C10">
        <v>2</v>
      </c>
      <c r="D10">
        <f t="shared" si="0"/>
        <v>25000</v>
      </c>
      <c r="E10">
        <f>IF(C10=0,ROUNDUP($AB$3*POWER(pogoda4[[#This Row],[temperatura_srednia]],1.5)*pogoda4[[#This Row],[stan_przed_dolaniem]],0),0)</f>
        <v>0</v>
      </c>
      <c r="F10">
        <f>pogoda4[[#This Row],[stan_przed_dolaniem]]-pogoda4[[#This Row],[ubytek]]</f>
        <v>25000</v>
      </c>
      <c r="G10">
        <f>IF(pogoda4[[#This Row],[opady]]*$AB$1+D10&gt;$AB$2,$AB$2-pogoda4[[#This Row],[stan_przed_dolaniem]],pogoda4[[#This Row],[opady]]*$AB$1)</f>
        <v>0</v>
      </c>
      <c r="H10">
        <f>pogoda4[[#This Row],[stan_po_ubytku]]+pogoda4[[#This Row],[ile_pogoda_dolała]]</f>
        <v>25000</v>
      </c>
      <c r="I10" cm="1">
        <f t="array" ref="I10">_xlfn.IFS(OR(pogoda4[[#This Row],[temperatura_srednia]]&lt;=15,pogoda4[[#This Row],[opady]]&gt;0.61),0,pogoda4[[#This Row],[temperatura_srednia]]&gt;30,24000,pogoda4[[#This Row],[temperatura_srednia]]&gt;15,12000)</f>
        <v>0</v>
      </c>
      <c r="J10">
        <f>IF(pogoda4[[#This Row],[stan_po_dolaniu]]&lt;pogoda4[[#This Row],[ile_podlewamy]],$AB$2-pogoda4[[#This Row],[stan_po_dolaniu]],0)</f>
        <v>0</v>
      </c>
      <c r="K10">
        <f>pogoda4[[#This Row],[stan_po_dolaniu]]+pogoda4[[#This Row],[ile_dolać_do_podlania]]</f>
        <v>25000</v>
      </c>
      <c r="L10">
        <f>pogoda4[[#This Row],[stan_po_dolaniu_do_podlania]]-pogoda4[[#This Row],[ile_podlewamy]]</f>
        <v>25000</v>
      </c>
    </row>
    <row r="11" spans="1:28" x14ac:dyDescent="0.25">
      <c r="A11" s="2">
        <v>42104</v>
      </c>
      <c r="B11">
        <v>9</v>
      </c>
      <c r="C11">
        <v>2</v>
      </c>
      <c r="D11">
        <f t="shared" si="0"/>
        <v>25000</v>
      </c>
      <c r="E11">
        <f>IF(C11=0,ROUNDUP($AB$3*POWER(pogoda4[[#This Row],[temperatura_srednia]],1.5)*pogoda4[[#This Row],[stan_przed_dolaniem]],0),0)</f>
        <v>0</v>
      </c>
      <c r="F11">
        <f>pogoda4[[#This Row],[stan_przed_dolaniem]]-pogoda4[[#This Row],[ubytek]]</f>
        <v>25000</v>
      </c>
      <c r="G11">
        <f>IF(pogoda4[[#This Row],[opady]]*$AB$1+D11&gt;$AB$2,$AB$2-pogoda4[[#This Row],[stan_przed_dolaniem]],pogoda4[[#This Row],[opady]]*$AB$1)</f>
        <v>0</v>
      </c>
      <c r="H11">
        <f>pogoda4[[#This Row],[stan_po_ubytku]]+pogoda4[[#This Row],[ile_pogoda_dolała]]</f>
        <v>25000</v>
      </c>
      <c r="I11" cm="1">
        <f t="array" ref="I11">_xlfn.IFS(OR(pogoda4[[#This Row],[temperatura_srednia]]&lt;=15,pogoda4[[#This Row],[opady]]&gt;0.61),0,pogoda4[[#This Row],[temperatura_srednia]]&gt;30,24000,pogoda4[[#This Row],[temperatura_srednia]]&gt;15,12000)</f>
        <v>0</v>
      </c>
      <c r="J11">
        <f>IF(pogoda4[[#This Row],[stan_po_dolaniu]]&lt;pogoda4[[#This Row],[ile_podlewamy]],$AB$2-pogoda4[[#This Row],[stan_po_dolaniu]],0)</f>
        <v>0</v>
      </c>
      <c r="K11">
        <f>pogoda4[[#This Row],[stan_po_dolaniu]]+pogoda4[[#This Row],[ile_dolać_do_podlania]]</f>
        <v>25000</v>
      </c>
      <c r="L11">
        <f>pogoda4[[#This Row],[stan_po_dolaniu_do_podlania]]-pogoda4[[#This Row],[ile_podlewamy]]</f>
        <v>25000</v>
      </c>
    </row>
    <row r="12" spans="1:28" x14ac:dyDescent="0.25">
      <c r="A12" s="2">
        <v>42105</v>
      </c>
      <c r="B12">
        <v>12</v>
      </c>
      <c r="C12">
        <v>3</v>
      </c>
      <c r="D12">
        <f t="shared" si="0"/>
        <v>25000</v>
      </c>
      <c r="E12">
        <f>IF(C12=0,ROUNDUP($AB$3*POWER(pogoda4[[#This Row],[temperatura_srednia]],1.5)*pogoda4[[#This Row],[stan_przed_dolaniem]],0),0)</f>
        <v>0</v>
      </c>
      <c r="F12">
        <f>pogoda4[[#This Row],[stan_przed_dolaniem]]-pogoda4[[#This Row],[ubytek]]</f>
        <v>25000</v>
      </c>
      <c r="G12">
        <f>IF(pogoda4[[#This Row],[opady]]*$AB$1+D12&gt;$AB$2,$AB$2-pogoda4[[#This Row],[stan_przed_dolaniem]],pogoda4[[#This Row],[opady]]*$AB$1)</f>
        <v>0</v>
      </c>
      <c r="H12">
        <f>pogoda4[[#This Row],[stan_po_ubytku]]+pogoda4[[#This Row],[ile_pogoda_dolała]]</f>
        <v>25000</v>
      </c>
      <c r="I12" cm="1">
        <f t="array" ref="I12">_xlfn.IFS(OR(pogoda4[[#This Row],[temperatura_srednia]]&lt;=15,pogoda4[[#This Row],[opady]]&gt;0.61),0,pogoda4[[#This Row],[temperatura_srednia]]&gt;30,24000,pogoda4[[#This Row],[temperatura_srednia]]&gt;15,12000)</f>
        <v>0</v>
      </c>
      <c r="J12">
        <f>IF(pogoda4[[#This Row],[stan_po_dolaniu]]&lt;pogoda4[[#This Row],[ile_podlewamy]],$AB$2-pogoda4[[#This Row],[stan_po_dolaniu]],0)</f>
        <v>0</v>
      </c>
      <c r="K12">
        <f>pogoda4[[#This Row],[stan_po_dolaniu]]+pogoda4[[#This Row],[ile_dolać_do_podlania]]</f>
        <v>25000</v>
      </c>
      <c r="L12">
        <f>pogoda4[[#This Row],[stan_po_dolaniu_do_podlania]]-pogoda4[[#This Row],[ile_podlewamy]]</f>
        <v>25000</v>
      </c>
    </row>
    <row r="13" spans="1:28" x14ac:dyDescent="0.25">
      <c r="A13" s="2">
        <v>42106</v>
      </c>
      <c r="B13">
        <v>10</v>
      </c>
      <c r="C13">
        <v>2</v>
      </c>
      <c r="D13">
        <f t="shared" si="0"/>
        <v>25000</v>
      </c>
      <c r="E13">
        <f>IF(C13=0,ROUNDUP($AB$3*POWER(pogoda4[[#This Row],[temperatura_srednia]],1.5)*pogoda4[[#This Row],[stan_przed_dolaniem]],0),0)</f>
        <v>0</v>
      </c>
      <c r="F13">
        <f>pogoda4[[#This Row],[stan_przed_dolaniem]]-pogoda4[[#This Row],[ubytek]]</f>
        <v>25000</v>
      </c>
      <c r="G13">
        <f>IF(pogoda4[[#This Row],[opady]]*$AB$1+D13&gt;$AB$2,$AB$2-pogoda4[[#This Row],[stan_przed_dolaniem]],pogoda4[[#This Row],[opady]]*$AB$1)</f>
        <v>0</v>
      </c>
      <c r="H13">
        <f>pogoda4[[#This Row],[stan_po_ubytku]]+pogoda4[[#This Row],[ile_pogoda_dolała]]</f>
        <v>25000</v>
      </c>
      <c r="I13" cm="1">
        <f t="array" ref="I13">_xlfn.IFS(OR(pogoda4[[#This Row],[temperatura_srednia]]&lt;=15,pogoda4[[#This Row],[opady]]&gt;0.61),0,pogoda4[[#This Row],[temperatura_srednia]]&gt;30,24000,pogoda4[[#This Row],[temperatura_srednia]]&gt;15,12000)</f>
        <v>0</v>
      </c>
      <c r="J13">
        <f>IF(pogoda4[[#This Row],[stan_po_dolaniu]]&lt;pogoda4[[#This Row],[ile_podlewamy]],$AB$2-pogoda4[[#This Row],[stan_po_dolaniu]],0)</f>
        <v>0</v>
      </c>
      <c r="K13">
        <f>pogoda4[[#This Row],[stan_po_dolaniu]]+pogoda4[[#This Row],[ile_dolać_do_podlania]]</f>
        <v>25000</v>
      </c>
      <c r="L13">
        <f>pogoda4[[#This Row],[stan_po_dolaniu_do_podlania]]-pogoda4[[#This Row],[ile_podlewamy]]</f>
        <v>25000</v>
      </c>
    </row>
    <row r="14" spans="1:28" x14ac:dyDescent="0.25">
      <c r="A14" s="2">
        <v>42107</v>
      </c>
      <c r="B14">
        <v>8</v>
      </c>
      <c r="C14">
        <v>1</v>
      </c>
      <c r="D14">
        <f t="shared" si="0"/>
        <v>25000</v>
      </c>
      <c r="E14">
        <f>IF(C14=0,ROUNDUP($AB$3*POWER(pogoda4[[#This Row],[temperatura_srednia]],1.5)*pogoda4[[#This Row],[stan_przed_dolaniem]],0),0)</f>
        <v>0</v>
      </c>
      <c r="F14">
        <f>pogoda4[[#This Row],[stan_przed_dolaniem]]-pogoda4[[#This Row],[ubytek]]</f>
        <v>25000</v>
      </c>
      <c r="G14">
        <f>IF(pogoda4[[#This Row],[opady]]*$AB$1+D14&gt;$AB$2,$AB$2-pogoda4[[#This Row],[stan_przed_dolaniem]],pogoda4[[#This Row],[opady]]*$AB$1)</f>
        <v>0</v>
      </c>
      <c r="H14">
        <f>pogoda4[[#This Row],[stan_po_ubytku]]+pogoda4[[#This Row],[ile_pogoda_dolała]]</f>
        <v>25000</v>
      </c>
      <c r="I14" cm="1">
        <f t="array" ref="I14">_xlfn.IFS(OR(pogoda4[[#This Row],[temperatura_srednia]]&lt;=15,pogoda4[[#This Row],[opady]]&gt;0.61),0,pogoda4[[#This Row],[temperatura_srednia]]&gt;30,24000,pogoda4[[#This Row],[temperatura_srednia]]&gt;15,12000)</f>
        <v>0</v>
      </c>
      <c r="J14">
        <f>IF(pogoda4[[#This Row],[stan_po_dolaniu]]&lt;pogoda4[[#This Row],[ile_podlewamy]],$AB$2-pogoda4[[#This Row],[stan_po_dolaniu]],0)</f>
        <v>0</v>
      </c>
      <c r="K14">
        <f>pogoda4[[#This Row],[stan_po_dolaniu]]+pogoda4[[#This Row],[ile_dolać_do_podlania]]</f>
        <v>25000</v>
      </c>
      <c r="L14">
        <f>pogoda4[[#This Row],[stan_po_dolaniu_do_podlania]]-pogoda4[[#This Row],[ile_podlewamy]]</f>
        <v>25000</v>
      </c>
    </row>
    <row r="15" spans="1:28" x14ac:dyDescent="0.25">
      <c r="A15" s="2">
        <v>42108</v>
      </c>
      <c r="B15">
        <v>6</v>
      </c>
      <c r="C15">
        <v>0</v>
      </c>
      <c r="D15">
        <f t="shared" si="0"/>
        <v>25000</v>
      </c>
      <c r="E15">
        <f>IF(C15=0,ROUNDUP($AB$3*POWER(pogoda4[[#This Row],[temperatura_srednia]],1.5)*pogoda4[[#This Row],[stan_przed_dolaniem]],0),0)</f>
        <v>111</v>
      </c>
      <c r="F15">
        <f>pogoda4[[#This Row],[stan_przed_dolaniem]]-pogoda4[[#This Row],[ubytek]]</f>
        <v>24889</v>
      </c>
      <c r="G15">
        <f>IF(pogoda4[[#This Row],[opady]]*$AB$1+D15&gt;$AB$2,$AB$2-pogoda4[[#This Row],[stan_przed_dolaniem]],pogoda4[[#This Row],[opady]]*$AB$1)</f>
        <v>0</v>
      </c>
      <c r="H15">
        <f>pogoda4[[#This Row],[stan_po_ubytku]]+pogoda4[[#This Row],[ile_pogoda_dolała]]</f>
        <v>24889</v>
      </c>
      <c r="I15" cm="1">
        <f t="array" ref="I15">_xlfn.IFS(OR(pogoda4[[#This Row],[temperatura_srednia]]&lt;=15,pogoda4[[#This Row],[opady]]&gt;0.61),0,pogoda4[[#This Row],[temperatura_srednia]]&gt;30,24000,pogoda4[[#This Row],[temperatura_srednia]]&gt;15,12000)</f>
        <v>0</v>
      </c>
      <c r="J15">
        <f>IF(pogoda4[[#This Row],[stan_po_dolaniu]]&lt;pogoda4[[#This Row],[ile_podlewamy]],$AB$2-pogoda4[[#This Row],[stan_po_dolaniu]],0)</f>
        <v>0</v>
      </c>
      <c r="K15">
        <f>pogoda4[[#This Row],[stan_po_dolaniu]]+pogoda4[[#This Row],[ile_dolać_do_podlania]]</f>
        <v>24889</v>
      </c>
      <c r="L15">
        <f>pogoda4[[#This Row],[stan_po_dolaniu_do_podlania]]-pogoda4[[#This Row],[ile_podlewamy]]</f>
        <v>24889</v>
      </c>
    </row>
    <row r="16" spans="1:28" x14ac:dyDescent="0.25">
      <c r="A16" s="2">
        <v>42109</v>
      </c>
      <c r="B16">
        <v>14</v>
      </c>
      <c r="C16">
        <v>0</v>
      </c>
      <c r="D16">
        <f t="shared" si="0"/>
        <v>24889</v>
      </c>
      <c r="E16">
        <f>IF(C16=0,ROUNDUP($AB$3*POWER(pogoda4[[#This Row],[temperatura_srednia]],1.5)*pogoda4[[#This Row],[stan_przed_dolaniem]],0),0)</f>
        <v>392</v>
      </c>
      <c r="F16">
        <f>pogoda4[[#This Row],[stan_przed_dolaniem]]-pogoda4[[#This Row],[ubytek]]</f>
        <v>24497</v>
      </c>
      <c r="G16">
        <f>IF(pogoda4[[#This Row],[opady]]*$AB$1+D16&gt;$AB$2,$AB$2-pogoda4[[#This Row],[stan_przed_dolaniem]],pogoda4[[#This Row],[opady]]*$AB$1)</f>
        <v>0</v>
      </c>
      <c r="H16">
        <f>pogoda4[[#This Row],[stan_po_ubytku]]+pogoda4[[#This Row],[ile_pogoda_dolała]]</f>
        <v>24497</v>
      </c>
      <c r="I16" cm="1">
        <f t="array" ref="I16">_xlfn.IFS(OR(pogoda4[[#This Row],[temperatura_srednia]]&lt;=15,pogoda4[[#This Row],[opady]]&gt;0.61),0,pogoda4[[#This Row],[temperatura_srednia]]&gt;30,24000,pogoda4[[#This Row],[temperatura_srednia]]&gt;15,12000)</f>
        <v>0</v>
      </c>
      <c r="J16">
        <f>IF(pogoda4[[#This Row],[stan_po_dolaniu]]&lt;pogoda4[[#This Row],[ile_podlewamy]],$AB$2-pogoda4[[#This Row],[stan_po_dolaniu]],0)</f>
        <v>0</v>
      </c>
      <c r="K16">
        <f>pogoda4[[#This Row],[stan_po_dolaniu]]+pogoda4[[#This Row],[ile_dolać_do_podlania]]</f>
        <v>24497</v>
      </c>
      <c r="L16">
        <f>pogoda4[[#This Row],[stan_po_dolaniu_do_podlania]]-pogoda4[[#This Row],[ile_podlewamy]]</f>
        <v>24497</v>
      </c>
    </row>
    <row r="17" spans="1:12" x14ac:dyDescent="0.25">
      <c r="A17" s="2">
        <v>42110</v>
      </c>
      <c r="B17">
        <v>10</v>
      </c>
      <c r="C17">
        <v>0</v>
      </c>
      <c r="D17">
        <f t="shared" si="0"/>
        <v>24497</v>
      </c>
      <c r="E17">
        <f>IF(C17=0,ROUNDUP($AB$3*POWER(pogoda4[[#This Row],[temperatura_srednia]],1.5)*pogoda4[[#This Row],[stan_przed_dolaniem]],0),0)</f>
        <v>233</v>
      </c>
      <c r="F17">
        <f>pogoda4[[#This Row],[stan_przed_dolaniem]]-pogoda4[[#This Row],[ubytek]]</f>
        <v>24264</v>
      </c>
      <c r="G17">
        <f>IF(pogoda4[[#This Row],[opady]]*$AB$1+D17&gt;$AB$2,$AB$2-pogoda4[[#This Row],[stan_przed_dolaniem]],pogoda4[[#This Row],[opady]]*$AB$1)</f>
        <v>0</v>
      </c>
      <c r="H17">
        <f>pogoda4[[#This Row],[stan_po_ubytku]]+pogoda4[[#This Row],[ile_pogoda_dolała]]</f>
        <v>24264</v>
      </c>
      <c r="I17" cm="1">
        <f t="array" ref="I17">_xlfn.IFS(OR(pogoda4[[#This Row],[temperatura_srednia]]&lt;=15,pogoda4[[#This Row],[opady]]&gt;0.61),0,pogoda4[[#This Row],[temperatura_srednia]]&gt;30,24000,pogoda4[[#This Row],[temperatura_srednia]]&gt;15,12000)</f>
        <v>0</v>
      </c>
      <c r="J17">
        <f>IF(pogoda4[[#This Row],[stan_po_dolaniu]]&lt;pogoda4[[#This Row],[ile_podlewamy]],$AB$2-pogoda4[[#This Row],[stan_po_dolaniu]],0)</f>
        <v>0</v>
      </c>
      <c r="K17">
        <f>pogoda4[[#This Row],[stan_po_dolaniu]]+pogoda4[[#This Row],[ile_dolać_do_podlania]]</f>
        <v>24264</v>
      </c>
      <c r="L17">
        <f>pogoda4[[#This Row],[stan_po_dolaniu_do_podlania]]-pogoda4[[#This Row],[ile_podlewamy]]</f>
        <v>24264</v>
      </c>
    </row>
    <row r="18" spans="1:12" x14ac:dyDescent="0.25">
      <c r="A18" s="2">
        <v>42111</v>
      </c>
      <c r="B18">
        <v>6</v>
      </c>
      <c r="C18">
        <v>0</v>
      </c>
      <c r="D18">
        <f t="shared" si="0"/>
        <v>24264</v>
      </c>
      <c r="E18">
        <f>IF(C18=0,ROUNDUP($AB$3*POWER(pogoda4[[#This Row],[temperatura_srednia]],1.5)*pogoda4[[#This Row],[stan_przed_dolaniem]],0),0)</f>
        <v>107</v>
      </c>
      <c r="F18">
        <f>pogoda4[[#This Row],[stan_przed_dolaniem]]-pogoda4[[#This Row],[ubytek]]</f>
        <v>24157</v>
      </c>
      <c r="G18">
        <f>IF(pogoda4[[#This Row],[opady]]*$AB$1+D18&gt;$AB$2,$AB$2-pogoda4[[#This Row],[stan_przed_dolaniem]],pogoda4[[#This Row],[opady]]*$AB$1)</f>
        <v>0</v>
      </c>
      <c r="H18">
        <f>pogoda4[[#This Row],[stan_po_ubytku]]+pogoda4[[#This Row],[ile_pogoda_dolała]]</f>
        <v>24157</v>
      </c>
      <c r="I18" cm="1">
        <f t="array" ref="I18">_xlfn.IFS(OR(pogoda4[[#This Row],[temperatura_srednia]]&lt;=15,pogoda4[[#This Row],[opady]]&gt;0.61),0,pogoda4[[#This Row],[temperatura_srednia]]&gt;30,24000,pogoda4[[#This Row],[temperatura_srednia]]&gt;15,12000)</f>
        <v>0</v>
      </c>
      <c r="J18">
        <f>IF(pogoda4[[#This Row],[stan_po_dolaniu]]&lt;pogoda4[[#This Row],[ile_podlewamy]],$AB$2-pogoda4[[#This Row],[stan_po_dolaniu]],0)</f>
        <v>0</v>
      </c>
      <c r="K18">
        <f>pogoda4[[#This Row],[stan_po_dolaniu]]+pogoda4[[#This Row],[ile_dolać_do_podlania]]</f>
        <v>24157</v>
      </c>
      <c r="L18">
        <f>pogoda4[[#This Row],[stan_po_dolaniu_do_podlania]]-pogoda4[[#This Row],[ile_podlewamy]]</f>
        <v>24157</v>
      </c>
    </row>
    <row r="19" spans="1:12" x14ac:dyDescent="0.25">
      <c r="A19" s="2">
        <v>42112</v>
      </c>
      <c r="B19">
        <v>4</v>
      </c>
      <c r="C19">
        <v>0</v>
      </c>
      <c r="D19">
        <f t="shared" si="0"/>
        <v>24157</v>
      </c>
      <c r="E19">
        <f>IF(C19=0,ROUNDUP($AB$3*POWER(pogoda4[[#This Row],[temperatura_srednia]],1.5)*pogoda4[[#This Row],[stan_przed_dolaniem]],0),0)</f>
        <v>58</v>
      </c>
      <c r="F19">
        <f>pogoda4[[#This Row],[stan_przed_dolaniem]]-pogoda4[[#This Row],[ubytek]]</f>
        <v>24099</v>
      </c>
      <c r="G19">
        <f>IF(pogoda4[[#This Row],[opady]]*$AB$1+D19&gt;$AB$2,$AB$2-pogoda4[[#This Row],[stan_przed_dolaniem]],pogoda4[[#This Row],[opady]]*$AB$1)</f>
        <v>0</v>
      </c>
      <c r="H19">
        <f>pogoda4[[#This Row],[stan_po_ubytku]]+pogoda4[[#This Row],[ile_pogoda_dolała]]</f>
        <v>24099</v>
      </c>
      <c r="I19" cm="1">
        <f t="array" ref="I19">_xlfn.IFS(OR(pogoda4[[#This Row],[temperatura_srednia]]&lt;=15,pogoda4[[#This Row],[opady]]&gt;0.61),0,pogoda4[[#This Row],[temperatura_srednia]]&gt;30,24000,pogoda4[[#This Row],[temperatura_srednia]]&gt;15,12000)</f>
        <v>0</v>
      </c>
      <c r="J19">
        <f>IF(pogoda4[[#This Row],[stan_po_dolaniu]]&lt;pogoda4[[#This Row],[ile_podlewamy]],$AB$2-pogoda4[[#This Row],[stan_po_dolaniu]],0)</f>
        <v>0</v>
      </c>
      <c r="K19">
        <f>pogoda4[[#This Row],[stan_po_dolaniu]]+pogoda4[[#This Row],[ile_dolać_do_podlania]]</f>
        <v>24099</v>
      </c>
      <c r="L19">
        <f>pogoda4[[#This Row],[stan_po_dolaniu_do_podlania]]-pogoda4[[#This Row],[ile_podlewamy]]</f>
        <v>24099</v>
      </c>
    </row>
    <row r="20" spans="1:12" x14ac:dyDescent="0.25">
      <c r="A20" s="2">
        <v>42113</v>
      </c>
      <c r="B20">
        <v>7</v>
      </c>
      <c r="C20">
        <v>0</v>
      </c>
      <c r="D20">
        <f t="shared" si="0"/>
        <v>24099</v>
      </c>
      <c r="E20">
        <f>IF(C20=0,ROUNDUP($AB$3*POWER(pogoda4[[#This Row],[temperatura_srednia]],1.5)*pogoda4[[#This Row],[stan_przed_dolaniem]],0),0)</f>
        <v>134</v>
      </c>
      <c r="F20">
        <f>pogoda4[[#This Row],[stan_przed_dolaniem]]-pogoda4[[#This Row],[ubytek]]</f>
        <v>23965</v>
      </c>
      <c r="G20">
        <f>IF(pogoda4[[#This Row],[opady]]*$AB$1+D20&gt;$AB$2,$AB$2-pogoda4[[#This Row],[stan_przed_dolaniem]],pogoda4[[#This Row],[opady]]*$AB$1)</f>
        <v>0</v>
      </c>
      <c r="H20">
        <f>pogoda4[[#This Row],[stan_po_ubytku]]+pogoda4[[#This Row],[ile_pogoda_dolała]]</f>
        <v>23965</v>
      </c>
      <c r="I20" cm="1">
        <f t="array" ref="I20">_xlfn.IFS(OR(pogoda4[[#This Row],[temperatura_srednia]]&lt;=15,pogoda4[[#This Row],[opady]]&gt;0.61),0,pogoda4[[#This Row],[temperatura_srednia]]&gt;30,24000,pogoda4[[#This Row],[temperatura_srednia]]&gt;15,12000)</f>
        <v>0</v>
      </c>
      <c r="J20">
        <f>IF(pogoda4[[#This Row],[stan_po_dolaniu]]&lt;pogoda4[[#This Row],[ile_podlewamy]],$AB$2-pogoda4[[#This Row],[stan_po_dolaniu]],0)</f>
        <v>0</v>
      </c>
      <c r="K20">
        <f>pogoda4[[#This Row],[stan_po_dolaniu]]+pogoda4[[#This Row],[ile_dolać_do_podlania]]</f>
        <v>23965</v>
      </c>
      <c r="L20">
        <f>pogoda4[[#This Row],[stan_po_dolaniu_do_podlania]]-pogoda4[[#This Row],[ile_podlewamy]]</f>
        <v>23965</v>
      </c>
    </row>
    <row r="21" spans="1:12" x14ac:dyDescent="0.25">
      <c r="A21" s="2">
        <v>42114</v>
      </c>
      <c r="B21">
        <v>10</v>
      </c>
      <c r="C21">
        <v>1</v>
      </c>
      <c r="D21">
        <f t="shared" si="0"/>
        <v>23965</v>
      </c>
      <c r="E21">
        <f>IF(C21=0,ROUNDUP($AB$3*POWER(pogoda4[[#This Row],[temperatura_srednia]],1.5)*pogoda4[[#This Row],[stan_przed_dolaniem]],0),0)</f>
        <v>0</v>
      </c>
      <c r="F21">
        <f>pogoda4[[#This Row],[stan_przed_dolaniem]]-pogoda4[[#This Row],[ubytek]]</f>
        <v>23965</v>
      </c>
      <c r="G21">
        <f>IF(pogoda4[[#This Row],[opady]]*$AB$1+D21&gt;$AB$2,$AB$2-pogoda4[[#This Row],[stan_przed_dolaniem]],pogoda4[[#This Row],[opady]]*$AB$1)</f>
        <v>700</v>
      </c>
      <c r="H21">
        <f>pogoda4[[#This Row],[stan_po_ubytku]]+pogoda4[[#This Row],[ile_pogoda_dolała]]</f>
        <v>24665</v>
      </c>
      <c r="I21" cm="1">
        <f t="array" ref="I21">_xlfn.IFS(OR(pogoda4[[#This Row],[temperatura_srednia]]&lt;=15,pogoda4[[#This Row],[opady]]&gt;0.61),0,pogoda4[[#This Row],[temperatura_srednia]]&gt;30,24000,pogoda4[[#This Row],[temperatura_srednia]]&gt;15,12000)</f>
        <v>0</v>
      </c>
      <c r="J21">
        <f>IF(pogoda4[[#This Row],[stan_po_dolaniu]]&lt;pogoda4[[#This Row],[ile_podlewamy]],$AB$2-pogoda4[[#This Row],[stan_po_dolaniu]],0)</f>
        <v>0</v>
      </c>
      <c r="K21">
        <f>pogoda4[[#This Row],[stan_po_dolaniu]]+pogoda4[[#This Row],[ile_dolać_do_podlania]]</f>
        <v>24665</v>
      </c>
      <c r="L21">
        <f>pogoda4[[#This Row],[stan_po_dolaniu_do_podlania]]-pogoda4[[#This Row],[ile_podlewamy]]</f>
        <v>24665</v>
      </c>
    </row>
    <row r="22" spans="1:12" x14ac:dyDescent="0.25">
      <c r="A22" s="2">
        <v>42115</v>
      </c>
      <c r="B22">
        <v>11</v>
      </c>
      <c r="C22">
        <v>3.2</v>
      </c>
      <c r="D22">
        <f t="shared" si="0"/>
        <v>24665</v>
      </c>
      <c r="E22">
        <f>IF(C22=0,ROUNDUP($AB$3*POWER(pogoda4[[#This Row],[temperatura_srednia]],1.5)*pogoda4[[#This Row],[stan_przed_dolaniem]],0),0)</f>
        <v>0</v>
      </c>
      <c r="F22">
        <f>pogoda4[[#This Row],[stan_przed_dolaniem]]-pogoda4[[#This Row],[ubytek]]</f>
        <v>24665</v>
      </c>
      <c r="G22">
        <f>IF(pogoda4[[#This Row],[opady]]*$AB$1+D22&gt;$AB$2,$AB$2-pogoda4[[#This Row],[stan_przed_dolaniem]],pogoda4[[#This Row],[opady]]*$AB$1)</f>
        <v>335</v>
      </c>
      <c r="H22">
        <f>pogoda4[[#This Row],[stan_po_ubytku]]+pogoda4[[#This Row],[ile_pogoda_dolała]]</f>
        <v>25000</v>
      </c>
      <c r="I22" cm="1">
        <f t="array" ref="I22">_xlfn.IFS(OR(pogoda4[[#This Row],[temperatura_srednia]]&lt;=15,pogoda4[[#This Row],[opady]]&gt;0.61),0,pogoda4[[#This Row],[temperatura_srednia]]&gt;30,24000,pogoda4[[#This Row],[temperatura_srednia]]&gt;15,12000)</f>
        <v>0</v>
      </c>
      <c r="J22">
        <f>IF(pogoda4[[#This Row],[stan_po_dolaniu]]&lt;pogoda4[[#This Row],[ile_podlewamy]],$AB$2-pogoda4[[#This Row],[stan_po_dolaniu]],0)</f>
        <v>0</v>
      </c>
      <c r="K22">
        <f>pogoda4[[#This Row],[stan_po_dolaniu]]+pogoda4[[#This Row],[ile_dolać_do_podlania]]</f>
        <v>25000</v>
      </c>
      <c r="L22">
        <f>pogoda4[[#This Row],[stan_po_dolaniu_do_podlania]]-pogoda4[[#This Row],[ile_podlewamy]]</f>
        <v>25000</v>
      </c>
    </row>
    <row r="23" spans="1:12" x14ac:dyDescent="0.25">
      <c r="A23" s="2">
        <v>42116</v>
      </c>
      <c r="B23">
        <v>8</v>
      </c>
      <c r="C23">
        <v>2.2000000000000002</v>
      </c>
      <c r="D23">
        <f t="shared" si="0"/>
        <v>25000</v>
      </c>
      <c r="E23">
        <f>IF(C23=0,ROUNDUP($AB$3*POWER(pogoda4[[#This Row],[temperatura_srednia]],1.5)*pogoda4[[#This Row],[stan_przed_dolaniem]],0),0)</f>
        <v>0</v>
      </c>
      <c r="F23">
        <f>pogoda4[[#This Row],[stan_przed_dolaniem]]-pogoda4[[#This Row],[ubytek]]</f>
        <v>25000</v>
      </c>
      <c r="G23">
        <f>IF(pogoda4[[#This Row],[opady]]*$AB$1+D23&gt;$AB$2,$AB$2-pogoda4[[#This Row],[stan_przed_dolaniem]],pogoda4[[#This Row],[opady]]*$AB$1)</f>
        <v>0</v>
      </c>
      <c r="H23">
        <f>pogoda4[[#This Row],[stan_po_ubytku]]+pogoda4[[#This Row],[ile_pogoda_dolała]]</f>
        <v>25000</v>
      </c>
      <c r="I23" cm="1">
        <f t="array" ref="I23">_xlfn.IFS(OR(pogoda4[[#This Row],[temperatura_srednia]]&lt;=15,pogoda4[[#This Row],[opady]]&gt;0.61),0,pogoda4[[#This Row],[temperatura_srednia]]&gt;30,24000,pogoda4[[#This Row],[temperatura_srednia]]&gt;15,12000)</f>
        <v>0</v>
      </c>
      <c r="J23">
        <f>IF(pogoda4[[#This Row],[stan_po_dolaniu]]&lt;pogoda4[[#This Row],[ile_podlewamy]],$AB$2-pogoda4[[#This Row],[stan_po_dolaniu]],0)</f>
        <v>0</v>
      </c>
      <c r="K23">
        <f>pogoda4[[#This Row],[stan_po_dolaniu]]+pogoda4[[#This Row],[ile_dolać_do_podlania]]</f>
        <v>25000</v>
      </c>
      <c r="L23">
        <f>pogoda4[[#This Row],[stan_po_dolaniu_do_podlania]]-pogoda4[[#This Row],[ile_podlewamy]]</f>
        <v>25000</v>
      </c>
    </row>
    <row r="24" spans="1:12" x14ac:dyDescent="0.25">
      <c r="A24" s="2">
        <v>42117</v>
      </c>
      <c r="B24">
        <v>11</v>
      </c>
      <c r="C24">
        <v>1</v>
      </c>
      <c r="D24">
        <f t="shared" si="0"/>
        <v>25000</v>
      </c>
      <c r="E24">
        <f>IF(C24=0,ROUNDUP($AB$3*POWER(pogoda4[[#This Row],[temperatura_srednia]],1.5)*pogoda4[[#This Row],[stan_przed_dolaniem]],0),0)</f>
        <v>0</v>
      </c>
      <c r="F24">
        <f>pogoda4[[#This Row],[stan_przed_dolaniem]]-pogoda4[[#This Row],[ubytek]]</f>
        <v>25000</v>
      </c>
      <c r="G24">
        <f>IF(pogoda4[[#This Row],[opady]]*$AB$1+D24&gt;$AB$2,$AB$2-pogoda4[[#This Row],[stan_przed_dolaniem]],pogoda4[[#This Row],[opady]]*$AB$1)</f>
        <v>0</v>
      </c>
      <c r="H24">
        <f>pogoda4[[#This Row],[stan_po_ubytku]]+pogoda4[[#This Row],[ile_pogoda_dolała]]</f>
        <v>25000</v>
      </c>
      <c r="I24" cm="1">
        <f t="array" ref="I24">_xlfn.IFS(OR(pogoda4[[#This Row],[temperatura_srednia]]&lt;=15,pogoda4[[#This Row],[opady]]&gt;0.61),0,pogoda4[[#This Row],[temperatura_srednia]]&gt;30,24000,pogoda4[[#This Row],[temperatura_srednia]]&gt;15,12000)</f>
        <v>0</v>
      </c>
      <c r="J24">
        <f>IF(pogoda4[[#This Row],[stan_po_dolaniu]]&lt;pogoda4[[#This Row],[ile_podlewamy]],$AB$2-pogoda4[[#This Row],[stan_po_dolaniu]],0)</f>
        <v>0</v>
      </c>
      <c r="K24">
        <f>pogoda4[[#This Row],[stan_po_dolaniu]]+pogoda4[[#This Row],[ile_dolać_do_podlania]]</f>
        <v>25000</v>
      </c>
      <c r="L24">
        <f>pogoda4[[#This Row],[stan_po_dolaniu_do_podlania]]-pogoda4[[#This Row],[ile_podlewamy]]</f>
        <v>25000</v>
      </c>
    </row>
    <row r="25" spans="1:12" x14ac:dyDescent="0.25">
      <c r="A25" s="2">
        <v>42118</v>
      </c>
      <c r="B25">
        <v>12</v>
      </c>
      <c r="C25">
        <v>1</v>
      </c>
      <c r="D25">
        <f t="shared" si="0"/>
        <v>25000</v>
      </c>
      <c r="E25">
        <f>IF(C25=0,ROUNDUP($AB$3*POWER(pogoda4[[#This Row],[temperatura_srednia]],1.5)*pogoda4[[#This Row],[stan_przed_dolaniem]],0),0)</f>
        <v>0</v>
      </c>
      <c r="F25">
        <f>pogoda4[[#This Row],[stan_przed_dolaniem]]-pogoda4[[#This Row],[ubytek]]</f>
        <v>25000</v>
      </c>
      <c r="G25">
        <f>IF(pogoda4[[#This Row],[opady]]*$AB$1+D25&gt;$AB$2,$AB$2-pogoda4[[#This Row],[stan_przed_dolaniem]],pogoda4[[#This Row],[opady]]*$AB$1)</f>
        <v>0</v>
      </c>
      <c r="H25">
        <f>pogoda4[[#This Row],[stan_po_ubytku]]+pogoda4[[#This Row],[ile_pogoda_dolała]]</f>
        <v>25000</v>
      </c>
      <c r="I25" cm="1">
        <f t="array" ref="I25">_xlfn.IFS(OR(pogoda4[[#This Row],[temperatura_srednia]]&lt;=15,pogoda4[[#This Row],[opady]]&gt;0.61),0,pogoda4[[#This Row],[temperatura_srednia]]&gt;30,24000,pogoda4[[#This Row],[temperatura_srednia]]&gt;15,12000)</f>
        <v>0</v>
      </c>
      <c r="J25">
        <f>IF(pogoda4[[#This Row],[stan_po_dolaniu]]&lt;pogoda4[[#This Row],[ile_podlewamy]],$AB$2-pogoda4[[#This Row],[stan_po_dolaniu]],0)</f>
        <v>0</v>
      </c>
      <c r="K25">
        <f>pogoda4[[#This Row],[stan_po_dolaniu]]+pogoda4[[#This Row],[ile_dolać_do_podlania]]</f>
        <v>25000</v>
      </c>
      <c r="L25">
        <f>pogoda4[[#This Row],[stan_po_dolaniu_do_podlania]]-pogoda4[[#This Row],[ile_podlewamy]]</f>
        <v>25000</v>
      </c>
    </row>
    <row r="26" spans="1:12" x14ac:dyDescent="0.25">
      <c r="A26" s="2">
        <v>42119</v>
      </c>
      <c r="B26">
        <v>14</v>
      </c>
      <c r="C26">
        <v>1</v>
      </c>
      <c r="D26">
        <f t="shared" si="0"/>
        <v>25000</v>
      </c>
      <c r="E26">
        <f>IF(C26=0,ROUNDUP($AB$3*POWER(pogoda4[[#This Row],[temperatura_srednia]],1.5)*pogoda4[[#This Row],[stan_przed_dolaniem]],0),0)</f>
        <v>0</v>
      </c>
      <c r="F26">
        <f>pogoda4[[#This Row],[stan_przed_dolaniem]]-pogoda4[[#This Row],[ubytek]]</f>
        <v>25000</v>
      </c>
      <c r="G26">
        <f>IF(pogoda4[[#This Row],[opady]]*$AB$1+D26&gt;$AB$2,$AB$2-pogoda4[[#This Row],[stan_przed_dolaniem]],pogoda4[[#This Row],[opady]]*$AB$1)</f>
        <v>0</v>
      </c>
      <c r="H26">
        <f>pogoda4[[#This Row],[stan_po_ubytku]]+pogoda4[[#This Row],[ile_pogoda_dolała]]</f>
        <v>25000</v>
      </c>
      <c r="I26" cm="1">
        <f t="array" ref="I26">_xlfn.IFS(OR(pogoda4[[#This Row],[temperatura_srednia]]&lt;=15,pogoda4[[#This Row],[opady]]&gt;0.61),0,pogoda4[[#This Row],[temperatura_srednia]]&gt;30,24000,pogoda4[[#This Row],[temperatura_srednia]]&gt;15,12000)</f>
        <v>0</v>
      </c>
      <c r="J26">
        <f>IF(pogoda4[[#This Row],[stan_po_dolaniu]]&lt;pogoda4[[#This Row],[ile_podlewamy]],$AB$2-pogoda4[[#This Row],[stan_po_dolaniu]],0)</f>
        <v>0</v>
      </c>
      <c r="K26">
        <f>pogoda4[[#This Row],[stan_po_dolaniu]]+pogoda4[[#This Row],[ile_dolać_do_podlania]]</f>
        <v>25000</v>
      </c>
      <c r="L26">
        <f>pogoda4[[#This Row],[stan_po_dolaniu_do_podlania]]-pogoda4[[#This Row],[ile_podlewamy]]</f>
        <v>25000</v>
      </c>
    </row>
    <row r="27" spans="1:12" x14ac:dyDescent="0.25">
      <c r="A27" s="2">
        <v>42120</v>
      </c>
      <c r="B27">
        <v>16</v>
      </c>
      <c r="C27">
        <v>0</v>
      </c>
      <c r="D27">
        <f t="shared" si="0"/>
        <v>25000</v>
      </c>
      <c r="E27">
        <f>IF(C27=0,ROUNDUP($AB$3*POWER(pogoda4[[#This Row],[temperatura_srednia]],1.5)*pogoda4[[#This Row],[stan_przed_dolaniem]],0),0)</f>
        <v>480</v>
      </c>
      <c r="F27">
        <f>pogoda4[[#This Row],[stan_przed_dolaniem]]-pogoda4[[#This Row],[ubytek]]</f>
        <v>24520</v>
      </c>
      <c r="G27">
        <f>IF(pogoda4[[#This Row],[opady]]*$AB$1+D27&gt;$AB$2,$AB$2-pogoda4[[#This Row],[stan_przed_dolaniem]],pogoda4[[#This Row],[opady]]*$AB$1)</f>
        <v>0</v>
      </c>
      <c r="H27">
        <f>pogoda4[[#This Row],[stan_po_ubytku]]+pogoda4[[#This Row],[ile_pogoda_dolała]]</f>
        <v>24520</v>
      </c>
      <c r="I27" cm="1">
        <f t="array" ref="I27">_xlfn.IFS(OR(pogoda4[[#This Row],[temperatura_srednia]]&lt;=15,pogoda4[[#This Row],[opady]]&gt;0.61),0,pogoda4[[#This Row],[temperatura_srednia]]&gt;30,24000,pogoda4[[#This Row],[temperatura_srednia]]&gt;15,12000)</f>
        <v>12000</v>
      </c>
      <c r="J27">
        <f>IF(pogoda4[[#This Row],[stan_po_dolaniu]]&lt;pogoda4[[#This Row],[ile_podlewamy]],$AB$2-pogoda4[[#This Row],[stan_po_dolaniu]],0)</f>
        <v>0</v>
      </c>
      <c r="K27">
        <f>pogoda4[[#This Row],[stan_po_dolaniu]]+pogoda4[[#This Row],[ile_dolać_do_podlania]]</f>
        <v>24520</v>
      </c>
      <c r="L27">
        <f>pogoda4[[#This Row],[stan_po_dolaniu_do_podlania]]-pogoda4[[#This Row],[ile_podlewamy]]</f>
        <v>12520</v>
      </c>
    </row>
    <row r="28" spans="1:12" x14ac:dyDescent="0.25">
      <c r="A28" s="2">
        <v>42121</v>
      </c>
      <c r="B28">
        <v>16</v>
      </c>
      <c r="C28">
        <v>1</v>
      </c>
      <c r="D28">
        <f t="shared" si="0"/>
        <v>12520</v>
      </c>
      <c r="E28">
        <f>IF(C28=0,ROUNDUP($AB$3*POWER(pogoda4[[#This Row],[temperatura_srednia]],1.5)*pogoda4[[#This Row],[stan_przed_dolaniem]],0),0)</f>
        <v>0</v>
      </c>
      <c r="F28">
        <f>pogoda4[[#This Row],[stan_przed_dolaniem]]-pogoda4[[#This Row],[ubytek]]</f>
        <v>12520</v>
      </c>
      <c r="G28">
        <f>IF(pogoda4[[#This Row],[opady]]*$AB$1+D28&gt;$AB$2,$AB$2-pogoda4[[#This Row],[stan_przed_dolaniem]],pogoda4[[#This Row],[opady]]*$AB$1)</f>
        <v>700</v>
      </c>
      <c r="H28">
        <f>pogoda4[[#This Row],[stan_po_ubytku]]+pogoda4[[#This Row],[ile_pogoda_dolała]]</f>
        <v>13220</v>
      </c>
      <c r="I28" cm="1">
        <f t="array" ref="I28">_xlfn.IFS(OR(pogoda4[[#This Row],[temperatura_srednia]]&lt;=15,pogoda4[[#This Row],[opady]]&gt;0.61),0,pogoda4[[#This Row],[temperatura_srednia]]&gt;30,24000,pogoda4[[#This Row],[temperatura_srednia]]&gt;15,12000)</f>
        <v>0</v>
      </c>
      <c r="J28">
        <f>IF(pogoda4[[#This Row],[stan_po_dolaniu]]&lt;pogoda4[[#This Row],[ile_podlewamy]],$AB$2-pogoda4[[#This Row],[stan_po_dolaniu]],0)</f>
        <v>0</v>
      </c>
      <c r="K28">
        <f>pogoda4[[#This Row],[stan_po_dolaniu]]+pogoda4[[#This Row],[ile_dolać_do_podlania]]</f>
        <v>13220</v>
      </c>
      <c r="L28">
        <f>pogoda4[[#This Row],[stan_po_dolaniu_do_podlania]]-pogoda4[[#This Row],[ile_podlewamy]]</f>
        <v>13220</v>
      </c>
    </row>
    <row r="29" spans="1:12" x14ac:dyDescent="0.25">
      <c r="A29" s="2">
        <v>42122</v>
      </c>
      <c r="B29">
        <v>6</v>
      </c>
      <c r="C29">
        <v>2</v>
      </c>
      <c r="D29">
        <f t="shared" si="0"/>
        <v>13220</v>
      </c>
      <c r="E29">
        <f>IF(C29=0,ROUNDUP($AB$3*POWER(pogoda4[[#This Row],[temperatura_srednia]],1.5)*pogoda4[[#This Row],[stan_przed_dolaniem]],0),0)</f>
        <v>0</v>
      </c>
      <c r="F29">
        <f>pogoda4[[#This Row],[stan_przed_dolaniem]]-pogoda4[[#This Row],[ubytek]]</f>
        <v>13220</v>
      </c>
      <c r="G29">
        <f>IF(pogoda4[[#This Row],[opady]]*$AB$1+D29&gt;$AB$2,$AB$2-pogoda4[[#This Row],[stan_przed_dolaniem]],pogoda4[[#This Row],[opady]]*$AB$1)</f>
        <v>1400</v>
      </c>
      <c r="H29">
        <f>pogoda4[[#This Row],[stan_po_ubytku]]+pogoda4[[#This Row],[ile_pogoda_dolała]]</f>
        <v>14620</v>
      </c>
      <c r="I29" cm="1">
        <f t="array" ref="I29">_xlfn.IFS(OR(pogoda4[[#This Row],[temperatura_srednia]]&lt;=15,pogoda4[[#This Row],[opady]]&gt;0.61),0,pogoda4[[#This Row],[temperatura_srednia]]&gt;30,24000,pogoda4[[#This Row],[temperatura_srednia]]&gt;15,12000)</f>
        <v>0</v>
      </c>
      <c r="J29">
        <f>IF(pogoda4[[#This Row],[stan_po_dolaniu]]&lt;pogoda4[[#This Row],[ile_podlewamy]],$AB$2-pogoda4[[#This Row],[stan_po_dolaniu]],0)</f>
        <v>0</v>
      </c>
      <c r="K29">
        <f>pogoda4[[#This Row],[stan_po_dolaniu]]+pogoda4[[#This Row],[ile_dolać_do_podlania]]</f>
        <v>14620</v>
      </c>
      <c r="L29">
        <f>pogoda4[[#This Row],[stan_po_dolaniu_do_podlania]]-pogoda4[[#This Row],[ile_podlewamy]]</f>
        <v>14620</v>
      </c>
    </row>
    <row r="30" spans="1:12" x14ac:dyDescent="0.25">
      <c r="A30" s="2">
        <v>42123</v>
      </c>
      <c r="B30">
        <v>7</v>
      </c>
      <c r="C30">
        <v>0</v>
      </c>
      <c r="D30">
        <f t="shared" si="0"/>
        <v>14620</v>
      </c>
      <c r="E30">
        <f>IF(C30=0,ROUNDUP($AB$3*POWER(pogoda4[[#This Row],[temperatura_srednia]],1.5)*pogoda4[[#This Row],[stan_przed_dolaniem]],0),0)</f>
        <v>82</v>
      </c>
      <c r="F30">
        <f>pogoda4[[#This Row],[stan_przed_dolaniem]]-pogoda4[[#This Row],[ubytek]]</f>
        <v>14538</v>
      </c>
      <c r="G30">
        <f>IF(pogoda4[[#This Row],[opady]]*$AB$1+D30&gt;$AB$2,$AB$2-pogoda4[[#This Row],[stan_przed_dolaniem]],pogoda4[[#This Row],[opady]]*$AB$1)</f>
        <v>0</v>
      </c>
      <c r="H30">
        <f>pogoda4[[#This Row],[stan_po_ubytku]]+pogoda4[[#This Row],[ile_pogoda_dolała]]</f>
        <v>14538</v>
      </c>
      <c r="I30" cm="1">
        <f t="array" ref="I30">_xlfn.IFS(OR(pogoda4[[#This Row],[temperatura_srednia]]&lt;=15,pogoda4[[#This Row],[opady]]&gt;0.61),0,pogoda4[[#This Row],[temperatura_srednia]]&gt;30,24000,pogoda4[[#This Row],[temperatura_srednia]]&gt;15,12000)</f>
        <v>0</v>
      </c>
      <c r="J30">
        <f>IF(pogoda4[[#This Row],[stan_po_dolaniu]]&lt;pogoda4[[#This Row],[ile_podlewamy]],$AB$2-pogoda4[[#This Row],[stan_po_dolaniu]],0)</f>
        <v>0</v>
      </c>
      <c r="K30">
        <f>pogoda4[[#This Row],[stan_po_dolaniu]]+pogoda4[[#This Row],[ile_dolać_do_podlania]]</f>
        <v>14538</v>
      </c>
      <c r="L30">
        <f>pogoda4[[#This Row],[stan_po_dolaniu_do_podlania]]-pogoda4[[#This Row],[ile_podlewamy]]</f>
        <v>14538</v>
      </c>
    </row>
    <row r="31" spans="1:12" x14ac:dyDescent="0.25">
      <c r="A31" s="2">
        <v>42124</v>
      </c>
      <c r="B31">
        <v>10</v>
      </c>
      <c r="C31">
        <v>0</v>
      </c>
      <c r="D31">
        <f t="shared" si="0"/>
        <v>14538</v>
      </c>
      <c r="E31">
        <f>IF(C31=0,ROUNDUP($AB$3*POWER(pogoda4[[#This Row],[temperatura_srednia]],1.5)*pogoda4[[#This Row],[stan_przed_dolaniem]],0),0)</f>
        <v>138</v>
      </c>
      <c r="F31">
        <f>pogoda4[[#This Row],[stan_przed_dolaniem]]-pogoda4[[#This Row],[ubytek]]</f>
        <v>14400</v>
      </c>
      <c r="G31">
        <f>IF(pogoda4[[#This Row],[opady]]*$AB$1+D31&gt;$AB$2,$AB$2-pogoda4[[#This Row],[stan_przed_dolaniem]],pogoda4[[#This Row],[opady]]*$AB$1)</f>
        <v>0</v>
      </c>
      <c r="H31">
        <f>pogoda4[[#This Row],[stan_po_ubytku]]+pogoda4[[#This Row],[ile_pogoda_dolała]]</f>
        <v>14400</v>
      </c>
      <c r="I31" cm="1">
        <f t="array" ref="I31">_xlfn.IFS(OR(pogoda4[[#This Row],[temperatura_srednia]]&lt;=15,pogoda4[[#This Row],[opady]]&gt;0.61),0,pogoda4[[#This Row],[temperatura_srednia]]&gt;30,24000,pogoda4[[#This Row],[temperatura_srednia]]&gt;15,12000)</f>
        <v>0</v>
      </c>
      <c r="J31">
        <f>IF(pogoda4[[#This Row],[stan_po_dolaniu]]&lt;pogoda4[[#This Row],[ile_podlewamy]],$AB$2-pogoda4[[#This Row],[stan_po_dolaniu]],0)</f>
        <v>0</v>
      </c>
      <c r="K31">
        <f>pogoda4[[#This Row],[stan_po_dolaniu]]+pogoda4[[#This Row],[ile_dolać_do_podlania]]</f>
        <v>14400</v>
      </c>
      <c r="L31">
        <f>pogoda4[[#This Row],[stan_po_dolaniu_do_podlania]]-pogoda4[[#This Row],[ile_podlewamy]]</f>
        <v>14400</v>
      </c>
    </row>
    <row r="32" spans="1:12" x14ac:dyDescent="0.25">
      <c r="A32" s="2">
        <v>42125</v>
      </c>
      <c r="B32">
        <v>10</v>
      </c>
      <c r="C32">
        <v>4</v>
      </c>
      <c r="D32">
        <f t="shared" si="0"/>
        <v>14400</v>
      </c>
      <c r="E32">
        <f>IF(C32=0,ROUNDUP($AB$3*POWER(pogoda4[[#This Row],[temperatura_srednia]],1.5)*pogoda4[[#This Row],[stan_przed_dolaniem]],0),0)</f>
        <v>0</v>
      </c>
      <c r="F32">
        <f>pogoda4[[#This Row],[stan_przed_dolaniem]]-pogoda4[[#This Row],[ubytek]]</f>
        <v>14400</v>
      </c>
      <c r="G32">
        <f>IF(pogoda4[[#This Row],[opady]]*$AB$1+D32&gt;$AB$2,$AB$2-pogoda4[[#This Row],[stan_przed_dolaniem]],pogoda4[[#This Row],[opady]]*$AB$1)</f>
        <v>2800</v>
      </c>
      <c r="H32">
        <f>pogoda4[[#This Row],[stan_po_ubytku]]+pogoda4[[#This Row],[ile_pogoda_dolała]]</f>
        <v>17200</v>
      </c>
      <c r="I32" cm="1">
        <f t="array" ref="I32">_xlfn.IFS(OR(pogoda4[[#This Row],[temperatura_srednia]]&lt;=15,pogoda4[[#This Row],[opady]]&gt;0.61),0,pogoda4[[#This Row],[temperatura_srednia]]&gt;30,24000,pogoda4[[#This Row],[temperatura_srednia]]&gt;15,12000)</f>
        <v>0</v>
      </c>
      <c r="J32">
        <f>IF(pogoda4[[#This Row],[stan_po_dolaniu]]&lt;pogoda4[[#This Row],[ile_podlewamy]],$AB$2-pogoda4[[#This Row],[stan_po_dolaniu]],0)</f>
        <v>0</v>
      </c>
      <c r="K32">
        <f>pogoda4[[#This Row],[stan_po_dolaniu]]+pogoda4[[#This Row],[ile_dolać_do_podlania]]</f>
        <v>17200</v>
      </c>
      <c r="L32">
        <f>pogoda4[[#This Row],[stan_po_dolaniu_do_podlania]]-pogoda4[[#This Row],[ile_podlewamy]]</f>
        <v>17200</v>
      </c>
    </row>
    <row r="33" spans="1:12" x14ac:dyDescent="0.25">
      <c r="A33" s="2">
        <v>42126</v>
      </c>
      <c r="B33">
        <v>7</v>
      </c>
      <c r="C33">
        <v>5</v>
      </c>
      <c r="D33">
        <f t="shared" si="0"/>
        <v>17200</v>
      </c>
      <c r="E33">
        <f>IF(C33=0,ROUNDUP($AB$3*POWER(pogoda4[[#This Row],[temperatura_srednia]],1.5)*pogoda4[[#This Row],[stan_przed_dolaniem]],0),0)</f>
        <v>0</v>
      </c>
      <c r="F33">
        <f>pogoda4[[#This Row],[stan_przed_dolaniem]]-pogoda4[[#This Row],[ubytek]]</f>
        <v>17200</v>
      </c>
      <c r="G33">
        <f>IF(pogoda4[[#This Row],[opady]]*$AB$1+D33&gt;$AB$2,$AB$2-pogoda4[[#This Row],[stan_przed_dolaniem]],pogoda4[[#This Row],[opady]]*$AB$1)</f>
        <v>3500</v>
      </c>
      <c r="H33">
        <f>pogoda4[[#This Row],[stan_po_ubytku]]+pogoda4[[#This Row],[ile_pogoda_dolała]]</f>
        <v>20700</v>
      </c>
      <c r="I33" cm="1">
        <f t="array" ref="I33">_xlfn.IFS(OR(pogoda4[[#This Row],[temperatura_srednia]]&lt;=15,pogoda4[[#This Row],[opady]]&gt;0.61),0,pogoda4[[#This Row],[temperatura_srednia]]&gt;30,24000,pogoda4[[#This Row],[temperatura_srednia]]&gt;15,12000)</f>
        <v>0</v>
      </c>
      <c r="J33">
        <f>IF(pogoda4[[#This Row],[stan_po_dolaniu]]&lt;pogoda4[[#This Row],[ile_podlewamy]],$AB$2-pogoda4[[#This Row],[stan_po_dolaniu]],0)</f>
        <v>0</v>
      </c>
      <c r="K33">
        <f>pogoda4[[#This Row],[stan_po_dolaniu]]+pogoda4[[#This Row],[ile_dolać_do_podlania]]</f>
        <v>20700</v>
      </c>
      <c r="L33">
        <f>pogoda4[[#This Row],[stan_po_dolaniu_do_podlania]]-pogoda4[[#This Row],[ile_podlewamy]]</f>
        <v>20700</v>
      </c>
    </row>
    <row r="34" spans="1:12" x14ac:dyDescent="0.25">
      <c r="A34" s="2">
        <v>42127</v>
      </c>
      <c r="B34">
        <v>9</v>
      </c>
      <c r="C34">
        <v>4</v>
      </c>
      <c r="D34">
        <f t="shared" si="0"/>
        <v>20700</v>
      </c>
      <c r="E34">
        <f>IF(C34=0,ROUNDUP($AB$3*POWER(pogoda4[[#This Row],[temperatura_srednia]],1.5)*pogoda4[[#This Row],[stan_przed_dolaniem]],0),0)</f>
        <v>0</v>
      </c>
      <c r="F34">
        <f>pogoda4[[#This Row],[stan_przed_dolaniem]]-pogoda4[[#This Row],[ubytek]]</f>
        <v>20700</v>
      </c>
      <c r="G34">
        <f>IF(pogoda4[[#This Row],[opady]]*$AB$1+D34&gt;$AB$2,$AB$2-pogoda4[[#This Row],[stan_przed_dolaniem]],pogoda4[[#This Row],[opady]]*$AB$1)</f>
        <v>2800</v>
      </c>
      <c r="H34">
        <f>pogoda4[[#This Row],[stan_po_ubytku]]+pogoda4[[#This Row],[ile_pogoda_dolała]]</f>
        <v>23500</v>
      </c>
      <c r="I34" cm="1">
        <f t="array" ref="I34">_xlfn.IFS(OR(pogoda4[[#This Row],[temperatura_srednia]]&lt;=15,pogoda4[[#This Row],[opady]]&gt;0.61),0,pogoda4[[#This Row],[temperatura_srednia]]&gt;30,24000,pogoda4[[#This Row],[temperatura_srednia]]&gt;15,12000)</f>
        <v>0</v>
      </c>
      <c r="J34">
        <f>IF(pogoda4[[#This Row],[stan_po_dolaniu]]&lt;pogoda4[[#This Row],[ile_podlewamy]],$AB$2-pogoda4[[#This Row],[stan_po_dolaniu]],0)</f>
        <v>0</v>
      </c>
      <c r="K34">
        <f>pogoda4[[#This Row],[stan_po_dolaniu]]+pogoda4[[#This Row],[ile_dolać_do_podlania]]</f>
        <v>23500</v>
      </c>
      <c r="L34">
        <f>pogoda4[[#This Row],[stan_po_dolaniu_do_podlania]]-pogoda4[[#This Row],[ile_podlewamy]]</f>
        <v>23500</v>
      </c>
    </row>
    <row r="35" spans="1:12" x14ac:dyDescent="0.25">
      <c r="A35" s="2">
        <v>42128</v>
      </c>
      <c r="B35">
        <v>15</v>
      </c>
      <c r="C35">
        <v>0.4</v>
      </c>
      <c r="D35">
        <f t="shared" si="0"/>
        <v>23500</v>
      </c>
      <c r="E35">
        <f>IF(C35=0,ROUNDUP($AB$3*POWER(pogoda4[[#This Row],[temperatura_srednia]],1.5)*pogoda4[[#This Row],[stan_przed_dolaniem]],0),0)</f>
        <v>0</v>
      </c>
      <c r="F35">
        <f>pogoda4[[#This Row],[stan_przed_dolaniem]]-pogoda4[[#This Row],[ubytek]]</f>
        <v>23500</v>
      </c>
      <c r="G35">
        <f>IF(pogoda4[[#This Row],[opady]]*$AB$1+D35&gt;$AB$2,$AB$2-pogoda4[[#This Row],[stan_przed_dolaniem]],pogoda4[[#This Row],[opady]]*$AB$1)</f>
        <v>280</v>
      </c>
      <c r="H35">
        <f>pogoda4[[#This Row],[stan_po_ubytku]]+pogoda4[[#This Row],[ile_pogoda_dolała]]</f>
        <v>23780</v>
      </c>
      <c r="I35" cm="1">
        <f t="array" ref="I35">_xlfn.IFS(OR(pogoda4[[#This Row],[temperatura_srednia]]&lt;=15,pogoda4[[#This Row],[opady]]&gt;0.61),0,pogoda4[[#This Row],[temperatura_srednia]]&gt;30,24000,pogoda4[[#This Row],[temperatura_srednia]]&gt;15,12000)</f>
        <v>0</v>
      </c>
      <c r="J35">
        <f>IF(pogoda4[[#This Row],[stan_po_dolaniu]]&lt;pogoda4[[#This Row],[ile_podlewamy]],$AB$2-pogoda4[[#This Row],[stan_po_dolaniu]],0)</f>
        <v>0</v>
      </c>
      <c r="K35">
        <f>pogoda4[[#This Row],[stan_po_dolaniu]]+pogoda4[[#This Row],[ile_dolać_do_podlania]]</f>
        <v>23780</v>
      </c>
      <c r="L35">
        <f>pogoda4[[#This Row],[stan_po_dolaniu_do_podlania]]-pogoda4[[#This Row],[ile_podlewamy]]</f>
        <v>23780</v>
      </c>
    </row>
    <row r="36" spans="1:12" x14ac:dyDescent="0.25">
      <c r="A36" s="2">
        <v>42129</v>
      </c>
      <c r="B36">
        <v>18</v>
      </c>
      <c r="C36">
        <v>0.4</v>
      </c>
      <c r="D36">
        <f t="shared" si="0"/>
        <v>23780</v>
      </c>
      <c r="E36">
        <f>IF(C36=0,ROUNDUP($AB$3*POWER(pogoda4[[#This Row],[temperatura_srednia]],1.5)*pogoda4[[#This Row],[stan_przed_dolaniem]],0),0)</f>
        <v>0</v>
      </c>
      <c r="F36">
        <f>pogoda4[[#This Row],[stan_przed_dolaniem]]-pogoda4[[#This Row],[ubytek]]</f>
        <v>23780</v>
      </c>
      <c r="G36">
        <f>IF(pogoda4[[#This Row],[opady]]*$AB$1+D36&gt;$AB$2,$AB$2-pogoda4[[#This Row],[stan_przed_dolaniem]],pogoda4[[#This Row],[opady]]*$AB$1)</f>
        <v>280</v>
      </c>
      <c r="H36">
        <f>pogoda4[[#This Row],[stan_po_ubytku]]+pogoda4[[#This Row],[ile_pogoda_dolała]]</f>
        <v>24060</v>
      </c>
      <c r="I36" cm="1">
        <f t="array" ref="I36">_xlfn.IFS(OR(pogoda4[[#This Row],[temperatura_srednia]]&lt;=15,pogoda4[[#This Row],[opady]]&gt;0.61),0,pogoda4[[#This Row],[temperatura_srednia]]&gt;30,24000,pogoda4[[#This Row],[temperatura_srednia]]&gt;15,12000)</f>
        <v>12000</v>
      </c>
      <c r="J36">
        <f>IF(pogoda4[[#This Row],[stan_po_dolaniu]]&lt;pogoda4[[#This Row],[ile_podlewamy]],$AB$2-pogoda4[[#This Row],[stan_po_dolaniu]],0)</f>
        <v>0</v>
      </c>
      <c r="K36">
        <f>pogoda4[[#This Row],[stan_po_dolaniu]]+pogoda4[[#This Row],[ile_dolać_do_podlania]]</f>
        <v>24060</v>
      </c>
      <c r="L36">
        <f>pogoda4[[#This Row],[stan_po_dolaniu_do_podlania]]-pogoda4[[#This Row],[ile_podlewamy]]</f>
        <v>12060</v>
      </c>
    </row>
    <row r="37" spans="1:12" x14ac:dyDescent="0.25">
      <c r="A37" s="2">
        <v>42130</v>
      </c>
      <c r="B37">
        <v>16</v>
      </c>
      <c r="C37">
        <v>0</v>
      </c>
      <c r="D37">
        <f t="shared" si="0"/>
        <v>12060</v>
      </c>
      <c r="E37">
        <f>IF(C37=0,ROUNDUP($AB$3*POWER(pogoda4[[#This Row],[temperatura_srednia]],1.5)*pogoda4[[#This Row],[stan_przed_dolaniem]],0),0)</f>
        <v>232</v>
      </c>
      <c r="F37">
        <f>pogoda4[[#This Row],[stan_przed_dolaniem]]-pogoda4[[#This Row],[ubytek]]</f>
        <v>11828</v>
      </c>
      <c r="G37">
        <f>IF(pogoda4[[#This Row],[opady]]*$AB$1+D37&gt;$AB$2,$AB$2-pogoda4[[#This Row],[stan_przed_dolaniem]],pogoda4[[#This Row],[opady]]*$AB$1)</f>
        <v>0</v>
      </c>
      <c r="H37">
        <f>pogoda4[[#This Row],[stan_po_ubytku]]+pogoda4[[#This Row],[ile_pogoda_dolała]]</f>
        <v>11828</v>
      </c>
      <c r="I37" cm="1">
        <f t="array" ref="I37">_xlfn.IFS(OR(pogoda4[[#This Row],[temperatura_srednia]]&lt;=15,pogoda4[[#This Row],[opady]]&gt;0.61),0,pogoda4[[#This Row],[temperatura_srednia]]&gt;30,24000,pogoda4[[#This Row],[temperatura_srednia]]&gt;15,12000)</f>
        <v>12000</v>
      </c>
      <c r="J37">
        <f>IF(pogoda4[[#This Row],[stan_po_dolaniu]]&lt;pogoda4[[#This Row],[ile_podlewamy]],$AB$2-pogoda4[[#This Row],[stan_po_dolaniu]],0)</f>
        <v>13172</v>
      </c>
      <c r="K37">
        <f>pogoda4[[#This Row],[stan_po_dolaniu]]+pogoda4[[#This Row],[ile_dolać_do_podlania]]</f>
        <v>25000</v>
      </c>
      <c r="L37">
        <f>pogoda4[[#This Row],[stan_po_dolaniu_do_podlania]]-pogoda4[[#This Row],[ile_podlewamy]]</f>
        <v>13000</v>
      </c>
    </row>
    <row r="38" spans="1:12" x14ac:dyDescent="0.25">
      <c r="A38" s="2">
        <v>42131</v>
      </c>
      <c r="B38">
        <v>14</v>
      </c>
      <c r="C38">
        <v>0</v>
      </c>
      <c r="D38">
        <f t="shared" si="0"/>
        <v>13000</v>
      </c>
      <c r="E38">
        <f>IF(C38=0,ROUNDUP($AB$3*POWER(pogoda4[[#This Row],[temperatura_srednia]],1.5)*pogoda4[[#This Row],[stan_przed_dolaniem]],0),0)</f>
        <v>205</v>
      </c>
      <c r="F38">
        <f>pogoda4[[#This Row],[stan_przed_dolaniem]]-pogoda4[[#This Row],[ubytek]]</f>
        <v>12795</v>
      </c>
      <c r="G38">
        <f>IF(pogoda4[[#This Row],[opady]]*$AB$1+D38&gt;$AB$2,$AB$2-pogoda4[[#This Row],[stan_przed_dolaniem]],pogoda4[[#This Row],[opady]]*$AB$1)</f>
        <v>0</v>
      </c>
      <c r="H38">
        <f>pogoda4[[#This Row],[stan_po_ubytku]]+pogoda4[[#This Row],[ile_pogoda_dolała]]</f>
        <v>12795</v>
      </c>
      <c r="I38" cm="1">
        <f t="array" ref="I38">_xlfn.IFS(OR(pogoda4[[#This Row],[temperatura_srednia]]&lt;=15,pogoda4[[#This Row],[opady]]&gt;0.61),0,pogoda4[[#This Row],[temperatura_srednia]]&gt;30,24000,pogoda4[[#This Row],[temperatura_srednia]]&gt;15,12000)</f>
        <v>0</v>
      </c>
      <c r="J38">
        <f>IF(pogoda4[[#This Row],[stan_po_dolaniu]]&lt;pogoda4[[#This Row],[ile_podlewamy]],$AB$2-pogoda4[[#This Row],[stan_po_dolaniu]],0)</f>
        <v>0</v>
      </c>
      <c r="K38">
        <f>pogoda4[[#This Row],[stan_po_dolaniu]]+pogoda4[[#This Row],[ile_dolać_do_podlania]]</f>
        <v>12795</v>
      </c>
      <c r="L38">
        <f>pogoda4[[#This Row],[stan_po_dolaniu_do_podlania]]-pogoda4[[#This Row],[ile_podlewamy]]</f>
        <v>12795</v>
      </c>
    </row>
    <row r="39" spans="1:12" x14ac:dyDescent="0.25">
      <c r="A39" s="2">
        <v>42132</v>
      </c>
      <c r="B39">
        <v>10</v>
      </c>
      <c r="C39">
        <v>0</v>
      </c>
      <c r="D39">
        <f t="shared" si="0"/>
        <v>12795</v>
      </c>
      <c r="E39">
        <f>IF(C39=0,ROUNDUP($AB$3*POWER(pogoda4[[#This Row],[temperatura_srednia]],1.5)*pogoda4[[#This Row],[stan_przed_dolaniem]],0),0)</f>
        <v>122</v>
      </c>
      <c r="F39">
        <f>pogoda4[[#This Row],[stan_przed_dolaniem]]-pogoda4[[#This Row],[ubytek]]</f>
        <v>12673</v>
      </c>
      <c r="G39">
        <f>IF(pogoda4[[#This Row],[opady]]*$AB$1+D39&gt;$AB$2,$AB$2-pogoda4[[#This Row],[stan_przed_dolaniem]],pogoda4[[#This Row],[opady]]*$AB$1)</f>
        <v>0</v>
      </c>
      <c r="H39">
        <f>pogoda4[[#This Row],[stan_po_ubytku]]+pogoda4[[#This Row],[ile_pogoda_dolała]]</f>
        <v>12673</v>
      </c>
      <c r="I39" cm="1">
        <f t="array" ref="I39">_xlfn.IFS(OR(pogoda4[[#This Row],[temperatura_srednia]]&lt;=15,pogoda4[[#This Row],[opady]]&gt;0.61),0,pogoda4[[#This Row],[temperatura_srednia]]&gt;30,24000,pogoda4[[#This Row],[temperatura_srednia]]&gt;15,12000)</f>
        <v>0</v>
      </c>
      <c r="J39">
        <f>IF(pogoda4[[#This Row],[stan_po_dolaniu]]&lt;pogoda4[[#This Row],[ile_podlewamy]],$AB$2-pogoda4[[#This Row],[stan_po_dolaniu]],0)</f>
        <v>0</v>
      </c>
      <c r="K39">
        <f>pogoda4[[#This Row],[stan_po_dolaniu]]+pogoda4[[#This Row],[ile_dolać_do_podlania]]</f>
        <v>12673</v>
      </c>
      <c r="L39">
        <f>pogoda4[[#This Row],[stan_po_dolaniu_do_podlania]]-pogoda4[[#This Row],[ile_podlewamy]]</f>
        <v>12673</v>
      </c>
    </row>
    <row r="40" spans="1:12" x14ac:dyDescent="0.25">
      <c r="A40" s="2">
        <v>42133</v>
      </c>
      <c r="B40">
        <v>14</v>
      </c>
      <c r="C40">
        <v>0.3</v>
      </c>
      <c r="D40">
        <f t="shared" si="0"/>
        <v>12673</v>
      </c>
      <c r="E40">
        <f>IF(C40=0,ROUNDUP($AB$3*POWER(pogoda4[[#This Row],[temperatura_srednia]],1.5)*pogoda4[[#This Row],[stan_przed_dolaniem]],0),0)</f>
        <v>0</v>
      </c>
      <c r="F40">
        <f>pogoda4[[#This Row],[stan_przed_dolaniem]]-pogoda4[[#This Row],[ubytek]]</f>
        <v>12673</v>
      </c>
      <c r="G40">
        <f>IF(pogoda4[[#This Row],[opady]]*$AB$1+D40&gt;$AB$2,$AB$2-pogoda4[[#This Row],[stan_przed_dolaniem]],pogoda4[[#This Row],[opady]]*$AB$1)</f>
        <v>210</v>
      </c>
      <c r="H40">
        <f>pogoda4[[#This Row],[stan_po_ubytku]]+pogoda4[[#This Row],[ile_pogoda_dolała]]</f>
        <v>12883</v>
      </c>
      <c r="I40" cm="1">
        <f t="array" ref="I40">_xlfn.IFS(OR(pogoda4[[#This Row],[temperatura_srednia]]&lt;=15,pogoda4[[#This Row],[opady]]&gt;0.61),0,pogoda4[[#This Row],[temperatura_srednia]]&gt;30,24000,pogoda4[[#This Row],[temperatura_srednia]]&gt;15,12000)</f>
        <v>0</v>
      </c>
      <c r="J40">
        <f>IF(pogoda4[[#This Row],[stan_po_dolaniu]]&lt;pogoda4[[#This Row],[ile_podlewamy]],$AB$2-pogoda4[[#This Row],[stan_po_dolaniu]],0)</f>
        <v>0</v>
      </c>
      <c r="K40">
        <f>pogoda4[[#This Row],[stan_po_dolaniu]]+pogoda4[[#This Row],[ile_dolać_do_podlania]]</f>
        <v>12883</v>
      </c>
      <c r="L40">
        <f>pogoda4[[#This Row],[stan_po_dolaniu_do_podlania]]-pogoda4[[#This Row],[ile_podlewamy]]</f>
        <v>12883</v>
      </c>
    </row>
    <row r="41" spans="1:12" x14ac:dyDescent="0.25">
      <c r="A41" s="2">
        <v>42134</v>
      </c>
      <c r="B41">
        <v>12</v>
      </c>
      <c r="C41">
        <v>0.1</v>
      </c>
      <c r="D41">
        <f t="shared" si="0"/>
        <v>12883</v>
      </c>
      <c r="E41">
        <f>IF(C41=0,ROUNDUP($AB$3*POWER(pogoda4[[#This Row],[temperatura_srednia]],1.5)*pogoda4[[#This Row],[stan_przed_dolaniem]],0),0)</f>
        <v>0</v>
      </c>
      <c r="F41">
        <f>pogoda4[[#This Row],[stan_przed_dolaniem]]-pogoda4[[#This Row],[ubytek]]</f>
        <v>12883</v>
      </c>
      <c r="G41">
        <f>IF(pogoda4[[#This Row],[opady]]*$AB$1+D41&gt;$AB$2,$AB$2-pogoda4[[#This Row],[stan_przed_dolaniem]],pogoda4[[#This Row],[opady]]*$AB$1)</f>
        <v>70</v>
      </c>
      <c r="H41">
        <f>pogoda4[[#This Row],[stan_po_ubytku]]+pogoda4[[#This Row],[ile_pogoda_dolała]]</f>
        <v>12953</v>
      </c>
      <c r="I41" cm="1">
        <f t="array" ref="I41">_xlfn.IFS(OR(pogoda4[[#This Row],[temperatura_srednia]]&lt;=15,pogoda4[[#This Row],[opady]]&gt;0.61),0,pogoda4[[#This Row],[temperatura_srednia]]&gt;30,24000,pogoda4[[#This Row],[temperatura_srednia]]&gt;15,12000)</f>
        <v>0</v>
      </c>
      <c r="J41">
        <f>IF(pogoda4[[#This Row],[stan_po_dolaniu]]&lt;pogoda4[[#This Row],[ile_podlewamy]],$AB$2-pogoda4[[#This Row],[stan_po_dolaniu]],0)</f>
        <v>0</v>
      </c>
      <c r="K41">
        <f>pogoda4[[#This Row],[stan_po_dolaniu]]+pogoda4[[#This Row],[ile_dolać_do_podlania]]</f>
        <v>12953</v>
      </c>
      <c r="L41">
        <f>pogoda4[[#This Row],[stan_po_dolaniu_do_podlania]]-pogoda4[[#This Row],[ile_podlewamy]]</f>
        <v>12953</v>
      </c>
    </row>
    <row r="42" spans="1:12" x14ac:dyDescent="0.25">
      <c r="A42" s="2">
        <v>42135</v>
      </c>
      <c r="B42">
        <v>11</v>
      </c>
      <c r="C42">
        <v>0</v>
      </c>
      <c r="D42">
        <f t="shared" si="0"/>
        <v>12953</v>
      </c>
      <c r="E42">
        <f>IF(C42=0,ROUNDUP($AB$3*POWER(pogoda4[[#This Row],[temperatura_srednia]],1.5)*pogoda4[[#This Row],[stan_przed_dolaniem]],0),0)</f>
        <v>142</v>
      </c>
      <c r="F42">
        <f>pogoda4[[#This Row],[stan_przed_dolaniem]]-pogoda4[[#This Row],[ubytek]]</f>
        <v>12811</v>
      </c>
      <c r="G42">
        <f>IF(pogoda4[[#This Row],[opady]]*$AB$1+D42&gt;$AB$2,$AB$2-pogoda4[[#This Row],[stan_przed_dolaniem]],pogoda4[[#This Row],[opady]]*$AB$1)</f>
        <v>0</v>
      </c>
      <c r="H42">
        <f>pogoda4[[#This Row],[stan_po_ubytku]]+pogoda4[[#This Row],[ile_pogoda_dolała]]</f>
        <v>12811</v>
      </c>
      <c r="I42" cm="1">
        <f t="array" ref="I42">_xlfn.IFS(OR(pogoda4[[#This Row],[temperatura_srednia]]&lt;=15,pogoda4[[#This Row],[opady]]&gt;0.61),0,pogoda4[[#This Row],[temperatura_srednia]]&gt;30,24000,pogoda4[[#This Row],[temperatura_srednia]]&gt;15,12000)</f>
        <v>0</v>
      </c>
      <c r="J42">
        <f>IF(pogoda4[[#This Row],[stan_po_dolaniu]]&lt;pogoda4[[#This Row],[ile_podlewamy]],$AB$2-pogoda4[[#This Row],[stan_po_dolaniu]],0)</f>
        <v>0</v>
      </c>
      <c r="K42">
        <f>pogoda4[[#This Row],[stan_po_dolaniu]]+pogoda4[[#This Row],[ile_dolać_do_podlania]]</f>
        <v>12811</v>
      </c>
      <c r="L42">
        <f>pogoda4[[#This Row],[stan_po_dolaniu_do_podlania]]-pogoda4[[#This Row],[ile_podlewamy]]</f>
        <v>12811</v>
      </c>
    </row>
    <row r="43" spans="1:12" x14ac:dyDescent="0.25">
      <c r="A43" s="2">
        <v>42136</v>
      </c>
      <c r="B43">
        <v>16</v>
      </c>
      <c r="C43">
        <v>3</v>
      </c>
      <c r="D43">
        <f t="shared" si="0"/>
        <v>12811</v>
      </c>
      <c r="E43">
        <f>IF(C43=0,ROUNDUP($AB$3*POWER(pogoda4[[#This Row],[temperatura_srednia]],1.5)*pogoda4[[#This Row],[stan_przed_dolaniem]],0),0)</f>
        <v>0</v>
      </c>
      <c r="F43">
        <f>pogoda4[[#This Row],[stan_przed_dolaniem]]-pogoda4[[#This Row],[ubytek]]</f>
        <v>12811</v>
      </c>
      <c r="G43">
        <f>IF(pogoda4[[#This Row],[opady]]*$AB$1+D43&gt;$AB$2,$AB$2-pogoda4[[#This Row],[stan_przed_dolaniem]],pogoda4[[#This Row],[opady]]*$AB$1)</f>
        <v>2100</v>
      </c>
      <c r="H43">
        <f>pogoda4[[#This Row],[stan_po_ubytku]]+pogoda4[[#This Row],[ile_pogoda_dolała]]</f>
        <v>14911</v>
      </c>
      <c r="I43" cm="1">
        <f t="array" ref="I43">_xlfn.IFS(OR(pogoda4[[#This Row],[temperatura_srednia]]&lt;=15,pogoda4[[#This Row],[opady]]&gt;0.61),0,pogoda4[[#This Row],[temperatura_srednia]]&gt;30,24000,pogoda4[[#This Row],[temperatura_srednia]]&gt;15,12000)</f>
        <v>0</v>
      </c>
      <c r="J43">
        <f>IF(pogoda4[[#This Row],[stan_po_dolaniu]]&lt;pogoda4[[#This Row],[ile_podlewamy]],$AB$2-pogoda4[[#This Row],[stan_po_dolaniu]],0)</f>
        <v>0</v>
      </c>
      <c r="K43">
        <f>pogoda4[[#This Row],[stan_po_dolaniu]]+pogoda4[[#This Row],[ile_dolać_do_podlania]]</f>
        <v>14911</v>
      </c>
      <c r="L43">
        <f>pogoda4[[#This Row],[stan_po_dolaniu_do_podlania]]-pogoda4[[#This Row],[ile_podlewamy]]</f>
        <v>14911</v>
      </c>
    </row>
    <row r="44" spans="1:12" x14ac:dyDescent="0.25">
      <c r="A44" s="2">
        <v>42137</v>
      </c>
      <c r="B44">
        <v>12</v>
      </c>
      <c r="C44">
        <v>0</v>
      </c>
      <c r="D44">
        <f t="shared" si="0"/>
        <v>14911</v>
      </c>
      <c r="E44">
        <f>IF(C44=0,ROUNDUP($AB$3*POWER(pogoda4[[#This Row],[temperatura_srednia]],1.5)*pogoda4[[#This Row],[stan_przed_dolaniem]],0),0)</f>
        <v>186</v>
      </c>
      <c r="F44">
        <f>pogoda4[[#This Row],[stan_przed_dolaniem]]-pogoda4[[#This Row],[ubytek]]</f>
        <v>14725</v>
      </c>
      <c r="G44">
        <f>IF(pogoda4[[#This Row],[opady]]*$AB$1+D44&gt;$AB$2,$AB$2-pogoda4[[#This Row],[stan_przed_dolaniem]],pogoda4[[#This Row],[opady]]*$AB$1)</f>
        <v>0</v>
      </c>
      <c r="H44">
        <f>pogoda4[[#This Row],[stan_po_ubytku]]+pogoda4[[#This Row],[ile_pogoda_dolała]]</f>
        <v>14725</v>
      </c>
      <c r="I44" cm="1">
        <f t="array" ref="I44">_xlfn.IFS(OR(pogoda4[[#This Row],[temperatura_srednia]]&lt;=15,pogoda4[[#This Row],[opady]]&gt;0.61),0,pogoda4[[#This Row],[temperatura_srednia]]&gt;30,24000,pogoda4[[#This Row],[temperatura_srednia]]&gt;15,12000)</f>
        <v>0</v>
      </c>
      <c r="J44">
        <f>IF(pogoda4[[#This Row],[stan_po_dolaniu]]&lt;pogoda4[[#This Row],[ile_podlewamy]],$AB$2-pogoda4[[#This Row],[stan_po_dolaniu]],0)</f>
        <v>0</v>
      </c>
      <c r="K44">
        <f>pogoda4[[#This Row],[stan_po_dolaniu]]+pogoda4[[#This Row],[ile_dolać_do_podlania]]</f>
        <v>14725</v>
      </c>
      <c r="L44">
        <f>pogoda4[[#This Row],[stan_po_dolaniu_do_podlania]]-pogoda4[[#This Row],[ile_podlewamy]]</f>
        <v>14725</v>
      </c>
    </row>
    <row r="45" spans="1:12" x14ac:dyDescent="0.25">
      <c r="A45" s="2">
        <v>42138</v>
      </c>
      <c r="B45">
        <v>10</v>
      </c>
      <c r="C45">
        <v>0</v>
      </c>
      <c r="D45">
        <f t="shared" si="0"/>
        <v>14725</v>
      </c>
      <c r="E45">
        <f>IF(C45=0,ROUNDUP($AB$3*POWER(pogoda4[[#This Row],[temperatura_srednia]],1.5)*pogoda4[[#This Row],[stan_przed_dolaniem]],0),0)</f>
        <v>140</v>
      </c>
      <c r="F45">
        <f>pogoda4[[#This Row],[stan_przed_dolaniem]]-pogoda4[[#This Row],[ubytek]]</f>
        <v>14585</v>
      </c>
      <c r="G45">
        <f>IF(pogoda4[[#This Row],[opady]]*$AB$1+D45&gt;$AB$2,$AB$2-pogoda4[[#This Row],[stan_przed_dolaniem]],pogoda4[[#This Row],[opady]]*$AB$1)</f>
        <v>0</v>
      </c>
      <c r="H45">
        <f>pogoda4[[#This Row],[stan_po_ubytku]]+pogoda4[[#This Row],[ile_pogoda_dolała]]</f>
        <v>14585</v>
      </c>
      <c r="I45" cm="1">
        <f t="array" ref="I45">_xlfn.IFS(OR(pogoda4[[#This Row],[temperatura_srednia]]&lt;=15,pogoda4[[#This Row],[opady]]&gt;0.61),0,pogoda4[[#This Row],[temperatura_srednia]]&gt;30,24000,pogoda4[[#This Row],[temperatura_srednia]]&gt;15,12000)</f>
        <v>0</v>
      </c>
      <c r="J45">
        <f>IF(pogoda4[[#This Row],[stan_po_dolaniu]]&lt;pogoda4[[#This Row],[ile_podlewamy]],$AB$2-pogoda4[[#This Row],[stan_po_dolaniu]],0)</f>
        <v>0</v>
      </c>
      <c r="K45">
        <f>pogoda4[[#This Row],[stan_po_dolaniu]]+pogoda4[[#This Row],[ile_dolać_do_podlania]]</f>
        <v>14585</v>
      </c>
      <c r="L45">
        <f>pogoda4[[#This Row],[stan_po_dolaniu_do_podlania]]-pogoda4[[#This Row],[ile_podlewamy]]</f>
        <v>14585</v>
      </c>
    </row>
    <row r="46" spans="1:12" x14ac:dyDescent="0.25">
      <c r="A46" s="2">
        <v>42139</v>
      </c>
      <c r="B46">
        <v>12</v>
      </c>
      <c r="C46">
        <v>0</v>
      </c>
      <c r="D46">
        <f t="shared" si="0"/>
        <v>14585</v>
      </c>
      <c r="E46">
        <f>IF(C46=0,ROUNDUP($AB$3*POWER(pogoda4[[#This Row],[temperatura_srednia]],1.5)*pogoda4[[#This Row],[stan_przed_dolaniem]],0),0)</f>
        <v>182</v>
      </c>
      <c r="F46">
        <f>pogoda4[[#This Row],[stan_przed_dolaniem]]-pogoda4[[#This Row],[ubytek]]</f>
        <v>14403</v>
      </c>
      <c r="G46">
        <f>IF(pogoda4[[#This Row],[opady]]*$AB$1+D46&gt;$AB$2,$AB$2-pogoda4[[#This Row],[stan_przed_dolaniem]],pogoda4[[#This Row],[opady]]*$AB$1)</f>
        <v>0</v>
      </c>
      <c r="H46">
        <f>pogoda4[[#This Row],[stan_po_ubytku]]+pogoda4[[#This Row],[ile_pogoda_dolała]]</f>
        <v>14403</v>
      </c>
      <c r="I46" cm="1">
        <f t="array" ref="I46">_xlfn.IFS(OR(pogoda4[[#This Row],[temperatura_srednia]]&lt;=15,pogoda4[[#This Row],[opady]]&gt;0.61),0,pogoda4[[#This Row],[temperatura_srednia]]&gt;30,24000,pogoda4[[#This Row],[temperatura_srednia]]&gt;15,12000)</f>
        <v>0</v>
      </c>
      <c r="J46">
        <f>IF(pogoda4[[#This Row],[stan_po_dolaniu]]&lt;pogoda4[[#This Row],[ile_podlewamy]],$AB$2-pogoda4[[#This Row],[stan_po_dolaniu]],0)</f>
        <v>0</v>
      </c>
      <c r="K46">
        <f>pogoda4[[#This Row],[stan_po_dolaniu]]+pogoda4[[#This Row],[ile_dolać_do_podlania]]</f>
        <v>14403</v>
      </c>
      <c r="L46">
        <f>pogoda4[[#This Row],[stan_po_dolaniu_do_podlania]]-pogoda4[[#This Row],[ile_podlewamy]]</f>
        <v>14403</v>
      </c>
    </row>
    <row r="47" spans="1:12" x14ac:dyDescent="0.25">
      <c r="A47" s="2">
        <v>42140</v>
      </c>
      <c r="B47">
        <v>10</v>
      </c>
      <c r="C47">
        <v>1.8</v>
      </c>
      <c r="D47">
        <f t="shared" si="0"/>
        <v>14403</v>
      </c>
      <c r="E47">
        <f>IF(C47=0,ROUNDUP($AB$3*POWER(pogoda4[[#This Row],[temperatura_srednia]],1.5)*pogoda4[[#This Row],[stan_przed_dolaniem]],0),0)</f>
        <v>0</v>
      </c>
      <c r="F47">
        <f>pogoda4[[#This Row],[stan_przed_dolaniem]]-pogoda4[[#This Row],[ubytek]]</f>
        <v>14403</v>
      </c>
      <c r="G47">
        <f>IF(pogoda4[[#This Row],[opady]]*$AB$1+D47&gt;$AB$2,$AB$2-pogoda4[[#This Row],[stan_przed_dolaniem]],pogoda4[[#This Row],[opady]]*$AB$1)</f>
        <v>1260</v>
      </c>
      <c r="H47">
        <f>pogoda4[[#This Row],[stan_po_ubytku]]+pogoda4[[#This Row],[ile_pogoda_dolała]]</f>
        <v>15663</v>
      </c>
      <c r="I47" cm="1">
        <f t="array" ref="I47">_xlfn.IFS(OR(pogoda4[[#This Row],[temperatura_srednia]]&lt;=15,pogoda4[[#This Row],[opady]]&gt;0.61),0,pogoda4[[#This Row],[temperatura_srednia]]&gt;30,24000,pogoda4[[#This Row],[temperatura_srednia]]&gt;15,12000)</f>
        <v>0</v>
      </c>
      <c r="J47">
        <f>IF(pogoda4[[#This Row],[stan_po_dolaniu]]&lt;pogoda4[[#This Row],[ile_podlewamy]],$AB$2-pogoda4[[#This Row],[stan_po_dolaniu]],0)</f>
        <v>0</v>
      </c>
      <c r="K47">
        <f>pogoda4[[#This Row],[stan_po_dolaniu]]+pogoda4[[#This Row],[ile_dolać_do_podlania]]</f>
        <v>15663</v>
      </c>
      <c r="L47">
        <f>pogoda4[[#This Row],[stan_po_dolaniu_do_podlania]]-pogoda4[[#This Row],[ile_podlewamy]]</f>
        <v>15663</v>
      </c>
    </row>
    <row r="48" spans="1:12" x14ac:dyDescent="0.25">
      <c r="A48" s="2">
        <v>42141</v>
      </c>
      <c r="B48">
        <v>11</v>
      </c>
      <c r="C48">
        <v>2.8</v>
      </c>
      <c r="D48">
        <f t="shared" si="0"/>
        <v>15663</v>
      </c>
      <c r="E48">
        <f>IF(C48=0,ROUNDUP($AB$3*POWER(pogoda4[[#This Row],[temperatura_srednia]],1.5)*pogoda4[[#This Row],[stan_przed_dolaniem]],0),0)</f>
        <v>0</v>
      </c>
      <c r="F48">
        <f>pogoda4[[#This Row],[stan_przed_dolaniem]]-pogoda4[[#This Row],[ubytek]]</f>
        <v>15663</v>
      </c>
      <c r="G48">
        <f>IF(pogoda4[[#This Row],[opady]]*$AB$1+D48&gt;$AB$2,$AB$2-pogoda4[[#This Row],[stan_przed_dolaniem]],pogoda4[[#This Row],[opady]]*$AB$1)</f>
        <v>1959.9999999999998</v>
      </c>
      <c r="H48">
        <f>pogoda4[[#This Row],[stan_po_ubytku]]+pogoda4[[#This Row],[ile_pogoda_dolała]]</f>
        <v>17623</v>
      </c>
      <c r="I48" cm="1">
        <f t="array" ref="I48">_xlfn.IFS(OR(pogoda4[[#This Row],[temperatura_srednia]]&lt;=15,pogoda4[[#This Row],[opady]]&gt;0.61),0,pogoda4[[#This Row],[temperatura_srednia]]&gt;30,24000,pogoda4[[#This Row],[temperatura_srednia]]&gt;15,12000)</f>
        <v>0</v>
      </c>
      <c r="J48">
        <f>IF(pogoda4[[#This Row],[stan_po_dolaniu]]&lt;pogoda4[[#This Row],[ile_podlewamy]],$AB$2-pogoda4[[#This Row],[stan_po_dolaniu]],0)</f>
        <v>0</v>
      </c>
      <c r="K48">
        <f>pogoda4[[#This Row],[stan_po_dolaniu]]+pogoda4[[#This Row],[ile_dolać_do_podlania]]</f>
        <v>17623</v>
      </c>
      <c r="L48">
        <f>pogoda4[[#This Row],[stan_po_dolaniu_do_podlania]]-pogoda4[[#This Row],[ile_podlewamy]]</f>
        <v>17623</v>
      </c>
    </row>
    <row r="49" spans="1:12" x14ac:dyDescent="0.25">
      <c r="A49" s="2">
        <v>42142</v>
      </c>
      <c r="B49">
        <v>12</v>
      </c>
      <c r="C49">
        <v>1.9</v>
      </c>
      <c r="D49">
        <f t="shared" si="0"/>
        <v>17623</v>
      </c>
      <c r="E49">
        <f>IF(C49=0,ROUNDUP($AB$3*POWER(pogoda4[[#This Row],[temperatura_srednia]],1.5)*pogoda4[[#This Row],[stan_przed_dolaniem]],0),0)</f>
        <v>0</v>
      </c>
      <c r="F49">
        <f>pogoda4[[#This Row],[stan_przed_dolaniem]]-pogoda4[[#This Row],[ubytek]]</f>
        <v>17623</v>
      </c>
      <c r="G49">
        <f>IF(pogoda4[[#This Row],[opady]]*$AB$1+D49&gt;$AB$2,$AB$2-pogoda4[[#This Row],[stan_przed_dolaniem]],pogoda4[[#This Row],[opady]]*$AB$1)</f>
        <v>1330</v>
      </c>
      <c r="H49">
        <f>pogoda4[[#This Row],[stan_po_ubytku]]+pogoda4[[#This Row],[ile_pogoda_dolała]]</f>
        <v>18953</v>
      </c>
      <c r="I49" cm="1">
        <f t="array" ref="I49">_xlfn.IFS(OR(pogoda4[[#This Row],[temperatura_srednia]]&lt;=15,pogoda4[[#This Row],[opady]]&gt;0.61),0,pogoda4[[#This Row],[temperatura_srednia]]&gt;30,24000,pogoda4[[#This Row],[temperatura_srednia]]&gt;15,12000)</f>
        <v>0</v>
      </c>
      <c r="J49">
        <f>IF(pogoda4[[#This Row],[stan_po_dolaniu]]&lt;pogoda4[[#This Row],[ile_podlewamy]],$AB$2-pogoda4[[#This Row],[stan_po_dolaniu]],0)</f>
        <v>0</v>
      </c>
      <c r="K49">
        <f>pogoda4[[#This Row],[stan_po_dolaniu]]+pogoda4[[#This Row],[ile_dolać_do_podlania]]</f>
        <v>18953</v>
      </c>
      <c r="L49">
        <f>pogoda4[[#This Row],[stan_po_dolaniu_do_podlania]]-pogoda4[[#This Row],[ile_podlewamy]]</f>
        <v>18953</v>
      </c>
    </row>
    <row r="50" spans="1:12" x14ac:dyDescent="0.25">
      <c r="A50" s="2">
        <v>42143</v>
      </c>
      <c r="B50">
        <v>16</v>
      </c>
      <c r="C50">
        <v>2.2000000000000002</v>
      </c>
      <c r="D50">
        <f t="shared" si="0"/>
        <v>18953</v>
      </c>
      <c r="E50">
        <f>IF(C50=0,ROUNDUP($AB$3*POWER(pogoda4[[#This Row],[temperatura_srednia]],1.5)*pogoda4[[#This Row],[stan_przed_dolaniem]],0),0)</f>
        <v>0</v>
      </c>
      <c r="F50">
        <f>pogoda4[[#This Row],[stan_przed_dolaniem]]-pogoda4[[#This Row],[ubytek]]</f>
        <v>18953</v>
      </c>
      <c r="G50">
        <f>IF(pogoda4[[#This Row],[opady]]*$AB$1+D50&gt;$AB$2,$AB$2-pogoda4[[#This Row],[stan_przed_dolaniem]],pogoda4[[#This Row],[opady]]*$AB$1)</f>
        <v>1540.0000000000002</v>
      </c>
      <c r="H50">
        <f>pogoda4[[#This Row],[stan_po_ubytku]]+pogoda4[[#This Row],[ile_pogoda_dolała]]</f>
        <v>20493</v>
      </c>
      <c r="I50" cm="1">
        <f t="array" ref="I50">_xlfn.IFS(OR(pogoda4[[#This Row],[temperatura_srednia]]&lt;=15,pogoda4[[#This Row],[opady]]&gt;0.61),0,pogoda4[[#This Row],[temperatura_srednia]]&gt;30,24000,pogoda4[[#This Row],[temperatura_srednia]]&gt;15,12000)</f>
        <v>0</v>
      </c>
      <c r="J50">
        <f>IF(pogoda4[[#This Row],[stan_po_dolaniu]]&lt;pogoda4[[#This Row],[ile_podlewamy]],$AB$2-pogoda4[[#This Row],[stan_po_dolaniu]],0)</f>
        <v>0</v>
      </c>
      <c r="K50">
        <f>pogoda4[[#This Row],[stan_po_dolaniu]]+pogoda4[[#This Row],[ile_dolać_do_podlania]]</f>
        <v>20493</v>
      </c>
      <c r="L50">
        <f>pogoda4[[#This Row],[stan_po_dolaniu_do_podlania]]-pogoda4[[#This Row],[ile_podlewamy]]</f>
        <v>20493</v>
      </c>
    </row>
    <row r="51" spans="1:12" x14ac:dyDescent="0.25">
      <c r="A51" s="2">
        <v>42144</v>
      </c>
      <c r="B51">
        <v>13</v>
      </c>
      <c r="C51">
        <v>2.2999999999999998</v>
      </c>
      <c r="D51">
        <f t="shared" si="0"/>
        <v>20493</v>
      </c>
      <c r="E51">
        <f>IF(C51=0,ROUNDUP($AB$3*POWER(pogoda4[[#This Row],[temperatura_srednia]],1.5)*pogoda4[[#This Row],[stan_przed_dolaniem]],0),0)</f>
        <v>0</v>
      </c>
      <c r="F51">
        <f>pogoda4[[#This Row],[stan_przed_dolaniem]]-pogoda4[[#This Row],[ubytek]]</f>
        <v>20493</v>
      </c>
      <c r="G51">
        <f>IF(pogoda4[[#This Row],[opady]]*$AB$1+D51&gt;$AB$2,$AB$2-pogoda4[[#This Row],[stan_przed_dolaniem]],pogoda4[[#This Row],[opady]]*$AB$1)</f>
        <v>1609.9999999999998</v>
      </c>
      <c r="H51">
        <f>pogoda4[[#This Row],[stan_po_ubytku]]+pogoda4[[#This Row],[ile_pogoda_dolała]]</f>
        <v>22103</v>
      </c>
      <c r="I51" cm="1">
        <f t="array" ref="I51">_xlfn.IFS(OR(pogoda4[[#This Row],[temperatura_srednia]]&lt;=15,pogoda4[[#This Row],[opady]]&gt;0.61),0,pogoda4[[#This Row],[temperatura_srednia]]&gt;30,24000,pogoda4[[#This Row],[temperatura_srednia]]&gt;15,12000)</f>
        <v>0</v>
      </c>
      <c r="J51">
        <f>IF(pogoda4[[#This Row],[stan_po_dolaniu]]&lt;pogoda4[[#This Row],[ile_podlewamy]],$AB$2-pogoda4[[#This Row],[stan_po_dolaniu]],0)</f>
        <v>0</v>
      </c>
      <c r="K51">
        <f>pogoda4[[#This Row],[stan_po_dolaniu]]+pogoda4[[#This Row],[ile_dolać_do_podlania]]</f>
        <v>22103</v>
      </c>
      <c r="L51">
        <f>pogoda4[[#This Row],[stan_po_dolaniu_do_podlania]]-pogoda4[[#This Row],[ile_podlewamy]]</f>
        <v>22103</v>
      </c>
    </row>
    <row r="52" spans="1:12" x14ac:dyDescent="0.25">
      <c r="A52" s="2">
        <v>42145</v>
      </c>
      <c r="B52">
        <v>11</v>
      </c>
      <c r="C52">
        <v>5.4</v>
      </c>
      <c r="D52">
        <f t="shared" si="0"/>
        <v>22103</v>
      </c>
      <c r="E52">
        <f>IF(C52=0,ROUNDUP($AB$3*POWER(pogoda4[[#This Row],[temperatura_srednia]],1.5)*pogoda4[[#This Row],[stan_przed_dolaniem]],0),0)</f>
        <v>0</v>
      </c>
      <c r="F52">
        <f>pogoda4[[#This Row],[stan_przed_dolaniem]]-pogoda4[[#This Row],[ubytek]]</f>
        <v>22103</v>
      </c>
      <c r="G52">
        <f>IF(pogoda4[[#This Row],[opady]]*$AB$1+D52&gt;$AB$2,$AB$2-pogoda4[[#This Row],[stan_przed_dolaniem]],pogoda4[[#This Row],[opady]]*$AB$1)</f>
        <v>2897</v>
      </c>
      <c r="H52">
        <f>pogoda4[[#This Row],[stan_po_ubytku]]+pogoda4[[#This Row],[ile_pogoda_dolała]]</f>
        <v>25000</v>
      </c>
      <c r="I52" cm="1">
        <f t="array" ref="I52">_xlfn.IFS(OR(pogoda4[[#This Row],[temperatura_srednia]]&lt;=15,pogoda4[[#This Row],[opady]]&gt;0.61),0,pogoda4[[#This Row],[temperatura_srednia]]&gt;30,24000,pogoda4[[#This Row],[temperatura_srednia]]&gt;15,12000)</f>
        <v>0</v>
      </c>
      <c r="J52">
        <f>IF(pogoda4[[#This Row],[stan_po_dolaniu]]&lt;pogoda4[[#This Row],[ile_podlewamy]],$AB$2-pogoda4[[#This Row],[stan_po_dolaniu]],0)</f>
        <v>0</v>
      </c>
      <c r="K52">
        <f>pogoda4[[#This Row],[stan_po_dolaniu]]+pogoda4[[#This Row],[ile_dolać_do_podlania]]</f>
        <v>25000</v>
      </c>
      <c r="L52">
        <f>pogoda4[[#This Row],[stan_po_dolaniu_do_podlania]]-pogoda4[[#This Row],[ile_podlewamy]]</f>
        <v>25000</v>
      </c>
    </row>
    <row r="53" spans="1:12" x14ac:dyDescent="0.25">
      <c r="A53" s="2">
        <v>42146</v>
      </c>
      <c r="B53">
        <v>12</v>
      </c>
      <c r="C53">
        <v>5.5</v>
      </c>
      <c r="D53">
        <f t="shared" si="0"/>
        <v>25000</v>
      </c>
      <c r="E53">
        <f>IF(C53=0,ROUNDUP($AB$3*POWER(pogoda4[[#This Row],[temperatura_srednia]],1.5)*pogoda4[[#This Row],[stan_przed_dolaniem]],0),0)</f>
        <v>0</v>
      </c>
      <c r="F53">
        <f>pogoda4[[#This Row],[stan_przed_dolaniem]]-pogoda4[[#This Row],[ubytek]]</f>
        <v>25000</v>
      </c>
      <c r="G53">
        <f>IF(pogoda4[[#This Row],[opady]]*$AB$1+D53&gt;$AB$2,$AB$2-pogoda4[[#This Row],[stan_przed_dolaniem]],pogoda4[[#This Row],[opady]]*$AB$1)</f>
        <v>0</v>
      </c>
      <c r="H53">
        <f>pogoda4[[#This Row],[stan_po_ubytku]]+pogoda4[[#This Row],[ile_pogoda_dolała]]</f>
        <v>25000</v>
      </c>
      <c r="I53" cm="1">
        <f t="array" ref="I53">_xlfn.IFS(OR(pogoda4[[#This Row],[temperatura_srednia]]&lt;=15,pogoda4[[#This Row],[opady]]&gt;0.61),0,pogoda4[[#This Row],[temperatura_srednia]]&gt;30,24000,pogoda4[[#This Row],[temperatura_srednia]]&gt;15,12000)</f>
        <v>0</v>
      </c>
      <c r="J53">
        <f>IF(pogoda4[[#This Row],[stan_po_dolaniu]]&lt;pogoda4[[#This Row],[ile_podlewamy]],$AB$2-pogoda4[[#This Row],[stan_po_dolaniu]],0)</f>
        <v>0</v>
      </c>
      <c r="K53">
        <f>pogoda4[[#This Row],[stan_po_dolaniu]]+pogoda4[[#This Row],[ile_dolać_do_podlania]]</f>
        <v>25000</v>
      </c>
      <c r="L53">
        <f>pogoda4[[#This Row],[stan_po_dolaniu_do_podlania]]-pogoda4[[#This Row],[ile_podlewamy]]</f>
        <v>25000</v>
      </c>
    </row>
    <row r="54" spans="1:12" x14ac:dyDescent="0.25">
      <c r="A54" s="2">
        <v>42147</v>
      </c>
      <c r="B54">
        <v>12</v>
      </c>
      <c r="C54">
        <v>5.2</v>
      </c>
      <c r="D54">
        <f t="shared" si="0"/>
        <v>25000</v>
      </c>
      <c r="E54">
        <f>IF(C54=0,ROUNDUP($AB$3*POWER(pogoda4[[#This Row],[temperatura_srednia]],1.5)*pogoda4[[#This Row],[stan_przed_dolaniem]],0),0)</f>
        <v>0</v>
      </c>
      <c r="F54">
        <f>pogoda4[[#This Row],[stan_przed_dolaniem]]-pogoda4[[#This Row],[ubytek]]</f>
        <v>25000</v>
      </c>
      <c r="G54">
        <f>IF(pogoda4[[#This Row],[opady]]*$AB$1+D54&gt;$AB$2,$AB$2-pogoda4[[#This Row],[stan_przed_dolaniem]],pogoda4[[#This Row],[opady]]*$AB$1)</f>
        <v>0</v>
      </c>
      <c r="H54">
        <f>pogoda4[[#This Row],[stan_po_ubytku]]+pogoda4[[#This Row],[ile_pogoda_dolała]]</f>
        <v>25000</v>
      </c>
      <c r="I54" cm="1">
        <f t="array" ref="I54">_xlfn.IFS(OR(pogoda4[[#This Row],[temperatura_srednia]]&lt;=15,pogoda4[[#This Row],[opady]]&gt;0.61),0,pogoda4[[#This Row],[temperatura_srednia]]&gt;30,24000,pogoda4[[#This Row],[temperatura_srednia]]&gt;15,12000)</f>
        <v>0</v>
      </c>
      <c r="J54">
        <f>IF(pogoda4[[#This Row],[stan_po_dolaniu]]&lt;pogoda4[[#This Row],[ile_podlewamy]],$AB$2-pogoda4[[#This Row],[stan_po_dolaniu]],0)</f>
        <v>0</v>
      </c>
      <c r="K54">
        <f>pogoda4[[#This Row],[stan_po_dolaniu]]+pogoda4[[#This Row],[ile_dolać_do_podlania]]</f>
        <v>25000</v>
      </c>
      <c r="L54">
        <f>pogoda4[[#This Row],[stan_po_dolaniu_do_podlania]]-pogoda4[[#This Row],[ile_podlewamy]]</f>
        <v>25000</v>
      </c>
    </row>
    <row r="55" spans="1:12" x14ac:dyDescent="0.25">
      <c r="A55" s="2">
        <v>42148</v>
      </c>
      <c r="B55">
        <v>14</v>
      </c>
      <c r="C55">
        <v>3</v>
      </c>
      <c r="D55">
        <f t="shared" si="0"/>
        <v>25000</v>
      </c>
      <c r="E55">
        <f>IF(C55=0,ROUNDUP($AB$3*POWER(pogoda4[[#This Row],[temperatura_srednia]],1.5)*pogoda4[[#This Row],[stan_przed_dolaniem]],0),0)</f>
        <v>0</v>
      </c>
      <c r="F55">
        <f>pogoda4[[#This Row],[stan_przed_dolaniem]]-pogoda4[[#This Row],[ubytek]]</f>
        <v>25000</v>
      </c>
      <c r="G55">
        <f>IF(pogoda4[[#This Row],[opady]]*$AB$1+D55&gt;$AB$2,$AB$2-pogoda4[[#This Row],[stan_przed_dolaniem]],pogoda4[[#This Row],[opady]]*$AB$1)</f>
        <v>0</v>
      </c>
      <c r="H55">
        <f>pogoda4[[#This Row],[stan_po_ubytku]]+pogoda4[[#This Row],[ile_pogoda_dolała]]</f>
        <v>25000</v>
      </c>
      <c r="I55" cm="1">
        <f t="array" ref="I55">_xlfn.IFS(OR(pogoda4[[#This Row],[temperatura_srednia]]&lt;=15,pogoda4[[#This Row],[opady]]&gt;0.61),0,pogoda4[[#This Row],[temperatura_srednia]]&gt;30,24000,pogoda4[[#This Row],[temperatura_srednia]]&gt;15,12000)</f>
        <v>0</v>
      </c>
      <c r="J55">
        <f>IF(pogoda4[[#This Row],[stan_po_dolaniu]]&lt;pogoda4[[#This Row],[ile_podlewamy]],$AB$2-pogoda4[[#This Row],[stan_po_dolaniu]],0)</f>
        <v>0</v>
      </c>
      <c r="K55">
        <f>pogoda4[[#This Row],[stan_po_dolaniu]]+pogoda4[[#This Row],[ile_dolać_do_podlania]]</f>
        <v>25000</v>
      </c>
      <c r="L55">
        <f>pogoda4[[#This Row],[stan_po_dolaniu_do_podlania]]-pogoda4[[#This Row],[ile_podlewamy]]</f>
        <v>25000</v>
      </c>
    </row>
    <row r="56" spans="1:12" x14ac:dyDescent="0.25">
      <c r="A56" s="2">
        <v>42149</v>
      </c>
      <c r="B56">
        <v>15</v>
      </c>
      <c r="C56">
        <v>0</v>
      </c>
      <c r="D56">
        <f t="shared" si="0"/>
        <v>25000</v>
      </c>
      <c r="E56">
        <f>IF(C56=0,ROUNDUP($AB$3*POWER(pogoda4[[#This Row],[temperatura_srednia]],1.5)*pogoda4[[#This Row],[stan_przed_dolaniem]],0),0)</f>
        <v>436</v>
      </c>
      <c r="F56">
        <f>pogoda4[[#This Row],[stan_przed_dolaniem]]-pogoda4[[#This Row],[ubytek]]</f>
        <v>24564</v>
      </c>
      <c r="G56">
        <f>IF(pogoda4[[#This Row],[opady]]*$AB$1+D56&gt;$AB$2,$AB$2-pogoda4[[#This Row],[stan_przed_dolaniem]],pogoda4[[#This Row],[opady]]*$AB$1)</f>
        <v>0</v>
      </c>
      <c r="H56">
        <f>pogoda4[[#This Row],[stan_po_ubytku]]+pogoda4[[#This Row],[ile_pogoda_dolała]]</f>
        <v>24564</v>
      </c>
      <c r="I56" cm="1">
        <f t="array" ref="I56">_xlfn.IFS(OR(pogoda4[[#This Row],[temperatura_srednia]]&lt;=15,pogoda4[[#This Row],[opady]]&gt;0.61),0,pogoda4[[#This Row],[temperatura_srednia]]&gt;30,24000,pogoda4[[#This Row],[temperatura_srednia]]&gt;15,12000)</f>
        <v>0</v>
      </c>
      <c r="J56">
        <f>IF(pogoda4[[#This Row],[stan_po_dolaniu]]&lt;pogoda4[[#This Row],[ile_podlewamy]],$AB$2-pogoda4[[#This Row],[stan_po_dolaniu]],0)</f>
        <v>0</v>
      </c>
      <c r="K56">
        <f>pogoda4[[#This Row],[stan_po_dolaniu]]+pogoda4[[#This Row],[ile_dolać_do_podlania]]</f>
        <v>24564</v>
      </c>
      <c r="L56">
        <f>pogoda4[[#This Row],[stan_po_dolaniu_do_podlania]]-pogoda4[[#This Row],[ile_podlewamy]]</f>
        <v>24564</v>
      </c>
    </row>
    <row r="57" spans="1:12" x14ac:dyDescent="0.25">
      <c r="A57" s="2">
        <v>42150</v>
      </c>
      <c r="B57">
        <v>14</v>
      </c>
      <c r="C57">
        <v>0</v>
      </c>
      <c r="D57">
        <f t="shared" si="0"/>
        <v>24564</v>
      </c>
      <c r="E57">
        <f>IF(C57=0,ROUNDUP($AB$3*POWER(pogoda4[[#This Row],[temperatura_srednia]],1.5)*pogoda4[[#This Row],[stan_przed_dolaniem]],0),0)</f>
        <v>387</v>
      </c>
      <c r="F57">
        <f>pogoda4[[#This Row],[stan_przed_dolaniem]]-pogoda4[[#This Row],[ubytek]]</f>
        <v>24177</v>
      </c>
      <c r="G57">
        <f>IF(pogoda4[[#This Row],[opady]]*$AB$1+D57&gt;$AB$2,$AB$2-pogoda4[[#This Row],[stan_przed_dolaniem]],pogoda4[[#This Row],[opady]]*$AB$1)</f>
        <v>0</v>
      </c>
      <c r="H57">
        <f>pogoda4[[#This Row],[stan_po_ubytku]]+pogoda4[[#This Row],[ile_pogoda_dolała]]</f>
        <v>24177</v>
      </c>
      <c r="I57" cm="1">
        <f t="array" ref="I57">_xlfn.IFS(OR(pogoda4[[#This Row],[temperatura_srednia]]&lt;=15,pogoda4[[#This Row],[opady]]&gt;0.61),0,pogoda4[[#This Row],[temperatura_srednia]]&gt;30,24000,pogoda4[[#This Row],[temperatura_srednia]]&gt;15,12000)</f>
        <v>0</v>
      </c>
      <c r="J57">
        <f>IF(pogoda4[[#This Row],[stan_po_dolaniu]]&lt;pogoda4[[#This Row],[ile_podlewamy]],$AB$2-pogoda4[[#This Row],[stan_po_dolaniu]],0)</f>
        <v>0</v>
      </c>
      <c r="K57">
        <f>pogoda4[[#This Row],[stan_po_dolaniu]]+pogoda4[[#This Row],[ile_dolać_do_podlania]]</f>
        <v>24177</v>
      </c>
      <c r="L57">
        <f>pogoda4[[#This Row],[stan_po_dolaniu_do_podlania]]-pogoda4[[#This Row],[ile_podlewamy]]</f>
        <v>24177</v>
      </c>
    </row>
    <row r="58" spans="1:12" x14ac:dyDescent="0.25">
      <c r="A58" s="2">
        <v>42151</v>
      </c>
      <c r="B58">
        <v>10</v>
      </c>
      <c r="C58">
        <v>0</v>
      </c>
      <c r="D58">
        <f t="shared" si="0"/>
        <v>24177</v>
      </c>
      <c r="E58">
        <f>IF(C58=0,ROUNDUP($AB$3*POWER(pogoda4[[#This Row],[temperatura_srednia]],1.5)*pogoda4[[#This Row],[stan_przed_dolaniem]],0),0)</f>
        <v>230</v>
      </c>
      <c r="F58">
        <f>pogoda4[[#This Row],[stan_przed_dolaniem]]-pogoda4[[#This Row],[ubytek]]</f>
        <v>23947</v>
      </c>
      <c r="G58">
        <f>IF(pogoda4[[#This Row],[opady]]*$AB$1+D58&gt;$AB$2,$AB$2-pogoda4[[#This Row],[stan_przed_dolaniem]],pogoda4[[#This Row],[opady]]*$AB$1)</f>
        <v>0</v>
      </c>
      <c r="H58">
        <f>pogoda4[[#This Row],[stan_po_ubytku]]+pogoda4[[#This Row],[ile_pogoda_dolała]]</f>
        <v>23947</v>
      </c>
      <c r="I58" cm="1">
        <f t="array" ref="I58">_xlfn.IFS(OR(pogoda4[[#This Row],[temperatura_srednia]]&lt;=15,pogoda4[[#This Row],[opady]]&gt;0.61),0,pogoda4[[#This Row],[temperatura_srednia]]&gt;30,24000,pogoda4[[#This Row],[temperatura_srednia]]&gt;15,12000)</f>
        <v>0</v>
      </c>
      <c r="J58">
        <f>IF(pogoda4[[#This Row],[stan_po_dolaniu]]&lt;pogoda4[[#This Row],[ile_podlewamy]],$AB$2-pogoda4[[#This Row],[stan_po_dolaniu]],0)</f>
        <v>0</v>
      </c>
      <c r="K58">
        <f>pogoda4[[#This Row],[stan_po_dolaniu]]+pogoda4[[#This Row],[ile_dolać_do_podlania]]</f>
        <v>23947</v>
      </c>
      <c r="L58">
        <f>pogoda4[[#This Row],[stan_po_dolaniu_do_podlania]]-pogoda4[[#This Row],[ile_podlewamy]]</f>
        <v>23947</v>
      </c>
    </row>
    <row r="59" spans="1:12" x14ac:dyDescent="0.25">
      <c r="A59" s="2">
        <v>42152</v>
      </c>
      <c r="B59">
        <v>12</v>
      </c>
      <c r="C59">
        <v>0.1</v>
      </c>
      <c r="D59">
        <f t="shared" si="0"/>
        <v>23947</v>
      </c>
      <c r="E59">
        <f>IF(C59=0,ROUNDUP($AB$3*POWER(pogoda4[[#This Row],[temperatura_srednia]],1.5)*pogoda4[[#This Row],[stan_przed_dolaniem]],0),0)</f>
        <v>0</v>
      </c>
      <c r="F59">
        <f>pogoda4[[#This Row],[stan_przed_dolaniem]]-pogoda4[[#This Row],[ubytek]]</f>
        <v>23947</v>
      </c>
      <c r="G59">
        <f>IF(pogoda4[[#This Row],[opady]]*$AB$1+D59&gt;$AB$2,$AB$2-pogoda4[[#This Row],[stan_przed_dolaniem]],pogoda4[[#This Row],[opady]]*$AB$1)</f>
        <v>70</v>
      </c>
      <c r="H59">
        <f>pogoda4[[#This Row],[stan_po_ubytku]]+pogoda4[[#This Row],[ile_pogoda_dolała]]</f>
        <v>24017</v>
      </c>
      <c r="I59" cm="1">
        <f t="array" ref="I59">_xlfn.IFS(OR(pogoda4[[#This Row],[temperatura_srednia]]&lt;=15,pogoda4[[#This Row],[opady]]&gt;0.61),0,pogoda4[[#This Row],[temperatura_srednia]]&gt;30,24000,pogoda4[[#This Row],[temperatura_srednia]]&gt;15,12000)</f>
        <v>0</v>
      </c>
      <c r="J59">
        <f>IF(pogoda4[[#This Row],[stan_po_dolaniu]]&lt;pogoda4[[#This Row],[ile_podlewamy]],$AB$2-pogoda4[[#This Row],[stan_po_dolaniu]],0)</f>
        <v>0</v>
      </c>
      <c r="K59">
        <f>pogoda4[[#This Row],[stan_po_dolaniu]]+pogoda4[[#This Row],[ile_dolać_do_podlania]]</f>
        <v>24017</v>
      </c>
      <c r="L59">
        <f>pogoda4[[#This Row],[stan_po_dolaniu_do_podlania]]-pogoda4[[#This Row],[ile_podlewamy]]</f>
        <v>24017</v>
      </c>
    </row>
    <row r="60" spans="1:12" x14ac:dyDescent="0.25">
      <c r="A60" s="2">
        <v>42153</v>
      </c>
      <c r="B60">
        <v>14</v>
      </c>
      <c r="C60">
        <v>0</v>
      </c>
      <c r="D60">
        <f t="shared" si="0"/>
        <v>24017</v>
      </c>
      <c r="E60">
        <f>IF(C60=0,ROUNDUP($AB$3*POWER(pogoda4[[#This Row],[temperatura_srednia]],1.5)*pogoda4[[#This Row],[stan_przed_dolaniem]],0),0)</f>
        <v>378</v>
      </c>
      <c r="F60">
        <f>pogoda4[[#This Row],[stan_przed_dolaniem]]-pogoda4[[#This Row],[ubytek]]</f>
        <v>23639</v>
      </c>
      <c r="G60">
        <f>IF(pogoda4[[#This Row],[opady]]*$AB$1+D60&gt;$AB$2,$AB$2-pogoda4[[#This Row],[stan_przed_dolaniem]],pogoda4[[#This Row],[opady]]*$AB$1)</f>
        <v>0</v>
      </c>
      <c r="H60">
        <f>pogoda4[[#This Row],[stan_po_ubytku]]+pogoda4[[#This Row],[ile_pogoda_dolała]]</f>
        <v>23639</v>
      </c>
      <c r="I60" cm="1">
        <f t="array" ref="I60">_xlfn.IFS(OR(pogoda4[[#This Row],[temperatura_srednia]]&lt;=15,pogoda4[[#This Row],[opady]]&gt;0.61),0,pogoda4[[#This Row],[temperatura_srednia]]&gt;30,24000,pogoda4[[#This Row],[temperatura_srednia]]&gt;15,12000)</f>
        <v>0</v>
      </c>
      <c r="J60">
        <f>IF(pogoda4[[#This Row],[stan_po_dolaniu]]&lt;pogoda4[[#This Row],[ile_podlewamy]],$AB$2-pogoda4[[#This Row],[stan_po_dolaniu]],0)</f>
        <v>0</v>
      </c>
      <c r="K60">
        <f>pogoda4[[#This Row],[stan_po_dolaniu]]+pogoda4[[#This Row],[ile_dolać_do_podlania]]</f>
        <v>23639</v>
      </c>
      <c r="L60">
        <f>pogoda4[[#This Row],[stan_po_dolaniu_do_podlania]]-pogoda4[[#This Row],[ile_podlewamy]]</f>
        <v>23639</v>
      </c>
    </row>
    <row r="61" spans="1:12" x14ac:dyDescent="0.25">
      <c r="A61" s="2">
        <v>42154</v>
      </c>
      <c r="B61">
        <v>13</v>
      </c>
      <c r="C61">
        <v>0</v>
      </c>
      <c r="D61">
        <f t="shared" si="0"/>
        <v>23639</v>
      </c>
      <c r="E61">
        <f>IF(C61=0,ROUNDUP($AB$3*POWER(pogoda4[[#This Row],[temperatura_srednia]],1.5)*pogoda4[[#This Row],[stan_przed_dolaniem]],0),0)</f>
        <v>333</v>
      </c>
      <c r="F61">
        <f>pogoda4[[#This Row],[stan_przed_dolaniem]]-pogoda4[[#This Row],[ubytek]]</f>
        <v>23306</v>
      </c>
      <c r="G61">
        <f>IF(pogoda4[[#This Row],[opady]]*$AB$1+D61&gt;$AB$2,$AB$2-pogoda4[[#This Row],[stan_przed_dolaniem]],pogoda4[[#This Row],[opady]]*$AB$1)</f>
        <v>0</v>
      </c>
      <c r="H61">
        <f>pogoda4[[#This Row],[stan_po_ubytku]]+pogoda4[[#This Row],[ile_pogoda_dolała]]</f>
        <v>23306</v>
      </c>
      <c r="I61" cm="1">
        <f t="array" ref="I61">_xlfn.IFS(OR(pogoda4[[#This Row],[temperatura_srednia]]&lt;=15,pogoda4[[#This Row],[opady]]&gt;0.61),0,pogoda4[[#This Row],[temperatura_srednia]]&gt;30,24000,pogoda4[[#This Row],[temperatura_srednia]]&gt;15,12000)</f>
        <v>0</v>
      </c>
      <c r="J61">
        <f>IF(pogoda4[[#This Row],[stan_po_dolaniu]]&lt;pogoda4[[#This Row],[ile_podlewamy]],$AB$2-pogoda4[[#This Row],[stan_po_dolaniu]],0)</f>
        <v>0</v>
      </c>
      <c r="K61">
        <f>pogoda4[[#This Row],[stan_po_dolaniu]]+pogoda4[[#This Row],[ile_dolać_do_podlania]]</f>
        <v>23306</v>
      </c>
      <c r="L61">
        <f>pogoda4[[#This Row],[stan_po_dolaniu_do_podlania]]-pogoda4[[#This Row],[ile_podlewamy]]</f>
        <v>23306</v>
      </c>
    </row>
    <row r="62" spans="1:12" x14ac:dyDescent="0.25">
      <c r="A62" s="2">
        <v>42155</v>
      </c>
      <c r="B62">
        <v>12</v>
      </c>
      <c r="C62">
        <v>0</v>
      </c>
      <c r="D62">
        <f t="shared" si="0"/>
        <v>23306</v>
      </c>
      <c r="E62">
        <f>IF(C62=0,ROUNDUP($AB$3*POWER(pogoda4[[#This Row],[temperatura_srednia]],1.5)*pogoda4[[#This Row],[stan_przed_dolaniem]],0),0)</f>
        <v>291</v>
      </c>
      <c r="F62">
        <f>pogoda4[[#This Row],[stan_przed_dolaniem]]-pogoda4[[#This Row],[ubytek]]</f>
        <v>23015</v>
      </c>
      <c r="G62">
        <f>IF(pogoda4[[#This Row],[opady]]*$AB$1+D62&gt;$AB$2,$AB$2-pogoda4[[#This Row],[stan_przed_dolaniem]],pogoda4[[#This Row],[opady]]*$AB$1)</f>
        <v>0</v>
      </c>
      <c r="H62">
        <f>pogoda4[[#This Row],[stan_po_ubytku]]+pogoda4[[#This Row],[ile_pogoda_dolała]]</f>
        <v>23015</v>
      </c>
      <c r="I62" cm="1">
        <f t="array" ref="I62">_xlfn.IFS(OR(pogoda4[[#This Row],[temperatura_srednia]]&lt;=15,pogoda4[[#This Row],[opady]]&gt;0.61),0,pogoda4[[#This Row],[temperatura_srednia]]&gt;30,24000,pogoda4[[#This Row],[temperatura_srednia]]&gt;15,12000)</f>
        <v>0</v>
      </c>
      <c r="J62">
        <f>IF(pogoda4[[#This Row],[stan_po_dolaniu]]&lt;pogoda4[[#This Row],[ile_podlewamy]],$AB$2-pogoda4[[#This Row],[stan_po_dolaniu]],0)</f>
        <v>0</v>
      </c>
      <c r="K62">
        <f>pogoda4[[#This Row],[stan_po_dolaniu]]+pogoda4[[#This Row],[ile_dolać_do_podlania]]</f>
        <v>23015</v>
      </c>
      <c r="L62">
        <f>pogoda4[[#This Row],[stan_po_dolaniu_do_podlania]]-pogoda4[[#This Row],[ile_podlewamy]]</f>
        <v>23015</v>
      </c>
    </row>
    <row r="63" spans="1:12" x14ac:dyDescent="0.25">
      <c r="A63" s="2">
        <v>42156</v>
      </c>
      <c r="B63">
        <v>18</v>
      </c>
      <c r="C63">
        <v>4</v>
      </c>
      <c r="D63">
        <f t="shared" si="0"/>
        <v>23015</v>
      </c>
      <c r="E63">
        <f>IF(C63=0,ROUNDUP($AB$3*POWER(pogoda4[[#This Row],[temperatura_srednia]],1.5)*pogoda4[[#This Row],[stan_przed_dolaniem]],0),0)</f>
        <v>0</v>
      </c>
      <c r="F63">
        <f>pogoda4[[#This Row],[stan_przed_dolaniem]]-pogoda4[[#This Row],[ubytek]]</f>
        <v>23015</v>
      </c>
      <c r="G63">
        <f>IF(pogoda4[[#This Row],[opady]]*$AB$1+D63&gt;$AB$2,$AB$2-pogoda4[[#This Row],[stan_przed_dolaniem]],pogoda4[[#This Row],[opady]]*$AB$1)</f>
        <v>1985</v>
      </c>
      <c r="H63">
        <f>pogoda4[[#This Row],[stan_po_ubytku]]+pogoda4[[#This Row],[ile_pogoda_dolała]]</f>
        <v>25000</v>
      </c>
      <c r="I63" cm="1">
        <f t="array" ref="I63">_xlfn.IFS(OR(pogoda4[[#This Row],[temperatura_srednia]]&lt;=15,pogoda4[[#This Row],[opady]]&gt;0.61),0,pogoda4[[#This Row],[temperatura_srednia]]&gt;30,24000,pogoda4[[#This Row],[temperatura_srednia]]&gt;15,12000)</f>
        <v>0</v>
      </c>
      <c r="J63">
        <f>IF(pogoda4[[#This Row],[stan_po_dolaniu]]&lt;pogoda4[[#This Row],[ile_podlewamy]],$AB$2-pogoda4[[#This Row],[stan_po_dolaniu]],0)</f>
        <v>0</v>
      </c>
      <c r="K63">
        <f>pogoda4[[#This Row],[stan_po_dolaniu]]+pogoda4[[#This Row],[ile_dolać_do_podlania]]</f>
        <v>25000</v>
      </c>
      <c r="L63">
        <f>pogoda4[[#This Row],[stan_po_dolaniu_do_podlania]]-pogoda4[[#This Row],[ile_podlewamy]]</f>
        <v>25000</v>
      </c>
    </row>
    <row r="64" spans="1:12" x14ac:dyDescent="0.25">
      <c r="A64" s="2">
        <v>42157</v>
      </c>
      <c r="B64">
        <v>18</v>
      </c>
      <c r="C64">
        <v>3</v>
      </c>
      <c r="D64">
        <f t="shared" si="0"/>
        <v>25000</v>
      </c>
      <c r="E64">
        <f>IF(C64=0,ROUNDUP($AB$3*POWER(pogoda4[[#This Row],[temperatura_srednia]],1.5)*pogoda4[[#This Row],[stan_przed_dolaniem]],0),0)</f>
        <v>0</v>
      </c>
      <c r="F64">
        <f>pogoda4[[#This Row],[stan_przed_dolaniem]]-pogoda4[[#This Row],[ubytek]]</f>
        <v>25000</v>
      </c>
      <c r="G64">
        <f>IF(pogoda4[[#This Row],[opady]]*$AB$1+D64&gt;$AB$2,$AB$2-pogoda4[[#This Row],[stan_przed_dolaniem]],pogoda4[[#This Row],[opady]]*$AB$1)</f>
        <v>0</v>
      </c>
      <c r="H64">
        <f>pogoda4[[#This Row],[stan_po_ubytku]]+pogoda4[[#This Row],[ile_pogoda_dolała]]</f>
        <v>25000</v>
      </c>
      <c r="I64" cm="1">
        <f t="array" ref="I64">_xlfn.IFS(OR(pogoda4[[#This Row],[temperatura_srednia]]&lt;=15,pogoda4[[#This Row],[opady]]&gt;0.61),0,pogoda4[[#This Row],[temperatura_srednia]]&gt;30,24000,pogoda4[[#This Row],[temperatura_srednia]]&gt;15,12000)</f>
        <v>0</v>
      </c>
      <c r="J64">
        <f>IF(pogoda4[[#This Row],[stan_po_dolaniu]]&lt;pogoda4[[#This Row],[ile_podlewamy]],$AB$2-pogoda4[[#This Row],[stan_po_dolaniu]],0)</f>
        <v>0</v>
      </c>
      <c r="K64">
        <f>pogoda4[[#This Row],[stan_po_dolaniu]]+pogoda4[[#This Row],[ile_dolać_do_podlania]]</f>
        <v>25000</v>
      </c>
      <c r="L64">
        <f>pogoda4[[#This Row],[stan_po_dolaniu_do_podlania]]-pogoda4[[#This Row],[ile_podlewamy]]</f>
        <v>25000</v>
      </c>
    </row>
    <row r="65" spans="1:12" x14ac:dyDescent="0.25">
      <c r="A65" s="2">
        <v>42158</v>
      </c>
      <c r="B65">
        <v>22</v>
      </c>
      <c r="C65">
        <v>0</v>
      </c>
      <c r="D65">
        <f t="shared" si="0"/>
        <v>25000</v>
      </c>
      <c r="E65">
        <f>IF(C65=0,ROUNDUP($AB$3*POWER(pogoda4[[#This Row],[temperatura_srednia]],1.5)*pogoda4[[#This Row],[stan_przed_dolaniem]],0),0)</f>
        <v>774</v>
      </c>
      <c r="F65">
        <f>pogoda4[[#This Row],[stan_przed_dolaniem]]-pogoda4[[#This Row],[ubytek]]</f>
        <v>24226</v>
      </c>
      <c r="G65">
        <f>IF(pogoda4[[#This Row],[opady]]*$AB$1+D65&gt;$AB$2,$AB$2-pogoda4[[#This Row],[stan_przed_dolaniem]],pogoda4[[#This Row],[opady]]*$AB$1)</f>
        <v>0</v>
      </c>
      <c r="H65">
        <f>pogoda4[[#This Row],[stan_po_ubytku]]+pogoda4[[#This Row],[ile_pogoda_dolała]]</f>
        <v>24226</v>
      </c>
      <c r="I65" cm="1">
        <f t="array" ref="I65">_xlfn.IFS(OR(pogoda4[[#This Row],[temperatura_srednia]]&lt;=15,pogoda4[[#This Row],[opady]]&gt;0.61),0,pogoda4[[#This Row],[temperatura_srednia]]&gt;30,24000,pogoda4[[#This Row],[temperatura_srednia]]&gt;15,12000)</f>
        <v>12000</v>
      </c>
      <c r="J65">
        <f>IF(pogoda4[[#This Row],[stan_po_dolaniu]]&lt;pogoda4[[#This Row],[ile_podlewamy]],$AB$2-pogoda4[[#This Row],[stan_po_dolaniu]],0)</f>
        <v>0</v>
      </c>
      <c r="K65">
        <f>pogoda4[[#This Row],[stan_po_dolaniu]]+pogoda4[[#This Row],[ile_dolać_do_podlania]]</f>
        <v>24226</v>
      </c>
      <c r="L65">
        <f>pogoda4[[#This Row],[stan_po_dolaniu_do_podlania]]-pogoda4[[#This Row],[ile_podlewamy]]</f>
        <v>12226</v>
      </c>
    </row>
    <row r="66" spans="1:12" x14ac:dyDescent="0.25">
      <c r="A66" s="2">
        <v>42159</v>
      </c>
      <c r="B66">
        <v>15</v>
      </c>
      <c r="C66">
        <v>0</v>
      </c>
      <c r="D66">
        <f t="shared" si="0"/>
        <v>12226</v>
      </c>
      <c r="E66">
        <f>IF(C66=0,ROUNDUP($AB$3*POWER(pogoda4[[#This Row],[temperatura_srednia]],1.5)*pogoda4[[#This Row],[stan_przed_dolaniem]],0),0)</f>
        <v>214</v>
      </c>
      <c r="F66">
        <f>pogoda4[[#This Row],[stan_przed_dolaniem]]-pogoda4[[#This Row],[ubytek]]</f>
        <v>12012</v>
      </c>
      <c r="G66">
        <f>IF(pogoda4[[#This Row],[opady]]*$AB$1+D66&gt;$AB$2,$AB$2-pogoda4[[#This Row],[stan_przed_dolaniem]],pogoda4[[#This Row],[opady]]*$AB$1)</f>
        <v>0</v>
      </c>
      <c r="H66">
        <f>pogoda4[[#This Row],[stan_po_ubytku]]+pogoda4[[#This Row],[ile_pogoda_dolała]]</f>
        <v>12012</v>
      </c>
      <c r="I66" cm="1">
        <f t="array" ref="I66">_xlfn.IFS(OR(pogoda4[[#This Row],[temperatura_srednia]]&lt;=15,pogoda4[[#This Row],[opady]]&gt;0.61),0,pogoda4[[#This Row],[temperatura_srednia]]&gt;30,24000,pogoda4[[#This Row],[temperatura_srednia]]&gt;15,12000)</f>
        <v>0</v>
      </c>
      <c r="J66">
        <f>IF(pogoda4[[#This Row],[stan_po_dolaniu]]&lt;pogoda4[[#This Row],[ile_podlewamy]],$AB$2-pogoda4[[#This Row],[stan_po_dolaniu]],0)</f>
        <v>0</v>
      </c>
      <c r="K66">
        <f>pogoda4[[#This Row],[stan_po_dolaniu]]+pogoda4[[#This Row],[ile_dolać_do_podlania]]</f>
        <v>12012</v>
      </c>
      <c r="L66">
        <f>pogoda4[[#This Row],[stan_po_dolaniu_do_podlania]]-pogoda4[[#This Row],[ile_podlewamy]]</f>
        <v>12012</v>
      </c>
    </row>
    <row r="67" spans="1:12" x14ac:dyDescent="0.25">
      <c r="A67" s="2">
        <v>42160</v>
      </c>
      <c r="B67">
        <v>18</v>
      </c>
      <c r="C67">
        <v>0</v>
      </c>
      <c r="D67">
        <f t="shared" si="0"/>
        <v>12012</v>
      </c>
      <c r="E67">
        <f>IF(C67=0,ROUNDUP($AB$3*POWER(pogoda4[[#This Row],[temperatura_srednia]],1.5)*pogoda4[[#This Row],[stan_przed_dolaniem]],0),0)</f>
        <v>276</v>
      </c>
      <c r="F67">
        <f>pogoda4[[#This Row],[stan_przed_dolaniem]]-pogoda4[[#This Row],[ubytek]]</f>
        <v>11736</v>
      </c>
      <c r="G67">
        <f>IF(pogoda4[[#This Row],[opady]]*$AB$1+D67&gt;$AB$2,$AB$2-pogoda4[[#This Row],[stan_przed_dolaniem]],pogoda4[[#This Row],[opady]]*$AB$1)</f>
        <v>0</v>
      </c>
      <c r="H67">
        <f>pogoda4[[#This Row],[stan_po_ubytku]]+pogoda4[[#This Row],[ile_pogoda_dolała]]</f>
        <v>11736</v>
      </c>
      <c r="I67" cm="1">
        <f t="array" ref="I67">_xlfn.IFS(OR(pogoda4[[#This Row],[temperatura_srednia]]&lt;=15,pogoda4[[#This Row],[opady]]&gt;0.61),0,pogoda4[[#This Row],[temperatura_srednia]]&gt;30,24000,pogoda4[[#This Row],[temperatura_srednia]]&gt;15,12000)</f>
        <v>12000</v>
      </c>
      <c r="J67">
        <f>IF(pogoda4[[#This Row],[stan_po_dolaniu]]&lt;pogoda4[[#This Row],[ile_podlewamy]],$AB$2-pogoda4[[#This Row],[stan_po_dolaniu]],0)</f>
        <v>13264</v>
      </c>
      <c r="K67">
        <f>pogoda4[[#This Row],[stan_po_dolaniu]]+pogoda4[[#This Row],[ile_dolać_do_podlania]]</f>
        <v>25000</v>
      </c>
      <c r="L67">
        <f>pogoda4[[#This Row],[stan_po_dolaniu_do_podlania]]-pogoda4[[#This Row],[ile_podlewamy]]</f>
        <v>13000</v>
      </c>
    </row>
    <row r="68" spans="1:12" x14ac:dyDescent="0.25">
      <c r="A68" s="2">
        <v>42161</v>
      </c>
      <c r="B68">
        <v>22</v>
      </c>
      <c r="C68">
        <v>0</v>
      </c>
      <c r="D68">
        <f t="shared" ref="D68:D131" si="1">L67</f>
        <v>13000</v>
      </c>
      <c r="E68">
        <f>IF(C68=0,ROUNDUP($AB$3*POWER(pogoda4[[#This Row],[temperatura_srednia]],1.5)*pogoda4[[#This Row],[stan_przed_dolaniem]],0),0)</f>
        <v>403</v>
      </c>
      <c r="F68">
        <f>pogoda4[[#This Row],[stan_przed_dolaniem]]-pogoda4[[#This Row],[ubytek]]</f>
        <v>12597</v>
      </c>
      <c r="G68">
        <f>IF(pogoda4[[#This Row],[opady]]*$AB$1+D68&gt;$AB$2,$AB$2-pogoda4[[#This Row],[stan_przed_dolaniem]],pogoda4[[#This Row],[opady]]*$AB$1)</f>
        <v>0</v>
      </c>
      <c r="H68">
        <f>pogoda4[[#This Row],[stan_po_ubytku]]+pogoda4[[#This Row],[ile_pogoda_dolała]]</f>
        <v>12597</v>
      </c>
      <c r="I68" cm="1">
        <f t="array" ref="I68">_xlfn.IFS(OR(pogoda4[[#This Row],[temperatura_srednia]]&lt;=15,pogoda4[[#This Row],[opady]]&gt;0.61),0,pogoda4[[#This Row],[temperatura_srednia]]&gt;30,24000,pogoda4[[#This Row],[temperatura_srednia]]&gt;15,12000)</f>
        <v>12000</v>
      </c>
      <c r="J68">
        <f>IF(pogoda4[[#This Row],[stan_po_dolaniu]]&lt;pogoda4[[#This Row],[ile_podlewamy]],$AB$2-pogoda4[[#This Row],[stan_po_dolaniu]],0)</f>
        <v>0</v>
      </c>
      <c r="K68">
        <f>pogoda4[[#This Row],[stan_po_dolaniu]]+pogoda4[[#This Row],[ile_dolać_do_podlania]]</f>
        <v>12597</v>
      </c>
      <c r="L68">
        <f>pogoda4[[#This Row],[stan_po_dolaniu_do_podlania]]-pogoda4[[#This Row],[ile_podlewamy]]</f>
        <v>597</v>
      </c>
    </row>
    <row r="69" spans="1:12" x14ac:dyDescent="0.25">
      <c r="A69" s="2">
        <v>42162</v>
      </c>
      <c r="B69">
        <v>14</v>
      </c>
      <c r="C69">
        <v>8</v>
      </c>
      <c r="D69">
        <f t="shared" si="1"/>
        <v>597</v>
      </c>
      <c r="E69">
        <f>IF(C69=0,ROUNDUP($AB$3*POWER(pogoda4[[#This Row],[temperatura_srednia]],1.5)*pogoda4[[#This Row],[stan_przed_dolaniem]],0),0)</f>
        <v>0</v>
      </c>
      <c r="F69">
        <f>pogoda4[[#This Row],[stan_przed_dolaniem]]-pogoda4[[#This Row],[ubytek]]</f>
        <v>597</v>
      </c>
      <c r="G69">
        <f>IF(pogoda4[[#This Row],[opady]]*$AB$1+D69&gt;$AB$2,$AB$2-pogoda4[[#This Row],[stan_przed_dolaniem]],pogoda4[[#This Row],[opady]]*$AB$1)</f>
        <v>5600</v>
      </c>
      <c r="H69">
        <f>pogoda4[[#This Row],[stan_po_ubytku]]+pogoda4[[#This Row],[ile_pogoda_dolała]]</f>
        <v>6197</v>
      </c>
      <c r="I69" cm="1">
        <f t="array" ref="I69">_xlfn.IFS(OR(pogoda4[[#This Row],[temperatura_srednia]]&lt;=15,pogoda4[[#This Row],[opady]]&gt;0.61),0,pogoda4[[#This Row],[temperatura_srednia]]&gt;30,24000,pogoda4[[#This Row],[temperatura_srednia]]&gt;15,12000)</f>
        <v>0</v>
      </c>
      <c r="J69">
        <f>IF(pogoda4[[#This Row],[stan_po_dolaniu]]&lt;pogoda4[[#This Row],[ile_podlewamy]],$AB$2-pogoda4[[#This Row],[stan_po_dolaniu]],0)</f>
        <v>0</v>
      </c>
      <c r="K69">
        <f>pogoda4[[#This Row],[stan_po_dolaniu]]+pogoda4[[#This Row],[ile_dolać_do_podlania]]</f>
        <v>6197</v>
      </c>
      <c r="L69">
        <f>pogoda4[[#This Row],[stan_po_dolaniu_do_podlania]]-pogoda4[[#This Row],[ile_podlewamy]]</f>
        <v>6197</v>
      </c>
    </row>
    <row r="70" spans="1:12" x14ac:dyDescent="0.25">
      <c r="A70" s="2">
        <v>42163</v>
      </c>
      <c r="B70">
        <v>14</v>
      </c>
      <c r="C70">
        <v>5.9</v>
      </c>
      <c r="D70">
        <f t="shared" si="1"/>
        <v>6197</v>
      </c>
      <c r="E70">
        <f>IF(C70=0,ROUNDUP($AB$3*POWER(pogoda4[[#This Row],[temperatura_srednia]],1.5)*pogoda4[[#This Row],[stan_przed_dolaniem]],0),0)</f>
        <v>0</v>
      </c>
      <c r="F70">
        <f>pogoda4[[#This Row],[stan_przed_dolaniem]]-pogoda4[[#This Row],[ubytek]]</f>
        <v>6197</v>
      </c>
      <c r="G70">
        <f>IF(pogoda4[[#This Row],[opady]]*$AB$1+D70&gt;$AB$2,$AB$2-pogoda4[[#This Row],[stan_przed_dolaniem]],pogoda4[[#This Row],[opady]]*$AB$1)</f>
        <v>4130</v>
      </c>
      <c r="H70">
        <f>pogoda4[[#This Row],[stan_po_ubytku]]+pogoda4[[#This Row],[ile_pogoda_dolała]]</f>
        <v>10327</v>
      </c>
      <c r="I70" cm="1">
        <f t="array" ref="I70">_xlfn.IFS(OR(pogoda4[[#This Row],[temperatura_srednia]]&lt;=15,pogoda4[[#This Row],[opady]]&gt;0.61),0,pogoda4[[#This Row],[temperatura_srednia]]&gt;30,24000,pogoda4[[#This Row],[temperatura_srednia]]&gt;15,12000)</f>
        <v>0</v>
      </c>
      <c r="J70">
        <f>IF(pogoda4[[#This Row],[stan_po_dolaniu]]&lt;pogoda4[[#This Row],[ile_podlewamy]],$AB$2-pogoda4[[#This Row],[stan_po_dolaniu]],0)</f>
        <v>0</v>
      </c>
      <c r="K70">
        <f>pogoda4[[#This Row],[stan_po_dolaniu]]+pogoda4[[#This Row],[ile_dolać_do_podlania]]</f>
        <v>10327</v>
      </c>
      <c r="L70">
        <f>pogoda4[[#This Row],[stan_po_dolaniu_do_podlania]]-pogoda4[[#This Row],[ile_podlewamy]]</f>
        <v>10327</v>
      </c>
    </row>
    <row r="71" spans="1:12" x14ac:dyDescent="0.25">
      <c r="A71" s="2">
        <v>42164</v>
      </c>
      <c r="B71">
        <v>12</v>
      </c>
      <c r="C71">
        <v>5</v>
      </c>
      <c r="D71">
        <f t="shared" si="1"/>
        <v>10327</v>
      </c>
      <c r="E71">
        <f>IF(C71=0,ROUNDUP($AB$3*POWER(pogoda4[[#This Row],[temperatura_srednia]],1.5)*pogoda4[[#This Row],[stan_przed_dolaniem]],0),0)</f>
        <v>0</v>
      </c>
      <c r="F71">
        <f>pogoda4[[#This Row],[stan_przed_dolaniem]]-pogoda4[[#This Row],[ubytek]]</f>
        <v>10327</v>
      </c>
      <c r="G71">
        <f>IF(pogoda4[[#This Row],[opady]]*$AB$1+D71&gt;$AB$2,$AB$2-pogoda4[[#This Row],[stan_przed_dolaniem]],pogoda4[[#This Row],[opady]]*$AB$1)</f>
        <v>3500</v>
      </c>
      <c r="H71">
        <f>pogoda4[[#This Row],[stan_po_ubytku]]+pogoda4[[#This Row],[ile_pogoda_dolała]]</f>
        <v>13827</v>
      </c>
      <c r="I71" cm="1">
        <f t="array" ref="I71">_xlfn.IFS(OR(pogoda4[[#This Row],[temperatura_srednia]]&lt;=15,pogoda4[[#This Row],[opady]]&gt;0.61),0,pogoda4[[#This Row],[temperatura_srednia]]&gt;30,24000,pogoda4[[#This Row],[temperatura_srednia]]&gt;15,12000)</f>
        <v>0</v>
      </c>
      <c r="J71">
        <f>IF(pogoda4[[#This Row],[stan_po_dolaniu]]&lt;pogoda4[[#This Row],[ile_podlewamy]],$AB$2-pogoda4[[#This Row],[stan_po_dolaniu]],0)</f>
        <v>0</v>
      </c>
      <c r="K71">
        <f>pogoda4[[#This Row],[stan_po_dolaniu]]+pogoda4[[#This Row],[ile_dolać_do_podlania]]</f>
        <v>13827</v>
      </c>
      <c r="L71">
        <f>pogoda4[[#This Row],[stan_po_dolaniu_do_podlania]]-pogoda4[[#This Row],[ile_podlewamy]]</f>
        <v>13827</v>
      </c>
    </row>
    <row r="72" spans="1:12" x14ac:dyDescent="0.25">
      <c r="A72" s="2">
        <v>42165</v>
      </c>
      <c r="B72">
        <v>16</v>
      </c>
      <c r="C72">
        <v>0</v>
      </c>
      <c r="D72">
        <f t="shared" si="1"/>
        <v>13827</v>
      </c>
      <c r="E72">
        <f>IF(C72=0,ROUNDUP($AB$3*POWER(pogoda4[[#This Row],[temperatura_srednia]],1.5)*pogoda4[[#This Row],[stan_przed_dolaniem]],0),0)</f>
        <v>266</v>
      </c>
      <c r="F72">
        <f>pogoda4[[#This Row],[stan_przed_dolaniem]]-pogoda4[[#This Row],[ubytek]]</f>
        <v>13561</v>
      </c>
      <c r="G72">
        <f>IF(pogoda4[[#This Row],[opady]]*$AB$1+D72&gt;$AB$2,$AB$2-pogoda4[[#This Row],[stan_przed_dolaniem]],pogoda4[[#This Row],[opady]]*$AB$1)</f>
        <v>0</v>
      </c>
      <c r="H72">
        <f>pogoda4[[#This Row],[stan_po_ubytku]]+pogoda4[[#This Row],[ile_pogoda_dolała]]</f>
        <v>13561</v>
      </c>
      <c r="I72" cm="1">
        <f t="array" ref="I72">_xlfn.IFS(OR(pogoda4[[#This Row],[temperatura_srednia]]&lt;=15,pogoda4[[#This Row],[opady]]&gt;0.61),0,pogoda4[[#This Row],[temperatura_srednia]]&gt;30,24000,pogoda4[[#This Row],[temperatura_srednia]]&gt;15,12000)</f>
        <v>12000</v>
      </c>
      <c r="J72">
        <f>IF(pogoda4[[#This Row],[stan_po_dolaniu]]&lt;pogoda4[[#This Row],[ile_podlewamy]],$AB$2-pogoda4[[#This Row],[stan_po_dolaniu]],0)</f>
        <v>0</v>
      </c>
      <c r="K72">
        <f>pogoda4[[#This Row],[stan_po_dolaniu]]+pogoda4[[#This Row],[ile_dolać_do_podlania]]</f>
        <v>13561</v>
      </c>
      <c r="L72">
        <f>pogoda4[[#This Row],[stan_po_dolaniu_do_podlania]]-pogoda4[[#This Row],[ile_podlewamy]]</f>
        <v>1561</v>
      </c>
    </row>
    <row r="73" spans="1:12" x14ac:dyDescent="0.25">
      <c r="A73" s="2">
        <v>42166</v>
      </c>
      <c r="B73">
        <v>16</v>
      </c>
      <c r="C73">
        <v>0</v>
      </c>
      <c r="D73">
        <f t="shared" si="1"/>
        <v>1561</v>
      </c>
      <c r="E73">
        <f>IF(C73=0,ROUNDUP($AB$3*POWER(pogoda4[[#This Row],[temperatura_srednia]],1.5)*pogoda4[[#This Row],[stan_przed_dolaniem]],0),0)</f>
        <v>30</v>
      </c>
      <c r="F73">
        <f>pogoda4[[#This Row],[stan_przed_dolaniem]]-pogoda4[[#This Row],[ubytek]]</f>
        <v>1531</v>
      </c>
      <c r="G73">
        <f>IF(pogoda4[[#This Row],[opady]]*$AB$1+D73&gt;$AB$2,$AB$2-pogoda4[[#This Row],[stan_przed_dolaniem]],pogoda4[[#This Row],[opady]]*$AB$1)</f>
        <v>0</v>
      </c>
      <c r="H73">
        <f>pogoda4[[#This Row],[stan_po_ubytku]]+pogoda4[[#This Row],[ile_pogoda_dolała]]</f>
        <v>1531</v>
      </c>
      <c r="I73" cm="1">
        <f t="array" ref="I73">_xlfn.IFS(OR(pogoda4[[#This Row],[temperatura_srednia]]&lt;=15,pogoda4[[#This Row],[opady]]&gt;0.61),0,pogoda4[[#This Row],[temperatura_srednia]]&gt;30,24000,pogoda4[[#This Row],[temperatura_srednia]]&gt;15,12000)</f>
        <v>12000</v>
      </c>
      <c r="J73">
        <f>IF(pogoda4[[#This Row],[stan_po_dolaniu]]&lt;pogoda4[[#This Row],[ile_podlewamy]],$AB$2-pogoda4[[#This Row],[stan_po_dolaniu]],0)</f>
        <v>23469</v>
      </c>
      <c r="K73">
        <f>pogoda4[[#This Row],[stan_po_dolaniu]]+pogoda4[[#This Row],[ile_dolać_do_podlania]]</f>
        <v>25000</v>
      </c>
      <c r="L73">
        <f>pogoda4[[#This Row],[stan_po_dolaniu_do_podlania]]-pogoda4[[#This Row],[ile_podlewamy]]</f>
        <v>13000</v>
      </c>
    </row>
    <row r="74" spans="1:12" x14ac:dyDescent="0.25">
      <c r="A74" s="2">
        <v>42167</v>
      </c>
      <c r="B74">
        <v>18</v>
      </c>
      <c r="C74">
        <v>5</v>
      </c>
      <c r="D74">
        <f t="shared" si="1"/>
        <v>13000</v>
      </c>
      <c r="E74">
        <f>IF(C74=0,ROUNDUP($AB$3*POWER(pogoda4[[#This Row],[temperatura_srednia]],1.5)*pogoda4[[#This Row],[stan_przed_dolaniem]],0),0)</f>
        <v>0</v>
      </c>
      <c r="F74">
        <f>pogoda4[[#This Row],[stan_przed_dolaniem]]-pogoda4[[#This Row],[ubytek]]</f>
        <v>13000</v>
      </c>
      <c r="G74">
        <f>IF(pogoda4[[#This Row],[opady]]*$AB$1+D74&gt;$AB$2,$AB$2-pogoda4[[#This Row],[stan_przed_dolaniem]],pogoda4[[#This Row],[opady]]*$AB$1)</f>
        <v>3500</v>
      </c>
      <c r="H74">
        <f>pogoda4[[#This Row],[stan_po_ubytku]]+pogoda4[[#This Row],[ile_pogoda_dolała]]</f>
        <v>16500</v>
      </c>
      <c r="I74" cm="1">
        <f t="array" ref="I74">_xlfn.IFS(OR(pogoda4[[#This Row],[temperatura_srednia]]&lt;=15,pogoda4[[#This Row],[opady]]&gt;0.61),0,pogoda4[[#This Row],[temperatura_srednia]]&gt;30,24000,pogoda4[[#This Row],[temperatura_srednia]]&gt;15,12000)</f>
        <v>0</v>
      </c>
      <c r="J74">
        <f>IF(pogoda4[[#This Row],[stan_po_dolaniu]]&lt;pogoda4[[#This Row],[ile_podlewamy]],$AB$2-pogoda4[[#This Row],[stan_po_dolaniu]],0)</f>
        <v>0</v>
      </c>
      <c r="K74">
        <f>pogoda4[[#This Row],[stan_po_dolaniu]]+pogoda4[[#This Row],[ile_dolać_do_podlania]]</f>
        <v>16500</v>
      </c>
      <c r="L74">
        <f>pogoda4[[#This Row],[stan_po_dolaniu_do_podlania]]-pogoda4[[#This Row],[ile_podlewamy]]</f>
        <v>16500</v>
      </c>
    </row>
    <row r="75" spans="1:12" x14ac:dyDescent="0.25">
      <c r="A75" s="2">
        <v>42168</v>
      </c>
      <c r="B75">
        <v>19</v>
      </c>
      <c r="C75">
        <v>1</v>
      </c>
      <c r="D75">
        <f t="shared" si="1"/>
        <v>16500</v>
      </c>
      <c r="E75">
        <f>IF(C75=0,ROUNDUP($AB$3*POWER(pogoda4[[#This Row],[temperatura_srednia]],1.5)*pogoda4[[#This Row],[stan_przed_dolaniem]],0),0)</f>
        <v>0</v>
      </c>
      <c r="F75">
        <f>pogoda4[[#This Row],[stan_przed_dolaniem]]-pogoda4[[#This Row],[ubytek]]</f>
        <v>16500</v>
      </c>
      <c r="G75">
        <f>IF(pogoda4[[#This Row],[opady]]*$AB$1+D75&gt;$AB$2,$AB$2-pogoda4[[#This Row],[stan_przed_dolaniem]],pogoda4[[#This Row],[opady]]*$AB$1)</f>
        <v>700</v>
      </c>
      <c r="H75">
        <f>pogoda4[[#This Row],[stan_po_ubytku]]+pogoda4[[#This Row],[ile_pogoda_dolała]]</f>
        <v>17200</v>
      </c>
      <c r="I75" cm="1">
        <f t="array" ref="I75">_xlfn.IFS(OR(pogoda4[[#This Row],[temperatura_srednia]]&lt;=15,pogoda4[[#This Row],[opady]]&gt;0.61),0,pogoda4[[#This Row],[temperatura_srednia]]&gt;30,24000,pogoda4[[#This Row],[temperatura_srednia]]&gt;15,12000)</f>
        <v>0</v>
      </c>
      <c r="J75">
        <f>IF(pogoda4[[#This Row],[stan_po_dolaniu]]&lt;pogoda4[[#This Row],[ile_podlewamy]],$AB$2-pogoda4[[#This Row],[stan_po_dolaniu]],0)</f>
        <v>0</v>
      </c>
      <c r="K75">
        <f>pogoda4[[#This Row],[stan_po_dolaniu]]+pogoda4[[#This Row],[ile_dolać_do_podlania]]</f>
        <v>17200</v>
      </c>
      <c r="L75">
        <f>pogoda4[[#This Row],[stan_po_dolaniu_do_podlania]]-pogoda4[[#This Row],[ile_podlewamy]]</f>
        <v>17200</v>
      </c>
    </row>
    <row r="76" spans="1:12" x14ac:dyDescent="0.25">
      <c r="A76" s="2">
        <v>42169</v>
      </c>
      <c r="B76">
        <v>22</v>
      </c>
      <c r="C76">
        <v>0</v>
      </c>
      <c r="D76">
        <f t="shared" si="1"/>
        <v>17200</v>
      </c>
      <c r="E76">
        <f>IF(C76=0,ROUNDUP($AB$3*POWER(pogoda4[[#This Row],[temperatura_srednia]],1.5)*pogoda4[[#This Row],[stan_przed_dolaniem]],0),0)</f>
        <v>533</v>
      </c>
      <c r="F76">
        <f>pogoda4[[#This Row],[stan_przed_dolaniem]]-pogoda4[[#This Row],[ubytek]]</f>
        <v>16667</v>
      </c>
      <c r="G76">
        <f>IF(pogoda4[[#This Row],[opady]]*$AB$1+D76&gt;$AB$2,$AB$2-pogoda4[[#This Row],[stan_przed_dolaniem]],pogoda4[[#This Row],[opady]]*$AB$1)</f>
        <v>0</v>
      </c>
      <c r="H76">
        <f>pogoda4[[#This Row],[stan_po_ubytku]]+pogoda4[[#This Row],[ile_pogoda_dolała]]</f>
        <v>16667</v>
      </c>
      <c r="I76" cm="1">
        <f t="array" ref="I76">_xlfn.IFS(OR(pogoda4[[#This Row],[temperatura_srednia]]&lt;=15,pogoda4[[#This Row],[opady]]&gt;0.61),0,pogoda4[[#This Row],[temperatura_srednia]]&gt;30,24000,pogoda4[[#This Row],[temperatura_srednia]]&gt;15,12000)</f>
        <v>12000</v>
      </c>
      <c r="J76">
        <f>IF(pogoda4[[#This Row],[stan_po_dolaniu]]&lt;pogoda4[[#This Row],[ile_podlewamy]],$AB$2-pogoda4[[#This Row],[stan_po_dolaniu]],0)</f>
        <v>0</v>
      </c>
      <c r="K76">
        <f>pogoda4[[#This Row],[stan_po_dolaniu]]+pogoda4[[#This Row],[ile_dolać_do_podlania]]</f>
        <v>16667</v>
      </c>
      <c r="L76">
        <f>pogoda4[[#This Row],[stan_po_dolaniu_do_podlania]]-pogoda4[[#This Row],[ile_podlewamy]]</f>
        <v>4667</v>
      </c>
    </row>
    <row r="77" spans="1:12" x14ac:dyDescent="0.25">
      <c r="A77" s="2">
        <v>42170</v>
      </c>
      <c r="B77">
        <v>16</v>
      </c>
      <c r="C77">
        <v>0</v>
      </c>
      <c r="D77">
        <f t="shared" si="1"/>
        <v>4667</v>
      </c>
      <c r="E77">
        <f>IF(C77=0,ROUNDUP($AB$3*POWER(pogoda4[[#This Row],[temperatura_srednia]],1.5)*pogoda4[[#This Row],[stan_przed_dolaniem]],0),0)</f>
        <v>90</v>
      </c>
      <c r="F77">
        <f>pogoda4[[#This Row],[stan_przed_dolaniem]]-pogoda4[[#This Row],[ubytek]]</f>
        <v>4577</v>
      </c>
      <c r="G77">
        <f>IF(pogoda4[[#This Row],[opady]]*$AB$1+D77&gt;$AB$2,$AB$2-pogoda4[[#This Row],[stan_przed_dolaniem]],pogoda4[[#This Row],[opady]]*$AB$1)</f>
        <v>0</v>
      </c>
      <c r="H77">
        <f>pogoda4[[#This Row],[stan_po_ubytku]]+pogoda4[[#This Row],[ile_pogoda_dolała]]</f>
        <v>4577</v>
      </c>
      <c r="I77" cm="1">
        <f t="array" ref="I77">_xlfn.IFS(OR(pogoda4[[#This Row],[temperatura_srednia]]&lt;=15,pogoda4[[#This Row],[opady]]&gt;0.61),0,pogoda4[[#This Row],[temperatura_srednia]]&gt;30,24000,pogoda4[[#This Row],[temperatura_srednia]]&gt;15,12000)</f>
        <v>12000</v>
      </c>
      <c r="J77">
        <f>IF(pogoda4[[#This Row],[stan_po_dolaniu]]&lt;pogoda4[[#This Row],[ile_podlewamy]],$AB$2-pogoda4[[#This Row],[stan_po_dolaniu]],0)</f>
        <v>20423</v>
      </c>
      <c r="K77">
        <f>pogoda4[[#This Row],[stan_po_dolaniu]]+pogoda4[[#This Row],[ile_dolać_do_podlania]]</f>
        <v>25000</v>
      </c>
      <c r="L77">
        <f>pogoda4[[#This Row],[stan_po_dolaniu_do_podlania]]-pogoda4[[#This Row],[ile_podlewamy]]</f>
        <v>13000</v>
      </c>
    </row>
    <row r="78" spans="1:12" x14ac:dyDescent="0.25">
      <c r="A78" s="2">
        <v>42171</v>
      </c>
      <c r="B78">
        <v>12</v>
      </c>
      <c r="C78">
        <v>0</v>
      </c>
      <c r="D78">
        <f t="shared" si="1"/>
        <v>13000</v>
      </c>
      <c r="E78">
        <f>IF(C78=0,ROUNDUP($AB$3*POWER(pogoda4[[#This Row],[temperatura_srednia]],1.5)*pogoda4[[#This Row],[stan_przed_dolaniem]],0),0)</f>
        <v>163</v>
      </c>
      <c r="F78">
        <f>pogoda4[[#This Row],[stan_przed_dolaniem]]-pogoda4[[#This Row],[ubytek]]</f>
        <v>12837</v>
      </c>
      <c r="G78">
        <f>IF(pogoda4[[#This Row],[opady]]*$AB$1+D78&gt;$AB$2,$AB$2-pogoda4[[#This Row],[stan_przed_dolaniem]],pogoda4[[#This Row],[opady]]*$AB$1)</f>
        <v>0</v>
      </c>
      <c r="H78">
        <f>pogoda4[[#This Row],[stan_po_ubytku]]+pogoda4[[#This Row],[ile_pogoda_dolała]]</f>
        <v>12837</v>
      </c>
      <c r="I78" cm="1">
        <f t="array" ref="I78">_xlfn.IFS(OR(pogoda4[[#This Row],[temperatura_srednia]]&lt;=15,pogoda4[[#This Row],[opady]]&gt;0.61),0,pogoda4[[#This Row],[temperatura_srednia]]&gt;30,24000,pogoda4[[#This Row],[temperatura_srednia]]&gt;15,12000)</f>
        <v>0</v>
      </c>
      <c r="J78">
        <f>IF(pogoda4[[#This Row],[stan_po_dolaniu]]&lt;pogoda4[[#This Row],[ile_podlewamy]],$AB$2-pogoda4[[#This Row],[stan_po_dolaniu]],0)</f>
        <v>0</v>
      </c>
      <c r="K78">
        <f>pogoda4[[#This Row],[stan_po_dolaniu]]+pogoda4[[#This Row],[ile_dolać_do_podlania]]</f>
        <v>12837</v>
      </c>
      <c r="L78">
        <f>pogoda4[[#This Row],[stan_po_dolaniu_do_podlania]]-pogoda4[[#This Row],[ile_podlewamy]]</f>
        <v>12837</v>
      </c>
    </row>
    <row r="79" spans="1:12" x14ac:dyDescent="0.25">
      <c r="A79" s="2">
        <v>42172</v>
      </c>
      <c r="B79">
        <v>14</v>
      </c>
      <c r="C79">
        <v>0</v>
      </c>
      <c r="D79">
        <f t="shared" si="1"/>
        <v>12837</v>
      </c>
      <c r="E79">
        <f>IF(C79=0,ROUNDUP($AB$3*POWER(pogoda4[[#This Row],[temperatura_srednia]],1.5)*pogoda4[[#This Row],[stan_przed_dolaniem]],0),0)</f>
        <v>202</v>
      </c>
      <c r="F79">
        <f>pogoda4[[#This Row],[stan_przed_dolaniem]]-pogoda4[[#This Row],[ubytek]]</f>
        <v>12635</v>
      </c>
      <c r="G79">
        <f>IF(pogoda4[[#This Row],[opady]]*$AB$1+D79&gt;$AB$2,$AB$2-pogoda4[[#This Row],[stan_przed_dolaniem]],pogoda4[[#This Row],[opady]]*$AB$1)</f>
        <v>0</v>
      </c>
      <c r="H79">
        <f>pogoda4[[#This Row],[stan_po_ubytku]]+pogoda4[[#This Row],[ile_pogoda_dolała]]</f>
        <v>12635</v>
      </c>
      <c r="I79" cm="1">
        <f t="array" ref="I79">_xlfn.IFS(OR(pogoda4[[#This Row],[temperatura_srednia]]&lt;=15,pogoda4[[#This Row],[opady]]&gt;0.61),0,pogoda4[[#This Row],[temperatura_srednia]]&gt;30,24000,pogoda4[[#This Row],[temperatura_srednia]]&gt;15,12000)</f>
        <v>0</v>
      </c>
      <c r="J79">
        <f>IF(pogoda4[[#This Row],[stan_po_dolaniu]]&lt;pogoda4[[#This Row],[ile_podlewamy]],$AB$2-pogoda4[[#This Row],[stan_po_dolaniu]],0)</f>
        <v>0</v>
      </c>
      <c r="K79">
        <f>pogoda4[[#This Row],[stan_po_dolaniu]]+pogoda4[[#This Row],[ile_dolać_do_podlania]]</f>
        <v>12635</v>
      </c>
      <c r="L79">
        <f>pogoda4[[#This Row],[stan_po_dolaniu_do_podlania]]-pogoda4[[#This Row],[ile_podlewamy]]</f>
        <v>12635</v>
      </c>
    </row>
    <row r="80" spans="1:12" x14ac:dyDescent="0.25">
      <c r="A80" s="2">
        <v>42173</v>
      </c>
      <c r="B80">
        <v>16</v>
      </c>
      <c r="C80">
        <v>0.3</v>
      </c>
      <c r="D80">
        <f t="shared" si="1"/>
        <v>12635</v>
      </c>
      <c r="E80">
        <f>IF(C80=0,ROUNDUP($AB$3*POWER(pogoda4[[#This Row],[temperatura_srednia]],1.5)*pogoda4[[#This Row],[stan_przed_dolaniem]],0),0)</f>
        <v>0</v>
      </c>
      <c r="F80">
        <f>pogoda4[[#This Row],[stan_przed_dolaniem]]-pogoda4[[#This Row],[ubytek]]</f>
        <v>12635</v>
      </c>
      <c r="G80">
        <f>IF(pogoda4[[#This Row],[opady]]*$AB$1+D80&gt;$AB$2,$AB$2-pogoda4[[#This Row],[stan_przed_dolaniem]],pogoda4[[#This Row],[opady]]*$AB$1)</f>
        <v>210</v>
      </c>
      <c r="H80">
        <f>pogoda4[[#This Row],[stan_po_ubytku]]+pogoda4[[#This Row],[ile_pogoda_dolała]]</f>
        <v>12845</v>
      </c>
      <c r="I80" cm="1">
        <f t="array" ref="I80">_xlfn.IFS(OR(pogoda4[[#This Row],[temperatura_srednia]]&lt;=15,pogoda4[[#This Row],[opady]]&gt;0.61),0,pogoda4[[#This Row],[temperatura_srednia]]&gt;30,24000,pogoda4[[#This Row],[temperatura_srednia]]&gt;15,12000)</f>
        <v>12000</v>
      </c>
      <c r="J80">
        <f>IF(pogoda4[[#This Row],[stan_po_dolaniu]]&lt;pogoda4[[#This Row],[ile_podlewamy]],$AB$2-pogoda4[[#This Row],[stan_po_dolaniu]],0)</f>
        <v>0</v>
      </c>
      <c r="K80">
        <f>pogoda4[[#This Row],[stan_po_dolaniu]]+pogoda4[[#This Row],[ile_dolać_do_podlania]]</f>
        <v>12845</v>
      </c>
      <c r="L80">
        <f>pogoda4[[#This Row],[stan_po_dolaniu_do_podlania]]-pogoda4[[#This Row],[ile_podlewamy]]</f>
        <v>845</v>
      </c>
    </row>
    <row r="81" spans="1:12" x14ac:dyDescent="0.25">
      <c r="A81" s="2">
        <v>42174</v>
      </c>
      <c r="B81">
        <v>12</v>
      </c>
      <c r="C81">
        <v>3</v>
      </c>
      <c r="D81">
        <f t="shared" si="1"/>
        <v>845</v>
      </c>
      <c r="E81">
        <f>IF(C81=0,ROUNDUP($AB$3*POWER(pogoda4[[#This Row],[temperatura_srednia]],1.5)*pogoda4[[#This Row],[stan_przed_dolaniem]],0),0)</f>
        <v>0</v>
      </c>
      <c r="F81">
        <f>pogoda4[[#This Row],[stan_przed_dolaniem]]-pogoda4[[#This Row],[ubytek]]</f>
        <v>845</v>
      </c>
      <c r="G81">
        <f>IF(pogoda4[[#This Row],[opady]]*$AB$1+D81&gt;$AB$2,$AB$2-pogoda4[[#This Row],[stan_przed_dolaniem]],pogoda4[[#This Row],[opady]]*$AB$1)</f>
        <v>2100</v>
      </c>
      <c r="H81">
        <f>pogoda4[[#This Row],[stan_po_ubytku]]+pogoda4[[#This Row],[ile_pogoda_dolała]]</f>
        <v>2945</v>
      </c>
      <c r="I81" cm="1">
        <f t="array" ref="I81">_xlfn.IFS(OR(pogoda4[[#This Row],[temperatura_srednia]]&lt;=15,pogoda4[[#This Row],[opady]]&gt;0.61),0,pogoda4[[#This Row],[temperatura_srednia]]&gt;30,24000,pogoda4[[#This Row],[temperatura_srednia]]&gt;15,12000)</f>
        <v>0</v>
      </c>
      <c r="J81">
        <f>IF(pogoda4[[#This Row],[stan_po_dolaniu]]&lt;pogoda4[[#This Row],[ile_podlewamy]],$AB$2-pogoda4[[#This Row],[stan_po_dolaniu]],0)</f>
        <v>0</v>
      </c>
      <c r="K81">
        <f>pogoda4[[#This Row],[stan_po_dolaniu]]+pogoda4[[#This Row],[ile_dolać_do_podlania]]</f>
        <v>2945</v>
      </c>
      <c r="L81">
        <f>pogoda4[[#This Row],[stan_po_dolaniu_do_podlania]]-pogoda4[[#This Row],[ile_podlewamy]]</f>
        <v>2945</v>
      </c>
    </row>
    <row r="82" spans="1:12" x14ac:dyDescent="0.25">
      <c r="A82" s="2">
        <v>42175</v>
      </c>
      <c r="B82">
        <v>13</v>
      </c>
      <c r="C82">
        <v>2</v>
      </c>
      <c r="D82">
        <f t="shared" si="1"/>
        <v>2945</v>
      </c>
      <c r="E82">
        <f>IF(C82=0,ROUNDUP($AB$3*POWER(pogoda4[[#This Row],[temperatura_srednia]],1.5)*pogoda4[[#This Row],[stan_przed_dolaniem]],0),0)</f>
        <v>0</v>
      </c>
      <c r="F82">
        <f>pogoda4[[#This Row],[stan_przed_dolaniem]]-pogoda4[[#This Row],[ubytek]]</f>
        <v>2945</v>
      </c>
      <c r="G82">
        <f>IF(pogoda4[[#This Row],[opady]]*$AB$1+D82&gt;$AB$2,$AB$2-pogoda4[[#This Row],[stan_przed_dolaniem]],pogoda4[[#This Row],[opady]]*$AB$1)</f>
        <v>1400</v>
      </c>
      <c r="H82">
        <f>pogoda4[[#This Row],[stan_po_ubytku]]+pogoda4[[#This Row],[ile_pogoda_dolała]]</f>
        <v>4345</v>
      </c>
      <c r="I82" cm="1">
        <f t="array" ref="I82">_xlfn.IFS(OR(pogoda4[[#This Row],[temperatura_srednia]]&lt;=15,pogoda4[[#This Row],[opady]]&gt;0.61),0,pogoda4[[#This Row],[temperatura_srednia]]&gt;30,24000,pogoda4[[#This Row],[temperatura_srednia]]&gt;15,12000)</f>
        <v>0</v>
      </c>
      <c r="J82">
        <f>IF(pogoda4[[#This Row],[stan_po_dolaniu]]&lt;pogoda4[[#This Row],[ile_podlewamy]],$AB$2-pogoda4[[#This Row],[stan_po_dolaniu]],0)</f>
        <v>0</v>
      </c>
      <c r="K82">
        <f>pogoda4[[#This Row],[stan_po_dolaniu]]+pogoda4[[#This Row],[ile_dolać_do_podlania]]</f>
        <v>4345</v>
      </c>
      <c r="L82">
        <f>pogoda4[[#This Row],[stan_po_dolaniu_do_podlania]]-pogoda4[[#This Row],[ile_podlewamy]]</f>
        <v>4345</v>
      </c>
    </row>
    <row r="83" spans="1:12" x14ac:dyDescent="0.25">
      <c r="A83" s="2">
        <v>42176</v>
      </c>
      <c r="B83">
        <v>12</v>
      </c>
      <c r="C83">
        <v>0</v>
      </c>
      <c r="D83">
        <f t="shared" si="1"/>
        <v>4345</v>
      </c>
      <c r="E83">
        <f>IF(C83=0,ROUNDUP($AB$3*POWER(pogoda4[[#This Row],[temperatura_srednia]],1.5)*pogoda4[[#This Row],[stan_przed_dolaniem]],0),0)</f>
        <v>55</v>
      </c>
      <c r="F83">
        <f>pogoda4[[#This Row],[stan_przed_dolaniem]]-pogoda4[[#This Row],[ubytek]]</f>
        <v>4290</v>
      </c>
      <c r="G83">
        <f>IF(pogoda4[[#This Row],[opady]]*$AB$1+D83&gt;$AB$2,$AB$2-pogoda4[[#This Row],[stan_przed_dolaniem]],pogoda4[[#This Row],[opady]]*$AB$1)</f>
        <v>0</v>
      </c>
      <c r="H83">
        <f>pogoda4[[#This Row],[stan_po_ubytku]]+pogoda4[[#This Row],[ile_pogoda_dolała]]</f>
        <v>4290</v>
      </c>
      <c r="I83" cm="1">
        <f t="array" ref="I83">_xlfn.IFS(OR(pogoda4[[#This Row],[temperatura_srednia]]&lt;=15,pogoda4[[#This Row],[opady]]&gt;0.61),0,pogoda4[[#This Row],[temperatura_srednia]]&gt;30,24000,pogoda4[[#This Row],[temperatura_srednia]]&gt;15,12000)</f>
        <v>0</v>
      </c>
      <c r="J83">
        <f>IF(pogoda4[[#This Row],[stan_po_dolaniu]]&lt;pogoda4[[#This Row],[ile_podlewamy]],$AB$2-pogoda4[[#This Row],[stan_po_dolaniu]],0)</f>
        <v>0</v>
      </c>
      <c r="K83">
        <f>pogoda4[[#This Row],[stan_po_dolaniu]]+pogoda4[[#This Row],[ile_dolać_do_podlania]]</f>
        <v>4290</v>
      </c>
      <c r="L83">
        <f>pogoda4[[#This Row],[stan_po_dolaniu_do_podlania]]-pogoda4[[#This Row],[ile_podlewamy]]</f>
        <v>4290</v>
      </c>
    </row>
    <row r="84" spans="1:12" x14ac:dyDescent="0.25">
      <c r="A84" s="2">
        <v>42177</v>
      </c>
      <c r="B84">
        <v>12</v>
      </c>
      <c r="C84">
        <v>3</v>
      </c>
      <c r="D84">
        <f t="shared" si="1"/>
        <v>4290</v>
      </c>
      <c r="E84">
        <f>IF(C84=0,ROUNDUP($AB$3*POWER(pogoda4[[#This Row],[temperatura_srednia]],1.5)*pogoda4[[#This Row],[stan_przed_dolaniem]],0),0)</f>
        <v>0</v>
      </c>
      <c r="F84">
        <f>pogoda4[[#This Row],[stan_przed_dolaniem]]-pogoda4[[#This Row],[ubytek]]</f>
        <v>4290</v>
      </c>
      <c r="G84">
        <f>IF(pogoda4[[#This Row],[opady]]*$AB$1+D84&gt;$AB$2,$AB$2-pogoda4[[#This Row],[stan_przed_dolaniem]],pogoda4[[#This Row],[opady]]*$AB$1)</f>
        <v>2100</v>
      </c>
      <c r="H84">
        <f>pogoda4[[#This Row],[stan_po_ubytku]]+pogoda4[[#This Row],[ile_pogoda_dolała]]</f>
        <v>6390</v>
      </c>
      <c r="I84" cm="1">
        <f t="array" ref="I84">_xlfn.IFS(OR(pogoda4[[#This Row],[temperatura_srednia]]&lt;=15,pogoda4[[#This Row],[opady]]&gt;0.61),0,pogoda4[[#This Row],[temperatura_srednia]]&gt;30,24000,pogoda4[[#This Row],[temperatura_srednia]]&gt;15,12000)</f>
        <v>0</v>
      </c>
      <c r="J84">
        <f>IF(pogoda4[[#This Row],[stan_po_dolaniu]]&lt;pogoda4[[#This Row],[ile_podlewamy]],$AB$2-pogoda4[[#This Row],[stan_po_dolaniu]],0)</f>
        <v>0</v>
      </c>
      <c r="K84">
        <f>pogoda4[[#This Row],[stan_po_dolaniu]]+pogoda4[[#This Row],[ile_dolać_do_podlania]]</f>
        <v>6390</v>
      </c>
      <c r="L84">
        <f>pogoda4[[#This Row],[stan_po_dolaniu_do_podlania]]-pogoda4[[#This Row],[ile_podlewamy]]</f>
        <v>6390</v>
      </c>
    </row>
    <row r="85" spans="1:12" x14ac:dyDescent="0.25">
      <c r="A85" s="2">
        <v>42178</v>
      </c>
      <c r="B85">
        <v>13</v>
      </c>
      <c r="C85">
        <v>3</v>
      </c>
      <c r="D85">
        <f t="shared" si="1"/>
        <v>6390</v>
      </c>
      <c r="E85">
        <f>IF(C85=0,ROUNDUP($AB$3*POWER(pogoda4[[#This Row],[temperatura_srednia]],1.5)*pogoda4[[#This Row],[stan_przed_dolaniem]],0),0)</f>
        <v>0</v>
      </c>
      <c r="F85">
        <f>pogoda4[[#This Row],[stan_przed_dolaniem]]-pogoda4[[#This Row],[ubytek]]</f>
        <v>6390</v>
      </c>
      <c r="G85">
        <f>IF(pogoda4[[#This Row],[opady]]*$AB$1+D85&gt;$AB$2,$AB$2-pogoda4[[#This Row],[stan_przed_dolaniem]],pogoda4[[#This Row],[opady]]*$AB$1)</f>
        <v>2100</v>
      </c>
      <c r="H85">
        <f>pogoda4[[#This Row],[stan_po_ubytku]]+pogoda4[[#This Row],[ile_pogoda_dolała]]</f>
        <v>8490</v>
      </c>
      <c r="I85" cm="1">
        <f t="array" ref="I85">_xlfn.IFS(OR(pogoda4[[#This Row],[temperatura_srednia]]&lt;=15,pogoda4[[#This Row],[opady]]&gt;0.61),0,pogoda4[[#This Row],[temperatura_srednia]]&gt;30,24000,pogoda4[[#This Row],[temperatura_srednia]]&gt;15,12000)</f>
        <v>0</v>
      </c>
      <c r="J85">
        <f>IF(pogoda4[[#This Row],[stan_po_dolaniu]]&lt;pogoda4[[#This Row],[ile_podlewamy]],$AB$2-pogoda4[[#This Row],[stan_po_dolaniu]],0)</f>
        <v>0</v>
      </c>
      <c r="K85">
        <f>pogoda4[[#This Row],[stan_po_dolaniu]]+pogoda4[[#This Row],[ile_dolać_do_podlania]]</f>
        <v>8490</v>
      </c>
      <c r="L85">
        <f>pogoda4[[#This Row],[stan_po_dolaniu_do_podlania]]-pogoda4[[#This Row],[ile_podlewamy]]</f>
        <v>8490</v>
      </c>
    </row>
    <row r="86" spans="1:12" x14ac:dyDescent="0.25">
      <c r="A86" s="2">
        <v>42179</v>
      </c>
      <c r="B86">
        <v>12</v>
      </c>
      <c r="C86">
        <v>0</v>
      </c>
      <c r="D86">
        <f t="shared" si="1"/>
        <v>8490</v>
      </c>
      <c r="E86">
        <f>IF(C86=0,ROUNDUP($AB$3*POWER(pogoda4[[#This Row],[temperatura_srednia]],1.5)*pogoda4[[#This Row],[stan_przed_dolaniem]],0),0)</f>
        <v>106</v>
      </c>
      <c r="F86">
        <f>pogoda4[[#This Row],[stan_przed_dolaniem]]-pogoda4[[#This Row],[ubytek]]</f>
        <v>8384</v>
      </c>
      <c r="G86">
        <f>IF(pogoda4[[#This Row],[opady]]*$AB$1+D86&gt;$AB$2,$AB$2-pogoda4[[#This Row],[stan_przed_dolaniem]],pogoda4[[#This Row],[opady]]*$AB$1)</f>
        <v>0</v>
      </c>
      <c r="H86">
        <f>pogoda4[[#This Row],[stan_po_ubytku]]+pogoda4[[#This Row],[ile_pogoda_dolała]]</f>
        <v>8384</v>
      </c>
      <c r="I86" cm="1">
        <f t="array" ref="I86">_xlfn.IFS(OR(pogoda4[[#This Row],[temperatura_srednia]]&lt;=15,pogoda4[[#This Row],[opady]]&gt;0.61),0,pogoda4[[#This Row],[temperatura_srednia]]&gt;30,24000,pogoda4[[#This Row],[temperatura_srednia]]&gt;15,12000)</f>
        <v>0</v>
      </c>
      <c r="J86">
        <f>IF(pogoda4[[#This Row],[stan_po_dolaniu]]&lt;pogoda4[[#This Row],[ile_podlewamy]],$AB$2-pogoda4[[#This Row],[stan_po_dolaniu]],0)</f>
        <v>0</v>
      </c>
      <c r="K86">
        <f>pogoda4[[#This Row],[stan_po_dolaniu]]+pogoda4[[#This Row],[ile_dolać_do_podlania]]</f>
        <v>8384</v>
      </c>
      <c r="L86">
        <f>pogoda4[[#This Row],[stan_po_dolaniu_do_podlania]]-pogoda4[[#This Row],[ile_podlewamy]]</f>
        <v>8384</v>
      </c>
    </row>
    <row r="87" spans="1:12" x14ac:dyDescent="0.25">
      <c r="A87" s="2">
        <v>42180</v>
      </c>
      <c r="B87">
        <v>16</v>
      </c>
      <c r="C87">
        <v>0</v>
      </c>
      <c r="D87">
        <f t="shared" si="1"/>
        <v>8384</v>
      </c>
      <c r="E87">
        <f>IF(C87=0,ROUNDUP($AB$3*POWER(pogoda4[[#This Row],[temperatura_srednia]],1.5)*pogoda4[[#This Row],[stan_przed_dolaniem]],0),0)</f>
        <v>161</v>
      </c>
      <c r="F87">
        <f>pogoda4[[#This Row],[stan_przed_dolaniem]]-pogoda4[[#This Row],[ubytek]]</f>
        <v>8223</v>
      </c>
      <c r="G87">
        <f>IF(pogoda4[[#This Row],[opady]]*$AB$1+D87&gt;$AB$2,$AB$2-pogoda4[[#This Row],[stan_przed_dolaniem]],pogoda4[[#This Row],[opady]]*$AB$1)</f>
        <v>0</v>
      </c>
      <c r="H87">
        <f>pogoda4[[#This Row],[stan_po_ubytku]]+pogoda4[[#This Row],[ile_pogoda_dolała]]</f>
        <v>8223</v>
      </c>
      <c r="I87" cm="1">
        <f t="array" ref="I87">_xlfn.IFS(OR(pogoda4[[#This Row],[temperatura_srednia]]&lt;=15,pogoda4[[#This Row],[opady]]&gt;0.61),0,pogoda4[[#This Row],[temperatura_srednia]]&gt;30,24000,pogoda4[[#This Row],[temperatura_srednia]]&gt;15,12000)</f>
        <v>12000</v>
      </c>
      <c r="J87">
        <f>IF(pogoda4[[#This Row],[stan_po_dolaniu]]&lt;pogoda4[[#This Row],[ile_podlewamy]],$AB$2-pogoda4[[#This Row],[stan_po_dolaniu]],0)</f>
        <v>16777</v>
      </c>
      <c r="K87">
        <f>pogoda4[[#This Row],[stan_po_dolaniu]]+pogoda4[[#This Row],[ile_dolać_do_podlania]]</f>
        <v>25000</v>
      </c>
      <c r="L87">
        <f>pogoda4[[#This Row],[stan_po_dolaniu_do_podlania]]-pogoda4[[#This Row],[ile_podlewamy]]</f>
        <v>13000</v>
      </c>
    </row>
    <row r="88" spans="1:12" x14ac:dyDescent="0.25">
      <c r="A88" s="2">
        <v>42181</v>
      </c>
      <c r="B88">
        <v>16</v>
      </c>
      <c r="C88">
        <v>7</v>
      </c>
      <c r="D88">
        <f t="shared" si="1"/>
        <v>13000</v>
      </c>
      <c r="E88">
        <f>IF(C88=0,ROUNDUP($AB$3*POWER(pogoda4[[#This Row],[temperatura_srednia]],1.5)*pogoda4[[#This Row],[stan_przed_dolaniem]],0),0)</f>
        <v>0</v>
      </c>
      <c r="F88">
        <f>pogoda4[[#This Row],[stan_przed_dolaniem]]-pogoda4[[#This Row],[ubytek]]</f>
        <v>13000</v>
      </c>
      <c r="G88">
        <f>IF(pogoda4[[#This Row],[opady]]*$AB$1+D88&gt;$AB$2,$AB$2-pogoda4[[#This Row],[stan_przed_dolaniem]],pogoda4[[#This Row],[opady]]*$AB$1)</f>
        <v>4900</v>
      </c>
      <c r="H88">
        <f>pogoda4[[#This Row],[stan_po_ubytku]]+pogoda4[[#This Row],[ile_pogoda_dolała]]</f>
        <v>17900</v>
      </c>
      <c r="I88" cm="1">
        <f t="array" ref="I88">_xlfn.IFS(OR(pogoda4[[#This Row],[temperatura_srednia]]&lt;=15,pogoda4[[#This Row],[opady]]&gt;0.61),0,pogoda4[[#This Row],[temperatura_srednia]]&gt;30,24000,pogoda4[[#This Row],[temperatura_srednia]]&gt;15,12000)</f>
        <v>0</v>
      </c>
      <c r="J88">
        <f>IF(pogoda4[[#This Row],[stan_po_dolaniu]]&lt;pogoda4[[#This Row],[ile_podlewamy]],$AB$2-pogoda4[[#This Row],[stan_po_dolaniu]],0)</f>
        <v>0</v>
      </c>
      <c r="K88">
        <f>pogoda4[[#This Row],[stan_po_dolaniu]]+pogoda4[[#This Row],[ile_dolać_do_podlania]]</f>
        <v>17900</v>
      </c>
      <c r="L88">
        <f>pogoda4[[#This Row],[stan_po_dolaniu_do_podlania]]-pogoda4[[#This Row],[ile_podlewamy]]</f>
        <v>17900</v>
      </c>
    </row>
    <row r="89" spans="1:12" x14ac:dyDescent="0.25">
      <c r="A89" s="2">
        <v>42182</v>
      </c>
      <c r="B89">
        <v>18</v>
      </c>
      <c r="C89">
        <v>6</v>
      </c>
      <c r="D89">
        <f t="shared" si="1"/>
        <v>17900</v>
      </c>
      <c r="E89">
        <f>IF(C89=0,ROUNDUP($AB$3*POWER(pogoda4[[#This Row],[temperatura_srednia]],1.5)*pogoda4[[#This Row],[stan_przed_dolaniem]],0),0)</f>
        <v>0</v>
      </c>
      <c r="F89">
        <f>pogoda4[[#This Row],[stan_przed_dolaniem]]-pogoda4[[#This Row],[ubytek]]</f>
        <v>17900</v>
      </c>
      <c r="G89">
        <f>IF(pogoda4[[#This Row],[opady]]*$AB$1+D89&gt;$AB$2,$AB$2-pogoda4[[#This Row],[stan_przed_dolaniem]],pogoda4[[#This Row],[opady]]*$AB$1)</f>
        <v>4200</v>
      </c>
      <c r="H89">
        <f>pogoda4[[#This Row],[stan_po_ubytku]]+pogoda4[[#This Row],[ile_pogoda_dolała]]</f>
        <v>22100</v>
      </c>
      <c r="I89" cm="1">
        <f t="array" ref="I89">_xlfn.IFS(OR(pogoda4[[#This Row],[temperatura_srednia]]&lt;=15,pogoda4[[#This Row],[opady]]&gt;0.61),0,pogoda4[[#This Row],[temperatura_srednia]]&gt;30,24000,pogoda4[[#This Row],[temperatura_srednia]]&gt;15,12000)</f>
        <v>0</v>
      </c>
      <c r="J89">
        <f>IF(pogoda4[[#This Row],[stan_po_dolaniu]]&lt;pogoda4[[#This Row],[ile_podlewamy]],$AB$2-pogoda4[[#This Row],[stan_po_dolaniu]],0)</f>
        <v>0</v>
      </c>
      <c r="K89">
        <f>pogoda4[[#This Row],[stan_po_dolaniu]]+pogoda4[[#This Row],[ile_dolać_do_podlania]]</f>
        <v>22100</v>
      </c>
      <c r="L89">
        <f>pogoda4[[#This Row],[stan_po_dolaniu_do_podlania]]-pogoda4[[#This Row],[ile_podlewamy]]</f>
        <v>22100</v>
      </c>
    </row>
    <row r="90" spans="1:12" x14ac:dyDescent="0.25">
      <c r="A90" s="2">
        <v>42183</v>
      </c>
      <c r="B90">
        <v>16</v>
      </c>
      <c r="C90">
        <v>0</v>
      </c>
      <c r="D90">
        <f t="shared" si="1"/>
        <v>22100</v>
      </c>
      <c r="E90">
        <f>IF(C90=0,ROUNDUP($AB$3*POWER(pogoda4[[#This Row],[temperatura_srednia]],1.5)*pogoda4[[#This Row],[stan_przed_dolaniem]],0),0)</f>
        <v>425</v>
      </c>
      <c r="F90">
        <f>pogoda4[[#This Row],[stan_przed_dolaniem]]-pogoda4[[#This Row],[ubytek]]</f>
        <v>21675</v>
      </c>
      <c r="G90">
        <f>IF(pogoda4[[#This Row],[opady]]*$AB$1+D90&gt;$AB$2,$AB$2-pogoda4[[#This Row],[stan_przed_dolaniem]],pogoda4[[#This Row],[opady]]*$AB$1)</f>
        <v>0</v>
      </c>
      <c r="H90">
        <f>pogoda4[[#This Row],[stan_po_ubytku]]+pogoda4[[#This Row],[ile_pogoda_dolała]]</f>
        <v>21675</v>
      </c>
      <c r="I90" cm="1">
        <f t="array" ref="I90">_xlfn.IFS(OR(pogoda4[[#This Row],[temperatura_srednia]]&lt;=15,pogoda4[[#This Row],[opady]]&gt;0.61),0,pogoda4[[#This Row],[temperatura_srednia]]&gt;30,24000,pogoda4[[#This Row],[temperatura_srednia]]&gt;15,12000)</f>
        <v>12000</v>
      </c>
      <c r="J90">
        <f>IF(pogoda4[[#This Row],[stan_po_dolaniu]]&lt;pogoda4[[#This Row],[ile_podlewamy]],$AB$2-pogoda4[[#This Row],[stan_po_dolaniu]],0)</f>
        <v>0</v>
      </c>
      <c r="K90">
        <f>pogoda4[[#This Row],[stan_po_dolaniu]]+pogoda4[[#This Row],[ile_dolać_do_podlania]]</f>
        <v>21675</v>
      </c>
      <c r="L90">
        <f>pogoda4[[#This Row],[stan_po_dolaniu_do_podlania]]-pogoda4[[#This Row],[ile_podlewamy]]</f>
        <v>9675</v>
      </c>
    </row>
    <row r="91" spans="1:12" x14ac:dyDescent="0.25">
      <c r="A91" s="2">
        <v>42184</v>
      </c>
      <c r="B91">
        <v>16</v>
      </c>
      <c r="C91">
        <v>0</v>
      </c>
      <c r="D91">
        <f t="shared" si="1"/>
        <v>9675</v>
      </c>
      <c r="E91">
        <f>IF(C91=0,ROUNDUP($AB$3*POWER(pogoda4[[#This Row],[temperatura_srednia]],1.5)*pogoda4[[#This Row],[stan_przed_dolaniem]],0),0)</f>
        <v>186</v>
      </c>
      <c r="F91">
        <f>pogoda4[[#This Row],[stan_przed_dolaniem]]-pogoda4[[#This Row],[ubytek]]</f>
        <v>9489</v>
      </c>
      <c r="G91">
        <f>IF(pogoda4[[#This Row],[opady]]*$AB$1+D91&gt;$AB$2,$AB$2-pogoda4[[#This Row],[stan_przed_dolaniem]],pogoda4[[#This Row],[opady]]*$AB$1)</f>
        <v>0</v>
      </c>
      <c r="H91">
        <f>pogoda4[[#This Row],[stan_po_ubytku]]+pogoda4[[#This Row],[ile_pogoda_dolała]]</f>
        <v>9489</v>
      </c>
      <c r="I91" cm="1">
        <f t="array" ref="I91">_xlfn.IFS(OR(pogoda4[[#This Row],[temperatura_srednia]]&lt;=15,pogoda4[[#This Row],[opady]]&gt;0.61),0,pogoda4[[#This Row],[temperatura_srednia]]&gt;30,24000,pogoda4[[#This Row],[temperatura_srednia]]&gt;15,12000)</f>
        <v>12000</v>
      </c>
      <c r="J91">
        <f>IF(pogoda4[[#This Row],[stan_po_dolaniu]]&lt;pogoda4[[#This Row],[ile_podlewamy]],$AB$2-pogoda4[[#This Row],[stan_po_dolaniu]],0)</f>
        <v>15511</v>
      </c>
      <c r="K91">
        <f>pogoda4[[#This Row],[stan_po_dolaniu]]+pogoda4[[#This Row],[ile_dolać_do_podlania]]</f>
        <v>25000</v>
      </c>
      <c r="L91">
        <f>pogoda4[[#This Row],[stan_po_dolaniu_do_podlania]]-pogoda4[[#This Row],[ile_podlewamy]]</f>
        <v>13000</v>
      </c>
    </row>
    <row r="92" spans="1:12" x14ac:dyDescent="0.25">
      <c r="A92" s="2">
        <v>42185</v>
      </c>
      <c r="B92">
        <v>19</v>
      </c>
      <c r="C92">
        <v>0</v>
      </c>
      <c r="D92">
        <f t="shared" si="1"/>
        <v>13000</v>
      </c>
      <c r="E92">
        <f>IF(C92=0,ROUNDUP($AB$3*POWER(pogoda4[[#This Row],[temperatura_srednia]],1.5)*pogoda4[[#This Row],[stan_przed_dolaniem]],0),0)</f>
        <v>323</v>
      </c>
      <c r="F92">
        <f>pogoda4[[#This Row],[stan_przed_dolaniem]]-pogoda4[[#This Row],[ubytek]]</f>
        <v>12677</v>
      </c>
      <c r="G92">
        <f>IF(pogoda4[[#This Row],[opady]]*$AB$1+D92&gt;$AB$2,$AB$2-pogoda4[[#This Row],[stan_przed_dolaniem]],pogoda4[[#This Row],[opady]]*$AB$1)</f>
        <v>0</v>
      </c>
      <c r="H92">
        <f>pogoda4[[#This Row],[stan_po_ubytku]]+pogoda4[[#This Row],[ile_pogoda_dolała]]</f>
        <v>12677</v>
      </c>
      <c r="I92" cm="1">
        <f t="array" ref="I92">_xlfn.IFS(OR(pogoda4[[#This Row],[temperatura_srednia]]&lt;=15,pogoda4[[#This Row],[opady]]&gt;0.61),0,pogoda4[[#This Row],[temperatura_srednia]]&gt;30,24000,pogoda4[[#This Row],[temperatura_srednia]]&gt;15,12000)</f>
        <v>12000</v>
      </c>
      <c r="J92">
        <f>IF(pogoda4[[#This Row],[stan_po_dolaniu]]&lt;pogoda4[[#This Row],[ile_podlewamy]],$AB$2-pogoda4[[#This Row],[stan_po_dolaniu]],0)</f>
        <v>0</v>
      </c>
      <c r="K92">
        <f>pogoda4[[#This Row],[stan_po_dolaniu]]+pogoda4[[#This Row],[ile_dolać_do_podlania]]</f>
        <v>12677</v>
      </c>
      <c r="L92">
        <f>pogoda4[[#This Row],[stan_po_dolaniu_do_podlania]]-pogoda4[[#This Row],[ile_podlewamy]]</f>
        <v>677</v>
      </c>
    </row>
    <row r="93" spans="1:12" x14ac:dyDescent="0.25">
      <c r="A93" s="2">
        <v>42186</v>
      </c>
      <c r="B93">
        <v>18</v>
      </c>
      <c r="C93">
        <v>0</v>
      </c>
      <c r="D93">
        <f t="shared" si="1"/>
        <v>677</v>
      </c>
      <c r="E93">
        <f>IF(C93=0,ROUNDUP($AB$3*POWER(pogoda4[[#This Row],[temperatura_srednia]],1.5)*pogoda4[[#This Row],[stan_przed_dolaniem]],0),0)</f>
        <v>16</v>
      </c>
      <c r="F93">
        <f>pogoda4[[#This Row],[stan_przed_dolaniem]]-pogoda4[[#This Row],[ubytek]]</f>
        <v>661</v>
      </c>
      <c r="G93">
        <f>IF(pogoda4[[#This Row],[opady]]*$AB$1+D93&gt;$AB$2,$AB$2-pogoda4[[#This Row],[stan_przed_dolaniem]],pogoda4[[#This Row],[opady]]*$AB$1)</f>
        <v>0</v>
      </c>
      <c r="H93">
        <f>pogoda4[[#This Row],[stan_po_ubytku]]+pogoda4[[#This Row],[ile_pogoda_dolała]]</f>
        <v>661</v>
      </c>
      <c r="I93" cm="1">
        <f t="array" ref="I93">_xlfn.IFS(OR(pogoda4[[#This Row],[temperatura_srednia]]&lt;=15,pogoda4[[#This Row],[opady]]&gt;0.61),0,pogoda4[[#This Row],[temperatura_srednia]]&gt;30,24000,pogoda4[[#This Row],[temperatura_srednia]]&gt;15,12000)</f>
        <v>12000</v>
      </c>
      <c r="J93">
        <f>IF(pogoda4[[#This Row],[stan_po_dolaniu]]&lt;pogoda4[[#This Row],[ile_podlewamy]],$AB$2-pogoda4[[#This Row],[stan_po_dolaniu]],0)</f>
        <v>24339</v>
      </c>
      <c r="K93">
        <f>pogoda4[[#This Row],[stan_po_dolaniu]]+pogoda4[[#This Row],[ile_dolać_do_podlania]]</f>
        <v>25000</v>
      </c>
      <c r="L93">
        <f>pogoda4[[#This Row],[stan_po_dolaniu_do_podlania]]-pogoda4[[#This Row],[ile_podlewamy]]</f>
        <v>13000</v>
      </c>
    </row>
    <row r="94" spans="1:12" x14ac:dyDescent="0.25">
      <c r="A94" s="2">
        <v>42187</v>
      </c>
      <c r="B94">
        <v>20</v>
      </c>
      <c r="C94">
        <v>0</v>
      </c>
      <c r="D94">
        <f t="shared" si="1"/>
        <v>13000</v>
      </c>
      <c r="E94">
        <f>IF(C94=0,ROUNDUP($AB$3*POWER(pogoda4[[#This Row],[temperatura_srednia]],1.5)*pogoda4[[#This Row],[stan_przed_dolaniem]],0),0)</f>
        <v>349</v>
      </c>
      <c r="F94">
        <f>pogoda4[[#This Row],[stan_przed_dolaniem]]-pogoda4[[#This Row],[ubytek]]</f>
        <v>12651</v>
      </c>
      <c r="G94">
        <f>IF(pogoda4[[#This Row],[opady]]*$AB$1+D94&gt;$AB$2,$AB$2-pogoda4[[#This Row],[stan_przed_dolaniem]],pogoda4[[#This Row],[opady]]*$AB$1)</f>
        <v>0</v>
      </c>
      <c r="H94">
        <f>pogoda4[[#This Row],[stan_po_ubytku]]+pogoda4[[#This Row],[ile_pogoda_dolała]]</f>
        <v>12651</v>
      </c>
      <c r="I94" cm="1">
        <f t="array" ref="I94">_xlfn.IFS(OR(pogoda4[[#This Row],[temperatura_srednia]]&lt;=15,pogoda4[[#This Row],[opady]]&gt;0.61),0,pogoda4[[#This Row],[temperatura_srednia]]&gt;30,24000,pogoda4[[#This Row],[temperatura_srednia]]&gt;15,12000)</f>
        <v>12000</v>
      </c>
      <c r="J94">
        <f>IF(pogoda4[[#This Row],[stan_po_dolaniu]]&lt;pogoda4[[#This Row],[ile_podlewamy]],$AB$2-pogoda4[[#This Row],[stan_po_dolaniu]],0)</f>
        <v>0</v>
      </c>
      <c r="K94">
        <f>pogoda4[[#This Row],[stan_po_dolaniu]]+pogoda4[[#This Row],[ile_dolać_do_podlania]]</f>
        <v>12651</v>
      </c>
      <c r="L94">
        <f>pogoda4[[#This Row],[stan_po_dolaniu_do_podlania]]-pogoda4[[#This Row],[ile_podlewamy]]</f>
        <v>651</v>
      </c>
    </row>
    <row r="95" spans="1:12" x14ac:dyDescent="0.25">
      <c r="A95" s="2">
        <v>42188</v>
      </c>
      <c r="B95">
        <v>22</v>
      </c>
      <c r="C95">
        <v>0</v>
      </c>
      <c r="D95">
        <f t="shared" si="1"/>
        <v>651</v>
      </c>
      <c r="E95">
        <f>IF(C95=0,ROUNDUP($AB$3*POWER(pogoda4[[#This Row],[temperatura_srednia]],1.5)*pogoda4[[#This Row],[stan_przed_dolaniem]],0),0)</f>
        <v>21</v>
      </c>
      <c r="F95">
        <f>pogoda4[[#This Row],[stan_przed_dolaniem]]-pogoda4[[#This Row],[ubytek]]</f>
        <v>630</v>
      </c>
      <c r="G95">
        <f>IF(pogoda4[[#This Row],[opady]]*$AB$1+D95&gt;$AB$2,$AB$2-pogoda4[[#This Row],[stan_przed_dolaniem]],pogoda4[[#This Row],[opady]]*$AB$1)</f>
        <v>0</v>
      </c>
      <c r="H95">
        <f>pogoda4[[#This Row],[stan_po_ubytku]]+pogoda4[[#This Row],[ile_pogoda_dolała]]</f>
        <v>630</v>
      </c>
      <c r="I95" cm="1">
        <f t="array" ref="I95">_xlfn.IFS(OR(pogoda4[[#This Row],[temperatura_srednia]]&lt;=15,pogoda4[[#This Row],[opady]]&gt;0.61),0,pogoda4[[#This Row],[temperatura_srednia]]&gt;30,24000,pogoda4[[#This Row],[temperatura_srednia]]&gt;15,12000)</f>
        <v>12000</v>
      </c>
      <c r="J95">
        <f>IF(pogoda4[[#This Row],[stan_po_dolaniu]]&lt;pogoda4[[#This Row],[ile_podlewamy]],$AB$2-pogoda4[[#This Row],[stan_po_dolaniu]],0)</f>
        <v>24370</v>
      </c>
      <c r="K95">
        <f>pogoda4[[#This Row],[stan_po_dolaniu]]+pogoda4[[#This Row],[ile_dolać_do_podlania]]</f>
        <v>25000</v>
      </c>
      <c r="L95">
        <f>pogoda4[[#This Row],[stan_po_dolaniu_do_podlania]]-pogoda4[[#This Row],[ile_podlewamy]]</f>
        <v>13000</v>
      </c>
    </row>
    <row r="96" spans="1:12" x14ac:dyDescent="0.25">
      <c r="A96" s="2">
        <v>42189</v>
      </c>
      <c r="B96">
        <v>25</v>
      </c>
      <c r="C96">
        <v>0</v>
      </c>
      <c r="D96">
        <f t="shared" si="1"/>
        <v>13000</v>
      </c>
      <c r="E96">
        <f>IF(C96=0,ROUNDUP($AB$3*POWER(pogoda4[[#This Row],[temperatura_srednia]],1.5)*pogoda4[[#This Row],[stan_przed_dolaniem]],0),0)</f>
        <v>488</v>
      </c>
      <c r="F96">
        <f>pogoda4[[#This Row],[stan_przed_dolaniem]]-pogoda4[[#This Row],[ubytek]]</f>
        <v>12512</v>
      </c>
      <c r="G96">
        <f>IF(pogoda4[[#This Row],[opady]]*$AB$1+D96&gt;$AB$2,$AB$2-pogoda4[[#This Row],[stan_przed_dolaniem]],pogoda4[[#This Row],[opady]]*$AB$1)</f>
        <v>0</v>
      </c>
      <c r="H96">
        <f>pogoda4[[#This Row],[stan_po_ubytku]]+pogoda4[[#This Row],[ile_pogoda_dolała]]</f>
        <v>12512</v>
      </c>
      <c r="I96" cm="1">
        <f t="array" ref="I96">_xlfn.IFS(OR(pogoda4[[#This Row],[temperatura_srednia]]&lt;=15,pogoda4[[#This Row],[opady]]&gt;0.61),0,pogoda4[[#This Row],[temperatura_srednia]]&gt;30,24000,pogoda4[[#This Row],[temperatura_srednia]]&gt;15,12000)</f>
        <v>12000</v>
      </c>
      <c r="J96">
        <f>IF(pogoda4[[#This Row],[stan_po_dolaniu]]&lt;pogoda4[[#This Row],[ile_podlewamy]],$AB$2-pogoda4[[#This Row],[stan_po_dolaniu]],0)</f>
        <v>0</v>
      </c>
      <c r="K96">
        <f>pogoda4[[#This Row],[stan_po_dolaniu]]+pogoda4[[#This Row],[ile_dolać_do_podlania]]</f>
        <v>12512</v>
      </c>
      <c r="L96">
        <f>pogoda4[[#This Row],[stan_po_dolaniu_do_podlania]]-pogoda4[[#This Row],[ile_podlewamy]]</f>
        <v>512</v>
      </c>
    </row>
    <row r="97" spans="1:12" x14ac:dyDescent="0.25">
      <c r="A97" s="2">
        <v>42190</v>
      </c>
      <c r="B97">
        <v>26</v>
      </c>
      <c r="C97">
        <v>0</v>
      </c>
      <c r="D97">
        <f t="shared" si="1"/>
        <v>512</v>
      </c>
      <c r="E97">
        <f>IF(C97=0,ROUNDUP($AB$3*POWER(pogoda4[[#This Row],[temperatura_srednia]],1.5)*pogoda4[[#This Row],[stan_przed_dolaniem]],0),0)</f>
        <v>21</v>
      </c>
      <c r="F97">
        <f>pogoda4[[#This Row],[stan_przed_dolaniem]]-pogoda4[[#This Row],[ubytek]]</f>
        <v>491</v>
      </c>
      <c r="G97">
        <f>IF(pogoda4[[#This Row],[opady]]*$AB$1+D97&gt;$AB$2,$AB$2-pogoda4[[#This Row],[stan_przed_dolaniem]],pogoda4[[#This Row],[opady]]*$AB$1)</f>
        <v>0</v>
      </c>
      <c r="H97">
        <f>pogoda4[[#This Row],[stan_po_ubytku]]+pogoda4[[#This Row],[ile_pogoda_dolała]]</f>
        <v>491</v>
      </c>
      <c r="I97" cm="1">
        <f t="array" ref="I97">_xlfn.IFS(OR(pogoda4[[#This Row],[temperatura_srednia]]&lt;=15,pogoda4[[#This Row],[opady]]&gt;0.61),0,pogoda4[[#This Row],[temperatura_srednia]]&gt;30,24000,pogoda4[[#This Row],[temperatura_srednia]]&gt;15,12000)</f>
        <v>12000</v>
      </c>
      <c r="J97">
        <f>IF(pogoda4[[#This Row],[stan_po_dolaniu]]&lt;pogoda4[[#This Row],[ile_podlewamy]],$AB$2-pogoda4[[#This Row],[stan_po_dolaniu]],0)</f>
        <v>24509</v>
      </c>
      <c r="K97">
        <f>pogoda4[[#This Row],[stan_po_dolaniu]]+pogoda4[[#This Row],[ile_dolać_do_podlania]]</f>
        <v>25000</v>
      </c>
      <c r="L97">
        <f>pogoda4[[#This Row],[stan_po_dolaniu_do_podlania]]-pogoda4[[#This Row],[ile_podlewamy]]</f>
        <v>13000</v>
      </c>
    </row>
    <row r="98" spans="1:12" x14ac:dyDescent="0.25">
      <c r="A98" s="2">
        <v>42191</v>
      </c>
      <c r="B98">
        <v>22</v>
      </c>
      <c r="C98">
        <v>0</v>
      </c>
      <c r="D98">
        <f t="shared" si="1"/>
        <v>13000</v>
      </c>
      <c r="E98">
        <f>IF(C98=0,ROUNDUP($AB$3*POWER(pogoda4[[#This Row],[temperatura_srednia]],1.5)*pogoda4[[#This Row],[stan_przed_dolaniem]],0),0)</f>
        <v>403</v>
      </c>
      <c r="F98">
        <f>pogoda4[[#This Row],[stan_przed_dolaniem]]-pogoda4[[#This Row],[ubytek]]</f>
        <v>12597</v>
      </c>
      <c r="G98">
        <f>IF(pogoda4[[#This Row],[opady]]*$AB$1+D98&gt;$AB$2,$AB$2-pogoda4[[#This Row],[stan_przed_dolaniem]],pogoda4[[#This Row],[opady]]*$AB$1)</f>
        <v>0</v>
      </c>
      <c r="H98">
        <f>pogoda4[[#This Row],[stan_po_ubytku]]+pogoda4[[#This Row],[ile_pogoda_dolała]]</f>
        <v>12597</v>
      </c>
      <c r="I98" cm="1">
        <f t="array" ref="I98">_xlfn.IFS(OR(pogoda4[[#This Row],[temperatura_srednia]]&lt;=15,pogoda4[[#This Row],[opady]]&gt;0.61),0,pogoda4[[#This Row],[temperatura_srednia]]&gt;30,24000,pogoda4[[#This Row],[temperatura_srednia]]&gt;15,12000)</f>
        <v>12000</v>
      </c>
      <c r="J98">
        <f>IF(pogoda4[[#This Row],[stan_po_dolaniu]]&lt;pogoda4[[#This Row],[ile_podlewamy]],$AB$2-pogoda4[[#This Row],[stan_po_dolaniu]],0)</f>
        <v>0</v>
      </c>
      <c r="K98">
        <f>pogoda4[[#This Row],[stan_po_dolaniu]]+pogoda4[[#This Row],[ile_dolać_do_podlania]]</f>
        <v>12597</v>
      </c>
      <c r="L98">
        <f>pogoda4[[#This Row],[stan_po_dolaniu_do_podlania]]-pogoda4[[#This Row],[ile_podlewamy]]</f>
        <v>597</v>
      </c>
    </row>
    <row r="99" spans="1:12" x14ac:dyDescent="0.25">
      <c r="A99" s="2">
        <v>42192</v>
      </c>
      <c r="B99">
        <v>22</v>
      </c>
      <c r="C99">
        <v>18</v>
      </c>
      <c r="D99">
        <f t="shared" si="1"/>
        <v>597</v>
      </c>
      <c r="E99">
        <f>IF(C99=0,ROUNDUP($AB$3*POWER(pogoda4[[#This Row],[temperatura_srednia]],1.5)*pogoda4[[#This Row],[stan_przed_dolaniem]],0),0)</f>
        <v>0</v>
      </c>
      <c r="F99">
        <f>pogoda4[[#This Row],[stan_przed_dolaniem]]-pogoda4[[#This Row],[ubytek]]</f>
        <v>597</v>
      </c>
      <c r="G99">
        <f>IF(pogoda4[[#This Row],[opady]]*$AB$1+D99&gt;$AB$2,$AB$2-pogoda4[[#This Row],[stan_przed_dolaniem]],pogoda4[[#This Row],[opady]]*$AB$1)</f>
        <v>12600</v>
      </c>
      <c r="H99">
        <f>pogoda4[[#This Row],[stan_po_ubytku]]+pogoda4[[#This Row],[ile_pogoda_dolała]]</f>
        <v>13197</v>
      </c>
      <c r="I99" cm="1">
        <f t="array" ref="I99">_xlfn.IFS(OR(pogoda4[[#This Row],[temperatura_srednia]]&lt;=15,pogoda4[[#This Row],[opady]]&gt;0.61),0,pogoda4[[#This Row],[temperatura_srednia]]&gt;30,24000,pogoda4[[#This Row],[temperatura_srednia]]&gt;15,12000)</f>
        <v>0</v>
      </c>
      <c r="J99">
        <f>IF(pogoda4[[#This Row],[stan_po_dolaniu]]&lt;pogoda4[[#This Row],[ile_podlewamy]],$AB$2-pogoda4[[#This Row],[stan_po_dolaniu]],0)</f>
        <v>0</v>
      </c>
      <c r="K99">
        <f>pogoda4[[#This Row],[stan_po_dolaniu]]+pogoda4[[#This Row],[ile_dolać_do_podlania]]</f>
        <v>13197</v>
      </c>
      <c r="L99">
        <f>pogoda4[[#This Row],[stan_po_dolaniu_do_podlania]]-pogoda4[[#This Row],[ile_podlewamy]]</f>
        <v>13197</v>
      </c>
    </row>
    <row r="100" spans="1:12" x14ac:dyDescent="0.25">
      <c r="A100" s="2">
        <v>42193</v>
      </c>
      <c r="B100">
        <v>20</v>
      </c>
      <c r="C100">
        <v>3</v>
      </c>
      <c r="D100">
        <f t="shared" si="1"/>
        <v>13197</v>
      </c>
      <c r="E100">
        <f>IF(C100=0,ROUNDUP($AB$3*POWER(pogoda4[[#This Row],[temperatura_srednia]],1.5)*pogoda4[[#This Row],[stan_przed_dolaniem]],0),0)</f>
        <v>0</v>
      </c>
      <c r="F100">
        <f>pogoda4[[#This Row],[stan_przed_dolaniem]]-pogoda4[[#This Row],[ubytek]]</f>
        <v>13197</v>
      </c>
      <c r="G100">
        <f>IF(pogoda4[[#This Row],[opady]]*$AB$1+D100&gt;$AB$2,$AB$2-pogoda4[[#This Row],[stan_przed_dolaniem]],pogoda4[[#This Row],[opady]]*$AB$1)</f>
        <v>2100</v>
      </c>
      <c r="H100">
        <f>pogoda4[[#This Row],[stan_po_ubytku]]+pogoda4[[#This Row],[ile_pogoda_dolała]]</f>
        <v>15297</v>
      </c>
      <c r="I100" cm="1">
        <f t="array" ref="I100">_xlfn.IFS(OR(pogoda4[[#This Row],[temperatura_srednia]]&lt;=15,pogoda4[[#This Row],[opady]]&gt;0.61),0,pogoda4[[#This Row],[temperatura_srednia]]&gt;30,24000,pogoda4[[#This Row],[temperatura_srednia]]&gt;15,12000)</f>
        <v>0</v>
      </c>
      <c r="J100">
        <f>IF(pogoda4[[#This Row],[stan_po_dolaniu]]&lt;pogoda4[[#This Row],[ile_podlewamy]],$AB$2-pogoda4[[#This Row],[stan_po_dolaniu]],0)</f>
        <v>0</v>
      </c>
      <c r="K100">
        <f>pogoda4[[#This Row],[stan_po_dolaniu]]+pogoda4[[#This Row],[ile_dolać_do_podlania]]</f>
        <v>15297</v>
      </c>
      <c r="L100">
        <f>pogoda4[[#This Row],[stan_po_dolaniu_do_podlania]]-pogoda4[[#This Row],[ile_podlewamy]]</f>
        <v>15297</v>
      </c>
    </row>
    <row r="101" spans="1:12" x14ac:dyDescent="0.25">
      <c r="A101" s="2">
        <v>42194</v>
      </c>
      <c r="B101">
        <v>16</v>
      </c>
      <c r="C101">
        <v>0.2</v>
      </c>
      <c r="D101">
        <f t="shared" si="1"/>
        <v>15297</v>
      </c>
      <c r="E101">
        <f>IF(C101=0,ROUNDUP($AB$3*POWER(pogoda4[[#This Row],[temperatura_srednia]],1.5)*pogoda4[[#This Row],[stan_przed_dolaniem]],0),0)</f>
        <v>0</v>
      </c>
      <c r="F101">
        <f>pogoda4[[#This Row],[stan_przed_dolaniem]]-pogoda4[[#This Row],[ubytek]]</f>
        <v>15297</v>
      </c>
      <c r="G101">
        <f>IF(pogoda4[[#This Row],[opady]]*$AB$1+D101&gt;$AB$2,$AB$2-pogoda4[[#This Row],[stan_przed_dolaniem]],pogoda4[[#This Row],[opady]]*$AB$1)</f>
        <v>140</v>
      </c>
      <c r="H101">
        <f>pogoda4[[#This Row],[stan_po_ubytku]]+pogoda4[[#This Row],[ile_pogoda_dolała]]</f>
        <v>15437</v>
      </c>
      <c r="I101" cm="1">
        <f t="array" ref="I101">_xlfn.IFS(OR(pogoda4[[#This Row],[temperatura_srednia]]&lt;=15,pogoda4[[#This Row],[opady]]&gt;0.61),0,pogoda4[[#This Row],[temperatura_srednia]]&gt;30,24000,pogoda4[[#This Row],[temperatura_srednia]]&gt;15,12000)</f>
        <v>12000</v>
      </c>
      <c r="J101">
        <f>IF(pogoda4[[#This Row],[stan_po_dolaniu]]&lt;pogoda4[[#This Row],[ile_podlewamy]],$AB$2-pogoda4[[#This Row],[stan_po_dolaniu]],0)</f>
        <v>0</v>
      </c>
      <c r="K101">
        <f>pogoda4[[#This Row],[stan_po_dolaniu]]+pogoda4[[#This Row],[ile_dolać_do_podlania]]</f>
        <v>15437</v>
      </c>
      <c r="L101">
        <f>pogoda4[[#This Row],[stan_po_dolaniu_do_podlania]]-pogoda4[[#This Row],[ile_podlewamy]]</f>
        <v>3437</v>
      </c>
    </row>
    <row r="102" spans="1:12" x14ac:dyDescent="0.25">
      <c r="A102" s="2">
        <v>42195</v>
      </c>
      <c r="B102">
        <v>13</v>
      </c>
      <c r="C102">
        <v>12.2</v>
      </c>
      <c r="D102">
        <f t="shared" si="1"/>
        <v>3437</v>
      </c>
      <c r="E102">
        <f>IF(C102=0,ROUNDUP($AB$3*POWER(pogoda4[[#This Row],[temperatura_srednia]],1.5)*pogoda4[[#This Row],[stan_przed_dolaniem]],0),0)</f>
        <v>0</v>
      </c>
      <c r="F102">
        <f>pogoda4[[#This Row],[stan_przed_dolaniem]]-pogoda4[[#This Row],[ubytek]]</f>
        <v>3437</v>
      </c>
      <c r="G102">
        <f>IF(pogoda4[[#This Row],[opady]]*$AB$1+D102&gt;$AB$2,$AB$2-pogoda4[[#This Row],[stan_przed_dolaniem]],pogoda4[[#This Row],[opady]]*$AB$1)</f>
        <v>8540</v>
      </c>
      <c r="H102">
        <f>pogoda4[[#This Row],[stan_po_ubytku]]+pogoda4[[#This Row],[ile_pogoda_dolała]]</f>
        <v>11977</v>
      </c>
      <c r="I102" cm="1">
        <f t="array" ref="I102">_xlfn.IFS(OR(pogoda4[[#This Row],[temperatura_srednia]]&lt;=15,pogoda4[[#This Row],[opady]]&gt;0.61),0,pogoda4[[#This Row],[temperatura_srednia]]&gt;30,24000,pogoda4[[#This Row],[temperatura_srednia]]&gt;15,12000)</f>
        <v>0</v>
      </c>
      <c r="J102">
        <f>IF(pogoda4[[#This Row],[stan_po_dolaniu]]&lt;pogoda4[[#This Row],[ile_podlewamy]],$AB$2-pogoda4[[#This Row],[stan_po_dolaniu]],0)</f>
        <v>0</v>
      </c>
      <c r="K102">
        <f>pogoda4[[#This Row],[stan_po_dolaniu]]+pogoda4[[#This Row],[ile_dolać_do_podlania]]</f>
        <v>11977</v>
      </c>
      <c r="L102">
        <f>pogoda4[[#This Row],[stan_po_dolaniu_do_podlania]]-pogoda4[[#This Row],[ile_podlewamy]]</f>
        <v>11977</v>
      </c>
    </row>
    <row r="103" spans="1:12" x14ac:dyDescent="0.25">
      <c r="A103" s="2">
        <v>42196</v>
      </c>
      <c r="B103">
        <v>16</v>
      </c>
      <c r="C103">
        <v>0</v>
      </c>
      <c r="D103">
        <f t="shared" si="1"/>
        <v>11977</v>
      </c>
      <c r="E103">
        <f>IF(C103=0,ROUNDUP($AB$3*POWER(pogoda4[[#This Row],[temperatura_srednia]],1.5)*pogoda4[[#This Row],[stan_przed_dolaniem]],0),0)</f>
        <v>230</v>
      </c>
      <c r="F103">
        <f>pogoda4[[#This Row],[stan_przed_dolaniem]]-pogoda4[[#This Row],[ubytek]]</f>
        <v>11747</v>
      </c>
      <c r="G103">
        <f>IF(pogoda4[[#This Row],[opady]]*$AB$1+D103&gt;$AB$2,$AB$2-pogoda4[[#This Row],[stan_przed_dolaniem]],pogoda4[[#This Row],[opady]]*$AB$1)</f>
        <v>0</v>
      </c>
      <c r="H103">
        <f>pogoda4[[#This Row],[stan_po_ubytku]]+pogoda4[[#This Row],[ile_pogoda_dolała]]</f>
        <v>11747</v>
      </c>
      <c r="I103" cm="1">
        <f t="array" ref="I103">_xlfn.IFS(OR(pogoda4[[#This Row],[temperatura_srednia]]&lt;=15,pogoda4[[#This Row],[opady]]&gt;0.61),0,pogoda4[[#This Row],[temperatura_srednia]]&gt;30,24000,pogoda4[[#This Row],[temperatura_srednia]]&gt;15,12000)</f>
        <v>12000</v>
      </c>
      <c r="J103">
        <f>IF(pogoda4[[#This Row],[stan_po_dolaniu]]&lt;pogoda4[[#This Row],[ile_podlewamy]],$AB$2-pogoda4[[#This Row],[stan_po_dolaniu]],0)</f>
        <v>13253</v>
      </c>
      <c r="K103">
        <f>pogoda4[[#This Row],[stan_po_dolaniu]]+pogoda4[[#This Row],[ile_dolać_do_podlania]]</f>
        <v>25000</v>
      </c>
      <c r="L103">
        <f>pogoda4[[#This Row],[stan_po_dolaniu_do_podlania]]-pogoda4[[#This Row],[ile_podlewamy]]</f>
        <v>13000</v>
      </c>
    </row>
    <row r="104" spans="1:12" x14ac:dyDescent="0.25">
      <c r="A104" s="2">
        <v>42197</v>
      </c>
      <c r="B104">
        <v>18</v>
      </c>
      <c r="C104">
        <v>2</v>
      </c>
      <c r="D104">
        <f t="shared" si="1"/>
        <v>13000</v>
      </c>
      <c r="E104">
        <f>IF(C104=0,ROUNDUP($AB$3*POWER(pogoda4[[#This Row],[temperatura_srednia]],1.5)*pogoda4[[#This Row],[stan_przed_dolaniem]],0),0)</f>
        <v>0</v>
      </c>
      <c r="F104">
        <f>pogoda4[[#This Row],[stan_przed_dolaniem]]-pogoda4[[#This Row],[ubytek]]</f>
        <v>13000</v>
      </c>
      <c r="G104">
        <f>IF(pogoda4[[#This Row],[opady]]*$AB$1+D104&gt;$AB$2,$AB$2-pogoda4[[#This Row],[stan_przed_dolaniem]],pogoda4[[#This Row],[opady]]*$AB$1)</f>
        <v>1400</v>
      </c>
      <c r="H104">
        <f>pogoda4[[#This Row],[stan_po_ubytku]]+pogoda4[[#This Row],[ile_pogoda_dolała]]</f>
        <v>14400</v>
      </c>
      <c r="I104" cm="1">
        <f t="array" ref="I104">_xlfn.IFS(OR(pogoda4[[#This Row],[temperatura_srednia]]&lt;=15,pogoda4[[#This Row],[opady]]&gt;0.61),0,pogoda4[[#This Row],[temperatura_srednia]]&gt;30,24000,pogoda4[[#This Row],[temperatura_srednia]]&gt;15,12000)</f>
        <v>0</v>
      </c>
      <c r="J104">
        <f>IF(pogoda4[[#This Row],[stan_po_dolaniu]]&lt;pogoda4[[#This Row],[ile_podlewamy]],$AB$2-pogoda4[[#This Row],[stan_po_dolaniu]],0)</f>
        <v>0</v>
      </c>
      <c r="K104">
        <f>pogoda4[[#This Row],[stan_po_dolaniu]]+pogoda4[[#This Row],[ile_dolać_do_podlania]]</f>
        <v>14400</v>
      </c>
      <c r="L104">
        <f>pogoda4[[#This Row],[stan_po_dolaniu_do_podlania]]-pogoda4[[#This Row],[ile_podlewamy]]</f>
        <v>14400</v>
      </c>
    </row>
    <row r="105" spans="1:12" x14ac:dyDescent="0.25">
      <c r="A105" s="2">
        <v>42198</v>
      </c>
      <c r="B105">
        <v>18</v>
      </c>
      <c r="C105">
        <v>12</v>
      </c>
      <c r="D105">
        <f t="shared" si="1"/>
        <v>14400</v>
      </c>
      <c r="E105">
        <f>IF(C105=0,ROUNDUP($AB$3*POWER(pogoda4[[#This Row],[temperatura_srednia]],1.5)*pogoda4[[#This Row],[stan_przed_dolaniem]],0),0)</f>
        <v>0</v>
      </c>
      <c r="F105">
        <f>pogoda4[[#This Row],[stan_przed_dolaniem]]-pogoda4[[#This Row],[ubytek]]</f>
        <v>14400</v>
      </c>
      <c r="G105">
        <f>IF(pogoda4[[#This Row],[opady]]*$AB$1+D105&gt;$AB$2,$AB$2-pogoda4[[#This Row],[stan_przed_dolaniem]],pogoda4[[#This Row],[opady]]*$AB$1)</f>
        <v>8400</v>
      </c>
      <c r="H105">
        <f>pogoda4[[#This Row],[stan_po_ubytku]]+pogoda4[[#This Row],[ile_pogoda_dolała]]</f>
        <v>22800</v>
      </c>
      <c r="I105" cm="1">
        <f t="array" ref="I105">_xlfn.IFS(OR(pogoda4[[#This Row],[temperatura_srednia]]&lt;=15,pogoda4[[#This Row],[opady]]&gt;0.61),0,pogoda4[[#This Row],[temperatura_srednia]]&gt;30,24000,pogoda4[[#This Row],[temperatura_srednia]]&gt;15,12000)</f>
        <v>0</v>
      </c>
      <c r="J105">
        <f>IF(pogoda4[[#This Row],[stan_po_dolaniu]]&lt;pogoda4[[#This Row],[ile_podlewamy]],$AB$2-pogoda4[[#This Row],[stan_po_dolaniu]],0)</f>
        <v>0</v>
      </c>
      <c r="K105">
        <f>pogoda4[[#This Row],[stan_po_dolaniu]]+pogoda4[[#This Row],[ile_dolać_do_podlania]]</f>
        <v>22800</v>
      </c>
      <c r="L105">
        <f>pogoda4[[#This Row],[stan_po_dolaniu_do_podlania]]-pogoda4[[#This Row],[ile_podlewamy]]</f>
        <v>22800</v>
      </c>
    </row>
    <row r="106" spans="1:12" x14ac:dyDescent="0.25">
      <c r="A106" s="2">
        <v>42199</v>
      </c>
      <c r="B106">
        <v>18</v>
      </c>
      <c r="C106">
        <v>0</v>
      </c>
      <c r="D106">
        <f t="shared" si="1"/>
        <v>22800</v>
      </c>
      <c r="E106">
        <f>IF(C106=0,ROUNDUP($AB$3*POWER(pogoda4[[#This Row],[temperatura_srednia]],1.5)*pogoda4[[#This Row],[stan_przed_dolaniem]],0),0)</f>
        <v>523</v>
      </c>
      <c r="F106">
        <f>pogoda4[[#This Row],[stan_przed_dolaniem]]-pogoda4[[#This Row],[ubytek]]</f>
        <v>22277</v>
      </c>
      <c r="G106">
        <f>IF(pogoda4[[#This Row],[opady]]*$AB$1+D106&gt;$AB$2,$AB$2-pogoda4[[#This Row],[stan_przed_dolaniem]],pogoda4[[#This Row],[opady]]*$AB$1)</f>
        <v>0</v>
      </c>
      <c r="H106">
        <f>pogoda4[[#This Row],[stan_po_ubytku]]+pogoda4[[#This Row],[ile_pogoda_dolała]]</f>
        <v>22277</v>
      </c>
      <c r="I106" cm="1">
        <f t="array" ref="I106">_xlfn.IFS(OR(pogoda4[[#This Row],[temperatura_srednia]]&lt;=15,pogoda4[[#This Row],[opady]]&gt;0.61),0,pogoda4[[#This Row],[temperatura_srednia]]&gt;30,24000,pogoda4[[#This Row],[temperatura_srednia]]&gt;15,12000)</f>
        <v>12000</v>
      </c>
      <c r="J106">
        <f>IF(pogoda4[[#This Row],[stan_po_dolaniu]]&lt;pogoda4[[#This Row],[ile_podlewamy]],$AB$2-pogoda4[[#This Row],[stan_po_dolaniu]],0)</f>
        <v>0</v>
      </c>
      <c r="K106">
        <f>pogoda4[[#This Row],[stan_po_dolaniu]]+pogoda4[[#This Row],[ile_dolać_do_podlania]]</f>
        <v>22277</v>
      </c>
      <c r="L106">
        <f>pogoda4[[#This Row],[stan_po_dolaniu_do_podlania]]-pogoda4[[#This Row],[ile_podlewamy]]</f>
        <v>10277</v>
      </c>
    </row>
    <row r="107" spans="1:12" x14ac:dyDescent="0.25">
      <c r="A107" s="2">
        <v>42200</v>
      </c>
      <c r="B107">
        <v>18</v>
      </c>
      <c r="C107">
        <v>0</v>
      </c>
      <c r="D107">
        <f t="shared" si="1"/>
        <v>10277</v>
      </c>
      <c r="E107">
        <f>IF(C107=0,ROUNDUP($AB$3*POWER(pogoda4[[#This Row],[temperatura_srednia]],1.5)*pogoda4[[#This Row],[stan_przed_dolaniem]],0),0)</f>
        <v>236</v>
      </c>
      <c r="F107">
        <f>pogoda4[[#This Row],[stan_przed_dolaniem]]-pogoda4[[#This Row],[ubytek]]</f>
        <v>10041</v>
      </c>
      <c r="G107">
        <f>IF(pogoda4[[#This Row],[opady]]*$AB$1+D107&gt;$AB$2,$AB$2-pogoda4[[#This Row],[stan_przed_dolaniem]],pogoda4[[#This Row],[opady]]*$AB$1)</f>
        <v>0</v>
      </c>
      <c r="H107">
        <f>pogoda4[[#This Row],[stan_po_ubytku]]+pogoda4[[#This Row],[ile_pogoda_dolała]]</f>
        <v>10041</v>
      </c>
      <c r="I107" cm="1">
        <f t="array" ref="I107">_xlfn.IFS(OR(pogoda4[[#This Row],[temperatura_srednia]]&lt;=15,pogoda4[[#This Row],[opady]]&gt;0.61),0,pogoda4[[#This Row],[temperatura_srednia]]&gt;30,24000,pogoda4[[#This Row],[temperatura_srednia]]&gt;15,12000)</f>
        <v>12000</v>
      </c>
      <c r="J107">
        <f>IF(pogoda4[[#This Row],[stan_po_dolaniu]]&lt;pogoda4[[#This Row],[ile_podlewamy]],$AB$2-pogoda4[[#This Row],[stan_po_dolaniu]],0)</f>
        <v>14959</v>
      </c>
      <c r="K107">
        <f>pogoda4[[#This Row],[stan_po_dolaniu]]+pogoda4[[#This Row],[ile_dolać_do_podlania]]</f>
        <v>25000</v>
      </c>
      <c r="L107">
        <f>pogoda4[[#This Row],[stan_po_dolaniu_do_podlania]]-pogoda4[[#This Row],[ile_podlewamy]]</f>
        <v>13000</v>
      </c>
    </row>
    <row r="108" spans="1:12" x14ac:dyDescent="0.25">
      <c r="A108" s="2">
        <v>42201</v>
      </c>
      <c r="B108">
        <v>16</v>
      </c>
      <c r="C108">
        <v>0</v>
      </c>
      <c r="D108">
        <f t="shared" si="1"/>
        <v>13000</v>
      </c>
      <c r="E108">
        <f>IF(C108=0,ROUNDUP($AB$3*POWER(pogoda4[[#This Row],[temperatura_srednia]],1.5)*pogoda4[[#This Row],[stan_przed_dolaniem]],0),0)</f>
        <v>250</v>
      </c>
      <c r="F108">
        <f>pogoda4[[#This Row],[stan_przed_dolaniem]]-pogoda4[[#This Row],[ubytek]]</f>
        <v>12750</v>
      </c>
      <c r="G108">
        <f>IF(pogoda4[[#This Row],[opady]]*$AB$1+D108&gt;$AB$2,$AB$2-pogoda4[[#This Row],[stan_przed_dolaniem]],pogoda4[[#This Row],[opady]]*$AB$1)</f>
        <v>0</v>
      </c>
      <c r="H108">
        <f>pogoda4[[#This Row],[stan_po_ubytku]]+pogoda4[[#This Row],[ile_pogoda_dolała]]</f>
        <v>12750</v>
      </c>
      <c r="I108" cm="1">
        <f t="array" ref="I108">_xlfn.IFS(OR(pogoda4[[#This Row],[temperatura_srednia]]&lt;=15,pogoda4[[#This Row],[opady]]&gt;0.61),0,pogoda4[[#This Row],[temperatura_srednia]]&gt;30,24000,pogoda4[[#This Row],[temperatura_srednia]]&gt;15,12000)</f>
        <v>12000</v>
      </c>
      <c r="J108">
        <f>IF(pogoda4[[#This Row],[stan_po_dolaniu]]&lt;pogoda4[[#This Row],[ile_podlewamy]],$AB$2-pogoda4[[#This Row],[stan_po_dolaniu]],0)</f>
        <v>0</v>
      </c>
      <c r="K108">
        <f>pogoda4[[#This Row],[stan_po_dolaniu]]+pogoda4[[#This Row],[ile_dolać_do_podlania]]</f>
        <v>12750</v>
      </c>
      <c r="L108">
        <f>pogoda4[[#This Row],[stan_po_dolaniu_do_podlania]]-pogoda4[[#This Row],[ile_podlewamy]]</f>
        <v>750</v>
      </c>
    </row>
    <row r="109" spans="1:12" x14ac:dyDescent="0.25">
      <c r="A109" s="2">
        <v>42202</v>
      </c>
      <c r="B109">
        <v>21</v>
      </c>
      <c r="C109">
        <v>0</v>
      </c>
      <c r="D109">
        <f t="shared" si="1"/>
        <v>750</v>
      </c>
      <c r="E109">
        <f>IF(C109=0,ROUNDUP($AB$3*POWER(pogoda4[[#This Row],[temperatura_srednia]],1.5)*pogoda4[[#This Row],[stan_przed_dolaniem]],0),0)</f>
        <v>22</v>
      </c>
      <c r="F109">
        <f>pogoda4[[#This Row],[stan_przed_dolaniem]]-pogoda4[[#This Row],[ubytek]]</f>
        <v>728</v>
      </c>
      <c r="G109">
        <f>IF(pogoda4[[#This Row],[opady]]*$AB$1+D109&gt;$AB$2,$AB$2-pogoda4[[#This Row],[stan_przed_dolaniem]],pogoda4[[#This Row],[opady]]*$AB$1)</f>
        <v>0</v>
      </c>
      <c r="H109">
        <f>pogoda4[[#This Row],[stan_po_ubytku]]+pogoda4[[#This Row],[ile_pogoda_dolała]]</f>
        <v>728</v>
      </c>
      <c r="I109" cm="1">
        <f t="array" ref="I109">_xlfn.IFS(OR(pogoda4[[#This Row],[temperatura_srednia]]&lt;=15,pogoda4[[#This Row],[opady]]&gt;0.61),0,pogoda4[[#This Row],[temperatura_srednia]]&gt;30,24000,pogoda4[[#This Row],[temperatura_srednia]]&gt;15,12000)</f>
        <v>12000</v>
      </c>
      <c r="J109">
        <f>IF(pogoda4[[#This Row],[stan_po_dolaniu]]&lt;pogoda4[[#This Row],[ile_podlewamy]],$AB$2-pogoda4[[#This Row],[stan_po_dolaniu]],0)</f>
        <v>24272</v>
      </c>
      <c r="K109">
        <f>pogoda4[[#This Row],[stan_po_dolaniu]]+pogoda4[[#This Row],[ile_dolać_do_podlania]]</f>
        <v>25000</v>
      </c>
      <c r="L109">
        <f>pogoda4[[#This Row],[stan_po_dolaniu_do_podlania]]-pogoda4[[#This Row],[ile_podlewamy]]</f>
        <v>13000</v>
      </c>
    </row>
    <row r="110" spans="1:12" x14ac:dyDescent="0.25">
      <c r="A110" s="2">
        <v>42203</v>
      </c>
      <c r="B110">
        <v>26</v>
      </c>
      <c r="C110">
        <v>0</v>
      </c>
      <c r="D110">
        <f t="shared" si="1"/>
        <v>13000</v>
      </c>
      <c r="E110">
        <f>IF(C110=0,ROUNDUP($AB$3*POWER(pogoda4[[#This Row],[temperatura_srednia]],1.5)*pogoda4[[#This Row],[stan_przed_dolaniem]],0),0)</f>
        <v>518</v>
      </c>
      <c r="F110">
        <f>pogoda4[[#This Row],[stan_przed_dolaniem]]-pogoda4[[#This Row],[ubytek]]</f>
        <v>12482</v>
      </c>
      <c r="G110">
        <f>IF(pogoda4[[#This Row],[opady]]*$AB$1+D110&gt;$AB$2,$AB$2-pogoda4[[#This Row],[stan_przed_dolaniem]],pogoda4[[#This Row],[opady]]*$AB$1)</f>
        <v>0</v>
      </c>
      <c r="H110">
        <f>pogoda4[[#This Row],[stan_po_ubytku]]+pogoda4[[#This Row],[ile_pogoda_dolała]]</f>
        <v>12482</v>
      </c>
      <c r="I110" cm="1">
        <f t="array" ref="I110">_xlfn.IFS(OR(pogoda4[[#This Row],[temperatura_srednia]]&lt;=15,pogoda4[[#This Row],[opady]]&gt;0.61),0,pogoda4[[#This Row],[temperatura_srednia]]&gt;30,24000,pogoda4[[#This Row],[temperatura_srednia]]&gt;15,12000)</f>
        <v>12000</v>
      </c>
      <c r="J110">
        <f>IF(pogoda4[[#This Row],[stan_po_dolaniu]]&lt;pogoda4[[#This Row],[ile_podlewamy]],$AB$2-pogoda4[[#This Row],[stan_po_dolaniu]],0)</f>
        <v>0</v>
      </c>
      <c r="K110">
        <f>pogoda4[[#This Row],[stan_po_dolaniu]]+pogoda4[[#This Row],[ile_dolać_do_podlania]]</f>
        <v>12482</v>
      </c>
      <c r="L110">
        <f>pogoda4[[#This Row],[stan_po_dolaniu_do_podlania]]-pogoda4[[#This Row],[ile_podlewamy]]</f>
        <v>482</v>
      </c>
    </row>
    <row r="111" spans="1:12" x14ac:dyDescent="0.25">
      <c r="A111" s="2">
        <v>42204</v>
      </c>
      <c r="B111">
        <v>23</v>
      </c>
      <c r="C111">
        <v>18</v>
      </c>
      <c r="D111">
        <f t="shared" si="1"/>
        <v>482</v>
      </c>
      <c r="E111">
        <f>IF(C111=0,ROUNDUP($AB$3*POWER(pogoda4[[#This Row],[temperatura_srednia]],1.5)*pogoda4[[#This Row],[stan_przed_dolaniem]],0),0)</f>
        <v>0</v>
      </c>
      <c r="F111">
        <f>pogoda4[[#This Row],[stan_przed_dolaniem]]-pogoda4[[#This Row],[ubytek]]</f>
        <v>482</v>
      </c>
      <c r="G111">
        <f>IF(pogoda4[[#This Row],[opady]]*$AB$1+D111&gt;$AB$2,$AB$2-pogoda4[[#This Row],[stan_przed_dolaniem]],pogoda4[[#This Row],[opady]]*$AB$1)</f>
        <v>12600</v>
      </c>
      <c r="H111">
        <f>pogoda4[[#This Row],[stan_po_ubytku]]+pogoda4[[#This Row],[ile_pogoda_dolała]]</f>
        <v>13082</v>
      </c>
      <c r="I111" cm="1">
        <f t="array" ref="I111">_xlfn.IFS(OR(pogoda4[[#This Row],[temperatura_srednia]]&lt;=15,pogoda4[[#This Row],[opady]]&gt;0.61),0,pogoda4[[#This Row],[temperatura_srednia]]&gt;30,24000,pogoda4[[#This Row],[temperatura_srednia]]&gt;15,12000)</f>
        <v>0</v>
      </c>
      <c r="J111">
        <f>IF(pogoda4[[#This Row],[stan_po_dolaniu]]&lt;pogoda4[[#This Row],[ile_podlewamy]],$AB$2-pogoda4[[#This Row],[stan_po_dolaniu]],0)</f>
        <v>0</v>
      </c>
      <c r="K111">
        <f>pogoda4[[#This Row],[stan_po_dolaniu]]+pogoda4[[#This Row],[ile_dolać_do_podlania]]</f>
        <v>13082</v>
      </c>
      <c r="L111">
        <f>pogoda4[[#This Row],[stan_po_dolaniu_do_podlania]]-pogoda4[[#This Row],[ile_podlewamy]]</f>
        <v>13082</v>
      </c>
    </row>
    <row r="112" spans="1:12" x14ac:dyDescent="0.25">
      <c r="A112" s="2">
        <v>42205</v>
      </c>
      <c r="B112">
        <v>19</v>
      </c>
      <c r="C112">
        <v>0</v>
      </c>
      <c r="D112">
        <f t="shared" si="1"/>
        <v>13082</v>
      </c>
      <c r="E112">
        <f>IF(C112=0,ROUNDUP($AB$3*POWER(pogoda4[[#This Row],[temperatura_srednia]],1.5)*pogoda4[[#This Row],[stan_przed_dolaniem]],0),0)</f>
        <v>326</v>
      </c>
      <c r="F112">
        <f>pogoda4[[#This Row],[stan_przed_dolaniem]]-pogoda4[[#This Row],[ubytek]]</f>
        <v>12756</v>
      </c>
      <c r="G112">
        <f>IF(pogoda4[[#This Row],[opady]]*$AB$1+D112&gt;$AB$2,$AB$2-pogoda4[[#This Row],[stan_przed_dolaniem]],pogoda4[[#This Row],[opady]]*$AB$1)</f>
        <v>0</v>
      </c>
      <c r="H112">
        <f>pogoda4[[#This Row],[stan_po_ubytku]]+pogoda4[[#This Row],[ile_pogoda_dolała]]</f>
        <v>12756</v>
      </c>
      <c r="I112" cm="1">
        <f t="array" ref="I112">_xlfn.IFS(OR(pogoda4[[#This Row],[temperatura_srednia]]&lt;=15,pogoda4[[#This Row],[opady]]&gt;0.61),0,pogoda4[[#This Row],[temperatura_srednia]]&gt;30,24000,pogoda4[[#This Row],[temperatura_srednia]]&gt;15,12000)</f>
        <v>12000</v>
      </c>
      <c r="J112">
        <f>IF(pogoda4[[#This Row],[stan_po_dolaniu]]&lt;pogoda4[[#This Row],[ile_podlewamy]],$AB$2-pogoda4[[#This Row],[stan_po_dolaniu]],0)</f>
        <v>0</v>
      </c>
      <c r="K112">
        <f>pogoda4[[#This Row],[stan_po_dolaniu]]+pogoda4[[#This Row],[ile_dolać_do_podlania]]</f>
        <v>12756</v>
      </c>
      <c r="L112">
        <f>pogoda4[[#This Row],[stan_po_dolaniu_do_podlania]]-pogoda4[[#This Row],[ile_podlewamy]]</f>
        <v>756</v>
      </c>
    </row>
    <row r="113" spans="1:12" x14ac:dyDescent="0.25">
      <c r="A113" s="2">
        <v>42206</v>
      </c>
      <c r="B113">
        <v>20</v>
      </c>
      <c r="C113">
        <v>6</v>
      </c>
      <c r="D113">
        <f t="shared" si="1"/>
        <v>756</v>
      </c>
      <c r="E113">
        <f>IF(C113=0,ROUNDUP($AB$3*POWER(pogoda4[[#This Row],[temperatura_srednia]],1.5)*pogoda4[[#This Row],[stan_przed_dolaniem]],0),0)</f>
        <v>0</v>
      </c>
      <c r="F113">
        <f>pogoda4[[#This Row],[stan_przed_dolaniem]]-pogoda4[[#This Row],[ubytek]]</f>
        <v>756</v>
      </c>
      <c r="G113">
        <f>IF(pogoda4[[#This Row],[opady]]*$AB$1+D113&gt;$AB$2,$AB$2-pogoda4[[#This Row],[stan_przed_dolaniem]],pogoda4[[#This Row],[opady]]*$AB$1)</f>
        <v>4200</v>
      </c>
      <c r="H113">
        <f>pogoda4[[#This Row],[stan_po_ubytku]]+pogoda4[[#This Row],[ile_pogoda_dolała]]</f>
        <v>4956</v>
      </c>
      <c r="I113" cm="1">
        <f t="array" ref="I113">_xlfn.IFS(OR(pogoda4[[#This Row],[temperatura_srednia]]&lt;=15,pogoda4[[#This Row],[opady]]&gt;0.61),0,pogoda4[[#This Row],[temperatura_srednia]]&gt;30,24000,pogoda4[[#This Row],[temperatura_srednia]]&gt;15,12000)</f>
        <v>0</v>
      </c>
      <c r="J113">
        <f>IF(pogoda4[[#This Row],[stan_po_dolaniu]]&lt;pogoda4[[#This Row],[ile_podlewamy]],$AB$2-pogoda4[[#This Row],[stan_po_dolaniu]],0)</f>
        <v>0</v>
      </c>
      <c r="K113">
        <f>pogoda4[[#This Row],[stan_po_dolaniu]]+pogoda4[[#This Row],[ile_dolać_do_podlania]]</f>
        <v>4956</v>
      </c>
      <c r="L113">
        <f>pogoda4[[#This Row],[stan_po_dolaniu_do_podlania]]-pogoda4[[#This Row],[ile_podlewamy]]</f>
        <v>4956</v>
      </c>
    </row>
    <row r="114" spans="1:12" x14ac:dyDescent="0.25">
      <c r="A114" s="2">
        <v>42207</v>
      </c>
      <c r="B114">
        <v>22</v>
      </c>
      <c r="C114">
        <v>0</v>
      </c>
      <c r="D114">
        <f t="shared" si="1"/>
        <v>4956</v>
      </c>
      <c r="E114">
        <f>IF(C114=0,ROUNDUP($AB$3*POWER(pogoda4[[#This Row],[temperatura_srednia]],1.5)*pogoda4[[#This Row],[stan_przed_dolaniem]],0),0)</f>
        <v>154</v>
      </c>
      <c r="F114">
        <f>pogoda4[[#This Row],[stan_przed_dolaniem]]-pogoda4[[#This Row],[ubytek]]</f>
        <v>4802</v>
      </c>
      <c r="G114">
        <f>IF(pogoda4[[#This Row],[opady]]*$AB$1+D114&gt;$AB$2,$AB$2-pogoda4[[#This Row],[stan_przed_dolaniem]],pogoda4[[#This Row],[opady]]*$AB$1)</f>
        <v>0</v>
      </c>
      <c r="H114">
        <f>pogoda4[[#This Row],[stan_po_ubytku]]+pogoda4[[#This Row],[ile_pogoda_dolała]]</f>
        <v>4802</v>
      </c>
      <c r="I114" cm="1">
        <f t="array" ref="I114">_xlfn.IFS(OR(pogoda4[[#This Row],[temperatura_srednia]]&lt;=15,pogoda4[[#This Row],[opady]]&gt;0.61),0,pogoda4[[#This Row],[temperatura_srednia]]&gt;30,24000,pogoda4[[#This Row],[temperatura_srednia]]&gt;15,12000)</f>
        <v>12000</v>
      </c>
      <c r="J114">
        <f>IF(pogoda4[[#This Row],[stan_po_dolaniu]]&lt;pogoda4[[#This Row],[ile_podlewamy]],$AB$2-pogoda4[[#This Row],[stan_po_dolaniu]],0)</f>
        <v>20198</v>
      </c>
      <c r="K114">
        <f>pogoda4[[#This Row],[stan_po_dolaniu]]+pogoda4[[#This Row],[ile_dolać_do_podlania]]</f>
        <v>25000</v>
      </c>
      <c r="L114">
        <f>pogoda4[[#This Row],[stan_po_dolaniu_do_podlania]]-pogoda4[[#This Row],[ile_podlewamy]]</f>
        <v>13000</v>
      </c>
    </row>
    <row r="115" spans="1:12" x14ac:dyDescent="0.25">
      <c r="A115" s="2">
        <v>42208</v>
      </c>
      <c r="B115">
        <v>20</v>
      </c>
      <c r="C115">
        <v>0</v>
      </c>
      <c r="D115">
        <f t="shared" si="1"/>
        <v>13000</v>
      </c>
      <c r="E115">
        <f>IF(C115=0,ROUNDUP($AB$3*POWER(pogoda4[[#This Row],[temperatura_srednia]],1.5)*pogoda4[[#This Row],[stan_przed_dolaniem]],0),0)</f>
        <v>349</v>
      </c>
      <c r="F115">
        <f>pogoda4[[#This Row],[stan_przed_dolaniem]]-pogoda4[[#This Row],[ubytek]]</f>
        <v>12651</v>
      </c>
      <c r="G115">
        <f>IF(pogoda4[[#This Row],[opady]]*$AB$1+D115&gt;$AB$2,$AB$2-pogoda4[[#This Row],[stan_przed_dolaniem]],pogoda4[[#This Row],[opady]]*$AB$1)</f>
        <v>0</v>
      </c>
      <c r="H115">
        <f>pogoda4[[#This Row],[stan_po_ubytku]]+pogoda4[[#This Row],[ile_pogoda_dolała]]</f>
        <v>12651</v>
      </c>
      <c r="I115" cm="1">
        <f t="array" ref="I115">_xlfn.IFS(OR(pogoda4[[#This Row],[temperatura_srednia]]&lt;=15,pogoda4[[#This Row],[opady]]&gt;0.61),0,pogoda4[[#This Row],[temperatura_srednia]]&gt;30,24000,pogoda4[[#This Row],[temperatura_srednia]]&gt;15,12000)</f>
        <v>12000</v>
      </c>
      <c r="J115">
        <f>IF(pogoda4[[#This Row],[stan_po_dolaniu]]&lt;pogoda4[[#This Row],[ile_podlewamy]],$AB$2-pogoda4[[#This Row],[stan_po_dolaniu]],0)</f>
        <v>0</v>
      </c>
      <c r="K115">
        <f>pogoda4[[#This Row],[stan_po_dolaniu]]+pogoda4[[#This Row],[ile_dolać_do_podlania]]</f>
        <v>12651</v>
      </c>
      <c r="L115">
        <f>pogoda4[[#This Row],[stan_po_dolaniu_do_podlania]]-pogoda4[[#This Row],[ile_podlewamy]]</f>
        <v>651</v>
      </c>
    </row>
    <row r="116" spans="1:12" x14ac:dyDescent="0.25">
      <c r="A116" s="2">
        <v>42209</v>
      </c>
      <c r="B116">
        <v>20</v>
      </c>
      <c r="C116">
        <v>0</v>
      </c>
      <c r="D116">
        <f t="shared" si="1"/>
        <v>651</v>
      </c>
      <c r="E116">
        <f>IF(C116=0,ROUNDUP($AB$3*POWER(pogoda4[[#This Row],[temperatura_srednia]],1.5)*pogoda4[[#This Row],[stan_przed_dolaniem]],0),0)</f>
        <v>18</v>
      </c>
      <c r="F116">
        <f>pogoda4[[#This Row],[stan_przed_dolaniem]]-pogoda4[[#This Row],[ubytek]]</f>
        <v>633</v>
      </c>
      <c r="G116">
        <f>IF(pogoda4[[#This Row],[opady]]*$AB$1+D116&gt;$AB$2,$AB$2-pogoda4[[#This Row],[stan_przed_dolaniem]],pogoda4[[#This Row],[opady]]*$AB$1)</f>
        <v>0</v>
      </c>
      <c r="H116">
        <f>pogoda4[[#This Row],[stan_po_ubytku]]+pogoda4[[#This Row],[ile_pogoda_dolała]]</f>
        <v>633</v>
      </c>
      <c r="I116" cm="1">
        <f t="array" ref="I116">_xlfn.IFS(OR(pogoda4[[#This Row],[temperatura_srednia]]&lt;=15,pogoda4[[#This Row],[opady]]&gt;0.61),0,pogoda4[[#This Row],[temperatura_srednia]]&gt;30,24000,pogoda4[[#This Row],[temperatura_srednia]]&gt;15,12000)</f>
        <v>12000</v>
      </c>
      <c r="J116">
        <f>IF(pogoda4[[#This Row],[stan_po_dolaniu]]&lt;pogoda4[[#This Row],[ile_podlewamy]],$AB$2-pogoda4[[#This Row],[stan_po_dolaniu]],0)</f>
        <v>24367</v>
      </c>
      <c r="K116">
        <f>pogoda4[[#This Row],[stan_po_dolaniu]]+pogoda4[[#This Row],[ile_dolać_do_podlania]]</f>
        <v>25000</v>
      </c>
      <c r="L116">
        <f>pogoda4[[#This Row],[stan_po_dolaniu_do_podlania]]-pogoda4[[#This Row],[ile_podlewamy]]</f>
        <v>13000</v>
      </c>
    </row>
    <row r="117" spans="1:12" x14ac:dyDescent="0.25">
      <c r="A117" s="2">
        <v>42210</v>
      </c>
      <c r="B117">
        <v>23</v>
      </c>
      <c r="C117">
        <v>0.1</v>
      </c>
      <c r="D117">
        <f t="shared" si="1"/>
        <v>13000</v>
      </c>
      <c r="E117">
        <f>IF(C117=0,ROUNDUP($AB$3*POWER(pogoda4[[#This Row],[temperatura_srednia]],1.5)*pogoda4[[#This Row],[stan_przed_dolaniem]],0),0)</f>
        <v>0</v>
      </c>
      <c r="F117">
        <f>pogoda4[[#This Row],[stan_przed_dolaniem]]-pogoda4[[#This Row],[ubytek]]</f>
        <v>13000</v>
      </c>
      <c r="G117">
        <f>IF(pogoda4[[#This Row],[opady]]*$AB$1+D117&gt;$AB$2,$AB$2-pogoda4[[#This Row],[stan_przed_dolaniem]],pogoda4[[#This Row],[opady]]*$AB$1)</f>
        <v>70</v>
      </c>
      <c r="H117">
        <f>pogoda4[[#This Row],[stan_po_ubytku]]+pogoda4[[#This Row],[ile_pogoda_dolała]]</f>
        <v>13070</v>
      </c>
      <c r="I117" cm="1">
        <f t="array" ref="I117">_xlfn.IFS(OR(pogoda4[[#This Row],[temperatura_srednia]]&lt;=15,pogoda4[[#This Row],[opady]]&gt;0.61),0,pogoda4[[#This Row],[temperatura_srednia]]&gt;30,24000,pogoda4[[#This Row],[temperatura_srednia]]&gt;15,12000)</f>
        <v>12000</v>
      </c>
      <c r="J117">
        <f>IF(pogoda4[[#This Row],[stan_po_dolaniu]]&lt;pogoda4[[#This Row],[ile_podlewamy]],$AB$2-pogoda4[[#This Row],[stan_po_dolaniu]],0)</f>
        <v>0</v>
      </c>
      <c r="K117">
        <f>pogoda4[[#This Row],[stan_po_dolaniu]]+pogoda4[[#This Row],[ile_dolać_do_podlania]]</f>
        <v>13070</v>
      </c>
      <c r="L117">
        <f>pogoda4[[#This Row],[stan_po_dolaniu_do_podlania]]-pogoda4[[#This Row],[ile_podlewamy]]</f>
        <v>1070</v>
      </c>
    </row>
    <row r="118" spans="1:12" x14ac:dyDescent="0.25">
      <c r="A118" s="2">
        <v>42211</v>
      </c>
      <c r="B118">
        <v>16</v>
      </c>
      <c r="C118">
        <v>0</v>
      </c>
      <c r="D118">
        <f t="shared" si="1"/>
        <v>1070</v>
      </c>
      <c r="E118">
        <f>IF(C118=0,ROUNDUP($AB$3*POWER(pogoda4[[#This Row],[temperatura_srednia]],1.5)*pogoda4[[#This Row],[stan_przed_dolaniem]],0),0)</f>
        <v>21</v>
      </c>
      <c r="F118">
        <f>pogoda4[[#This Row],[stan_przed_dolaniem]]-pogoda4[[#This Row],[ubytek]]</f>
        <v>1049</v>
      </c>
      <c r="G118">
        <f>IF(pogoda4[[#This Row],[opady]]*$AB$1+D118&gt;$AB$2,$AB$2-pogoda4[[#This Row],[stan_przed_dolaniem]],pogoda4[[#This Row],[opady]]*$AB$1)</f>
        <v>0</v>
      </c>
      <c r="H118">
        <f>pogoda4[[#This Row],[stan_po_ubytku]]+pogoda4[[#This Row],[ile_pogoda_dolała]]</f>
        <v>1049</v>
      </c>
      <c r="I118" cm="1">
        <f t="array" ref="I118">_xlfn.IFS(OR(pogoda4[[#This Row],[temperatura_srednia]]&lt;=15,pogoda4[[#This Row],[opady]]&gt;0.61),0,pogoda4[[#This Row],[temperatura_srednia]]&gt;30,24000,pogoda4[[#This Row],[temperatura_srednia]]&gt;15,12000)</f>
        <v>12000</v>
      </c>
      <c r="J118">
        <f>IF(pogoda4[[#This Row],[stan_po_dolaniu]]&lt;pogoda4[[#This Row],[ile_podlewamy]],$AB$2-pogoda4[[#This Row],[stan_po_dolaniu]],0)</f>
        <v>23951</v>
      </c>
      <c r="K118">
        <f>pogoda4[[#This Row],[stan_po_dolaniu]]+pogoda4[[#This Row],[ile_dolać_do_podlania]]</f>
        <v>25000</v>
      </c>
      <c r="L118">
        <f>pogoda4[[#This Row],[stan_po_dolaniu_do_podlania]]-pogoda4[[#This Row],[ile_podlewamy]]</f>
        <v>13000</v>
      </c>
    </row>
    <row r="119" spans="1:12" x14ac:dyDescent="0.25">
      <c r="A119" s="2">
        <v>42212</v>
      </c>
      <c r="B119">
        <v>16</v>
      </c>
      <c r="C119">
        <v>0.1</v>
      </c>
      <c r="D119">
        <f t="shared" si="1"/>
        <v>13000</v>
      </c>
      <c r="E119">
        <f>IF(C119=0,ROUNDUP($AB$3*POWER(pogoda4[[#This Row],[temperatura_srednia]],1.5)*pogoda4[[#This Row],[stan_przed_dolaniem]],0),0)</f>
        <v>0</v>
      </c>
      <c r="F119">
        <f>pogoda4[[#This Row],[stan_przed_dolaniem]]-pogoda4[[#This Row],[ubytek]]</f>
        <v>13000</v>
      </c>
      <c r="G119">
        <f>IF(pogoda4[[#This Row],[opady]]*$AB$1+D119&gt;$AB$2,$AB$2-pogoda4[[#This Row],[stan_przed_dolaniem]],pogoda4[[#This Row],[opady]]*$AB$1)</f>
        <v>70</v>
      </c>
      <c r="H119">
        <f>pogoda4[[#This Row],[stan_po_ubytku]]+pogoda4[[#This Row],[ile_pogoda_dolała]]</f>
        <v>13070</v>
      </c>
      <c r="I119" cm="1">
        <f t="array" ref="I119">_xlfn.IFS(OR(pogoda4[[#This Row],[temperatura_srednia]]&lt;=15,pogoda4[[#This Row],[opady]]&gt;0.61),0,pogoda4[[#This Row],[temperatura_srednia]]&gt;30,24000,pogoda4[[#This Row],[temperatura_srednia]]&gt;15,12000)</f>
        <v>12000</v>
      </c>
      <c r="J119">
        <f>IF(pogoda4[[#This Row],[stan_po_dolaniu]]&lt;pogoda4[[#This Row],[ile_podlewamy]],$AB$2-pogoda4[[#This Row],[stan_po_dolaniu]],0)</f>
        <v>0</v>
      </c>
      <c r="K119">
        <f>pogoda4[[#This Row],[stan_po_dolaniu]]+pogoda4[[#This Row],[ile_dolać_do_podlania]]</f>
        <v>13070</v>
      </c>
      <c r="L119">
        <f>pogoda4[[#This Row],[stan_po_dolaniu_do_podlania]]-pogoda4[[#This Row],[ile_podlewamy]]</f>
        <v>1070</v>
      </c>
    </row>
    <row r="120" spans="1:12" x14ac:dyDescent="0.25">
      <c r="A120" s="2">
        <v>42213</v>
      </c>
      <c r="B120">
        <v>18</v>
      </c>
      <c r="C120">
        <v>0.3</v>
      </c>
      <c r="D120">
        <f t="shared" si="1"/>
        <v>1070</v>
      </c>
      <c r="E120">
        <f>IF(C120=0,ROUNDUP($AB$3*POWER(pogoda4[[#This Row],[temperatura_srednia]],1.5)*pogoda4[[#This Row],[stan_przed_dolaniem]],0),0)</f>
        <v>0</v>
      </c>
      <c r="F120">
        <f>pogoda4[[#This Row],[stan_przed_dolaniem]]-pogoda4[[#This Row],[ubytek]]</f>
        <v>1070</v>
      </c>
      <c r="G120">
        <f>IF(pogoda4[[#This Row],[opady]]*$AB$1+D120&gt;$AB$2,$AB$2-pogoda4[[#This Row],[stan_przed_dolaniem]],pogoda4[[#This Row],[opady]]*$AB$1)</f>
        <v>210</v>
      </c>
      <c r="H120">
        <f>pogoda4[[#This Row],[stan_po_ubytku]]+pogoda4[[#This Row],[ile_pogoda_dolała]]</f>
        <v>1280</v>
      </c>
      <c r="I120" cm="1">
        <f t="array" ref="I120">_xlfn.IFS(OR(pogoda4[[#This Row],[temperatura_srednia]]&lt;=15,pogoda4[[#This Row],[opady]]&gt;0.61),0,pogoda4[[#This Row],[temperatura_srednia]]&gt;30,24000,pogoda4[[#This Row],[temperatura_srednia]]&gt;15,12000)</f>
        <v>12000</v>
      </c>
      <c r="J120">
        <f>IF(pogoda4[[#This Row],[stan_po_dolaniu]]&lt;pogoda4[[#This Row],[ile_podlewamy]],$AB$2-pogoda4[[#This Row],[stan_po_dolaniu]],0)</f>
        <v>23720</v>
      </c>
      <c r="K120">
        <f>pogoda4[[#This Row],[stan_po_dolaniu]]+pogoda4[[#This Row],[ile_dolać_do_podlania]]</f>
        <v>25000</v>
      </c>
      <c r="L120">
        <f>pogoda4[[#This Row],[stan_po_dolaniu_do_podlania]]-pogoda4[[#This Row],[ile_podlewamy]]</f>
        <v>13000</v>
      </c>
    </row>
    <row r="121" spans="1:12" x14ac:dyDescent="0.25">
      <c r="A121" s="2">
        <v>42214</v>
      </c>
      <c r="B121">
        <v>18</v>
      </c>
      <c r="C121">
        <v>0</v>
      </c>
      <c r="D121">
        <f t="shared" si="1"/>
        <v>13000</v>
      </c>
      <c r="E121">
        <f>IF(C121=0,ROUNDUP($AB$3*POWER(pogoda4[[#This Row],[temperatura_srednia]],1.5)*pogoda4[[#This Row],[stan_przed_dolaniem]],0),0)</f>
        <v>298</v>
      </c>
      <c r="F121">
        <f>pogoda4[[#This Row],[stan_przed_dolaniem]]-pogoda4[[#This Row],[ubytek]]</f>
        <v>12702</v>
      </c>
      <c r="G121">
        <f>IF(pogoda4[[#This Row],[opady]]*$AB$1+D121&gt;$AB$2,$AB$2-pogoda4[[#This Row],[stan_przed_dolaniem]],pogoda4[[#This Row],[opady]]*$AB$1)</f>
        <v>0</v>
      </c>
      <c r="H121">
        <f>pogoda4[[#This Row],[stan_po_ubytku]]+pogoda4[[#This Row],[ile_pogoda_dolała]]</f>
        <v>12702</v>
      </c>
      <c r="I121" cm="1">
        <f t="array" ref="I121">_xlfn.IFS(OR(pogoda4[[#This Row],[temperatura_srednia]]&lt;=15,pogoda4[[#This Row],[opady]]&gt;0.61),0,pogoda4[[#This Row],[temperatura_srednia]]&gt;30,24000,pogoda4[[#This Row],[temperatura_srednia]]&gt;15,12000)</f>
        <v>12000</v>
      </c>
      <c r="J121">
        <f>IF(pogoda4[[#This Row],[stan_po_dolaniu]]&lt;pogoda4[[#This Row],[ile_podlewamy]],$AB$2-pogoda4[[#This Row],[stan_po_dolaniu]],0)</f>
        <v>0</v>
      </c>
      <c r="K121">
        <f>pogoda4[[#This Row],[stan_po_dolaniu]]+pogoda4[[#This Row],[ile_dolać_do_podlania]]</f>
        <v>12702</v>
      </c>
      <c r="L121">
        <f>pogoda4[[#This Row],[stan_po_dolaniu_do_podlania]]-pogoda4[[#This Row],[ile_podlewamy]]</f>
        <v>702</v>
      </c>
    </row>
    <row r="122" spans="1:12" x14ac:dyDescent="0.25">
      <c r="A122" s="2">
        <v>42215</v>
      </c>
      <c r="B122">
        <v>14</v>
      </c>
      <c r="C122">
        <v>0</v>
      </c>
      <c r="D122">
        <f t="shared" si="1"/>
        <v>702</v>
      </c>
      <c r="E122">
        <f>IF(C122=0,ROUNDUP($AB$3*POWER(pogoda4[[#This Row],[temperatura_srednia]],1.5)*pogoda4[[#This Row],[stan_przed_dolaniem]],0),0)</f>
        <v>12</v>
      </c>
      <c r="F122">
        <f>pogoda4[[#This Row],[stan_przed_dolaniem]]-pogoda4[[#This Row],[ubytek]]</f>
        <v>690</v>
      </c>
      <c r="G122">
        <f>IF(pogoda4[[#This Row],[opady]]*$AB$1+D122&gt;$AB$2,$AB$2-pogoda4[[#This Row],[stan_przed_dolaniem]],pogoda4[[#This Row],[opady]]*$AB$1)</f>
        <v>0</v>
      </c>
      <c r="H122">
        <f>pogoda4[[#This Row],[stan_po_ubytku]]+pogoda4[[#This Row],[ile_pogoda_dolała]]</f>
        <v>690</v>
      </c>
      <c r="I122" cm="1">
        <f t="array" ref="I122">_xlfn.IFS(OR(pogoda4[[#This Row],[temperatura_srednia]]&lt;=15,pogoda4[[#This Row],[opady]]&gt;0.61),0,pogoda4[[#This Row],[temperatura_srednia]]&gt;30,24000,pogoda4[[#This Row],[temperatura_srednia]]&gt;15,12000)</f>
        <v>0</v>
      </c>
      <c r="J122">
        <f>IF(pogoda4[[#This Row],[stan_po_dolaniu]]&lt;pogoda4[[#This Row],[ile_podlewamy]],$AB$2-pogoda4[[#This Row],[stan_po_dolaniu]],0)</f>
        <v>0</v>
      </c>
      <c r="K122">
        <f>pogoda4[[#This Row],[stan_po_dolaniu]]+pogoda4[[#This Row],[ile_dolać_do_podlania]]</f>
        <v>690</v>
      </c>
      <c r="L122">
        <f>pogoda4[[#This Row],[stan_po_dolaniu_do_podlania]]-pogoda4[[#This Row],[ile_podlewamy]]</f>
        <v>690</v>
      </c>
    </row>
    <row r="123" spans="1:12" x14ac:dyDescent="0.25">
      <c r="A123" s="2">
        <v>42216</v>
      </c>
      <c r="B123">
        <v>14</v>
      </c>
      <c r="C123">
        <v>0</v>
      </c>
      <c r="D123">
        <f t="shared" si="1"/>
        <v>690</v>
      </c>
      <c r="E123">
        <f>IF(C123=0,ROUNDUP($AB$3*POWER(pogoda4[[#This Row],[temperatura_srednia]],1.5)*pogoda4[[#This Row],[stan_przed_dolaniem]],0),0)</f>
        <v>11</v>
      </c>
      <c r="F123">
        <f>pogoda4[[#This Row],[stan_przed_dolaniem]]-pogoda4[[#This Row],[ubytek]]</f>
        <v>679</v>
      </c>
      <c r="G123">
        <f>IF(pogoda4[[#This Row],[opady]]*$AB$1+D123&gt;$AB$2,$AB$2-pogoda4[[#This Row],[stan_przed_dolaniem]],pogoda4[[#This Row],[opady]]*$AB$1)</f>
        <v>0</v>
      </c>
      <c r="H123">
        <f>pogoda4[[#This Row],[stan_po_ubytku]]+pogoda4[[#This Row],[ile_pogoda_dolała]]</f>
        <v>679</v>
      </c>
      <c r="I123" cm="1">
        <f t="array" ref="I123">_xlfn.IFS(OR(pogoda4[[#This Row],[temperatura_srednia]]&lt;=15,pogoda4[[#This Row],[opady]]&gt;0.61),0,pogoda4[[#This Row],[temperatura_srednia]]&gt;30,24000,pogoda4[[#This Row],[temperatura_srednia]]&gt;15,12000)</f>
        <v>0</v>
      </c>
      <c r="J123">
        <f>IF(pogoda4[[#This Row],[stan_po_dolaniu]]&lt;pogoda4[[#This Row],[ile_podlewamy]],$AB$2-pogoda4[[#This Row],[stan_po_dolaniu]],0)</f>
        <v>0</v>
      </c>
      <c r="K123">
        <f>pogoda4[[#This Row],[stan_po_dolaniu]]+pogoda4[[#This Row],[ile_dolać_do_podlania]]</f>
        <v>679</v>
      </c>
      <c r="L123">
        <f>pogoda4[[#This Row],[stan_po_dolaniu_do_podlania]]-pogoda4[[#This Row],[ile_podlewamy]]</f>
        <v>679</v>
      </c>
    </row>
    <row r="124" spans="1:12" x14ac:dyDescent="0.25">
      <c r="A124" s="2">
        <v>42217</v>
      </c>
      <c r="B124">
        <v>16</v>
      </c>
      <c r="C124">
        <v>0</v>
      </c>
      <c r="D124">
        <f t="shared" si="1"/>
        <v>679</v>
      </c>
      <c r="E124">
        <f>IF(C124=0,ROUNDUP($AB$3*POWER(pogoda4[[#This Row],[temperatura_srednia]],1.5)*pogoda4[[#This Row],[stan_przed_dolaniem]],0),0)</f>
        <v>14</v>
      </c>
      <c r="F124">
        <f>pogoda4[[#This Row],[stan_przed_dolaniem]]-pogoda4[[#This Row],[ubytek]]</f>
        <v>665</v>
      </c>
      <c r="G124">
        <f>IF(pogoda4[[#This Row],[opady]]*$AB$1+D124&gt;$AB$2,$AB$2-pogoda4[[#This Row],[stan_przed_dolaniem]],pogoda4[[#This Row],[opady]]*$AB$1)</f>
        <v>0</v>
      </c>
      <c r="H124">
        <f>pogoda4[[#This Row],[stan_po_ubytku]]+pogoda4[[#This Row],[ile_pogoda_dolała]]</f>
        <v>665</v>
      </c>
      <c r="I124" cm="1">
        <f t="array" ref="I124">_xlfn.IFS(OR(pogoda4[[#This Row],[temperatura_srednia]]&lt;=15,pogoda4[[#This Row],[opady]]&gt;0.61),0,pogoda4[[#This Row],[temperatura_srednia]]&gt;30,24000,pogoda4[[#This Row],[temperatura_srednia]]&gt;15,12000)</f>
        <v>12000</v>
      </c>
      <c r="J124">
        <f>IF(pogoda4[[#This Row],[stan_po_dolaniu]]&lt;pogoda4[[#This Row],[ile_podlewamy]],$AB$2-pogoda4[[#This Row],[stan_po_dolaniu]],0)</f>
        <v>24335</v>
      </c>
      <c r="K124">
        <f>pogoda4[[#This Row],[stan_po_dolaniu]]+pogoda4[[#This Row],[ile_dolać_do_podlania]]</f>
        <v>25000</v>
      </c>
      <c r="L124">
        <f>pogoda4[[#This Row],[stan_po_dolaniu_do_podlania]]-pogoda4[[#This Row],[ile_podlewamy]]</f>
        <v>13000</v>
      </c>
    </row>
    <row r="125" spans="1:12" x14ac:dyDescent="0.25">
      <c r="A125" s="2">
        <v>42218</v>
      </c>
      <c r="B125">
        <v>22</v>
      </c>
      <c r="C125">
        <v>0</v>
      </c>
      <c r="D125">
        <f t="shared" si="1"/>
        <v>13000</v>
      </c>
      <c r="E125">
        <f>IF(C125=0,ROUNDUP($AB$3*POWER(pogoda4[[#This Row],[temperatura_srednia]],1.5)*pogoda4[[#This Row],[stan_przed_dolaniem]],0),0)</f>
        <v>403</v>
      </c>
      <c r="F125">
        <f>pogoda4[[#This Row],[stan_przed_dolaniem]]-pogoda4[[#This Row],[ubytek]]</f>
        <v>12597</v>
      </c>
      <c r="G125">
        <f>IF(pogoda4[[#This Row],[opady]]*$AB$1+D125&gt;$AB$2,$AB$2-pogoda4[[#This Row],[stan_przed_dolaniem]],pogoda4[[#This Row],[opady]]*$AB$1)</f>
        <v>0</v>
      </c>
      <c r="H125">
        <f>pogoda4[[#This Row],[stan_po_ubytku]]+pogoda4[[#This Row],[ile_pogoda_dolała]]</f>
        <v>12597</v>
      </c>
      <c r="I125" cm="1">
        <f t="array" ref="I125">_xlfn.IFS(OR(pogoda4[[#This Row],[temperatura_srednia]]&lt;=15,pogoda4[[#This Row],[opady]]&gt;0.61),0,pogoda4[[#This Row],[temperatura_srednia]]&gt;30,24000,pogoda4[[#This Row],[temperatura_srednia]]&gt;15,12000)</f>
        <v>12000</v>
      </c>
      <c r="J125">
        <f>IF(pogoda4[[#This Row],[stan_po_dolaniu]]&lt;pogoda4[[#This Row],[ile_podlewamy]],$AB$2-pogoda4[[#This Row],[stan_po_dolaniu]],0)</f>
        <v>0</v>
      </c>
      <c r="K125">
        <f>pogoda4[[#This Row],[stan_po_dolaniu]]+pogoda4[[#This Row],[ile_dolać_do_podlania]]</f>
        <v>12597</v>
      </c>
      <c r="L125">
        <f>pogoda4[[#This Row],[stan_po_dolaniu_do_podlania]]-pogoda4[[#This Row],[ile_podlewamy]]</f>
        <v>597</v>
      </c>
    </row>
    <row r="126" spans="1:12" x14ac:dyDescent="0.25">
      <c r="A126" s="2">
        <v>42219</v>
      </c>
      <c r="B126">
        <v>22</v>
      </c>
      <c r="C126">
        <v>0</v>
      </c>
      <c r="D126">
        <f t="shared" si="1"/>
        <v>597</v>
      </c>
      <c r="E126">
        <f>IF(C126=0,ROUNDUP($AB$3*POWER(pogoda4[[#This Row],[temperatura_srednia]],1.5)*pogoda4[[#This Row],[stan_przed_dolaniem]],0),0)</f>
        <v>19</v>
      </c>
      <c r="F126">
        <f>pogoda4[[#This Row],[stan_przed_dolaniem]]-pogoda4[[#This Row],[ubytek]]</f>
        <v>578</v>
      </c>
      <c r="G126">
        <f>IF(pogoda4[[#This Row],[opady]]*$AB$1+D126&gt;$AB$2,$AB$2-pogoda4[[#This Row],[stan_przed_dolaniem]],pogoda4[[#This Row],[opady]]*$AB$1)</f>
        <v>0</v>
      </c>
      <c r="H126">
        <f>pogoda4[[#This Row],[stan_po_ubytku]]+pogoda4[[#This Row],[ile_pogoda_dolała]]</f>
        <v>578</v>
      </c>
      <c r="I126" cm="1">
        <f t="array" ref="I126">_xlfn.IFS(OR(pogoda4[[#This Row],[temperatura_srednia]]&lt;=15,pogoda4[[#This Row],[opady]]&gt;0.61),0,pogoda4[[#This Row],[temperatura_srednia]]&gt;30,24000,pogoda4[[#This Row],[temperatura_srednia]]&gt;15,12000)</f>
        <v>12000</v>
      </c>
      <c r="J126">
        <f>IF(pogoda4[[#This Row],[stan_po_dolaniu]]&lt;pogoda4[[#This Row],[ile_podlewamy]],$AB$2-pogoda4[[#This Row],[stan_po_dolaniu]],0)</f>
        <v>24422</v>
      </c>
      <c r="K126">
        <f>pogoda4[[#This Row],[stan_po_dolaniu]]+pogoda4[[#This Row],[ile_dolać_do_podlania]]</f>
        <v>25000</v>
      </c>
      <c r="L126">
        <f>pogoda4[[#This Row],[stan_po_dolaniu_do_podlania]]-pogoda4[[#This Row],[ile_podlewamy]]</f>
        <v>13000</v>
      </c>
    </row>
    <row r="127" spans="1:12" x14ac:dyDescent="0.25">
      <c r="A127" s="2">
        <v>42220</v>
      </c>
      <c r="B127">
        <v>25</v>
      </c>
      <c r="C127">
        <v>0</v>
      </c>
      <c r="D127">
        <f t="shared" si="1"/>
        <v>13000</v>
      </c>
      <c r="E127">
        <f>IF(C127=0,ROUNDUP($AB$3*POWER(pogoda4[[#This Row],[temperatura_srednia]],1.5)*pogoda4[[#This Row],[stan_przed_dolaniem]],0),0)</f>
        <v>488</v>
      </c>
      <c r="F127">
        <f>pogoda4[[#This Row],[stan_przed_dolaniem]]-pogoda4[[#This Row],[ubytek]]</f>
        <v>12512</v>
      </c>
      <c r="G127">
        <f>IF(pogoda4[[#This Row],[opady]]*$AB$1+D127&gt;$AB$2,$AB$2-pogoda4[[#This Row],[stan_przed_dolaniem]],pogoda4[[#This Row],[opady]]*$AB$1)</f>
        <v>0</v>
      </c>
      <c r="H127">
        <f>pogoda4[[#This Row],[stan_po_ubytku]]+pogoda4[[#This Row],[ile_pogoda_dolała]]</f>
        <v>12512</v>
      </c>
      <c r="I127" cm="1">
        <f t="array" ref="I127">_xlfn.IFS(OR(pogoda4[[#This Row],[temperatura_srednia]]&lt;=15,pogoda4[[#This Row],[opady]]&gt;0.61),0,pogoda4[[#This Row],[temperatura_srednia]]&gt;30,24000,pogoda4[[#This Row],[temperatura_srednia]]&gt;15,12000)</f>
        <v>12000</v>
      </c>
      <c r="J127">
        <f>IF(pogoda4[[#This Row],[stan_po_dolaniu]]&lt;pogoda4[[#This Row],[ile_podlewamy]],$AB$2-pogoda4[[#This Row],[stan_po_dolaniu]],0)</f>
        <v>0</v>
      </c>
      <c r="K127">
        <f>pogoda4[[#This Row],[stan_po_dolaniu]]+pogoda4[[#This Row],[ile_dolać_do_podlania]]</f>
        <v>12512</v>
      </c>
      <c r="L127">
        <f>pogoda4[[#This Row],[stan_po_dolaniu_do_podlania]]-pogoda4[[#This Row],[ile_podlewamy]]</f>
        <v>512</v>
      </c>
    </row>
    <row r="128" spans="1:12" x14ac:dyDescent="0.25">
      <c r="A128" s="2">
        <v>42221</v>
      </c>
      <c r="B128">
        <v>24</v>
      </c>
      <c r="C128">
        <v>0</v>
      </c>
      <c r="D128">
        <f t="shared" si="1"/>
        <v>512</v>
      </c>
      <c r="E128">
        <f>IF(C128=0,ROUNDUP($AB$3*POWER(pogoda4[[#This Row],[temperatura_srednia]],1.5)*pogoda4[[#This Row],[stan_przed_dolaniem]],0),0)</f>
        <v>19</v>
      </c>
      <c r="F128">
        <f>pogoda4[[#This Row],[stan_przed_dolaniem]]-pogoda4[[#This Row],[ubytek]]</f>
        <v>493</v>
      </c>
      <c r="G128">
        <f>IF(pogoda4[[#This Row],[opady]]*$AB$1+D128&gt;$AB$2,$AB$2-pogoda4[[#This Row],[stan_przed_dolaniem]],pogoda4[[#This Row],[opady]]*$AB$1)</f>
        <v>0</v>
      </c>
      <c r="H128">
        <f>pogoda4[[#This Row],[stan_po_ubytku]]+pogoda4[[#This Row],[ile_pogoda_dolała]]</f>
        <v>493</v>
      </c>
      <c r="I128" cm="1">
        <f t="array" ref="I128">_xlfn.IFS(OR(pogoda4[[#This Row],[temperatura_srednia]]&lt;=15,pogoda4[[#This Row],[opady]]&gt;0.61),0,pogoda4[[#This Row],[temperatura_srednia]]&gt;30,24000,pogoda4[[#This Row],[temperatura_srednia]]&gt;15,12000)</f>
        <v>12000</v>
      </c>
      <c r="J128">
        <f>IF(pogoda4[[#This Row],[stan_po_dolaniu]]&lt;pogoda4[[#This Row],[ile_podlewamy]],$AB$2-pogoda4[[#This Row],[stan_po_dolaniu]],0)</f>
        <v>24507</v>
      </c>
      <c r="K128">
        <f>pogoda4[[#This Row],[stan_po_dolaniu]]+pogoda4[[#This Row],[ile_dolać_do_podlania]]</f>
        <v>25000</v>
      </c>
      <c r="L128">
        <f>pogoda4[[#This Row],[stan_po_dolaniu_do_podlania]]-pogoda4[[#This Row],[ile_podlewamy]]</f>
        <v>13000</v>
      </c>
    </row>
    <row r="129" spans="1:12" x14ac:dyDescent="0.25">
      <c r="A129" s="2">
        <v>42222</v>
      </c>
      <c r="B129">
        <v>24</v>
      </c>
      <c r="C129">
        <v>0</v>
      </c>
      <c r="D129">
        <f t="shared" si="1"/>
        <v>13000</v>
      </c>
      <c r="E129">
        <f>IF(C129=0,ROUNDUP($AB$3*POWER(pogoda4[[#This Row],[temperatura_srednia]],1.5)*pogoda4[[#This Row],[stan_przed_dolaniem]],0),0)</f>
        <v>459</v>
      </c>
      <c r="F129">
        <f>pogoda4[[#This Row],[stan_przed_dolaniem]]-pogoda4[[#This Row],[ubytek]]</f>
        <v>12541</v>
      </c>
      <c r="G129">
        <f>IF(pogoda4[[#This Row],[opady]]*$AB$1+D129&gt;$AB$2,$AB$2-pogoda4[[#This Row],[stan_przed_dolaniem]],pogoda4[[#This Row],[opady]]*$AB$1)</f>
        <v>0</v>
      </c>
      <c r="H129">
        <f>pogoda4[[#This Row],[stan_po_ubytku]]+pogoda4[[#This Row],[ile_pogoda_dolała]]</f>
        <v>12541</v>
      </c>
      <c r="I129" cm="1">
        <f t="array" ref="I129">_xlfn.IFS(OR(pogoda4[[#This Row],[temperatura_srednia]]&lt;=15,pogoda4[[#This Row],[opady]]&gt;0.61),0,pogoda4[[#This Row],[temperatura_srednia]]&gt;30,24000,pogoda4[[#This Row],[temperatura_srednia]]&gt;15,12000)</f>
        <v>12000</v>
      </c>
      <c r="J129">
        <f>IF(pogoda4[[#This Row],[stan_po_dolaniu]]&lt;pogoda4[[#This Row],[ile_podlewamy]],$AB$2-pogoda4[[#This Row],[stan_po_dolaniu]],0)</f>
        <v>0</v>
      </c>
      <c r="K129">
        <f>pogoda4[[#This Row],[stan_po_dolaniu]]+pogoda4[[#This Row],[ile_dolać_do_podlania]]</f>
        <v>12541</v>
      </c>
      <c r="L129">
        <f>pogoda4[[#This Row],[stan_po_dolaniu_do_podlania]]-pogoda4[[#This Row],[ile_podlewamy]]</f>
        <v>541</v>
      </c>
    </row>
    <row r="130" spans="1:12" x14ac:dyDescent="0.25">
      <c r="A130" s="2">
        <v>42223</v>
      </c>
      <c r="B130">
        <v>28</v>
      </c>
      <c r="C130">
        <v>0</v>
      </c>
      <c r="D130">
        <f t="shared" si="1"/>
        <v>541</v>
      </c>
      <c r="E130">
        <f>IF(C130=0,ROUNDUP($AB$3*POWER(pogoda4[[#This Row],[temperatura_srednia]],1.5)*pogoda4[[#This Row],[stan_przed_dolaniem]],0),0)</f>
        <v>25</v>
      </c>
      <c r="F130">
        <f>pogoda4[[#This Row],[stan_przed_dolaniem]]-pogoda4[[#This Row],[ubytek]]</f>
        <v>516</v>
      </c>
      <c r="G130">
        <f>IF(pogoda4[[#This Row],[opady]]*$AB$1+D130&gt;$AB$2,$AB$2-pogoda4[[#This Row],[stan_przed_dolaniem]],pogoda4[[#This Row],[opady]]*$AB$1)</f>
        <v>0</v>
      </c>
      <c r="H130">
        <f>pogoda4[[#This Row],[stan_po_ubytku]]+pogoda4[[#This Row],[ile_pogoda_dolała]]</f>
        <v>516</v>
      </c>
      <c r="I130" cm="1">
        <f t="array" ref="I130">_xlfn.IFS(OR(pogoda4[[#This Row],[temperatura_srednia]]&lt;=15,pogoda4[[#This Row],[opady]]&gt;0.61),0,pogoda4[[#This Row],[temperatura_srednia]]&gt;30,24000,pogoda4[[#This Row],[temperatura_srednia]]&gt;15,12000)</f>
        <v>12000</v>
      </c>
      <c r="J130">
        <f>IF(pogoda4[[#This Row],[stan_po_dolaniu]]&lt;pogoda4[[#This Row],[ile_podlewamy]],$AB$2-pogoda4[[#This Row],[stan_po_dolaniu]],0)</f>
        <v>24484</v>
      </c>
      <c r="K130">
        <f>pogoda4[[#This Row],[stan_po_dolaniu]]+pogoda4[[#This Row],[ile_dolać_do_podlania]]</f>
        <v>25000</v>
      </c>
      <c r="L130">
        <f>pogoda4[[#This Row],[stan_po_dolaniu_do_podlania]]-pogoda4[[#This Row],[ile_podlewamy]]</f>
        <v>13000</v>
      </c>
    </row>
    <row r="131" spans="1:12" x14ac:dyDescent="0.25">
      <c r="A131" s="2">
        <v>42224</v>
      </c>
      <c r="B131">
        <v>28</v>
      </c>
      <c r="C131">
        <v>0</v>
      </c>
      <c r="D131">
        <f t="shared" si="1"/>
        <v>13000</v>
      </c>
      <c r="E131">
        <f>IF(C131=0,ROUNDUP($AB$3*POWER(pogoda4[[#This Row],[temperatura_srednia]],1.5)*pogoda4[[#This Row],[stan_przed_dolaniem]],0),0)</f>
        <v>578</v>
      </c>
      <c r="F131">
        <f>pogoda4[[#This Row],[stan_przed_dolaniem]]-pogoda4[[#This Row],[ubytek]]</f>
        <v>12422</v>
      </c>
      <c r="G131">
        <f>IF(pogoda4[[#This Row],[opady]]*$AB$1+D131&gt;$AB$2,$AB$2-pogoda4[[#This Row],[stan_przed_dolaniem]],pogoda4[[#This Row],[opady]]*$AB$1)</f>
        <v>0</v>
      </c>
      <c r="H131">
        <f>pogoda4[[#This Row],[stan_po_ubytku]]+pogoda4[[#This Row],[ile_pogoda_dolała]]</f>
        <v>12422</v>
      </c>
      <c r="I131" cm="1">
        <f t="array" ref="I131">_xlfn.IFS(OR(pogoda4[[#This Row],[temperatura_srednia]]&lt;=15,pogoda4[[#This Row],[opady]]&gt;0.61),0,pogoda4[[#This Row],[temperatura_srednia]]&gt;30,24000,pogoda4[[#This Row],[temperatura_srednia]]&gt;15,12000)</f>
        <v>12000</v>
      </c>
      <c r="J131">
        <f>IF(pogoda4[[#This Row],[stan_po_dolaniu]]&lt;pogoda4[[#This Row],[ile_podlewamy]],$AB$2-pogoda4[[#This Row],[stan_po_dolaniu]],0)</f>
        <v>0</v>
      </c>
      <c r="K131">
        <f>pogoda4[[#This Row],[stan_po_dolaniu]]+pogoda4[[#This Row],[ile_dolać_do_podlania]]</f>
        <v>12422</v>
      </c>
      <c r="L131">
        <f>pogoda4[[#This Row],[stan_po_dolaniu_do_podlania]]-pogoda4[[#This Row],[ile_podlewamy]]</f>
        <v>422</v>
      </c>
    </row>
    <row r="132" spans="1:12" x14ac:dyDescent="0.25">
      <c r="A132" s="2">
        <v>42225</v>
      </c>
      <c r="B132">
        <v>24</v>
      </c>
      <c r="C132">
        <v>0</v>
      </c>
      <c r="D132">
        <f t="shared" ref="D132:D184" si="2">L131</f>
        <v>422</v>
      </c>
      <c r="E132">
        <f>IF(C132=0,ROUNDUP($AB$3*POWER(pogoda4[[#This Row],[temperatura_srednia]],1.5)*pogoda4[[#This Row],[stan_przed_dolaniem]],0),0)</f>
        <v>15</v>
      </c>
      <c r="F132">
        <f>pogoda4[[#This Row],[stan_przed_dolaniem]]-pogoda4[[#This Row],[ubytek]]</f>
        <v>407</v>
      </c>
      <c r="G132">
        <f>IF(pogoda4[[#This Row],[opady]]*$AB$1+D132&gt;$AB$2,$AB$2-pogoda4[[#This Row],[stan_przed_dolaniem]],pogoda4[[#This Row],[opady]]*$AB$1)</f>
        <v>0</v>
      </c>
      <c r="H132">
        <f>pogoda4[[#This Row],[stan_po_ubytku]]+pogoda4[[#This Row],[ile_pogoda_dolała]]</f>
        <v>407</v>
      </c>
      <c r="I132" cm="1">
        <f t="array" ref="I132">_xlfn.IFS(OR(pogoda4[[#This Row],[temperatura_srednia]]&lt;=15,pogoda4[[#This Row],[opady]]&gt;0.61),0,pogoda4[[#This Row],[temperatura_srednia]]&gt;30,24000,pogoda4[[#This Row],[temperatura_srednia]]&gt;15,12000)</f>
        <v>12000</v>
      </c>
      <c r="J132">
        <f>IF(pogoda4[[#This Row],[stan_po_dolaniu]]&lt;pogoda4[[#This Row],[ile_podlewamy]],$AB$2-pogoda4[[#This Row],[stan_po_dolaniu]],0)</f>
        <v>24593</v>
      </c>
      <c r="K132">
        <f>pogoda4[[#This Row],[stan_po_dolaniu]]+pogoda4[[#This Row],[ile_dolać_do_podlania]]</f>
        <v>25000</v>
      </c>
      <c r="L132">
        <f>pogoda4[[#This Row],[stan_po_dolaniu_do_podlania]]-pogoda4[[#This Row],[ile_podlewamy]]</f>
        <v>13000</v>
      </c>
    </row>
    <row r="133" spans="1:12" x14ac:dyDescent="0.25">
      <c r="A133" s="2">
        <v>42226</v>
      </c>
      <c r="B133">
        <v>24</v>
      </c>
      <c r="C133">
        <v>0</v>
      </c>
      <c r="D133">
        <f t="shared" si="2"/>
        <v>13000</v>
      </c>
      <c r="E133">
        <f>IF(C133=0,ROUNDUP($AB$3*POWER(pogoda4[[#This Row],[temperatura_srednia]],1.5)*pogoda4[[#This Row],[stan_przed_dolaniem]],0),0)</f>
        <v>459</v>
      </c>
      <c r="F133">
        <f>pogoda4[[#This Row],[stan_przed_dolaniem]]-pogoda4[[#This Row],[ubytek]]</f>
        <v>12541</v>
      </c>
      <c r="G133">
        <f>IF(pogoda4[[#This Row],[opady]]*$AB$1+D133&gt;$AB$2,$AB$2-pogoda4[[#This Row],[stan_przed_dolaniem]],pogoda4[[#This Row],[opady]]*$AB$1)</f>
        <v>0</v>
      </c>
      <c r="H133">
        <f>pogoda4[[#This Row],[stan_po_ubytku]]+pogoda4[[#This Row],[ile_pogoda_dolała]]</f>
        <v>12541</v>
      </c>
      <c r="I133" cm="1">
        <f t="array" ref="I133">_xlfn.IFS(OR(pogoda4[[#This Row],[temperatura_srednia]]&lt;=15,pogoda4[[#This Row],[opady]]&gt;0.61),0,pogoda4[[#This Row],[temperatura_srednia]]&gt;30,24000,pogoda4[[#This Row],[temperatura_srednia]]&gt;15,12000)</f>
        <v>12000</v>
      </c>
      <c r="J133">
        <f>IF(pogoda4[[#This Row],[stan_po_dolaniu]]&lt;pogoda4[[#This Row],[ile_podlewamy]],$AB$2-pogoda4[[#This Row],[stan_po_dolaniu]],0)</f>
        <v>0</v>
      </c>
      <c r="K133">
        <f>pogoda4[[#This Row],[stan_po_dolaniu]]+pogoda4[[#This Row],[ile_dolać_do_podlania]]</f>
        <v>12541</v>
      </c>
      <c r="L133">
        <f>pogoda4[[#This Row],[stan_po_dolaniu_do_podlania]]-pogoda4[[#This Row],[ile_podlewamy]]</f>
        <v>541</v>
      </c>
    </row>
    <row r="134" spans="1:12" x14ac:dyDescent="0.25">
      <c r="A134" s="2">
        <v>42227</v>
      </c>
      <c r="B134">
        <v>26</v>
      </c>
      <c r="C134">
        <v>0</v>
      </c>
      <c r="D134">
        <f t="shared" si="2"/>
        <v>541</v>
      </c>
      <c r="E134">
        <f>IF(C134=0,ROUNDUP($AB$3*POWER(pogoda4[[#This Row],[temperatura_srednia]],1.5)*pogoda4[[#This Row],[stan_przed_dolaniem]],0),0)</f>
        <v>22</v>
      </c>
      <c r="F134">
        <f>pogoda4[[#This Row],[stan_przed_dolaniem]]-pogoda4[[#This Row],[ubytek]]</f>
        <v>519</v>
      </c>
      <c r="G134">
        <f>IF(pogoda4[[#This Row],[opady]]*$AB$1+D134&gt;$AB$2,$AB$2-pogoda4[[#This Row],[stan_przed_dolaniem]],pogoda4[[#This Row],[opady]]*$AB$1)</f>
        <v>0</v>
      </c>
      <c r="H134">
        <f>pogoda4[[#This Row],[stan_po_ubytku]]+pogoda4[[#This Row],[ile_pogoda_dolała]]</f>
        <v>519</v>
      </c>
      <c r="I134" cm="1">
        <f t="array" ref="I134">_xlfn.IFS(OR(pogoda4[[#This Row],[temperatura_srednia]]&lt;=15,pogoda4[[#This Row],[opady]]&gt;0.61),0,pogoda4[[#This Row],[temperatura_srednia]]&gt;30,24000,pogoda4[[#This Row],[temperatura_srednia]]&gt;15,12000)</f>
        <v>12000</v>
      </c>
      <c r="J134">
        <f>IF(pogoda4[[#This Row],[stan_po_dolaniu]]&lt;pogoda4[[#This Row],[ile_podlewamy]],$AB$2-pogoda4[[#This Row],[stan_po_dolaniu]],0)</f>
        <v>24481</v>
      </c>
      <c r="K134">
        <f>pogoda4[[#This Row],[stan_po_dolaniu]]+pogoda4[[#This Row],[ile_dolać_do_podlania]]</f>
        <v>25000</v>
      </c>
      <c r="L134">
        <f>pogoda4[[#This Row],[stan_po_dolaniu_do_podlania]]-pogoda4[[#This Row],[ile_podlewamy]]</f>
        <v>13000</v>
      </c>
    </row>
    <row r="135" spans="1:12" x14ac:dyDescent="0.25">
      <c r="A135" s="2">
        <v>42228</v>
      </c>
      <c r="B135">
        <v>32</v>
      </c>
      <c r="C135">
        <v>0.6</v>
      </c>
      <c r="D135">
        <f t="shared" si="2"/>
        <v>13000</v>
      </c>
      <c r="E135">
        <f>IF(C135=0,ROUNDUP($AB$3*POWER(pogoda4[[#This Row],[temperatura_srednia]],1.5)*pogoda4[[#This Row],[stan_przed_dolaniem]],0),0)</f>
        <v>0</v>
      </c>
      <c r="F135">
        <f>pogoda4[[#This Row],[stan_przed_dolaniem]]-pogoda4[[#This Row],[ubytek]]</f>
        <v>13000</v>
      </c>
      <c r="G135">
        <f>IF(pogoda4[[#This Row],[opady]]*$AB$1+D135&gt;$AB$2,$AB$2-pogoda4[[#This Row],[stan_przed_dolaniem]],pogoda4[[#This Row],[opady]]*$AB$1)</f>
        <v>420</v>
      </c>
      <c r="H135">
        <f>pogoda4[[#This Row],[stan_po_ubytku]]+pogoda4[[#This Row],[ile_pogoda_dolała]]</f>
        <v>13420</v>
      </c>
      <c r="I135" cm="1">
        <f t="array" ref="I135">_xlfn.IFS(OR(pogoda4[[#This Row],[temperatura_srednia]]&lt;=15,pogoda4[[#This Row],[opady]]&gt;0.61),0,pogoda4[[#This Row],[temperatura_srednia]]&gt;30,24000,pogoda4[[#This Row],[temperatura_srednia]]&gt;15,12000)</f>
        <v>24000</v>
      </c>
      <c r="J135">
        <f>IF(pogoda4[[#This Row],[stan_po_dolaniu]]&lt;pogoda4[[#This Row],[ile_podlewamy]],$AB$2-pogoda4[[#This Row],[stan_po_dolaniu]],0)</f>
        <v>11580</v>
      </c>
      <c r="K135">
        <f>pogoda4[[#This Row],[stan_po_dolaniu]]+pogoda4[[#This Row],[ile_dolać_do_podlania]]</f>
        <v>25000</v>
      </c>
      <c r="L135">
        <f>pogoda4[[#This Row],[stan_po_dolaniu_do_podlania]]-pogoda4[[#This Row],[ile_podlewamy]]</f>
        <v>1000</v>
      </c>
    </row>
    <row r="136" spans="1:12" x14ac:dyDescent="0.25">
      <c r="A136" s="2">
        <v>42229</v>
      </c>
      <c r="B136">
        <v>31</v>
      </c>
      <c r="C136">
        <v>0.1</v>
      </c>
      <c r="D136">
        <f t="shared" si="2"/>
        <v>1000</v>
      </c>
      <c r="E136">
        <f>IF(C136=0,ROUNDUP($AB$3*POWER(pogoda4[[#This Row],[temperatura_srednia]],1.5)*pogoda4[[#This Row],[stan_przed_dolaniem]],0),0)</f>
        <v>0</v>
      </c>
      <c r="F136">
        <f>pogoda4[[#This Row],[stan_przed_dolaniem]]-pogoda4[[#This Row],[ubytek]]</f>
        <v>1000</v>
      </c>
      <c r="G136">
        <f>IF(pogoda4[[#This Row],[opady]]*$AB$1+D136&gt;$AB$2,$AB$2-pogoda4[[#This Row],[stan_przed_dolaniem]],pogoda4[[#This Row],[opady]]*$AB$1)</f>
        <v>70</v>
      </c>
      <c r="H136">
        <f>pogoda4[[#This Row],[stan_po_ubytku]]+pogoda4[[#This Row],[ile_pogoda_dolała]]</f>
        <v>1070</v>
      </c>
      <c r="I136" cm="1">
        <f t="array" ref="I136">_xlfn.IFS(OR(pogoda4[[#This Row],[temperatura_srednia]]&lt;=15,pogoda4[[#This Row],[opady]]&gt;0.61),0,pogoda4[[#This Row],[temperatura_srednia]]&gt;30,24000,pogoda4[[#This Row],[temperatura_srednia]]&gt;15,12000)</f>
        <v>24000</v>
      </c>
      <c r="J136">
        <f>IF(pogoda4[[#This Row],[stan_po_dolaniu]]&lt;pogoda4[[#This Row],[ile_podlewamy]],$AB$2-pogoda4[[#This Row],[stan_po_dolaniu]],0)</f>
        <v>23930</v>
      </c>
      <c r="K136">
        <f>pogoda4[[#This Row],[stan_po_dolaniu]]+pogoda4[[#This Row],[ile_dolać_do_podlania]]</f>
        <v>25000</v>
      </c>
      <c r="L136">
        <f>pogoda4[[#This Row],[stan_po_dolaniu_do_podlania]]-pogoda4[[#This Row],[ile_podlewamy]]</f>
        <v>1000</v>
      </c>
    </row>
    <row r="137" spans="1:12" x14ac:dyDescent="0.25">
      <c r="A137" s="2">
        <v>42230</v>
      </c>
      <c r="B137">
        <v>33</v>
      </c>
      <c r="C137">
        <v>0</v>
      </c>
      <c r="D137">
        <f t="shared" si="2"/>
        <v>1000</v>
      </c>
      <c r="E137">
        <f>IF(C137=0,ROUNDUP($AB$3*POWER(pogoda4[[#This Row],[temperatura_srednia]],1.5)*pogoda4[[#This Row],[stan_przed_dolaniem]],0),0)</f>
        <v>57</v>
      </c>
      <c r="F137">
        <f>pogoda4[[#This Row],[stan_przed_dolaniem]]-pogoda4[[#This Row],[ubytek]]</f>
        <v>943</v>
      </c>
      <c r="G137">
        <f>IF(pogoda4[[#This Row],[opady]]*$AB$1+D137&gt;$AB$2,$AB$2-pogoda4[[#This Row],[stan_przed_dolaniem]],pogoda4[[#This Row],[opady]]*$AB$1)</f>
        <v>0</v>
      </c>
      <c r="H137">
        <f>pogoda4[[#This Row],[stan_po_ubytku]]+pogoda4[[#This Row],[ile_pogoda_dolała]]</f>
        <v>943</v>
      </c>
      <c r="I137" cm="1">
        <f t="array" ref="I137">_xlfn.IFS(OR(pogoda4[[#This Row],[temperatura_srednia]]&lt;=15,pogoda4[[#This Row],[opady]]&gt;0.61),0,pogoda4[[#This Row],[temperatura_srednia]]&gt;30,24000,pogoda4[[#This Row],[temperatura_srednia]]&gt;15,12000)</f>
        <v>24000</v>
      </c>
      <c r="J137">
        <f>IF(pogoda4[[#This Row],[stan_po_dolaniu]]&lt;pogoda4[[#This Row],[ile_podlewamy]],$AB$2-pogoda4[[#This Row],[stan_po_dolaniu]],0)</f>
        <v>24057</v>
      </c>
      <c r="K137">
        <f>pogoda4[[#This Row],[stan_po_dolaniu]]+pogoda4[[#This Row],[ile_dolać_do_podlania]]</f>
        <v>25000</v>
      </c>
      <c r="L137">
        <f>pogoda4[[#This Row],[stan_po_dolaniu_do_podlania]]-pogoda4[[#This Row],[ile_podlewamy]]</f>
        <v>1000</v>
      </c>
    </row>
    <row r="138" spans="1:12" x14ac:dyDescent="0.25">
      <c r="A138" s="2">
        <v>42231</v>
      </c>
      <c r="B138">
        <v>31</v>
      </c>
      <c r="C138">
        <v>12</v>
      </c>
      <c r="D138">
        <f t="shared" si="2"/>
        <v>1000</v>
      </c>
      <c r="E138">
        <f>IF(C138=0,ROUNDUP($AB$3*POWER(pogoda4[[#This Row],[temperatura_srednia]],1.5)*pogoda4[[#This Row],[stan_przed_dolaniem]],0),0)</f>
        <v>0</v>
      </c>
      <c r="F138">
        <f>pogoda4[[#This Row],[stan_przed_dolaniem]]-pogoda4[[#This Row],[ubytek]]</f>
        <v>1000</v>
      </c>
      <c r="G138">
        <f>IF(pogoda4[[#This Row],[opady]]*$AB$1+D138&gt;$AB$2,$AB$2-pogoda4[[#This Row],[stan_przed_dolaniem]],pogoda4[[#This Row],[opady]]*$AB$1)</f>
        <v>8400</v>
      </c>
      <c r="H138">
        <f>pogoda4[[#This Row],[stan_po_ubytku]]+pogoda4[[#This Row],[ile_pogoda_dolała]]</f>
        <v>9400</v>
      </c>
      <c r="I138" cm="1">
        <f t="array" ref="I138">_xlfn.IFS(OR(pogoda4[[#This Row],[temperatura_srednia]]&lt;=15,pogoda4[[#This Row],[opady]]&gt;0.61),0,pogoda4[[#This Row],[temperatura_srednia]]&gt;30,24000,pogoda4[[#This Row],[temperatura_srednia]]&gt;15,12000)</f>
        <v>0</v>
      </c>
      <c r="J138">
        <f>IF(pogoda4[[#This Row],[stan_po_dolaniu]]&lt;pogoda4[[#This Row],[ile_podlewamy]],$AB$2-pogoda4[[#This Row],[stan_po_dolaniu]],0)</f>
        <v>0</v>
      </c>
      <c r="K138">
        <f>pogoda4[[#This Row],[stan_po_dolaniu]]+pogoda4[[#This Row],[ile_dolać_do_podlania]]</f>
        <v>9400</v>
      </c>
      <c r="L138">
        <f>pogoda4[[#This Row],[stan_po_dolaniu_do_podlania]]-pogoda4[[#This Row],[ile_podlewamy]]</f>
        <v>9400</v>
      </c>
    </row>
    <row r="139" spans="1:12" x14ac:dyDescent="0.25">
      <c r="A139" s="2">
        <v>42232</v>
      </c>
      <c r="B139">
        <v>22</v>
      </c>
      <c r="C139">
        <v>0</v>
      </c>
      <c r="D139">
        <f t="shared" si="2"/>
        <v>9400</v>
      </c>
      <c r="E139">
        <f>IF(C139=0,ROUNDUP($AB$3*POWER(pogoda4[[#This Row],[temperatura_srednia]],1.5)*pogoda4[[#This Row],[stan_przed_dolaniem]],0),0)</f>
        <v>291</v>
      </c>
      <c r="F139">
        <f>pogoda4[[#This Row],[stan_przed_dolaniem]]-pogoda4[[#This Row],[ubytek]]</f>
        <v>9109</v>
      </c>
      <c r="G139">
        <f>IF(pogoda4[[#This Row],[opady]]*$AB$1+D139&gt;$AB$2,$AB$2-pogoda4[[#This Row],[stan_przed_dolaniem]],pogoda4[[#This Row],[opady]]*$AB$1)</f>
        <v>0</v>
      </c>
      <c r="H139">
        <f>pogoda4[[#This Row],[stan_po_ubytku]]+pogoda4[[#This Row],[ile_pogoda_dolała]]</f>
        <v>9109</v>
      </c>
      <c r="I139" cm="1">
        <f t="array" ref="I139">_xlfn.IFS(OR(pogoda4[[#This Row],[temperatura_srednia]]&lt;=15,pogoda4[[#This Row],[opady]]&gt;0.61),0,pogoda4[[#This Row],[temperatura_srednia]]&gt;30,24000,pogoda4[[#This Row],[temperatura_srednia]]&gt;15,12000)</f>
        <v>12000</v>
      </c>
      <c r="J139">
        <f>IF(pogoda4[[#This Row],[stan_po_dolaniu]]&lt;pogoda4[[#This Row],[ile_podlewamy]],$AB$2-pogoda4[[#This Row],[stan_po_dolaniu]],0)</f>
        <v>15891</v>
      </c>
      <c r="K139">
        <f>pogoda4[[#This Row],[stan_po_dolaniu]]+pogoda4[[#This Row],[ile_dolać_do_podlania]]</f>
        <v>25000</v>
      </c>
      <c r="L139">
        <f>pogoda4[[#This Row],[stan_po_dolaniu_do_podlania]]-pogoda4[[#This Row],[ile_podlewamy]]</f>
        <v>13000</v>
      </c>
    </row>
    <row r="140" spans="1:12" x14ac:dyDescent="0.25">
      <c r="A140" s="2">
        <v>42233</v>
      </c>
      <c r="B140">
        <v>24</v>
      </c>
      <c r="C140">
        <v>0.2</v>
      </c>
      <c r="D140">
        <f t="shared" si="2"/>
        <v>13000</v>
      </c>
      <c r="E140">
        <f>IF(C140=0,ROUNDUP($AB$3*POWER(pogoda4[[#This Row],[temperatura_srednia]],1.5)*pogoda4[[#This Row],[stan_przed_dolaniem]],0),0)</f>
        <v>0</v>
      </c>
      <c r="F140">
        <f>pogoda4[[#This Row],[stan_przed_dolaniem]]-pogoda4[[#This Row],[ubytek]]</f>
        <v>13000</v>
      </c>
      <c r="G140">
        <f>IF(pogoda4[[#This Row],[opady]]*$AB$1+D140&gt;$AB$2,$AB$2-pogoda4[[#This Row],[stan_przed_dolaniem]],pogoda4[[#This Row],[opady]]*$AB$1)</f>
        <v>140</v>
      </c>
      <c r="H140">
        <f>pogoda4[[#This Row],[stan_po_ubytku]]+pogoda4[[#This Row],[ile_pogoda_dolała]]</f>
        <v>13140</v>
      </c>
      <c r="I140" cm="1">
        <f t="array" ref="I140">_xlfn.IFS(OR(pogoda4[[#This Row],[temperatura_srednia]]&lt;=15,pogoda4[[#This Row],[opady]]&gt;0.61),0,pogoda4[[#This Row],[temperatura_srednia]]&gt;30,24000,pogoda4[[#This Row],[temperatura_srednia]]&gt;15,12000)</f>
        <v>12000</v>
      </c>
      <c r="J140">
        <f>IF(pogoda4[[#This Row],[stan_po_dolaniu]]&lt;pogoda4[[#This Row],[ile_podlewamy]],$AB$2-pogoda4[[#This Row],[stan_po_dolaniu]],0)</f>
        <v>0</v>
      </c>
      <c r="K140">
        <f>pogoda4[[#This Row],[stan_po_dolaniu]]+pogoda4[[#This Row],[ile_dolać_do_podlania]]</f>
        <v>13140</v>
      </c>
      <c r="L140">
        <f>pogoda4[[#This Row],[stan_po_dolaniu_do_podlania]]-pogoda4[[#This Row],[ile_podlewamy]]</f>
        <v>1140</v>
      </c>
    </row>
    <row r="141" spans="1:12" x14ac:dyDescent="0.25">
      <c r="A141" s="2">
        <v>42234</v>
      </c>
      <c r="B141">
        <v>22</v>
      </c>
      <c r="C141">
        <v>0</v>
      </c>
      <c r="D141">
        <f t="shared" si="2"/>
        <v>1140</v>
      </c>
      <c r="E141">
        <f>IF(C141=0,ROUNDUP($AB$3*POWER(pogoda4[[#This Row],[temperatura_srednia]],1.5)*pogoda4[[#This Row],[stan_przed_dolaniem]],0),0)</f>
        <v>36</v>
      </c>
      <c r="F141">
        <f>pogoda4[[#This Row],[stan_przed_dolaniem]]-pogoda4[[#This Row],[ubytek]]</f>
        <v>1104</v>
      </c>
      <c r="G141">
        <f>IF(pogoda4[[#This Row],[opady]]*$AB$1+D141&gt;$AB$2,$AB$2-pogoda4[[#This Row],[stan_przed_dolaniem]],pogoda4[[#This Row],[opady]]*$AB$1)</f>
        <v>0</v>
      </c>
      <c r="H141">
        <f>pogoda4[[#This Row],[stan_po_ubytku]]+pogoda4[[#This Row],[ile_pogoda_dolała]]</f>
        <v>1104</v>
      </c>
      <c r="I141" cm="1">
        <f t="array" ref="I141">_xlfn.IFS(OR(pogoda4[[#This Row],[temperatura_srednia]]&lt;=15,pogoda4[[#This Row],[opady]]&gt;0.61),0,pogoda4[[#This Row],[temperatura_srednia]]&gt;30,24000,pogoda4[[#This Row],[temperatura_srednia]]&gt;15,12000)</f>
        <v>12000</v>
      </c>
      <c r="J141">
        <f>IF(pogoda4[[#This Row],[stan_po_dolaniu]]&lt;pogoda4[[#This Row],[ile_podlewamy]],$AB$2-pogoda4[[#This Row],[stan_po_dolaniu]],0)</f>
        <v>23896</v>
      </c>
      <c r="K141">
        <f>pogoda4[[#This Row],[stan_po_dolaniu]]+pogoda4[[#This Row],[ile_dolać_do_podlania]]</f>
        <v>25000</v>
      </c>
      <c r="L141">
        <f>pogoda4[[#This Row],[stan_po_dolaniu_do_podlania]]-pogoda4[[#This Row],[ile_podlewamy]]</f>
        <v>13000</v>
      </c>
    </row>
    <row r="142" spans="1:12" x14ac:dyDescent="0.25">
      <c r="A142" s="2">
        <v>42235</v>
      </c>
      <c r="B142">
        <v>19</v>
      </c>
      <c r="C142">
        <v>0</v>
      </c>
      <c r="D142">
        <f t="shared" si="2"/>
        <v>13000</v>
      </c>
      <c r="E142">
        <f>IF(C142=0,ROUNDUP($AB$3*POWER(pogoda4[[#This Row],[temperatura_srednia]],1.5)*pogoda4[[#This Row],[stan_przed_dolaniem]],0),0)</f>
        <v>323</v>
      </c>
      <c r="F142">
        <f>pogoda4[[#This Row],[stan_przed_dolaniem]]-pogoda4[[#This Row],[ubytek]]</f>
        <v>12677</v>
      </c>
      <c r="G142">
        <f>IF(pogoda4[[#This Row],[opady]]*$AB$1+D142&gt;$AB$2,$AB$2-pogoda4[[#This Row],[stan_przed_dolaniem]],pogoda4[[#This Row],[opady]]*$AB$1)</f>
        <v>0</v>
      </c>
      <c r="H142">
        <f>pogoda4[[#This Row],[stan_po_ubytku]]+pogoda4[[#This Row],[ile_pogoda_dolała]]</f>
        <v>12677</v>
      </c>
      <c r="I142" cm="1">
        <f t="array" ref="I142">_xlfn.IFS(OR(pogoda4[[#This Row],[temperatura_srednia]]&lt;=15,pogoda4[[#This Row],[opady]]&gt;0.61),0,pogoda4[[#This Row],[temperatura_srednia]]&gt;30,24000,pogoda4[[#This Row],[temperatura_srednia]]&gt;15,12000)</f>
        <v>12000</v>
      </c>
      <c r="J142">
        <f>IF(pogoda4[[#This Row],[stan_po_dolaniu]]&lt;pogoda4[[#This Row],[ile_podlewamy]],$AB$2-pogoda4[[#This Row],[stan_po_dolaniu]],0)</f>
        <v>0</v>
      </c>
      <c r="K142">
        <f>pogoda4[[#This Row],[stan_po_dolaniu]]+pogoda4[[#This Row],[ile_dolać_do_podlania]]</f>
        <v>12677</v>
      </c>
      <c r="L142">
        <f>pogoda4[[#This Row],[stan_po_dolaniu_do_podlania]]-pogoda4[[#This Row],[ile_podlewamy]]</f>
        <v>677</v>
      </c>
    </row>
    <row r="143" spans="1:12" x14ac:dyDescent="0.25">
      <c r="A143" s="2">
        <v>42236</v>
      </c>
      <c r="B143">
        <v>18</v>
      </c>
      <c r="C143">
        <v>0</v>
      </c>
      <c r="D143">
        <f t="shared" si="2"/>
        <v>677</v>
      </c>
      <c r="E143">
        <f>IF(C143=0,ROUNDUP($AB$3*POWER(pogoda4[[#This Row],[temperatura_srednia]],1.5)*pogoda4[[#This Row],[stan_przed_dolaniem]],0),0)</f>
        <v>16</v>
      </c>
      <c r="F143">
        <f>pogoda4[[#This Row],[stan_przed_dolaniem]]-pogoda4[[#This Row],[ubytek]]</f>
        <v>661</v>
      </c>
      <c r="G143">
        <f>IF(pogoda4[[#This Row],[opady]]*$AB$1+D143&gt;$AB$2,$AB$2-pogoda4[[#This Row],[stan_przed_dolaniem]],pogoda4[[#This Row],[opady]]*$AB$1)</f>
        <v>0</v>
      </c>
      <c r="H143">
        <f>pogoda4[[#This Row],[stan_po_ubytku]]+pogoda4[[#This Row],[ile_pogoda_dolała]]</f>
        <v>661</v>
      </c>
      <c r="I143" cm="1">
        <f t="array" ref="I143">_xlfn.IFS(OR(pogoda4[[#This Row],[temperatura_srednia]]&lt;=15,pogoda4[[#This Row],[opady]]&gt;0.61),0,pogoda4[[#This Row],[temperatura_srednia]]&gt;30,24000,pogoda4[[#This Row],[temperatura_srednia]]&gt;15,12000)</f>
        <v>12000</v>
      </c>
      <c r="J143">
        <f>IF(pogoda4[[#This Row],[stan_po_dolaniu]]&lt;pogoda4[[#This Row],[ile_podlewamy]],$AB$2-pogoda4[[#This Row],[stan_po_dolaniu]],0)</f>
        <v>24339</v>
      </c>
      <c r="K143">
        <f>pogoda4[[#This Row],[stan_po_dolaniu]]+pogoda4[[#This Row],[ile_dolać_do_podlania]]</f>
        <v>25000</v>
      </c>
      <c r="L143">
        <f>pogoda4[[#This Row],[stan_po_dolaniu_do_podlania]]-pogoda4[[#This Row],[ile_podlewamy]]</f>
        <v>13000</v>
      </c>
    </row>
    <row r="144" spans="1:12" x14ac:dyDescent="0.25">
      <c r="A144" s="2">
        <v>42237</v>
      </c>
      <c r="B144">
        <v>18</v>
      </c>
      <c r="C144">
        <v>0</v>
      </c>
      <c r="D144">
        <f t="shared" si="2"/>
        <v>13000</v>
      </c>
      <c r="E144">
        <f>IF(C144=0,ROUNDUP($AB$3*POWER(pogoda4[[#This Row],[temperatura_srednia]],1.5)*pogoda4[[#This Row],[stan_przed_dolaniem]],0),0)</f>
        <v>298</v>
      </c>
      <c r="F144">
        <f>pogoda4[[#This Row],[stan_przed_dolaniem]]-pogoda4[[#This Row],[ubytek]]</f>
        <v>12702</v>
      </c>
      <c r="G144">
        <f>IF(pogoda4[[#This Row],[opady]]*$AB$1+D144&gt;$AB$2,$AB$2-pogoda4[[#This Row],[stan_przed_dolaniem]],pogoda4[[#This Row],[opady]]*$AB$1)</f>
        <v>0</v>
      </c>
      <c r="H144">
        <f>pogoda4[[#This Row],[stan_po_ubytku]]+pogoda4[[#This Row],[ile_pogoda_dolała]]</f>
        <v>12702</v>
      </c>
      <c r="I144" cm="1">
        <f t="array" ref="I144">_xlfn.IFS(OR(pogoda4[[#This Row],[temperatura_srednia]]&lt;=15,pogoda4[[#This Row],[opady]]&gt;0.61),0,pogoda4[[#This Row],[temperatura_srednia]]&gt;30,24000,pogoda4[[#This Row],[temperatura_srednia]]&gt;15,12000)</f>
        <v>12000</v>
      </c>
      <c r="J144">
        <f>IF(pogoda4[[#This Row],[stan_po_dolaniu]]&lt;pogoda4[[#This Row],[ile_podlewamy]],$AB$2-pogoda4[[#This Row],[stan_po_dolaniu]],0)</f>
        <v>0</v>
      </c>
      <c r="K144">
        <f>pogoda4[[#This Row],[stan_po_dolaniu]]+pogoda4[[#This Row],[ile_dolać_do_podlania]]</f>
        <v>12702</v>
      </c>
      <c r="L144">
        <f>pogoda4[[#This Row],[stan_po_dolaniu_do_podlania]]-pogoda4[[#This Row],[ile_podlewamy]]</f>
        <v>702</v>
      </c>
    </row>
    <row r="145" spans="1:12" x14ac:dyDescent="0.25">
      <c r="A145" s="2">
        <v>42238</v>
      </c>
      <c r="B145">
        <v>18</v>
      </c>
      <c r="C145">
        <v>0</v>
      </c>
      <c r="D145">
        <f t="shared" si="2"/>
        <v>702</v>
      </c>
      <c r="E145">
        <f>IF(C145=0,ROUNDUP($AB$3*POWER(pogoda4[[#This Row],[temperatura_srednia]],1.5)*pogoda4[[#This Row],[stan_przed_dolaniem]],0),0)</f>
        <v>17</v>
      </c>
      <c r="F145">
        <f>pogoda4[[#This Row],[stan_przed_dolaniem]]-pogoda4[[#This Row],[ubytek]]</f>
        <v>685</v>
      </c>
      <c r="G145">
        <f>IF(pogoda4[[#This Row],[opady]]*$AB$1+D145&gt;$AB$2,$AB$2-pogoda4[[#This Row],[stan_przed_dolaniem]],pogoda4[[#This Row],[opady]]*$AB$1)</f>
        <v>0</v>
      </c>
      <c r="H145">
        <f>pogoda4[[#This Row],[stan_po_ubytku]]+pogoda4[[#This Row],[ile_pogoda_dolała]]</f>
        <v>685</v>
      </c>
      <c r="I145" cm="1">
        <f t="array" ref="I145">_xlfn.IFS(OR(pogoda4[[#This Row],[temperatura_srednia]]&lt;=15,pogoda4[[#This Row],[opady]]&gt;0.61),0,pogoda4[[#This Row],[temperatura_srednia]]&gt;30,24000,pogoda4[[#This Row],[temperatura_srednia]]&gt;15,12000)</f>
        <v>12000</v>
      </c>
      <c r="J145">
        <f>IF(pogoda4[[#This Row],[stan_po_dolaniu]]&lt;pogoda4[[#This Row],[ile_podlewamy]],$AB$2-pogoda4[[#This Row],[stan_po_dolaniu]],0)</f>
        <v>24315</v>
      </c>
      <c r="K145">
        <f>pogoda4[[#This Row],[stan_po_dolaniu]]+pogoda4[[#This Row],[ile_dolać_do_podlania]]</f>
        <v>25000</v>
      </c>
      <c r="L145">
        <f>pogoda4[[#This Row],[stan_po_dolaniu_do_podlania]]-pogoda4[[#This Row],[ile_podlewamy]]</f>
        <v>13000</v>
      </c>
    </row>
    <row r="146" spans="1:12" x14ac:dyDescent="0.25">
      <c r="A146" s="2">
        <v>42239</v>
      </c>
      <c r="B146">
        <v>19</v>
      </c>
      <c r="C146">
        <v>0</v>
      </c>
      <c r="D146">
        <f t="shared" si="2"/>
        <v>13000</v>
      </c>
      <c r="E146">
        <f>IF(C146=0,ROUNDUP($AB$3*POWER(pogoda4[[#This Row],[temperatura_srednia]],1.5)*pogoda4[[#This Row],[stan_przed_dolaniem]],0),0)</f>
        <v>323</v>
      </c>
      <c r="F146">
        <f>pogoda4[[#This Row],[stan_przed_dolaniem]]-pogoda4[[#This Row],[ubytek]]</f>
        <v>12677</v>
      </c>
      <c r="G146">
        <f>IF(pogoda4[[#This Row],[opady]]*$AB$1+D146&gt;$AB$2,$AB$2-pogoda4[[#This Row],[stan_przed_dolaniem]],pogoda4[[#This Row],[opady]]*$AB$1)</f>
        <v>0</v>
      </c>
      <c r="H146">
        <f>pogoda4[[#This Row],[stan_po_ubytku]]+pogoda4[[#This Row],[ile_pogoda_dolała]]</f>
        <v>12677</v>
      </c>
      <c r="I146" cm="1">
        <f t="array" ref="I146">_xlfn.IFS(OR(pogoda4[[#This Row],[temperatura_srednia]]&lt;=15,pogoda4[[#This Row],[opady]]&gt;0.61),0,pogoda4[[#This Row],[temperatura_srednia]]&gt;30,24000,pogoda4[[#This Row],[temperatura_srednia]]&gt;15,12000)</f>
        <v>12000</v>
      </c>
      <c r="J146">
        <f>IF(pogoda4[[#This Row],[stan_po_dolaniu]]&lt;pogoda4[[#This Row],[ile_podlewamy]],$AB$2-pogoda4[[#This Row],[stan_po_dolaniu]],0)</f>
        <v>0</v>
      </c>
      <c r="K146">
        <f>pogoda4[[#This Row],[stan_po_dolaniu]]+pogoda4[[#This Row],[ile_dolać_do_podlania]]</f>
        <v>12677</v>
      </c>
      <c r="L146">
        <f>pogoda4[[#This Row],[stan_po_dolaniu_do_podlania]]-pogoda4[[#This Row],[ile_podlewamy]]</f>
        <v>677</v>
      </c>
    </row>
    <row r="147" spans="1:12" x14ac:dyDescent="0.25">
      <c r="A147" s="2">
        <v>42240</v>
      </c>
      <c r="B147">
        <v>21</v>
      </c>
      <c r="C147">
        <v>5.5</v>
      </c>
      <c r="D147">
        <f t="shared" si="2"/>
        <v>677</v>
      </c>
      <c r="E147">
        <f>IF(C147=0,ROUNDUP($AB$3*POWER(pogoda4[[#This Row],[temperatura_srednia]],1.5)*pogoda4[[#This Row],[stan_przed_dolaniem]],0),0)</f>
        <v>0</v>
      </c>
      <c r="F147">
        <f>pogoda4[[#This Row],[stan_przed_dolaniem]]-pogoda4[[#This Row],[ubytek]]</f>
        <v>677</v>
      </c>
      <c r="G147">
        <f>IF(pogoda4[[#This Row],[opady]]*$AB$1+D147&gt;$AB$2,$AB$2-pogoda4[[#This Row],[stan_przed_dolaniem]],pogoda4[[#This Row],[opady]]*$AB$1)</f>
        <v>3850</v>
      </c>
      <c r="H147">
        <f>pogoda4[[#This Row],[stan_po_ubytku]]+pogoda4[[#This Row],[ile_pogoda_dolała]]</f>
        <v>4527</v>
      </c>
      <c r="I147" cm="1">
        <f t="array" ref="I147">_xlfn.IFS(OR(pogoda4[[#This Row],[temperatura_srednia]]&lt;=15,pogoda4[[#This Row],[opady]]&gt;0.61),0,pogoda4[[#This Row],[temperatura_srednia]]&gt;30,24000,pogoda4[[#This Row],[temperatura_srednia]]&gt;15,12000)</f>
        <v>0</v>
      </c>
      <c r="J147">
        <f>IF(pogoda4[[#This Row],[stan_po_dolaniu]]&lt;pogoda4[[#This Row],[ile_podlewamy]],$AB$2-pogoda4[[#This Row],[stan_po_dolaniu]],0)</f>
        <v>0</v>
      </c>
      <c r="K147">
        <f>pogoda4[[#This Row],[stan_po_dolaniu]]+pogoda4[[#This Row],[ile_dolać_do_podlania]]</f>
        <v>4527</v>
      </c>
      <c r="L147">
        <f>pogoda4[[#This Row],[stan_po_dolaniu_do_podlania]]-pogoda4[[#This Row],[ile_podlewamy]]</f>
        <v>4527</v>
      </c>
    </row>
    <row r="148" spans="1:12" x14ac:dyDescent="0.25">
      <c r="A148" s="2">
        <v>42241</v>
      </c>
      <c r="B148">
        <v>18</v>
      </c>
      <c r="C148">
        <v>18</v>
      </c>
      <c r="D148">
        <f t="shared" si="2"/>
        <v>4527</v>
      </c>
      <c r="E148">
        <f>IF(C148=0,ROUNDUP($AB$3*POWER(pogoda4[[#This Row],[temperatura_srednia]],1.5)*pogoda4[[#This Row],[stan_przed_dolaniem]],0),0)</f>
        <v>0</v>
      </c>
      <c r="F148">
        <f>pogoda4[[#This Row],[stan_przed_dolaniem]]-pogoda4[[#This Row],[ubytek]]</f>
        <v>4527</v>
      </c>
      <c r="G148">
        <f>IF(pogoda4[[#This Row],[opady]]*$AB$1+D148&gt;$AB$2,$AB$2-pogoda4[[#This Row],[stan_przed_dolaniem]],pogoda4[[#This Row],[opady]]*$AB$1)</f>
        <v>12600</v>
      </c>
      <c r="H148">
        <f>pogoda4[[#This Row],[stan_po_ubytku]]+pogoda4[[#This Row],[ile_pogoda_dolała]]</f>
        <v>17127</v>
      </c>
      <c r="I148" cm="1">
        <f t="array" ref="I148">_xlfn.IFS(OR(pogoda4[[#This Row],[temperatura_srednia]]&lt;=15,pogoda4[[#This Row],[opady]]&gt;0.61),0,pogoda4[[#This Row],[temperatura_srednia]]&gt;30,24000,pogoda4[[#This Row],[temperatura_srednia]]&gt;15,12000)</f>
        <v>0</v>
      </c>
      <c r="J148">
        <f>IF(pogoda4[[#This Row],[stan_po_dolaniu]]&lt;pogoda4[[#This Row],[ile_podlewamy]],$AB$2-pogoda4[[#This Row],[stan_po_dolaniu]],0)</f>
        <v>0</v>
      </c>
      <c r="K148">
        <f>pogoda4[[#This Row],[stan_po_dolaniu]]+pogoda4[[#This Row],[ile_dolać_do_podlania]]</f>
        <v>17127</v>
      </c>
      <c r="L148">
        <f>pogoda4[[#This Row],[stan_po_dolaniu_do_podlania]]-pogoda4[[#This Row],[ile_podlewamy]]</f>
        <v>17127</v>
      </c>
    </row>
    <row r="149" spans="1:12" x14ac:dyDescent="0.25">
      <c r="A149" s="2">
        <v>42242</v>
      </c>
      <c r="B149">
        <v>19</v>
      </c>
      <c r="C149">
        <v>12</v>
      </c>
      <c r="D149">
        <f t="shared" si="2"/>
        <v>17127</v>
      </c>
      <c r="E149">
        <f>IF(C149=0,ROUNDUP($AB$3*POWER(pogoda4[[#This Row],[temperatura_srednia]],1.5)*pogoda4[[#This Row],[stan_przed_dolaniem]],0),0)</f>
        <v>0</v>
      </c>
      <c r="F149">
        <f>pogoda4[[#This Row],[stan_przed_dolaniem]]-pogoda4[[#This Row],[ubytek]]</f>
        <v>17127</v>
      </c>
      <c r="G149">
        <f>IF(pogoda4[[#This Row],[opady]]*$AB$1+D149&gt;$AB$2,$AB$2-pogoda4[[#This Row],[stan_przed_dolaniem]],pogoda4[[#This Row],[opady]]*$AB$1)</f>
        <v>7873</v>
      </c>
      <c r="H149">
        <f>pogoda4[[#This Row],[stan_po_ubytku]]+pogoda4[[#This Row],[ile_pogoda_dolała]]</f>
        <v>25000</v>
      </c>
      <c r="I149" cm="1">
        <f t="array" ref="I149">_xlfn.IFS(OR(pogoda4[[#This Row],[temperatura_srednia]]&lt;=15,pogoda4[[#This Row],[opady]]&gt;0.61),0,pogoda4[[#This Row],[temperatura_srednia]]&gt;30,24000,pogoda4[[#This Row],[temperatura_srednia]]&gt;15,12000)</f>
        <v>0</v>
      </c>
      <c r="J149">
        <f>IF(pogoda4[[#This Row],[stan_po_dolaniu]]&lt;pogoda4[[#This Row],[ile_podlewamy]],$AB$2-pogoda4[[#This Row],[stan_po_dolaniu]],0)</f>
        <v>0</v>
      </c>
      <c r="K149">
        <f>pogoda4[[#This Row],[stan_po_dolaniu]]+pogoda4[[#This Row],[ile_dolać_do_podlania]]</f>
        <v>25000</v>
      </c>
      <c r="L149">
        <f>pogoda4[[#This Row],[stan_po_dolaniu_do_podlania]]-pogoda4[[#This Row],[ile_podlewamy]]</f>
        <v>25000</v>
      </c>
    </row>
    <row r="150" spans="1:12" x14ac:dyDescent="0.25">
      <c r="A150" s="2">
        <v>42243</v>
      </c>
      <c r="B150">
        <v>23</v>
      </c>
      <c r="C150">
        <v>0</v>
      </c>
      <c r="D150">
        <f t="shared" si="2"/>
        <v>25000</v>
      </c>
      <c r="E150">
        <f>IF(C150=0,ROUNDUP($AB$3*POWER(pogoda4[[#This Row],[temperatura_srednia]],1.5)*pogoda4[[#This Row],[stan_przed_dolaniem]],0),0)</f>
        <v>828</v>
      </c>
      <c r="F150">
        <f>pogoda4[[#This Row],[stan_przed_dolaniem]]-pogoda4[[#This Row],[ubytek]]</f>
        <v>24172</v>
      </c>
      <c r="G150">
        <f>IF(pogoda4[[#This Row],[opady]]*$AB$1+D150&gt;$AB$2,$AB$2-pogoda4[[#This Row],[stan_przed_dolaniem]],pogoda4[[#This Row],[opady]]*$AB$1)</f>
        <v>0</v>
      </c>
      <c r="H150">
        <f>pogoda4[[#This Row],[stan_po_ubytku]]+pogoda4[[#This Row],[ile_pogoda_dolała]]</f>
        <v>24172</v>
      </c>
      <c r="I150" cm="1">
        <f t="array" ref="I150">_xlfn.IFS(OR(pogoda4[[#This Row],[temperatura_srednia]]&lt;=15,pogoda4[[#This Row],[opady]]&gt;0.61),0,pogoda4[[#This Row],[temperatura_srednia]]&gt;30,24000,pogoda4[[#This Row],[temperatura_srednia]]&gt;15,12000)</f>
        <v>12000</v>
      </c>
      <c r="J150">
        <f>IF(pogoda4[[#This Row],[stan_po_dolaniu]]&lt;pogoda4[[#This Row],[ile_podlewamy]],$AB$2-pogoda4[[#This Row],[stan_po_dolaniu]],0)</f>
        <v>0</v>
      </c>
      <c r="K150">
        <f>pogoda4[[#This Row],[stan_po_dolaniu]]+pogoda4[[#This Row],[ile_dolać_do_podlania]]</f>
        <v>24172</v>
      </c>
      <c r="L150">
        <f>pogoda4[[#This Row],[stan_po_dolaniu_do_podlania]]-pogoda4[[#This Row],[ile_podlewamy]]</f>
        <v>12172</v>
      </c>
    </row>
    <row r="151" spans="1:12" x14ac:dyDescent="0.25">
      <c r="A151" s="2">
        <v>42244</v>
      </c>
      <c r="B151">
        <v>17</v>
      </c>
      <c r="C151">
        <v>0.1</v>
      </c>
      <c r="D151">
        <f t="shared" si="2"/>
        <v>12172</v>
      </c>
      <c r="E151">
        <f>IF(C151=0,ROUNDUP($AB$3*POWER(pogoda4[[#This Row],[temperatura_srednia]],1.5)*pogoda4[[#This Row],[stan_przed_dolaniem]],0),0)</f>
        <v>0</v>
      </c>
      <c r="F151">
        <f>pogoda4[[#This Row],[stan_przed_dolaniem]]-pogoda4[[#This Row],[ubytek]]</f>
        <v>12172</v>
      </c>
      <c r="G151">
        <f>IF(pogoda4[[#This Row],[opady]]*$AB$1+D151&gt;$AB$2,$AB$2-pogoda4[[#This Row],[stan_przed_dolaniem]],pogoda4[[#This Row],[opady]]*$AB$1)</f>
        <v>70</v>
      </c>
      <c r="H151">
        <f>pogoda4[[#This Row],[stan_po_ubytku]]+pogoda4[[#This Row],[ile_pogoda_dolała]]</f>
        <v>12242</v>
      </c>
      <c r="I151" cm="1">
        <f t="array" ref="I151">_xlfn.IFS(OR(pogoda4[[#This Row],[temperatura_srednia]]&lt;=15,pogoda4[[#This Row],[opady]]&gt;0.61),0,pogoda4[[#This Row],[temperatura_srednia]]&gt;30,24000,pogoda4[[#This Row],[temperatura_srednia]]&gt;15,12000)</f>
        <v>12000</v>
      </c>
      <c r="J151">
        <f>IF(pogoda4[[#This Row],[stan_po_dolaniu]]&lt;pogoda4[[#This Row],[ile_podlewamy]],$AB$2-pogoda4[[#This Row],[stan_po_dolaniu]],0)</f>
        <v>0</v>
      </c>
      <c r="K151">
        <f>pogoda4[[#This Row],[stan_po_dolaniu]]+pogoda4[[#This Row],[ile_dolać_do_podlania]]</f>
        <v>12242</v>
      </c>
      <c r="L151">
        <f>pogoda4[[#This Row],[stan_po_dolaniu_do_podlania]]-pogoda4[[#This Row],[ile_podlewamy]]</f>
        <v>242</v>
      </c>
    </row>
    <row r="152" spans="1:12" x14ac:dyDescent="0.25">
      <c r="A152" s="2">
        <v>42245</v>
      </c>
      <c r="B152">
        <v>16</v>
      </c>
      <c r="C152">
        <v>14</v>
      </c>
      <c r="D152">
        <f t="shared" si="2"/>
        <v>242</v>
      </c>
      <c r="E152">
        <f>IF(C152=0,ROUNDUP($AB$3*POWER(pogoda4[[#This Row],[temperatura_srednia]],1.5)*pogoda4[[#This Row],[stan_przed_dolaniem]],0),0)</f>
        <v>0</v>
      </c>
      <c r="F152">
        <f>pogoda4[[#This Row],[stan_przed_dolaniem]]-pogoda4[[#This Row],[ubytek]]</f>
        <v>242</v>
      </c>
      <c r="G152">
        <f>IF(pogoda4[[#This Row],[opady]]*$AB$1+D152&gt;$AB$2,$AB$2-pogoda4[[#This Row],[stan_przed_dolaniem]],pogoda4[[#This Row],[opady]]*$AB$1)</f>
        <v>9800</v>
      </c>
      <c r="H152">
        <f>pogoda4[[#This Row],[stan_po_ubytku]]+pogoda4[[#This Row],[ile_pogoda_dolała]]</f>
        <v>10042</v>
      </c>
      <c r="I152" cm="1">
        <f t="array" ref="I152">_xlfn.IFS(OR(pogoda4[[#This Row],[temperatura_srednia]]&lt;=15,pogoda4[[#This Row],[opady]]&gt;0.61),0,pogoda4[[#This Row],[temperatura_srednia]]&gt;30,24000,pogoda4[[#This Row],[temperatura_srednia]]&gt;15,12000)</f>
        <v>0</v>
      </c>
      <c r="J152">
        <f>IF(pogoda4[[#This Row],[stan_po_dolaniu]]&lt;pogoda4[[#This Row],[ile_podlewamy]],$AB$2-pogoda4[[#This Row],[stan_po_dolaniu]],0)</f>
        <v>0</v>
      </c>
      <c r="K152">
        <f>pogoda4[[#This Row],[stan_po_dolaniu]]+pogoda4[[#This Row],[ile_dolać_do_podlania]]</f>
        <v>10042</v>
      </c>
      <c r="L152">
        <f>pogoda4[[#This Row],[stan_po_dolaniu_do_podlania]]-pogoda4[[#This Row],[ile_podlewamy]]</f>
        <v>10042</v>
      </c>
    </row>
    <row r="153" spans="1:12" x14ac:dyDescent="0.25">
      <c r="A153" s="2">
        <v>42246</v>
      </c>
      <c r="B153">
        <v>22</v>
      </c>
      <c r="C153">
        <v>0</v>
      </c>
      <c r="D153">
        <f t="shared" si="2"/>
        <v>10042</v>
      </c>
      <c r="E153">
        <f>IF(C153=0,ROUNDUP($AB$3*POWER(pogoda4[[#This Row],[temperatura_srednia]],1.5)*pogoda4[[#This Row],[stan_przed_dolaniem]],0),0)</f>
        <v>311</v>
      </c>
      <c r="F153">
        <f>pogoda4[[#This Row],[stan_przed_dolaniem]]-pogoda4[[#This Row],[ubytek]]</f>
        <v>9731</v>
      </c>
      <c r="G153">
        <f>IF(pogoda4[[#This Row],[opady]]*$AB$1+D153&gt;$AB$2,$AB$2-pogoda4[[#This Row],[stan_przed_dolaniem]],pogoda4[[#This Row],[opady]]*$AB$1)</f>
        <v>0</v>
      </c>
      <c r="H153">
        <f>pogoda4[[#This Row],[stan_po_ubytku]]+pogoda4[[#This Row],[ile_pogoda_dolała]]</f>
        <v>9731</v>
      </c>
      <c r="I153" cm="1">
        <f t="array" ref="I153">_xlfn.IFS(OR(pogoda4[[#This Row],[temperatura_srednia]]&lt;=15,pogoda4[[#This Row],[opady]]&gt;0.61),0,pogoda4[[#This Row],[temperatura_srednia]]&gt;30,24000,pogoda4[[#This Row],[temperatura_srednia]]&gt;15,12000)</f>
        <v>12000</v>
      </c>
      <c r="J153">
        <f>IF(pogoda4[[#This Row],[stan_po_dolaniu]]&lt;pogoda4[[#This Row],[ile_podlewamy]],$AB$2-pogoda4[[#This Row],[stan_po_dolaniu]],0)</f>
        <v>15269</v>
      </c>
      <c r="K153">
        <f>pogoda4[[#This Row],[stan_po_dolaniu]]+pogoda4[[#This Row],[ile_dolać_do_podlania]]</f>
        <v>25000</v>
      </c>
      <c r="L153">
        <f>pogoda4[[#This Row],[stan_po_dolaniu_do_podlania]]-pogoda4[[#This Row],[ile_podlewamy]]</f>
        <v>13000</v>
      </c>
    </row>
    <row r="154" spans="1:12" x14ac:dyDescent="0.25">
      <c r="A154" s="2">
        <v>42247</v>
      </c>
      <c r="B154">
        <v>26</v>
      </c>
      <c r="C154">
        <v>0</v>
      </c>
      <c r="D154">
        <f t="shared" si="2"/>
        <v>13000</v>
      </c>
      <c r="E154">
        <f>IF(C154=0,ROUNDUP($AB$3*POWER(pogoda4[[#This Row],[temperatura_srednia]],1.5)*pogoda4[[#This Row],[stan_przed_dolaniem]],0),0)</f>
        <v>518</v>
      </c>
      <c r="F154">
        <f>pogoda4[[#This Row],[stan_przed_dolaniem]]-pogoda4[[#This Row],[ubytek]]</f>
        <v>12482</v>
      </c>
      <c r="G154">
        <f>IF(pogoda4[[#This Row],[opady]]*$AB$1+D154&gt;$AB$2,$AB$2-pogoda4[[#This Row],[stan_przed_dolaniem]],pogoda4[[#This Row],[opady]]*$AB$1)</f>
        <v>0</v>
      </c>
      <c r="H154">
        <f>pogoda4[[#This Row],[stan_po_ubytku]]+pogoda4[[#This Row],[ile_pogoda_dolała]]</f>
        <v>12482</v>
      </c>
      <c r="I154" cm="1">
        <f t="array" ref="I154">_xlfn.IFS(OR(pogoda4[[#This Row],[temperatura_srednia]]&lt;=15,pogoda4[[#This Row],[opady]]&gt;0.61),0,pogoda4[[#This Row],[temperatura_srednia]]&gt;30,24000,pogoda4[[#This Row],[temperatura_srednia]]&gt;15,12000)</f>
        <v>12000</v>
      </c>
      <c r="J154">
        <f>IF(pogoda4[[#This Row],[stan_po_dolaniu]]&lt;pogoda4[[#This Row],[ile_podlewamy]],$AB$2-pogoda4[[#This Row],[stan_po_dolaniu]],0)</f>
        <v>0</v>
      </c>
      <c r="K154">
        <f>pogoda4[[#This Row],[stan_po_dolaniu]]+pogoda4[[#This Row],[ile_dolać_do_podlania]]</f>
        <v>12482</v>
      </c>
      <c r="L154">
        <f>pogoda4[[#This Row],[stan_po_dolaniu_do_podlania]]-pogoda4[[#This Row],[ile_podlewamy]]</f>
        <v>482</v>
      </c>
    </row>
    <row r="155" spans="1:12" x14ac:dyDescent="0.25">
      <c r="A155" s="2">
        <v>42248</v>
      </c>
      <c r="B155">
        <v>27</v>
      </c>
      <c r="C155">
        <v>2</v>
      </c>
      <c r="D155">
        <f t="shared" si="2"/>
        <v>482</v>
      </c>
      <c r="E155">
        <f>IF(C155=0,ROUNDUP($AB$3*POWER(pogoda4[[#This Row],[temperatura_srednia]],1.5)*pogoda4[[#This Row],[stan_przed_dolaniem]],0),0)</f>
        <v>0</v>
      </c>
      <c r="F155">
        <f>pogoda4[[#This Row],[stan_przed_dolaniem]]-pogoda4[[#This Row],[ubytek]]</f>
        <v>482</v>
      </c>
      <c r="G155">
        <f>IF(pogoda4[[#This Row],[opady]]*$AB$1+D155&gt;$AB$2,$AB$2-pogoda4[[#This Row],[stan_przed_dolaniem]],pogoda4[[#This Row],[opady]]*$AB$1)</f>
        <v>1400</v>
      </c>
      <c r="H155">
        <f>pogoda4[[#This Row],[stan_po_ubytku]]+pogoda4[[#This Row],[ile_pogoda_dolała]]</f>
        <v>1882</v>
      </c>
      <c r="I155" cm="1">
        <f t="array" ref="I155">_xlfn.IFS(OR(pogoda4[[#This Row],[temperatura_srednia]]&lt;=15,pogoda4[[#This Row],[opady]]&gt;0.61),0,pogoda4[[#This Row],[temperatura_srednia]]&gt;30,24000,pogoda4[[#This Row],[temperatura_srednia]]&gt;15,12000)</f>
        <v>0</v>
      </c>
      <c r="J155">
        <f>IF(pogoda4[[#This Row],[stan_po_dolaniu]]&lt;pogoda4[[#This Row],[ile_podlewamy]],$AB$2-pogoda4[[#This Row],[stan_po_dolaniu]],0)</f>
        <v>0</v>
      </c>
      <c r="K155">
        <f>pogoda4[[#This Row],[stan_po_dolaniu]]+pogoda4[[#This Row],[ile_dolać_do_podlania]]</f>
        <v>1882</v>
      </c>
      <c r="L155">
        <f>pogoda4[[#This Row],[stan_po_dolaniu_do_podlania]]-pogoda4[[#This Row],[ile_podlewamy]]</f>
        <v>1882</v>
      </c>
    </row>
    <row r="156" spans="1:12" x14ac:dyDescent="0.25">
      <c r="A156" s="2">
        <v>42249</v>
      </c>
      <c r="B156">
        <v>18</v>
      </c>
      <c r="C156">
        <v>0</v>
      </c>
      <c r="D156">
        <f t="shared" si="2"/>
        <v>1882</v>
      </c>
      <c r="E156">
        <f>IF(C156=0,ROUNDUP($AB$3*POWER(pogoda4[[#This Row],[temperatura_srednia]],1.5)*pogoda4[[#This Row],[stan_przed_dolaniem]],0),0)</f>
        <v>44</v>
      </c>
      <c r="F156">
        <f>pogoda4[[#This Row],[stan_przed_dolaniem]]-pogoda4[[#This Row],[ubytek]]</f>
        <v>1838</v>
      </c>
      <c r="G156">
        <f>IF(pogoda4[[#This Row],[opady]]*$AB$1+D156&gt;$AB$2,$AB$2-pogoda4[[#This Row],[stan_przed_dolaniem]],pogoda4[[#This Row],[opady]]*$AB$1)</f>
        <v>0</v>
      </c>
      <c r="H156">
        <f>pogoda4[[#This Row],[stan_po_ubytku]]+pogoda4[[#This Row],[ile_pogoda_dolała]]</f>
        <v>1838</v>
      </c>
      <c r="I156" cm="1">
        <f t="array" ref="I156">_xlfn.IFS(OR(pogoda4[[#This Row],[temperatura_srednia]]&lt;=15,pogoda4[[#This Row],[opady]]&gt;0.61),0,pogoda4[[#This Row],[temperatura_srednia]]&gt;30,24000,pogoda4[[#This Row],[temperatura_srednia]]&gt;15,12000)</f>
        <v>12000</v>
      </c>
      <c r="J156">
        <f>IF(pogoda4[[#This Row],[stan_po_dolaniu]]&lt;pogoda4[[#This Row],[ile_podlewamy]],$AB$2-pogoda4[[#This Row],[stan_po_dolaniu]],0)</f>
        <v>23162</v>
      </c>
      <c r="K156">
        <f>pogoda4[[#This Row],[stan_po_dolaniu]]+pogoda4[[#This Row],[ile_dolać_do_podlania]]</f>
        <v>25000</v>
      </c>
      <c r="L156">
        <f>pogoda4[[#This Row],[stan_po_dolaniu_do_podlania]]-pogoda4[[#This Row],[ile_podlewamy]]</f>
        <v>13000</v>
      </c>
    </row>
    <row r="157" spans="1:12" x14ac:dyDescent="0.25">
      <c r="A157" s="2">
        <v>42250</v>
      </c>
      <c r="B157">
        <v>17</v>
      </c>
      <c r="C157">
        <v>0</v>
      </c>
      <c r="D157">
        <f t="shared" si="2"/>
        <v>13000</v>
      </c>
      <c r="E157">
        <f>IF(C157=0,ROUNDUP($AB$3*POWER(pogoda4[[#This Row],[temperatura_srednia]],1.5)*pogoda4[[#This Row],[stan_przed_dolaniem]],0),0)</f>
        <v>274</v>
      </c>
      <c r="F157">
        <f>pogoda4[[#This Row],[stan_przed_dolaniem]]-pogoda4[[#This Row],[ubytek]]</f>
        <v>12726</v>
      </c>
      <c r="G157">
        <f>IF(pogoda4[[#This Row],[opady]]*$AB$1+D157&gt;$AB$2,$AB$2-pogoda4[[#This Row],[stan_przed_dolaniem]],pogoda4[[#This Row],[opady]]*$AB$1)</f>
        <v>0</v>
      </c>
      <c r="H157">
        <f>pogoda4[[#This Row],[stan_po_ubytku]]+pogoda4[[#This Row],[ile_pogoda_dolała]]</f>
        <v>12726</v>
      </c>
      <c r="I157" cm="1">
        <f t="array" ref="I157">_xlfn.IFS(OR(pogoda4[[#This Row],[temperatura_srednia]]&lt;=15,pogoda4[[#This Row],[opady]]&gt;0.61),0,pogoda4[[#This Row],[temperatura_srednia]]&gt;30,24000,pogoda4[[#This Row],[temperatura_srednia]]&gt;15,12000)</f>
        <v>12000</v>
      </c>
      <c r="J157">
        <f>IF(pogoda4[[#This Row],[stan_po_dolaniu]]&lt;pogoda4[[#This Row],[ile_podlewamy]],$AB$2-pogoda4[[#This Row],[stan_po_dolaniu]],0)</f>
        <v>0</v>
      </c>
      <c r="K157">
        <f>pogoda4[[#This Row],[stan_po_dolaniu]]+pogoda4[[#This Row],[ile_dolać_do_podlania]]</f>
        <v>12726</v>
      </c>
      <c r="L157">
        <f>pogoda4[[#This Row],[stan_po_dolaniu_do_podlania]]-pogoda4[[#This Row],[ile_podlewamy]]</f>
        <v>726</v>
      </c>
    </row>
    <row r="158" spans="1:12" x14ac:dyDescent="0.25">
      <c r="A158" s="2">
        <v>42251</v>
      </c>
      <c r="B158">
        <v>16</v>
      </c>
      <c r="C158">
        <v>0.1</v>
      </c>
      <c r="D158">
        <f t="shared" si="2"/>
        <v>726</v>
      </c>
      <c r="E158">
        <f>IF(C158=0,ROUNDUP($AB$3*POWER(pogoda4[[#This Row],[temperatura_srednia]],1.5)*pogoda4[[#This Row],[stan_przed_dolaniem]],0),0)</f>
        <v>0</v>
      </c>
      <c r="F158">
        <f>pogoda4[[#This Row],[stan_przed_dolaniem]]-pogoda4[[#This Row],[ubytek]]</f>
        <v>726</v>
      </c>
      <c r="G158">
        <f>IF(pogoda4[[#This Row],[opady]]*$AB$1+D158&gt;$AB$2,$AB$2-pogoda4[[#This Row],[stan_przed_dolaniem]],pogoda4[[#This Row],[opady]]*$AB$1)</f>
        <v>70</v>
      </c>
      <c r="H158">
        <f>pogoda4[[#This Row],[stan_po_ubytku]]+pogoda4[[#This Row],[ile_pogoda_dolała]]</f>
        <v>796</v>
      </c>
      <c r="I158" cm="1">
        <f t="array" ref="I158">_xlfn.IFS(OR(pogoda4[[#This Row],[temperatura_srednia]]&lt;=15,pogoda4[[#This Row],[opady]]&gt;0.61),0,pogoda4[[#This Row],[temperatura_srednia]]&gt;30,24000,pogoda4[[#This Row],[temperatura_srednia]]&gt;15,12000)</f>
        <v>12000</v>
      </c>
      <c r="J158">
        <f>IF(pogoda4[[#This Row],[stan_po_dolaniu]]&lt;pogoda4[[#This Row],[ile_podlewamy]],$AB$2-pogoda4[[#This Row],[stan_po_dolaniu]],0)</f>
        <v>24204</v>
      </c>
      <c r="K158">
        <f>pogoda4[[#This Row],[stan_po_dolaniu]]+pogoda4[[#This Row],[ile_dolać_do_podlania]]</f>
        <v>25000</v>
      </c>
      <c r="L158">
        <f>pogoda4[[#This Row],[stan_po_dolaniu_do_podlania]]-pogoda4[[#This Row],[ile_podlewamy]]</f>
        <v>13000</v>
      </c>
    </row>
    <row r="159" spans="1:12" x14ac:dyDescent="0.25">
      <c r="A159" s="2">
        <v>42252</v>
      </c>
      <c r="B159">
        <v>15</v>
      </c>
      <c r="C159">
        <v>0</v>
      </c>
      <c r="D159">
        <f t="shared" si="2"/>
        <v>13000</v>
      </c>
      <c r="E159">
        <f>IF(C159=0,ROUNDUP($AB$3*POWER(pogoda4[[#This Row],[temperatura_srednia]],1.5)*pogoda4[[#This Row],[stan_przed_dolaniem]],0),0)</f>
        <v>227</v>
      </c>
      <c r="F159">
        <f>pogoda4[[#This Row],[stan_przed_dolaniem]]-pogoda4[[#This Row],[ubytek]]</f>
        <v>12773</v>
      </c>
      <c r="G159">
        <f>IF(pogoda4[[#This Row],[opady]]*$AB$1+D159&gt;$AB$2,$AB$2-pogoda4[[#This Row],[stan_przed_dolaniem]],pogoda4[[#This Row],[opady]]*$AB$1)</f>
        <v>0</v>
      </c>
      <c r="H159">
        <f>pogoda4[[#This Row],[stan_po_ubytku]]+pogoda4[[#This Row],[ile_pogoda_dolała]]</f>
        <v>12773</v>
      </c>
      <c r="I159" cm="1">
        <f t="array" ref="I159">_xlfn.IFS(OR(pogoda4[[#This Row],[temperatura_srednia]]&lt;=15,pogoda4[[#This Row],[opady]]&gt;0.61),0,pogoda4[[#This Row],[temperatura_srednia]]&gt;30,24000,pogoda4[[#This Row],[temperatura_srednia]]&gt;15,12000)</f>
        <v>0</v>
      </c>
      <c r="J159">
        <f>IF(pogoda4[[#This Row],[stan_po_dolaniu]]&lt;pogoda4[[#This Row],[ile_podlewamy]],$AB$2-pogoda4[[#This Row],[stan_po_dolaniu]],0)</f>
        <v>0</v>
      </c>
      <c r="K159">
        <f>pogoda4[[#This Row],[stan_po_dolaniu]]+pogoda4[[#This Row],[ile_dolać_do_podlania]]</f>
        <v>12773</v>
      </c>
      <c r="L159">
        <f>pogoda4[[#This Row],[stan_po_dolaniu_do_podlania]]-pogoda4[[#This Row],[ile_podlewamy]]</f>
        <v>12773</v>
      </c>
    </row>
    <row r="160" spans="1:12" x14ac:dyDescent="0.25">
      <c r="A160" s="2">
        <v>42253</v>
      </c>
      <c r="B160">
        <v>12</v>
      </c>
      <c r="C160">
        <v>4</v>
      </c>
      <c r="D160">
        <f t="shared" si="2"/>
        <v>12773</v>
      </c>
      <c r="E160">
        <f>IF(C160=0,ROUNDUP($AB$3*POWER(pogoda4[[#This Row],[temperatura_srednia]],1.5)*pogoda4[[#This Row],[stan_przed_dolaniem]],0),0)</f>
        <v>0</v>
      </c>
      <c r="F160">
        <f>pogoda4[[#This Row],[stan_przed_dolaniem]]-pogoda4[[#This Row],[ubytek]]</f>
        <v>12773</v>
      </c>
      <c r="G160">
        <f>IF(pogoda4[[#This Row],[opady]]*$AB$1+D160&gt;$AB$2,$AB$2-pogoda4[[#This Row],[stan_przed_dolaniem]],pogoda4[[#This Row],[opady]]*$AB$1)</f>
        <v>2800</v>
      </c>
      <c r="H160">
        <f>pogoda4[[#This Row],[stan_po_ubytku]]+pogoda4[[#This Row],[ile_pogoda_dolała]]</f>
        <v>15573</v>
      </c>
      <c r="I160" cm="1">
        <f t="array" ref="I160">_xlfn.IFS(OR(pogoda4[[#This Row],[temperatura_srednia]]&lt;=15,pogoda4[[#This Row],[opady]]&gt;0.61),0,pogoda4[[#This Row],[temperatura_srednia]]&gt;30,24000,pogoda4[[#This Row],[temperatura_srednia]]&gt;15,12000)</f>
        <v>0</v>
      </c>
      <c r="J160">
        <f>IF(pogoda4[[#This Row],[stan_po_dolaniu]]&lt;pogoda4[[#This Row],[ile_podlewamy]],$AB$2-pogoda4[[#This Row],[stan_po_dolaniu]],0)</f>
        <v>0</v>
      </c>
      <c r="K160">
        <f>pogoda4[[#This Row],[stan_po_dolaniu]]+pogoda4[[#This Row],[ile_dolać_do_podlania]]</f>
        <v>15573</v>
      </c>
      <c r="L160">
        <f>pogoda4[[#This Row],[stan_po_dolaniu_do_podlania]]-pogoda4[[#This Row],[ile_podlewamy]]</f>
        <v>15573</v>
      </c>
    </row>
    <row r="161" spans="1:12" x14ac:dyDescent="0.25">
      <c r="A161" s="2">
        <v>42254</v>
      </c>
      <c r="B161">
        <v>13</v>
      </c>
      <c r="C161">
        <v>0</v>
      </c>
      <c r="D161">
        <f t="shared" si="2"/>
        <v>15573</v>
      </c>
      <c r="E161">
        <f>IF(C161=0,ROUNDUP($AB$3*POWER(pogoda4[[#This Row],[temperatura_srednia]],1.5)*pogoda4[[#This Row],[stan_przed_dolaniem]],0),0)</f>
        <v>219</v>
      </c>
      <c r="F161">
        <f>pogoda4[[#This Row],[stan_przed_dolaniem]]-pogoda4[[#This Row],[ubytek]]</f>
        <v>15354</v>
      </c>
      <c r="G161">
        <f>IF(pogoda4[[#This Row],[opady]]*$AB$1+D161&gt;$AB$2,$AB$2-pogoda4[[#This Row],[stan_przed_dolaniem]],pogoda4[[#This Row],[opady]]*$AB$1)</f>
        <v>0</v>
      </c>
      <c r="H161">
        <f>pogoda4[[#This Row],[stan_po_ubytku]]+pogoda4[[#This Row],[ile_pogoda_dolała]]</f>
        <v>15354</v>
      </c>
      <c r="I161" cm="1">
        <f t="array" ref="I161">_xlfn.IFS(OR(pogoda4[[#This Row],[temperatura_srednia]]&lt;=15,pogoda4[[#This Row],[opady]]&gt;0.61),0,pogoda4[[#This Row],[temperatura_srednia]]&gt;30,24000,pogoda4[[#This Row],[temperatura_srednia]]&gt;15,12000)</f>
        <v>0</v>
      </c>
      <c r="J161">
        <f>IF(pogoda4[[#This Row],[stan_po_dolaniu]]&lt;pogoda4[[#This Row],[ile_podlewamy]],$AB$2-pogoda4[[#This Row],[stan_po_dolaniu]],0)</f>
        <v>0</v>
      </c>
      <c r="K161">
        <f>pogoda4[[#This Row],[stan_po_dolaniu]]+pogoda4[[#This Row],[ile_dolać_do_podlania]]</f>
        <v>15354</v>
      </c>
      <c r="L161">
        <f>pogoda4[[#This Row],[stan_po_dolaniu_do_podlania]]-pogoda4[[#This Row],[ile_podlewamy]]</f>
        <v>15354</v>
      </c>
    </row>
    <row r="162" spans="1:12" x14ac:dyDescent="0.25">
      <c r="A162" s="2">
        <v>42255</v>
      </c>
      <c r="B162">
        <v>11</v>
      </c>
      <c r="C162">
        <v>4</v>
      </c>
      <c r="D162">
        <f t="shared" si="2"/>
        <v>15354</v>
      </c>
      <c r="E162">
        <f>IF(C162=0,ROUNDUP($AB$3*POWER(pogoda4[[#This Row],[temperatura_srednia]],1.5)*pogoda4[[#This Row],[stan_przed_dolaniem]],0),0)</f>
        <v>0</v>
      </c>
      <c r="F162">
        <f>pogoda4[[#This Row],[stan_przed_dolaniem]]-pogoda4[[#This Row],[ubytek]]</f>
        <v>15354</v>
      </c>
      <c r="G162">
        <f>IF(pogoda4[[#This Row],[opady]]*$AB$1+D162&gt;$AB$2,$AB$2-pogoda4[[#This Row],[stan_przed_dolaniem]],pogoda4[[#This Row],[opady]]*$AB$1)</f>
        <v>2800</v>
      </c>
      <c r="H162">
        <f>pogoda4[[#This Row],[stan_po_ubytku]]+pogoda4[[#This Row],[ile_pogoda_dolała]]</f>
        <v>18154</v>
      </c>
      <c r="I162" cm="1">
        <f t="array" ref="I162">_xlfn.IFS(OR(pogoda4[[#This Row],[temperatura_srednia]]&lt;=15,pogoda4[[#This Row],[opady]]&gt;0.61),0,pogoda4[[#This Row],[temperatura_srednia]]&gt;30,24000,pogoda4[[#This Row],[temperatura_srednia]]&gt;15,12000)</f>
        <v>0</v>
      </c>
      <c r="J162">
        <f>IF(pogoda4[[#This Row],[stan_po_dolaniu]]&lt;pogoda4[[#This Row],[ile_podlewamy]],$AB$2-pogoda4[[#This Row],[stan_po_dolaniu]],0)</f>
        <v>0</v>
      </c>
      <c r="K162">
        <f>pogoda4[[#This Row],[stan_po_dolaniu]]+pogoda4[[#This Row],[ile_dolać_do_podlania]]</f>
        <v>18154</v>
      </c>
      <c r="L162">
        <f>pogoda4[[#This Row],[stan_po_dolaniu_do_podlania]]-pogoda4[[#This Row],[ile_podlewamy]]</f>
        <v>18154</v>
      </c>
    </row>
    <row r="163" spans="1:12" x14ac:dyDescent="0.25">
      <c r="A163" s="2">
        <v>42256</v>
      </c>
      <c r="B163">
        <v>11</v>
      </c>
      <c r="C163">
        <v>0</v>
      </c>
      <c r="D163">
        <f t="shared" si="2"/>
        <v>18154</v>
      </c>
      <c r="E163">
        <f>IF(C163=0,ROUNDUP($AB$3*POWER(pogoda4[[#This Row],[temperatura_srednia]],1.5)*pogoda4[[#This Row],[stan_przed_dolaniem]],0),0)</f>
        <v>199</v>
      </c>
      <c r="F163">
        <f>pogoda4[[#This Row],[stan_przed_dolaniem]]-pogoda4[[#This Row],[ubytek]]</f>
        <v>17955</v>
      </c>
      <c r="G163">
        <f>IF(pogoda4[[#This Row],[opady]]*$AB$1+D163&gt;$AB$2,$AB$2-pogoda4[[#This Row],[stan_przed_dolaniem]],pogoda4[[#This Row],[opady]]*$AB$1)</f>
        <v>0</v>
      </c>
      <c r="H163">
        <f>pogoda4[[#This Row],[stan_po_ubytku]]+pogoda4[[#This Row],[ile_pogoda_dolała]]</f>
        <v>17955</v>
      </c>
      <c r="I163" cm="1">
        <f t="array" ref="I163">_xlfn.IFS(OR(pogoda4[[#This Row],[temperatura_srednia]]&lt;=15,pogoda4[[#This Row],[opady]]&gt;0.61),0,pogoda4[[#This Row],[temperatura_srednia]]&gt;30,24000,pogoda4[[#This Row],[temperatura_srednia]]&gt;15,12000)</f>
        <v>0</v>
      </c>
      <c r="J163">
        <f>IF(pogoda4[[#This Row],[stan_po_dolaniu]]&lt;pogoda4[[#This Row],[ile_podlewamy]],$AB$2-pogoda4[[#This Row],[stan_po_dolaniu]],0)</f>
        <v>0</v>
      </c>
      <c r="K163">
        <f>pogoda4[[#This Row],[stan_po_dolaniu]]+pogoda4[[#This Row],[ile_dolać_do_podlania]]</f>
        <v>17955</v>
      </c>
      <c r="L163">
        <f>pogoda4[[#This Row],[stan_po_dolaniu_do_podlania]]-pogoda4[[#This Row],[ile_podlewamy]]</f>
        <v>17955</v>
      </c>
    </row>
    <row r="164" spans="1:12" x14ac:dyDescent="0.25">
      <c r="A164" s="2">
        <v>42257</v>
      </c>
      <c r="B164">
        <v>12</v>
      </c>
      <c r="C164">
        <v>0</v>
      </c>
      <c r="D164">
        <f t="shared" si="2"/>
        <v>17955</v>
      </c>
      <c r="E164">
        <f>IF(C164=0,ROUNDUP($AB$3*POWER(pogoda4[[#This Row],[temperatura_srednia]],1.5)*pogoda4[[#This Row],[stan_przed_dolaniem]],0),0)</f>
        <v>224</v>
      </c>
      <c r="F164">
        <f>pogoda4[[#This Row],[stan_przed_dolaniem]]-pogoda4[[#This Row],[ubytek]]</f>
        <v>17731</v>
      </c>
      <c r="G164">
        <f>IF(pogoda4[[#This Row],[opady]]*$AB$1+D164&gt;$AB$2,$AB$2-pogoda4[[#This Row],[stan_przed_dolaniem]],pogoda4[[#This Row],[opady]]*$AB$1)</f>
        <v>0</v>
      </c>
      <c r="H164">
        <f>pogoda4[[#This Row],[stan_po_ubytku]]+pogoda4[[#This Row],[ile_pogoda_dolała]]</f>
        <v>17731</v>
      </c>
      <c r="I164" cm="1">
        <f t="array" ref="I164">_xlfn.IFS(OR(pogoda4[[#This Row],[temperatura_srednia]]&lt;=15,pogoda4[[#This Row],[opady]]&gt;0.61),0,pogoda4[[#This Row],[temperatura_srednia]]&gt;30,24000,pogoda4[[#This Row],[temperatura_srednia]]&gt;15,12000)</f>
        <v>0</v>
      </c>
      <c r="J164">
        <f>IF(pogoda4[[#This Row],[stan_po_dolaniu]]&lt;pogoda4[[#This Row],[ile_podlewamy]],$AB$2-pogoda4[[#This Row],[stan_po_dolaniu]],0)</f>
        <v>0</v>
      </c>
      <c r="K164">
        <f>pogoda4[[#This Row],[stan_po_dolaniu]]+pogoda4[[#This Row],[ile_dolać_do_podlania]]</f>
        <v>17731</v>
      </c>
      <c r="L164">
        <f>pogoda4[[#This Row],[stan_po_dolaniu_do_podlania]]-pogoda4[[#This Row],[ile_podlewamy]]</f>
        <v>17731</v>
      </c>
    </row>
    <row r="165" spans="1:12" x14ac:dyDescent="0.25">
      <c r="A165" s="2">
        <v>42258</v>
      </c>
      <c r="B165">
        <v>16</v>
      </c>
      <c r="C165">
        <v>0.1</v>
      </c>
      <c r="D165">
        <f t="shared" si="2"/>
        <v>17731</v>
      </c>
      <c r="E165">
        <f>IF(C165=0,ROUNDUP($AB$3*POWER(pogoda4[[#This Row],[temperatura_srednia]],1.5)*pogoda4[[#This Row],[stan_przed_dolaniem]],0),0)</f>
        <v>0</v>
      </c>
      <c r="F165">
        <f>pogoda4[[#This Row],[stan_przed_dolaniem]]-pogoda4[[#This Row],[ubytek]]</f>
        <v>17731</v>
      </c>
      <c r="G165">
        <f>IF(pogoda4[[#This Row],[opady]]*$AB$1+D165&gt;$AB$2,$AB$2-pogoda4[[#This Row],[stan_przed_dolaniem]],pogoda4[[#This Row],[opady]]*$AB$1)</f>
        <v>70</v>
      </c>
      <c r="H165">
        <f>pogoda4[[#This Row],[stan_po_ubytku]]+pogoda4[[#This Row],[ile_pogoda_dolała]]</f>
        <v>17801</v>
      </c>
      <c r="I165" cm="1">
        <f t="array" ref="I165">_xlfn.IFS(OR(pogoda4[[#This Row],[temperatura_srednia]]&lt;=15,pogoda4[[#This Row],[opady]]&gt;0.61),0,pogoda4[[#This Row],[temperatura_srednia]]&gt;30,24000,pogoda4[[#This Row],[temperatura_srednia]]&gt;15,12000)</f>
        <v>12000</v>
      </c>
      <c r="J165">
        <f>IF(pogoda4[[#This Row],[stan_po_dolaniu]]&lt;pogoda4[[#This Row],[ile_podlewamy]],$AB$2-pogoda4[[#This Row],[stan_po_dolaniu]],0)</f>
        <v>0</v>
      </c>
      <c r="K165">
        <f>pogoda4[[#This Row],[stan_po_dolaniu]]+pogoda4[[#This Row],[ile_dolać_do_podlania]]</f>
        <v>17801</v>
      </c>
      <c r="L165">
        <f>pogoda4[[#This Row],[stan_po_dolaniu_do_podlania]]-pogoda4[[#This Row],[ile_podlewamy]]</f>
        <v>5801</v>
      </c>
    </row>
    <row r="166" spans="1:12" x14ac:dyDescent="0.25">
      <c r="A166" s="2">
        <v>42259</v>
      </c>
      <c r="B166">
        <v>18</v>
      </c>
      <c r="C166">
        <v>0</v>
      </c>
      <c r="D166">
        <f t="shared" si="2"/>
        <v>5801</v>
      </c>
      <c r="E166">
        <f>IF(C166=0,ROUNDUP($AB$3*POWER(pogoda4[[#This Row],[temperatura_srednia]],1.5)*pogoda4[[#This Row],[stan_przed_dolaniem]],0),0)</f>
        <v>133</v>
      </c>
      <c r="F166">
        <f>pogoda4[[#This Row],[stan_przed_dolaniem]]-pogoda4[[#This Row],[ubytek]]</f>
        <v>5668</v>
      </c>
      <c r="G166">
        <f>IF(pogoda4[[#This Row],[opady]]*$AB$1+D166&gt;$AB$2,$AB$2-pogoda4[[#This Row],[stan_przed_dolaniem]],pogoda4[[#This Row],[opady]]*$AB$1)</f>
        <v>0</v>
      </c>
      <c r="H166">
        <f>pogoda4[[#This Row],[stan_po_ubytku]]+pogoda4[[#This Row],[ile_pogoda_dolała]]</f>
        <v>5668</v>
      </c>
      <c r="I166" cm="1">
        <f t="array" ref="I166">_xlfn.IFS(OR(pogoda4[[#This Row],[temperatura_srednia]]&lt;=15,pogoda4[[#This Row],[opady]]&gt;0.61),0,pogoda4[[#This Row],[temperatura_srednia]]&gt;30,24000,pogoda4[[#This Row],[temperatura_srednia]]&gt;15,12000)</f>
        <v>12000</v>
      </c>
      <c r="J166">
        <f>IF(pogoda4[[#This Row],[stan_po_dolaniu]]&lt;pogoda4[[#This Row],[ile_podlewamy]],$AB$2-pogoda4[[#This Row],[stan_po_dolaniu]],0)</f>
        <v>19332</v>
      </c>
      <c r="K166">
        <f>pogoda4[[#This Row],[stan_po_dolaniu]]+pogoda4[[#This Row],[ile_dolać_do_podlania]]</f>
        <v>25000</v>
      </c>
      <c r="L166">
        <f>pogoda4[[#This Row],[stan_po_dolaniu_do_podlania]]-pogoda4[[#This Row],[ile_podlewamy]]</f>
        <v>13000</v>
      </c>
    </row>
    <row r="167" spans="1:12" x14ac:dyDescent="0.25">
      <c r="A167" s="2">
        <v>42260</v>
      </c>
      <c r="B167">
        <v>18</v>
      </c>
      <c r="C167">
        <v>0</v>
      </c>
      <c r="D167">
        <f t="shared" si="2"/>
        <v>13000</v>
      </c>
      <c r="E167">
        <f>IF(C167=0,ROUNDUP($AB$3*POWER(pogoda4[[#This Row],[temperatura_srednia]],1.5)*pogoda4[[#This Row],[stan_przed_dolaniem]],0),0)</f>
        <v>298</v>
      </c>
      <c r="F167">
        <f>pogoda4[[#This Row],[stan_przed_dolaniem]]-pogoda4[[#This Row],[ubytek]]</f>
        <v>12702</v>
      </c>
      <c r="G167">
        <f>IF(pogoda4[[#This Row],[opady]]*$AB$1+D167&gt;$AB$2,$AB$2-pogoda4[[#This Row],[stan_przed_dolaniem]],pogoda4[[#This Row],[opady]]*$AB$1)</f>
        <v>0</v>
      </c>
      <c r="H167">
        <f>pogoda4[[#This Row],[stan_po_ubytku]]+pogoda4[[#This Row],[ile_pogoda_dolała]]</f>
        <v>12702</v>
      </c>
      <c r="I167" cm="1">
        <f t="array" ref="I167">_xlfn.IFS(OR(pogoda4[[#This Row],[temperatura_srednia]]&lt;=15,pogoda4[[#This Row],[opady]]&gt;0.61),0,pogoda4[[#This Row],[temperatura_srednia]]&gt;30,24000,pogoda4[[#This Row],[temperatura_srednia]]&gt;15,12000)</f>
        <v>12000</v>
      </c>
      <c r="J167">
        <f>IF(pogoda4[[#This Row],[stan_po_dolaniu]]&lt;pogoda4[[#This Row],[ile_podlewamy]],$AB$2-pogoda4[[#This Row],[stan_po_dolaniu]],0)</f>
        <v>0</v>
      </c>
      <c r="K167">
        <f>pogoda4[[#This Row],[stan_po_dolaniu]]+pogoda4[[#This Row],[ile_dolać_do_podlania]]</f>
        <v>12702</v>
      </c>
      <c r="L167">
        <f>pogoda4[[#This Row],[stan_po_dolaniu_do_podlania]]-pogoda4[[#This Row],[ile_podlewamy]]</f>
        <v>702</v>
      </c>
    </row>
    <row r="168" spans="1:12" x14ac:dyDescent="0.25">
      <c r="A168" s="2">
        <v>42261</v>
      </c>
      <c r="B168">
        <v>19</v>
      </c>
      <c r="C168">
        <v>3</v>
      </c>
      <c r="D168">
        <f t="shared" si="2"/>
        <v>702</v>
      </c>
      <c r="E168">
        <f>IF(C168=0,ROUNDUP($AB$3*POWER(pogoda4[[#This Row],[temperatura_srednia]],1.5)*pogoda4[[#This Row],[stan_przed_dolaniem]],0),0)</f>
        <v>0</v>
      </c>
      <c r="F168">
        <f>pogoda4[[#This Row],[stan_przed_dolaniem]]-pogoda4[[#This Row],[ubytek]]</f>
        <v>702</v>
      </c>
      <c r="G168">
        <f>IF(pogoda4[[#This Row],[opady]]*$AB$1+D168&gt;$AB$2,$AB$2-pogoda4[[#This Row],[stan_przed_dolaniem]],pogoda4[[#This Row],[opady]]*$AB$1)</f>
        <v>2100</v>
      </c>
      <c r="H168">
        <f>pogoda4[[#This Row],[stan_po_ubytku]]+pogoda4[[#This Row],[ile_pogoda_dolała]]</f>
        <v>2802</v>
      </c>
      <c r="I168" cm="1">
        <f t="array" ref="I168">_xlfn.IFS(OR(pogoda4[[#This Row],[temperatura_srednia]]&lt;=15,pogoda4[[#This Row],[opady]]&gt;0.61),0,pogoda4[[#This Row],[temperatura_srednia]]&gt;30,24000,pogoda4[[#This Row],[temperatura_srednia]]&gt;15,12000)</f>
        <v>0</v>
      </c>
      <c r="J168">
        <f>IF(pogoda4[[#This Row],[stan_po_dolaniu]]&lt;pogoda4[[#This Row],[ile_podlewamy]],$AB$2-pogoda4[[#This Row],[stan_po_dolaniu]],0)</f>
        <v>0</v>
      </c>
      <c r="K168">
        <f>pogoda4[[#This Row],[stan_po_dolaniu]]+pogoda4[[#This Row],[ile_dolać_do_podlania]]</f>
        <v>2802</v>
      </c>
      <c r="L168">
        <f>pogoda4[[#This Row],[stan_po_dolaniu_do_podlania]]-pogoda4[[#This Row],[ile_podlewamy]]</f>
        <v>2802</v>
      </c>
    </row>
    <row r="169" spans="1:12" x14ac:dyDescent="0.25">
      <c r="A169" s="2">
        <v>42262</v>
      </c>
      <c r="B169">
        <v>16</v>
      </c>
      <c r="C169">
        <v>0.1</v>
      </c>
      <c r="D169">
        <f t="shared" si="2"/>
        <v>2802</v>
      </c>
      <c r="E169">
        <f>IF(C169=0,ROUNDUP($AB$3*POWER(pogoda4[[#This Row],[temperatura_srednia]],1.5)*pogoda4[[#This Row],[stan_przed_dolaniem]],0),0)</f>
        <v>0</v>
      </c>
      <c r="F169">
        <f>pogoda4[[#This Row],[stan_przed_dolaniem]]-pogoda4[[#This Row],[ubytek]]</f>
        <v>2802</v>
      </c>
      <c r="G169">
        <f>IF(pogoda4[[#This Row],[opady]]*$AB$1+D169&gt;$AB$2,$AB$2-pogoda4[[#This Row],[stan_przed_dolaniem]],pogoda4[[#This Row],[opady]]*$AB$1)</f>
        <v>70</v>
      </c>
      <c r="H169">
        <f>pogoda4[[#This Row],[stan_po_ubytku]]+pogoda4[[#This Row],[ile_pogoda_dolała]]</f>
        <v>2872</v>
      </c>
      <c r="I169" cm="1">
        <f t="array" ref="I169">_xlfn.IFS(OR(pogoda4[[#This Row],[temperatura_srednia]]&lt;=15,pogoda4[[#This Row],[opady]]&gt;0.61),0,pogoda4[[#This Row],[temperatura_srednia]]&gt;30,24000,pogoda4[[#This Row],[temperatura_srednia]]&gt;15,12000)</f>
        <v>12000</v>
      </c>
      <c r="J169">
        <f>IF(pogoda4[[#This Row],[stan_po_dolaniu]]&lt;pogoda4[[#This Row],[ile_podlewamy]],$AB$2-pogoda4[[#This Row],[stan_po_dolaniu]],0)</f>
        <v>22128</v>
      </c>
      <c r="K169">
        <f>pogoda4[[#This Row],[stan_po_dolaniu]]+pogoda4[[#This Row],[ile_dolać_do_podlania]]</f>
        <v>25000</v>
      </c>
      <c r="L169">
        <f>pogoda4[[#This Row],[stan_po_dolaniu_do_podlania]]-pogoda4[[#This Row],[ile_podlewamy]]</f>
        <v>13000</v>
      </c>
    </row>
    <row r="170" spans="1:12" x14ac:dyDescent="0.25">
      <c r="A170" s="2">
        <v>42263</v>
      </c>
      <c r="B170">
        <v>18</v>
      </c>
      <c r="C170">
        <v>0</v>
      </c>
      <c r="D170">
        <f t="shared" si="2"/>
        <v>13000</v>
      </c>
      <c r="E170">
        <f>IF(C170=0,ROUNDUP($AB$3*POWER(pogoda4[[#This Row],[temperatura_srednia]],1.5)*pogoda4[[#This Row],[stan_przed_dolaniem]],0),0)</f>
        <v>298</v>
      </c>
      <c r="F170">
        <f>pogoda4[[#This Row],[stan_przed_dolaniem]]-pogoda4[[#This Row],[ubytek]]</f>
        <v>12702</v>
      </c>
      <c r="G170">
        <f>IF(pogoda4[[#This Row],[opady]]*$AB$1+D170&gt;$AB$2,$AB$2-pogoda4[[#This Row],[stan_przed_dolaniem]],pogoda4[[#This Row],[opady]]*$AB$1)</f>
        <v>0</v>
      </c>
      <c r="H170">
        <f>pogoda4[[#This Row],[stan_po_ubytku]]+pogoda4[[#This Row],[ile_pogoda_dolała]]</f>
        <v>12702</v>
      </c>
      <c r="I170" cm="1">
        <f t="array" ref="I170">_xlfn.IFS(OR(pogoda4[[#This Row],[temperatura_srednia]]&lt;=15,pogoda4[[#This Row],[opady]]&gt;0.61),0,pogoda4[[#This Row],[temperatura_srednia]]&gt;30,24000,pogoda4[[#This Row],[temperatura_srednia]]&gt;15,12000)</f>
        <v>12000</v>
      </c>
      <c r="J170">
        <f>IF(pogoda4[[#This Row],[stan_po_dolaniu]]&lt;pogoda4[[#This Row],[ile_podlewamy]],$AB$2-pogoda4[[#This Row],[stan_po_dolaniu]],0)</f>
        <v>0</v>
      </c>
      <c r="K170">
        <f>pogoda4[[#This Row],[stan_po_dolaniu]]+pogoda4[[#This Row],[ile_dolać_do_podlania]]</f>
        <v>12702</v>
      </c>
      <c r="L170">
        <f>pogoda4[[#This Row],[stan_po_dolaniu_do_podlania]]-pogoda4[[#This Row],[ile_podlewamy]]</f>
        <v>702</v>
      </c>
    </row>
    <row r="171" spans="1:12" x14ac:dyDescent="0.25">
      <c r="A171" s="2">
        <v>42264</v>
      </c>
      <c r="B171">
        <v>22</v>
      </c>
      <c r="C171">
        <v>0.5</v>
      </c>
      <c r="D171">
        <f t="shared" si="2"/>
        <v>702</v>
      </c>
      <c r="E171">
        <f>IF(C171=0,ROUNDUP($AB$3*POWER(pogoda4[[#This Row],[temperatura_srednia]],1.5)*pogoda4[[#This Row],[stan_przed_dolaniem]],0),0)</f>
        <v>0</v>
      </c>
      <c r="F171">
        <f>pogoda4[[#This Row],[stan_przed_dolaniem]]-pogoda4[[#This Row],[ubytek]]</f>
        <v>702</v>
      </c>
      <c r="G171">
        <f>IF(pogoda4[[#This Row],[opady]]*$AB$1+D171&gt;$AB$2,$AB$2-pogoda4[[#This Row],[stan_przed_dolaniem]],pogoda4[[#This Row],[opady]]*$AB$1)</f>
        <v>350</v>
      </c>
      <c r="H171">
        <f>pogoda4[[#This Row],[stan_po_ubytku]]+pogoda4[[#This Row],[ile_pogoda_dolała]]</f>
        <v>1052</v>
      </c>
      <c r="I171" cm="1">
        <f t="array" ref="I171">_xlfn.IFS(OR(pogoda4[[#This Row],[temperatura_srednia]]&lt;=15,pogoda4[[#This Row],[opady]]&gt;0.61),0,pogoda4[[#This Row],[temperatura_srednia]]&gt;30,24000,pogoda4[[#This Row],[temperatura_srednia]]&gt;15,12000)</f>
        <v>12000</v>
      </c>
      <c r="J171">
        <f>IF(pogoda4[[#This Row],[stan_po_dolaniu]]&lt;pogoda4[[#This Row],[ile_podlewamy]],$AB$2-pogoda4[[#This Row],[stan_po_dolaniu]],0)</f>
        <v>23948</v>
      </c>
      <c r="K171">
        <f>pogoda4[[#This Row],[stan_po_dolaniu]]+pogoda4[[#This Row],[ile_dolać_do_podlania]]</f>
        <v>25000</v>
      </c>
      <c r="L171">
        <f>pogoda4[[#This Row],[stan_po_dolaniu_do_podlania]]-pogoda4[[#This Row],[ile_podlewamy]]</f>
        <v>13000</v>
      </c>
    </row>
    <row r="172" spans="1:12" x14ac:dyDescent="0.25">
      <c r="A172" s="2">
        <v>42265</v>
      </c>
      <c r="B172">
        <v>16</v>
      </c>
      <c r="C172">
        <v>0</v>
      </c>
      <c r="D172">
        <f t="shared" si="2"/>
        <v>13000</v>
      </c>
      <c r="E172">
        <f>IF(C172=0,ROUNDUP($AB$3*POWER(pogoda4[[#This Row],[temperatura_srednia]],1.5)*pogoda4[[#This Row],[stan_przed_dolaniem]],0),0)</f>
        <v>250</v>
      </c>
      <c r="F172">
        <f>pogoda4[[#This Row],[stan_przed_dolaniem]]-pogoda4[[#This Row],[ubytek]]</f>
        <v>12750</v>
      </c>
      <c r="G172">
        <f>IF(pogoda4[[#This Row],[opady]]*$AB$1+D172&gt;$AB$2,$AB$2-pogoda4[[#This Row],[stan_przed_dolaniem]],pogoda4[[#This Row],[opady]]*$AB$1)</f>
        <v>0</v>
      </c>
      <c r="H172">
        <f>pogoda4[[#This Row],[stan_po_ubytku]]+pogoda4[[#This Row],[ile_pogoda_dolała]]</f>
        <v>12750</v>
      </c>
      <c r="I172" cm="1">
        <f t="array" ref="I172">_xlfn.IFS(OR(pogoda4[[#This Row],[temperatura_srednia]]&lt;=15,pogoda4[[#This Row],[opady]]&gt;0.61),0,pogoda4[[#This Row],[temperatura_srednia]]&gt;30,24000,pogoda4[[#This Row],[temperatura_srednia]]&gt;15,12000)</f>
        <v>12000</v>
      </c>
      <c r="J172">
        <f>IF(pogoda4[[#This Row],[stan_po_dolaniu]]&lt;pogoda4[[#This Row],[ile_podlewamy]],$AB$2-pogoda4[[#This Row],[stan_po_dolaniu]],0)</f>
        <v>0</v>
      </c>
      <c r="K172">
        <f>pogoda4[[#This Row],[stan_po_dolaniu]]+pogoda4[[#This Row],[ile_dolać_do_podlania]]</f>
        <v>12750</v>
      </c>
      <c r="L172">
        <f>pogoda4[[#This Row],[stan_po_dolaniu_do_podlania]]-pogoda4[[#This Row],[ile_podlewamy]]</f>
        <v>750</v>
      </c>
    </row>
    <row r="173" spans="1:12" x14ac:dyDescent="0.25">
      <c r="A173" s="2">
        <v>42266</v>
      </c>
      <c r="B173">
        <v>15</v>
      </c>
      <c r="C173">
        <v>0</v>
      </c>
      <c r="D173">
        <f t="shared" si="2"/>
        <v>750</v>
      </c>
      <c r="E173">
        <f>IF(C173=0,ROUNDUP($AB$3*POWER(pogoda4[[#This Row],[temperatura_srednia]],1.5)*pogoda4[[#This Row],[stan_przed_dolaniem]],0),0)</f>
        <v>14</v>
      </c>
      <c r="F173">
        <f>pogoda4[[#This Row],[stan_przed_dolaniem]]-pogoda4[[#This Row],[ubytek]]</f>
        <v>736</v>
      </c>
      <c r="G173">
        <f>IF(pogoda4[[#This Row],[opady]]*$AB$1+D173&gt;$AB$2,$AB$2-pogoda4[[#This Row],[stan_przed_dolaniem]],pogoda4[[#This Row],[opady]]*$AB$1)</f>
        <v>0</v>
      </c>
      <c r="H173">
        <f>pogoda4[[#This Row],[stan_po_ubytku]]+pogoda4[[#This Row],[ile_pogoda_dolała]]</f>
        <v>736</v>
      </c>
      <c r="I173" cm="1">
        <f t="array" ref="I173">_xlfn.IFS(OR(pogoda4[[#This Row],[temperatura_srednia]]&lt;=15,pogoda4[[#This Row],[opady]]&gt;0.61),0,pogoda4[[#This Row],[temperatura_srednia]]&gt;30,24000,pogoda4[[#This Row],[temperatura_srednia]]&gt;15,12000)</f>
        <v>0</v>
      </c>
      <c r="J173">
        <f>IF(pogoda4[[#This Row],[stan_po_dolaniu]]&lt;pogoda4[[#This Row],[ile_podlewamy]],$AB$2-pogoda4[[#This Row],[stan_po_dolaniu]],0)</f>
        <v>0</v>
      </c>
      <c r="K173">
        <f>pogoda4[[#This Row],[stan_po_dolaniu]]+pogoda4[[#This Row],[ile_dolać_do_podlania]]</f>
        <v>736</v>
      </c>
      <c r="L173">
        <f>pogoda4[[#This Row],[stan_po_dolaniu_do_podlania]]-pogoda4[[#This Row],[ile_podlewamy]]</f>
        <v>736</v>
      </c>
    </row>
    <row r="174" spans="1:12" x14ac:dyDescent="0.25">
      <c r="A174" s="2">
        <v>42267</v>
      </c>
      <c r="B174">
        <v>14</v>
      </c>
      <c r="C174">
        <v>2</v>
      </c>
      <c r="D174">
        <f t="shared" si="2"/>
        <v>736</v>
      </c>
      <c r="E174">
        <f>IF(C174=0,ROUNDUP($AB$3*POWER(pogoda4[[#This Row],[temperatura_srednia]],1.5)*pogoda4[[#This Row],[stan_przed_dolaniem]],0),0)</f>
        <v>0</v>
      </c>
      <c r="F174">
        <f>pogoda4[[#This Row],[stan_przed_dolaniem]]-pogoda4[[#This Row],[ubytek]]</f>
        <v>736</v>
      </c>
      <c r="G174">
        <f>IF(pogoda4[[#This Row],[opady]]*$AB$1+D174&gt;$AB$2,$AB$2-pogoda4[[#This Row],[stan_przed_dolaniem]],pogoda4[[#This Row],[opady]]*$AB$1)</f>
        <v>1400</v>
      </c>
      <c r="H174">
        <f>pogoda4[[#This Row],[stan_po_ubytku]]+pogoda4[[#This Row],[ile_pogoda_dolała]]</f>
        <v>2136</v>
      </c>
      <c r="I174" cm="1">
        <f t="array" ref="I174">_xlfn.IFS(OR(pogoda4[[#This Row],[temperatura_srednia]]&lt;=15,pogoda4[[#This Row],[opady]]&gt;0.61),0,pogoda4[[#This Row],[temperatura_srednia]]&gt;30,24000,pogoda4[[#This Row],[temperatura_srednia]]&gt;15,12000)</f>
        <v>0</v>
      </c>
      <c r="J174">
        <f>IF(pogoda4[[#This Row],[stan_po_dolaniu]]&lt;pogoda4[[#This Row],[ile_podlewamy]],$AB$2-pogoda4[[#This Row],[stan_po_dolaniu]],0)</f>
        <v>0</v>
      </c>
      <c r="K174">
        <f>pogoda4[[#This Row],[stan_po_dolaniu]]+pogoda4[[#This Row],[ile_dolać_do_podlania]]</f>
        <v>2136</v>
      </c>
      <c r="L174">
        <f>pogoda4[[#This Row],[stan_po_dolaniu_do_podlania]]-pogoda4[[#This Row],[ile_podlewamy]]</f>
        <v>2136</v>
      </c>
    </row>
    <row r="175" spans="1:12" x14ac:dyDescent="0.25">
      <c r="A175" s="2">
        <v>42268</v>
      </c>
      <c r="B175">
        <v>12</v>
      </c>
      <c r="C175">
        <v>0</v>
      </c>
      <c r="D175">
        <f t="shared" si="2"/>
        <v>2136</v>
      </c>
      <c r="E175">
        <f>IF(C175=0,ROUNDUP($AB$3*POWER(pogoda4[[#This Row],[temperatura_srednia]],1.5)*pogoda4[[#This Row],[stan_przed_dolaniem]],0),0)</f>
        <v>27</v>
      </c>
      <c r="F175">
        <f>pogoda4[[#This Row],[stan_przed_dolaniem]]-pogoda4[[#This Row],[ubytek]]</f>
        <v>2109</v>
      </c>
      <c r="G175">
        <f>IF(pogoda4[[#This Row],[opady]]*$AB$1+D175&gt;$AB$2,$AB$2-pogoda4[[#This Row],[stan_przed_dolaniem]],pogoda4[[#This Row],[opady]]*$AB$1)</f>
        <v>0</v>
      </c>
      <c r="H175">
        <f>pogoda4[[#This Row],[stan_po_ubytku]]+pogoda4[[#This Row],[ile_pogoda_dolała]]</f>
        <v>2109</v>
      </c>
      <c r="I175" cm="1">
        <f t="array" ref="I175">_xlfn.IFS(OR(pogoda4[[#This Row],[temperatura_srednia]]&lt;=15,pogoda4[[#This Row],[opady]]&gt;0.61),0,pogoda4[[#This Row],[temperatura_srednia]]&gt;30,24000,pogoda4[[#This Row],[temperatura_srednia]]&gt;15,12000)</f>
        <v>0</v>
      </c>
      <c r="J175">
        <f>IF(pogoda4[[#This Row],[stan_po_dolaniu]]&lt;pogoda4[[#This Row],[ile_podlewamy]],$AB$2-pogoda4[[#This Row],[stan_po_dolaniu]],0)</f>
        <v>0</v>
      </c>
      <c r="K175">
        <f>pogoda4[[#This Row],[stan_po_dolaniu]]+pogoda4[[#This Row],[ile_dolać_do_podlania]]</f>
        <v>2109</v>
      </c>
      <c r="L175">
        <f>pogoda4[[#This Row],[stan_po_dolaniu_do_podlania]]-pogoda4[[#This Row],[ile_podlewamy]]</f>
        <v>2109</v>
      </c>
    </row>
    <row r="176" spans="1:12" x14ac:dyDescent="0.25">
      <c r="A176" s="2">
        <v>42269</v>
      </c>
      <c r="B176">
        <v>13</v>
      </c>
      <c r="C176">
        <v>0</v>
      </c>
      <c r="D176">
        <f t="shared" si="2"/>
        <v>2109</v>
      </c>
      <c r="E176">
        <f>IF(C176=0,ROUNDUP($AB$3*POWER(pogoda4[[#This Row],[temperatura_srednia]],1.5)*pogoda4[[#This Row],[stan_przed_dolaniem]],0),0)</f>
        <v>30</v>
      </c>
      <c r="F176">
        <f>pogoda4[[#This Row],[stan_przed_dolaniem]]-pogoda4[[#This Row],[ubytek]]</f>
        <v>2079</v>
      </c>
      <c r="G176">
        <f>IF(pogoda4[[#This Row],[opady]]*$AB$1+D176&gt;$AB$2,$AB$2-pogoda4[[#This Row],[stan_przed_dolaniem]],pogoda4[[#This Row],[opady]]*$AB$1)</f>
        <v>0</v>
      </c>
      <c r="H176">
        <f>pogoda4[[#This Row],[stan_po_ubytku]]+pogoda4[[#This Row],[ile_pogoda_dolała]]</f>
        <v>2079</v>
      </c>
      <c r="I176" cm="1">
        <f t="array" ref="I176">_xlfn.IFS(OR(pogoda4[[#This Row],[temperatura_srednia]]&lt;=15,pogoda4[[#This Row],[opady]]&gt;0.61),0,pogoda4[[#This Row],[temperatura_srednia]]&gt;30,24000,pogoda4[[#This Row],[temperatura_srednia]]&gt;15,12000)</f>
        <v>0</v>
      </c>
      <c r="J176">
        <f>IF(pogoda4[[#This Row],[stan_po_dolaniu]]&lt;pogoda4[[#This Row],[ile_podlewamy]],$AB$2-pogoda4[[#This Row],[stan_po_dolaniu]],0)</f>
        <v>0</v>
      </c>
      <c r="K176">
        <f>pogoda4[[#This Row],[stan_po_dolaniu]]+pogoda4[[#This Row],[ile_dolać_do_podlania]]</f>
        <v>2079</v>
      </c>
      <c r="L176">
        <f>pogoda4[[#This Row],[stan_po_dolaniu_do_podlania]]-pogoda4[[#This Row],[ile_podlewamy]]</f>
        <v>2079</v>
      </c>
    </row>
    <row r="177" spans="1:12" x14ac:dyDescent="0.25">
      <c r="A177" s="2">
        <v>42270</v>
      </c>
      <c r="B177">
        <v>15</v>
      </c>
      <c r="C177">
        <v>0</v>
      </c>
      <c r="D177">
        <f t="shared" si="2"/>
        <v>2079</v>
      </c>
      <c r="E177">
        <f>IF(C177=0,ROUNDUP($AB$3*POWER(pogoda4[[#This Row],[temperatura_srednia]],1.5)*pogoda4[[#This Row],[stan_przed_dolaniem]],0),0)</f>
        <v>37</v>
      </c>
      <c r="F177">
        <f>pogoda4[[#This Row],[stan_przed_dolaniem]]-pogoda4[[#This Row],[ubytek]]</f>
        <v>2042</v>
      </c>
      <c r="G177">
        <f>IF(pogoda4[[#This Row],[opady]]*$AB$1+D177&gt;$AB$2,$AB$2-pogoda4[[#This Row],[stan_przed_dolaniem]],pogoda4[[#This Row],[opady]]*$AB$1)</f>
        <v>0</v>
      </c>
      <c r="H177">
        <f>pogoda4[[#This Row],[stan_po_ubytku]]+pogoda4[[#This Row],[ile_pogoda_dolała]]</f>
        <v>2042</v>
      </c>
      <c r="I177" cm="1">
        <f t="array" ref="I177">_xlfn.IFS(OR(pogoda4[[#This Row],[temperatura_srednia]]&lt;=15,pogoda4[[#This Row],[opady]]&gt;0.61),0,pogoda4[[#This Row],[temperatura_srednia]]&gt;30,24000,pogoda4[[#This Row],[temperatura_srednia]]&gt;15,12000)</f>
        <v>0</v>
      </c>
      <c r="J177">
        <f>IF(pogoda4[[#This Row],[stan_po_dolaniu]]&lt;pogoda4[[#This Row],[ile_podlewamy]],$AB$2-pogoda4[[#This Row],[stan_po_dolaniu]],0)</f>
        <v>0</v>
      </c>
      <c r="K177">
        <f>pogoda4[[#This Row],[stan_po_dolaniu]]+pogoda4[[#This Row],[ile_dolać_do_podlania]]</f>
        <v>2042</v>
      </c>
      <c r="L177">
        <f>pogoda4[[#This Row],[stan_po_dolaniu_do_podlania]]-pogoda4[[#This Row],[ile_podlewamy]]</f>
        <v>2042</v>
      </c>
    </row>
    <row r="178" spans="1:12" x14ac:dyDescent="0.25">
      <c r="A178" s="2">
        <v>42271</v>
      </c>
      <c r="B178">
        <v>15</v>
      </c>
      <c r="C178">
        <v>0</v>
      </c>
      <c r="D178">
        <f t="shared" si="2"/>
        <v>2042</v>
      </c>
      <c r="E178">
        <f>IF(C178=0,ROUNDUP($AB$3*POWER(pogoda4[[#This Row],[temperatura_srednia]],1.5)*pogoda4[[#This Row],[stan_przed_dolaniem]],0),0)</f>
        <v>36</v>
      </c>
      <c r="F178">
        <f>pogoda4[[#This Row],[stan_przed_dolaniem]]-pogoda4[[#This Row],[ubytek]]</f>
        <v>2006</v>
      </c>
      <c r="G178">
        <f>IF(pogoda4[[#This Row],[opady]]*$AB$1+D178&gt;$AB$2,$AB$2-pogoda4[[#This Row],[stan_przed_dolaniem]],pogoda4[[#This Row],[opady]]*$AB$1)</f>
        <v>0</v>
      </c>
      <c r="H178">
        <f>pogoda4[[#This Row],[stan_po_ubytku]]+pogoda4[[#This Row],[ile_pogoda_dolała]]</f>
        <v>2006</v>
      </c>
      <c r="I178" cm="1">
        <f t="array" ref="I178">_xlfn.IFS(OR(pogoda4[[#This Row],[temperatura_srednia]]&lt;=15,pogoda4[[#This Row],[opady]]&gt;0.61),0,pogoda4[[#This Row],[temperatura_srednia]]&gt;30,24000,pogoda4[[#This Row],[temperatura_srednia]]&gt;15,12000)</f>
        <v>0</v>
      </c>
      <c r="J178">
        <f>IF(pogoda4[[#This Row],[stan_po_dolaniu]]&lt;pogoda4[[#This Row],[ile_podlewamy]],$AB$2-pogoda4[[#This Row],[stan_po_dolaniu]],0)</f>
        <v>0</v>
      </c>
      <c r="K178">
        <f>pogoda4[[#This Row],[stan_po_dolaniu]]+pogoda4[[#This Row],[ile_dolać_do_podlania]]</f>
        <v>2006</v>
      </c>
      <c r="L178">
        <f>pogoda4[[#This Row],[stan_po_dolaniu_do_podlania]]-pogoda4[[#This Row],[ile_podlewamy]]</f>
        <v>2006</v>
      </c>
    </row>
    <row r="179" spans="1:12" x14ac:dyDescent="0.25">
      <c r="A179" s="2">
        <v>42272</v>
      </c>
      <c r="B179">
        <v>14</v>
      </c>
      <c r="C179">
        <v>0</v>
      </c>
      <c r="D179">
        <f t="shared" si="2"/>
        <v>2006</v>
      </c>
      <c r="E179">
        <f>IF(C179=0,ROUNDUP($AB$3*POWER(pogoda4[[#This Row],[temperatura_srednia]],1.5)*pogoda4[[#This Row],[stan_przed_dolaniem]],0),0)</f>
        <v>32</v>
      </c>
      <c r="F179">
        <f>pogoda4[[#This Row],[stan_przed_dolaniem]]-pogoda4[[#This Row],[ubytek]]</f>
        <v>1974</v>
      </c>
      <c r="G179">
        <f>IF(pogoda4[[#This Row],[opady]]*$AB$1+D179&gt;$AB$2,$AB$2-pogoda4[[#This Row],[stan_przed_dolaniem]],pogoda4[[#This Row],[opady]]*$AB$1)</f>
        <v>0</v>
      </c>
      <c r="H179">
        <f>pogoda4[[#This Row],[stan_po_ubytku]]+pogoda4[[#This Row],[ile_pogoda_dolała]]</f>
        <v>1974</v>
      </c>
      <c r="I179" cm="1">
        <f t="array" ref="I179">_xlfn.IFS(OR(pogoda4[[#This Row],[temperatura_srednia]]&lt;=15,pogoda4[[#This Row],[opady]]&gt;0.61),0,pogoda4[[#This Row],[temperatura_srednia]]&gt;30,24000,pogoda4[[#This Row],[temperatura_srednia]]&gt;15,12000)</f>
        <v>0</v>
      </c>
      <c r="J179">
        <f>IF(pogoda4[[#This Row],[stan_po_dolaniu]]&lt;pogoda4[[#This Row],[ile_podlewamy]],$AB$2-pogoda4[[#This Row],[stan_po_dolaniu]],0)</f>
        <v>0</v>
      </c>
      <c r="K179">
        <f>pogoda4[[#This Row],[stan_po_dolaniu]]+pogoda4[[#This Row],[ile_dolać_do_podlania]]</f>
        <v>1974</v>
      </c>
      <c r="L179">
        <f>pogoda4[[#This Row],[stan_po_dolaniu_do_podlania]]-pogoda4[[#This Row],[ile_podlewamy]]</f>
        <v>1974</v>
      </c>
    </row>
    <row r="180" spans="1:12" x14ac:dyDescent="0.25">
      <c r="A180" s="2">
        <v>42273</v>
      </c>
      <c r="B180">
        <v>12</v>
      </c>
      <c r="C180">
        <v>0</v>
      </c>
      <c r="D180">
        <f t="shared" si="2"/>
        <v>1974</v>
      </c>
      <c r="E180">
        <f>IF(C180=0,ROUNDUP($AB$3*POWER(pogoda4[[#This Row],[temperatura_srednia]],1.5)*pogoda4[[#This Row],[stan_przed_dolaniem]],0),0)</f>
        <v>25</v>
      </c>
      <c r="F180">
        <f>pogoda4[[#This Row],[stan_przed_dolaniem]]-pogoda4[[#This Row],[ubytek]]</f>
        <v>1949</v>
      </c>
      <c r="G180">
        <f>IF(pogoda4[[#This Row],[opady]]*$AB$1+D180&gt;$AB$2,$AB$2-pogoda4[[#This Row],[stan_przed_dolaniem]],pogoda4[[#This Row],[opady]]*$AB$1)</f>
        <v>0</v>
      </c>
      <c r="H180">
        <f>pogoda4[[#This Row],[stan_po_ubytku]]+pogoda4[[#This Row],[ile_pogoda_dolała]]</f>
        <v>1949</v>
      </c>
      <c r="I180" cm="1">
        <f t="array" ref="I180">_xlfn.IFS(OR(pogoda4[[#This Row],[temperatura_srednia]]&lt;=15,pogoda4[[#This Row],[opady]]&gt;0.61),0,pogoda4[[#This Row],[temperatura_srednia]]&gt;30,24000,pogoda4[[#This Row],[temperatura_srednia]]&gt;15,12000)</f>
        <v>0</v>
      </c>
      <c r="J180">
        <f>IF(pogoda4[[#This Row],[stan_po_dolaniu]]&lt;pogoda4[[#This Row],[ile_podlewamy]],$AB$2-pogoda4[[#This Row],[stan_po_dolaniu]],0)</f>
        <v>0</v>
      </c>
      <c r="K180">
        <f>pogoda4[[#This Row],[stan_po_dolaniu]]+pogoda4[[#This Row],[ile_dolać_do_podlania]]</f>
        <v>1949</v>
      </c>
      <c r="L180">
        <f>pogoda4[[#This Row],[stan_po_dolaniu_do_podlania]]-pogoda4[[#This Row],[ile_podlewamy]]</f>
        <v>1949</v>
      </c>
    </row>
    <row r="181" spans="1:12" x14ac:dyDescent="0.25">
      <c r="A181" s="2">
        <v>42274</v>
      </c>
      <c r="B181">
        <v>11</v>
      </c>
      <c r="C181">
        <v>0</v>
      </c>
      <c r="D181">
        <f t="shared" si="2"/>
        <v>1949</v>
      </c>
      <c r="E181">
        <f>IF(C181=0,ROUNDUP($AB$3*POWER(pogoda4[[#This Row],[temperatura_srednia]],1.5)*pogoda4[[#This Row],[stan_przed_dolaniem]],0),0)</f>
        <v>22</v>
      </c>
      <c r="F181">
        <f>pogoda4[[#This Row],[stan_przed_dolaniem]]-pogoda4[[#This Row],[ubytek]]</f>
        <v>1927</v>
      </c>
      <c r="G181">
        <f>IF(pogoda4[[#This Row],[opady]]*$AB$1+D181&gt;$AB$2,$AB$2-pogoda4[[#This Row],[stan_przed_dolaniem]],pogoda4[[#This Row],[opady]]*$AB$1)</f>
        <v>0</v>
      </c>
      <c r="H181">
        <f>pogoda4[[#This Row],[stan_po_ubytku]]+pogoda4[[#This Row],[ile_pogoda_dolała]]</f>
        <v>1927</v>
      </c>
      <c r="I181" cm="1">
        <f t="array" ref="I181">_xlfn.IFS(OR(pogoda4[[#This Row],[temperatura_srednia]]&lt;=15,pogoda4[[#This Row],[opady]]&gt;0.61),0,pogoda4[[#This Row],[temperatura_srednia]]&gt;30,24000,pogoda4[[#This Row],[temperatura_srednia]]&gt;15,12000)</f>
        <v>0</v>
      </c>
      <c r="J181">
        <f>IF(pogoda4[[#This Row],[stan_po_dolaniu]]&lt;pogoda4[[#This Row],[ile_podlewamy]],$AB$2-pogoda4[[#This Row],[stan_po_dolaniu]],0)</f>
        <v>0</v>
      </c>
      <c r="K181">
        <f>pogoda4[[#This Row],[stan_po_dolaniu]]+pogoda4[[#This Row],[ile_dolać_do_podlania]]</f>
        <v>1927</v>
      </c>
      <c r="L181">
        <f>pogoda4[[#This Row],[stan_po_dolaniu_do_podlania]]-pogoda4[[#This Row],[ile_podlewamy]]</f>
        <v>1927</v>
      </c>
    </row>
    <row r="182" spans="1:12" x14ac:dyDescent="0.25">
      <c r="A182" s="2">
        <v>42275</v>
      </c>
      <c r="B182">
        <v>10</v>
      </c>
      <c r="C182">
        <v>0</v>
      </c>
      <c r="D182">
        <f t="shared" si="2"/>
        <v>1927</v>
      </c>
      <c r="E182">
        <f>IF(C182=0,ROUNDUP($AB$3*POWER(pogoda4[[#This Row],[temperatura_srednia]],1.5)*pogoda4[[#This Row],[stan_przed_dolaniem]],0),0)</f>
        <v>19</v>
      </c>
      <c r="F182">
        <f>pogoda4[[#This Row],[stan_przed_dolaniem]]-pogoda4[[#This Row],[ubytek]]</f>
        <v>1908</v>
      </c>
      <c r="G182">
        <f>IF(pogoda4[[#This Row],[opady]]*$AB$1+D182&gt;$AB$2,$AB$2-pogoda4[[#This Row],[stan_przed_dolaniem]],pogoda4[[#This Row],[opady]]*$AB$1)</f>
        <v>0</v>
      </c>
      <c r="H182">
        <f>pogoda4[[#This Row],[stan_po_ubytku]]+pogoda4[[#This Row],[ile_pogoda_dolała]]</f>
        <v>1908</v>
      </c>
      <c r="I182" cm="1">
        <f t="array" ref="I182">_xlfn.IFS(OR(pogoda4[[#This Row],[temperatura_srednia]]&lt;=15,pogoda4[[#This Row],[opady]]&gt;0.61),0,pogoda4[[#This Row],[temperatura_srednia]]&gt;30,24000,pogoda4[[#This Row],[temperatura_srednia]]&gt;15,12000)</f>
        <v>0</v>
      </c>
      <c r="J182">
        <f>IF(pogoda4[[#This Row],[stan_po_dolaniu]]&lt;pogoda4[[#This Row],[ile_podlewamy]],$AB$2-pogoda4[[#This Row],[stan_po_dolaniu]],0)</f>
        <v>0</v>
      </c>
      <c r="K182">
        <f>pogoda4[[#This Row],[stan_po_dolaniu]]+pogoda4[[#This Row],[ile_dolać_do_podlania]]</f>
        <v>1908</v>
      </c>
      <c r="L182">
        <f>pogoda4[[#This Row],[stan_po_dolaniu_do_podlania]]-pogoda4[[#This Row],[ile_podlewamy]]</f>
        <v>1908</v>
      </c>
    </row>
    <row r="183" spans="1:12" x14ac:dyDescent="0.25">
      <c r="A183" s="2">
        <v>42276</v>
      </c>
      <c r="B183">
        <v>10</v>
      </c>
      <c r="C183">
        <v>0</v>
      </c>
      <c r="D183">
        <f t="shared" si="2"/>
        <v>1908</v>
      </c>
      <c r="E183">
        <f>IF(C183=0,ROUNDUP($AB$3*POWER(pogoda4[[#This Row],[temperatura_srednia]],1.5)*pogoda4[[#This Row],[stan_przed_dolaniem]],0),0)</f>
        <v>19</v>
      </c>
      <c r="F183">
        <f>pogoda4[[#This Row],[stan_przed_dolaniem]]-pogoda4[[#This Row],[ubytek]]</f>
        <v>1889</v>
      </c>
      <c r="G183">
        <f>IF(pogoda4[[#This Row],[opady]]*$AB$1+D183&gt;$AB$2,$AB$2-pogoda4[[#This Row],[stan_przed_dolaniem]],pogoda4[[#This Row],[opady]]*$AB$1)</f>
        <v>0</v>
      </c>
      <c r="H183">
        <f>pogoda4[[#This Row],[stan_po_ubytku]]+pogoda4[[#This Row],[ile_pogoda_dolała]]</f>
        <v>1889</v>
      </c>
      <c r="I183" cm="1">
        <f t="array" ref="I183">_xlfn.IFS(OR(pogoda4[[#This Row],[temperatura_srednia]]&lt;=15,pogoda4[[#This Row],[opady]]&gt;0.61),0,pogoda4[[#This Row],[temperatura_srednia]]&gt;30,24000,pogoda4[[#This Row],[temperatura_srednia]]&gt;15,12000)</f>
        <v>0</v>
      </c>
      <c r="J183">
        <f>IF(pogoda4[[#This Row],[stan_po_dolaniu]]&lt;pogoda4[[#This Row],[ile_podlewamy]],$AB$2-pogoda4[[#This Row],[stan_po_dolaniu]],0)</f>
        <v>0</v>
      </c>
      <c r="K183">
        <f>pogoda4[[#This Row],[stan_po_dolaniu]]+pogoda4[[#This Row],[ile_dolać_do_podlania]]</f>
        <v>1889</v>
      </c>
      <c r="L183">
        <f>pogoda4[[#This Row],[stan_po_dolaniu_do_podlania]]-pogoda4[[#This Row],[ile_podlewamy]]</f>
        <v>1889</v>
      </c>
    </row>
    <row r="184" spans="1:12" x14ac:dyDescent="0.25">
      <c r="A184" s="2">
        <v>42277</v>
      </c>
      <c r="B184">
        <v>10</v>
      </c>
      <c r="C184">
        <v>0</v>
      </c>
      <c r="D184">
        <f t="shared" si="2"/>
        <v>1889</v>
      </c>
      <c r="E184">
        <f>IF(C184=0,ROUNDUP($AB$3*POWER(pogoda4[[#This Row],[temperatura_srednia]],1.5)*pogoda4[[#This Row],[stan_przed_dolaniem]],0),0)</f>
        <v>18</v>
      </c>
      <c r="F184">
        <f>pogoda4[[#This Row],[stan_przed_dolaniem]]-pogoda4[[#This Row],[ubytek]]</f>
        <v>1871</v>
      </c>
      <c r="G184">
        <f>IF(pogoda4[[#This Row],[opady]]*$AB$1+D184&gt;$AB$2,$AB$2-pogoda4[[#This Row],[stan_przed_dolaniem]],pogoda4[[#This Row],[opady]]*$AB$1)</f>
        <v>0</v>
      </c>
      <c r="H184">
        <f>pogoda4[[#This Row],[stan_po_ubytku]]+pogoda4[[#This Row],[ile_pogoda_dolała]]</f>
        <v>1871</v>
      </c>
      <c r="I184" cm="1">
        <f t="array" ref="I184">_xlfn.IFS(OR(pogoda4[[#This Row],[temperatura_srednia]]&lt;=15,pogoda4[[#This Row],[opady]]&gt;0.61),0,pogoda4[[#This Row],[temperatura_srednia]]&gt;30,24000,pogoda4[[#This Row],[temperatura_srednia]]&gt;15,12000)</f>
        <v>0</v>
      </c>
      <c r="J184">
        <f>IF(pogoda4[[#This Row],[stan_po_dolaniu]]&lt;pogoda4[[#This Row],[ile_podlewamy]],$AB$2-pogoda4[[#This Row],[stan_po_dolaniu]],0)</f>
        <v>0</v>
      </c>
      <c r="K184">
        <f>pogoda4[[#This Row],[stan_po_dolaniu]]+pogoda4[[#This Row],[ile_dolać_do_podlania]]</f>
        <v>1871</v>
      </c>
      <c r="L184">
        <f>pogoda4[[#This Row],[stan_po_dolaniu_do_podlania]]-pogoda4[[#This Row],[ile_podlewamy]]</f>
        <v>1871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17C19C-9053-4CD6-ABEB-39072A9D0D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2025-11-06T20:34:10Z</dcterms:modified>
</cp:coreProperties>
</file>