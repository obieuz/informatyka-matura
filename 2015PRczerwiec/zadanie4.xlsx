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5PRczerwiec\"/>
    </mc:Choice>
  </mc:AlternateContent>
  <xr:revisionPtr revIDLastSave="0" documentId="13_ncr:1_{EDF044FE-BFCA-4259-8219-251D290C3E2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3" sheetId="7" r:id="rId1"/>
    <sheet name="2" sheetId="11" r:id="rId2"/>
    <sheet name="1" sheetId="4" r:id="rId3"/>
    <sheet name="4" sheetId="8" r:id="rId4"/>
    <sheet name="5" sheetId="9" r:id="rId5"/>
    <sheet name="6" sheetId="10" r:id="rId6"/>
    <sheet name="dane" sheetId="2" r:id="rId7"/>
  </sheets>
  <definedNames>
    <definedName name="ExternalData_1" localSheetId="2" hidden="1">'1'!#REF!</definedName>
    <definedName name="ExternalData_1" localSheetId="1" hidden="1">'2'!#REF!</definedName>
    <definedName name="ExternalData_1" localSheetId="0" hidden="1">'3'!#REF!</definedName>
    <definedName name="ExternalData_1" localSheetId="3" hidden="1">'4'!#REF!</definedName>
    <definedName name="ExternalData_1" localSheetId="4" hidden="1">'5'!#REF!</definedName>
    <definedName name="ExternalData_1" localSheetId="5" hidden="1">'6'!#REF!</definedName>
    <definedName name="ExternalData_1" localSheetId="6" hidden="1">dane!#REF!</definedName>
  </definedNames>
  <calcPr calcId="191029"/>
  <pivotCaches>
    <pivotCache cacheId="0" r:id="rId8"/>
    <pivotCache cacheId="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1" l="1"/>
  <c r="I2" i="11"/>
  <c r="H2" i="11"/>
  <c r="K2" i="11" s="1" a="1"/>
  <c r="K2" i="11" s="1"/>
  <c r="P8" i="10"/>
  <c r="J2" i="10"/>
  <c r="I2" i="10"/>
  <c r="H2" i="10"/>
  <c r="K2" i="10" s="1" a="1"/>
  <c r="K2" i="10" s="1"/>
  <c r="J2" i="9"/>
  <c r="I2" i="9"/>
  <c r="K2" i="9" s="1" a="1"/>
  <c r="K2" i="9" s="1"/>
  <c r="H2" i="9"/>
  <c r="K2" i="8" a="1"/>
  <c r="K2" i="8" s="1"/>
  <c r="J2" i="8"/>
  <c r="I2" i="8"/>
  <c r="H2" i="8"/>
  <c r="T19" i="7"/>
  <c r="S19" i="7"/>
  <c r="R19" i="7"/>
  <c r="Q19" i="7"/>
  <c r="K2" i="7" a="1"/>
  <c r="K2" i="7" s="1"/>
  <c r="J2" i="7"/>
  <c r="I2" i="7"/>
  <c r="H2" i="7"/>
  <c r="J2" i="4"/>
  <c r="I2" i="4"/>
  <c r="H2" i="4"/>
  <c r="K2" i="4" s="1" a="1"/>
  <c r="K2" i="4" s="1"/>
  <c r="N2" i="4" s="1"/>
  <c r="D3" i="4" s="1"/>
  <c r="J3" i="4" s="1"/>
  <c r="J3" i="2"/>
  <c r="I3" i="2"/>
  <c r="H3" i="2"/>
  <c r="J2" i="2"/>
  <c r="I2" i="2"/>
  <c r="H2" i="2"/>
  <c r="N2" i="11" l="1"/>
  <c r="D3" i="11" s="1"/>
  <c r="J3" i="11" s="1"/>
  <c r="M2" i="11"/>
  <c r="C3" i="11" s="1"/>
  <c r="I3" i="11" s="1"/>
  <c r="L2" i="11"/>
  <c r="B3" i="11" s="1"/>
  <c r="H3" i="11" s="1"/>
  <c r="N2" i="10"/>
  <c r="D3" i="10" s="1"/>
  <c r="J3" i="10" s="1"/>
  <c r="M2" i="10"/>
  <c r="C3" i="10" s="1"/>
  <c r="I3" i="10" s="1"/>
  <c r="L2" i="10"/>
  <c r="B3" i="10" s="1"/>
  <c r="H3" i="10" s="1"/>
  <c r="K3" i="10" s="1" a="1"/>
  <c r="K3" i="10" s="1"/>
  <c r="N2" i="9"/>
  <c r="D3" i="9" s="1"/>
  <c r="J3" i="9" s="1"/>
  <c r="M2" i="9"/>
  <c r="C3" i="9" s="1"/>
  <c r="I3" i="9" s="1"/>
  <c r="L2" i="9"/>
  <c r="B3" i="9" s="1"/>
  <c r="H3" i="9" s="1"/>
  <c r="N2" i="8"/>
  <c r="D3" i="8" s="1"/>
  <c r="J3" i="8" s="1"/>
  <c r="M2" i="8"/>
  <c r="C3" i="8" s="1"/>
  <c r="I3" i="8" s="1"/>
  <c r="L2" i="8"/>
  <c r="B3" i="8" s="1"/>
  <c r="H3" i="8" s="1"/>
  <c r="N2" i="7"/>
  <c r="D3" i="7" s="1"/>
  <c r="J3" i="7" s="1"/>
  <c r="M2" i="7"/>
  <c r="C3" i="7" s="1"/>
  <c r="I3" i="7" s="1"/>
  <c r="L2" i="7"/>
  <c r="B3" i="7" s="1"/>
  <c r="H3" i="7" s="1"/>
  <c r="L2" i="4"/>
  <c r="B3" i="4" s="1"/>
  <c r="H3" i="4" s="1"/>
  <c r="M2" i="4"/>
  <c r="C3" i="4" s="1"/>
  <c r="I3" i="4" s="1"/>
  <c r="K2" i="2" a="1"/>
  <c r="K2" i="2" s="1"/>
  <c r="L2" i="2" s="1"/>
  <c r="B3" i="2" s="1"/>
  <c r="K3" i="11" l="1" a="1"/>
  <c r="K3" i="11" s="1"/>
  <c r="N3" i="10"/>
  <c r="D4" i="10" s="1"/>
  <c r="J4" i="10" s="1"/>
  <c r="M3" i="10"/>
  <c r="C4" i="10" s="1"/>
  <c r="I4" i="10" s="1"/>
  <c r="L3" i="10"/>
  <c r="B4" i="10" s="1"/>
  <c r="H4" i="10" s="1"/>
  <c r="K4" i="10" s="1" a="1"/>
  <c r="K4" i="10" s="1"/>
  <c r="K3" i="9" a="1"/>
  <c r="K3" i="9" s="1"/>
  <c r="K3" i="8" a="1"/>
  <c r="K3" i="8" s="1"/>
  <c r="K3" i="7" a="1"/>
  <c r="K3" i="7" s="1"/>
  <c r="K3" i="4" a="1"/>
  <c r="K3" i="4" s="1"/>
  <c r="N2" i="2"/>
  <c r="D3" i="2" s="1"/>
  <c r="M2" i="2"/>
  <c r="C3" i="2" s="1"/>
  <c r="M3" i="11" l="1"/>
  <c r="C4" i="11" s="1"/>
  <c r="I4" i="11" s="1"/>
  <c r="L3" i="11"/>
  <c r="B4" i="11" s="1"/>
  <c r="H4" i="11" s="1"/>
  <c r="K4" i="11" s="1" a="1"/>
  <c r="K4" i="11" s="1"/>
  <c r="N3" i="11"/>
  <c r="D4" i="11" s="1"/>
  <c r="J4" i="11" s="1"/>
  <c r="N4" i="10"/>
  <c r="D5" i="10" s="1"/>
  <c r="J5" i="10" s="1"/>
  <c r="M4" i="10"/>
  <c r="C5" i="10" s="1"/>
  <c r="I5" i="10" s="1"/>
  <c r="L4" i="10"/>
  <c r="B5" i="10" s="1"/>
  <c r="H5" i="10" s="1"/>
  <c r="K5" i="10" s="1" a="1"/>
  <c r="K5" i="10" s="1"/>
  <c r="N3" i="9"/>
  <c r="D4" i="9" s="1"/>
  <c r="J4" i="9" s="1"/>
  <c r="M3" i="9"/>
  <c r="C4" i="9" s="1"/>
  <c r="I4" i="9" s="1"/>
  <c r="L3" i="9"/>
  <c r="B4" i="9" s="1"/>
  <c r="H4" i="9" s="1"/>
  <c r="K4" i="9" s="1" a="1"/>
  <c r="K4" i="9" s="1"/>
  <c r="L3" i="8"/>
  <c r="B4" i="8" s="1"/>
  <c r="H4" i="8" s="1"/>
  <c r="N3" i="8"/>
  <c r="D4" i="8" s="1"/>
  <c r="J4" i="8" s="1"/>
  <c r="M3" i="8"/>
  <c r="C4" i="8" s="1"/>
  <c r="I4" i="8" s="1"/>
  <c r="N3" i="7"/>
  <c r="D4" i="7" s="1"/>
  <c r="J4" i="7" s="1"/>
  <c r="L3" i="7"/>
  <c r="B4" i="7" s="1"/>
  <c r="H4" i="7" s="1"/>
  <c r="K4" i="7" s="1" a="1"/>
  <c r="K4" i="7" s="1"/>
  <c r="M3" i="7"/>
  <c r="C4" i="7" s="1"/>
  <c r="I4" i="7" s="1"/>
  <c r="L3" i="4"/>
  <c r="B4" i="4" s="1"/>
  <c r="H4" i="4" s="1"/>
  <c r="M3" i="4"/>
  <c r="C4" i="4" s="1"/>
  <c r="I4" i="4" s="1"/>
  <c r="N3" i="4"/>
  <c r="D4" i="4" s="1"/>
  <c r="J4" i="4" s="1"/>
  <c r="K3" i="2" a="1"/>
  <c r="K3" i="2" s="1"/>
  <c r="M3" i="2" s="1"/>
  <c r="C4" i="2" s="1"/>
  <c r="I4" i="2" s="1"/>
  <c r="N4" i="11" l="1"/>
  <c r="D5" i="11" s="1"/>
  <c r="J5" i="11" s="1"/>
  <c r="L4" i="11"/>
  <c r="B5" i="11" s="1"/>
  <c r="H5" i="11" s="1"/>
  <c r="K5" i="11" s="1" a="1"/>
  <c r="K5" i="11" s="1"/>
  <c r="M4" i="11"/>
  <c r="C5" i="11" s="1"/>
  <c r="I5" i="11" s="1"/>
  <c r="M5" i="10"/>
  <c r="C6" i="10" s="1"/>
  <c r="I6" i="10" s="1"/>
  <c r="N5" i="10"/>
  <c r="D6" i="10" s="1"/>
  <c r="J6" i="10" s="1"/>
  <c r="L5" i="10"/>
  <c r="B6" i="10" s="1"/>
  <c r="H6" i="10" s="1"/>
  <c r="K6" i="10" s="1" a="1"/>
  <c r="K6" i="10" s="1"/>
  <c r="N4" i="9"/>
  <c r="D5" i="9" s="1"/>
  <c r="J5" i="9" s="1"/>
  <c r="M4" i="9"/>
  <c r="C5" i="9" s="1"/>
  <c r="I5" i="9" s="1"/>
  <c r="L4" i="9"/>
  <c r="B5" i="9" s="1"/>
  <c r="H5" i="9" s="1"/>
  <c r="K4" i="8" a="1"/>
  <c r="K4" i="8" s="1"/>
  <c r="M4" i="7"/>
  <c r="C5" i="7" s="1"/>
  <c r="I5" i="7" s="1"/>
  <c r="N4" i="7"/>
  <c r="D5" i="7" s="1"/>
  <c r="J5" i="7" s="1"/>
  <c r="L4" i="7"/>
  <c r="B5" i="7" s="1"/>
  <c r="H5" i="7" s="1"/>
  <c r="K4" i="4" a="1"/>
  <c r="K4" i="4" s="1"/>
  <c r="N3" i="2"/>
  <c r="D4" i="2" s="1"/>
  <c r="J4" i="2" s="1"/>
  <c r="L3" i="2"/>
  <c r="B4" i="2" s="1"/>
  <c r="H4" i="2" s="1"/>
  <c r="M5" i="11" l="1"/>
  <c r="C6" i="11" s="1"/>
  <c r="I6" i="11" s="1"/>
  <c r="N5" i="11"/>
  <c r="D6" i="11" s="1"/>
  <c r="J6" i="11" s="1"/>
  <c r="L5" i="11"/>
  <c r="B6" i="11" s="1"/>
  <c r="H6" i="11" s="1"/>
  <c r="N6" i="10"/>
  <c r="D7" i="10" s="1"/>
  <c r="J7" i="10" s="1"/>
  <c r="M6" i="10"/>
  <c r="C7" i="10" s="1"/>
  <c r="I7" i="10" s="1"/>
  <c r="L6" i="10"/>
  <c r="B7" i="10" s="1"/>
  <c r="H7" i="10" s="1"/>
  <c r="K7" i="10" s="1" a="1"/>
  <c r="K7" i="10" s="1"/>
  <c r="K5" i="9" a="1"/>
  <c r="K5" i="9" s="1"/>
  <c r="N4" i="8"/>
  <c r="D5" i="8" s="1"/>
  <c r="J5" i="8" s="1"/>
  <c r="M4" i="8"/>
  <c r="C5" i="8" s="1"/>
  <c r="I5" i="8" s="1"/>
  <c r="L4" i="8"/>
  <c r="B5" i="8" s="1"/>
  <c r="H5" i="8" s="1"/>
  <c r="K5" i="8" s="1" a="1"/>
  <c r="K5" i="8" s="1"/>
  <c r="K5" i="7" a="1"/>
  <c r="K5" i="7" s="1"/>
  <c r="M4" i="4"/>
  <c r="C5" i="4" s="1"/>
  <c r="I5" i="4" s="1"/>
  <c r="L4" i="4"/>
  <c r="B5" i="4" s="1"/>
  <c r="H5" i="4" s="1"/>
  <c r="K5" i="4" s="1" a="1"/>
  <c r="K5" i="4" s="1"/>
  <c r="N4" i="4"/>
  <c r="D5" i="4" s="1"/>
  <c r="J5" i="4" s="1"/>
  <c r="K4" i="2" a="1"/>
  <c r="K4" i="2" s="1"/>
  <c r="L4" i="2" s="1"/>
  <c r="B5" i="2" s="1"/>
  <c r="H5" i="2" s="1"/>
  <c r="K6" i="11" l="1" a="1"/>
  <c r="K6" i="11" s="1"/>
  <c r="M7" i="10"/>
  <c r="C8" i="10" s="1"/>
  <c r="I8" i="10" s="1"/>
  <c r="L7" i="10"/>
  <c r="B8" i="10" s="1"/>
  <c r="H8" i="10" s="1"/>
  <c r="K8" i="10" s="1" a="1"/>
  <c r="K8" i="10" s="1"/>
  <c r="N7" i="10"/>
  <c r="D8" i="10" s="1"/>
  <c r="J8" i="10" s="1"/>
  <c r="N5" i="9"/>
  <c r="D6" i="9" s="1"/>
  <c r="J6" i="9" s="1"/>
  <c r="M5" i="9"/>
  <c r="C6" i="9" s="1"/>
  <c r="I6" i="9" s="1"/>
  <c r="L5" i="9"/>
  <c r="B6" i="9" s="1"/>
  <c r="H6" i="9" s="1"/>
  <c r="K6" i="9" s="1" a="1"/>
  <c r="K6" i="9" s="1"/>
  <c r="N5" i="8"/>
  <c r="D6" i="8" s="1"/>
  <c r="J6" i="8" s="1"/>
  <c r="M5" i="8"/>
  <c r="C6" i="8" s="1"/>
  <c r="I6" i="8" s="1"/>
  <c r="L5" i="8"/>
  <c r="B6" i="8" s="1"/>
  <c r="H6" i="8" s="1"/>
  <c r="K6" i="8" s="1" a="1"/>
  <c r="K6" i="8" s="1"/>
  <c r="L5" i="7"/>
  <c r="B6" i="7" s="1"/>
  <c r="H6" i="7" s="1"/>
  <c r="N5" i="7"/>
  <c r="D6" i="7" s="1"/>
  <c r="J6" i="7" s="1"/>
  <c r="M5" i="7"/>
  <c r="C6" i="7" s="1"/>
  <c r="I6" i="7" s="1"/>
  <c r="N5" i="4"/>
  <c r="D6" i="4" s="1"/>
  <c r="J6" i="4" s="1"/>
  <c r="M5" i="4"/>
  <c r="C6" i="4" s="1"/>
  <c r="I6" i="4" s="1"/>
  <c r="L5" i="4"/>
  <c r="B6" i="4" s="1"/>
  <c r="H6" i="4" s="1"/>
  <c r="N4" i="2"/>
  <c r="D5" i="2" s="1"/>
  <c r="J5" i="2" s="1"/>
  <c r="M4" i="2"/>
  <c r="C5" i="2" s="1"/>
  <c r="I5" i="2" s="1"/>
  <c r="N6" i="11" l="1"/>
  <c r="D7" i="11" s="1"/>
  <c r="J7" i="11" s="1"/>
  <c r="M6" i="11"/>
  <c r="C7" i="11" s="1"/>
  <c r="I7" i="11" s="1"/>
  <c r="L6" i="11"/>
  <c r="B7" i="11" s="1"/>
  <c r="H7" i="11" s="1"/>
  <c r="K7" i="11" s="1" a="1"/>
  <c r="K7" i="11" s="1"/>
  <c r="N8" i="10"/>
  <c r="D9" i="10" s="1"/>
  <c r="J9" i="10" s="1"/>
  <c r="L8" i="10"/>
  <c r="B9" i="10" s="1"/>
  <c r="H9" i="10" s="1"/>
  <c r="M8" i="10"/>
  <c r="C9" i="10" s="1"/>
  <c r="I9" i="10" s="1"/>
  <c r="N6" i="9"/>
  <c r="D7" i="9" s="1"/>
  <c r="J7" i="9" s="1"/>
  <c r="M6" i="9"/>
  <c r="C7" i="9" s="1"/>
  <c r="I7" i="9" s="1"/>
  <c r="L6" i="9"/>
  <c r="B7" i="9" s="1"/>
  <c r="H7" i="9" s="1"/>
  <c r="K7" i="9" s="1" a="1"/>
  <c r="K7" i="9" s="1"/>
  <c r="L6" i="8"/>
  <c r="B7" i="8" s="1"/>
  <c r="H7" i="8" s="1"/>
  <c r="M6" i="8"/>
  <c r="C7" i="8" s="1"/>
  <c r="I7" i="8" s="1"/>
  <c r="N6" i="8"/>
  <c r="D7" i="8" s="1"/>
  <c r="J7" i="8" s="1"/>
  <c r="K6" i="7" a="1"/>
  <c r="K6" i="7" s="1"/>
  <c r="K6" i="4" a="1"/>
  <c r="K6" i="4" s="1"/>
  <c r="K5" i="2" a="1"/>
  <c r="K5" i="2" s="1"/>
  <c r="N7" i="11" l="1"/>
  <c r="D8" i="11" s="1"/>
  <c r="J8" i="11" s="1"/>
  <c r="M7" i="11"/>
  <c r="C8" i="11" s="1"/>
  <c r="I8" i="11" s="1"/>
  <c r="L7" i="11"/>
  <c r="B8" i="11" s="1"/>
  <c r="H8" i="11" s="1"/>
  <c r="K8" i="11" s="1" a="1"/>
  <c r="K8" i="11" s="1"/>
  <c r="K9" i="10" a="1"/>
  <c r="K9" i="10" s="1"/>
  <c r="N7" i="9"/>
  <c r="D8" i="9" s="1"/>
  <c r="J8" i="9" s="1"/>
  <c r="L7" i="9"/>
  <c r="B8" i="9" s="1"/>
  <c r="H8" i="9" s="1"/>
  <c r="K8" i="9" s="1" a="1"/>
  <c r="K8" i="9" s="1"/>
  <c r="M7" i="9"/>
  <c r="C8" i="9" s="1"/>
  <c r="I8" i="9" s="1"/>
  <c r="K7" i="8" a="1"/>
  <c r="K7" i="8" s="1"/>
  <c r="M6" i="7"/>
  <c r="C7" i="7" s="1"/>
  <c r="I7" i="7" s="1"/>
  <c r="L6" i="7"/>
  <c r="B7" i="7" s="1"/>
  <c r="H7" i="7" s="1"/>
  <c r="K7" i="7" s="1" a="1"/>
  <c r="K7" i="7" s="1"/>
  <c r="N6" i="7"/>
  <c r="D7" i="7" s="1"/>
  <c r="J7" i="7" s="1"/>
  <c r="N6" i="4"/>
  <c r="D7" i="4" s="1"/>
  <c r="J7" i="4" s="1"/>
  <c r="M6" i="4"/>
  <c r="C7" i="4" s="1"/>
  <c r="I7" i="4" s="1"/>
  <c r="L6" i="4"/>
  <c r="B7" i="4" s="1"/>
  <c r="H7" i="4" s="1"/>
  <c r="K7" i="4" s="1" a="1"/>
  <c r="K7" i="4" s="1"/>
  <c r="L5" i="2"/>
  <c r="B6" i="2" s="1"/>
  <c r="H6" i="2" s="1"/>
  <c r="N5" i="2"/>
  <c r="D6" i="2" s="1"/>
  <c r="J6" i="2" s="1"/>
  <c r="M5" i="2"/>
  <c r="C6" i="2" s="1"/>
  <c r="I6" i="2" s="1"/>
  <c r="N8" i="11" l="1"/>
  <c r="D9" i="11" s="1"/>
  <c r="J9" i="11" s="1"/>
  <c r="M8" i="11"/>
  <c r="C9" i="11" s="1"/>
  <c r="I9" i="11" s="1"/>
  <c r="L8" i="11"/>
  <c r="B9" i="11" s="1"/>
  <c r="H9" i="11" s="1"/>
  <c r="K9" i="11" s="1" a="1"/>
  <c r="K9" i="11" s="1"/>
  <c r="M9" i="10"/>
  <c r="C10" i="10" s="1"/>
  <c r="I10" i="10" s="1"/>
  <c r="N9" i="10"/>
  <c r="D10" i="10" s="1"/>
  <c r="J10" i="10" s="1"/>
  <c r="L9" i="10"/>
  <c r="B10" i="10" s="1"/>
  <c r="H10" i="10" s="1"/>
  <c r="K10" i="10" s="1" a="1"/>
  <c r="K10" i="10" s="1"/>
  <c r="N8" i="9"/>
  <c r="D9" i="9" s="1"/>
  <c r="J9" i="9" s="1"/>
  <c r="M8" i="9"/>
  <c r="C9" i="9" s="1"/>
  <c r="I9" i="9" s="1"/>
  <c r="L8" i="9"/>
  <c r="B9" i="9" s="1"/>
  <c r="H9" i="9" s="1"/>
  <c r="M7" i="8"/>
  <c r="C8" i="8" s="1"/>
  <c r="I8" i="8" s="1"/>
  <c r="L7" i="8"/>
  <c r="B8" i="8" s="1"/>
  <c r="H8" i="8" s="1"/>
  <c r="K8" i="8" s="1" a="1"/>
  <c r="K8" i="8" s="1"/>
  <c r="N7" i="8"/>
  <c r="D8" i="8" s="1"/>
  <c r="J8" i="8" s="1"/>
  <c r="N7" i="7"/>
  <c r="D8" i="7" s="1"/>
  <c r="J8" i="7" s="1"/>
  <c r="M7" i="7"/>
  <c r="C8" i="7" s="1"/>
  <c r="I8" i="7" s="1"/>
  <c r="L7" i="7"/>
  <c r="B8" i="7" s="1"/>
  <c r="H8" i="7" s="1"/>
  <c r="K8" i="7" s="1" a="1"/>
  <c r="K8" i="7" s="1"/>
  <c r="N7" i="4"/>
  <c r="D8" i="4" s="1"/>
  <c r="J8" i="4" s="1"/>
  <c r="M7" i="4"/>
  <c r="C8" i="4" s="1"/>
  <c r="I8" i="4" s="1"/>
  <c r="L7" i="4"/>
  <c r="B8" i="4" s="1"/>
  <c r="H8" i="4" s="1"/>
  <c r="K8" i="4" s="1" a="1"/>
  <c r="K8" i="4" s="1"/>
  <c r="K6" i="2" a="1"/>
  <c r="K6" i="2" s="1"/>
  <c r="L9" i="11" l="1"/>
  <c r="B10" i="11" s="1"/>
  <c r="H10" i="11" s="1"/>
  <c r="N9" i="11"/>
  <c r="D10" i="11" s="1"/>
  <c r="J10" i="11" s="1"/>
  <c r="M9" i="11"/>
  <c r="C10" i="11" s="1"/>
  <c r="I10" i="11" s="1"/>
  <c r="M10" i="10"/>
  <c r="C11" i="10" s="1"/>
  <c r="I11" i="10" s="1"/>
  <c r="L10" i="10"/>
  <c r="B11" i="10" s="1"/>
  <c r="H11" i="10" s="1"/>
  <c r="N10" i="10"/>
  <c r="D11" i="10" s="1"/>
  <c r="J11" i="10" s="1"/>
  <c r="K9" i="9" a="1"/>
  <c r="K9" i="9" s="1"/>
  <c r="N8" i="8"/>
  <c r="D9" i="8" s="1"/>
  <c r="J9" i="8" s="1"/>
  <c r="M8" i="8"/>
  <c r="C9" i="8" s="1"/>
  <c r="I9" i="8" s="1"/>
  <c r="L8" i="8"/>
  <c r="B9" i="8" s="1"/>
  <c r="H9" i="8" s="1"/>
  <c r="K9" i="8" s="1" a="1"/>
  <c r="K9" i="8" s="1"/>
  <c r="N8" i="7"/>
  <c r="D9" i="7" s="1"/>
  <c r="J9" i="7" s="1"/>
  <c r="M8" i="7"/>
  <c r="C9" i="7" s="1"/>
  <c r="I9" i="7" s="1"/>
  <c r="L8" i="7"/>
  <c r="B9" i="7" s="1"/>
  <c r="H9" i="7" s="1"/>
  <c r="N8" i="4"/>
  <c r="D9" i="4" s="1"/>
  <c r="J9" i="4" s="1"/>
  <c r="M8" i="4"/>
  <c r="C9" i="4" s="1"/>
  <c r="I9" i="4" s="1"/>
  <c r="L8" i="4"/>
  <c r="B9" i="4" s="1"/>
  <c r="H9" i="4" s="1"/>
  <c r="K9" i="4" s="1" a="1"/>
  <c r="K9" i="4" s="1"/>
  <c r="M6" i="2"/>
  <c r="C7" i="2" s="1"/>
  <c r="I7" i="2" s="1"/>
  <c r="L6" i="2"/>
  <c r="B7" i="2" s="1"/>
  <c r="H7" i="2" s="1"/>
  <c r="N6" i="2"/>
  <c r="D7" i="2" s="1"/>
  <c r="J7" i="2" s="1"/>
  <c r="K10" i="11" l="1" a="1"/>
  <c r="K10" i="11" s="1"/>
  <c r="K11" i="10" a="1"/>
  <c r="K11" i="10" s="1"/>
  <c r="N9" i="9"/>
  <c r="D10" i="9" s="1"/>
  <c r="J10" i="9" s="1"/>
  <c r="M9" i="9"/>
  <c r="C10" i="9" s="1"/>
  <c r="I10" i="9" s="1"/>
  <c r="L9" i="9"/>
  <c r="B10" i="9" s="1"/>
  <c r="H10" i="9" s="1"/>
  <c r="K10" i="9" s="1" a="1"/>
  <c r="K10" i="9" s="1"/>
  <c r="N9" i="8"/>
  <c r="D10" i="8" s="1"/>
  <c r="J10" i="8" s="1"/>
  <c r="M9" i="8"/>
  <c r="C10" i="8" s="1"/>
  <c r="I10" i="8" s="1"/>
  <c r="L9" i="8"/>
  <c r="B10" i="8" s="1"/>
  <c r="H10" i="8" s="1"/>
  <c r="K10" i="8" s="1" a="1"/>
  <c r="K10" i="8" s="1"/>
  <c r="K9" i="7" a="1"/>
  <c r="K9" i="7" s="1"/>
  <c r="N9" i="4"/>
  <c r="D10" i="4" s="1"/>
  <c r="J10" i="4" s="1"/>
  <c r="M9" i="4"/>
  <c r="C10" i="4" s="1"/>
  <c r="I10" i="4" s="1"/>
  <c r="L9" i="4"/>
  <c r="B10" i="4" s="1"/>
  <c r="H10" i="4" s="1"/>
  <c r="K7" i="2" a="1"/>
  <c r="K7" i="2" s="1"/>
  <c r="N7" i="2" s="1"/>
  <c r="D8" i="2" s="1"/>
  <c r="J8" i="2" s="1"/>
  <c r="M10" i="11" l="1"/>
  <c r="C11" i="11" s="1"/>
  <c r="I11" i="11" s="1"/>
  <c r="L10" i="11"/>
  <c r="B11" i="11" s="1"/>
  <c r="H11" i="11" s="1"/>
  <c r="N10" i="11"/>
  <c r="D11" i="11" s="1"/>
  <c r="J11" i="11" s="1"/>
  <c r="N11" i="10"/>
  <c r="D12" i="10" s="1"/>
  <c r="J12" i="10" s="1"/>
  <c r="M11" i="10"/>
  <c r="C12" i="10" s="1"/>
  <c r="I12" i="10" s="1"/>
  <c r="L11" i="10"/>
  <c r="B12" i="10" s="1"/>
  <c r="H12" i="10" s="1"/>
  <c r="K12" i="10" s="1" a="1"/>
  <c r="K12" i="10" s="1"/>
  <c r="L10" i="9"/>
  <c r="B11" i="9" s="1"/>
  <c r="H11" i="9" s="1"/>
  <c r="N10" i="9"/>
  <c r="D11" i="9" s="1"/>
  <c r="J11" i="9" s="1"/>
  <c r="M10" i="9"/>
  <c r="C11" i="9" s="1"/>
  <c r="I11" i="9" s="1"/>
  <c r="M10" i="8"/>
  <c r="C11" i="8" s="1"/>
  <c r="I11" i="8" s="1"/>
  <c r="L10" i="8"/>
  <c r="B11" i="8" s="1"/>
  <c r="H11" i="8" s="1"/>
  <c r="N10" i="8"/>
  <c r="D11" i="8" s="1"/>
  <c r="J11" i="8" s="1"/>
  <c r="N9" i="7"/>
  <c r="D10" i="7" s="1"/>
  <c r="J10" i="7" s="1"/>
  <c r="M9" i="7"/>
  <c r="C10" i="7" s="1"/>
  <c r="I10" i="7" s="1"/>
  <c r="L9" i="7"/>
  <c r="B10" i="7" s="1"/>
  <c r="H10" i="7" s="1"/>
  <c r="K10" i="4" a="1"/>
  <c r="K10" i="4" s="1"/>
  <c r="L7" i="2"/>
  <c r="B8" i="2" s="1"/>
  <c r="H8" i="2" s="1"/>
  <c r="M7" i="2"/>
  <c r="C8" i="2" s="1"/>
  <c r="I8" i="2" s="1"/>
  <c r="K11" i="11" l="1" a="1"/>
  <c r="K11" i="11" s="1"/>
  <c r="M12" i="10"/>
  <c r="C13" i="10" s="1"/>
  <c r="I13" i="10" s="1"/>
  <c r="N12" i="10"/>
  <c r="D13" i="10" s="1"/>
  <c r="J13" i="10" s="1"/>
  <c r="L12" i="10"/>
  <c r="B13" i="10" s="1"/>
  <c r="H13" i="10" s="1"/>
  <c r="K13" i="10" s="1" a="1"/>
  <c r="K13" i="10" s="1"/>
  <c r="K11" i="9" a="1"/>
  <c r="K11" i="9" s="1"/>
  <c r="K11" i="8" a="1"/>
  <c r="K11" i="8" s="1"/>
  <c r="K10" i="7" a="1"/>
  <c r="K10" i="7" s="1"/>
  <c r="M10" i="4"/>
  <c r="C11" i="4" s="1"/>
  <c r="I11" i="4" s="1"/>
  <c r="L10" i="4"/>
  <c r="B11" i="4" s="1"/>
  <c r="H11" i="4" s="1"/>
  <c r="N10" i="4"/>
  <c r="D11" i="4" s="1"/>
  <c r="J11" i="4" s="1"/>
  <c r="K8" i="2" a="1"/>
  <c r="K8" i="2" s="1"/>
  <c r="L8" i="2" s="1"/>
  <c r="B9" i="2" s="1"/>
  <c r="H9" i="2" s="1"/>
  <c r="N11" i="11" l="1"/>
  <c r="D12" i="11" s="1"/>
  <c r="J12" i="11" s="1"/>
  <c r="M11" i="11"/>
  <c r="C12" i="11" s="1"/>
  <c r="I12" i="11" s="1"/>
  <c r="L11" i="11"/>
  <c r="B12" i="11" s="1"/>
  <c r="H12" i="11" s="1"/>
  <c r="K12" i="11" s="1" a="1"/>
  <c r="K12" i="11" s="1"/>
  <c r="M13" i="10"/>
  <c r="C14" i="10" s="1"/>
  <c r="I14" i="10" s="1"/>
  <c r="N13" i="10"/>
  <c r="D14" i="10" s="1"/>
  <c r="J14" i="10" s="1"/>
  <c r="L13" i="10"/>
  <c r="B14" i="10" s="1"/>
  <c r="H14" i="10" s="1"/>
  <c r="K14" i="10" s="1" a="1"/>
  <c r="K14" i="10" s="1"/>
  <c r="M11" i="9"/>
  <c r="C12" i="9" s="1"/>
  <c r="I12" i="9" s="1"/>
  <c r="L11" i="9"/>
  <c r="B12" i="9" s="1"/>
  <c r="H12" i="9" s="1"/>
  <c r="K12" i="9" s="1" a="1"/>
  <c r="K12" i="9" s="1"/>
  <c r="N11" i="9"/>
  <c r="D12" i="9" s="1"/>
  <c r="J12" i="9" s="1"/>
  <c r="N11" i="8"/>
  <c r="D12" i="8" s="1"/>
  <c r="J12" i="8" s="1"/>
  <c r="M11" i="8"/>
  <c r="C12" i="8" s="1"/>
  <c r="I12" i="8" s="1"/>
  <c r="L11" i="8"/>
  <c r="B12" i="8" s="1"/>
  <c r="H12" i="8" s="1"/>
  <c r="N10" i="7"/>
  <c r="D11" i="7" s="1"/>
  <c r="J11" i="7" s="1"/>
  <c r="M10" i="7"/>
  <c r="C11" i="7" s="1"/>
  <c r="I11" i="7" s="1"/>
  <c r="L10" i="7"/>
  <c r="B11" i="7" s="1"/>
  <c r="H11" i="7" s="1"/>
  <c r="K11" i="7" s="1" a="1"/>
  <c r="K11" i="7" s="1"/>
  <c r="K11" i="4" a="1"/>
  <c r="K11" i="4" s="1"/>
  <c r="M8" i="2"/>
  <c r="C9" i="2" s="1"/>
  <c r="I9" i="2" s="1"/>
  <c r="N8" i="2"/>
  <c r="D9" i="2" s="1"/>
  <c r="M12" i="11" l="1"/>
  <c r="C13" i="11" s="1"/>
  <c r="I13" i="11" s="1"/>
  <c r="N12" i="11"/>
  <c r="D13" i="11" s="1"/>
  <c r="J13" i="11" s="1"/>
  <c r="L12" i="11"/>
  <c r="B13" i="11" s="1"/>
  <c r="H13" i="11" s="1"/>
  <c r="L14" i="10"/>
  <c r="B15" i="10" s="1"/>
  <c r="H15" i="10" s="1"/>
  <c r="M14" i="10"/>
  <c r="C15" i="10" s="1"/>
  <c r="I15" i="10" s="1"/>
  <c r="N14" i="10"/>
  <c r="D15" i="10" s="1"/>
  <c r="J15" i="10" s="1"/>
  <c r="N12" i="9"/>
  <c r="D13" i="9" s="1"/>
  <c r="J13" i="9" s="1"/>
  <c r="M12" i="9"/>
  <c r="C13" i="9" s="1"/>
  <c r="I13" i="9" s="1"/>
  <c r="L12" i="9"/>
  <c r="B13" i="9" s="1"/>
  <c r="H13" i="9" s="1"/>
  <c r="K12" i="8" a="1"/>
  <c r="K12" i="8" s="1"/>
  <c r="N11" i="7"/>
  <c r="D12" i="7" s="1"/>
  <c r="J12" i="7" s="1"/>
  <c r="L11" i="7"/>
  <c r="B12" i="7" s="1"/>
  <c r="H12" i="7" s="1"/>
  <c r="K12" i="7" s="1" a="1"/>
  <c r="K12" i="7" s="1"/>
  <c r="M11" i="7"/>
  <c r="C12" i="7" s="1"/>
  <c r="I12" i="7" s="1"/>
  <c r="M11" i="4"/>
  <c r="C12" i="4" s="1"/>
  <c r="I12" i="4" s="1"/>
  <c r="N11" i="4"/>
  <c r="D12" i="4" s="1"/>
  <c r="J12" i="4" s="1"/>
  <c r="L11" i="4"/>
  <c r="B12" i="4" s="1"/>
  <c r="H12" i="4" s="1"/>
  <c r="K12" i="4" s="1" a="1"/>
  <c r="K12" i="4" s="1"/>
  <c r="K9" i="2" a="1"/>
  <c r="K9" i="2" s="1"/>
  <c r="L9" i="2" s="1"/>
  <c r="B10" i="2" s="1"/>
  <c r="H10" i="2" s="1"/>
  <c r="J9" i="2"/>
  <c r="K13" i="11" l="1" a="1"/>
  <c r="K13" i="11" s="1"/>
  <c r="K15" i="10" a="1"/>
  <c r="K15" i="10" s="1"/>
  <c r="K13" i="9" a="1"/>
  <c r="K13" i="9" s="1"/>
  <c r="N12" i="8"/>
  <c r="D13" i="8" s="1"/>
  <c r="J13" i="8" s="1"/>
  <c r="M12" i="8"/>
  <c r="C13" i="8" s="1"/>
  <c r="I13" i="8" s="1"/>
  <c r="L12" i="8"/>
  <c r="B13" i="8" s="1"/>
  <c r="H13" i="8" s="1"/>
  <c r="K13" i="8" s="1" a="1"/>
  <c r="K13" i="8" s="1"/>
  <c r="L12" i="7"/>
  <c r="B13" i="7" s="1"/>
  <c r="H13" i="7" s="1"/>
  <c r="N12" i="7"/>
  <c r="D13" i="7" s="1"/>
  <c r="J13" i="7" s="1"/>
  <c r="M12" i="7"/>
  <c r="C13" i="7" s="1"/>
  <c r="I13" i="7" s="1"/>
  <c r="N12" i="4"/>
  <c r="D13" i="4" s="1"/>
  <c r="J13" i="4" s="1"/>
  <c r="L12" i="4"/>
  <c r="B13" i="4" s="1"/>
  <c r="H13" i="4" s="1"/>
  <c r="M12" i="4"/>
  <c r="C13" i="4" s="1"/>
  <c r="I13" i="4" s="1"/>
  <c r="N9" i="2"/>
  <c r="D10" i="2" s="1"/>
  <c r="J10" i="2" s="1"/>
  <c r="M9" i="2"/>
  <c r="C10" i="2" s="1"/>
  <c r="I10" i="2" s="1"/>
  <c r="K10" i="2" a="1"/>
  <c r="K10" i="2" s="1"/>
  <c r="L10" i="2" s="1"/>
  <c r="B11" i="2" s="1"/>
  <c r="H11" i="2" s="1"/>
  <c r="N13" i="11" l="1"/>
  <c r="D14" i="11" s="1"/>
  <c r="J14" i="11" s="1"/>
  <c r="M13" i="11"/>
  <c r="C14" i="11" s="1"/>
  <c r="I14" i="11" s="1"/>
  <c r="L13" i="11"/>
  <c r="B14" i="11" s="1"/>
  <c r="H14" i="11" s="1"/>
  <c r="K14" i="11" s="1" a="1"/>
  <c r="K14" i="11" s="1"/>
  <c r="M15" i="10"/>
  <c r="C16" i="10" s="1"/>
  <c r="I16" i="10" s="1"/>
  <c r="L15" i="10"/>
  <c r="B16" i="10" s="1"/>
  <c r="H16" i="10" s="1"/>
  <c r="K16" i="10" s="1" a="1"/>
  <c r="K16" i="10" s="1"/>
  <c r="N15" i="10"/>
  <c r="D16" i="10" s="1"/>
  <c r="J16" i="10" s="1"/>
  <c r="N13" i="9"/>
  <c r="D14" i="9" s="1"/>
  <c r="J14" i="9" s="1"/>
  <c r="M13" i="9"/>
  <c r="C14" i="9" s="1"/>
  <c r="I14" i="9" s="1"/>
  <c r="L13" i="9"/>
  <c r="B14" i="9" s="1"/>
  <c r="H14" i="9" s="1"/>
  <c r="K14" i="9" s="1" a="1"/>
  <c r="K14" i="9" s="1"/>
  <c r="L13" i="8"/>
  <c r="B14" i="8" s="1"/>
  <c r="H14" i="8" s="1"/>
  <c r="N13" i="8"/>
  <c r="D14" i="8" s="1"/>
  <c r="J14" i="8" s="1"/>
  <c r="M13" i="8"/>
  <c r="C14" i="8" s="1"/>
  <c r="I14" i="8" s="1"/>
  <c r="K13" i="7" a="1"/>
  <c r="K13" i="7" s="1"/>
  <c r="K13" i="4" a="1"/>
  <c r="K13" i="4" s="1"/>
  <c r="N10" i="2"/>
  <c r="D11" i="2" s="1"/>
  <c r="J11" i="2" s="1"/>
  <c r="M10" i="2"/>
  <c r="C11" i="2" s="1"/>
  <c r="I11" i="2" s="1"/>
  <c r="M14" i="11" l="1"/>
  <c r="C15" i="11" s="1"/>
  <c r="I15" i="11" s="1"/>
  <c r="N14" i="11"/>
  <c r="D15" i="11" s="1"/>
  <c r="J15" i="11" s="1"/>
  <c r="L14" i="11"/>
  <c r="B15" i="11" s="1"/>
  <c r="H15" i="11" s="1"/>
  <c r="K15" i="11" s="1" a="1"/>
  <c r="K15" i="11" s="1"/>
  <c r="N16" i="10"/>
  <c r="D17" i="10" s="1"/>
  <c r="J17" i="10" s="1"/>
  <c r="L16" i="10"/>
  <c r="B17" i="10" s="1"/>
  <c r="H17" i="10" s="1"/>
  <c r="K17" i="10" s="1" a="1"/>
  <c r="K17" i="10" s="1"/>
  <c r="M16" i="10"/>
  <c r="C17" i="10" s="1"/>
  <c r="I17" i="10" s="1"/>
  <c r="N14" i="9"/>
  <c r="D15" i="9" s="1"/>
  <c r="J15" i="9" s="1"/>
  <c r="M14" i="9"/>
  <c r="C15" i="9" s="1"/>
  <c r="I15" i="9" s="1"/>
  <c r="L14" i="9"/>
  <c r="B15" i="9" s="1"/>
  <c r="H15" i="9" s="1"/>
  <c r="K15" i="9" s="1" a="1"/>
  <c r="K15" i="9" s="1"/>
  <c r="K14" i="8" a="1"/>
  <c r="K14" i="8" s="1"/>
  <c r="N13" i="7"/>
  <c r="D14" i="7" s="1"/>
  <c r="J14" i="7" s="1"/>
  <c r="L13" i="7"/>
  <c r="B14" i="7" s="1"/>
  <c r="H14" i="7" s="1"/>
  <c r="M13" i="7"/>
  <c r="C14" i="7" s="1"/>
  <c r="I14" i="7" s="1"/>
  <c r="M13" i="4"/>
  <c r="C14" i="4" s="1"/>
  <c r="I14" i="4" s="1"/>
  <c r="N13" i="4"/>
  <c r="D14" i="4" s="1"/>
  <c r="J14" i="4" s="1"/>
  <c r="L13" i="4"/>
  <c r="B14" i="4" s="1"/>
  <c r="H14" i="4" s="1"/>
  <c r="K14" i="4" s="1" a="1"/>
  <c r="K14" i="4" s="1"/>
  <c r="K11" i="2" a="1"/>
  <c r="K11" i="2" s="1"/>
  <c r="L11" i="2" s="1"/>
  <c r="B12" i="2" s="1"/>
  <c r="H12" i="2" s="1"/>
  <c r="N15" i="11" l="1"/>
  <c r="D16" i="11" s="1"/>
  <c r="J16" i="11" s="1"/>
  <c r="M15" i="11"/>
  <c r="C16" i="11" s="1"/>
  <c r="I16" i="11" s="1"/>
  <c r="L15" i="11"/>
  <c r="B16" i="11" s="1"/>
  <c r="H16" i="11" s="1"/>
  <c r="K16" i="11" s="1" a="1"/>
  <c r="K16" i="11" s="1"/>
  <c r="N17" i="10"/>
  <c r="D18" i="10" s="1"/>
  <c r="J18" i="10" s="1"/>
  <c r="M17" i="10"/>
  <c r="C18" i="10" s="1"/>
  <c r="I18" i="10" s="1"/>
  <c r="L17" i="10"/>
  <c r="B18" i="10" s="1"/>
  <c r="H18" i="10" s="1"/>
  <c r="K18" i="10" s="1" a="1"/>
  <c r="K18" i="10" s="1"/>
  <c r="N15" i="9"/>
  <c r="D16" i="9" s="1"/>
  <c r="J16" i="9" s="1"/>
  <c r="M15" i="9"/>
  <c r="C16" i="9" s="1"/>
  <c r="I16" i="9" s="1"/>
  <c r="L15" i="9"/>
  <c r="B16" i="9" s="1"/>
  <c r="H16" i="9" s="1"/>
  <c r="K16" i="9" s="1" a="1"/>
  <c r="K16" i="9" s="1"/>
  <c r="M14" i="8"/>
  <c r="C15" i="8" s="1"/>
  <c r="I15" i="8" s="1"/>
  <c r="L14" i="8"/>
  <c r="B15" i="8" s="1"/>
  <c r="H15" i="8" s="1"/>
  <c r="N14" i="8"/>
  <c r="D15" i="8" s="1"/>
  <c r="J15" i="8" s="1"/>
  <c r="K14" i="7" a="1"/>
  <c r="K14" i="7" s="1"/>
  <c r="N14" i="4"/>
  <c r="D15" i="4" s="1"/>
  <c r="J15" i="4" s="1"/>
  <c r="L14" i="4"/>
  <c r="B15" i="4" s="1"/>
  <c r="H15" i="4" s="1"/>
  <c r="K15" i="4" s="1" a="1"/>
  <c r="K15" i="4" s="1"/>
  <c r="M14" i="4"/>
  <c r="C15" i="4" s="1"/>
  <c r="I15" i="4" s="1"/>
  <c r="M11" i="2"/>
  <c r="C12" i="2" s="1"/>
  <c r="I12" i="2" s="1"/>
  <c r="N11" i="2"/>
  <c r="D12" i="2" s="1"/>
  <c r="J12" i="2" s="1"/>
  <c r="N16" i="11" l="1"/>
  <c r="D17" i="11" s="1"/>
  <c r="J17" i="11" s="1"/>
  <c r="L16" i="11"/>
  <c r="B17" i="11" s="1"/>
  <c r="H17" i="11" s="1"/>
  <c r="M16" i="11"/>
  <c r="C17" i="11" s="1"/>
  <c r="I17" i="11" s="1"/>
  <c r="N18" i="10"/>
  <c r="D19" i="10" s="1"/>
  <c r="J19" i="10" s="1"/>
  <c r="M18" i="10"/>
  <c r="C19" i="10" s="1"/>
  <c r="I19" i="10" s="1"/>
  <c r="L18" i="10"/>
  <c r="B19" i="10" s="1"/>
  <c r="H19" i="10" s="1"/>
  <c r="K19" i="10" s="1" a="1"/>
  <c r="K19" i="10" s="1"/>
  <c r="N16" i="9"/>
  <c r="D17" i="9" s="1"/>
  <c r="J17" i="9" s="1"/>
  <c r="M16" i="9"/>
  <c r="C17" i="9" s="1"/>
  <c r="I17" i="9" s="1"/>
  <c r="L16" i="9"/>
  <c r="B17" i="9" s="1"/>
  <c r="H17" i="9" s="1"/>
  <c r="K17" i="9" s="1" a="1"/>
  <c r="K17" i="9" s="1"/>
  <c r="K15" i="8" a="1"/>
  <c r="K15" i="8" s="1"/>
  <c r="M14" i="7"/>
  <c r="C15" i="7" s="1"/>
  <c r="I15" i="7" s="1"/>
  <c r="N14" i="7"/>
  <c r="D15" i="7" s="1"/>
  <c r="J15" i="7" s="1"/>
  <c r="L14" i="7"/>
  <c r="B15" i="7" s="1"/>
  <c r="H15" i="7" s="1"/>
  <c r="K15" i="7" s="1" a="1"/>
  <c r="K15" i="7" s="1"/>
  <c r="L15" i="4"/>
  <c r="B16" i="4" s="1"/>
  <c r="H16" i="4" s="1"/>
  <c r="N15" i="4"/>
  <c r="D16" i="4" s="1"/>
  <c r="J16" i="4" s="1"/>
  <c r="M15" i="4"/>
  <c r="C16" i="4" s="1"/>
  <c r="I16" i="4" s="1"/>
  <c r="K12" i="2" a="1"/>
  <c r="K12" i="2" s="1"/>
  <c r="L12" i="2" s="1"/>
  <c r="B13" i="2" s="1"/>
  <c r="H13" i="2" s="1"/>
  <c r="K17" i="11" l="1" a="1"/>
  <c r="K17" i="11" s="1"/>
  <c r="N19" i="10"/>
  <c r="D20" i="10" s="1"/>
  <c r="J20" i="10" s="1"/>
  <c r="M19" i="10"/>
  <c r="C20" i="10" s="1"/>
  <c r="I20" i="10" s="1"/>
  <c r="L19" i="10"/>
  <c r="B20" i="10" s="1"/>
  <c r="H20" i="10" s="1"/>
  <c r="N17" i="9"/>
  <c r="D18" i="9" s="1"/>
  <c r="J18" i="9" s="1"/>
  <c r="M17" i="9"/>
  <c r="C18" i="9" s="1"/>
  <c r="I18" i="9" s="1"/>
  <c r="L17" i="9"/>
  <c r="B18" i="9" s="1"/>
  <c r="H18" i="9" s="1"/>
  <c r="K18" i="9" s="1" a="1"/>
  <c r="K18" i="9" s="1"/>
  <c r="M15" i="8"/>
  <c r="C16" i="8" s="1"/>
  <c r="I16" i="8" s="1"/>
  <c r="N15" i="8"/>
  <c r="D16" i="8" s="1"/>
  <c r="J16" i="8" s="1"/>
  <c r="L15" i="8"/>
  <c r="B16" i="8" s="1"/>
  <c r="H16" i="8" s="1"/>
  <c r="K16" i="8" s="1" a="1"/>
  <c r="K16" i="8" s="1"/>
  <c r="L15" i="7"/>
  <c r="B16" i="7" s="1"/>
  <c r="H16" i="7" s="1"/>
  <c r="N15" i="7"/>
  <c r="D16" i="7" s="1"/>
  <c r="J16" i="7" s="1"/>
  <c r="M15" i="7"/>
  <c r="C16" i="7" s="1"/>
  <c r="I16" i="7" s="1"/>
  <c r="K16" i="4" a="1"/>
  <c r="K16" i="4" s="1"/>
  <c r="M12" i="2"/>
  <c r="C13" i="2" s="1"/>
  <c r="N12" i="2"/>
  <c r="D13" i="2" s="1"/>
  <c r="J13" i="2" s="1"/>
  <c r="M17" i="11" l="1"/>
  <c r="C18" i="11" s="1"/>
  <c r="I18" i="11" s="1"/>
  <c r="L17" i="11"/>
  <c r="B18" i="11" s="1"/>
  <c r="H18" i="11" s="1"/>
  <c r="N17" i="11"/>
  <c r="D18" i="11" s="1"/>
  <c r="J18" i="11" s="1"/>
  <c r="K20" i="10" a="1"/>
  <c r="K20" i="10" s="1"/>
  <c r="N18" i="9"/>
  <c r="D19" i="9" s="1"/>
  <c r="J19" i="9" s="1"/>
  <c r="M18" i="9"/>
  <c r="C19" i="9" s="1"/>
  <c r="I19" i="9" s="1"/>
  <c r="L18" i="9"/>
  <c r="B19" i="9" s="1"/>
  <c r="H19" i="9" s="1"/>
  <c r="K19" i="9" s="1" a="1"/>
  <c r="K19" i="9" s="1"/>
  <c r="N16" i="8"/>
  <c r="D17" i="8" s="1"/>
  <c r="J17" i="8" s="1"/>
  <c r="M16" i="8"/>
  <c r="C17" i="8" s="1"/>
  <c r="I17" i="8" s="1"/>
  <c r="L16" i="8"/>
  <c r="B17" i="8" s="1"/>
  <c r="H17" i="8" s="1"/>
  <c r="K17" i="8" s="1" a="1"/>
  <c r="K17" i="8" s="1"/>
  <c r="K16" i="7" a="1"/>
  <c r="K16" i="7" s="1"/>
  <c r="M16" i="4"/>
  <c r="C17" i="4" s="1"/>
  <c r="I17" i="4" s="1"/>
  <c r="L16" i="4"/>
  <c r="B17" i="4" s="1"/>
  <c r="H17" i="4" s="1"/>
  <c r="K17" i="4" s="1" a="1"/>
  <c r="K17" i="4" s="1"/>
  <c r="N16" i="4"/>
  <c r="D17" i="4" s="1"/>
  <c r="J17" i="4" s="1"/>
  <c r="I13" i="2"/>
  <c r="K13" i="2" s="1" a="1"/>
  <c r="K13" i="2" s="1"/>
  <c r="K18" i="11" l="1" a="1"/>
  <c r="K18" i="11" s="1"/>
  <c r="N20" i="10"/>
  <c r="D21" i="10" s="1"/>
  <c r="J21" i="10" s="1"/>
  <c r="M20" i="10"/>
  <c r="C21" i="10" s="1"/>
  <c r="I21" i="10" s="1"/>
  <c r="L20" i="10"/>
  <c r="B21" i="10" s="1"/>
  <c r="H21" i="10" s="1"/>
  <c r="N19" i="9"/>
  <c r="D20" i="9" s="1"/>
  <c r="J20" i="9" s="1"/>
  <c r="M19" i="9"/>
  <c r="C20" i="9" s="1"/>
  <c r="I20" i="9" s="1"/>
  <c r="L19" i="9"/>
  <c r="B20" i="9" s="1"/>
  <c r="H20" i="9" s="1"/>
  <c r="K20" i="9" s="1" a="1"/>
  <c r="K20" i="9" s="1"/>
  <c r="N17" i="8"/>
  <c r="D18" i="8" s="1"/>
  <c r="J18" i="8" s="1"/>
  <c r="M17" i="8"/>
  <c r="C18" i="8" s="1"/>
  <c r="I18" i="8" s="1"/>
  <c r="L17" i="8"/>
  <c r="B18" i="8" s="1"/>
  <c r="H18" i="8" s="1"/>
  <c r="L16" i="7"/>
  <c r="B17" i="7" s="1"/>
  <c r="H17" i="7" s="1"/>
  <c r="K17" i="7" s="1" a="1"/>
  <c r="K17" i="7" s="1"/>
  <c r="M16" i="7"/>
  <c r="C17" i="7" s="1"/>
  <c r="I17" i="7" s="1"/>
  <c r="N16" i="7"/>
  <c r="D17" i="7" s="1"/>
  <c r="J17" i="7" s="1"/>
  <c r="N17" i="4"/>
  <c r="D18" i="4" s="1"/>
  <c r="J18" i="4" s="1"/>
  <c r="M17" i="4"/>
  <c r="C18" i="4" s="1"/>
  <c r="I18" i="4" s="1"/>
  <c r="L17" i="4"/>
  <c r="B18" i="4" s="1"/>
  <c r="H18" i="4" s="1"/>
  <c r="K18" i="4" s="1" a="1"/>
  <c r="K18" i="4" s="1"/>
  <c r="M13" i="2"/>
  <c r="C14" i="2" s="1"/>
  <c r="I14" i="2" s="1"/>
  <c r="K14" i="2" s="1" a="1"/>
  <c r="K14" i="2" s="1"/>
  <c r="N14" i="2" s="1"/>
  <c r="D15" i="2" s="1"/>
  <c r="J15" i="2" s="1"/>
  <c r="L13" i="2"/>
  <c r="B14" i="2" s="1"/>
  <c r="H14" i="2" s="1"/>
  <c r="N13" i="2"/>
  <c r="D14" i="2" s="1"/>
  <c r="J14" i="2" s="1"/>
  <c r="N18" i="11" l="1"/>
  <c r="D19" i="11" s="1"/>
  <c r="J19" i="11" s="1"/>
  <c r="L18" i="11"/>
  <c r="B19" i="11" s="1"/>
  <c r="H19" i="11" s="1"/>
  <c r="K19" i="11" s="1" a="1"/>
  <c r="K19" i="11" s="1"/>
  <c r="M18" i="11"/>
  <c r="C19" i="11" s="1"/>
  <c r="I19" i="11" s="1"/>
  <c r="K21" i="10" a="1"/>
  <c r="K21" i="10" s="1"/>
  <c r="N20" i="9"/>
  <c r="D21" i="9" s="1"/>
  <c r="J21" i="9" s="1"/>
  <c r="M20" i="9"/>
  <c r="C21" i="9" s="1"/>
  <c r="I21" i="9" s="1"/>
  <c r="L20" i="9"/>
  <c r="B21" i="9" s="1"/>
  <c r="H21" i="9" s="1"/>
  <c r="K21" i="9" s="1" a="1"/>
  <c r="K21" i="9" s="1"/>
  <c r="K18" i="8" a="1"/>
  <c r="K18" i="8" s="1"/>
  <c r="L17" i="7"/>
  <c r="B18" i="7" s="1"/>
  <c r="H18" i="7" s="1"/>
  <c r="K18" i="7" s="1" a="1"/>
  <c r="K18" i="7" s="1"/>
  <c r="N17" i="7"/>
  <c r="D18" i="7" s="1"/>
  <c r="J18" i="7" s="1"/>
  <c r="M17" i="7"/>
  <c r="C18" i="7" s="1"/>
  <c r="I18" i="7" s="1"/>
  <c r="N18" i="4"/>
  <c r="D19" i="4" s="1"/>
  <c r="J19" i="4" s="1"/>
  <c r="M18" i="4"/>
  <c r="C19" i="4" s="1"/>
  <c r="I19" i="4" s="1"/>
  <c r="L18" i="4"/>
  <c r="B19" i="4" s="1"/>
  <c r="H19" i="4" s="1"/>
  <c r="M14" i="2"/>
  <c r="C15" i="2" s="1"/>
  <c r="I15" i="2" s="1"/>
  <c r="L14" i="2"/>
  <c r="B15" i="2" s="1"/>
  <c r="M19" i="11" l="1"/>
  <c r="C20" i="11" s="1"/>
  <c r="I20" i="11" s="1"/>
  <c r="L19" i="11"/>
  <c r="B20" i="11" s="1"/>
  <c r="H20" i="11" s="1"/>
  <c r="N19" i="11"/>
  <c r="D20" i="11" s="1"/>
  <c r="J20" i="11" s="1"/>
  <c r="N21" i="10"/>
  <c r="D22" i="10" s="1"/>
  <c r="J22" i="10" s="1"/>
  <c r="M21" i="10"/>
  <c r="C22" i="10" s="1"/>
  <c r="I22" i="10" s="1"/>
  <c r="L21" i="10"/>
  <c r="B22" i="10" s="1"/>
  <c r="H22" i="10" s="1"/>
  <c r="K22" i="10" s="1" a="1"/>
  <c r="K22" i="10" s="1"/>
  <c r="N21" i="9"/>
  <c r="D22" i="9" s="1"/>
  <c r="J22" i="9" s="1"/>
  <c r="M21" i="9"/>
  <c r="C22" i="9" s="1"/>
  <c r="I22" i="9" s="1"/>
  <c r="L21" i="9"/>
  <c r="B22" i="9" s="1"/>
  <c r="H22" i="9" s="1"/>
  <c r="L18" i="8"/>
  <c r="B19" i="8" s="1"/>
  <c r="H19" i="8" s="1"/>
  <c r="N18" i="8"/>
  <c r="D19" i="8" s="1"/>
  <c r="J19" i="8" s="1"/>
  <c r="M18" i="8"/>
  <c r="C19" i="8" s="1"/>
  <c r="I19" i="8" s="1"/>
  <c r="M18" i="7"/>
  <c r="C19" i="7" s="1"/>
  <c r="I19" i="7" s="1"/>
  <c r="L18" i="7"/>
  <c r="B19" i="7" s="1"/>
  <c r="H19" i="7" s="1"/>
  <c r="K19" i="7" s="1" a="1"/>
  <c r="K19" i="7" s="1"/>
  <c r="N18" i="7"/>
  <c r="D19" i="7" s="1"/>
  <c r="J19" i="7" s="1"/>
  <c r="K19" i="4" a="1"/>
  <c r="K19" i="4" s="1"/>
  <c r="H15" i="2"/>
  <c r="K15" i="2" s="1" a="1"/>
  <c r="K15" i="2" s="1"/>
  <c r="K20" i="11" l="1" a="1"/>
  <c r="K20" i="11" s="1"/>
  <c r="L22" i="10"/>
  <c r="B23" i="10" s="1"/>
  <c r="H23" i="10" s="1"/>
  <c r="N22" i="10"/>
  <c r="D23" i="10" s="1"/>
  <c r="J23" i="10" s="1"/>
  <c r="M22" i="10"/>
  <c r="C23" i="10" s="1"/>
  <c r="I23" i="10" s="1"/>
  <c r="K22" i="9" a="1"/>
  <c r="K22" i="9" s="1"/>
  <c r="K19" i="8" a="1"/>
  <c r="K19" i="8" s="1"/>
  <c r="N19" i="7"/>
  <c r="D20" i="7" s="1"/>
  <c r="J20" i="7" s="1"/>
  <c r="M19" i="7"/>
  <c r="C20" i="7" s="1"/>
  <c r="I20" i="7" s="1"/>
  <c r="L19" i="7"/>
  <c r="B20" i="7" s="1"/>
  <c r="H20" i="7" s="1"/>
  <c r="N19" i="4"/>
  <c r="D20" i="4" s="1"/>
  <c r="J20" i="4" s="1"/>
  <c r="M19" i="4"/>
  <c r="C20" i="4" s="1"/>
  <c r="I20" i="4" s="1"/>
  <c r="L19" i="4"/>
  <c r="B20" i="4" s="1"/>
  <c r="H20" i="4" s="1"/>
  <c r="M15" i="2"/>
  <c r="C16" i="2" s="1"/>
  <c r="I16" i="2" s="1"/>
  <c r="N15" i="2"/>
  <c r="D16" i="2" s="1"/>
  <c r="J16" i="2" s="1"/>
  <c r="L15" i="2"/>
  <c r="B16" i="2" s="1"/>
  <c r="H16" i="2" s="1"/>
  <c r="K16" i="2" a="1"/>
  <c r="K16" i="2" s="1"/>
  <c r="L16" i="2" s="1"/>
  <c r="B17" i="2" s="1"/>
  <c r="H17" i="2" s="1"/>
  <c r="N20" i="11" l="1"/>
  <c r="D21" i="11" s="1"/>
  <c r="J21" i="11" s="1"/>
  <c r="M20" i="11"/>
  <c r="C21" i="11" s="1"/>
  <c r="I21" i="11" s="1"/>
  <c r="L20" i="11"/>
  <c r="B21" i="11" s="1"/>
  <c r="H21" i="11" s="1"/>
  <c r="K23" i="10" a="1"/>
  <c r="K23" i="10" s="1"/>
  <c r="L22" i="9"/>
  <c r="B23" i="9" s="1"/>
  <c r="H23" i="9" s="1"/>
  <c r="N22" i="9"/>
  <c r="D23" i="9" s="1"/>
  <c r="J23" i="9" s="1"/>
  <c r="M22" i="9"/>
  <c r="C23" i="9" s="1"/>
  <c r="I23" i="9" s="1"/>
  <c r="M19" i="8"/>
  <c r="C20" i="8" s="1"/>
  <c r="I20" i="8" s="1"/>
  <c r="L19" i="8"/>
  <c r="B20" i="8" s="1"/>
  <c r="H20" i="8" s="1"/>
  <c r="K20" i="8" s="1" a="1"/>
  <c r="K20" i="8" s="1"/>
  <c r="N19" i="8"/>
  <c r="D20" i="8" s="1"/>
  <c r="J20" i="8" s="1"/>
  <c r="K20" i="7" a="1"/>
  <c r="K20" i="7" s="1"/>
  <c r="K20" i="4" a="1"/>
  <c r="K20" i="4" s="1"/>
  <c r="M16" i="2"/>
  <c r="C17" i="2" s="1"/>
  <c r="I17" i="2" s="1"/>
  <c r="N16" i="2"/>
  <c r="D17" i="2" s="1"/>
  <c r="J17" i="2" s="1"/>
  <c r="K21" i="11" l="1" a="1"/>
  <c r="K21" i="11" s="1"/>
  <c r="N23" i="10"/>
  <c r="D24" i="10" s="1"/>
  <c r="J24" i="10" s="1"/>
  <c r="M23" i="10"/>
  <c r="C24" i="10" s="1"/>
  <c r="I24" i="10" s="1"/>
  <c r="L23" i="10"/>
  <c r="B24" i="10" s="1"/>
  <c r="H24" i="10" s="1"/>
  <c r="K24" i="10" s="1" a="1"/>
  <c r="K24" i="10" s="1"/>
  <c r="K23" i="9" a="1"/>
  <c r="K23" i="9" s="1"/>
  <c r="N20" i="8"/>
  <c r="D21" i="8" s="1"/>
  <c r="J21" i="8" s="1"/>
  <c r="M20" i="8"/>
  <c r="C21" i="8" s="1"/>
  <c r="I21" i="8" s="1"/>
  <c r="L20" i="8"/>
  <c r="B21" i="8" s="1"/>
  <c r="H21" i="8" s="1"/>
  <c r="N20" i="7"/>
  <c r="D21" i="7" s="1"/>
  <c r="J21" i="7" s="1"/>
  <c r="M20" i="7"/>
  <c r="C21" i="7" s="1"/>
  <c r="I21" i="7" s="1"/>
  <c r="L20" i="7"/>
  <c r="B21" i="7" s="1"/>
  <c r="H21" i="7" s="1"/>
  <c r="K21" i="7" s="1" a="1"/>
  <c r="K21" i="7" s="1"/>
  <c r="N20" i="4"/>
  <c r="D21" i="4" s="1"/>
  <c r="J21" i="4" s="1"/>
  <c r="M20" i="4"/>
  <c r="C21" i="4" s="1"/>
  <c r="I21" i="4" s="1"/>
  <c r="L20" i="4"/>
  <c r="B21" i="4" s="1"/>
  <c r="H21" i="4" s="1"/>
  <c r="K21" i="4" s="1" a="1"/>
  <c r="K21" i="4" s="1"/>
  <c r="K17" i="2" a="1"/>
  <c r="K17" i="2" s="1"/>
  <c r="M21" i="11" l="1"/>
  <c r="C22" i="11" s="1"/>
  <c r="I22" i="11" s="1"/>
  <c r="N21" i="11"/>
  <c r="D22" i="11" s="1"/>
  <c r="J22" i="11" s="1"/>
  <c r="L21" i="11"/>
  <c r="B22" i="11" s="1"/>
  <c r="H22" i="11" s="1"/>
  <c r="N24" i="10"/>
  <c r="D25" i="10" s="1"/>
  <c r="J25" i="10" s="1"/>
  <c r="M24" i="10"/>
  <c r="C25" i="10" s="1"/>
  <c r="I25" i="10" s="1"/>
  <c r="L24" i="10"/>
  <c r="B25" i="10" s="1"/>
  <c r="H25" i="10" s="1"/>
  <c r="K25" i="10" s="1" a="1"/>
  <c r="K25" i="10" s="1"/>
  <c r="M23" i="9"/>
  <c r="C24" i="9" s="1"/>
  <c r="I24" i="9" s="1"/>
  <c r="L23" i="9"/>
  <c r="B24" i="9" s="1"/>
  <c r="H24" i="9" s="1"/>
  <c r="N23" i="9"/>
  <c r="D24" i="9" s="1"/>
  <c r="J24" i="9" s="1"/>
  <c r="K21" i="8" a="1"/>
  <c r="K21" i="8" s="1"/>
  <c r="N21" i="7"/>
  <c r="D22" i="7" s="1"/>
  <c r="J22" i="7" s="1"/>
  <c r="M21" i="7"/>
  <c r="C22" i="7" s="1"/>
  <c r="I22" i="7" s="1"/>
  <c r="L21" i="7"/>
  <c r="B22" i="7" s="1"/>
  <c r="H22" i="7" s="1"/>
  <c r="N21" i="4"/>
  <c r="D22" i="4" s="1"/>
  <c r="J22" i="4" s="1"/>
  <c r="M21" i="4"/>
  <c r="C22" i="4" s="1"/>
  <c r="I22" i="4" s="1"/>
  <c r="L21" i="4"/>
  <c r="B22" i="4" s="1"/>
  <c r="H22" i="4" s="1"/>
  <c r="K22" i="4" s="1" a="1"/>
  <c r="K22" i="4" s="1"/>
  <c r="M17" i="2"/>
  <c r="C18" i="2" s="1"/>
  <c r="I18" i="2" s="1"/>
  <c r="L17" i="2"/>
  <c r="B18" i="2" s="1"/>
  <c r="H18" i="2" s="1"/>
  <c r="N17" i="2"/>
  <c r="D18" i="2" s="1"/>
  <c r="J18" i="2" s="1"/>
  <c r="K22" i="11" l="1" a="1"/>
  <c r="K22" i="11" s="1"/>
  <c r="N25" i="10"/>
  <c r="D26" i="10" s="1"/>
  <c r="J26" i="10" s="1"/>
  <c r="M25" i="10"/>
  <c r="C26" i="10" s="1"/>
  <c r="I26" i="10" s="1"/>
  <c r="L25" i="10"/>
  <c r="B26" i="10" s="1"/>
  <c r="H26" i="10" s="1"/>
  <c r="K26" i="10" s="1" a="1"/>
  <c r="K26" i="10" s="1"/>
  <c r="K24" i="9" a="1"/>
  <c r="K24" i="9" s="1"/>
  <c r="N21" i="8"/>
  <c r="D22" i="8" s="1"/>
  <c r="J22" i="8" s="1"/>
  <c r="M21" i="8"/>
  <c r="C22" i="8" s="1"/>
  <c r="I22" i="8" s="1"/>
  <c r="L21" i="8"/>
  <c r="B22" i="8" s="1"/>
  <c r="H22" i="8" s="1"/>
  <c r="K22" i="8" s="1" a="1"/>
  <c r="K22" i="8" s="1"/>
  <c r="K22" i="7" a="1"/>
  <c r="K22" i="7" s="1"/>
  <c r="M22" i="4"/>
  <c r="C23" i="4" s="1"/>
  <c r="I23" i="4" s="1"/>
  <c r="N22" i="4"/>
  <c r="D23" i="4" s="1"/>
  <c r="J23" i="4" s="1"/>
  <c r="L22" i="4"/>
  <c r="B23" i="4" s="1"/>
  <c r="H23" i="4" s="1"/>
  <c r="K23" i="4" s="1" a="1"/>
  <c r="K23" i="4" s="1"/>
  <c r="K18" i="2" a="1"/>
  <c r="K18" i="2" s="1"/>
  <c r="L22" i="11" l="1"/>
  <c r="B23" i="11" s="1"/>
  <c r="H23" i="11" s="1"/>
  <c r="K23" i="11" s="1" a="1"/>
  <c r="K23" i="11" s="1"/>
  <c r="N22" i="11"/>
  <c r="D23" i="11" s="1"/>
  <c r="J23" i="11" s="1"/>
  <c r="M22" i="11"/>
  <c r="C23" i="11" s="1"/>
  <c r="I23" i="11" s="1"/>
  <c r="L26" i="10"/>
  <c r="B27" i="10" s="1"/>
  <c r="H27" i="10" s="1"/>
  <c r="N26" i="10"/>
  <c r="D27" i="10" s="1"/>
  <c r="J27" i="10" s="1"/>
  <c r="M26" i="10"/>
  <c r="C27" i="10" s="1"/>
  <c r="I27" i="10" s="1"/>
  <c r="N24" i="9"/>
  <c r="D25" i="9" s="1"/>
  <c r="J25" i="9" s="1"/>
  <c r="M24" i="9"/>
  <c r="C25" i="9" s="1"/>
  <c r="I25" i="9" s="1"/>
  <c r="L24" i="9"/>
  <c r="B25" i="9" s="1"/>
  <c r="H25" i="9" s="1"/>
  <c r="M22" i="8"/>
  <c r="C23" i="8" s="1"/>
  <c r="I23" i="8" s="1"/>
  <c r="N22" i="8"/>
  <c r="D23" i="8" s="1"/>
  <c r="J23" i="8" s="1"/>
  <c r="L22" i="8"/>
  <c r="B23" i="8" s="1"/>
  <c r="H23" i="8" s="1"/>
  <c r="K23" i="8" s="1" a="1"/>
  <c r="K23" i="8" s="1"/>
  <c r="N22" i="7"/>
  <c r="D23" i="7" s="1"/>
  <c r="J23" i="7" s="1"/>
  <c r="M22" i="7"/>
  <c r="C23" i="7" s="1"/>
  <c r="I23" i="7" s="1"/>
  <c r="L22" i="7"/>
  <c r="B23" i="7" s="1"/>
  <c r="H23" i="7" s="1"/>
  <c r="K23" i="7" s="1" a="1"/>
  <c r="K23" i="7" s="1"/>
  <c r="N23" i="4"/>
  <c r="D24" i="4" s="1"/>
  <c r="J24" i="4" s="1"/>
  <c r="M23" i="4"/>
  <c r="C24" i="4" s="1"/>
  <c r="I24" i="4" s="1"/>
  <c r="L23" i="4"/>
  <c r="B24" i="4" s="1"/>
  <c r="H24" i="4" s="1"/>
  <c r="K24" i="4" s="1" a="1"/>
  <c r="K24" i="4" s="1"/>
  <c r="L18" i="2"/>
  <c r="B19" i="2" s="1"/>
  <c r="H19" i="2" s="1"/>
  <c r="N18" i="2"/>
  <c r="D19" i="2" s="1"/>
  <c r="J19" i="2" s="1"/>
  <c r="M18" i="2"/>
  <c r="C19" i="2" s="1"/>
  <c r="I19" i="2" s="1"/>
  <c r="L23" i="11" l="1"/>
  <c r="B24" i="11" s="1"/>
  <c r="H24" i="11" s="1"/>
  <c r="M23" i="11"/>
  <c r="C24" i="11" s="1"/>
  <c r="I24" i="11" s="1"/>
  <c r="N23" i="11"/>
  <c r="D24" i="11" s="1"/>
  <c r="J24" i="11" s="1"/>
  <c r="K27" i="10" a="1"/>
  <c r="K27" i="10" s="1"/>
  <c r="K25" i="9" a="1"/>
  <c r="K25" i="9" s="1"/>
  <c r="N23" i="8"/>
  <c r="D24" i="8" s="1"/>
  <c r="J24" i="8" s="1"/>
  <c r="M23" i="8"/>
  <c r="C24" i="8" s="1"/>
  <c r="I24" i="8" s="1"/>
  <c r="L23" i="8"/>
  <c r="B24" i="8" s="1"/>
  <c r="H24" i="8" s="1"/>
  <c r="K24" i="8" s="1" a="1"/>
  <c r="K24" i="8" s="1"/>
  <c r="L23" i="7"/>
  <c r="B24" i="7" s="1"/>
  <c r="H24" i="7" s="1"/>
  <c r="N23" i="7"/>
  <c r="D24" i="7" s="1"/>
  <c r="J24" i="7" s="1"/>
  <c r="M23" i="7"/>
  <c r="C24" i="7" s="1"/>
  <c r="I24" i="7" s="1"/>
  <c r="M24" i="4"/>
  <c r="C25" i="4" s="1"/>
  <c r="I25" i="4" s="1"/>
  <c r="N24" i="4"/>
  <c r="D25" i="4" s="1"/>
  <c r="J25" i="4" s="1"/>
  <c r="L24" i="4"/>
  <c r="B25" i="4" s="1"/>
  <c r="H25" i="4" s="1"/>
  <c r="K25" i="4" s="1" a="1"/>
  <c r="K25" i="4" s="1"/>
  <c r="K19" i="2" a="1"/>
  <c r="K19" i="2" s="1"/>
  <c r="K24" i="11" l="1" a="1"/>
  <c r="K24" i="11" s="1"/>
  <c r="M27" i="10"/>
  <c r="C28" i="10" s="1"/>
  <c r="I28" i="10" s="1"/>
  <c r="N27" i="10"/>
  <c r="D28" i="10" s="1"/>
  <c r="J28" i="10" s="1"/>
  <c r="L27" i="10"/>
  <c r="B28" i="10" s="1"/>
  <c r="H28" i="10" s="1"/>
  <c r="K28" i="10" s="1" a="1"/>
  <c r="K28" i="10" s="1"/>
  <c r="N25" i="9"/>
  <c r="D26" i="9" s="1"/>
  <c r="J26" i="9" s="1"/>
  <c r="M25" i="9"/>
  <c r="C26" i="9" s="1"/>
  <c r="I26" i="9" s="1"/>
  <c r="L25" i="9"/>
  <c r="B26" i="9" s="1"/>
  <c r="H26" i="9" s="1"/>
  <c r="K26" i="9" s="1" a="1"/>
  <c r="K26" i="9" s="1"/>
  <c r="L24" i="8"/>
  <c r="B25" i="8" s="1"/>
  <c r="H25" i="8" s="1"/>
  <c r="K25" i="8" s="1" a="1"/>
  <c r="K25" i="8" s="1"/>
  <c r="N24" i="8"/>
  <c r="D25" i="8" s="1"/>
  <c r="J25" i="8" s="1"/>
  <c r="M24" i="8"/>
  <c r="C25" i="8" s="1"/>
  <c r="I25" i="8" s="1"/>
  <c r="K24" i="7" a="1"/>
  <c r="K24" i="7" s="1"/>
  <c r="N25" i="4"/>
  <c r="D26" i="4" s="1"/>
  <c r="J26" i="4" s="1"/>
  <c r="L25" i="4"/>
  <c r="B26" i="4" s="1"/>
  <c r="H26" i="4" s="1"/>
  <c r="K26" i="4" s="1" a="1"/>
  <c r="K26" i="4" s="1"/>
  <c r="M25" i="4"/>
  <c r="C26" i="4" s="1"/>
  <c r="I26" i="4" s="1"/>
  <c r="N19" i="2"/>
  <c r="D20" i="2" s="1"/>
  <c r="J20" i="2" s="1"/>
  <c r="L19" i="2"/>
  <c r="B20" i="2" s="1"/>
  <c r="H20" i="2" s="1"/>
  <c r="M19" i="2"/>
  <c r="C20" i="2" s="1"/>
  <c r="I20" i="2" s="1"/>
  <c r="M24" i="11" l="1"/>
  <c r="C25" i="11" s="1"/>
  <c r="I25" i="11" s="1"/>
  <c r="L24" i="11"/>
  <c r="B25" i="11" s="1"/>
  <c r="H25" i="11" s="1"/>
  <c r="N24" i="11"/>
  <c r="D25" i="11" s="1"/>
  <c r="J25" i="11" s="1"/>
  <c r="N28" i="10"/>
  <c r="D29" i="10" s="1"/>
  <c r="J29" i="10" s="1"/>
  <c r="M28" i="10"/>
  <c r="C29" i="10" s="1"/>
  <c r="I29" i="10" s="1"/>
  <c r="L28" i="10"/>
  <c r="B29" i="10" s="1"/>
  <c r="H29" i="10" s="1"/>
  <c r="K29" i="10" s="1" a="1"/>
  <c r="K29" i="10" s="1"/>
  <c r="N26" i="9"/>
  <c r="D27" i="9" s="1"/>
  <c r="J27" i="9" s="1"/>
  <c r="M26" i="9"/>
  <c r="C27" i="9" s="1"/>
  <c r="I27" i="9" s="1"/>
  <c r="L26" i="9"/>
  <c r="B27" i="9" s="1"/>
  <c r="H27" i="9" s="1"/>
  <c r="K27" i="9" s="1" a="1"/>
  <c r="K27" i="9" s="1"/>
  <c r="M25" i="8"/>
  <c r="C26" i="8" s="1"/>
  <c r="I26" i="8" s="1"/>
  <c r="L25" i="8"/>
  <c r="B26" i="8" s="1"/>
  <c r="H26" i="8" s="1"/>
  <c r="N25" i="8"/>
  <c r="D26" i="8" s="1"/>
  <c r="J26" i="8" s="1"/>
  <c r="L24" i="7"/>
  <c r="B25" i="7" s="1"/>
  <c r="H25" i="7" s="1"/>
  <c r="N24" i="7"/>
  <c r="D25" i="7" s="1"/>
  <c r="J25" i="7" s="1"/>
  <c r="M24" i="7"/>
  <c r="C25" i="7" s="1"/>
  <c r="I25" i="7" s="1"/>
  <c r="N26" i="4"/>
  <c r="D27" i="4" s="1"/>
  <c r="J27" i="4" s="1"/>
  <c r="M26" i="4"/>
  <c r="C27" i="4" s="1"/>
  <c r="I27" i="4" s="1"/>
  <c r="L26" i="4"/>
  <c r="B27" i="4" s="1"/>
  <c r="H27" i="4" s="1"/>
  <c r="K20" i="2" a="1"/>
  <c r="K20" i="2" s="1"/>
  <c r="K25" i="11" l="1" a="1"/>
  <c r="K25" i="11" s="1"/>
  <c r="M29" i="10"/>
  <c r="C30" i="10" s="1"/>
  <c r="I30" i="10" s="1"/>
  <c r="L29" i="10"/>
  <c r="B30" i="10" s="1"/>
  <c r="H30" i="10" s="1"/>
  <c r="K30" i="10" s="1" a="1"/>
  <c r="K30" i="10" s="1"/>
  <c r="N29" i="10"/>
  <c r="D30" i="10" s="1"/>
  <c r="J30" i="10" s="1"/>
  <c r="L27" i="9"/>
  <c r="B28" i="9" s="1"/>
  <c r="H28" i="9" s="1"/>
  <c r="N27" i="9"/>
  <c r="D28" i="9" s="1"/>
  <c r="J28" i="9" s="1"/>
  <c r="M27" i="9"/>
  <c r="C28" i="9" s="1"/>
  <c r="I28" i="9" s="1"/>
  <c r="K26" i="8" a="1"/>
  <c r="K26" i="8" s="1"/>
  <c r="K25" i="7" a="1"/>
  <c r="K25" i="7" s="1"/>
  <c r="K27" i="4" a="1"/>
  <c r="K27" i="4" s="1"/>
  <c r="L20" i="2"/>
  <c r="B21" i="2" s="1"/>
  <c r="H21" i="2" s="1"/>
  <c r="M20" i="2"/>
  <c r="C21" i="2" s="1"/>
  <c r="I21" i="2" s="1"/>
  <c r="N20" i="2"/>
  <c r="D21" i="2" s="1"/>
  <c r="J21" i="2" s="1"/>
  <c r="N25" i="11" l="1"/>
  <c r="D26" i="11" s="1"/>
  <c r="J26" i="11" s="1"/>
  <c r="L25" i="11"/>
  <c r="B26" i="11" s="1"/>
  <c r="H26" i="11" s="1"/>
  <c r="K26" i="11" s="1" a="1"/>
  <c r="K26" i="11" s="1"/>
  <c r="M25" i="11"/>
  <c r="C26" i="11" s="1"/>
  <c r="I26" i="11" s="1"/>
  <c r="N30" i="10"/>
  <c r="D31" i="10" s="1"/>
  <c r="J31" i="10" s="1"/>
  <c r="M30" i="10"/>
  <c r="C31" i="10" s="1"/>
  <c r="I31" i="10" s="1"/>
  <c r="L30" i="10"/>
  <c r="B31" i="10" s="1"/>
  <c r="H31" i="10" s="1"/>
  <c r="K31" i="10" s="1" a="1"/>
  <c r="K31" i="10" s="1"/>
  <c r="K28" i="9" a="1"/>
  <c r="K28" i="9" s="1"/>
  <c r="N26" i="8"/>
  <c r="D27" i="8" s="1"/>
  <c r="J27" i="8" s="1"/>
  <c r="M26" i="8"/>
  <c r="C27" i="8" s="1"/>
  <c r="I27" i="8" s="1"/>
  <c r="L26" i="8"/>
  <c r="B27" i="8" s="1"/>
  <c r="H27" i="8" s="1"/>
  <c r="K27" i="8" s="1" a="1"/>
  <c r="K27" i="8" s="1"/>
  <c r="M25" i="7"/>
  <c r="C26" i="7" s="1"/>
  <c r="I26" i="7" s="1"/>
  <c r="N25" i="7"/>
  <c r="D26" i="7" s="1"/>
  <c r="J26" i="7" s="1"/>
  <c r="L25" i="7"/>
  <c r="B26" i="7" s="1"/>
  <c r="H26" i="7" s="1"/>
  <c r="K26" i="7" s="1" a="1"/>
  <c r="K26" i="7" s="1"/>
  <c r="N27" i="4"/>
  <c r="D28" i="4" s="1"/>
  <c r="J28" i="4" s="1"/>
  <c r="M27" i="4"/>
  <c r="C28" i="4" s="1"/>
  <c r="I28" i="4" s="1"/>
  <c r="L27" i="4"/>
  <c r="B28" i="4" s="1"/>
  <c r="H28" i="4" s="1"/>
  <c r="K28" i="4" s="1" a="1"/>
  <c r="K28" i="4" s="1"/>
  <c r="K21" i="2" a="1"/>
  <c r="K21" i="2" s="1"/>
  <c r="N26" i="11" l="1"/>
  <c r="D27" i="11" s="1"/>
  <c r="J27" i="11" s="1"/>
  <c r="M26" i="11"/>
  <c r="C27" i="11" s="1"/>
  <c r="I27" i="11" s="1"/>
  <c r="L26" i="11"/>
  <c r="B27" i="11" s="1"/>
  <c r="H27" i="11" s="1"/>
  <c r="K27" i="11" s="1" a="1"/>
  <c r="K27" i="11" s="1"/>
  <c r="N31" i="10"/>
  <c r="D32" i="10" s="1"/>
  <c r="J32" i="10" s="1"/>
  <c r="M31" i="10"/>
  <c r="C32" i="10" s="1"/>
  <c r="I32" i="10" s="1"/>
  <c r="L31" i="10"/>
  <c r="B32" i="10" s="1"/>
  <c r="H32" i="10" s="1"/>
  <c r="K32" i="10" s="1" a="1"/>
  <c r="K32" i="10" s="1"/>
  <c r="N28" i="9"/>
  <c r="D29" i="9" s="1"/>
  <c r="J29" i="9" s="1"/>
  <c r="M28" i="9"/>
  <c r="C29" i="9" s="1"/>
  <c r="I29" i="9" s="1"/>
  <c r="L28" i="9"/>
  <c r="B29" i="9" s="1"/>
  <c r="H29" i="9" s="1"/>
  <c r="K29" i="9" s="1" a="1"/>
  <c r="K29" i="9" s="1"/>
  <c r="N27" i="8"/>
  <c r="D28" i="8" s="1"/>
  <c r="J28" i="8" s="1"/>
  <c r="M27" i="8"/>
  <c r="C28" i="8" s="1"/>
  <c r="I28" i="8" s="1"/>
  <c r="L27" i="8"/>
  <c r="B28" i="8" s="1"/>
  <c r="H28" i="8" s="1"/>
  <c r="K28" i="8" s="1" a="1"/>
  <c r="K28" i="8" s="1"/>
  <c r="N26" i="7"/>
  <c r="D27" i="7" s="1"/>
  <c r="J27" i="7" s="1"/>
  <c r="M26" i="7"/>
  <c r="C27" i="7" s="1"/>
  <c r="I27" i="7" s="1"/>
  <c r="L26" i="7"/>
  <c r="B27" i="7" s="1"/>
  <c r="H27" i="7" s="1"/>
  <c r="L28" i="4"/>
  <c r="B29" i="4" s="1"/>
  <c r="H29" i="4" s="1"/>
  <c r="N28" i="4"/>
  <c r="D29" i="4" s="1"/>
  <c r="J29" i="4" s="1"/>
  <c r="M28" i="4"/>
  <c r="C29" i="4" s="1"/>
  <c r="I29" i="4" s="1"/>
  <c r="L21" i="2"/>
  <c r="B22" i="2" s="1"/>
  <c r="M21" i="2"/>
  <c r="C22" i="2" s="1"/>
  <c r="I22" i="2" s="1"/>
  <c r="N21" i="2"/>
  <c r="D22" i="2" s="1"/>
  <c r="J22" i="2" s="1"/>
  <c r="N27" i="11" l="1"/>
  <c r="D28" i="11" s="1"/>
  <c r="J28" i="11" s="1"/>
  <c r="L27" i="11"/>
  <c r="B28" i="11" s="1"/>
  <c r="H28" i="11" s="1"/>
  <c r="M27" i="11"/>
  <c r="C28" i="11" s="1"/>
  <c r="I28" i="11" s="1"/>
  <c r="N32" i="10"/>
  <c r="D33" i="10" s="1"/>
  <c r="J33" i="10" s="1"/>
  <c r="M32" i="10"/>
  <c r="C33" i="10" s="1"/>
  <c r="I33" i="10" s="1"/>
  <c r="L32" i="10"/>
  <c r="B33" i="10" s="1"/>
  <c r="H33" i="10" s="1"/>
  <c r="N29" i="9"/>
  <c r="D30" i="9" s="1"/>
  <c r="J30" i="9" s="1"/>
  <c r="M29" i="9"/>
  <c r="C30" i="9" s="1"/>
  <c r="I30" i="9" s="1"/>
  <c r="L29" i="9"/>
  <c r="B30" i="9" s="1"/>
  <c r="H30" i="9" s="1"/>
  <c r="K30" i="9" s="1" a="1"/>
  <c r="K30" i="9" s="1"/>
  <c r="N28" i="8"/>
  <c r="D29" i="8" s="1"/>
  <c r="J29" i="8" s="1"/>
  <c r="M28" i="8"/>
  <c r="C29" i="8" s="1"/>
  <c r="I29" i="8" s="1"/>
  <c r="L28" i="8"/>
  <c r="B29" i="8" s="1"/>
  <c r="H29" i="8" s="1"/>
  <c r="K29" i="8" s="1" a="1"/>
  <c r="K29" i="8" s="1"/>
  <c r="K27" i="7" a="1"/>
  <c r="K27" i="7" s="1"/>
  <c r="K29" i="4" a="1"/>
  <c r="K29" i="4" s="1"/>
  <c r="H22" i="2"/>
  <c r="K22" i="2" s="1" a="1"/>
  <c r="K22" i="2" s="1"/>
  <c r="K28" i="11" l="1" a="1"/>
  <c r="K28" i="11" s="1"/>
  <c r="K33" i="10" a="1"/>
  <c r="K33" i="10" s="1"/>
  <c r="N30" i="9"/>
  <c r="D31" i="9" s="1"/>
  <c r="J31" i="9" s="1"/>
  <c r="M30" i="9"/>
  <c r="C31" i="9" s="1"/>
  <c r="I31" i="9" s="1"/>
  <c r="L30" i="9"/>
  <c r="B31" i="9" s="1"/>
  <c r="H31" i="9" s="1"/>
  <c r="K31" i="9" s="1" a="1"/>
  <c r="K31" i="9" s="1"/>
  <c r="N29" i="8"/>
  <c r="D30" i="8" s="1"/>
  <c r="J30" i="8" s="1"/>
  <c r="M29" i="8"/>
  <c r="C30" i="8" s="1"/>
  <c r="I30" i="8" s="1"/>
  <c r="L29" i="8"/>
  <c r="B30" i="8" s="1"/>
  <c r="H30" i="8" s="1"/>
  <c r="N27" i="7"/>
  <c r="D28" i="7" s="1"/>
  <c r="J28" i="7" s="1"/>
  <c r="L27" i="7"/>
  <c r="B28" i="7" s="1"/>
  <c r="H28" i="7" s="1"/>
  <c r="M27" i="7"/>
  <c r="C28" i="7" s="1"/>
  <c r="I28" i="7" s="1"/>
  <c r="M29" i="4"/>
  <c r="C30" i="4" s="1"/>
  <c r="I30" i="4" s="1"/>
  <c r="L29" i="4"/>
  <c r="B30" i="4" s="1"/>
  <c r="H30" i="4" s="1"/>
  <c r="N29" i="4"/>
  <c r="D30" i="4" s="1"/>
  <c r="J30" i="4" s="1"/>
  <c r="L22" i="2"/>
  <c r="B23" i="2" s="1"/>
  <c r="H23" i="2" s="1"/>
  <c r="M22" i="2"/>
  <c r="C23" i="2" s="1"/>
  <c r="I23" i="2" s="1"/>
  <c r="N22" i="2"/>
  <c r="D23" i="2" s="1"/>
  <c r="J23" i="2" s="1"/>
  <c r="N28" i="11" l="1"/>
  <c r="D29" i="11" s="1"/>
  <c r="J29" i="11" s="1"/>
  <c r="M28" i="11"/>
  <c r="C29" i="11" s="1"/>
  <c r="I29" i="11" s="1"/>
  <c r="L28" i="11"/>
  <c r="B29" i="11" s="1"/>
  <c r="H29" i="11" s="1"/>
  <c r="K29" i="11" s="1" a="1"/>
  <c r="K29" i="11" s="1"/>
  <c r="N33" i="10"/>
  <c r="D34" i="10" s="1"/>
  <c r="J34" i="10" s="1"/>
  <c r="L33" i="10"/>
  <c r="B34" i="10" s="1"/>
  <c r="H34" i="10" s="1"/>
  <c r="M33" i="10"/>
  <c r="C34" i="10" s="1"/>
  <c r="I34" i="10" s="1"/>
  <c r="N31" i="9"/>
  <c r="D32" i="9" s="1"/>
  <c r="J32" i="9" s="1"/>
  <c r="M31" i="9"/>
  <c r="C32" i="9" s="1"/>
  <c r="I32" i="9" s="1"/>
  <c r="L31" i="9"/>
  <c r="B32" i="9" s="1"/>
  <c r="H32" i="9" s="1"/>
  <c r="K32" i="9" s="1" a="1"/>
  <c r="K32" i="9" s="1"/>
  <c r="K30" i="8" a="1"/>
  <c r="K30" i="8" s="1"/>
  <c r="K28" i="7" a="1"/>
  <c r="K28" i="7" s="1"/>
  <c r="K30" i="4" a="1"/>
  <c r="K30" i="4" s="1"/>
  <c r="K23" i="2" a="1"/>
  <c r="K23" i="2" s="1"/>
  <c r="N29" i="11" l="1"/>
  <c r="D30" i="11" s="1"/>
  <c r="J30" i="11" s="1"/>
  <c r="M29" i="11"/>
  <c r="C30" i="11" s="1"/>
  <c r="I30" i="11" s="1"/>
  <c r="L29" i="11"/>
  <c r="B30" i="11" s="1"/>
  <c r="H30" i="11" s="1"/>
  <c r="K30" i="11" s="1" a="1"/>
  <c r="K30" i="11" s="1"/>
  <c r="K34" i="10" a="1"/>
  <c r="K34" i="10" s="1"/>
  <c r="N32" i="9"/>
  <c r="D33" i="9" s="1"/>
  <c r="J33" i="9" s="1"/>
  <c r="M32" i="9"/>
  <c r="C33" i="9" s="1"/>
  <c r="I33" i="9" s="1"/>
  <c r="L32" i="9"/>
  <c r="B33" i="9" s="1"/>
  <c r="H33" i="9" s="1"/>
  <c r="K33" i="9" s="1" a="1"/>
  <c r="K33" i="9" s="1"/>
  <c r="N30" i="8"/>
  <c r="D31" i="8" s="1"/>
  <c r="J31" i="8" s="1"/>
  <c r="M30" i="8"/>
  <c r="C31" i="8" s="1"/>
  <c r="I31" i="8" s="1"/>
  <c r="L30" i="8"/>
  <c r="B31" i="8" s="1"/>
  <c r="H31" i="8" s="1"/>
  <c r="K31" i="8" s="1" a="1"/>
  <c r="K31" i="8" s="1"/>
  <c r="M28" i="7"/>
  <c r="C29" i="7" s="1"/>
  <c r="I29" i="7" s="1"/>
  <c r="L28" i="7"/>
  <c r="B29" i="7" s="1"/>
  <c r="H29" i="7" s="1"/>
  <c r="N28" i="7"/>
  <c r="D29" i="7" s="1"/>
  <c r="J29" i="7" s="1"/>
  <c r="N30" i="4"/>
  <c r="D31" i="4" s="1"/>
  <c r="J31" i="4" s="1"/>
  <c r="M30" i="4"/>
  <c r="C31" i="4" s="1"/>
  <c r="I31" i="4" s="1"/>
  <c r="L30" i="4"/>
  <c r="B31" i="4" s="1"/>
  <c r="H31" i="4" s="1"/>
  <c r="K31" i="4" s="1" a="1"/>
  <c r="K31" i="4" s="1"/>
  <c r="L23" i="2"/>
  <c r="B24" i="2" s="1"/>
  <c r="H24" i="2" s="1"/>
  <c r="N23" i="2"/>
  <c r="D24" i="2" s="1"/>
  <c r="J24" i="2" s="1"/>
  <c r="M23" i="2"/>
  <c r="C24" i="2" s="1"/>
  <c r="I24" i="2" s="1"/>
  <c r="L30" i="11" l="1"/>
  <c r="B31" i="11" s="1"/>
  <c r="H31" i="11" s="1"/>
  <c r="N30" i="11"/>
  <c r="D31" i="11" s="1"/>
  <c r="J31" i="11" s="1"/>
  <c r="M30" i="11"/>
  <c r="C31" i="11" s="1"/>
  <c r="I31" i="11" s="1"/>
  <c r="N34" i="10"/>
  <c r="D35" i="10" s="1"/>
  <c r="J35" i="10" s="1"/>
  <c r="L34" i="10"/>
  <c r="B35" i="10" s="1"/>
  <c r="H35" i="10" s="1"/>
  <c r="K35" i="10" s="1" a="1"/>
  <c r="K35" i="10" s="1"/>
  <c r="M34" i="10"/>
  <c r="C35" i="10" s="1"/>
  <c r="I35" i="10" s="1"/>
  <c r="N33" i="9"/>
  <c r="D34" i="9" s="1"/>
  <c r="J34" i="9" s="1"/>
  <c r="L33" i="9"/>
  <c r="B34" i="9" s="1"/>
  <c r="H34" i="9" s="1"/>
  <c r="M33" i="9"/>
  <c r="C34" i="9" s="1"/>
  <c r="I34" i="9" s="1"/>
  <c r="N31" i="8"/>
  <c r="D32" i="8" s="1"/>
  <c r="J32" i="8" s="1"/>
  <c r="M31" i="8"/>
  <c r="C32" i="8" s="1"/>
  <c r="I32" i="8" s="1"/>
  <c r="L31" i="8"/>
  <c r="B32" i="8" s="1"/>
  <c r="H32" i="8" s="1"/>
  <c r="K29" i="7" a="1"/>
  <c r="K29" i="7" s="1"/>
  <c r="N31" i="4"/>
  <c r="D32" i="4" s="1"/>
  <c r="J32" i="4" s="1"/>
  <c r="M31" i="4"/>
  <c r="C32" i="4" s="1"/>
  <c r="I32" i="4" s="1"/>
  <c r="L31" i="4"/>
  <c r="B32" i="4" s="1"/>
  <c r="H32" i="4" s="1"/>
  <c r="K24" i="2" a="1"/>
  <c r="K24" i="2" s="1"/>
  <c r="K31" i="11" l="1" a="1"/>
  <c r="K31" i="11" s="1"/>
  <c r="M35" i="10"/>
  <c r="C36" i="10" s="1"/>
  <c r="I36" i="10" s="1"/>
  <c r="L35" i="10"/>
  <c r="B36" i="10" s="1"/>
  <c r="H36" i="10" s="1"/>
  <c r="N35" i="10"/>
  <c r="D36" i="10" s="1"/>
  <c r="J36" i="10" s="1"/>
  <c r="K34" i="9" a="1"/>
  <c r="K34" i="9" s="1"/>
  <c r="K32" i="8" a="1"/>
  <c r="K32" i="8" s="1"/>
  <c r="L29" i="7"/>
  <c r="B30" i="7" s="1"/>
  <c r="H30" i="7" s="1"/>
  <c r="K30" i="7" s="1" a="1"/>
  <c r="K30" i="7" s="1"/>
  <c r="M29" i="7"/>
  <c r="C30" i="7" s="1"/>
  <c r="I30" i="7" s="1"/>
  <c r="N29" i="7"/>
  <c r="D30" i="7" s="1"/>
  <c r="J30" i="7" s="1"/>
  <c r="K32" i="4" a="1"/>
  <c r="K32" i="4" s="1"/>
  <c r="L24" i="2"/>
  <c r="B25" i="2" s="1"/>
  <c r="H25" i="2" s="1"/>
  <c r="N24" i="2"/>
  <c r="D25" i="2" s="1"/>
  <c r="J25" i="2" s="1"/>
  <c r="M24" i="2"/>
  <c r="C25" i="2" s="1"/>
  <c r="I25" i="2" s="1"/>
  <c r="L31" i="11" l="1"/>
  <c r="B32" i="11" s="1"/>
  <c r="H32" i="11" s="1"/>
  <c r="M31" i="11"/>
  <c r="C32" i="11" s="1"/>
  <c r="I32" i="11" s="1"/>
  <c r="N31" i="11"/>
  <c r="D32" i="11" s="1"/>
  <c r="J32" i="11" s="1"/>
  <c r="K36" i="10" a="1"/>
  <c r="K36" i="10" s="1"/>
  <c r="L34" i="9"/>
  <c r="B35" i="9" s="1"/>
  <c r="H35" i="9" s="1"/>
  <c r="N34" i="9"/>
  <c r="D35" i="9" s="1"/>
  <c r="J35" i="9" s="1"/>
  <c r="M34" i="9"/>
  <c r="C35" i="9" s="1"/>
  <c r="I35" i="9" s="1"/>
  <c r="N32" i="8"/>
  <c r="D33" i="8" s="1"/>
  <c r="J33" i="8" s="1"/>
  <c r="L32" i="8"/>
  <c r="B33" i="8" s="1"/>
  <c r="H33" i="8" s="1"/>
  <c r="K33" i="8" s="1" a="1"/>
  <c r="K33" i="8" s="1"/>
  <c r="M32" i="8"/>
  <c r="C33" i="8" s="1"/>
  <c r="I33" i="8" s="1"/>
  <c r="M30" i="7"/>
  <c r="C31" i="7" s="1"/>
  <c r="I31" i="7" s="1"/>
  <c r="L30" i="7"/>
  <c r="B31" i="7" s="1"/>
  <c r="H31" i="7" s="1"/>
  <c r="K31" i="7" s="1" a="1"/>
  <c r="K31" i="7" s="1"/>
  <c r="N30" i="7"/>
  <c r="D31" i="7" s="1"/>
  <c r="J31" i="7" s="1"/>
  <c r="L32" i="4"/>
  <c r="B33" i="4" s="1"/>
  <c r="H33" i="4" s="1"/>
  <c r="N32" i="4"/>
  <c r="D33" i="4" s="1"/>
  <c r="J33" i="4" s="1"/>
  <c r="M32" i="4"/>
  <c r="C33" i="4" s="1"/>
  <c r="I33" i="4" s="1"/>
  <c r="K25" i="2" a="1"/>
  <c r="K25" i="2" s="1"/>
  <c r="M25" i="2" s="1"/>
  <c r="C26" i="2" s="1"/>
  <c r="I26" i="2" s="1"/>
  <c r="K32" i="11" l="1" a="1"/>
  <c r="K32" i="11" s="1"/>
  <c r="N36" i="10"/>
  <c r="D37" i="10" s="1"/>
  <c r="J37" i="10" s="1"/>
  <c r="M36" i="10"/>
  <c r="C37" i="10" s="1"/>
  <c r="I37" i="10" s="1"/>
  <c r="L36" i="10"/>
  <c r="B37" i="10" s="1"/>
  <c r="H37" i="10" s="1"/>
  <c r="K37" i="10" s="1" a="1"/>
  <c r="K37" i="10" s="1"/>
  <c r="K35" i="9" a="1"/>
  <c r="K35" i="9" s="1"/>
  <c r="N33" i="8"/>
  <c r="D34" i="8" s="1"/>
  <c r="J34" i="8" s="1"/>
  <c r="M33" i="8"/>
  <c r="C34" i="8" s="1"/>
  <c r="I34" i="8" s="1"/>
  <c r="L33" i="8"/>
  <c r="B34" i="8" s="1"/>
  <c r="H34" i="8" s="1"/>
  <c r="K34" i="8" s="1" a="1"/>
  <c r="K34" i="8" s="1"/>
  <c r="N31" i="7"/>
  <c r="D32" i="7" s="1"/>
  <c r="J32" i="7" s="1"/>
  <c r="M31" i="7"/>
  <c r="C32" i="7" s="1"/>
  <c r="I32" i="7" s="1"/>
  <c r="L31" i="7"/>
  <c r="B32" i="7" s="1"/>
  <c r="H32" i="7" s="1"/>
  <c r="K33" i="4" a="1"/>
  <c r="K33" i="4" s="1"/>
  <c r="N25" i="2"/>
  <c r="D26" i="2" s="1"/>
  <c r="J26" i="2" s="1"/>
  <c r="L25" i="2"/>
  <c r="B26" i="2" s="1"/>
  <c r="H26" i="2" s="1"/>
  <c r="K26" i="2" s="1" a="1"/>
  <c r="K26" i="2" s="1"/>
  <c r="N32" i="11" l="1"/>
  <c r="D33" i="11" s="1"/>
  <c r="J33" i="11" s="1"/>
  <c r="M32" i="11"/>
  <c r="C33" i="11" s="1"/>
  <c r="I33" i="11" s="1"/>
  <c r="L32" i="11"/>
  <c r="B33" i="11" s="1"/>
  <c r="H33" i="11" s="1"/>
  <c r="N37" i="10"/>
  <c r="D38" i="10" s="1"/>
  <c r="J38" i="10" s="1"/>
  <c r="M37" i="10"/>
  <c r="C38" i="10" s="1"/>
  <c r="I38" i="10" s="1"/>
  <c r="L37" i="10"/>
  <c r="B38" i="10" s="1"/>
  <c r="H38" i="10" s="1"/>
  <c r="K38" i="10" s="1" a="1"/>
  <c r="K38" i="10" s="1"/>
  <c r="M35" i="9"/>
  <c r="C36" i="9" s="1"/>
  <c r="I36" i="9" s="1"/>
  <c r="L35" i="9"/>
  <c r="B36" i="9" s="1"/>
  <c r="H36" i="9" s="1"/>
  <c r="N35" i="9"/>
  <c r="D36" i="9" s="1"/>
  <c r="J36" i="9" s="1"/>
  <c r="N34" i="8"/>
  <c r="D35" i="8" s="1"/>
  <c r="J35" i="8" s="1"/>
  <c r="M34" i="8"/>
  <c r="C35" i="8" s="1"/>
  <c r="I35" i="8" s="1"/>
  <c r="L34" i="8"/>
  <c r="B35" i="8" s="1"/>
  <c r="H35" i="8" s="1"/>
  <c r="K35" i="8" s="1" a="1"/>
  <c r="K35" i="8" s="1"/>
  <c r="K32" i="7" a="1"/>
  <c r="K32" i="7" s="1"/>
  <c r="M33" i="4"/>
  <c r="C34" i="4" s="1"/>
  <c r="I34" i="4" s="1"/>
  <c r="N33" i="4"/>
  <c r="D34" i="4" s="1"/>
  <c r="J34" i="4" s="1"/>
  <c r="L33" i="4"/>
  <c r="B34" i="4" s="1"/>
  <c r="H34" i="4" s="1"/>
  <c r="N26" i="2"/>
  <c r="D27" i="2" s="1"/>
  <c r="J27" i="2" s="1"/>
  <c r="L26" i="2"/>
  <c r="B27" i="2" s="1"/>
  <c r="H27" i="2" s="1"/>
  <c r="M26" i="2"/>
  <c r="C27" i="2" s="1"/>
  <c r="I27" i="2" s="1"/>
  <c r="K33" i="11" l="1" a="1"/>
  <c r="K33" i="11" s="1"/>
  <c r="L38" i="10"/>
  <c r="B39" i="10" s="1"/>
  <c r="H39" i="10" s="1"/>
  <c r="N38" i="10"/>
  <c r="D39" i="10" s="1"/>
  <c r="J39" i="10" s="1"/>
  <c r="M38" i="10"/>
  <c r="C39" i="10" s="1"/>
  <c r="I39" i="10" s="1"/>
  <c r="K36" i="9" a="1"/>
  <c r="K36" i="9" s="1"/>
  <c r="N35" i="8"/>
  <c r="D36" i="8" s="1"/>
  <c r="J36" i="8" s="1"/>
  <c r="M35" i="8"/>
  <c r="C36" i="8" s="1"/>
  <c r="I36" i="8" s="1"/>
  <c r="L35" i="8"/>
  <c r="B36" i="8" s="1"/>
  <c r="H36" i="8" s="1"/>
  <c r="N32" i="7"/>
  <c r="D33" i="7" s="1"/>
  <c r="J33" i="7" s="1"/>
  <c r="M32" i="7"/>
  <c r="C33" i="7" s="1"/>
  <c r="I33" i="7" s="1"/>
  <c r="L32" i="7"/>
  <c r="B33" i="7" s="1"/>
  <c r="H33" i="7" s="1"/>
  <c r="K33" i="7" s="1" a="1"/>
  <c r="K33" i="7" s="1"/>
  <c r="K34" i="4" a="1"/>
  <c r="K34" i="4" s="1"/>
  <c r="K27" i="2" a="1"/>
  <c r="K27" i="2" s="1"/>
  <c r="L33" i="11" l="1"/>
  <c r="B34" i="11" s="1"/>
  <c r="H34" i="11" s="1"/>
  <c r="N33" i="11"/>
  <c r="D34" i="11" s="1"/>
  <c r="J34" i="11" s="1"/>
  <c r="M33" i="11"/>
  <c r="C34" i="11" s="1"/>
  <c r="I34" i="11" s="1"/>
  <c r="K39" i="10" a="1"/>
  <c r="K39" i="10" s="1"/>
  <c r="N36" i="9"/>
  <c r="D37" i="9" s="1"/>
  <c r="J37" i="9" s="1"/>
  <c r="M36" i="9"/>
  <c r="C37" i="9" s="1"/>
  <c r="I37" i="9" s="1"/>
  <c r="L36" i="9"/>
  <c r="B37" i="9" s="1"/>
  <c r="H37" i="9" s="1"/>
  <c r="K37" i="9" s="1" a="1"/>
  <c r="K37" i="9" s="1"/>
  <c r="K36" i="8" a="1"/>
  <c r="K36" i="8" s="1"/>
  <c r="L33" i="7"/>
  <c r="B34" i="7" s="1"/>
  <c r="H34" i="7" s="1"/>
  <c r="N33" i="7"/>
  <c r="D34" i="7" s="1"/>
  <c r="J34" i="7" s="1"/>
  <c r="M33" i="7"/>
  <c r="C34" i="7" s="1"/>
  <c r="I34" i="7" s="1"/>
  <c r="N34" i="4"/>
  <c r="D35" i="4" s="1"/>
  <c r="J35" i="4" s="1"/>
  <c r="M34" i="4"/>
  <c r="C35" i="4" s="1"/>
  <c r="I35" i="4" s="1"/>
  <c r="L34" i="4"/>
  <c r="B35" i="4" s="1"/>
  <c r="H35" i="4" s="1"/>
  <c r="M27" i="2"/>
  <c r="C28" i="2" s="1"/>
  <c r="I28" i="2" s="1"/>
  <c r="L27" i="2"/>
  <c r="B28" i="2" s="1"/>
  <c r="H28" i="2" s="1"/>
  <c r="N27" i="2"/>
  <c r="D28" i="2" s="1"/>
  <c r="J28" i="2" s="1"/>
  <c r="K34" i="11" l="1" a="1"/>
  <c r="K34" i="11" s="1"/>
  <c r="M39" i="10"/>
  <c r="C40" i="10" s="1"/>
  <c r="I40" i="10" s="1"/>
  <c r="N39" i="10"/>
  <c r="D40" i="10" s="1"/>
  <c r="J40" i="10" s="1"/>
  <c r="L39" i="10"/>
  <c r="B40" i="10" s="1"/>
  <c r="H40" i="10" s="1"/>
  <c r="K40" i="10" s="1" a="1"/>
  <c r="K40" i="10" s="1"/>
  <c r="N37" i="9"/>
  <c r="D38" i="9" s="1"/>
  <c r="J38" i="9" s="1"/>
  <c r="M37" i="9"/>
  <c r="C38" i="9" s="1"/>
  <c r="I38" i="9" s="1"/>
  <c r="L37" i="9"/>
  <c r="B38" i="9" s="1"/>
  <c r="H38" i="9" s="1"/>
  <c r="K38" i="9" s="1" a="1"/>
  <c r="K38" i="9" s="1"/>
  <c r="L36" i="8"/>
  <c r="B37" i="8" s="1"/>
  <c r="H37" i="8" s="1"/>
  <c r="N36" i="8"/>
  <c r="D37" i="8" s="1"/>
  <c r="J37" i="8" s="1"/>
  <c r="M36" i="8"/>
  <c r="C37" i="8" s="1"/>
  <c r="I37" i="8" s="1"/>
  <c r="K34" i="7" a="1"/>
  <c r="K34" i="7" s="1"/>
  <c r="K35" i="4" a="1"/>
  <c r="K35" i="4" s="1"/>
  <c r="K28" i="2" a="1"/>
  <c r="K28" i="2" s="1"/>
  <c r="N34" i="11" l="1"/>
  <c r="D35" i="11" s="1"/>
  <c r="J35" i="11" s="1"/>
  <c r="M34" i="11"/>
  <c r="C35" i="11" s="1"/>
  <c r="I35" i="11" s="1"/>
  <c r="L34" i="11"/>
  <c r="B35" i="11" s="1"/>
  <c r="H35" i="11" s="1"/>
  <c r="K35" i="11" s="1" a="1"/>
  <c r="K35" i="11" s="1"/>
  <c r="N40" i="10"/>
  <c r="D41" i="10" s="1"/>
  <c r="J41" i="10" s="1"/>
  <c r="M40" i="10"/>
  <c r="C41" i="10" s="1"/>
  <c r="I41" i="10" s="1"/>
  <c r="L40" i="10"/>
  <c r="B41" i="10" s="1"/>
  <c r="H41" i="10" s="1"/>
  <c r="K41" i="10" s="1" a="1"/>
  <c r="K41" i="10" s="1"/>
  <c r="N38" i="9"/>
  <c r="D39" i="9" s="1"/>
  <c r="J39" i="9" s="1"/>
  <c r="M38" i="9"/>
  <c r="C39" i="9" s="1"/>
  <c r="I39" i="9" s="1"/>
  <c r="L38" i="9"/>
  <c r="B39" i="9" s="1"/>
  <c r="H39" i="9" s="1"/>
  <c r="K39" i="9" s="1" a="1"/>
  <c r="K39" i="9" s="1"/>
  <c r="K37" i="8" a="1"/>
  <c r="K37" i="8" s="1"/>
  <c r="M34" i="7"/>
  <c r="C35" i="7" s="1"/>
  <c r="I35" i="7" s="1"/>
  <c r="L34" i="7"/>
  <c r="B35" i="7" s="1"/>
  <c r="H35" i="7" s="1"/>
  <c r="K35" i="7" s="1" a="1"/>
  <c r="K35" i="7" s="1"/>
  <c r="N34" i="7"/>
  <c r="D35" i="7" s="1"/>
  <c r="J35" i="7" s="1"/>
  <c r="N35" i="4"/>
  <c r="D36" i="4" s="1"/>
  <c r="J36" i="4" s="1"/>
  <c r="M35" i="4"/>
  <c r="C36" i="4" s="1"/>
  <c r="I36" i="4" s="1"/>
  <c r="L35" i="4"/>
  <c r="B36" i="4" s="1"/>
  <c r="H36" i="4" s="1"/>
  <c r="K36" i="4" s="1" a="1"/>
  <c r="K36" i="4" s="1"/>
  <c r="M28" i="2"/>
  <c r="C29" i="2" s="1"/>
  <c r="I29" i="2" s="1"/>
  <c r="N28" i="2"/>
  <c r="D29" i="2" s="1"/>
  <c r="J29" i="2" s="1"/>
  <c r="L28" i="2"/>
  <c r="B29" i="2" s="1"/>
  <c r="L35" i="11" l="1"/>
  <c r="B36" i="11" s="1"/>
  <c r="H36" i="11" s="1"/>
  <c r="K36" i="11" s="1" a="1"/>
  <c r="K36" i="11" s="1"/>
  <c r="N35" i="11"/>
  <c r="D36" i="11" s="1"/>
  <c r="J36" i="11" s="1"/>
  <c r="M35" i="11"/>
  <c r="C36" i="11" s="1"/>
  <c r="I36" i="11" s="1"/>
  <c r="L41" i="10"/>
  <c r="B42" i="10" s="1"/>
  <c r="H42" i="10" s="1"/>
  <c r="N41" i="10"/>
  <c r="D42" i="10" s="1"/>
  <c r="J42" i="10" s="1"/>
  <c r="M41" i="10"/>
  <c r="C42" i="10" s="1"/>
  <c r="I42" i="10" s="1"/>
  <c r="N39" i="9"/>
  <c r="D40" i="9" s="1"/>
  <c r="J40" i="9" s="1"/>
  <c r="M39" i="9"/>
  <c r="C40" i="9" s="1"/>
  <c r="I40" i="9" s="1"/>
  <c r="L39" i="9"/>
  <c r="B40" i="9" s="1"/>
  <c r="H40" i="9" s="1"/>
  <c r="K40" i="9" s="1" a="1"/>
  <c r="K40" i="9" s="1"/>
  <c r="M37" i="8"/>
  <c r="C38" i="8" s="1"/>
  <c r="I38" i="8" s="1"/>
  <c r="L37" i="8"/>
  <c r="B38" i="8" s="1"/>
  <c r="H38" i="8" s="1"/>
  <c r="K38" i="8" s="1" a="1"/>
  <c r="K38" i="8" s="1"/>
  <c r="N37" i="8"/>
  <c r="D38" i="8" s="1"/>
  <c r="J38" i="8" s="1"/>
  <c r="N35" i="7"/>
  <c r="D36" i="7" s="1"/>
  <c r="J36" i="7" s="1"/>
  <c r="M35" i="7"/>
  <c r="C36" i="7" s="1"/>
  <c r="I36" i="7" s="1"/>
  <c r="L35" i="7"/>
  <c r="B36" i="7" s="1"/>
  <c r="H36" i="7" s="1"/>
  <c r="K36" i="7" s="1" a="1"/>
  <c r="K36" i="7" s="1"/>
  <c r="N36" i="4"/>
  <c r="D37" i="4" s="1"/>
  <c r="J37" i="4" s="1"/>
  <c r="M36" i="4"/>
  <c r="C37" i="4" s="1"/>
  <c r="I37" i="4" s="1"/>
  <c r="L36" i="4"/>
  <c r="B37" i="4" s="1"/>
  <c r="H37" i="4" s="1"/>
  <c r="K37" i="4" s="1" a="1"/>
  <c r="K37" i="4" s="1"/>
  <c r="H29" i="2"/>
  <c r="K29" i="2" s="1" a="1"/>
  <c r="K29" i="2" s="1"/>
  <c r="M36" i="11" l="1"/>
  <c r="C37" i="11" s="1"/>
  <c r="I37" i="11" s="1"/>
  <c r="L36" i="11"/>
  <c r="B37" i="11" s="1"/>
  <c r="H37" i="11" s="1"/>
  <c r="N36" i="11"/>
  <c r="D37" i="11" s="1"/>
  <c r="J37" i="11" s="1"/>
  <c r="K42" i="10" a="1"/>
  <c r="K42" i="10" s="1"/>
  <c r="M40" i="9"/>
  <c r="C41" i="9" s="1"/>
  <c r="I41" i="9" s="1"/>
  <c r="L40" i="9"/>
  <c r="B41" i="9" s="1"/>
  <c r="H41" i="9" s="1"/>
  <c r="K41" i="9" s="1" a="1"/>
  <c r="K41" i="9" s="1"/>
  <c r="N40" i="9"/>
  <c r="D41" i="9" s="1"/>
  <c r="J41" i="9" s="1"/>
  <c r="N38" i="8"/>
  <c r="D39" i="8" s="1"/>
  <c r="J39" i="8" s="1"/>
  <c r="M38" i="8"/>
  <c r="C39" i="8" s="1"/>
  <c r="I39" i="8" s="1"/>
  <c r="L38" i="8"/>
  <c r="B39" i="8" s="1"/>
  <c r="H39" i="8" s="1"/>
  <c r="K39" i="8" s="1" a="1"/>
  <c r="K39" i="8" s="1"/>
  <c r="L36" i="7"/>
  <c r="B37" i="7" s="1"/>
  <c r="H37" i="7" s="1"/>
  <c r="N36" i="7"/>
  <c r="D37" i="7" s="1"/>
  <c r="J37" i="7" s="1"/>
  <c r="M36" i="7"/>
  <c r="C37" i="7" s="1"/>
  <c r="I37" i="7" s="1"/>
  <c r="N37" i="4"/>
  <c r="D38" i="4" s="1"/>
  <c r="J38" i="4" s="1"/>
  <c r="M37" i="4"/>
  <c r="C38" i="4" s="1"/>
  <c r="I38" i="4" s="1"/>
  <c r="L37" i="4"/>
  <c r="B38" i="4" s="1"/>
  <c r="H38" i="4" s="1"/>
  <c r="K38" i="4" s="1" a="1"/>
  <c r="K38" i="4" s="1"/>
  <c r="L29" i="2"/>
  <c r="B30" i="2" s="1"/>
  <c r="H30" i="2" s="1"/>
  <c r="N29" i="2"/>
  <c r="D30" i="2" s="1"/>
  <c r="J30" i="2" s="1"/>
  <c r="M29" i="2"/>
  <c r="C30" i="2" s="1"/>
  <c r="I30" i="2" s="1"/>
  <c r="K37" i="11" l="1" a="1"/>
  <c r="K37" i="11" s="1"/>
  <c r="N42" i="10"/>
  <c r="D43" i="10" s="1"/>
  <c r="J43" i="10" s="1"/>
  <c r="M42" i="10"/>
  <c r="C43" i="10" s="1"/>
  <c r="I43" i="10" s="1"/>
  <c r="L42" i="10"/>
  <c r="B43" i="10" s="1"/>
  <c r="H43" i="10" s="1"/>
  <c r="N41" i="9"/>
  <c r="D42" i="9" s="1"/>
  <c r="J42" i="9" s="1"/>
  <c r="M41" i="9"/>
  <c r="C42" i="9" s="1"/>
  <c r="I42" i="9" s="1"/>
  <c r="L41" i="9"/>
  <c r="B42" i="9" s="1"/>
  <c r="H42" i="9" s="1"/>
  <c r="K42" i="9" s="1" a="1"/>
  <c r="K42" i="9" s="1"/>
  <c r="N39" i="8"/>
  <c r="D40" i="8" s="1"/>
  <c r="J40" i="8" s="1"/>
  <c r="M39" i="8"/>
  <c r="C40" i="8" s="1"/>
  <c r="I40" i="8" s="1"/>
  <c r="L39" i="8"/>
  <c r="B40" i="8" s="1"/>
  <c r="H40" i="8" s="1"/>
  <c r="K40" i="8" s="1" a="1"/>
  <c r="K40" i="8" s="1"/>
  <c r="K37" i="7" a="1"/>
  <c r="K37" i="7" s="1"/>
  <c r="N38" i="4"/>
  <c r="D39" i="4" s="1"/>
  <c r="J39" i="4" s="1"/>
  <c r="M38" i="4"/>
  <c r="C39" i="4" s="1"/>
  <c r="I39" i="4" s="1"/>
  <c r="L38" i="4"/>
  <c r="B39" i="4" s="1"/>
  <c r="H39" i="4" s="1"/>
  <c r="K39" i="4" s="1" a="1"/>
  <c r="K39" i="4" s="1"/>
  <c r="K30" i="2" a="1"/>
  <c r="K30" i="2" s="1"/>
  <c r="N30" i="2" s="1"/>
  <c r="D31" i="2" s="1"/>
  <c r="J31" i="2" s="1"/>
  <c r="L30" i="2"/>
  <c r="B31" i="2" s="1"/>
  <c r="N37" i="11" l="1"/>
  <c r="D38" i="11" s="1"/>
  <c r="J38" i="11" s="1"/>
  <c r="M37" i="11"/>
  <c r="C38" i="11" s="1"/>
  <c r="I38" i="11" s="1"/>
  <c r="L37" i="11"/>
  <c r="B38" i="11" s="1"/>
  <c r="H38" i="11" s="1"/>
  <c r="K38" i="11" s="1" a="1"/>
  <c r="K38" i="11" s="1"/>
  <c r="K43" i="10" a="1"/>
  <c r="K43" i="10" s="1"/>
  <c r="N42" i="9"/>
  <c r="D43" i="9" s="1"/>
  <c r="J43" i="9" s="1"/>
  <c r="M42" i="9"/>
  <c r="C43" i="9" s="1"/>
  <c r="I43" i="9" s="1"/>
  <c r="L42" i="9"/>
  <c r="B43" i="9" s="1"/>
  <c r="H43" i="9" s="1"/>
  <c r="N40" i="8"/>
  <c r="D41" i="8" s="1"/>
  <c r="J41" i="8" s="1"/>
  <c r="M40" i="8"/>
  <c r="C41" i="8" s="1"/>
  <c r="I41" i="8" s="1"/>
  <c r="L40" i="8"/>
  <c r="B41" i="8" s="1"/>
  <c r="H41" i="8" s="1"/>
  <c r="K41" i="8" s="1" a="1"/>
  <c r="K41" i="8" s="1"/>
  <c r="N37" i="7"/>
  <c r="D38" i="7" s="1"/>
  <c r="J38" i="7" s="1"/>
  <c r="M37" i="7"/>
  <c r="C38" i="7" s="1"/>
  <c r="I38" i="7" s="1"/>
  <c r="L37" i="7"/>
  <c r="B38" i="7" s="1"/>
  <c r="H38" i="7" s="1"/>
  <c r="K38" i="7" s="1" a="1"/>
  <c r="K38" i="7" s="1"/>
  <c r="N39" i="4"/>
  <c r="D40" i="4" s="1"/>
  <c r="J40" i="4" s="1"/>
  <c r="M39" i="4"/>
  <c r="C40" i="4" s="1"/>
  <c r="I40" i="4" s="1"/>
  <c r="L39" i="4"/>
  <c r="B40" i="4" s="1"/>
  <c r="H40" i="4" s="1"/>
  <c r="K40" i="4" s="1" a="1"/>
  <c r="K40" i="4" s="1"/>
  <c r="M30" i="2"/>
  <c r="C31" i="2" s="1"/>
  <c r="I31" i="2" s="1"/>
  <c r="H31" i="2"/>
  <c r="N38" i="11" l="1"/>
  <c r="D39" i="11" s="1"/>
  <c r="J39" i="11" s="1"/>
  <c r="M38" i="11"/>
  <c r="C39" i="11" s="1"/>
  <c r="I39" i="11" s="1"/>
  <c r="L38" i="11"/>
  <c r="B39" i="11" s="1"/>
  <c r="H39" i="11" s="1"/>
  <c r="K39" i="11" s="1" a="1"/>
  <c r="K39" i="11" s="1"/>
  <c r="N43" i="10"/>
  <c r="D44" i="10" s="1"/>
  <c r="J44" i="10" s="1"/>
  <c r="M43" i="10"/>
  <c r="C44" i="10" s="1"/>
  <c r="I44" i="10" s="1"/>
  <c r="L43" i="10"/>
  <c r="B44" i="10" s="1"/>
  <c r="H44" i="10" s="1"/>
  <c r="K44" i="10" s="1" a="1"/>
  <c r="K44" i="10" s="1"/>
  <c r="K43" i="9" a="1"/>
  <c r="K43" i="9" s="1"/>
  <c r="N41" i="8"/>
  <c r="D42" i="8" s="1"/>
  <c r="J42" i="8" s="1"/>
  <c r="M41" i="8"/>
  <c r="C42" i="8" s="1"/>
  <c r="I42" i="8" s="1"/>
  <c r="L41" i="8"/>
  <c r="B42" i="8" s="1"/>
  <c r="H42" i="8" s="1"/>
  <c r="K42" i="8" s="1" a="1"/>
  <c r="K42" i="8" s="1"/>
  <c r="N38" i="7"/>
  <c r="D39" i="7" s="1"/>
  <c r="J39" i="7" s="1"/>
  <c r="M38" i="7"/>
  <c r="C39" i="7" s="1"/>
  <c r="I39" i="7" s="1"/>
  <c r="L38" i="7"/>
  <c r="B39" i="7" s="1"/>
  <c r="H39" i="7" s="1"/>
  <c r="K39" i="7" s="1" a="1"/>
  <c r="K39" i="7" s="1"/>
  <c r="L40" i="4"/>
  <c r="B41" i="4" s="1"/>
  <c r="H41" i="4" s="1"/>
  <c r="N40" i="4"/>
  <c r="D41" i="4" s="1"/>
  <c r="J41" i="4" s="1"/>
  <c r="M40" i="4"/>
  <c r="C41" i="4" s="1"/>
  <c r="I41" i="4" s="1"/>
  <c r="K31" i="2" a="1"/>
  <c r="K31" i="2" s="1"/>
  <c r="L31" i="2"/>
  <c r="B32" i="2" s="1"/>
  <c r="H32" i="2" s="1"/>
  <c r="M31" i="2"/>
  <c r="C32" i="2" s="1"/>
  <c r="I32" i="2" s="1"/>
  <c r="N31" i="2"/>
  <c r="D32" i="2" s="1"/>
  <c r="J32" i="2" s="1"/>
  <c r="N39" i="11" l="1"/>
  <c r="D40" i="11" s="1"/>
  <c r="J40" i="11" s="1"/>
  <c r="M39" i="11"/>
  <c r="C40" i="11" s="1"/>
  <c r="I40" i="11" s="1"/>
  <c r="L39" i="11"/>
  <c r="B40" i="11" s="1"/>
  <c r="H40" i="11" s="1"/>
  <c r="K40" i="11" s="1" a="1"/>
  <c r="K40" i="11" s="1"/>
  <c r="N44" i="10"/>
  <c r="D45" i="10" s="1"/>
  <c r="J45" i="10" s="1"/>
  <c r="M44" i="10"/>
  <c r="C45" i="10" s="1"/>
  <c r="I45" i="10" s="1"/>
  <c r="L44" i="10"/>
  <c r="B45" i="10" s="1"/>
  <c r="H45" i="10" s="1"/>
  <c r="L43" i="9"/>
  <c r="B44" i="9" s="1"/>
  <c r="H44" i="9" s="1"/>
  <c r="N43" i="9"/>
  <c r="D44" i="9" s="1"/>
  <c r="J44" i="9" s="1"/>
  <c r="M43" i="9"/>
  <c r="C44" i="9" s="1"/>
  <c r="I44" i="9" s="1"/>
  <c r="L42" i="8"/>
  <c r="B43" i="8" s="1"/>
  <c r="H43" i="8" s="1"/>
  <c r="N42" i="8"/>
  <c r="D43" i="8" s="1"/>
  <c r="J43" i="8" s="1"/>
  <c r="M42" i="8"/>
  <c r="C43" i="8" s="1"/>
  <c r="I43" i="8" s="1"/>
  <c r="N39" i="7"/>
  <c r="D40" i="7" s="1"/>
  <c r="J40" i="7" s="1"/>
  <c r="M39" i="7"/>
  <c r="C40" i="7" s="1"/>
  <c r="I40" i="7" s="1"/>
  <c r="L39" i="7"/>
  <c r="B40" i="7" s="1"/>
  <c r="H40" i="7" s="1"/>
  <c r="K40" i="7" s="1" a="1"/>
  <c r="K40" i="7" s="1"/>
  <c r="K41" i="4" a="1"/>
  <c r="K41" i="4" s="1"/>
  <c r="K32" i="2" a="1"/>
  <c r="K32" i="2" s="1"/>
  <c r="N40" i="11" l="1"/>
  <c r="D41" i="11" s="1"/>
  <c r="J41" i="11" s="1"/>
  <c r="M40" i="11"/>
  <c r="C41" i="11" s="1"/>
  <c r="I41" i="11" s="1"/>
  <c r="L40" i="11"/>
  <c r="B41" i="11" s="1"/>
  <c r="H41" i="11" s="1"/>
  <c r="K41" i="11" s="1" a="1"/>
  <c r="K41" i="11" s="1"/>
  <c r="K45" i="10" a="1"/>
  <c r="K45" i="10" s="1"/>
  <c r="K44" i="9" a="1"/>
  <c r="K44" i="9" s="1"/>
  <c r="K43" i="8" a="1"/>
  <c r="K43" i="8" s="1"/>
  <c r="N40" i="7"/>
  <c r="D41" i="7" s="1"/>
  <c r="J41" i="7" s="1"/>
  <c r="M40" i="7"/>
  <c r="C41" i="7" s="1"/>
  <c r="I41" i="7" s="1"/>
  <c r="L40" i="7"/>
  <c r="B41" i="7" s="1"/>
  <c r="H41" i="7" s="1"/>
  <c r="K41" i="7" s="1" a="1"/>
  <c r="K41" i="7" s="1"/>
  <c r="M41" i="4"/>
  <c r="C42" i="4" s="1"/>
  <c r="I42" i="4" s="1"/>
  <c r="L41" i="4"/>
  <c r="B42" i="4" s="1"/>
  <c r="H42" i="4" s="1"/>
  <c r="K42" i="4" s="1" a="1"/>
  <c r="K42" i="4" s="1"/>
  <c r="N41" i="4"/>
  <c r="D42" i="4" s="1"/>
  <c r="J42" i="4" s="1"/>
  <c r="L32" i="2"/>
  <c r="B33" i="2" s="1"/>
  <c r="H33" i="2" s="1"/>
  <c r="N32" i="2"/>
  <c r="D33" i="2" s="1"/>
  <c r="J33" i="2" s="1"/>
  <c r="M32" i="2"/>
  <c r="C33" i="2" s="1"/>
  <c r="I33" i="2" s="1"/>
  <c r="N41" i="11" l="1"/>
  <c r="D42" i="11" s="1"/>
  <c r="J42" i="11" s="1"/>
  <c r="M41" i="11"/>
  <c r="C42" i="11" s="1"/>
  <c r="I42" i="11" s="1"/>
  <c r="L41" i="11"/>
  <c r="B42" i="11" s="1"/>
  <c r="H42" i="11" s="1"/>
  <c r="M45" i="10"/>
  <c r="C46" i="10" s="1"/>
  <c r="I46" i="10" s="1"/>
  <c r="N45" i="10"/>
  <c r="D46" i="10" s="1"/>
  <c r="J46" i="10" s="1"/>
  <c r="L45" i="10"/>
  <c r="B46" i="10" s="1"/>
  <c r="H46" i="10" s="1"/>
  <c r="K46" i="10" s="1" a="1"/>
  <c r="K46" i="10" s="1"/>
  <c r="M44" i="9"/>
  <c r="C45" i="9" s="1"/>
  <c r="I45" i="9" s="1"/>
  <c r="L44" i="9"/>
  <c r="B45" i="9" s="1"/>
  <c r="H45" i="9" s="1"/>
  <c r="N44" i="9"/>
  <c r="D45" i="9" s="1"/>
  <c r="J45" i="9" s="1"/>
  <c r="N43" i="8"/>
  <c r="D44" i="8" s="1"/>
  <c r="J44" i="8" s="1"/>
  <c r="M43" i="8"/>
  <c r="C44" i="8" s="1"/>
  <c r="I44" i="8" s="1"/>
  <c r="L43" i="8"/>
  <c r="B44" i="8" s="1"/>
  <c r="H44" i="8" s="1"/>
  <c r="N41" i="7"/>
  <c r="D42" i="7" s="1"/>
  <c r="J42" i="7" s="1"/>
  <c r="M41" i="7"/>
  <c r="C42" i="7" s="1"/>
  <c r="I42" i="7" s="1"/>
  <c r="L41" i="7"/>
  <c r="B42" i="7" s="1"/>
  <c r="H42" i="7" s="1"/>
  <c r="K42" i="7" s="1" a="1"/>
  <c r="K42" i="7" s="1"/>
  <c r="N42" i="4"/>
  <c r="D43" i="4" s="1"/>
  <c r="J43" i="4" s="1"/>
  <c r="M42" i="4"/>
  <c r="C43" i="4" s="1"/>
  <c r="I43" i="4" s="1"/>
  <c r="L42" i="4"/>
  <c r="B43" i="4" s="1"/>
  <c r="H43" i="4" s="1"/>
  <c r="K43" i="4" s="1" a="1"/>
  <c r="K43" i="4" s="1"/>
  <c r="K33" i="2" a="1"/>
  <c r="K33" i="2" s="1"/>
  <c r="K42" i="11" l="1" a="1"/>
  <c r="K42" i="11" s="1"/>
  <c r="N46" i="10"/>
  <c r="D47" i="10" s="1"/>
  <c r="J47" i="10" s="1"/>
  <c r="M46" i="10"/>
  <c r="C47" i="10" s="1"/>
  <c r="I47" i="10" s="1"/>
  <c r="L46" i="10"/>
  <c r="B47" i="10" s="1"/>
  <c r="H47" i="10" s="1"/>
  <c r="K47" i="10" s="1" a="1"/>
  <c r="K47" i="10" s="1"/>
  <c r="K45" i="9" a="1"/>
  <c r="K45" i="9" s="1"/>
  <c r="K44" i="8" a="1"/>
  <c r="K44" i="8" s="1"/>
  <c r="N42" i="7"/>
  <c r="D43" i="7" s="1"/>
  <c r="J43" i="7" s="1"/>
  <c r="M42" i="7"/>
  <c r="C43" i="7" s="1"/>
  <c r="I43" i="7" s="1"/>
  <c r="L42" i="7"/>
  <c r="B43" i="7" s="1"/>
  <c r="H43" i="7" s="1"/>
  <c r="K43" i="7" s="1" a="1"/>
  <c r="K43" i="7" s="1"/>
  <c r="N43" i="4"/>
  <c r="D44" i="4" s="1"/>
  <c r="J44" i="4" s="1"/>
  <c r="M43" i="4"/>
  <c r="C44" i="4" s="1"/>
  <c r="I44" i="4" s="1"/>
  <c r="L43" i="4"/>
  <c r="B44" i="4" s="1"/>
  <c r="H44" i="4" s="1"/>
  <c r="K44" i="4" s="1" a="1"/>
  <c r="K44" i="4" s="1"/>
  <c r="L33" i="2"/>
  <c r="B34" i="2" s="1"/>
  <c r="H34" i="2" s="1"/>
  <c r="M33" i="2"/>
  <c r="C34" i="2" s="1"/>
  <c r="I34" i="2" s="1"/>
  <c r="N33" i="2"/>
  <c r="D34" i="2" s="1"/>
  <c r="J34" i="2" s="1"/>
  <c r="M42" i="11" l="1"/>
  <c r="C43" i="11" s="1"/>
  <c r="I43" i="11" s="1"/>
  <c r="L42" i="11"/>
  <c r="B43" i="11" s="1"/>
  <c r="H43" i="11" s="1"/>
  <c r="N42" i="11"/>
  <c r="D43" i="11" s="1"/>
  <c r="J43" i="11" s="1"/>
  <c r="N47" i="10"/>
  <c r="D48" i="10" s="1"/>
  <c r="J48" i="10" s="1"/>
  <c r="M47" i="10"/>
  <c r="C48" i="10" s="1"/>
  <c r="I48" i="10" s="1"/>
  <c r="L47" i="10"/>
  <c r="B48" i="10" s="1"/>
  <c r="H48" i="10" s="1"/>
  <c r="K48" i="10" s="1" a="1"/>
  <c r="K48" i="10" s="1"/>
  <c r="N45" i="9"/>
  <c r="D46" i="9" s="1"/>
  <c r="J46" i="9" s="1"/>
  <c r="L45" i="9"/>
  <c r="B46" i="9" s="1"/>
  <c r="H46" i="9" s="1"/>
  <c r="K46" i="9" s="1" a="1"/>
  <c r="K46" i="9" s="1"/>
  <c r="M45" i="9"/>
  <c r="C46" i="9" s="1"/>
  <c r="I46" i="9" s="1"/>
  <c r="N44" i="8"/>
  <c r="D45" i="8" s="1"/>
  <c r="J45" i="8" s="1"/>
  <c r="M44" i="8"/>
  <c r="C45" i="8" s="1"/>
  <c r="I45" i="8" s="1"/>
  <c r="L44" i="8"/>
  <c r="B45" i="8" s="1"/>
  <c r="H45" i="8" s="1"/>
  <c r="K45" i="8" s="1" a="1"/>
  <c r="K45" i="8" s="1"/>
  <c r="N43" i="7"/>
  <c r="D44" i="7" s="1"/>
  <c r="J44" i="7" s="1"/>
  <c r="M43" i="7"/>
  <c r="C44" i="7" s="1"/>
  <c r="I44" i="7" s="1"/>
  <c r="L43" i="7"/>
  <c r="B44" i="7" s="1"/>
  <c r="H44" i="7" s="1"/>
  <c r="L44" i="4"/>
  <c r="B45" i="4" s="1"/>
  <c r="H45" i="4" s="1"/>
  <c r="N44" i="4"/>
  <c r="D45" i="4" s="1"/>
  <c r="J45" i="4" s="1"/>
  <c r="M44" i="4"/>
  <c r="C45" i="4" s="1"/>
  <c r="I45" i="4" s="1"/>
  <c r="K34" i="2" a="1"/>
  <c r="K34" i="2" s="1"/>
  <c r="K43" i="11" l="1" a="1"/>
  <c r="K43" i="11" s="1"/>
  <c r="M48" i="10"/>
  <c r="C49" i="10" s="1"/>
  <c r="I49" i="10" s="1"/>
  <c r="L48" i="10"/>
  <c r="B49" i="10" s="1"/>
  <c r="H49" i="10" s="1"/>
  <c r="N48" i="10"/>
  <c r="D49" i="10" s="1"/>
  <c r="J49" i="10" s="1"/>
  <c r="M46" i="9"/>
  <c r="C47" i="9" s="1"/>
  <c r="I47" i="9" s="1"/>
  <c r="N46" i="9"/>
  <c r="D47" i="9" s="1"/>
  <c r="J47" i="9" s="1"/>
  <c r="L46" i="9"/>
  <c r="B47" i="9" s="1"/>
  <c r="H47" i="9" s="1"/>
  <c r="L45" i="8"/>
  <c r="B46" i="8" s="1"/>
  <c r="H46" i="8" s="1"/>
  <c r="M45" i="8"/>
  <c r="C46" i="8" s="1"/>
  <c r="I46" i="8" s="1"/>
  <c r="N45" i="8"/>
  <c r="D46" i="8" s="1"/>
  <c r="J46" i="8" s="1"/>
  <c r="K44" i="7" a="1"/>
  <c r="K44" i="7" s="1"/>
  <c r="K45" i="4" a="1"/>
  <c r="K45" i="4" s="1"/>
  <c r="L34" i="2"/>
  <c r="B35" i="2" s="1"/>
  <c r="H35" i="2" s="1"/>
  <c r="M34" i="2"/>
  <c r="C35" i="2" s="1"/>
  <c r="I35" i="2" s="1"/>
  <c r="N34" i="2"/>
  <c r="D35" i="2" s="1"/>
  <c r="J35" i="2" s="1"/>
  <c r="N43" i="11" l="1"/>
  <c r="D44" i="11" s="1"/>
  <c r="J44" i="11" s="1"/>
  <c r="M43" i="11"/>
  <c r="C44" i="11" s="1"/>
  <c r="I44" i="11" s="1"/>
  <c r="L43" i="11"/>
  <c r="B44" i="11" s="1"/>
  <c r="H44" i="11" s="1"/>
  <c r="K44" i="11" s="1" a="1"/>
  <c r="K44" i="11" s="1"/>
  <c r="K49" i="10" a="1"/>
  <c r="K49" i="10" s="1"/>
  <c r="K47" i="9" a="1"/>
  <c r="K47" i="9" s="1"/>
  <c r="K46" i="8" a="1"/>
  <c r="K46" i="8" s="1"/>
  <c r="N44" i="7"/>
  <c r="D45" i="7" s="1"/>
  <c r="J45" i="7" s="1"/>
  <c r="M44" i="7"/>
  <c r="C45" i="7" s="1"/>
  <c r="I45" i="7" s="1"/>
  <c r="L44" i="7"/>
  <c r="B45" i="7" s="1"/>
  <c r="H45" i="7" s="1"/>
  <c r="M45" i="4"/>
  <c r="C46" i="4" s="1"/>
  <c r="I46" i="4" s="1"/>
  <c r="L45" i="4"/>
  <c r="B46" i="4" s="1"/>
  <c r="H46" i="4" s="1"/>
  <c r="N45" i="4"/>
  <c r="D46" i="4" s="1"/>
  <c r="J46" i="4" s="1"/>
  <c r="K35" i="2" a="1"/>
  <c r="K35" i="2" s="1"/>
  <c r="L35" i="2"/>
  <c r="B36" i="2" s="1"/>
  <c r="H36" i="2" s="1"/>
  <c r="N35" i="2"/>
  <c r="D36" i="2" s="1"/>
  <c r="J36" i="2" s="1"/>
  <c r="M35" i="2"/>
  <c r="C36" i="2" s="1"/>
  <c r="I36" i="2" s="1"/>
  <c r="N44" i="11" l="1"/>
  <c r="D45" i="11" s="1"/>
  <c r="J45" i="11" s="1"/>
  <c r="M44" i="11"/>
  <c r="C45" i="11" s="1"/>
  <c r="I45" i="11" s="1"/>
  <c r="L44" i="11"/>
  <c r="B45" i="11" s="1"/>
  <c r="H45" i="11" s="1"/>
  <c r="K45" i="11" s="1" a="1"/>
  <c r="K45" i="11" s="1"/>
  <c r="N49" i="10"/>
  <c r="D50" i="10" s="1"/>
  <c r="J50" i="10" s="1"/>
  <c r="M49" i="10"/>
  <c r="C50" i="10" s="1"/>
  <c r="I50" i="10" s="1"/>
  <c r="L49" i="10"/>
  <c r="B50" i="10" s="1"/>
  <c r="H50" i="10" s="1"/>
  <c r="K50" i="10" s="1" a="1"/>
  <c r="K50" i="10" s="1"/>
  <c r="N47" i="9"/>
  <c r="D48" i="9" s="1"/>
  <c r="J48" i="9" s="1"/>
  <c r="M47" i="9"/>
  <c r="C48" i="9" s="1"/>
  <c r="I48" i="9" s="1"/>
  <c r="L47" i="9"/>
  <c r="B48" i="9" s="1"/>
  <c r="H48" i="9" s="1"/>
  <c r="K48" i="9" s="1" a="1"/>
  <c r="K48" i="9" s="1"/>
  <c r="N46" i="8"/>
  <c r="D47" i="8" s="1"/>
  <c r="J47" i="8" s="1"/>
  <c r="M46" i="8"/>
  <c r="C47" i="8" s="1"/>
  <c r="I47" i="8" s="1"/>
  <c r="L46" i="8"/>
  <c r="B47" i="8" s="1"/>
  <c r="H47" i="8" s="1"/>
  <c r="K47" i="8" s="1" a="1"/>
  <c r="K47" i="8" s="1"/>
  <c r="K45" i="7" a="1"/>
  <c r="K45" i="7" s="1"/>
  <c r="K46" i="4" a="1"/>
  <c r="K46" i="4" s="1"/>
  <c r="K36" i="2" a="1"/>
  <c r="K36" i="2" s="1"/>
  <c r="L45" i="11" l="1"/>
  <c r="B46" i="11" s="1"/>
  <c r="H46" i="11" s="1"/>
  <c r="M45" i="11"/>
  <c r="C46" i="11" s="1"/>
  <c r="I46" i="11" s="1"/>
  <c r="N45" i="11"/>
  <c r="D46" i="11" s="1"/>
  <c r="J46" i="11" s="1"/>
  <c r="L50" i="10"/>
  <c r="B51" i="10" s="1"/>
  <c r="H51" i="10" s="1"/>
  <c r="N50" i="10"/>
  <c r="D51" i="10" s="1"/>
  <c r="J51" i="10" s="1"/>
  <c r="M50" i="10"/>
  <c r="C51" i="10" s="1"/>
  <c r="I51" i="10" s="1"/>
  <c r="N48" i="9"/>
  <c r="D49" i="9" s="1"/>
  <c r="J49" i="9" s="1"/>
  <c r="M48" i="9"/>
  <c r="C49" i="9" s="1"/>
  <c r="I49" i="9" s="1"/>
  <c r="L48" i="9"/>
  <c r="B49" i="9" s="1"/>
  <c r="H49" i="9" s="1"/>
  <c r="N47" i="8"/>
  <c r="D48" i="8" s="1"/>
  <c r="J48" i="8" s="1"/>
  <c r="M47" i="8"/>
  <c r="C48" i="8" s="1"/>
  <c r="I48" i="8" s="1"/>
  <c r="L47" i="8"/>
  <c r="B48" i="8" s="1"/>
  <c r="H48" i="8" s="1"/>
  <c r="K48" i="8" s="1" a="1"/>
  <c r="K48" i="8" s="1"/>
  <c r="L45" i="7"/>
  <c r="B46" i="7" s="1"/>
  <c r="H46" i="7" s="1"/>
  <c r="N45" i="7"/>
  <c r="D46" i="7" s="1"/>
  <c r="J46" i="7" s="1"/>
  <c r="M45" i="7"/>
  <c r="C46" i="7" s="1"/>
  <c r="I46" i="7" s="1"/>
  <c r="N46" i="4"/>
  <c r="D47" i="4" s="1"/>
  <c r="J47" i="4" s="1"/>
  <c r="M46" i="4"/>
  <c r="C47" i="4" s="1"/>
  <c r="I47" i="4" s="1"/>
  <c r="L46" i="4"/>
  <c r="B47" i="4" s="1"/>
  <c r="H47" i="4" s="1"/>
  <c r="K47" i="4" s="1" a="1"/>
  <c r="K47" i="4" s="1"/>
  <c r="M36" i="2"/>
  <c r="C37" i="2" s="1"/>
  <c r="I37" i="2" s="1"/>
  <c r="N36" i="2"/>
  <c r="D37" i="2" s="1"/>
  <c r="J37" i="2" s="1"/>
  <c r="L36" i="2"/>
  <c r="B37" i="2" s="1"/>
  <c r="H37" i="2" s="1"/>
  <c r="K46" i="11" l="1" a="1"/>
  <c r="K46" i="11" s="1"/>
  <c r="K51" i="10" a="1"/>
  <c r="K51" i="10" s="1"/>
  <c r="K49" i="9" a="1"/>
  <c r="K49" i="9" s="1"/>
  <c r="L48" i="8"/>
  <c r="B49" i="8" s="1"/>
  <c r="H49" i="8" s="1"/>
  <c r="N48" i="8"/>
  <c r="D49" i="8" s="1"/>
  <c r="J49" i="8" s="1"/>
  <c r="M48" i="8"/>
  <c r="C49" i="8" s="1"/>
  <c r="I49" i="8" s="1"/>
  <c r="K46" i="7" a="1"/>
  <c r="K46" i="7" s="1"/>
  <c r="N47" i="4"/>
  <c r="D48" i="4" s="1"/>
  <c r="J48" i="4" s="1"/>
  <c r="M47" i="4"/>
  <c r="C48" i="4" s="1"/>
  <c r="I48" i="4" s="1"/>
  <c r="L47" i="4"/>
  <c r="B48" i="4" s="1"/>
  <c r="H48" i="4" s="1"/>
  <c r="K37" i="2" a="1"/>
  <c r="K37" i="2" s="1"/>
  <c r="N46" i="11" l="1"/>
  <c r="D47" i="11" s="1"/>
  <c r="J47" i="11" s="1"/>
  <c r="M46" i="11"/>
  <c r="C47" i="11" s="1"/>
  <c r="I47" i="11" s="1"/>
  <c r="L46" i="11"/>
  <c r="B47" i="11" s="1"/>
  <c r="H47" i="11" s="1"/>
  <c r="K47" i="11" s="1" a="1"/>
  <c r="K47" i="11" s="1"/>
  <c r="M51" i="10"/>
  <c r="C52" i="10" s="1"/>
  <c r="I52" i="10" s="1"/>
  <c r="L51" i="10"/>
  <c r="B52" i="10" s="1"/>
  <c r="H52" i="10" s="1"/>
  <c r="N51" i="10"/>
  <c r="D52" i="10" s="1"/>
  <c r="J52" i="10" s="1"/>
  <c r="N49" i="9"/>
  <c r="D50" i="9" s="1"/>
  <c r="J50" i="9" s="1"/>
  <c r="M49" i="9"/>
  <c r="C50" i="9" s="1"/>
  <c r="I50" i="9" s="1"/>
  <c r="L49" i="9"/>
  <c r="B50" i="9" s="1"/>
  <c r="H50" i="9" s="1"/>
  <c r="K49" i="8" a="1"/>
  <c r="K49" i="8" s="1"/>
  <c r="M46" i="7"/>
  <c r="C47" i="7" s="1"/>
  <c r="I47" i="7" s="1"/>
  <c r="L46" i="7"/>
  <c r="B47" i="7" s="1"/>
  <c r="H47" i="7" s="1"/>
  <c r="N46" i="7"/>
  <c r="D47" i="7" s="1"/>
  <c r="J47" i="7" s="1"/>
  <c r="K48" i="4" a="1"/>
  <c r="K48" i="4" s="1"/>
  <c r="M37" i="2"/>
  <c r="C38" i="2" s="1"/>
  <c r="I38" i="2" s="1"/>
  <c r="N37" i="2"/>
  <c r="D38" i="2" s="1"/>
  <c r="J38" i="2" s="1"/>
  <c r="L37" i="2"/>
  <c r="B38" i="2" s="1"/>
  <c r="H38" i="2" s="1"/>
  <c r="L47" i="11" l="1"/>
  <c r="B48" i="11" s="1"/>
  <c r="H48" i="11" s="1"/>
  <c r="N47" i="11"/>
  <c r="D48" i="11" s="1"/>
  <c r="J48" i="11" s="1"/>
  <c r="M47" i="11"/>
  <c r="C48" i="11" s="1"/>
  <c r="I48" i="11" s="1"/>
  <c r="K52" i="10" a="1"/>
  <c r="K52" i="10" s="1"/>
  <c r="K50" i="9" a="1"/>
  <c r="K50" i="9" s="1"/>
  <c r="M49" i="8"/>
  <c r="C50" i="8" s="1"/>
  <c r="I50" i="8" s="1"/>
  <c r="L49" i="8"/>
  <c r="B50" i="8" s="1"/>
  <c r="H50" i="8" s="1"/>
  <c r="N49" i="8"/>
  <c r="D50" i="8" s="1"/>
  <c r="J50" i="8" s="1"/>
  <c r="K47" i="7" a="1"/>
  <c r="K47" i="7" s="1"/>
  <c r="L48" i="4"/>
  <c r="B49" i="4" s="1"/>
  <c r="H49" i="4" s="1"/>
  <c r="N48" i="4"/>
  <c r="D49" i="4" s="1"/>
  <c r="J49" i="4" s="1"/>
  <c r="M48" i="4"/>
  <c r="C49" i="4" s="1"/>
  <c r="I49" i="4" s="1"/>
  <c r="K38" i="2" a="1"/>
  <c r="K38" i="2" s="1"/>
  <c r="N38" i="2" s="1"/>
  <c r="D39" i="2" s="1"/>
  <c r="J39" i="2" s="1"/>
  <c r="K48" i="11" l="1" a="1"/>
  <c r="K48" i="11" s="1"/>
  <c r="N52" i="10"/>
  <c r="D53" i="10" s="1"/>
  <c r="J53" i="10" s="1"/>
  <c r="M52" i="10"/>
  <c r="C53" i="10" s="1"/>
  <c r="I53" i="10" s="1"/>
  <c r="L52" i="10"/>
  <c r="B53" i="10" s="1"/>
  <c r="H53" i="10" s="1"/>
  <c r="K53" i="10" s="1" a="1"/>
  <c r="K53" i="10" s="1"/>
  <c r="L50" i="9"/>
  <c r="B51" i="9" s="1"/>
  <c r="H51" i="9" s="1"/>
  <c r="N50" i="9"/>
  <c r="D51" i="9" s="1"/>
  <c r="J51" i="9" s="1"/>
  <c r="M50" i="9"/>
  <c r="C51" i="9" s="1"/>
  <c r="I51" i="9" s="1"/>
  <c r="K50" i="8" a="1"/>
  <c r="K50" i="8" s="1"/>
  <c r="N47" i="7"/>
  <c r="D48" i="7" s="1"/>
  <c r="J48" i="7" s="1"/>
  <c r="M47" i="7"/>
  <c r="C48" i="7" s="1"/>
  <c r="I48" i="7" s="1"/>
  <c r="L47" i="7"/>
  <c r="B48" i="7" s="1"/>
  <c r="H48" i="7" s="1"/>
  <c r="K49" i="4" a="1"/>
  <c r="K49" i="4" s="1"/>
  <c r="L38" i="2"/>
  <c r="B39" i="2" s="1"/>
  <c r="H39" i="2" s="1"/>
  <c r="K39" i="2" s="1" a="1"/>
  <c r="K39" i="2" s="1"/>
  <c r="M38" i="2"/>
  <c r="C39" i="2" s="1"/>
  <c r="I39" i="2" s="1"/>
  <c r="M48" i="11" l="1"/>
  <c r="C49" i="11" s="1"/>
  <c r="I49" i="11" s="1"/>
  <c r="L48" i="11"/>
  <c r="B49" i="11" s="1"/>
  <c r="H49" i="11" s="1"/>
  <c r="K49" i="11" s="1" a="1"/>
  <c r="K49" i="11" s="1"/>
  <c r="N48" i="11"/>
  <c r="D49" i="11" s="1"/>
  <c r="J49" i="11" s="1"/>
  <c r="N53" i="10"/>
  <c r="D54" i="10" s="1"/>
  <c r="J54" i="10" s="1"/>
  <c r="M53" i="10"/>
  <c r="C54" i="10" s="1"/>
  <c r="I54" i="10" s="1"/>
  <c r="L53" i="10"/>
  <c r="B54" i="10" s="1"/>
  <c r="H54" i="10" s="1"/>
  <c r="K54" i="10" s="1" a="1"/>
  <c r="K54" i="10" s="1"/>
  <c r="K51" i="9" a="1"/>
  <c r="K51" i="9" s="1"/>
  <c r="N50" i="8"/>
  <c r="D51" i="8" s="1"/>
  <c r="J51" i="8" s="1"/>
  <c r="M50" i="8"/>
  <c r="C51" i="8" s="1"/>
  <c r="I51" i="8" s="1"/>
  <c r="L50" i="8"/>
  <c r="B51" i="8" s="1"/>
  <c r="H51" i="8" s="1"/>
  <c r="K48" i="7" a="1"/>
  <c r="K48" i="7" s="1"/>
  <c r="N49" i="4"/>
  <c r="D50" i="4" s="1"/>
  <c r="J50" i="4" s="1"/>
  <c r="M49" i="4"/>
  <c r="C50" i="4" s="1"/>
  <c r="I50" i="4" s="1"/>
  <c r="L49" i="4"/>
  <c r="B50" i="4" s="1"/>
  <c r="H50" i="4" s="1"/>
  <c r="L39" i="2"/>
  <c r="B40" i="2" s="1"/>
  <c r="H40" i="2" s="1"/>
  <c r="N39" i="2"/>
  <c r="D40" i="2" s="1"/>
  <c r="J40" i="2" s="1"/>
  <c r="M39" i="2"/>
  <c r="C40" i="2" s="1"/>
  <c r="I40" i="2" s="1"/>
  <c r="N49" i="11" l="1"/>
  <c r="D50" i="11" s="1"/>
  <c r="J50" i="11" s="1"/>
  <c r="M49" i="11"/>
  <c r="C50" i="11" s="1"/>
  <c r="I50" i="11" s="1"/>
  <c r="L49" i="11"/>
  <c r="B50" i="11" s="1"/>
  <c r="H50" i="11" s="1"/>
  <c r="N54" i="10"/>
  <c r="D55" i="10" s="1"/>
  <c r="J55" i="10" s="1"/>
  <c r="M54" i="10"/>
  <c r="C55" i="10" s="1"/>
  <c r="I55" i="10" s="1"/>
  <c r="L54" i="10"/>
  <c r="B55" i="10" s="1"/>
  <c r="H55" i="10" s="1"/>
  <c r="K55" i="10" s="1" a="1"/>
  <c r="K55" i="10" s="1"/>
  <c r="N51" i="9"/>
  <c r="D52" i="9" s="1"/>
  <c r="J52" i="9" s="1"/>
  <c r="M51" i="9"/>
  <c r="C52" i="9" s="1"/>
  <c r="I52" i="9" s="1"/>
  <c r="L51" i="9"/>
  <c r="B52" i="9" s="1"/>
  <c r="H52" i="9" s="1"/>
  <c r="K52" i="9" s="1" a="1"/>
  <c r="K52" i="9" s="1"/>
  <c r="K51" i="8" a="1"/>
  <c r="K51" i="8" s="1"/>
  <c r="N48" i="7"/>
  <c r="D49" i="7" s="1"/>
  <c r="J49" i="7" s="1"/>
  <c r="M48" i="7"/>
  <c r="C49" i="7" s="1"/>
  <c r="I49" i="7" s="1"/>
  <c r="L48" i="7"/>
  <c r="B49" i="7" s="1"/>
  <c r="H49" i="7" s="1"/>
  <c r="K49" i="7" s="1" a="1"/>
  <c r="K49" i="7" s="1"/>
  <c r="K50" i="4" a="1"/>
  <c r="K50" i="4" s="1"/>
  <c r="K40" i="2" a="1"/>
  <c r="K40" i="2" s="1"/>
  <c r="K50" i="11" l="1" a="1"/>
  <c r="K50" i="11" s="1"/>
  <c r="N55" i="10"/>
  <c r="D56" i="10" s="1"/>
  <c r="J56" i="10" s="1"/>
  <c r="L55" i="10"/>
  <c r="B56" i="10" s="1"/>
  <c r="H56" i="10" s="1"/>
  <c r="M55" i="10"/>
  <c r="C56" i="10" s="1"/>
  <c r="I56" i="10" s="1"/>
  <c r="N52" i="9"/>
  <c r="D53" i="9" s="1"/>
  <c r="J53" i="9" s="1"/>
  <c r="M52" i="9"/>
  <c r="C53" i="9" s="1"/>
  <c r="I53" i="9" s="1"/>
  <c r="L52" i="9"/>
  <c r="B53" i="9" s="1"/>
  <c r="H53" i="9" s="1"/>
  <c r="N51" i="8"/>
  <c r="D52" i="8" s="1"/>
  <c r="J52" i="8" s="1"/>
  <c r="M51" i="8"/>
  <c r="C52" i="8" s="1"/>
  <c r="I52" i="8" s="1"/>
  <c r="L51" i="8"/>
  <c r="B52" i="8" s="1"/>
  <c r="H52" i="8" s="1"/>
  <c r="K52" i="8" s="1" a="1"/>
  <c r="K52" i="8" s="1"/>
  <c r="N49" i="7"/>
  <c r="D50" i="7" s="1"/>
  <c r="J50" i="7" s="1"/>
  <c r="M49" i="7"/>
  <c r="C50" i="7" s="1"/>
  <c r="I50" i="7" s="1"/>
  <c r="L49" i="7"/>
  <c r="B50" i="7" s="1"/>
  <c r="H50" i="7" s="1"/>
  <c r="K50" i="7" s="1" a="1"/>
  <c r="K50" i="7" s="1"/>
  <c r="N50" i="4"/>
  <c r="D51" i="4" s="1"/>
  <c r="J51" i="4" s="1"/>
  <c r="M50" i="4"/>
  <c r="C51" i="4" s="1"/>
  <c r="I51" i="4" s="1"/>
  <c r="L50" i="4"/>
  <c r="B51" i="4" s="1"/>
  <c r="H51" i="4" s="1"/>
  <c r="K51" i="4" s="1" a="1"/>
  <c r="K51" i="4" s="1"/>
  <c r="L40" i="2"/>
  <c r="B41" i="2" s="1"/>
  <c r="H41" i="2" s="1"/>
  <c r="M40" i="2"/>
  <c r="C41" i="2" s="1"/>
  <c r="I41" i="2" s="1"/>
  <c r="N40" i="2"/>
  <c r="D41" i="2" s="1"/>
  <c r="J41" i="2" s="1"/>
  <c r="N50" i="11" l="1"/>
  <c r="D51" i="11" s="1"/>
  <c r="J51" i="11" s="1"/>
  <c r="M50" i="11"/>
  <c r="C51" i="11" s="1"/>
  <c r="I51" i="11" s="1"/>
  <c r="L50" i="11"/>
  <c r="B51" i="11" s="1"/>
  <c r="H51" i="11" s="1"/>
  <c r="K56" i="10" a="1"/>
  <c r="K56" i="10" s="1"/>
  <c r="K53" i="9" a="1"/>
  <c r="K53" i="9" s="1"/>
  <c r="N52" i="8"/>
  <c r="D53" i="8" s="1"/>
  <c r="J53" i="8" s="1"/>
  <c r="M52" i="8"/>
  <c r="C53" i="8" s="1"/>
  <c r="I53" i="8" s="1"/>
  <c r="L52" i="8"/>
  <c r="B53" i="8" s="1"/>
  <c r="H53" i="8" s="1"/>
  <c r="K53" i="8" s="1" a="1"/>
  <c r="K53" i="8" s="1"/>
  <c r="N50" i="7"/>
  <c r="D51" i="7" s="1"/>
  <c r="J51" i="7" s="1"/>
  <c r="M50" i="7"/>
  <c r="C51" i="7" s="1"/>
  <c r="I51" i="7" s="1"/>
  <c r="L50" i="7"/>
  <c r="B51" i="7" s="1"/>
  <c r="H51" i="7" s="1"/>
  <c r="K51" i="7" s="1" a="1"/>
  <c r="K51" i="7" s="1"/>
  <c r="L51" i="4"/>
  <c r="B52" i="4" s="1"/>
  <c r="H52" i="4" s="1"/>
  <c r="K52" i="4" s="1" a="1"/>
  <c r="K52" i="4" s="1"/>
  <c r="N51" i="4"/>
  <c r="D52" i="4" s="1"/>
  <c r="J52" i="4" s="1"/>
  <c r="M51" i="4"/>
  <c r="C52" i="4" s="1"/>
  <c r="I52" i="4" s="1"/>
  <c r="K41" i="2" a="1"/>
  <c r="K41" i="2" s="1"/>
  <c r="K51" i="11" l="1" a="1"/>
  <c r="K51" i="11" s="1"/>
  <c r="N56" i="10"/>
  <c r="D57" i="10" s="1"/>
  <c r="J57" i="10" s="1"/>
  <c r="M56" i="10"/>
  <c r="C57" i="10" s="1"/>
  <c r="I57" i="10" s="1"/>
  <c r="L56" i="10"/>
  <c r="B57" i="10" s="1"/>
  <c r="H57" i="10" s="1"/>
  <c r="K57" i="10" s="1" a="1"/>
  <c r="K57" i="10" s="1"/>
  <c r="N53" i="9"/>
  <c r="D54" i="9" s="1"/>
  <c r="J54" i="9" s="1"/>
  <c r="M53" i="9"/>
  <c r="C54" i="9" s="1"/>
  <c r="I54" i="9" s="1"/>
  <c r="L53" i="9"/>
  <c r="B54" i="9" s="1"/>
  <c r="H54" i="9" s="1"/>
  <c r="K54" i="9" s="1" a="1"/>
  <c r="K54" i="9" s="1"/>
  <c r="N53" i="8"/>
  <c r="D54" i="8" s="1"/>
  <c r="J54" i="8" s="1"/>
  <c r="M53" i="8"/>
  <c r="C54" i="8" s="1"/>
  <c r="I54" i="8" s="1"/>
  <c r="L53" i="8"/>
  <c r="B54" i="8" s="1"/>
  <c r="H54" i="8" s="1"/>
  <c r="K54" i="8" s="1" a="1"/>
  <c r="K54" i="8" s="1"/>
  <c r="N51" i="7"/>
  <c r="D52" i="7" s="1"/>
  <c r="J52" i="7" s="1"/>
  <c r="M51" i="7"/>
  <c r="C52" i="7" s="1"/>
  <c r="I52" i="7" s="1"/>
  <c r="L51" i="7"/>
  <c r="B52" i="7" s="1"/>
  <c r="H52" i="7" s="1"/>
  <c r="K52" i="7" s="1" a="1"/>
  <c r="K52" i="7" s="1"/>
  <c r="L52" i="4"/>
  <c r="B53" i="4" s="1"/>
  <c r="H53" i="4" s="1"/>
  <c r="N52" i="4"/>
  <c r="D53" i="4" s="1"/>
  <c r="J53" i="4" s="1"/>
  <c r="M52" i="4"/>
  <c r="C53" i="4" s="1"/>
  <c r="I53" i="4" s="1"/>
  <c r="L41" i="2"/>
  <c r="B42" i="2" s="1"/>
  <c r="H42" i="2" s="1"/>
  <c r="N41" i="2"/>
  <c r="D42" i="2" s="1"/>
  <c r="J42" i="2" s="1"/>
  <c r="M41" i="2"/>
  <c r="C42" i="2" s="1"/>
  <c r="I42" i="2" s="1"/>
  <c r="N51" i="11" l="1"/>
  <c r="D52" i="11" s="1"/>
  <c r="J52" i="11" s="1"/>
  <c r="M51" i="11"/>
  <c r="C52" i="11" s="1"/>
  <c r="I52" i="11" s="1"/>
  <c r="L51" i="11"/>
  <c r="B52" i="11" s="1"/>
  <c r="H52" i="11" s="1"/>
  <c r="K52" i="11" s="1" a="1"/>
  <c r="K52" i="11" s="1"/>
  <c r="N57" i="10"/>
  <c r="D58" i="10" s="1"/>
  <c r="J58" i="10" s="1"/>
  <c r="M57" i="10"/>
  <c r="C58" i="10" s="1"/>
  <c r="I58" i="10" s="1"/>
  <c r="L57" i="10"/>
  <c r="B58" i="10" s="1"/>
  <c r="H58" i="10" s="1"/>
  <c r="K58" i="10" s="1" a="1"/>
  <c r="K58" i="10" s="1"/>
  <c r="N54" i="9"/>
  <c r="D55" i="9" s="1"/>
  <c r="J55" i="9" s="1"/>
  <c r="M54" i="9"/>
  <c r="C55" i="9" s="1"/>
  <c r="I55" i="9" s="1"/>
  <c r="L54" i="9"/>
  <c r="B55" i="9" s="1"/>
  <c r="H55" i="9" s="1"/>
  <c r="K55" i="9" s="1" a="1"/>
  <c r="K55" i="9" s="1"/>
  <c r="N54" i="8"/>
  <c r="D55" i="8" s="1"/>
  <c r="J55" i="8" s="1"/>
  <c r="M54" i="8"/>
  <c r="C55" i="8" s="1"/>
  <c r="I55" i="8" s="1"/>
  <c r="L54" i="8"/>
  <c r="B55" i="8" s="1"/>
  <c r="H55" i="8" s="1"/>
  <c r="N52" i="7"/>
  <c r="D53" i="7" s="1"/>
  <c r="J53" i="7" s="1"/>
  <c r="M52" i="7"/>
  <c r="C53" i="7" s="1"/>
  <c r="I53" i="7" s="1"/>
  <c r="L52" i="7"/>
  <c r="B53" i="7" s="1"/>
  <c r="H53" i="7" s="1"/>
  <c r="K53" i="7" s="1" a="1"/>
  <c r="K53" i="7" s="1"/>
  <c r="K53" i="4" a="1"/>
  <c r="K53" i="4" s="1"/>
  <c r="K42" i="2" a="1"/>
  <c r="K42" i="2" s="1"/>
  <c r="N52" i="11" l="1"/>
  <c r="D53" i="11" s="1"/>
  <c r="J53" i="11" s="1"/>
  <c r="M52" i="11"/>
  <c r="C53" i="11" s="1"/>
  <c r="I53" i="11" s="1"/>
  <c r="L52" i="11"/>
  <c r="B53" i="11" s="1"/>
  <c r="H53" i="11" s="1"/>
  <c r="K53" i="11" s="1" a="1"/>
  <c r="K53" i="11" s="1"/>
  <c r="N58" i="10"/>
  <c r="D59" i="10" s="1"/>
  <c r="J59" i="10" s="1"/>
  <c r="M58" i="10"/>
  <c r="C59" i="10" s="1"/>
  <c r="I59" i="10" s="1"/>
  <c r="L58" i="10"/>
  <c r="B59" i="10" s="1"/>
  <c r="H59" i="10" s="1"/>
  <c r="K59" i="10" s="1" a="1"/>
  <c r="K59" i="10" s="1"/>
  <c r="L55" i="9"/>
  <c r="B56" i="9" s="1"/>
  <c r="H56" i="9" s="1"/>
  <c r="M55" i="9"/>
  <c r="C56" i="9" s="1"/>
  <c r="I56" i="9" s="1"/>
  <c r="N55" i="9"/>
  <c r="D56" i="9" s="1"/>
  <c r="J56" i="9" s="1"/>
  <c r="K55" i="8" a="1"/>
  <c r="K55" i="8" s="1"/>
  <c r="L53" i="7"/>
  <c r="B54" i="7" s="1"/>
  <c r="H54" i="7" s="1"/>
  <c r="N53" i="7"/>
  <c r="D54" i="7" s="1"/>
  <c r="J54" i="7" s="1"/>
  <c r="M53" i="7"/>
  <c r="C54" i="7" s="1"/>
  <c r="I54" i="7" s="1"/>
  <c r="M53" i="4"/>
  <c r="C54" i="4" s="1"/>
  <c r="I54" i="4" s="1"/>
  <c r="L53" i="4"/>
  <c r="B54" i="4" s="1"/>
  <c r="H54" i="4" s="1"/>
  <c r="N53" i="4"/>
  <c r="D54" i="4" s="1"/>
  <c r="J54" i="4" s="1"/>
  <c r="L42" i="2"/>
  <c r="B43" i="2" s="1"/>
  <c r="H43" i="2" s="1"/>
  <c r="N42" i="2"/>
  <c r="D43" i="2" s="1"/>
  <c r="J43" i="2" s="1"/>
  <c r="M42" i="2"/>
  <c r="C43" i="2" s="1"/>
  <c r="I43" i="2" s="1"/>
  <c r="N53" i="11" l="1"/>
  <c r="D54" i="11" s="1"/>
  <c r="J54" i="11" s="1"/>
  <c r="M53" i="11"/>
  <c r="C54" i="11" s="1"/>
  <c r="I54" i="11" s="1"/>
  <c r="L53" i="11"/>
  <c r="B54" i="11" s="1"/>
  <c r="H54" i="11" s="1"/>
  <c r="K54" i="11" s="1" a="1"/>
  <c r="K54" i="11" s="1"/>
  <c r="N59" i="10"/>
  <c r="D60" i="10" s="1"/>
  <c r="J60" i="10" s="1"/>
  <c r="M59" i="10"/>
  <c r="C60" i="10" s="1"/>
  <c r="I60" i="10" s="1"/>
  <c r="L59" i="10"/>
  <c r="B60" i="10" s="1"/>
  <c r="H60" i="10" s="1"/>
  <c r="K60" i="10" s="1" a="1"/>
  <c r="K60" i="10" s="1"/>
  <c r="K56" i="9" a="1"/>
  <c r="K56" i="9" s="1"/>
  <c r="M55" i="8"/>
  <c r="C56" i="8" s="1"/>
  <c r="I56" i="8" s="1"/>
  <c r="L55" i="8"/>
  <c r="B56" i="8" s="1"/>
  <c r="H56" i="8" s="1"/>
  <c r="N55" i="8"/>
  <c r="D56" i="8" s="1"/>
  <c r="J56" i="8" s="1"/>
  <c r="K54" i="7" a="1"/>
  <c r="K54" i="7" s="1"/>
  <c r="K54" i="4" a="1"/>
  <c r="K54" i="4" s="1"/>
  <c r="K43" i="2" a="1"/>
  <c r="K43" i="2" s="1"/>
  <c r="L43" i="2" s="1"/>
  <c r="B44" i="2" s="1"/>
  <c r="H44" i="2" s="1"/>
  <c r="M54" i="11" l="1"/>
  <c r="C55" i="11" s="1"/>
  <c r="I55" i="11" s="1"/>
  <c r="L54" i="11"/>
  <c r="B55" i="11" s="1"/>
  <c r="H55" i="11" s="1"/>
  <c r="K55" i="11" s="1" a="1"/>
  <c r="K55" i="11" s="1"/>
  <c r="N54" i="11"/>
  <c r="D55" i="11" s="1"/>
  <c r="J55" i="11" s="1"/>
  <c r="N60" i="10"/>
  <c r="D61" i="10" s="1"/>
  <c r="J61" i="10" s="1"/>
  <c r="M60" i="10"/>
  <c r="C61" i="10" s="1"/>
  <c r="I61" i="10" s="1"/>
  <c r="L60" i="10"/>
  <c r="B61" i="10" s="1"/>
  <c r="H61" i="10" s="1"/>
  <c r="K61" i="10" s="1" a="1"/>
  <c r="K61" i="10" s="1"/>
  <c r="M56" i="9"/>
  <c r="C57" i="9" s="1"/>
  <c r="I57" i="9" s="1"/>
  <c r="L56" i="9"/>
  <c r="B57" i="9" s="1"/>
  <c r="H57" i="9" s="1"/>
  <c r="N56" i="9"/>
  <c r="D57" i="9" s="1"/>
  <c r="J57" i="9" s="1"/>
  <c r="K56" i="8" a="1"/>
  <c r="K56" i="8" s="1"/>
  <c r="L54" i="7"/>
  <c r="B55" i="7" s="1"/>
  <c r="H55" i="7" s="1"/>
  <c r="N54" i="7"/>
  <c r="D55" i="7" s="1"/>
  <c r="J55" i="7" s="1"/>
  <c r="M54" i="7"/>
  <c r="C55" i="7" s="1"/>
  <c r="I55" i="7" s="1"/>
  <c r="N54" i="4"/>
  <c r="D55" i="4" s="1"/>
  <c r="J55" i="4" s="1"/>
  <c r="M54" i="4"/>
  <c r="C55" i="4" s="1"/>
  <c r="I55" i="4" s="1"/>
  <c r="L54" i="4"/>
  <c r="B55" i="4" s="1"/>
  <c r="H55" i="4" s="1"/>
  <c r="K55" i="4" s="1" a="1"/>
  <c r="K55" i="4" s="1"/>
  <c r="N43" i="2"/>
  <c r="D44" i="2" s="1"/>
  <c r="J44" i="2" s="1"/>
  <c r="M43" i="2"/>
  <c r="C44" i="2" s="1"/>
  <c r="I44" i="2" s="1"/>
  <c r="K44" i="2" a="1"/>
  <c r="K44" i="2" s="1"/>
  <c r="N55" i="11" l="1"/>
  <c r="D56" i="11" s="1"/>
  <c r="J56" i="11" s="1"/>
  <c r="M55" i="11"/>
  <c r="C56" i="11" s="1"/>
  <c r="I56" i="11" s="1"/>
  <c r="L55" i="11"/>
  <c r="B56" i="11" s="1"/>
  <c r="H56" i="11" s="1"/>
  <c r="N61" i="10"/>
  <c r="D62" i="10" s="1"/>
  <c r="J62" i="10" s="1"/>
  <c r="M61" i="10"/>
  <c r="C62" i="10" s="1"/>
  <c r="I62" i="10" s="1"/>
  <c r="L61" i="10"/>
  <c r="B62" i="10" s="1"/>
  <c r="H62" i="10" s="1"/>
  <c r="K62" i="10" s="1" a="1"/>
  <c r="K62" i="10" s="1"/>
  <c r="K57" i="9" a="1"/>
  <c r="K57" i="9" s="1"/>
  <c r="N56" i="8"/>
  <c r="D57" i="8" s="1"/>
  <c r="J57" i="8" s="1"/>
  <c r="M56" i="8"/>
  <c r="C57" i="8" s="1"/>
  <c r="I57" i="8" s="1"/>
  <c r="L56" i="8"/>
  <c r="B57" i="8" s="1"/>
  <c r="H57" i="8" s="1"/>
  <c r="K57" i="8" s="1" a="1"/>
  <c r="K57" i="8" s="1"/>
  <c r="K55" i="7" a="1"/>
  <c r="K55" i="7" s="1"/>
  <c r="N55" i="4"/>
  <c r="D56" i="4" s="1"/>
  <c r="J56" i="4" s="1"/>
  <c r="M55" i="4"/>
  <c r="C56" i="4" s="1"/>
  <c r="I56" i="4" s="1"/>
  <c r="L55" i="4"/>
  <c r="B56" i="4" s="1"/>
  <c r="H56" i="4" s="1"/>
  <c r="L44" i="2"/>
  <c r="B45" i="2" s="1"/>
  <c r="H45" i="2" s="1"/>
  <c r="N44" i="2"/>
  <c r="D45" i="2" s="1"/>
  <c r="J45" i="2" s="1"/>
  <c r="M44" i="2"/>
  <c r="C45" i="2" s="1"/>
  <c r="I45" i="2" s="1"/>
  <c r="K56" i="11" l="1" a="1"/>
  <c r="K56" i="11" s="1"/>
  <c r="L62" i="10"/>
  <c r="B63" i="10" s="1"/>
  <c r="H63" i="10" s="1"/>
  <c r="N62" i="10"/>
  <c r="D63" i="10" s="1"/>
  <c r="J63" i="10" s="1"/>
  <c r="M62" i="10"/>
  <c r="C63" i="10" s="1"/>
  <c r="I63" i="10" s="1"/>
  <c r="N57" i="9"/>
  <c r="D58" i="9" s="1"/>
  <c r="J58" i="9" s="1"/>
  <c r="M57" i="9"/>
  <c r="C58" i="9" s="1"/>
  <c r="I58" i="9" s="1"/>
  <c r="L57" i="9"/>
  <c r="B58" i="9" s="1"/>
  <c r="H58" i="9" s="1"/>
  <c r="N57" i="8"/>
  <c r="D58" i="8" s="1"/>
  <c r="J58" i="8" s="1"/>
  <c r="M57" i="8"/>
  <c r="C58" i="8" s="1"/>
  <c r="I58" i="8" s="1"/>
  <c r="L57" i="8"/>
  <c r="B58" i="8" s="1"/>
  <c r="H58" i="8" s="1"/>
  <c r="K58" i="8" s="1" a="1"/>
  <c r="K58" i="8" s="1"/>
  <c r="M55" i="7"/>
  <c r="C56" i="7" s="1"/>
  <c r="I56" i="7" s="1"/>
  <c r="N55" i="7"/>
  <c r="D56" i="7" s="1"/>
  <c r="J56" i="7" s="1"/>
  <c r="L55" i="7"/>
  <c r="B56" i="7" s="1"/>
  <c r="H56" i="7" s="1"/>
  <c r="K56" i="4" a="1"/>
  <c r="K56" i="4" s="1"/>
  <c r="K45" i="2" a="1"/>
  <c r="K45" i="2" s="1"/>
  <c r="L45" i="2" s="1"/>
  <c r="B46" i="2" s="1"/>
  <c r="H46" i="2" s="1"/>
  <c r="N56" i="11" l="1"/>
  <c r="D57" i="11" s="1"/>
  <c r="J57" i="11" s="1"/>
  <c r="M56" i="11"/>
  <c r="C57" i="11" s="1"/>
  <c r="I57" i="11" s="1"/>
  <c r="L56" i="11"/>
  <c r="B57" i="11" s="1"/>
  <c r="H57" i="11" s="1"/>
  <c r="K63" i="10" a="1"/>
  <c r="K63" i="10" s="1"/>
  <c r="K58" i="9" a="1"/>
  <c r="K58" i="9" s="1"/>
  <c r="M58" i="8"/>
  <c r="C59" i="8" s="1"/>
  <c r="I59" i="8" s="1"/>
  <c r="L58" i="8"/>
  <c r="B59" i="8" s="1"/>
  <c r="H59" i="8" s="1"/>
  <c r="K59" i="8" s="1" a="1"/>
  <c r="K59" i="8" s="1"/>
  <c r="N58" i="8"/>
  <c r="D59" i="8" s="1"/>
  <c r="J59" i="8" s="1"/>
  <c r="K56" i="7" a="1"/>
  <c r="K56" i="7" s="1"/>
  <c r="L56" i="4"/>
  <c r="B57" i="4" s="1"/>
  <c r="H57" i="4" s="1"/>
  <c r="N56" i="4"/>
  <c r="D57" i="4" s="1"/>
  <c r="J57" i="4" s="1"/>
  <c r="M56" i="4"/>
  <c r="C57" i="4" s="1"/>
  <c r="I57" i="4" s="1"/>
  <c r="N45" i="2"/>
  <c r="D46" i="2" s="1"/>
  <c r="J46" i="2" s="1"/>
  <c r="M45" i="2"/>
  <c r="C46" i="2" s="1"/>
  <c r="I46" i="2" s="1"/>
  <c r="K46" i="2" a="1"/>
  <c r="K46" i="2" s="1"/>
  <c r="K57" i="11" l="1" a="1"/>
  <c r="K57" i="11" s="1"/>
  <c r="M63" i="10"/>
  <c r="C64" i="10" s="1"/>
  <c r="I64" i="10" s="1"/>
  <c r="L63" i="10"/>
  <c r="B64" i="10" s="1"/>
  <c r="H64" i="10" s="1"/>
  <c r="N63" i="10"/>
  <c r="D64" i="10" s="1"/>
  <c r="J64" i="10" s="1"/>
  <c r="N58" i="9"/>
  <c r="D59" i="9" s="1"/>
  <c r="J59" i="9" s="1"/>
  <c r="M58" i="9"/>
  <c r="C59" i="9" s="1"/>
  <c r="I59" i="9" s="1"/>
  <c r="L58" i="9"/>
  <c r="B59" i="9" s="1"/>
  <c r="H59" i="9" s="1"/>
  <c r="N59" i="8"/>
  <c r="D60" i="8" s="1"/>
  <c r="J60" i="8" s="1"/>
  <c r="M59" i="8"/>
  <c r="C60" i="8" s="1"/>
  <c r="I60" i="8" s="1"/>
  <c r="L59" i="8"/>
  <c r="B60" i="8" s="1"/>
  <c r="H60" i="8" s="1"/>
  <c r="N56" i="7"/>
  <c r="D57" i="7" s="1"/>
  <c r="J57" i="7" s="1"/>
  <c r="L56" i="7"/>
  <c r="B57" i="7" s="1"/>
  <c r="H57" i="7" s="1"/>
  <c r="K57" i="7" s="1" a="1"/>
  <c r="K57" i="7" s="1"/>
  <c r="M56" i="7"/>
  <c r="C57" i="7" s="1"/>
  <c r="I57" i="7" s="1"/>
  <c r="K57" i="4" a="1"/>
  <c r="K57" i="4" s="1"/>
  <c r="M46" i="2"/>
  <c r="C47" i="2" s="1"/>
  <c r="I47" i="2" s="1"/>
  <c r="L46" i="2"/>
  <c r="B47" i="2" s="1"/>
  <c r="H47" i="2" s="1"/>
  <c r="N46" i="2"/>
  <c r="D47" i="2" s="1"/>
  <c r="J47" i="2" s="1"/>
  <c r="N57" i="11" l="1"/>
  <c r="D58" i="11" s="1"/>
  <c r="J58" i="11" s="1"/>
  <c r="M57" i="11"/>
  <c r="C58" i="11" s="1"/>
  <c r="I58" i="11" s="1"/>
  <c r="L57" i="11"/>
  <c r="B58" i="11" s="1"/>
  <c r="H58" i="11" s="1"/>
  <c r="K58" i="11" s="1" a="1"/>
  <c r="K58" i="11" s="1"/>
  <c r="K64" i="10" a="1"/>
  <c r="K64" i="10" s="1"/>
  <c r="K59" i="9" a="1"/>
  <c r="K59" i="9" s="1"/>
  <c r="K60" i="8" a="1"/>
  <c r="K60" i="8" s="1"/>
  <c r="L57" i="7"/>
  <c r="B58" i="7" s="1"/>
  <c r="H58" i="7" s="1"/>
  <c r="N57" i="7"/>
  <c r="D58" i="7" s="1"/>
  <c r="J58" i="7" s="1"/>
  <c r="M57" i="7"/>
  <c r="C58" i="7" s="1"/>
  <c r="I58" i="7" s="1"/>
  <c r="M57" i="4"/>
  <c r="C58" i="4" s="1"/>
  <c r="I58" i="4" s="1"/>
  <c r="N57" i="4"/>
  <c r="D58" i="4" s="1"/>
  <c r="J58" i="4" s="1"/>
  <c r="L57" i="4"/>
  <c r="B58" i="4" s="1"/>
  <c r="H58" i="4" s="1"/>
  <c r="K58" i="4" s="1" a="1"/>
  <c r="K58" i="4" s="1"/>
  <c r="K47" i="2" a="1"/>
  <c r="K47" i="2" s="1"/>
  <c r="N58" i="11" l="1"/>
  <c r="D59" i="11" s="1"/>
  <c r="J59" i="11" s="1"/>
  <c r="M58" i="11"/>
  <c r="C59" i="11" s="1"/>
  <c r="I59" i="11" s="1"/>
  <c r="L58" i="11"/>
  <c r="B59" i="11" s="1"/>
  <c r="H59" i="11" s="1"/>
  <c r="K59" i="11" s="1" a="1"/>
  <c r="K59" i="11" s="1"/>
  <c r="N64" i="10"/>
  <c r="D65" i="10" s="1"/>
  <c r="J65" i="10" s="1"/>
  <c r="M64" i="10"/>
  <c r="C65" i="10" s="1"/>
  <c r="I65" i="10" s="1"/>
  <c r="L64" i="10"/>
  <c r="B65" i="10" s="1"/>
  <c r="H65" i="10" s="1"/>
  <c r="K65" i="10" s="1" a="1"/>
  <c r="K65" i="10" s="1"/>
  <c r="N59" i="9"/>
  <c r="D60" i="9" s="1"/>
  <c r="J60" i="9" s="1"/>
  <c r="M59" i="9"/>
  <c r="C60" i="9" s="1"/>
  <c r="I60" i="9" s="1"/>
  <c r="L59" i="9"/>
  <c r="B60" i="9" s="1"/>
  <c r="H60" i="9" s="1"/>
  <c r="K60" i="9" s="1" a="1"/>
  <c r="K60" i="9" s="1"/>
  <c r="L60" i="8"/>
  <c r="B61" i="8" s="1"/>
  <c r="H61" i="8" s="1"/>
  <c r="N60" i="8"/>
  <c r="D61" i="8" s="1"/>
  <c r="J61" i="8" s="1"/>
  <c r="M60" i="8"/>
  <c r="C61" i="8" s="1"/>
  <c r="I61" i="8" s="1"/>
  <c r="K58" i="7" a="1"/>
  <c r="K58" i="7" s="1"/>
  <c r="N58" i="4"/>
  <c r="D59" i="4" s="1"/>
  <c r="J59" i="4" s="1"/>
  <c r="M58" i="4"/>
  <c r="C59" i="4" s="1"/>
  <c r="I59" i="4" s="1"/>
  <c r="L58" i="4"/>
  <c r="B59" i="4" s="1"/>
  <c r="H59" i="4" s="1"/>
  <c r="K59" i="4" s="1" a="1"/>
  <c r="K59" i="4" s="1"/>
  <c r="L47" i="2"/>
  <c r="B48" i="2" s="1"/>
  <c r="H48" i="2" s="1"/>
  <c r="N47" i="2"/>
  <c r="D48" i="2" s="1"/>
  <c r="J48" i="2" s="1"/>
  <c r="M47" i="2"/>
  <c r="C48" i="2" s="1"/>
  <c r="I48" i="2" s="1"/>
  <c r="L59" i="11" l="1"/>
  <c r="B60" i="11" s="1"/>
  <c r="H60" i="11" s="1"/>
  <c r="K60" i="11" s="1" a="1"/>
  <c r="K60" i="11" s="1"/>
  <c r="N59" i="11"/>
  <c r="D60" i="11" s="1"/>
  <c r="J60" i="11" s="1"/>
  <c r="M59" i="11"/>
  <c r="C60" i="11" s="1"/>
  <c r="I60" i="11" s="1"/>
  <c r="N65" i="10"/>
  <c r="D66" i="10" s="1"/>
  <c r="J66" i="10" s="1"/>
  <c r="M65" i="10"/>
  <c r="C66" i="10" s="1"/>
  <c r="I66" i="10" s="1"/>
  <c r="L65" i="10"/>
  <c r="B66" i="10" s="1"/>
  <c r="H66" i="10" s="1"/>
  <c r="K66" i="10" s="1" a="1"/>
  <c r="K66" i="10" s="1"/>
  <c r="N60" i="9"/>
  <c r="D61" i="9" s="1"/>
  <c r="J61" i="9" s="1"/>
  <c r="M60" i="9"/>
  <c r="C61" i="9" s="1"/>
  <c r="I61" i="9" s="1"/>
  <c r="L60" i="9"/>
  <c r="B61" i="9" s="1"/>
  <c r="H61" i="9" s="1"/>
  <c r="K61" i="8" a="1"/>
  <c r="K61" i="8" s="1"/>
  <c r="M58" i="7"/>
  <c r="C59" i="7" s="1"/>
  <c r="I59" i="7" s="1"/>
  <c r="L58" i="7"/>
  <c r="B59" i="7" s="1"/>
  <c r="H59" i="7" s="1"/>
  <c r="N58" i="7"/>
  <c r="D59" i="7" s="1"/>
  <c r="J59" i="7" s="1"/>
  <c r="N59" i="4"/>
  <c r="D60" i="4" s="1"/>
  <c r="J60" i="4" s="1"/>
  <c r="M59" i="4"/>
  <c r="C60" i="4" s="1"/>
  <c r="I60" i="4" s="1"/>
  <c r="L59" i="4"/>
  <c r="B60" i="4" s="1"/>
  <c r="H60" i="4" s="1"/>
  <c r="K60" i="4" s="1" a="1"/>
  <c r="K60" i="4" s="1"/>
  <c r="K48" i="2" a="1"/>
  <c r="K48" i="2" s="1"/>
  <c r="M60" i="11" l="1"/>
  <c r="C61" i="11" s="1"/>
  <c r="I61" i="11" s="1"/>
  <c r="L60" i="11"/>
  <c r="B61" i="11" s="1"/>
  <c r="H61" i="11" s="1"/>
  <c r="N60" i="11"/>
  <c r="D61" i="11" s="1"/>
  <c r="J61" i="11" s="1"/>
  <c r="N66" i="10"/>
  <c r="D67" i="10" s="1"/>
  <c r="J67" i="10" s="1"/>
  <c r="M66" i="10"/>
  <c r="C67" i="10" s="1"/>
  <c r="I67" i="10" s="1"/>
  <c r="L66" i="10"/>
  <c r="B67" i="10" s="1"/>
  <c r="H67" i="10" s="1"/>
  <c r="K67" i="10" s="1" a="1"/>
  <c r="K67" i="10" s="1"/>
  <c r="K61" i="9" a="1"/>
  <c r="K61" i="9" s="1"/>
  <c r="M61" i="8"/>
  <c r="C62" i="8" s="1"/>
  <c r="I62" i="8" s="1"/>
  <c r="L61" i="8"/>
  <c r="B62" i="8" s="1"/>
  <c r="H62" i="8" s="1"/>
  <c r="N61" i="8"/>
  <c r="D62" i="8" s="1"/>
  <c r="J62" i="8" s="1"/>
  <c r="K59" i="7" a="1"/>
  <c r="K59" i="7" s="1"/>
  <c r="N60" i="4"/>
  <c r="D61" i="4" s="1"/>
  <c r="J61" i="4" s="1"/>
  <c r="L60" i="4"/>
  <c r="B61" i="4" s="1"/>
  <c r="H61" i="4" s="1"/>
  <c r="K61" i="4" s="1" a="1"/>
  <c r="K61" i="4" s="1"/>
  <c r="M60" i="4"/>
  <c r="C61" i="4" s="1"/>
  <c r="I61" i="4" s="1"/>
  <c r="N48" i="2"/>
  <c r="D49" i="2" s="1"/>
  <c r="J49" i="2" s="1"/>
  <c r="L48" i="2"/>
  <c r="B49" i="2" s="1"/>
  <c r="H49" i="2" s="1"/>
  <c r="M48" i="2"/>
  <c r="C49" i="2" s="1"/>
  <c r="I49" i="2" s="1"/>
  <c r="K61" i="11" l="1" a="1"/>
  <c r="K61" i="11" s="1"/>
  <c r="L67" i="10"/>
  <c r="B68" i="10" s="1"/>
  <c r="H68" i="10" s="1"/>
  <c r="K68" i="10" s="1" a="1"/>
  <c r="K68" i="10" s="1"/>
  <c r="N67" i="10"/>
  <c r="D68" i="10" s="1"/>
  <c r="J68" i="10" s="1"/>
  <c r="M67" i="10"/>
  <c r="C68" i="10" s="1"/>
  <c r="I68" i="10" s="1"/>
  <c r="N61" i="9"/>
  <c r="D62" i="9" s="1"/>
  <c r="J62" i="9" s="1"/>
  <c r="M61" i="9"/>
  <c r="C62" i="9" s="1"/>
  <c r="I62" i="9" s="1"/>
  <c r="L61" i="9"/>
  <c r="B62" i="9" s="1"/>
  <c r="H62" i="9" s="1"/>
  <c r="K62" i="9" s="1" a="1"/>
  <c r="K62" i="9" s="1"/>
  <c r="K62" i="8" a="1"/>
  <c r="K62" i="8" s="1"/>
  <c r="N59" i="7"/>
  <c r="D60" i="7" s="1"/>
  <c r="J60" i="7" s="1"/>
  <c r="M59" i="7"/>
  <c r="C60" i="7" s="1"/>
  <c r="I60" i="7" s="1"/>
  <c r="L59" i="7"/>
  <c r="B60" i="7" s="1"/>
  <c r="H60" i="7" s="1"/>
  <c r="K60" i="7" s="1" a="1"/>
  <c r="K60" i="7" s="1"/>
  <c r="N61" i="4"/>
  <c r="D62" i="4" s="1"/>
  <c r="J62" i="4" s="1"/>
  <c r="M61" i="4"/>
  <c r="C62" i="4" s="1"/>
  <c r="I62" i="4" s="1"/>
  <c r="L61" i="4"/>
  <c r="B62" i="4" s="1"/>
  <c r="H62" i="4" s="1"/>
  <c r="K62" i="4" s="1" a="1"/>
  <c r="K62" i="4" s="1"/>
  <c r="K49" i="2" a="1"/>
  <c r="K49" i="2" s="1"/>
  <c r="N49" i="2" s="1"/>
  <c r="D50" i="2" s="1"/>
  <c r="J50" i="2" s="1"/>
  <c r="N61" i="11" l="1"/>
  <c r="D62" i="11" s="1"/>
  <c r="J62" i="11" s="1"/>
  <c r="M61" i="11"/>
  <c r="C62" i="11" s="1"/>
  <c r="I62" i="11" s="1"/>
  <c r="L61" i="11"/>
  <c r="B62" i="11" s="1"/>
  <c r="H62" i="11" s="1"/>
  <c r="K62" i="11" s="1" a="1"/>
  <c r="K62" i="11" s="1"/>
  <c r="M68" i="10"/>
  <c r="C69" i="10" s="1"/>
  <c r="I69" i="10" s="1"/>
  <c r="L68" i="10"/>
  <c r="B69" i="10" s="1"/>
  <c r="H69" i="10" s="1"/>
  <c r="N68" i="10"/>
  <c r="D69" i="10" s="1"/>
  <c r="J69" i="10" s="1"/>
  <c r="N62" i="9"/>
  <c r="D63" i="9" s="1"/>
  <c r="J63" i="9" s="1"/>
  <c r="M62" i="9"/>
  <c r="C63" i="9" s="1"/>
  <c r="I63" i="9" s="1"/>
  <c r="L62" i="9"/>
  <c r="B63" i="9" s="1"/>
  <c r="H63" i="9" s="1"/>
  <c r="K63" i="9" s="1" a="1"/>
  <c r="K63" i="9" s="1"/>
  <c r="N62" i="8"/>
  <c r="D63" i="8" s="1"/>
  <c r="J63" i="8" s="1"/>
  <c r="M62" i="8"/>
  <c r="C63" i="8" s="1"/>
  <c r="I63" i="8" s="1"/>
  <c r="L62" i="8"/>
  <c r="B63" i="8" s="1"/>
  <c r="H63" i="8" s="1"/>
  <c r="K63" i="8" s="1" a="1"/>
  <c r="K63" i="8" s="1"/>
  <c r="N60" i="7"/>
  <c r="D61" i="7" s="1"/>
  <c r="J61" i="7" s="1"/>
  <c r="M60" i="7"/>
  <c r="C61" i="7" s="1"/>
  <c r="I61" i="7" s="1"/>
  <c r="L60" i="7"/>
  <c r="B61" i="7" s="1"/>
  <c r="H61" i="7" s="1"/>
  <c r="N62" i="4"/>
  <c r="D63" i="4" s="1"/>
  <c r="J63" i="4" s="1"/>
  <c r="M62" i="4"/>
  <c r="C63" i="4" s="1"/>
  <c r="I63" i="4" s="1"/>
  <c r="L62" i="4"/>
  <c r="B63" i="4" s="1"/>
  <c r="H63" i="4" s="1"/>
  <c r="K63" i="4" s="1" a="1"/>
  <c r="K63" i="4" s="1"/>
  <c r="M49" i="2"/>
  <c r="C50" i="2" s="1"/>
  <c r="I50" i="2" s="1"/>
  <c r="K50" i="2" s="1" a="1"/>
  <c r="K50" i="2" s="1"/>
  <c r="L49" i="2"/>
  <c r="B50" i="2" s="1"/>
  <c r="H50" i="2" s="1"/>
  <c r="N62" i="11" l="1"/>
  <c r="D63" i="11" s="1"/>
  <c r="J63" i="11" s="1"/>
  <c r="M62" i="11"/>
  <c r="C63" i="11" s="1"/>
  <c r="I63" i="11" s="1"/>
  <c r="L62" i="11"/>
  <c r="B63" i="11" s="1"/>
  <c r="H63" i="11" s="1"/>
  <c r="K69" i="10" a="1"/>
  <c r="K69" i="10" s="1"/>
  <c r="N63" i="9"/>
  <c r="D64" i="9" s="1"/>
  <c r="J64" i="9" s="1"/>
  <c r="M63" i="9"/>
  <c r="C64" i="9" s="1"/>
  <c r="I64" i="9" s="1"/>
  <c r="L63" i="9"/>
  <c r="B64" i="9" s="1"/>
  <c r="H64" i="9" s="1"/>
  <c r="N63" i="8"/>
  <c r="D64" i="8" s="1"/>
  <c r="J64" i="8" s="1"/>
  <c r="M63" i="8"/>
  <c r="C64" i="8" s="1"/>
  <c r="I64" i="8" s="1"/>
  <c r="L63" i="8"/>
  <c r="B64" i="8" s="1"/>
  <c r="H64" i="8" s="1"/>
  <c r="K61" i="7" a="1"/>
  <c r="K61" i="7" s="1"/>
  <c r="N63" i="4"/>
  <c r="D64" i="4" s="1"/>
  <c r="J64" i="4" s="1"/>
  <c r="M63" i="4"/>
  <c r="C64" i="4" s="1"/>
  <c r="I64" i="4" s="1"/>
  <c r="L63" i="4"/>
  <c r="B64" i="4" s="1"/>
  <c r="H64" i="4" s="1"/>
  <c r="L50" i="2"/>
  <c r="B51" i="2" s="1"/>
  <c r="H51" i="2" s="1"/>
  <c r="M50" i="2"/>
  <c r="C51" i="2" s="1"/>
  <c r="I51" i="2" s="1"/>
  <c r="N50" i="2"/>
  <c r="D51" i="2" s="1"/>
  <c r="J51" i="2" s="1"/>
  <c r="K63" i="11" l="1" a="1"/>
  <c r="K63" i="11" s="1"/>
  <c r="N69" i="10"/>
  <c r="D70" i="10" s="1"/>
  <c r="J70" i="10" s="1"/>
  <c r="M69" i="10"/>
  <c r="C70" i="10" s="1"/>
  <c r="I70" i="10" s="1"/>
  <c r="L69" i="10"/>
  <c r="B70" i="10" s="1"/>
  <c r="H70" i="10" s="1"/>
  <c r="K70" i="10" s="1" a="1"/>
  <c r="K70" i="10" s="1"/>
  <c r="K64" i="9" a="1"/>
  <c r="K64" i="9" s="1"/>
  <c r="K64" i="8" a="1"/>
  <c r="K64" i="8" s="1"/>
  <c r="N61" i="7"/>
  <c r="D62" i="7" s="1"/>
  <c r="J62" i="7" s="1"/>
  <c r="M61" i="7"/>
  <c r="C62" i="7" s="1"/>
  <c r="I62" i="7" s="1"/>
  <c r="L61" i="7"/>
  <c r="B62" i="7" s="1"/>
  <c r="H62" i="7" s="1"/>
  <c r="K64" i="4" a="1"/>
  <c r="K64" i="4" s="1"/>
  <c r="K51" i="2" a="1"/>
  <c r="K51" i="2" s="1"/>
  <c r="M51" i="2" s="1"/>
  <c r="C52" i="2" s="1"/>
  <c r="I52" i="2" s="1"/>
  <c r="N63" i="11" l="1"/>
  <c r="D64" i="11" s="1"/>
  <c r="J64" i="11" s="1"/>
  <c r="M63" i="11"/>
  <c r="C64" i="11" s="1"/>
  <c r="I64" i="11" s="1"/>
  <c r="L63" i="11"/>
  <c r="B64" i="11" s="1"/>
  <c r="H64" i="11" s="1"/>
  <c r="N70" i="10"/>
  <c r="D71" i="10" s="1"/>
  <c r="J71" i="10" s="1"/>
  <c r="M70" i="10"/>
  <c r="C71" i="10" s="1"/>
  <c r="I71" i="10" s="1"/>
  <c r="L70" i="10"/>
  <c r="B71" i="10" s="1"/>
  <c r="H71" i="10" s="1"/>
  <c r="N64" i="9"/>
  <c r="D65" i="9" s="1"/>
  <c r="J65" i="9" s="1"/>
  <c r="M64" i="9"/>
  <c r="C65" i="9" s="1"/>
  <c r="I65" i="9" s="1"/>
  <c r="L64" i="9"/>
  <c r="B65" i="9" s="1"/>
  <c r="H65" i="9" s="1"/>
  <c r="K65" i="9" s="1" a="1"/>
  <c r="K65" i="9" s="1"/>
  <c r="N64" i="8"/>
  <c r="D65" i="8" s="1"/>
  <c r="J65" i="8" s="1"/>
  <c r="L64" i="8"/>
  <c r="B65" i="8" s="1"/>
  <c r="H65" i="8" s="1"/>
  <c r="M64" i="8"/>
  <c r="C65" i="8" s="1"/>
  <c r="I65" i="8" s="1"/>
  <c r="K62" i="7" a="1"/>
  <c r="K62" i="7" s="1"/>
  <c r="L64" i="4"/>
  <c r="B65" i="4" s="1"/>
  <c r="H65" i="4" s="1"/>
  <c r="N64" i="4"/>
  <c r="D65" i="4" s="1"/>
  <c r="J65" i="4" s="1"/>
  <c r="M64" i="4"/>
  <c r="C65" i="4" s="1"/>
  <c r="I65" i="4" s="1"/>
  <c r="N51" i="2"/>
  <c r="D52" i="2" s="1"/>
  <c r="J52" i="2" s="1"/>
  <c r="L51" i="2"/>
  <c r="B52" i="2" s="1"/>
  <c r="H52" i="2" s="1"/>
  <c r="K52" i="2" s="1" a="1"/>
  <c r="K52" i="2" s="1"/>
  <c r="N52" i="2" s="1"/>
  <c r="D53" i="2" s="1"/>
  <c r="J53" i="2" s="1"/>
  <c r="K64" i="11" l="1" a="1"/>
  <c r="K64" i="11" s="1"/>
  <c r="K71" i="10" a="1"/>
  <c r="K71" i="10" s="1"/>
  <c r="N65" i="9"/>
  <c r="D66" i="9" s="1"/>
  <c r="J66" i="9" s="1"/>
  <c r="M65" i="9"/>
  <c r="C66" i="9" s="1"/>
  <c r="I66" i="9" s="1"/>
  <c r="L65" i="9"/>
  <c r="B66" i="9" s="1"/>
  <c r="H66" i="9" s="1"/>
  <c r="K65" i="8" a="1"/>
  <c r="K65" i="8" s="1"/>
  <c r="N62" i="7"/>
  <c r="D63" i="7" s="1"/>
  <c r="J63" i="7" s="1"/>
  <c r="M62" i="7"/>
  <c r="C63" i="7" s="1"/>
  <c r="I63" i="7" s="1"/>
  <c r="L62" i="7"/>
  <c r="B63" i="7" s="1"/>
  <c r="H63" i="7" s="1"/>
  <c r="K63" i="7" s="1" a="1"/>
  <c r="K63" i="7" s="1"/>
  <c r="K65" i="4" a="1"/>
  <c r="K65" i="4" s="1"/>
  <c r="M52" i="2"/>
  <c r="C53" i="2" s="1"/>
  <c r="I53" i="2" s="1"/>
  <c r="L52" i="2"/>
  <c r="B53" i="2" s="1"/>
  <c r="H53" i="2" s="1"/>
  <c r="K53" i="2" a="1"/>
  <c r="K53" i="2" s="1"/>
  <c r="L53" i="2" s="1"/>
  <c r="B54" i="2" s="1"/>
  <c r="H54" i="2" s="1"/>
  <c r="N64" i="11" l="1"/>
  <c r="D65" i="11" s="1"/>
  <c r="J65" i="11" s="1"/>
  <c r="M64" i="11"/>
  <c r="C65" i="11" s="1"/>
  <c r="I65" i="11" s="1"/>
  <c r="L64" i="11"/>
  <c r="B65" i="11" s="1"/>
  <c r="H65" i="11" s="1"/>
  <c r="K65" i="11" s="1" a="1"/>
  <c r="K65" i="11" s="1"/>
  <c r="N71" i="10"/>
  <c r="D72" i="10" s="1"/>
  <c r="J72" i="10" s="1"/>
  <c r="M71" i="10"/>
  <c r="C72" i="10" s="1"/>
  <c r="I72" i="10" s="1"/>
  <c r="L71" i="10"/>
  <c r="B72" i="10" s="1"/>
  <c r="H72" i="10" s="1"/>
  <c r="K72" i="10" s="1" a="1"/>
  <c r="K72" i="10" s="1"/>
  <c r="K66" i="9" a="1"/>
  <c r="K66" i="9" s="1"/>
  <c r="N65" i="8"/>
  <c r="D66" i="8" s="1"/>
  <c r="J66" i="8" s="1"/>
  <c r="M65" i="8"/>
  <c r="C66" i="8" s="1"/>
  <c r="I66" i="8" s="1"/>
  <c r="L65" i="8"/>
  <c r="B66" i="8" s="1"/>
  <c r="H66" i="8" s="1"/>
  <c r="N63" i="7"/>
  <c r="D64" i="7" s="1"/>
  <c r="J64" i="7" s="1"/>
  <c r="M63" i="7"/>
  <c r="C64" i="7" s="1"/>
  <c r="I64" i="7" s="1"/>
  <c r="L63" i="7"/>
  <c r="B64" i="7" s="1"/>
  <c r="H64" i="7" s="1"/>
  <c r="K64" i="7" s="1" a="1"/>
  <c r="K64" i="7" s="1"/>
  <c r="M65" i="4"/>
  <c r="C66" i="4" s="1"/>
  <c r="I66" i="4" s="1"/>
  <c r="L65" i="4"/>
  <c r="B66" i="4" s="1"/>
  <c r="H66" i="4" s="1"/>
  <c r="N65" i="4"/>
  <c r="D66" i="4" s="1"/>
  <c r="J66" i="4" s="1"/>
  <c r="N53" i="2"/>
  <c r="D54" i="2" s="1"/>
  <c r="J54" i="2" s="1"/>
  <c r="M53" i="2"/>
  <c r="C54" i="2" s="1"/>
  <c r="I54" i="2" s="1"/>
  <c r="N65" i="11" l="1"/>
  <c r="D66" i="11" s="1"/>
  <c r="J66" i="11" s="1"/>
  <c r="M65" i="11"/>
  <c r="C66" i="11" s="1"/>
  <c r="I66" i="11" s="1"/>
  <c r="L65" i="11"/>
  <c r="B66" i="11" s="1"/>
  <c r="H66" i="11" s="1"/>
  <c r="M72" i="10"/>
  <c r="C73" i="10" s="1"/>
  <c r="I73" i="10" s="1"/>
  <c r="L72" i="10"/>
  <c r="B73" i="10" s="1"/>
  <c r="H73" i="10" s="1"/>
  <c r="N72" i="10"/>
  <c r="D73" i="10" s="1"/>
  <c r="J73" i="10" s="1"/>
  <c r="L66" i="9"/>
  <c r="B67" i="9" s="1"/>
  <c r="H67" i="9" s="1"/>
  <c r="K67" i="9" s="1" a="1"/>
  <c r="K67" i="9" s="1"/>
  <c r="N66" i="9"/>
  <c r="D67" i="9" s="1"/>
  <c r="J67" i="9" s="1"/>
  <c r="M66" i="9"/>
  <c r="C67" i="9" s="1"/>
  <c r="I67" i="9" s="1"/>
  <c r="K66" i="8" a="1"/>
  <c r="K66" i="8" s="1"/>
  <c r="N64" i="7"/>
  <c r="D65" i="7" s="1"/>
  <c r="J65" i="7" s="1"/>
  <c r="M64" i="7"/>
  <c r="C65" i="7" s="1"/>
  <c r="I65" i="7" s="1"/>
  <c r="L64" i="7"/>
  <c r="B65" i="7" s="1"/>
  <c r="H65" i="7" s="1"/>
  <c r="K65" i="7" s="1" a="1"/>
  <c r="K65" i="7" s="1"/>
  <c r="K66" i="4" a="1"/>
  <c r="K66" i="4" s="1"/>
  <c r="K54" i="2" a="1"/>
  <c r="K54" i="2" s="1"/>
  <c r="M54" i="2" s="1"/>
  <c r="C55" i="2" s="1"/>
  <c r="I55" i="2" s="1"/>
  <c r="K66" i="11" l="1" a="1"/>
  <c r="K66" i="11" s="1"/>
  <c r="K73" i="10" a="1"/>
  <c r="K73" i="10" s="1"/>
  <c r="L67" i="9"/>
  <c r="B68" i="9" s="1"/>
  <c r="H68" i="9" s="1"/>
  <c r="N67" i="9"/>
  <c r="D68" i="9" s="1"/>
  <c r="J68" i="9" s="1"/>
  <c r="M67" i="9"/>
  <c r="C68" i="9" s="1"/>
  <c r="I68" i="9" s="1"/>
  <c r="N66" i="8"/>
  <c r="D67" i="8" s="1"/>
  <c r="J67" i="8" s="1"/>
  <c r="M66" i="8"/>
  <c r="C67" i="8" s="1"/>
  <c r="I67" i="8" s="1"/>
  <c r="L66" i="8"/>
  <c r="B67" i="8" s="1"/>
  <c r="H67" i="8" s="1"/>
  <c r="N65" i="7"/>
  <c r="D66" i="7" s="1"/>
  <c r="J66" i="7" s="1"/>
  <c r="M65" i="7"/>
  <c r="C66" i="7" s="1"/>
  <c r="I66" i="7" s="1"/>
  <c r="L65" i="7"/>
  <c r="B66" i="7" s="1"/>
  <c r="H66" i="7" s="1"/>
  <c r="N66" i="4"/>
  <c r="D67" i="4" s="1"/>
  <c r="J67" i="4" s="1"/>
  <c r="M66" i="4"/>
  <c r="C67" i="4" s="1"/>
  <c r="I67" i="4" s="1"/>
  <c r="L66" i="4"/>
  <c r="B67" i="4" s="1"/>
  <c r="H67" i="4" s="1"/>
  <c r="K67" i="4" s="1" a="1"/>
  <c r="K67" i="4" s="1"/>
  <c r="N54" i="2"/>
  <c r="D55" i="2" s="1"/>
  <c r="J55" i="2" s="1"/>
  <c r="L54" i="2"/>
  <c r="B55" i="2" s="1"/>
  <c r="N66" i="11" l="1"/>
  <c r="D67" i="11" s="1"/>
  <c r="J67" i="11" s="1"/>
  <c r="M66" i="11"/>
  <c r="C67" i="11" s="1"/>
  <c r="I67" i="11" s="1"/>
  <c r="L66" i="11"/>
  <c r="B67" i="11" s="1"/>
  <c r="H67" i="11" s="1"/>
  <c r="K67" i="11" s="1" a="1"/>
  <c r="K67" i="11" s="1"/>
  <c r="N73" i="10"/>
  <c r="D74" i="10" s="1"/>
  <c r="J74" i="10" s="1"/>
  <c r="M73" i="10"/>
  <c r="C74" i="10" s="1"/>
  <c r="I74" i="10" s="1"/>
  <c r="L73" i="10"/>
  <c r="B74" i="10" s="1"/>
  <c r="H74" i="10" s="1"/>
  <c r="K68" i="9" a="1"/>
  <c r="K68" i="9" s="1"/>
  <c r="K67" i="8" a="1"/>
  <c r="K67" i="8" s="1"/>
  <c r="K66" i="7" a="1"/>
  <c r="K66" i="7" s="1"/>
  <c r="N67" i="4"/>
  <c r="D68" i="4" s="1"/>
  <c r="J68" i="4" s="1"/>
  <c r="M67" i="4"/>
  <c r="C68" i="4" s="1"/>
  <c r="I68" i="4" s="1"/>
  <c r="L67" i="4"/>
  <c r="B68" i="4" s="1"/>
  <c r="H68" i="4" s="1"/>
  <c r="K68" i="4" s="1" a="1"/>
  <c r="K68" i="4" s="1"/>
  <c r="H55" i="2"/>
  <c r="K55" i="2" s="1" a="1"/>
  <c r="K55" i="2" s="1"/>
  <c r="N67" i="11" l="1"/>
  <c r="D68" i="11" s="1"/>
  <c r="J68" i="11" s="1"/>
  <c r="L67" i="11"/>
  <c r="B68" i="11" s="1"/>
  <c r="H68" i="11" s="1"/>
  <c r="M67" i="11"/>
  <c r="C68" i="11" s="1"/>
  <c r="I68" i="11" s="1"/>
  <c r="K74" i="10" a="1"/>
  <c r="K74" i="10" s="1"/>
  <c r="M68" i="9"/>
  <c r="C69" i="9" s="1"/>
  <c r="I69" i="9" s="1"/>
  <c r="L68" i="9"/>
  <c r="B69" i="9" s="1"/>
  <c r="H69" i="9" s="1"/>
  <c r="N68" i="9"/>
  <c r="D69" i="9" s="1"/>
  <c r="J69" i="9" s="1"/>
  <c r="N67" i="8"/>
  <c r="D68" i="8" s="1"/>
  <c r="J68" i="8" s="1"/>
  <c r="L67" i="8"/>
  <c r="B68" i="8" s="1"/>
  <c r="H68" i="8" s="1"/>
  <c r="K68" i="8" s="1" a="1"/>
  <c r="K68" i="8" s="1"/>
  <c r="M67" i="8"/>
  <c r="C68" i="8" s="1"/>
  <c r="I68" i="8" s="1"/>
  <c r="N66" i="7"/>
  <c r="D67" i="7" s="1"/>
  <c r="J67" i="7" s="1"/>
  <c r="L66" i="7"/>
  <c r="B67" i="7" s="1"/>
  <c r="H67" i="7" s="1"/>
  <c r="M66" i="7"/>
  <c r="C67" i="7" s="1"/>
  <c r="I67" i="7" s="1"/>
  <c r="N68" i="4"/>
  <c r="D69" i="4" s="1"/>
  <c r="J69" i="4" s="1"/>
  <c r="L68" i="4"/>
  <c r="B69" i="4" s="1"/>
  <c r="H69" i="4" s="1"/>
  <c r="M68" i="4"/>
  <c r="C69" i="4" s="1"/>
  <c r="I69" i="4" s="1"/>
  <c r="N55" i="2"/>
  <c r="D56" i="2" s="1"/>
  <c r="J56" i="2" s="1"/>
  <c r="L55" i="2"/>
  <c r="B56" i="2" s="1"/>
  <c r="H56" i="2" s="1"/>
  <c r="M55" i="2"/>
  <c r="C56" i="2" s="1"/>
  <c r="K68" i="11" l="1" a="1"/>
  <c r="K68" i="11" s="1"/>
  <c r="L74" i="10"/>
  <c r="B75" i="10" s="1"/>
  <c r="H75" i="10" s="1"/>
  <c r="M74" i="10"/>
  <c r="C75" i="10" s="1"/>
  <c r="I75" i="10" s="1"/>
  <c r="N74" i="10"/>
  <c r="D75" i="10" s="1"/>
  <c r="J75" i="10" s="1"/>
  <c r="K69" i="9" a="1"/>
  <c r="K69" i="9" s="1"/>
  <c r="N68" i="8"/>
  <c r="D69" i="8" s="1"/>
  <c r="J69" i="8" s="1"/>
  <c r="M68" i="8"/>
  <c r="C69" i="8" s="1"/>
  <c r="I69" i="8" s="1"/>
  <c r="L68" i="8"/>
  <c r="B69" i="8" s="1"/>
  <c r="H69" i="8" s="1"/>
  <c r="K69" i="8" s="1" a="1"/>
  <c r="K69" i="8" s="1"/>
  <c r="K67" i="7" a="1"/>
  <c r="K67" i="7" s="1"/>
  <c r="K69" i="4" a="1"/>
  <c r="K69" i="4" s="1"/>
  <c r="I56" i="2"/>
  <c r="K56" i="2" s="1" a="1"/>
  <c r="K56" i="2" s="1"/>
  <c r="N68" i="11" l="1"/>
  <c r="D69" i="11" s="1"/>
  <c r="J69" i="11" s="1"/>
  <c r="M68" i="11"/>
  <c r="C69" i="11" s="1"/>
  <c r="I69" i="11" s="1"/>
  <c r="L68" i="11"/>
  <c r="B69" i="11" s="1"/>
  <c r="H69" i="11" s="1"/>
  <c r="K69" i="11" s="1" a="1"/>
  <c r="K69" i="11" s="1"/>
  <c r="K75" i="10" a="1"/>
  <c r="K75" i="10" s="1"/>
  <c r="N69" i="9"/>
  <c r="D70" i="9" s="1"/>
  <c r="J70" i="9" s="1"/>
  <c r="M69" i="9"/>
  <c r="C70" i="9" s="1"/>
  <c r="I70" i="9" s="1"/>
  <c r="L69" i="9"/>
  <c r="B70" i="9" s="1"/>
  <c r="H70" i="9" s="1"/>
  <c r="K70" i="9" s="1" a="1"/>
  <c r="K70" i="9" s="1"/>
  <c r="N69" i="8"/>
  <c r="D70" i="8" s="1"/>
  <c r="J70" i="8" s="1"/>
  <c r="M69" i="8"/>
  <c r="C70" i="8" s="1"/>
  <c r="I70" i="8" s="1"/>
  <c r="L69" i="8"/>
  <c r="B70" i="8" s="1"/>
  <c r="H70" i="8" s="1"/>
  <c r="M67" i="7"/>
  <c r="C68" i="7" s="1"/>
  <c r="I68" i="7" s="1"/>
  <c r="L67" i="7"/>
  <c r="B68" i="7" s="1"/>
  <c r="H68" i="7" s="1"/>
  <c r="K68" i="7" s="1" a="1"/>
  <c r="K68" i="7" s="1"/>
  <c r="N67" i="7"/>
  <c r="D68" i="7" s="1"/>
  <c r="J68" i="7" s="1"/>
  <c r="M69" i="4"/>
  <c r="C70" i="4" s="1"/>
  <c r="I70" i="4" s="1"/>
  <c r="L69" i="4"/>
  <c r="B70" i="4" s="1"/>
  <c r="H70" i="4" s="1"/>
  <c r="N69" i="4"/>
  <c r="D70" i="4" s="1"/>
  <c r="J70" i="4" s="1"/>
  <c r="L56" i="2"/>
  <c r="B57" i="2" s="1"/>
  <c r="H57" i="2" s="1"/>
  <c r="N56" i="2"/>
  <c r="D57" i="2" s="1"/>
  <c r="J57" i="2" s="1"/>
  <c r="M56" i="2"/>
  <c r="C57" i="2" s="1"/>
  <c r="I57" i="2" s="1"/>
  <c r="K57" i="2" a="1"/>
  <c r="K57" i="2" s="1"/>
  <c r="L57" i="2" s="1"/>
  <c r="B58" i="2" s="1"/>
  <c r="H58" i="2" s="1"/>
  <c r="N69" i="11" l="1"/>
  <c r="D70" i="11" s="1"/>
  <c r="J70" i="11" s="1"/>
  <c r="M69" i="11"/>
  <c r="C70" i="11" s="1"/>
  <c r="I70" i="11" s="1"/>
  <c r="L69" i="11"/>
  <c r="B70" i="11" s="1"/>
  <c r="H70" i="11" s="1"/>
  <c r="K70" i="11" s="1" a="1"/>
  <c r="K70" i="11" s="1"/>
  <c r="M75" i="10"/>
  <c r="C76" i="10" s="1"/>
  <c r="I76" i="10" s="1"/>
  <c r="L75" i="10"/>
  <c r="B76" i="10" s="1"/>
  <c r="H76" i="10" s="1"/>
  <c r="N75" i="10"/>
  <c r="D76" i="10" s="1"/>
  <c r="J76" i="10" s="1"/>
  <c r="N70" i="9"/>
  <c r="D71" i="9" s="1"/>
  <c r="J71" i="9" s="1"/>
  <c r="M70" i="9"/>
  <c r="C71" i="9" s="1"/>
  <c r="I71" i="9" s="1"/>
  <c r="L70" i="9"/>
  <c r="B71" i="9" s="1"/>
  <c r="H71" i="9" s="1"/>
  <c r="K70" i="8" a="1"/>
  <c r="K70" i="8" s="1"/>
  <c r="N68" i="7"/>
  <c r="D69" i="7" s="1"/>
  <c r="J69" i="7" s="1"/>
  <c r="M68" i="7"/>
  <c r="C69" i="7" s="1"/>
  <c r="I69" i="7" s="1"/>
  <c r="L68" i="7"/>
  <c r="B69" i="7" s="1"/>
  <c r="H69" i="7" s="1"/>
  <c r="K69" i="7" s="1" a="1"/>
  <c r="K69" i="7" s="1"/>
  <c r="K70" i="4" a="1"/>
  <c r="K70" i="4" s="1"/>
  <c r="N57" i="2"/>
  <c r="D58" i="2" s="1"/>
  <c r="J58" i="2" s="1"/>
  <c r="M57" i="2"/>
  <c r="C58" i="2" s="1"/>
  <c r="M70" i="11" l="1"/>
  <c r="C71" i="11" s="1"/>
  <c r="I71" i="11" s="1"/>
  <c r="L70" i="11"/>
  <c r="B71" i="11" s="1"/>
  <c r="H71" i="11" s="1"/>
  <c r="N70" i="11"/>
  <c r="D71" i="11" s="1"/>
  <c r="J71" i="11" s="1"/>
  <c r="K76" i="10" a="1"/>
  <c r="K76" i="10" s="1"/>
  <c r="K71" i="9" a="1"/>
  <c r="K71" i="9" s="1"/>
  <c r="M70" i="8"/>
  <c r="C71" i="8" s="1"/>
  <c r="I71" i="8" s="1"/>
  <c r="N70" i="8"/>
  <c r="D71" i="8" s="1"/>
  <c r="J71" i="8" s="1"/>
  <c r="L70" i="8"/>
  <c r="B71" i="8" s="1"/>
  <c r="H71" i="8" s="1"/>
  <c r="L69" i="7"/>
  <c r="B70" i="7" s="1"/>
  <c r="H70" i="7" s="1"/>
  <c r="N69" i="7"/>
  <c r="D70" i="7" s="1"/>
  <c r="J70" i="7" s="1"/>
  <c r="M69" i="7"/>
  <c r="C70" i="7" s="1"/>
  <c r="I70" i="7" s="1"/>
  <c r="N70" i="4"/>
  <c r="D71" i="4" s="1"/>
  <c r="J71" i="4" s="1"/>
  <c r="M70" i="4"/>
  <c r="C71" i="4" s="1"/>
  <c r="I71" i="4" s="1"/>
  <c r="L70" i="4"/>
  <c r="B71" i="4" s="1"/>
  <c r="H71" i="4" s="1"/>
  <c r="K71" i="4" s="1" a="1"/>
  <c r="K71" i="4" s="1"/>
  <c r="I58" i="2"/>
  <c r="K58" i="2" s="1" a="1"/>
  <c r="K58" i="2" s="1"/>
  <c r="M58" i="2" s="1"/>
  <c r="C59" i="2" s="1"/>
  <c r="I59" i="2" s="1"/>
  <c r="K71" i="11" l="1" a="1"/>
  <c r="K71" i="11" s="1"/>
  <c r="N76" i="10"/>
  <c r="D77" i="10" s="1"/>
  <c r="J77" i="10" s="1"/>
  <c r="M76" i="10"/>
  <c r="C77" i="10" s="1"/>
  <c r="I77" i="10" s="1"/>
  <c r="L76" i="10"/>
  <c r="B77" i="10" s="1"/>
  <c r="H77" i="10" s="1"/>
  <c r="K77" i="10" s="1" a="1"/>
  <c r="K77" i="10" s="1"/>
  <c r="N71" i="9"/>
  <c r="D72" i="9" s="1"/>
  <c r="J72" i="9" s="1"/>
  <c r="M71" i="9"/>
  <c r="C72" i="9" s="1"/>
  <c r="I72" i="9" s="1"/>
  <c r="L71" i="9"/>
  <c r="B72" i="9" s="1"/>
  <c r="H72" i="9" s="1"/>
  <c r="K72" i="9" s="1" a="1"/>
  <c r="K72" i="9" s="1"/>
  <c r="K71" i="8" a="1"/>
  <c r="K71" i="8" s="1"/>
  <c r="K70" i="7" a="1"/>
  <c r="K70" i="7" s="1"/>
  <c r="N71" i="4"/>
  <c r="D72" i="4" s="1"/>
  <c r="J72" i="4" s="1"/>
  <c r="M71" i="4"/>
  <c r="C72" i="4" s="1"/>
  <c r="I72" i="4" s="1"/>
  <c r="L71" i="4"/>
  <c r="B72" i="4" s="1"/>
  <c r="H72" i="4" s="1"/>
  <c r="N58" i="2"/>
  <c r="D59" i="2" s="1"/>
  <c r="J59" i="2" s="1"/>
  <c r="L58" i="2"/>
  <c r="B59" i="2" s="1"/>
  <c r="H59" i="2" s="1"/>
  <c r="K59" i="2" s="1" a="1"/>
  <c r="K59" i="2" s="1"/>
  <c r="M59" i="2" s="1"/>
  <c r="C60" i="2" s="1"/>
  <c r="I60" i="2" s="1"/>
  <c r="L71" i="11" l="1"/>
  <c r="B72" i="11" s="1"/>
  <c r="H72" i="11" s="1"/>
  <c r="N71" i="11"/>
  <c r="D72" i="11" s="1"/>
  <c r="J72" i="11" s="1"/>
  <c r="M71" i="11"/>
  <c r="C72" i="11" s="1"/>
  <c r="I72" i="11" s="1"/>
  <c r="N77" i="10"/>
  <c r="D78" i="10" s="1"/>
  <c r="J78" i="10" s="1"/>
  <c r="M77" i="10"/>
  <c r="C78" i="10" s="1"/>
  <c r="I78" i="10" s="1"/>
  <c r="L77" i="10"/>
  <c r="B78" i="10" s="1"/>
  <c r="H78" i="10" s="1"/>
  <c r="N72" i="9"/>
  <c r="D73" i="9" s="1"/>
  <c r="J73" i="9" s="1"/>
  <c r="M72" i="9"/>
  <c r="C73" i="9" s="1"/>
  <c r="I73" i="9" s="1"/>
  <c r="L72" i="9"/>
  <c r="B73" i="9" s="1"/>
  <c r="H73" i="9" s="1"/>
  <c r="K73" i="9" s="1" a="1"/>
  <c r="K73" i="9" s="1"/>
  <c r="N71" i="8"/>
  <c r="D72" i="8" s="1"/>
  <c r="J72" i="8" s="1"/>
  <c r="M71" i="8"/>
  <c r="C72" i="8" s="1"/>
  <c r="I72" i="8" s="1"/>
  <c r="L71" i="8"/>
  <c r="B72" i="8" s="1"/>
  <c r="H72" i="8" s="1"/>
  <c r="M70" i="7"/>
  <c r="C71" i="7" s="1"/>
  <c r="I71" i="7" s="1"/>
  <c r="L70" i="7"/>
  <c r="B71" i="7" s="1"/>
  <c r="H71" i="7" s="1"/>
  <c r="K71" i="7" s="1" a="1"/>
  <c r="K71" i="7" s="1"/>
  <c r="N70" i="7"/>
  <c r="D71" i="7" s="1"/>
  <c r="J71" i="7" s="1"/>
  <c r="K72" i="4" a="1"/>
  <c r="K72" i="4" s="1"/>
  <c r="L59" i="2"/>
  <c r="B60" i="2" s="1"/>
  <c r="H60" i="2" s="1"/>
  <c r="N59" i="2"/>
  <c r="D60" i="2" s="1"/>
  <c r="J60" i="2" s="1"/>
  <c r="K72" i="11" l="1" a="1"/>
  <c r="K72" i="11" s="1"/>
  <c r="K78" i="10" a="1"/>
  <c r="K78" i="10" s="1"/>
  <c r="N73" i="9"/>
  <c r="D74" i="9" s="1"/>
  <c r="J74" i="9" s="1"/>
  <c r="M73" i="9"/>
  <c r="C74" i="9" s="1"/>
  <c r="I74" i="9" s="1"/>
  <c r="L73" i="9"/>
  <c r="B74" i="9" s="1"/>
  <c r="H74" i="9" s="1"/>
  <c r="K74" i="9" s="1" a="1"/>
  <c r="K74" i="9" s="1"/>
  <c r="K72" i="8" a="1"/>
  <c r="K72" i="8" s="1"/>
  <c r="N71" i="7"/>
  <c r="D72" i="7" s="1"/>
  <c r="J72" i="7" s="1"/>
  <c r="M71" i="7"/>
  <c r="C72" i="7" s="1"/>
  <c r="I72" i="7" s="1"/>
  <c r="L71" i="7"/>
  <c r="B72" i="7" s="1"/>
  <c r="H72" i="7" s="1"/>
  <c r="K72" i="7" s="1" a="1"/>
  <c r="K72" i="7" s="1"/>
  <c r="N72" i="4"/>
  <c r="D73" i="4" s="1"/>
  <c r="J73" i="4" s="1"/>
  <c r="M72" i="4"/>
  <c r="C73" i="4" s="1"/>
  <c r="I73" i="4" s="1"/>
  <c r="L72" i="4"/>
  <c r="B73" i="4" s="1"/>
  <c r="H73" i="4" s="1"/>
  <c r="K73" i="4" s="1" a="1"/>
  <c r="K73" i="4" s="1"/>
  <c r="K60" i="2" a="1"/>
  <c r="K60" i="2" s="1"/>
  <c r="L60" i="2" s="1"/>
  <c r="B61" i="2" s="1"/>
  <c r="H61" i="2" s="1"/>
  <c r="M72" i="11" l="1"/>
  <c r="C73" i="11" s="1"/>
  <c r="I73" i="11" s="1"/>
  <c r="L72" i="11"/>
  <c r="B73" i="11" s="1"/>
  <c r="H73" i="11" s="1"/>
  <c r="N72" i="11"/>
  <c r="D73" i="11" s="1"/>
  <c r="J73" i="11" s="1"/>
  <c r="N78" i="10"/>
  <c r="D79" i="10" s="1"/>
  <c r="J79" i="10" s="1"/>
  <c r="M78" i="10"/>
  <c r="C79" i="10" s="1"/>
  <c r="I79" i="10" s="1"/>
  <c r="L78" i="10"/>
  <c r="B79" i="10" s="1"/>
  <c r="H79" i="10" s="1"/>
  <c r="K79" i="10" s="1" a="1"/>
  <c r="K79" i="10" s="1"/>
  <c r="N74" i="9"/>
  <c r="D75" i="9" s="1"/>
  <c r="J75" i="9" s="1"/>
  <c r="M74" i="9"/>
  <c r="C75" i="9" s="1"/>
  <c r="I75" i="9" s="1"/>
  <c r="L74" i="9"/>
  <c r="B75" i="9" s="1"/>
  <c r="H75" i="9" s="1"/>
  <c r="K75" i="9" s="1" a="1"/>
  <c r="K75" i="9" s="1"/>
  <c r="L72" i="8"/>
  <c r="B73" i="8" s="1"/>
  <c r="H73" i="8" s="1"/>
  <c r="N72" i="8"/>
  <c r="D73" i="8" s="1"/>
  <c r="J73" i="8" s="1"/>
  <c r="M72" i="8"/>
  <c r="C73" i="8" s="1"/>
  <c r="I73" i="8" s="1"/>
  <c r="N72" i="7"/>
  <c r="D73" i="7" s="1"/>
  <c r="J73" i="7" s="1"/>
  <c r="M72" i="7"/>
  <c r="C73" i="7" s="1"/>
  <c r="I73" i="7" s="1"/>
  <c r="L72" i="7"/>
  <c r="B73" i="7" s="1"/>
  <c r="H73" i="7" s="1"/>
  <c r="K73" i="7" s="1" a="1"/>
  <c r="K73" i="7" s="1"/>
  <c r="N73" i="4"/>
  <c r="D74" i="4" s="1"/>
  <c r="J74" i="4" s="1"/>
  <c r="M73" i="4"/>
  <c r="C74" i="4" s="1"/>
  <c r="I74" i="4" s="1"/>
  <c r="L73" i="4"/>
  <c r="B74" i="4" s="1"/>
  <c r="H74" i="4" s="1"/>
  <c r="N60" i="2"/>
  <c r="D61" i="2" s="1"/>
  <c r="J61" i="2" s="1"/>
  <c r="M60" i="2"/>
  <c r="C61" i="2" s="1"/>
  <c r="K73" i="11" l="1" a="1"/>
  <c r="K73" i="11" s="1"/>
  <c r="L79" i="10"/>
  <c r="B80" i="10" s="1"/>
  <c r="H80" i="10" s="1"/>
  <c r="N79" i="10"/>
  <c r="D80" i="10" s="1"/>
  <c r="J80" i="10" s="1"/>
  <c r="M79" i="10"/>
  <c r="C80" i="10" s="1"/>
  <c r="I80" i="10" s="1"/>
  <c r="N75" i="9"/>
  <c r="D76" i="9" s="1"/>
  <c r="J76" i="9" s="1"/>
  <c r="L75" i="9"/>
  <c r="B76" i="9" s="1"/>
  <c r="H76" i="9" s="1"/>
  <c r="M75" i="9"/>
  <c r="C76" i="9" s="1"/>
  <c r="I76" i="9" s="1"/>
  <c r="K73" i="8" a="1"/>
  <c r="K73" i="8" s="1"/>
  <c r="N73" i="7"/>
  <c r="D74" i="7" s="1"/>
  <c r="J74" i="7" s="1"/>
  <c r="M73" i="7"/>
  <c r="C74" i="7" s="1"/>
  <c r="I74" i="7" s="1"/>
  <c r="L73" i="7"/>
  <c r="B74" i="7" s="1"/>
  <c r="H74" i="7" s="1"/>
  <c r="K74" i="7" s="1" a="1"/>
  <c r="K74" i="7" s="1"/>
  <c r="K74" i="4" a="1"/>
  <c r="K74" i="4" s="1"/>
  <c r="I61" i="2"/>
  <c r="K61" i="2" s="1" a="1"/>
  <c r="K61" i="2" s="1"/>
  <c r="N73" i="11" l="1"/>
  <c r="D74" i="11" s="1"/>
  <c r="J74" i="11" s="1"/>
  <c r="M73" i="11"/>
  <c r="C74" i="11" s="1"/>
  <c r="I74" i="11" s="1"/>
  <c r="L73" i="11"/>
  <c r="B74" i="11" s="1"/>
  <c r="H74" i="11" s="1"/>
  <c r="K74" i="11" s="1" a="1"/>
  <c r="K74" i="11" s="1"/>
  <c r="K80" i="10" a="1"/>
  <c r="K80" i="10" s="1"/>
  <c r="K76" i="9" a="1"/>
  <c r="K76" i="9" s="1"/>
  <c r="M73" i="8"/>
  <c r="C74" i="8" s="1"/>
  <c r="I74" i="8" s="1"/>
  <c r="L73" i="8"/>
  <c r="B74" i="8" s="1"/>
  <c r="H74" i="8" s="1"/>
  <c r="N73" i="8"/>
  <c r="D74" i="8" s="1"/>
  <c r="J74" i="8" s="1"/>
  <c r="N74" i="7"/>
  <c r="D75" i="7" s="1"/>
  <c r="J75" i="7" s="1"/>
  <c r="M74" i="7"/>
  <c r="C75" i="7" s="1"/>
  <c r="I75" i="7" s="1"/>
  <c r="L74" i="7"/>
  <c r="B75" i="7" s="1"/>
  <c r="H75" i="7" s="1"/>
  <c r="K75" i="7" s="1" a="1"/>
  <c r="K75" i="7" s="1"/>
  <c r="N74" i="4"/>
  <c r="D75" i="4" s="1"/>
  <c r="J75" i="4" s="1"/>
  <c r="M74" i="4"/>
  <c r="C75" i="4" s="1"/>
  <c r="I75" i="4" s="1"/>
  <c r="L74" i="4"/>
  <c r="B75" i="4" s="1"/>
  <c r="H75" i="4" s="1"/>
  <c r="K75" i="4" s="1" a="1"/>
  <c r="K75" i="4" s="1"/>
  <c r="N61" i="2"/>
  <c r="D62" i="2" s="1"/>
  <c r="J62" i="2" s="1"/>
  <c r="L61" i="2"/>
  <c r="B62" i="2" s="1"/>
  <c r="H62" i="2" s="1"/>
  <c r="M61" i="2"/>
  <c r="C62" i="2" s="1"/>
  <c r="I62" i="2" s="1"/>
  <c r="K62" i="2" s="1" a="1"/>
  <c r="K62" i="2" s="1"/>
  <c r="L62" i="2" s="1"/>
  <c r="B63" i="2" s="1"/>
  <c r="H63" i="2" s="1"/>
  <c r="N74" i="11" l="1"/>
  <c r="D75" i="11" s="1"/>
  <c r="J75" i="11" s="1"/>
  <c r="M74" i="11"/>
  <c r="C75" i="11" s="1"/>
  <c r="I75" i="11" s="1"/>
  <c r="L74" i="11"/>
  <c r="B75" i="11" s="1"/>
  <c r="H75" i="11" s="1"/>
  <c r="K75" i="11" s="1" a="1"/>
  <c r="K75" i="11" s="1"/>
  <c r="M80" i="10"/>
  <c r="C81" i="10" s="1"/>
  <c r="I81" i="10" s="1"/>
  <c r="L80" i="10"/>
  <c r="B81" i="10" s="1"/>
  <c r="H81" i="10" s="1"/>
  <c r="N80" i="10"/>
  <c r="D81" i="10" s="1"/>
  <c r="J81" i="10" s="1"/>
  <c r="M76" i="9"/>
  <c r="C77" i="9" s="1"/>
  <c r="I77" i="9" s="1"/>
  <c r="N76" i="9"/>
  <c r="D77" i="9" s="1"/>
  <c r="J77" i="9" s="1"/>
  <c r="L76" i="9"/>
  <c r="B77" i="9" s="1"/>
  <c r="H77" i="9" s="1"/>
  <c r="K77" i="9" s="1" a="1"/>
  <c r="K77" i="9" s="1"/>
  <c r="K74" i="8" a="1"/>
  <c r="K74" i="8" s="1"/>
  <c r="N75" i="7"/>
  <c r="D76" i="7" s="1"/>
  <c r="J76" i="7" s="1"/>
  <c r="M75" i="7"/>
  <c r="C76" i="7" s="1"/>
  <c r="I76" i="7" s="1"/>
  <c r="L75" i="7"/>
  <c r="B76" i="7" s="1"/>
  <c r="H76" i="7" s="1"/>
  <c r="N75" i="4"/>
  <c r="D76" i="4" s="1"/>
  <c r="J76" i="4" s="1"/>
  <c r="M75" i="4"/>
  <c r="C76" i="4" s="1"/>
  <c r="I76" i="4" s="1"/>
  <c r="L75" i="4"/>
  <c r="B76" i="4" s="1"/>
  <c r="H76" i="4" s="1"/>
  <c r="N62" i="2"/>
  <c r="D63" i="2" s="1"/>
  <c r="J63" i="2" s="1"/>
  <c r="M62" i="2"/>
  <c r="C63" i="2" s="1"/>
  <c r="I63" i="2" s="1"/>
  <c r="N75" i="11" l="1"/>
  <c r="D76" i="11" s="1"/>
  <c r="J76" i="11" s="1"/>
  <c r="M75" i="11"/>
  <c r="C76" i="11" s="1"/>
  <c r="I76" i="11" s="1"/>
  <c r="L75" i="11"/>
  <c r="B76" i="11" s="1"/>
  <c r="H76" i="11" s="1"/>
  <c r="K81" i="10" a="1"/>
  <c r="K81" i="10" s="1"/>
  <c r="N77" i="9"/>
  <c r="D78" i="9" s="1"/>
  <c r="J78" i="9" s="1"/>
  <c r="L77" i="9"/>
  <c r="B78" i="9" s="1"/>
  <c r="H78" i="9" s="1"/>
  <c r="M77" i="9"/>
  <c r="C78" i="9" s="1"/>
  <c r="I78" i="9" s="1"/>
  <c r="N74" i="8"/>
  <c r="D75" i="8" s="1"/>
  <c r="J75" i="8" s="1"/>
  <c r="M74" i="8"/>
  <c r="C75" i="8" s="1"/>
  <c r="I75" i="8" s="1"/>
  <c r="L74" i="8"/>
  <c r="B75" i="8" s="1"/>
  <c r="H75" i="8" s="1"/>
  <c r="K76" i="7" a="1"/>
  <c r="K76" i="7" s="1"/>
  <c r="K76" i="4" a="1"/>
  <c r="K76" i="4" s="1"/>
  <c r="K63" i="2" a="1"/>
  <c r="K63" i="2" s="1"/>
  <c r="M63" i="2" s="1"/>
  <c r="C64" i="2" s="1"/>
  <c r="I64" i="2" s="1"/>
  <c r="K76" i="11" l="1" a="1"/>
  <c r="K76" i="11" s="1"/>
  <c r="N81" i="10"/>
  <c r="D82" i="10" s="1"/>
  <c r="J82" i="10" s="1"/>
  <c r="M81" i="10"/>
  <c r="C82" i="10" s="1"/>
  <c r="I82" i="10" s="1"/>
  <c r="L81" i="10"/>
  <c r="B82" i="10" s="1"/>
  <c r="H82" i="10" s="1"/>
  <c r="K82" i="10" s="1" a="1"/>
  <c r="K82" i="10" s="1"/>
  <c r="K78" i="9" a="1"/>
  <c r="K78" i="9" s="1"/>
  <c r="K75" i="8" a="1"/>
  <c r="K75" i="8" s="1"/>
  <c r="N76" i="7"/>
  <c r="D77" i="7" s="1"/>
  <c r="J77" i="7" s="1"/>
  <c r="M76" i="7"/>
  <c r="C77" i="7" s="1"/>
  <c r="I77" i="7" s="1"/>
  <c r="L76" i="7"/>
  <c r="B77" i="7" s="1"/>
  <c r="H77" i="7" s="1"/>
  <c r="K77" i="7" s="1" a="1"/>
  <c r="K77" i="7" s="1"/>
  <c r="L76" i="4"/>
  <c r="B77" i="4" s="1"/>
  <c r="H77" i="4" s="1"/>
  <c r="N76" i="4"/>
  <c r="D77" i="4" s="1"/>
  <c r="J77" i="4" s="1"/>
  <c r="M76" i="4"/>
  <c r="C77" i="4" s="1"/>
  <c r="I77" i="4" s="1"/>
  <c r="L63" i="2"/>
  <c r="B64" i="2" s="1"/>
  <c r="H64" i="2" s="1"/>
  <c r="N63" i="2"/>
  <c r="D64" i="2" s="1"/>
  <c r="J64" i="2" s="1"/>
  <c r="N76" i="11" l="1"/>
  <c r="D77" i="11" s="1"/>
  <c r="J77" i="11" s="1"/>
  <c r="M76" i="11"/>
  <c r="C77" i="11" s="1"/>
  <c r="I77" i="11" s="1"/>
  <c r="L76" i="11"/>
  <c r="B77" i="11" s="1"/>
  <c r="H77" i="11" s="1"/>
  <c r="K77" i="11" s="1" a="1"/>
  <c r="K77" i="11" s="1"/>
  <c r="N82" i="10"/>
  <c r="D83" i="10" s="1"/>
  <c r="J83" i="10" s="1"/>
  <c r="M82" i="10"/>
  <c r="C83" i="10" s="1"/>
  <c r="I83" i="10" s="1"/>
  <c r="L82" i="10"/>
  <c r="B83" i="10" s="1"/>
  <c r="H83" i="10" s="1"/>
  <c r="K83" i="10" s="1" a="1"/>
  <c r="K83" i="10" s="1"/>
  <c r="N78" i="9"/>
  <c r="D79" i="9" s="1"/>
  <c r="J79" i="9" s="1"/>
  <c r="M78" i="9"/>
  <c r="C79" i="9" s="1"/>
  <c r="I79" i="9" s="1"/>
  <c r="L78" i="9"/>
  <c r="B79" i="9" s="1"/>
  <c r="H79" i="9" s="1"/>
  <c r="K79" i="9" s="1" a="1"/>
  <c r="K79" i="9" s="1"/>
  <c r="N75" i="8"/>
  <c r="D76" i="8" s="1"/>
  <c r="J76" i="8" s="1"/>
  <c r="M75" i="8"/>
  <c r="C76" i="8" s="1"/>
  <c r="I76" i="8" s="1"/>
  <c r="L75" i="8"/>
  <c r="B76" i="8" s="1"/>
  <c r="H76" i="8" s="1"/>
  <c r="N77" i="7"/>
  <c r="D78" i="7" s="1"/>
  <c r="J78" i="7" s="1"/>
  <c r="M77" i="7"/>
  <c r="C78" i="7" s="1"/>
  <c r="I78" i="7" s="1"/>
  <c r="L77" i="7"/>
  <c r="B78" i="7" s="1"/>
  <c r="H78" i="7" s="1"/>
  <c r="K78" i="7" s="1" a="1"/>
  <c r="K78" i="7" s="1"/>
  <c r="K77" i="4" a="1"/>
  <c r="K77" i="4" s="1"/>
  <c r="K64" i="2" a="1"/>
  <c r="K64" i="2" s="1"/>
  <c r="N64" i="2" s="1"/>
  <c r="D65" i="2" s="1"/>
  <c r="J65" i="2" s="1"/>
  <c r="N77" i="11" l="1"/>
  <c r="D78" i="11" s="1"/>
  <c r="J78" i="11" s="1"/>
  <c r="M77" i="11"/>
  <c r="C78" i="11" s="1"/>
  <c r="I78" i="11" s="1"/>
  <c r="L77" i="11"/>
  <c r="B78" i="11" s="1"/>
  <c r="H78" i="11" s="1"/>
  <c r="K78" i="11" s="1" a="1"/>
  <c r="K78" i="11" s="1"/>
  <c r="N83" i="10"/>
  <c r="D84" i="10" s="1"/>
  <c r="J84" i="10" s="1"/>
  <c r="M83" i="10"/>
  <c r="C84" i="10" s="1"/>
  <c r="I84" i="10" s="1"/>
  <c r="L83" i="10"/>
  <c r="B84" i="10" s="1"/>
  <c r="H84" i="10" s="1"/>
  <c r="K84" i="10" s="1" a="1"/>
  <c r="K84" i="10" s="1"/>
  <c r="L79" i="9"/>
  <c r="B80" i="9" s="1"/>
  <c r="H80" i="9" s="1"/>
  <c r="N79" i="9"/>
  <c r="D80" i="9" s="1"/>
  <c r="J80" i="9" s="1"/>
  <c r="M79" i="9"/>
  <c r="C80" i="9" s="1"/>
  <c r="I80" i="9" s="1"/>
  <c r="K76" i="8" a="1"/>
  <c r="K76" i="8" s="1"/>
  <c r="N78" i="7"/>
  <c r="D79" i="7" s="1"/>
  <c r="J79" i="7" s="1"/>
  <c r="M78" i="7"/>
  <c r="C79" i="7" s="1"/>
  <c r="I79" i="7" s="1"/>
  <c r="L78" i="7"/>
  <c r="B79" i="7" s="1"/>
  <c r="H79" i="7" s="1"/>
  <c r="K79" i="7" s="1" a="1"/>
  <c r="K79" i="7" s="1"/>
  <c r="M77" i="4"/>
  <c r="C78" i="4" s="1"/>
  <c r="I78" i="4" s="1"/>
  <c r="L77" i="4"/>
  <c r="B78" i="4" s="1"/>
  <c r="H78" i="4" s="1"/>
  <c r="N77" i="4"/>
  <c r="D78" i="4" s="1"/>
  <c r="J78" i="4" s="1"/>
  <c r="L64" i="2"/>
  <c r="B65" i="2" s="1"/>
  <c r="H65" i="2" s="1"/>
  <c r="M64" i="2"/>
  <c r="C65" i="2" s="1"/>
  <c r="I65" i="2" s="1"/>
  <c r="N78" i="11" l="1"/>
  <c r="D79" i="11" s="1"/>
  <c r="J79" i="11" s="1"/>
  <c r="M78" i="11"/>
  <c r="C79" i="11" s="1"/>
  <c r="I79" i="11" s="1"/>
  <c r="L78" i="11"/>
  <c r="B79" i="11" s="1"/>
  <c r="H79" i="11" s="1"/>
  <c r="K79" i="11" s="1" a="1"/>
  <c r="K79" i="11" s="1"/>
  <c r="N84" i="10"/>
  <c r="D85" i="10" s="1"/>
  <c r="J85" i="10" s="1"/>
  <c r="M84" i="10"/>
  <c r="C85" i="10" s="1"/>
  <c r="I85" i="10" s="1"/>
  <c r="L84" i="10"/>
  <c r="B85" i="10" s="1"/>
  <c r="H85" i="10" s="1"/>
  <c r="K85" i="10" s="1" a="1"/>
  <c r="K85" i="10" s="1"/>
  <c r="K80" i="9" a="1"/>
  <c r="K80" i="9" s="1"/>
  <c r="N76" i="8"/>
  <c r="D77" i="8" s="1"/>
  <c r="J77" i="8" s="1"/>
  <c r="M76" i="8"/>
  <c r="C77" i="8" s="1"/>
  <c r="I77" i="8" s="1"/>
  <c r="L76" i="8"/>
  <c r="B77" i="8" s="1"/>
  <c r="H77" i="8" s="1"/>
  <c r="N79" i="7"/>
  <c r="D80" i="7" s="1"/>
  <c r="J80" i="7" s="1"/>
  <c r="M79" i="7"/>
  <c r="C80" i="7" s="1"/>
  <c r="I80" i="7" s="1"/>
  <c r="L79" i="7"/>
  <c r="B80" i="7" s="1"/>
  <c r="H80" i="7" s="1"/>
  <c r="K80" i="7" s="1" a="1"/>
  <c r="K80" i="7" s="1"/>
  <c r="K78" i="4" a="1"/>
  <c r="K78" i="4" s="1"/>
  <c r="K65" i="2" a="1"/>
  <c r="K65" i="2" s="1"/>
  <c r="N79" i="11" l="1"/>
  <c r="D80" i="11" s="1"/>
  <c r="J80" i="11" s="1"/>
  <c r="L79" i="11"/>
  <c r="B80" i="11" s="1"/>
  <c r="H80" i="11" s="1"/>
  <c r="M79" i="11"/>
  <c r="C80" i="11" s="1"/>
  <c r="I80" i="11" s="1"/>
  <c r="N85" i="10"/>
  <c r="D86" i="10" s="1"/>
  <c r="J86" i="10" s="1"/>
  <c r="M85" i="10"/>
  <c r="C86" i="10" s="1"/>
  <c r="I86" i="10" s="1"/>
  <c r="L85" i="10"/>
  <c r="B86" i="10" s="1"/>
  <c r="H86" i="10" s="1"/>
  <c r="M80" i="9"/>
  <c r="C81" i="9" s="1"/>
  <c r="I81" i="9" s="1"/>
  <c r="L80" i="9"/>
  <c r="B81" i="9" s="1"/>
  <c r="H81" i="9" s="1"/>
  <c r="N80" i="9"/>
  <c r="D81" i="9" s="1"/>
  <c r="J81" i="9" s="1"/>
  <c r="K77" i="8" a="1"/>
  <c r="K77" i="8" s="1"/>
  <c r="N80" i="7"/>
  <c r="D81" i="7" s="1"/>
  <c r="J81" i="7" s="1"/>
  <c r="M80" i="7"/>
  <c r="C81" i="7" s="1"/>
  <c r="I81" i="7" s="1"/>
  <c r="L80" i="7"/>
  <c r="B81" i="7" s="1"/>
  <c r="H81" i="7" s="1"/>
  <c r="K81" i="7" s="1" a="1"/>
  <c r="K81" i="7" s="1"/>
  <c r="N78" i="4"/>
  <c r="D79" i="4" s="1"/>
  <c r="J79" i="4" s="1"/>
  <c r="M78" i="4"/>
  <c r="C79" i="4" s="1"/>
  <c r="I79" i="4" s="1"/>
  <c r="L78" i="4"/>
  <c r="B79" i="4" s="1"/>
  <c r="H79" i="4" s="1"/>
  <c r="K79" i="4" s="1" a="1"/>
  <c r="K79" i="4" s="1"/>
  <c r="L65" i="2"/>
  <c r="B66" i="2" s="1"/>
  <c r="H66" i="2" s="1"/>
  <c r="M65" i="2"/>
  <c r="C66" i="2" s="1"/>
  <c r="I66" i="2" s="1"/>
  <c r="N65" i="2"/>
  <c r="D66" i="2" s="1"/>
  <c r="J66" i="2" s="1"/>
  <c r="K80" i="11" l="1" a="1"/>
  <c r="K80" i="11" s="1"/>
  <c r="K86" i="10" a="1"/>
  <c r="K86" i="10" s="1"/>
  <c r="K81" i="9" a="1"/>
  <c r="K81" i="9" s="1"/>
  <c r="N77" i="8"/>
  <c r="D78" i="8" s="1"/>
  <c r="J78" i="8" s="1"/>
  <c r="M77" i="8"/>
  <c r="C78" i="8" s="1"/>
  <c r="I78" i="8" s="1"/>
  <c r="L77" i="8"/>
  <c r="B78" i="8" s="1"/>
  <c r="H78" i="8" s="1"/>
  <c r="L81" i="7"/>
  <c r="B82" i="7" s="1"/>
  <c r="H82" i="7" s="1"/>
  <c r="N81" i="7"/>
  <c r="D82" i="7" s="1"/>
  <c r="J82" i="7" s="1"/>
  <c r="M81" i="7"/>
  <c r="C82" i="7" s="1"/>
  <c r="I82" i="7" s="1"/>
  <c r="N79" i="4"/>
  <c r="D80" i="4" s="1"/>
  <c r="J80" i="4" s="1"/>
  <c r="M79" i="4"/>
  <c r="C80" i="4" s="1"/>
  <c r="I80" i="4" s="1"/>
  <c r="L79" i="4"/>
  <c r="B80" i="4" s="1"/>
  <c r="H80" i="4" s="1"/>
  <c r="K80" i="4" s="1" a="1"/>
  <c r="K80" i="4" s="1"/>
  <c r="K66" i="2" a="1"/>
  <c r="K66" i="2" s="1"/>
  <c r="M66" i="2" s="1"/>
  <c r="C67" i="2" s="1"/>
  <c r="I67" i="2" s="1"/>
  <c r="M80" i="11" l="1"/>
  <c r="C81" i="11" s="1"/>
  <c r="I81" i="11" s="1"/>
  <c r="L80" i="11"/>
  <c r="B81" i="11" s="1"/>
  <c r="H81" i="11" s="1"/>
  <c r="N80" i="11"/>
  <c r="D81" i="11" s="1"/>
  <c r="J81" i="11" s="1"/>
  <c r="L86" i="10"/>
  <c r="B87" i="10" s="1"/>
  <c r="H87" i="10" s="1"/>
  <c r="N86" i="10"/>
  <c r="D87" i="10" s="1"/>
  <c r="J87" i="10" s="1"/>
  <c r="M86" i="10"/>
  <c r="C87" i="10" s="1"/>
  <c r="I87" i="10" s="1"/>
  <c r="N81" i="9"/>
  <c r="D82" i="9" s="1"/>
  <c r="J82" i="9" s="1"/>
  <c r="M81" i="9"/>
  <c r="C82" i="9" s="1"/>
  <c r="I82" i="9" s="1"/>
  <c r="L81" i="9"/>
  <c r="B82" i="9" s="1"/>
  <c r="H82" i="9" s="1"/>
  <c r="K82" i="9" s="1" a="1"/>
  <c r="K82" i="9" s="1"/>
  <c r="K78" i="8" a="1"/>
  <c r="K78" i="8" s="1"/>
  <c r="K82" i="7" a="1"/>
  <c r="K82" i="7" s="1"/>
  <c r="N80" i="4"/>
  <c r="D81" i="4" s="1"/>
  <c r="J81" i="4" s="1"/>
  <c r="L80" i="4"/>
  <c r="B81" i="4" s="1"/>
  <c r="H81" i="4" s="1"/>
  <c r="M80" i="4"/>
  <c r="C81" i="4" s="1"/>
  <c r="I81" i="4" s="1"/>
  <c r="N66" i="2"/>
  <c r="D67" i="2" s="1"/>
  <c r="J67" i="2" s="1"/>
  <c r="L66" i="2"/>
  <c r="B67" i="2" s="1"/>
  <c r="K81" i="11" l="1" a="1"/>
  <c r="K81" i="11" s="1"/>
  <c r="K87" i="10" a="1"/>
  <c r="K87" i="10" s="1"/>
  <c r="N82" i="9"/>
  <c r="D83" i="9" s="1"/>
  <c r="J83" i="9" s="1"/>
  <c r="M82" i="9"/>
  <c r="C83" i="9" s="1"/>
  <c r="I83" i="9" s="1"/>
  <c r="L82" i="9"/>
  <c r="B83" i="9" s="1"/>
  <c r="H83" i="9" s="1"/>
  <c r="N78" i="8"/>
  <c r="D79" i="8" s="1"/>
  <c r="J79" i="8" s="1"/>
  <c r="M78" i="8"/>
  <c r="C79" i="8" s="1"/>
  <c r="I79" i="8" s="1"/>
  <c r="L78" i="8"/>
  <c r="B79" i="8" s="1"/>
  <c r="H79" i="8" s="1"/>
  <c r="M82" i="7"/>
  <c r="C83" i="7" s="1"/>
  <c r="I83" i="7" s="1"/>
  <c r="L82" i="7"/>
  <c r="B83" i="7" s="1"/>
  <c r="H83" i="7" s="1"/>
  <c r="N82" i="7"/>
  <c r="D83" i="7" s="1"/>
  <c r="J83" i="7" s="1"/>
  <c r="K81" i="4" a="1"/>
  <c r="K81" i="4" s="1"/>
  <c r="H67" i="2"/>
  <c r="K67" i="2" s="1" a="1"/>
  <c r="K67" i="2" s="1"/>
  <c r="L67" i="2" s="1"/>
  <c r="B68" i="2" s="1"/>
  <c r="H68" i="2" s="1"/>
  <c r="N81" i="11" l="1"/>
  <c r="D82" i="11" s="1"/>
  <c r="J82" i="11" s="1"/>
  <c r="L81" i="11"/>
  <c r="B82" i="11" s="1"/>
  <c r="H82" i="11" s="1"/>
  <c r="K82" i="11" s="1" a="1"/>
  <c r="K82" i="11" s="1"/>
  <c r="M81" i="11"/>
  <c r="C82" i="11" s="1"/>
  <c r="I82" i="11" s="1"/>
  <c r="M87" i="10"/>
  <c r="C88" i="10" s="1"/>
  <c r="I88" i="10" s="1"/>
  <c r="L87" i="10"/>
  <c r="B88" i="10" s="1"/>
  <c r="H88" i="10" s="1"/>
  <c r="N87" i="10"/>
  <c r="D88" i="10" s="1"/>
  <c r="J88" i="10" s="1"/>
  <c r="K83" i="9" a="1"/>
  <c r="K83" i="9" s="1"/>
  <c r="K79" i="8" a="1"/>
  <c r="K79" i="8" s="1"/>
  <c r="K83" i="7" a="1"/>
  <c r="K83" i="7" s="1"/>
  <c r="M81" i="4"/>
  <c r="C82" i="4" s="1"/>
  <c r="I82" i="4" s="1"/>
  <c r="L81" i="4"/>
  <c r="B82" i="4" s="1"/>
  <c r="H82" i="4" s="1"/>
  <c r="N81" i="4"/>
  <c r="D82" i="4" s="1"/>
  <c r="J82" i="4" s="1"/>
  <c r="N67" i="2"/>
  <c r="D68" i="2" s="1"/>
  <c r="J68" i="2" s="1"/>
  <c r="M67" i="2"/>
  <c r="C68" i="2" s="1"/>
  <c r="I68" i="2" s="1"/>
  <c r="L82" i="11" l="1"/>
  <c r="B83" i="11" s="1"/>
  <c r="H83" i="11" s="1"/>
  <c r="N82" i="11"/>
  <c r="D83" i="11" s="1"/>
  <c r="J83" i="11" s="1"/>
  <c r="M82" i="11"/>
  <c r="C83" i="11" s="1"/>
  <c r="I83" i="11" s="1"/>
  <c r="K88" i="10" a="1"/>
  <c r="K88" i="10" s="1"/>
  <c r="N83" i="9"/>
  <c r="D84" i="9" s="1"/>
  <c r="J84" i="9" s="1"/>
  <c r="M83" i="9"/>
  <c r="C84" i="9" s="1"/>
  <c r="I84" i="9" s="1"/>
  <c r="L83" i="9"/>
  <c r="B84" i="9" s="1"/>
  <c r="H84" i="9" s="1"/>
  <c r="N79" i="8"/>
  <c r="D80" i="8" s="1"/>
  <c r="J80" i="8" s="1"/>
  <c r="M79" i="8"/>
  <c r="C80" i="8" s="1"/>
  <c r="I80" i="8" s="1"/>
  <c r="L79" i="8"/>
  <c r="B80" i="8" s="1"/>
  <c r="H80" i="8" s="1"/>
  <c r="N83" i="7"/>
  <c r="D84" i="7" s="1"/>
  <c r="J84" i="7" s="1"/>
  <c r="M83" i="7"/>
  <c r="C84" i="7" s="1"/>
  <c r="I84" i="7" s="1"/>
  <c r="L83" i="7"/>
  <c r="B84" i="7" s="1"/>
  <c r="H84" i="7" s="1"/>
  <c r="K82" i="4" a="1"/>
  <c r="K82" i="4" s="1"/>
  <c r="K68" i="2" a="1"/>
  <c r="K68" i="2" s="1"/>
  <c r="M68" i="2" s="1"/>
  <c r="C69" i="2" s="1"/>
  <c r="I69" i="2" s="1"/>
  <c r="N68" i="2"/>
  <c r="D69" i="2" s="1"/>
  <c r="J69" i="2" s="1"/>
  <c r="L68" i="2"/>
  <c r="B69" i="2" s="1"/>
  <c r="H69" i="2" s="1"/>
  <c r="K83" i="11" l="1" a="1"/>
  <c r="K83" i="11" s="1"/>
  <c r="N88" i="10"/>
  <c r="D89" i="10" s="1"/>
  <c r="J89" i="10" s="1"/>
  <c r="M88" i="10"/>
  <c r="C89" i="10" s="1"/>
  <c r="I89" i="10" s="1"/>
  <c r="L88" i="10"/>
  <c r="B89" i="10" s="1"/>
  <c r="H89" i="10" s="1"/>
  <c r="K84" i="9" a="1"/>
  <c r="K84" i="9" s="1"/>
  <c r="K80" i="8" a="1"/>
  <c r="K80" i="8" s="1"/>
  <c r="K84" i="7" a="1"/>
  <c r="K84" i="7" s="1"/>
  <c r="N82" i="4"/>
  <c r="D83" i="4" s="1"/>
  <c r="J83" i="4" s="1"/>
  <c r="M82" i="4"/>
  <c r="C83" i="4" s="1"/>
  <c r="I83" i="4" s="1"/>
  <c r="L82" i="4"/>
  <c r="B83" i="4" s="1"/>
  <c r="H83" i="4" s="1"/>
  <c r="K69" i="2" a="1"/>
  <c r="K69" i="2" s="1"/>
  <c r="L69" i="2" s="1"/>
  <c r="B70" i="2" s="1"/>
  <c r="H70" i="2" s="1"/>
  <c r="L83" i="11" l="1"/>
  <c r="B84" i="11" s="1"/>
  <c r="H84" i="11" s="1"/>
  <c r="M83" i="11"/>
  <c r="C84" i="11" s="1"/>
  <c r="I84" i="11" s="1"/>
  <c r="N83" i="11"/>
  <c r="D84" i="11" s="1"/>
  <c r="J84" i="11" s="1"/>
  <c r="K89" i="10" a="1"/>
  <c r="K89" i="10" s="1"/>
  <c r="N84" i="9"/>
  <c r="D85" i="9" s="1"/>
  <c r="J85" i="9" s="1"/>
  <c r="M84" i="9"/>
  <c r="C85" i="9" s="1"/>
  <c r="I85" i="9" s="1"/>
  <c r="L84" i="9"/>
  <c r="B85" i="9" s="1"/>
  <c r="H85" i="9" s="1"/>
  <c r="N80" i="8"/>
  <c r="D81" i="8" s="1"/>
  <c r="J81" i="8" s="1"/>
  <c r="M80" i="8"/>
  <c r="C81" i="8" s="1"/>
  <c r="I81" i="8" s="1"/>
  <c r="L80" i="8"/>
  <c r="B81" i="8" s="1"/>
  <c r="H81" i="8" s="1"/>
  <c r="N84" i="7"/>
  <c r="D85" i="7" s="1"/>
  <c r="J85" i="7" s="1"/>
  <c r="M84" i="7"/>
  <c r="C85" i="7" s="1"/>
  <c r="I85" i="7" s="1"/>
  <c r="L84" i="7"/>
  <c r="B85" i="7" s="1"/>
  <c r="H85" i="7" s="1"/>
  <c r="K85" i="7" s="1" a="1"/>
  <c r="K85" i="7" s="1"/>
  <c r="K83" i="4" a="1"/>
  <c r="K83" i="4" s="1"/>
  <c r="N69" i="2"/>
  <c r="D70" i="2" s="1"/>
  <c r="J70" i="2" s="1"/>
  <c r="M69" i="2"/>
  <c r="C70" i="2" s="1"/>
  <c r="I70" i="2" s="1"/>
  <c r="K84" i="11" l="1" a="1"/>
  <c r="K84" i="11" s="1"/>
  <c r="N89" i="10"/>
  <c r="D90" i="10" s="1"/>
  <c r="J90" i="10" s="1"/>
  <c r="M89" i="10"/>
  <c r="C90" i="10" s="1"/>
  <c r="I90" i="10" s="1"/>
  <c r="L89" i="10"/>
  <c r="B90" i="10" s="1"/>
  <c r="H90" i="10" s="1"/>
  <c r="K90" i="10" s="1" a="1"/>
  <c r="K90" i="10" s="1"/>
  <c r="K85" i="9" a="1"/>
  <c r="K85" i="9" s="1"/>
  <c r="K81" i="8" a="1"/>
  <c r="K81" i="8" s="1"/>
  <c r="N85" i="7"/>
  <c r="D86" i="7" s="1"/>
  <c r="J86" i="7" s="1"/>
  <c r="M85" i="7"/>
  <c r="C86" i="7" s="1"/>
  <c r="I86" i="7" s="1"/>
  <c r="L85" i="7"/>
  <c r="B86" i="7" s="1"/>
  <c r="H86" i="7" s="1"/>
  <c r="N83" i="4"/>
  <c r="D84" i="4" s="1"/>
  <c r="J84" i="4" s="1"/>
  <c r="M83" i="4"/>
  <c r="C84" i="4" s="1"/>
  <c r="I84" i="4" s="1"/>
  <c r="L83" i="4"/>
  <c r="B84" i="4" s="1"/>
  <c r="H84" i="4" s="1"/>
  <c r="K70" i="2" a="1"/>
  <c r="K70" i="2" s="1"/>
  <c r="L70" i="2" s="1"/>
  <c r="B71" i="2" s="1"/>
  <c r="H71" i="2" s="1"/>
  <c r="M84" i="11" l="1"/>
  <c r="C85" i="11" s="1"/>
  <c r="I85" i="11" s="1"/>
  <c r="L84" i="11"/>
  <c r="B85" i="11" s="1"/>
  <c r="H85" i="11" s="1"/>
  <c r="N84" i="11"/>
  <c r="D85" i="11" s="1"/>
  <c r="J85" i="11" s="1"/>
  <c r="N90" i="10"/>
  <c r="D91" i="10" s="1"/>
  <c r="J91" i="10" s="1"/>
  <c r="L90" i="10"/>
  <c r="B91" i="10" s="1"/>
  <c r="H91" i="10" s="1"/>
  <c r="M90" i="10"/>
  <c r="C91" i="10" s="1"/>
  <c r="I91" i="10" s="1"/>
  <c r="N85" i="9"/>
  <c r="D86" i="9" s="1"/>
  <c r="J86" i="9" s="1"/>
  <c r="M85" i="9"/>
  <c r="C86" i="9" s="1"/>
  <c r="I86" i="9" s="1"/>
  <c r="L85" i="9"/>
  <c r="B86" i="9" s="1"/>
  <c r="H86" i="9" s="1"/>
  <c r="N81" i="8"/>
  <c r="D82" i="8" s="1"/>
  <c r="J82" i="8" s="1"/>
  <c r="M81" i="8"/>
  <c r="C82" i="8" s="1"/>
  <c r="I82" i="8" s="1"/>
  <c r="L81" i="8"/>
  <c r="B82" i="8" s="1"/>
  <c r="H82" i="8" s="1"/>
  <c r="K82" i="8" s="1" a="1"/>
  <c r="K82" i="8" s="1"/>
  <c r="K86" i="7" a="1"/>
  <c r="K86" i="7" s="1"/>
  <c r="K84" i="4" a="1"/>
  <c r="K84" i="4" s="1"/>
  <c r="N70" i="2"/>
  <c r="D71" i="2" s="1"/>
  <c r="J71" i="2" s="1"/>
  <c r="M70" i="2"/>
  <c r="C71" i="2" s="1"/>
  <c r="I71" i="2" s="1"/>
  <c r="K85" i="11" l="1" a="1"/>
  <c r="K85" i="11" s="1"/>
  <c r="K91" i="10" a="1"/>
  <c r="K91" i="10" s="1"/>
  <c r="K86" i="9" a="1"/>
  <c r="K86" i="9" s="1"/>
  <c r="L82" i="8"/>
  <c r="B83" i="8" s="1"/>
  <c r="H83" i="8" s="1"/>
  <c r="N82" i="8"/>
  <c r="D83" i="8" s="1"/>
  <c r="J83" i="8" s="1"/>
  <c r="M82" i="8"/>
  <c r="C83" i="8" s="1"/>
  <c r="I83" i="8" s="1"/>
  <c r="N86" i="7"/>
  <c r="D87" i="7" s="1"/>
  <c r="J87" i="7" s="1"/>
  <c r="M86" i="7"/>
  <c r="C87" i="7" s="1"/>
  <c r="I87" i="7" s="1"/>
  <c r="L86" i="7"/>
  <c r="B87" i="7" s="1"/>
  <c r="H87" i="7" s="1"/>
  <c r="K87" i="7" s="1" a="1"/>
  <c r="K87" i="7" s="1"/>
  <c r="N84" i="4"/>
  <c r="D85" i="4" s="1"/>
  <c r="J85" i="4" s="1"/>
  <c r="M84" i="4"/>
  <c r="C85" i="4" s="1"/>
  <c r="I85" i="4" s="1"/>
  <c r="L84" i="4"/>
  <c r="B85" i="4" s="1"/>
  <c r="H85" i="4" s="1"/>
  <c r="K85" i="4" s="1" a="1"/>
  <c r="K85" i="4" s="1"/>
  <c r="K71" i="2" a="1"/>
  <c r="K71" i="2" s="1"/>
  <c r="L71" i="2" s="1"/>
  <c r="B72" i="2" s="1"/>
  <c r="H72" i="2" s="1"/>
  <c r="M71" i="2"/>
  <c r="C72" i="2" s="1"/>
  <c r="I72" i="2" s="1"/>
  <c r="N71" i="2"/>
  <c r="D72" i="2" s="1"/>
  <c r="J72" i="2" s="1"/>
  <c r="N85" i="11" l="1"/>
  <c r="D86" i="11" s="1"/>
  <c r="J86" i="11" s="1"/>
  <c r="M85" i="11"/>
  <c r="C86" i="11" s="1"/>
  <c r="I86" i="11" s="1"/>
  <c r="L85" i="11"/>
  <c r="B86" i="11" s="1"/>
  <c r="H86" i="11" s="1"/>
  <c r="K86" i="11" s="1" a="1"/>
  <c r="K86" i="11" s="1"/>
  <c r="N91" i="10"/>
  <c r="D92" i="10" s="1"/>
  <c r="J92" i="10" s="1"/>
  <c r="M91" i="10"/>
  <c r="C92" i="10" s="1"/>
  <c r="I92" i="10" s="1"/>
  <c r="L91" i="10"/>
  <c r="B92" i="10" s="1"/>
  <c r="H92" i="10" s="1"/>
  <c r="K92" i="10" s="1" a="1"/>
  <c r="K92" i="10" s="1"/>
  <c r="N86" i="9"/>
  <c r="D87" i="9" s="1"/>
  <c r="J87" i="9" s="1"/>
  <c r="M86" i="9"/>
  <c r="C87" i="9" s="1"/>
  <c r="I87" i="9" s="1"/>
  <c r="L86" i="9"/>
  <c r="B87" i="9" s="1"/>
  <c r="H87" i="9" s="1"/>
  <c r="K83" i="8" a="1"/>
  <c r="K83" i="8" s="1"/>
  <c r="N87" i="7"/>
  <c r="D88" i="7" s="1"/>
  <c r="J88" i="7" s="1"/>
  <c r="M87" i="7"/>
  <c r="C88" i="7" s="1"/>
  <c r="I88" i="7" s="1"/>
  <c r="L87" i="7"/>
  <c r="B88" i="7" s="1"/>
  <c r="H88" i="7" s="1"/>
  <c r="N85" i="4"/>
  <c r="D86" i="4" s="1"/>
  <c r="J86" i="4" s="1"/>
  <c r="M85" i="4"/>
  <c r="C86" i="4" s="1"/>
  <c r="I86" i="4" s="1"/>
  <c r="L85" i="4"/>
  <c r="B86" i="4" s="1"/>
  <c r="H86" i="4" s="1"/>
  <c r="K72" i="2" a="1"/>
  <c r="K72" i="2" s="1"/>
  <c r="N86" i="11" l="1"/>
  <c r="D87" i="11" s="1"/>
  <c r="J87" i="11" s="1"/>
  <c r="M86" i="11"/>
  <c r="C87" i="11" s="1"/>
  <c r="I87" i="11" s="1"/>
  <c r="L86" i="11"/>
  <c r="B87" i="11" s="1"/>
  <c r="H87" i="11" s="1"/>
  <c r="K87" i="11" s="1" a="1"/>
  <c r="K87" i="11" s="1"/>
  <c r="M92" i="10"/>
  <c r="C93" i="10" s="1"/>
  <c r="I93" i="10" s="1"/>
  <c r="N92" i="10"/>
  <c r="D93" i="10" s="1"/>
  <c r="J93" i="10" s="1"/>
  <c r="L92" i="10"/>
  <c r="B93" i="10" s="1"/>
  <c r="H93" i="10" s="1"/>
  <c r="K93" i="10" s="1" a="1"/>
  <c r="K93" i="10" s="1"/>
  <c r="K87" i="9" a="1"/>
  <c r="K87" i="9" s="1"/>
  <c r="N83" i="8"/>
  <c r="D84" i="8" s="1"/>
  <c r="J84" i="8" s="1"/>
  <c r="M83" i="8"/>
  <c r="C84" i="8" s="1"/>
  <c r="I84" i="8" s="1"/>
  <c r="L83" i="8"/>
  <c r="B84" i="8" s="1"/>
  <c r="H84" i="8" s="1"/>
  <c r="K88" i="7" a="1"/>
  <c r="K88" i="7" s="1"/>
  <c r="K86" i="4" a="1"/>
  <c r="K86" i="4" s="1"/>
  <c r="N72" i="2"/>
  <c r="D73" i="2" s="1"/>
  <c r="J73" i="2" s="1"/>
  <c r="L72" i="2"/>
  <c r="B73" i="2" s="1"/>
  <c r="H73" i="2" s="1"/>
  <c r="M72" i="2"/>
  <c r="C73" i="2" s="1"/>
  <c r="I73" i="2" s="1"/>
  <c r="N87" i="11" l="1"/>
  <c r="D88" i="11" s="1"/>
  <c r="J88" i="11" s="1"/>
  <c r="M87" i="11"/>
  <c r="C88" i="11" s="1"/>
  <c r="I88" i="11" s="1"/>
  <c r="L87" i="11"/>
  <c r="B88" i="11" s="1"/>
  <c r="H88" i="11" s="1"/>
  <c r="K88" i="11" s="1" a="1"/>
  <c r="K88" i="11" s="1"/>
  <c r="N93" i="10"/>
  <c r="D94" i="10" s="1"/>
  <c r="J94" i="10" s="1"/>
  <c r="M93" i="10"/>
  <c r="C94" i="10" s="1"/>
  <c r="I94" i="10" s="1"/>
  <c r="L93" i="10"/>
  <c r="B94" i="10" s="1"/>
  <c r="H94" i="10" s="1"/>
  <c r="K94" i="10" s="1" a="1"/>
  <c r="K94" i="10" s="1"/>
  <c r="N87" i="9"/>
  <c r="D88" i="9" s="1"/>
  <c r="J88" i="9" s="1"/>
  <c r="M87" i="9"/>
  <c r="C88" i="9" s="1"/>
  <c r="I88" i="9" s="1"/>
  <c r="L87" i="9"/>
  <c r="B88" i="9" s="1"/>
  <c r="H88" i="9" s="1"/>
  <c r="K84" i="8" a="1"/>
  <c r="K84" i="8" s="1"/>
  <c r="N88" i="7"/>
  <c r="D89" i="7" s="1"/>
  <c r="J89" i="7" s="1"/>
  <c r="M88" i="7"/>
  <c r="C89" i="7" s="1"/>
  <c r="I89" i="7" s="1"/>
  <c r="L88" i="7"/>
  <c r="B89" i="7" s="1"/>
  <c r="H89" i="7" s="1"/>
  <c r="K89" i="7" s="1" a="1"/>
  <c r="K89" i="7" s="1"/>
  <c r="N86" i="4"/>
  <c r="D87" i="4" s="1"/>
  <c r="J87" i="4" s="1"/>
  <c r="M86" i="4"/>
  <c r="C87" i="4" s="1"/>
  <c r="I87" i="4" s="1"/>
  <c r="L86" i="4"/>
  <c r="B87" i="4" s="1"/>
  <c r="H87" i="4" s="1"/>
  <c r="K87" i="4" s="1" a="1"/>
  <c r="K87" i="4" s="1"/>
  <c r="K73" i="2" a="1"/>
  <c r="K73" i="2" s="1"/>
  <c r="N88" i="11" l="1"/>
  <c r="D89" i="11" s="1"/>
  <c r="J89" i="11" s="1"/>
  <c r="M88" i="11"/>
  <c r="C89" i="11" s="1"/>
  <c r="I89" i="11" s="1"/>
  <c r="L88" i="11"/>
  <c r="B89" i="11" s="1"/>
  <c r="H89" i="11" s="1"/>
  <c r="K89" i="11" s="1" a="1"/>
  <c r="K89" i="11" s="1"/>
  <c r="L94" i="10"/>
  <c r="B95" i="10" s="1"/>
  <c r="H95" i="10" s="1"/>
  <c r="N94" i="10"/>
  <c r="D95" i="10" s="1"/>
  <c r="J95" i="10" s="1"/>
  <c r="M94" i="10"/>
  <c r="C95" i="10" s="1"/>
  <c r="I95" i="10" s="1"/>
  <c r="K88" i="9" a="1"/>
  <c r="K88" i="9" s="1"/>
  <c r="L84" i="8"/>
  <c r="B85" i="8" s="1"/>
  <c r="H85" i="8" s="1"/>
  <c r="K85" i="8" s="1" a="1"/>
  <c r="K85" i="8" s="1"/>
  <c r="N84" i="8"/>
  <c r="D85" i="8" s="1"/>
  <c r="J85" i="8" s="1"/>
  <c r="M84" i="8"/>
  <c r="C85" i="8" s="1"/>
  <c r="I85" i="8" s="1"/>
  <c r="N89" i="7"/>
  <c r="D90" i="7" s="1"/>
  <c r="J90" i="7" s="1"/>
  <c r="M89" i="7"/>
  <c r="C90" i="7" s="1"/>
  <c r="I90" i="7" s="1"/>
  <c r="L89" i="7"/>
  <c r="B90" i="7" s="1"/>
  <c r="H90" i="7" s="1"/>
  <c r="K90" i="7" s="1" a="1"/>
  <c r="K90" i="7" s="1"/>
  <c r="N87" i="4"/>
  <c r="D88" i="4" s="1"/>
  <c r="J88" i="4" s="1"/>
  <c r="M87" i="4"/>
  <c r="C88" i="4" s="1"/>
  <c r="I88" i="4" s="1"/>
  <c r="L87" i="4"/>
  <c r="B88" i="4" s="1"/>
  <c r="H88" i="4" s="1"/>
  <c r="K88" i="4" s="1" a="1"/>
  <c r="K88" i="4" s="1"/>
  <c r="M73" i="2"/>
  <c r="C74" i="2" s="1"/>
  <c r="I74" i="2" s="1"/>
  <c r="N73" i="2"/>
  <c r="D74" i="2" s="1"/>
  <c r="J74" i="2" s="1"/>
  <c r="L73" i="2"/>
  <c r="B74" i="2" s="1"/>
  <c r="H74" i="2" s="1"/>
  <c r="N89" i="11" l="1"/>
  <c r="D90" i="11" s="1"/>
  <c r="J90" i="11" s="1"/>
  <c r="M89" i="11"/>
  <c r="C90" i="11" s="1"/>
  <c r="I90" i="11" s="1"/>
  <c r="L89" i="11"/>
  <c r="B90" i="11" s="1"/>
  <c r="H90" i="11" s="1"/>
  <c r="K90" i="11" s="1" a="1"/>
  <c r="K90" i="11" s="1"/>
  <c r="K95" i="10" a="1"/>
  <c r="K95" i="10" s="1"/>
  <c r="N88" i="9"/>
  <c r="D89" i="9" s="1"/>
  <c r="J89" i="9" s="1"/>
  <c r="M88" i="9"/>
  <c r="C89" i="9" s="1"/>
  <c r="I89" i="9" s="1"/>
  <c r="L88" i="9"/>
  <c r="B89" i="9" s="1"/>
  <c r="H89" i="9" s="1"/>
  <c r="M85" i="8"/>
  <c r="C86" i="8" s="1"/>
  <c r="I86" i="8" s="1"/>
  <c r="L85" i="8"/>
  <c r="B86" i="8" s="1"/>
  <c r="H86" i="8" s="1"/>
  <c r="N85" i="8"/>
  <c r="D86" i="8" s="1"/>
  <c r="J86" i="8" s="1"/>
  <c r="N90" i="7"/>
  <c r="D91" i="7" s="1"/>
  <c r="J91" i="7" s="1"/>
  <c r="M90" i="7"/>
  <c r="C91" i="7" s="1"/>
  <c r="I91" i="7" s="1"/>
  <c r="L90" i="7"/>
  <c r="B91" i="7" s="1"/>
  <c r="H91" i="7" s="1"/>
  <c r="K91" i="7" s="1" a="1"/>
  <c r="K91" i="7" s="1"/>
  <c r="L88" i="4"/>
  <c r="B89" i="4" s="1"/>
  <c r="H89" i="4" s="1"/>
  <c r="N88" i="4"/>
  <c r="D89" i="4" s="1"/>
  <c r="J89" i="4" s="1"/>
  <c r="M88" i="4"/>
  <c r="C89" i="4" s="1"/>
  <c r="I89" i="4" s="1"/>
  <c r="K74" i="2" a="1"/>
  <c r="K74" i="2" s="1"/>
  <c r="L74" i="2" s="1"/>
  <c r="B75" i="2" s="1"/>
  <c r="H75" i="2" s="1"/>
  <c r="N90" i="11" l="1"/>
  <c r="D91" i="11" s="1"/>
  <c r="J91" i="11" s="1"/>
  <c r="M90" i="11"/>
  <c r="C91" i="11" s="1"/>
  <c r="I91" i="11" s="1"/>
  <c r="L90" i="11"/>
  <c r="B91" i="11" s="1"/>
  <c r="H91" i="11" s="1"/>
  <c r="K91" i="11" s="1" a="1"/>
  <c r="K91" i="11" s="1"/>
  <c r="N95" i="10"/>
  <c r="D96" i="10" s="1"/>
  <c r="J96" i="10" s="1"/>
  <c r="M95" i="10"/>
  <c r="C96" i="10" s="1"/>
  <c r="I96" i="10" s="1"/>
  <c r="L95" i="10"/>
  <c r="B96" i="10" s="1"/>
  <c r="H96" i="10" s="1"/>
  <c r="K96" i="10" s="1" a="1"/>
  <c r="K96" i="10" s="1"/>
  <c r="K89" i="9" a="1"/>
  <c r="K89" i="9" s="1"/>
  <c r="K86" i="8" a="1"/>
  <c r="K86" i="8" s="1"/>
  <c r="N91" i="7"/>
  <c r="D92" i="7" s="1"/>
  <c r="J92" i="7" s="1"/>
  <c r="M91" i="7"/>
  <c r="C92" i="7" s="1"/>
  <c r="I92" i="7" s="1"/>
  <c r="L91" i="7"/>
  <c r="B92" i="7" s="1"/>
  <c r="H92" i="7" s="1"/>
  <c r="K92" i="7" s="1" a="1"/>
  <c r="K92" i="7" s="1"/>
  <c r="K89" i="4" a="1"/>
  <c r="K89" i="4" s="1"/>
  <c r="N74" i="2"/>
  <c r="D75" i="2" s="1"/>
  <c r="J75" i="2" s="1"/>
  <c r="M74" i="2"/>
  <c r="C75" i="2" s="1"/>
  <c r="I75" i="2" s="1"/>
  <c r="N91" i="11" l="1"/>
  <c r="D92" i="11" s="1"/>
  <c r="J92" i="11" s="1"/>
  <c r="L91" i="11"/>
  <c r="B92" i="11" s="1"/>
  <c r="H92" i="11" s="1"/>
  <c r="M91" i="11"/>
  <c r="C92" i="11" s="1"/>
  <c r="I92" i="11" s="1"/>
  <c r="N96" i="10"/>
  <c r="D97" i="10" s="1"/>
  <c r="J97" i="10" s="1"/>
  <c r="M96" i="10"/>
  <c r="C97" i="10" s="1"/>
  <c r="I97" i="10" s="1"/>
  <c r="L96" i="10"/>
  <c r="B97" i="10" s="1"/>
  <c r="H97" i="10" s="1"/>
  <c r="N89" i="9"/>
  <c r="D90" i="9" s="1"/>
  <c r="J90" i="9" s="1"/>
  <c r="M89" i="9"/>
  <c r="C90" i="9" s="1"/>
  <c r="I90" i="9" s="1"/>
  <c r="L89" i="9"/>
  <c r="B90" i="9" s="1"/>
  <c r="H90" i="9" s="1"/>
  <c r="N86" i="8"/>
  <c r="D87" i="8" s="1"/>
  <c r="J87" i="8" s="1"/>
  <c r="M86" i="8"/>
  <c r="C87" i="8" s="1"/>
  <c r="I87" i="8" s="1"/>
  <c r="L86" i="8"/>
  <c r="B87" i="8" s="1"/>
  <c r="H87" i="8" s="1"/>
  <c r="K87" i="8" s="1" a="1"/>
  <c r="K87" i="8" s="1"/>
  <c r="N92" i="7"/>
  <c r="D93" i="7" s="1"/>
  <c r="J93" i="7" s="1"/>
  <c r="M92" i="7"/>
  <c r="C93" i="7" s="1"/>
  <c r="I93" i="7" s="1"/>
  <c r="L92" i="7"/>
  <c r="B93" i="7" s="1"/>
  <c r="H93" i="7" s="1"/>
  <c r="K93" i="7" s="1" a="1"/>
  <c r="K93" i="7" s="1"/>
  <c r="M89" i="4"/>
  <c r="C90" i="4" s="1"/>
  <c r="I90" i="4" s="1"/>
  <c r="L89" i="4"/>
  <c r="B90" i="4" s="1"/>
  <c r="H90" i="4" s="1"/>
  <c r="N89" i="4"/>
  <c r="D90" i="4" s="1"/>
  <c r="J90" i="4" s="1"/>
  <c r="K75" i="2" a="1"/>
  <c r="K75" i="2" s="1"/>
  <c r="M75" i="2" s="1"/>
  <c r="C76" i="2" s="1"/>
  <c r="I76" i="2" s="1"/>
  <c r="K92" i="11" l="1" a="1"/>
  <c r="K92" i="11" s="1"/>
  <c r="K97" i="10" a="1"/>
  <c r="K97" i="10" s="1"/>
  <c r="K90" i="9" a="1"/>
  <c r="K90" i="9" s="1"/>
  <c r="N87" i="8"/>
  <c r="D88" i="8" s="1"/>
  <c r="J88" i="8" s="1"/>
  <c r="M87" i="8"/>
  <c r="C88" i="8" s="1"/>
  <c r="I88" i="8" s="1"/>
  <c r="L87" i="8"/>
  <c r="B88" i="8" s="1"/>
  <c r="H88" i="8" s="1"/>
  <c r="K88" i="8" s="1" a="1"/>
  <c r="K88" i="8" s="1"/>
  <c r="N93" i="7"/>
  <c r="D94" i="7" s="1"/>
  <c r="J94" i="7" s="1"/>
  <c r="M93" i="7"/>
  <c r="C94" i="7" s="1"/>
  <c r="I94" i="7" s="1"/>
  <c r="L93" i="7"/>
  <c r="B94" i="7" s="1"/>
  <c r="H94" i="7" s="1"/>
  <c r="K94" i="7" s="1" a="1"/>
  <c r="K94" i="7" s="1"/>
  <c r="K90" i="4" a="1"/>
  <c r="K90" i="4" s="1"/>
  <c r="N75" i="2"/>
  <c r="D76" i="2" s="1"/>
  <c r="J76" i="2" s="1"/>
  <c r="L75" i="2"/>
  <c r="B76" i="2" s="1"/>
  <c r="N92" i="11" l="1"/>
  <c r="D93" i="11" s="1"/>
  <c r="J93" i="11" s="1"/>
  <c r="M92" i="11"/>
  <c r="C93" i="11" s="1"/>
  <c r="I93" i="11" s="1"/>
  <c r="L92" i="11"/>
  <c r="B93" i="11" s="1"/>
  <c r="H93" i="11" s="1"/>
  <c r="N97" i="10"/>
  <c r="D98" i="10" s="1"/>
  <c r="J98" i="10" s="1"/>
  <c r="M97" i="10"/>
  <c r="C98" i="10" s="1"/>
  <c r="I98" i="10" s="1"/>
  <c r="L97" i="10"/>
  <c r="B98" i="10" s="1"/>
  <c r="H98" i="10" s="1"/>
  <c r="K98" i="10" s="1" a="1"/>
  <c r="K98" i="10" s="1"/>
  <c r="L90" i="9"/>
  <c r="B91" i="9" s="1"/>
  <c r="H91" i="9" s="1"/>
  <c r="N90" i="9"/>
  <c r="D91" i="9" s="1"/>
  <c r="J91" i="9" s="1"/>
  <c r="M90" i="9"/>
  <c r="C91" i="9" s="1"/>
  <c r="I91" i="9" s="1"/>
  <c r="N88" i="8"/>
  <c r="D89" i="8" s="1"/>
  <c r="J89" i="8" s="1"/>
  <c r="M88" i="8"/>
  <c r="C89" i="8" s="1"/>
  <c r="I89" i="8" s="1"/>
  <c r="L88" i="8"/>
  <c r="B89" i="8" s="1"/>
  <c r="H89" i="8" s="1"/>
  <c r="N94" i="7"/>
  <c r="D95" i="7" s="1"/>
  <c r="J95" i="7" s="1"/>
  <c r="M94" i="7"/>
  <c r="C95" i="7" s="1"/>
  <c r="I95" i="7" s="1"/>
  <c r="L94" i="7"/>
  <c r="B95" i="7" s="1"/>
  <c r="H95" i="7" s="1"/>
  <c r="N90" i="4"/>
  <c r="D91" i="4" s="1"/>
  <c r="J91" i="4" s="1"/>
  <c r="M90" i="4"/>
  <c r="C91" i="4" s="1"/>
  <c r="I91" i="4" s="1"/>
  <c r="L90" i="4"/>
  <c r="B91" i="4" s="1"/>
  <c r="H91" i="4" s="1"/>
  <c r="K91" i="4" s="1" a="1"/>
  <c r="K91" i="4" s="1"/>
  <c r="H76" i="2"/>
  <c r="K76" i="2" s="1" a="1"/>
  <c r="K76" i="2" s="1"/>
  <c r="K93" i="11" l="1" a="1"/>
  <c r="K93" i="11" s="1"/>
  <c r="L98" i="10"/>
  <c r="B99" i="10" s="1"/>
  <c r="H99" i="10" s="1"/>
  <c r="N98" i="10"/>
  <c r="D99" i="10" s="1"/>
  <c r="J99" i="10" s="1"/>
  <c r="M98" i="10"/>
  <c r="C99" i="10" s="1"/>
  <c r="I99" i="10" s="1"/>
  <c r="K91" i="9" a="1"/>
  <c r="K91" i="9" s="1"/>
  <c r="K89" i="8" a="1"/>
  <c r="K89" i="8" s="1"/>
  <c r="K95" i="7" a="1"/>
  <c r="K95" i="7" s="1"/>
  <c r="N91" i="4"/>
  <c r="D92" i="4" s="1"/>
  <c r="J92" i="4" s="1"/>
  <c r="M91" i="4"/>
  <c r="C92" i="4" s="1"/>
  <c r="I92" i="4" s="1"/>
  <c r="L91" i="4"/>
  <c r="B92" i="4" s="1"/>
  <c r="H92" i="4" s="1"/>
  <c r="K92" i="4" s="1" a="1"/>
  <c r="K92" i="4" s="1"/>
  <c r="L76" i="2"/>
  <c r="B77" i="2" s="1"/>
  <c r="H77" i="2" s="1"/>
  <c r="M76" i="2"/>
  <c r="C77" i="2" s="1"/>
  <c r="I77" i="2" s="1"/>
  <c r="N76" i="2"/>
  <c r="D77" i="2" s="1"/>
  <c r="J77" i="2" s="1"/>
  <c r="L93" i="11" l="1"/>
  <c r="B94" i="11" s="1"/>
  <c r="H94" i="11" s="1"/>
  <c r="K94" i="11" s="1" a="1"/>
  <c r="K94" i="11" s="1"/>
  <c r="M93" i="11"/>
  <c r="C94" i="11" s="1"/>
  <c r="I94" i="11" s="1"/>
  <c r="N93" i="11"/>
  <c r="D94" i="11" s="1"/>
  <c r="J94" i="11" s="1"/>
  <c r="K99" i="10" a="1"/>
  <c r="K99" i="10" s="1"/>
  <c r="L91" i="9"/>
  <c r="B92" i="9" s="1"/>
  <c r="H92" i="9" s="1"/>
  <c r="M91" i="9"/>
  <c r="C92" i="9" s="1"/>
  <c r="I92" i="9" s="1"/>
  <c r="N91" i="9"/>
  <c r="D92" i="9" s="1"/>
  <c r="J92" i="9" s="1"/>
  <c r="N89" i="8"/>
  <c r="D90" i="8" s="1"/>
  <c r="J90" i="8" s="1"/>
  <c r="M89" i="8"/>
  <c r="C90" i="8" s="1"/>
  <c r="I90" i="8" s="1"/>
  <c r="L89" i="8"/>
  <c r="B90" i="8" s="1"/>
  <c r="H90" i="8" s="1"/>
  <c r="N95" i="7"/>
  <c r="D96" i="7" s="1"/>
  <c r="J96" i="7" s="1"/>
  <c r="M95" i="7"/>
  <c r="C96" i="7" s="1"/>
  <c r="I96" i="7" s="1"/>
  <c r="L95" i="7"/>
  <c r="B96" i="7" s="1"/>
  <c r="H96" i="7" s="1"/>
  <c r="N92" i="4"/>
  <c r="D93" i="4" s="1"/>
  <c r="J93" i="4" s="1"/>
  <c r="L92" i="4"/>
  <c r="B93" i="4" s="1"/>
  <c r="H93" i="4" s="1"/>
  <c r="K93" i="4" s="1" a="1"/>
  <c r="K93" i="4" s="1"/>
  <c r="M92" i="4"/>
  <c r="C93" i="4" s="1"/>
  <c r="I93" i="4" s="1"/>
  <c r="K77" i="2" a="1"/>
  <c r="K77" i="2" s="1"/>
  <c r="N77" i="2" s="1"/>
  <c r="D78" i="2" s="1"/>
  <c r="J78" i="2" s="1"/>
  <c r="N94" i="11" l="1"/>
  <c r="D95" i="11" s="1"/>
  <c r="J95" i="11" s="1"/>
  <c r="M94" i="11"/>
  <c r="C95" i="11" s="1"/>
  <c r="I95" i="11" s="1"/>
  <c r="L94" i="11"/>
  <c r="B95" i="11" s="1"/>
  <c r="H95" i="11" s="1"/>
  <c r="M99" i="10"/>
  <c r="C100" i="10" s="1"/>
  <c r="I100" i="10" s="1"/>
  <c r="N99" i="10"/>
  <c r="D100" i="10" s="1"/>
  <c r="J100" i="10" s="1"/>
  <c r="L99" i="10"/>
  <c r="B100" i="10" s="1"/>
  <c r="H100" i="10" s="1"/>
  <c r="K100" i="10" s="1" a="1"/>
  <c r="K100" i="10" s="1"/>
  <c r="K92" i="9" a="1"/>
  <c r="K92" i="9" s="1"/>
  <c r="K90" i="8" a="1"/>
  <c r="K90" i="8" s="1"/>
  <c r="K96" i="7" a="1"/>
  <c r="K96" i="7" s="1"/>
  <c r="N93" i="4"/>
  <c r="D94" i="4" s="1"/>
  <c r="J94" i="4" s="1"/>
  <c r="M93" i="4"/>
  <c r="C94" i="4" s="1"/>
  <c r="I94" i="4" s="1"/>
  <c r="L93" i="4"/>
  <c r="B94" i="4" s="1"/>
  <c r="H94" i="4" s="1"/>
  <c r="M77" i="2"/>
  <c r="C78" i="2" s="1"/>
  <c r="I78" i="2" s="1"/>
  <c r="K78" i="2" s="1" a="1"/>
  <c r="K78" i="2" s="1"/>
  <c r="L78" i="2" s="1"/>
  <c r="B79" i="2" s="1"/>
  <c r="H79" i="2" s="1"/>
  <c r="L77" i="2"/>
  <c r="B78" i="2" s="1"/>
  <c r="H78" i="2" s="1"/>
  <c r="K95" i="11" l="1" a="1"/>
  <c r="K95" i="11" s="1"/>
  <c r="N100" i="10"/>
  <c r="D101" i="10" s="1"/>
  <c r="J101" i="10" s="1"/>
  <c r="M100" i="10"/>
  <c r="C101" i="10" s="1"/>
  <c r="I101" i="10" s="1"/>
  <c r="L100" i="10"/>
  <c r="B101" i="10" s="1"/>
  <c r="H101" i="10" s="1"/>
  <c r="K101" i="10" s="1" a="1"/>
  <c r="K101" i="10" s="1"/>
  <c r="M92" i="9"/>
  <c r="C93" i="9" s="1"/>
  <c r="I93" i="9" s="1"/>
  <c r="L92" i="9"/>
  <c r="B93" i="9" s="1"/>
  <c r="H93" i="9" s="1"/>
  <c r="K93" i="9" s="1" a="1"/>
  <c r="K93" i="9" s="1"/>
  <c r="N92" i="9"/>
  <c r="D93" i="9" s="1"/>
  <c r="J93" i="9" s="1"/>
  <c r="N90" i="8"/>
  <c r="D91" i="8" s="1"/>
  <c r="J91" i="8" s="1"/>
  <c r="M90" i="8"/>
  <c r="C91" i="8" s="1"/>
  <c r="I91" i="8" s="1"/>
  <c r="L90" i="8"/>
  <c r="B91" i="8" s="1"/>
  <c r="H91" i="8" s="1"/>
  <c r="K91" i="8" s="1" a="1"/>
  <c r="K91" i="8" s="1"/>
  <c r="M96" i="7"/>
  <c r="C97" i="7" s="1"/>
  <c r="I97" i="7" s="1"/>
  <c r="N96" i="7"/>
  <c r="D97" i="7" s="1"/>
  <c r="J97" i="7" s="1"/>
  <c r="L96" i="7"/>
  <c r="B97" i="7" s="1"/>
  <c r="H97" i="7" s="1"/>
  <c r="K97" i="7" s="1" a="1"/>
  <c r="K97" i="7" s="1"/>
  <c r="K94" i="4" a="1"/>
  <c r="K94" i="4" s="1"/>
  <c r="N78" i="2"/>
  <c r="D79" i="2" s="1"/>
  <c r="J79" i="2" s="1"/>
  <c r="M78" i="2"/>
  <c r="C79" i="2" s="1"/>
  <c r="I79" i="2" s="1"/>
  <c r="N95" i="11" l="1"/>
  <c r="D96" i="11" s="1"/>
  <c r="J96" i="11" s="1"/>
  <c r="M95" i="11"/>
  <c r="C96" i="11" s="1"/>
  <c r="I96" i="11" s="1"/>
  <c r="L95" i="11"/>
  <c r="B96" i="11" s="1"/>
  <c r="H96" i="11" s="1"/>
  <c r="K96" i="11" s="1" a="1"/>
  <c r="K96" i="11" s="1"/>
  <c r="N101" i="10"/>
  <c r="D102" i="10" s="1"/>
  <c r="J102" i="10" s="1"/>
  <c r="M101" i="10"/>
  <c r="C102" i="10" s="1"/>
  <c r="I102" i="10" s="1"/>
  <c r="L101" i="10"/>
  <c r="B102" i="10" s="1"/>
  <c r="H102" i="10" s="1"/>
  <c r="K102" i="10" s="1" a="1"/>
  <c r="K102" i="10" s="1"/>
  <c r="N93" i="9"/>
  <c r="D94" i="9" s="1"/>
  <c r="J94" i="9" s="1"/>
  <c r="M93" i="9"/>
  <c r="C94" i="9" s="1"/>
  <c r="I94" i="9" s="1"/>
  <c r="L93" i="9"/>
  <c r="B94" i="9" s="1"/>
  <c r="H94" i="9" s="1"/>
  <c r="K94" i="9" s="1" a="1"/>
  <c r="K94" i="9" s="1"/>
  <c r="N91" i="8"/>
  <c r="D92" i="8" s="1"/>
  <c r="J92" i="8" s="1"/>
  <c r="M91" i="8"/>
  <c r="C92" i="8" s="1"/>
  <c r="I92" i="8" s="1"/>
  <c r="L91" i="8"/>
  <c r="B92" i="8" s="1"/>
  <c r="H92" i="8" s="1"/>
  <c r="K92" i="8" s="1" a="1"/>
  <c r="K92" i="8" s="1"/>
  <c r="N97" i="7"/>
  <c r="D98" i="7" s="1"/>
  <c r="J98" i="7" s="1"/>
  <c r="M97" i="7"/>
  <c r="C98" i="7" s="1"/>
  <c r="I98" i="7" s="1"/>
  <c r="L97" i="7"/>
  <c r="B98" i="7" s="1"/>
  <c r="H98" i="7" s="1"/>
  <c r="M94" i="4"/>
  <c r="C95" i="4" s="1"/>
  <c r="I95" i="4" s="1"/>
  <c r="L94" i="4"/>
  <c r="B95" i="4" s="1"/>
  <c r="H95" i="4" s="1"/>
  <c r="K95" i="4" s="1" a="1"/>
  <c r="K95" i="4" s="1"/>
  <c r="N94" i="4"/>
  <c r="D95" i="4" s="1"/>
  <c r="J95" i="4" s="1"/>
  <c r="K79" i="2" a="1"/>
  <c r="K79" i="2" s="1"/>
  <c r="L96" i="11" l="1"/>
  <c r="B97" i="11" s="1"/>
  <c r="H97" i="11" s="1"/>
  <c r="M96" i="11"/>
  <c r="C97" i="11" s="1"/>
  <c r="I97" i="11" s="1"/>
  <c r="N96" i="11"/>
  <c r="D97" i="11" s="1"/>
  <c r="J97" i="11" s="1"/>
  <c r="N102" i="10"/>
  <c r="D103" i="10" s="1"/>
  <c r="J103" i="10" s="1"/>
  <c r="M102" i="10"/>
  <c r="C103" i="10" s="1"/>
  <c r="I103" i="10" s="1"/>
  <c r="L102" i="10"/>
  <c r="B103" i="10" s="1"/>
  <c r="H103" i="10" s="1"/>
  <c r="K103" i="10" s="1" a="1"/>
  <c r="K103" i="10" s="1"/>
  <c r="N94" i="9"/>
  <c r="D95" i="9" s="1"/>
  <c r="J95" i="9" s="1"/>
  <c r="M94" i="9"/>
  <c r="C95" i="9" s="1"/>
  <c r="I95" i="9" s="1"/>
  <c r="L94" i="9"/>
  <c r="B95" i="9" s="1"/>
  <c r="H95" i="9" s="1"/>
  <c r="M92" i="8"/>
  <c r="C93" i="8" s="1"/>
  <c r="I93" i="8" s="1"/>
  <c r="N92" i="8"/>
  <c r="D93" i="8" s="1"/>
  <c r="J93" i="8" s="1"/>
  <c r="L92" i="8"/>
  <c r="B93" i="8" s="1"/>
  <c r="H93" i="8" s="1"/>
  <c r="K98" i="7" a="1"/>
  <c r="K98" i="7" s="1"/>
  <c r="N95" i="4"/>
  <c r="D96" i="4" s="1"/>
  <c r="J96" i="4" s="1"/>
  <c r="M95" i="4"/>
  <c r="C96" i="4" s="1"/>
  <c r="I96" i="4" s="1"/>
  <c r="L95" i="4"/>
  <c r="B96" i="4" s="1"/>
  <c r="H96" i="4" s="1"/>
  <c r="M79" i="2"/>
  <c r="C80" i="2" s="1"/>
  <c r="I80" i="2" s="1"/>
  <c r="N79" i="2"/>
  <c r="D80" i="2" s="1"/>
  <c r="J80" i="2" s="1"/>
  <c r="L79" i="2"/>
  <c r="B80" i="2" s="1"/>
  <c r="H80" i="2" s="1"/>
  <c r="K97" i="11" l="1" a="1"/>
  <c r="K97" i="11" s="1"/>
  <c r="N103" i="10"/>
  <c r="D104" i="10" s="1"/>
  <c r="J104" i="10" s="1"/>
  <c r="L103" i="10"/>
  <c r="B104" i="10" s="1"/>
  <c r="H104" i="10" s="1"/>
  <c r="M103" i="10"/>
  <c r="C104" i="10" s="1"/>
  <c r="I104" i="10" s="1"/>
  <c r="K95" i="9" a="1"/>
  <c r="K95" i="9" s="1"/>
  <c r="K93" i="8" a="1"/>
  <c r="K93" i="8" s="1"/>
  <c r="M98" i="7"/>
  <c r="C99" i="7" s="1"/>
  <c r="I99" i="7" s="1"/>
  <c r="L98" i="7"/>
  <c r="B99" i="7" s="1"/>
  <c r="H99" i="7" s="1"/>
  <c r="K99" i="7" s="1" a="1"/>
  <c r="K99" i="7" s="1"/>
  <c r="N98" i="7"/>
  <c r="D99" i="7" s="1"/>
  <c r="J99" i="7" s="1"/>
  <c r="K96" i="4" a="1"/>
  <c r="K96" i="4" s="1"/>
  <c r="K80" i="2" a="1"/>
  <c r="K80" i="2" s="1"/>
  <c r="M80" i="2" s="1"/>
  <c r="C81" i="2" s="1"/>
  <c r="I81" i="2" s="1"/>
  <c r="N97" i="11" l="1"/>
  <c r="D98" i="11" s="1"/>
  <c r="J98" i="11" s="1"/>
  <c r="M97" i="11"/>
  <c r="C98" i="11" s="1"/>
  <c r="I98" i="11" s="1"/>
  <c r="L97" i="11"/>
  <c r="B98" i="11" s="1"/>
  <c r="H98" i="11" s="1"/>
  <c r="K98" i="11" s="1" a="1"/>
  <c r="K98" i="11" s="1"/>
  <c r="K104" i="10" a="1"/>
  <c r="K104" i="10" s="1"/>
  <c r="N95" i="9"/>
  <c r="D96" i="9" s="1"/>
  <c r="J96" i="9" s="1"/>
  <c r="M95" i="9"/>
  <c r="C96" i="9" s="1"/>
  <c r="I96" i="9" s="1"/>
  <c r="L95" i="9"/>
  <c r="B96" i="9" s="1"/>
  <c r="H96" i="9" s="1"/>
  <c r="N93" i="8"/>
  <c r="D94" i="8" s="1"/>
  <c r="J94" i="8" s="1"/>
  <c r="L93" i="8"/>
  <c r="B94" i="8" s="1"/>
  <c r="H94" i="8" s="1"/>
  <c r="K94" i="8" s="1" a="1"/>
  <c r="K94" i="8" s="1"/>
  <c r="M93" i="8"/>
  <c r="C94" i="8" s="1"/>
  <c r="I94" i="8" s="1"/>
  <c r="N99" i="7"/>
  <c r="D100" i="7" s="1"/>
  <c r="J100" i="7" s="1"/>
  <c r="M99" i="7"/>
  <c r="C100" i="7" s="1"/>
  <c r="I100" i="7" s="1"/>
  <c r="L99" i="7"/>
  <c r="B100" i="7" s="1"/>
  <c r="H100" i="7" s="1"/>
  <c r="K100" i="7" s="1" a="1"/>
  <c r="K100" i="7" s="1"/>
  <c r="N96" i="4"/>
  <c r="D97" i="4" s="1"/>
  <c r="J97" i="4" s="1"/>
  <c r="M96" i="4"/>
  <c r="C97" i="4" s="1"/>
  <c r="I97" i="4" s="1"/>
  <c r="L96" i="4"/>
  <c r="B97" i="4" s="1"/>
  <c r="H97" i="4" s="1"/>
  <c r="N80" i="2"/>
  <c r="D81" i="2" s="1"/>
  <c r="J81" i="2" s="1"/>
  <c r="L80" i="2"/>
  <c r="B81" i="2" s="1"/>
  <c r="H81" i="2" s="1"/>
  <c r="L98" i="11" l="1"/>
  <c r="B99" i="11" s="1"/>
  <c r="H99" i="11" s="1"/>
  <c r="K99" i="11" s="1" a="1"/>
  <c r="K99" i="11" s="1"/>
  <c r="N98" i="11"/>
  <c r="D99" i="11" s="1"/>
  <c r="J99" i="11" s="1"/>
  <c r="M98" i="11"/>
  <c r="C99" i="11" s="1"/>
  <c r="I99" i="11" s="1"/>
  <c r="M104" i="10"/>
  <c r="C105" i="10" s="1"/>
  <c r="I105" i="10" s="1"/>
  <c r="N104" i="10"/>
  <c r="D105" i="10" s="1"/>
  <c r="J105" i="10" s="1"/>
  <c r="L104" i="10"/>
  <c r="B105" i="10" s="1"/>
  <c r="H105" i="10" s="1"/>
  <c r="K105" i="10" s="1" a="1"/>
  <c r="K105" i="10" s="1"/>
  <c r="K96" i="9" a="1"/>
  <c r="K96" i="9" s="1"/>
  <c r="L94" i="8"/>
  <c r="B95" i="8" s="1"/>
  <c r="H95" i="8" s="1"/>
  <c r="K95" i="8" s="1" a="1"/>
  <c r="K95" i="8" s="1"/>
  <c r="M94" i="8"/>
  <c r="C95" i="8" s="1"/>
  <c r="I95" i="8" s="1"/>
  <c r="N94" i="8"/>
  <c r="D95" i="8" s="1"/>
  <c r="J95" i="8" s="1"/>
  <c r="N100" i="7"/>
  <c r="D101" i="7" s="1"/>
  <c r="J101" i="7" s="1"/>
  <c r="M100" i="7"/>
  <c r="C101" i="7" s="1"/>
  <c r="I101" i="7" s="1"/>
  <c r="L100" i="7"/>
  <c r="B101" i="7" s="1"/>
  <c r="H101" i="7" s="1"/>
  <c r="K101" i="7" s="1" a="1"/>
  <c r="K101" i="7" s="1"/>
  <c r="K97" i="4" a="1"/>
  <c r="K97" i="4" s="1"/>
  <c r="K81" i="2" a="1"/>
  <c r="K81" i="2" s="1"/>
  <c r="M81" i="2" s="1"/>
  <c r="C82" i="2" s="1"/>
  <c r="I82" i="2" s="1"/>
  <c r="M99" i="11" l="1"/>
  <c r="C100" i="11" s="1"/>
  <c r="I100" i="11" s="1"/>
  <c r="L99" i="11"/>
  <c r="B100" i="11" s="1"/>
  <c r="H100" i="11" s="1"/>
  <c r="K100" i="11" s="1" a="1"/>
  <c r="K100" i="11" s="1"/>
  <c r="N99" i="11"/>
  <c r="D100" i="11" s="1"/>
  <c r="J100" i="11" s="1"/>
  <c r="N105" i="10"/>
  <c r="D106" i="10" s="1"/>
  <c r="J106" i="10" s="1"/>
  <c r="M105" i="10"/>
  <c r="C106" i="10" s="1"/>
  <c r="I106" i="10" s="1"/>
  <c r="L105" i="10"/>
  <c r="B106" i="10" s="1"/>
  <c r="H106" i="10" s="1"/>
  <c r="K106" i="10" s="1" a="1"/>
  <c r="K106" i="10" s="1"/>
  <c r="N96" i="9"/>
  <c r="D97" i="9" s="1"/>
  <c r="J97" i="9" s="1"/>
  <c r="M96" i="9"/>
  <c r="C97" i="9" s="1"/>
  <c r="I97" i="9" s="1"/>
  <c r="L96" i="9"/>
  <c r="B97" i="9" s="1"/>
  <c r="H97" i="9" s="1"/>
  <c r="K97" i="9" s="1" a="1"/>
  <c r="K97" i="9" s="1"/>
  <c r="N95" i="8"/>
  <c r="D96" i="8" s="1"/>
  <c r="J96" i="8" s="1"/>
  <c r="M95" i="8"/>
  <c r="C96" i="8" s="1"/>
  <c r="I96" i="8" s="1"/>
  <c r="L95" i="8"/>
  <c r="B96" i="8" s="1"/>
  <c r="H96" i="8" s="1"/>
  <c r="K96" i="8" s="1" a="1"/>
  <c r="K96" i="8" s="1"/>
  <c r="L101" i="7"/>
  <c r="B102" i="7" s="1"/>
  <c r="H102" i="7" s="1"/>
  <c r="N101" i="7"/>
  <c r="D102" i="7" s="1"/>
  <c r="J102" i="7" s="1"/>
  <c r="M101" i="7"/>
  <c r="C102" i="7" s="1"/>
  <c r="I102" i="7" s="1"/>
  <c r="N97" i="4"/>
  <c r="D98" i="4" s="1"/>
  <c r="J98" i="4" s="1"/>
  <c r="L97" i="4"/>
  <c r="B98" i="4" s="1"/>
  <c r="H98" i="4" s="1"/>
  <c r="M97" i="4"/>
  <c r="C98" i="4" s="1"/>
  <c r="I98" i="4" s="1"/>
  <c r="L81" i="2"/>
  <c r="B82" i="2" s="1"/>
  <c r="H82" i="2" s="1"/>
  <c r="N81" i="2"/>
  <c r="D82" i="2" s="1"/>
  <c r="J82" i="2" s="1"/>
  <c r="N100" i="11" l="1"/>
  <c r="D101" i="11" s="1"/>
  <c r="J101" i="11" s="1"/>
  <c r="M100" i="11"/>
  <c r="C101" i="11" s="1"/>
  <c r="I101" i="11" s="1"/>
  <c r="L100" i="11"/>
  <c r="B101" i="11" s="1"/>
  <c r="H101" i="11" s="1"/>
  <c r="K101" i="11" s="1" a="1"/>
  <c r="K101" i="11" s="1"/>
  <c r="M106" i="10"/>
  <c r="C107" i="10" s="1"/>
  <c r="I107" i="10" s="1"/>
  <c r="L106" i="10"/>
  <c r="B107" i="10" s="1"/>
  <c r="H107" i="10" s="1"/>
  <c r="N106" i="10"/>
  <c r="D107" i="10" s="1"/>
  <c r="J107" i="10" s="1"/>
  <c r="L97" i="9"/>
  <c r="B98" i="9" s="1"/>
  <c r="H98" i="9" s="1"/>
  <c r="N97" i="9"/>
  <c r="D98" i="9" s="1"/>
  <c r="J98" i="9" s="1"/>
  <c r="M97" i="9"/>
  <c r="C98" i="9" s="1"/>
  <c r="I98" i="9" s="1"/>
  <c r="N96" i="8"/>
  <c r="D97" i="8" s="1"/>
  <c r="J97" i="8" s="1"/>
  <c r="M96" i="8"/>
  <c r="C97" i="8" s="1"/>
  <c r="I97" i="8" s="1"/>
  <c r="L96" i="8"/>
  <c r="B97" i="8" s="1"/>
  <c r="H97" i="8" s="1"/>
  <c r="K97" i="8" s="1" a="1"/>
  <c r="K97" i="8" s="1"/>
  <c r="K102" i="7" a="1"/>
  <c r="K102" i="7" s="1"/>
  <c r="K98" i="4" a="1"/>
  <c r="K98" i="4" s="1"/>
  <c r="K82" i="2" a="1"/>
  <c r="K82" i="2" s="1"/>
  <c r="L82" i="2" s="1"/>
  <c r="B83" i="2" s="1"/>
  <c r="H83" i="2" s="1"/>
  <c r="L101" i="11" l="1"/>
  <c r="B102" i="11" s="1"/>
  <c r="H102" i="11" s="1"/>
  <c r="N101" i="11"/>
  <c r="D102" i="11" s="1"/>
  <c r="J102" i="11" s="1"/>
  <c r="M101" i="11"/>
  <c r="C102" i="11" s="1"/>
  <c r="I102" i="11" s="1"/>
  <c r="K107" i="10" a="1"/>
  <c r="K107" i="10" s="1"/>
  <c r="K98" i="9" a="1"/>
  <c r="K98" i="9" s="1"/>
  <c r="N97" i="8"/>
  <c r="D98" i="8" s="1"/>
  <c r="J98" i="8" s="1"/>
  <c r="M97" i="8"/>
  <c r="C98" i="8" s="1"/>
  <c r="I98" i="8" s="1"/>
  <c r="L97" i="8"/>
  <c r="B98" i="8" s="1"/>
  <c r="H98" i="8" s="1"/>
  <c r="M102" i="7"/>
  <c r="C103" i="7" s="1"/>
  <c r="I103" i="7" s="1"/>
  <c r="L102" i="7"/>
  <c r="B103" i="7" s="1"/>
  <c r="H103" i="7" s="1"/>
  <c r="N102" i="7"/>
  <c r="D103" i="7" s="1"/>
  <c r="J103" i="7" s="1"/>
  <c r="L98" i="4"/>
  <c r="B99" i="4" s="1"/>
  <c r="H99" i="4" s="1"/>
  <c r="K99" i="4" s="1" a="1"/>
  <c r="K99" i="4" s="1"/>
  <c r="N98" i="4"/>
  <c r="D99" i="4" s="1"/>
  <c r="J99" i="4" s="1"/>
  <c r="M98" i="4"/>
  <c r="C99" i="4" s="1"/>
  <c r="I99" i="4" s="1"/>
  <c r="N82" i="2"/>
  <c r="D83" i="2" s="1"/>
  <c r="J83" i="2" s="1"/>
  <c r="M82" i="2"/>
  <c r="C83" i="2" s="1"/>
  <c r="I83" i="2" s="1"/>
  <c r="K102" i="11" l="1" a="1"/>
  <c r="K102" i="11" s="1"/>
  <c r="N107" i="10"/>
  <c r="D108" i="10" s="1"/>
  <c r="J108" i="10" s="1"/>
  <c r="M107" i="10"/>
  <c r="C108" i="10" s="1"/>
  <c r="I108" i="10" s="1"/>
  <c r="L107" i="10"/>
  <c r="B108" i="10" s="1"/>
  <c r="H108" i="10" s="1"/>
  <c r="K108" i="10" s="1" a="1"/>
  <c r="K108" i="10" s="1"/>
  <c r="L98" i="9"/>
  <c r="B99" i="9" s="1"/>
  <c r="H99" i="9" s="1"/>
  <c r="M98" i="9"/>
  <c r="C99" i="9" s="1"/>
  <c r="I99" i="9" s="1"/>
  <c r="N98" i="9"/>
  <c r="D99" i="9" s="1"/>
  <c r="J99" i="9" s="1"/>
  <c r="K98" i="8" a="1"/>
  <c r="K98" i="8" s="1"/>
  <c r="K103" i="7" a="1"/>
  <c r="K103" i="7" s="1"/>
  <c r="M99" i="4"/>
  <c r="C100" i="4" s="1"/>
  <c r="I100" i="4" s="1"/>
  <c r="L99" i="4"/>
  <c r="B100" i="4" s="1"/>
  <c r="H100" i="4" s="1"/>
  <c r="N99" i="4"/>
  <c r="D100" i="4" s="1"/>
  <c r="J100" i="4" s="1"/>
  <c r="K83" i="2" a="1"/>
  <c r="K83" i="2" s="1"/>
  <c r="M102" i="11" l="1"/>
  <c r="C103" i="11" s="1"/>
  <c r="I103" i="11" s="1"/>
  <c r="L102" i="11"/>
  <c r="B103" i="11" s="1"/>
  <c r="H103" i="11" s="1"/>
  <c r="K103" i="11" s="1" a="1"/>
  <c r="K103" i="11" s="1"/>
  <c r="N102" i="11"/>
  <c r="D103" i="11" s="1"/>
  <c r="J103" i="11" s="1"/>
  <c r="N108" i="10"/>
  <c r="D109" i="10" s="1"/>
  <c r="J109" i="10" s="1"/>
  <c r="M108" i="10"/>
  <c r="C109" i="10" s="1"/>
  <c r="I109" i="10" s="1"/>
  <c r="L108" i="10"/>
  <c r="B109" i="10" s="1"/>
  <c r="H109" i="10" s="1"/>
  <c r="K109" i="10" s="1" a="1"/>
  <c r="K109" i="10" s="1"/>
  <c r="K99" i="9" a="1"/>
  <c r="K99" i="9" s="1"/>
  <c r="L98" i="8"/>
  <c r="B99" i="8" s="1"/>
  <c r="H99" i="8" s="1"/>
  <c r="N98" i="8"/>
  <c r="D99" i="8" s="1"/>
  <c r="J99" i="8" s="1"/>
  <c r="M98" i="8"/>
  <c r="C99" i="8" s="1"/>
  <c r="I99" i="8" s="1"/>
  <c r="N103" i="7"/>
  <c r="D104" i="7" s="1"/>
  <c r="J104" i="7" s="1"/>
  <c r="M103" i="7"/>
  <c r="C104" i="7" s="1"/>
  <c r="I104" i="7" s="1"/>
  <c r="L103" i="7"/>
  <c r="B104" i="7" s="1"/>
  <c r="H104" i="7" s="1"/>
  <c r="K100" i="4" a="1"/>
  <c r="K100" i="4" s="1"/>
  <c r="L83" i="2"/>
  <c r="B84" i="2" s="1"/>
  <c r="N83" i="2"/>
  <c r="D84" i="2" s="1"/>
  <c r="J84" i="2" s="1"/>
  <c r="M83" i="2"/>
  <c r="C84" i="2" s="1"/>
  <c r="I84" i="2" s="1"/>
  <c r="N103" i="11" l="1"/>
  <c r="D104" i="11" s="1"/>
  <c r="J104" i="11" s="1"/>
  <c r="M103" i="11"/>
  <c r="C104" i="11" s="1"/>
  <c r="I104" i="11" s="1"/>
  <c r="L103" i="11"/>
  <c r="B104" i="11" s="1"/>
  <c r="H104" i="11" s="1"/>
  <c r="K104" i="11" s="1" a="1"/>
  <c r="K104" i="11" s="1"/>
  <c r="M109" i="10"/>
  <c r="C110" i="10" s="1"/>
  <c r="I110" i="10" s="1"/>
  <c r="L109" i="10"/>
  <c r="B110" i="10" s="1"/>
  <c r="H110" i="10" s="1"/>
  <c r="N109" i="10"/>
  <c r="D110" i="10" s="1"/>
  <c r="J110" i="10" s="1"/>
  <c r="M99" i="9"/>
  <c r="C100" i="9" s="1"/>
  <c r="I100" i="9" s="1"/>
  <c r="N99" i="9"/>
  <c r="D100" i="9" s="1"/>
  <c r="J100" i="9" s="1"/>
  <c r="L99" i="9"/>
  <c r="B100" i="9" s="1"/>
  <c r="H100" i="9" s="1"/>
  <c r="K100" i="9" s="1" a="1"/>
  <c r="K100" i="9" s="1"/>
  <c r="K99" i="8" a="1"/>
  <c r="K99" i="8" s="1"/>
  <c r="K104" i="7" a="1"/>
  <c r="K104" i="7" s="1"/>
  <c r="N100" i="4"/>
  <c r="D101" i="4" s="1"/>
  <c r="J101" i="4" s="1"/>
  <c r="M100" i="4"/>
  <c r="C101" i="4" s="1"/>
  <c r="I101" i="4" s="1"/>
  <c r="L100" i="4"/>
  <c r="B101" i="4" s="1"/>
  <c r="H101" i="4" s="1"/>
  <c r="K101" i="4" s="1" a="1"/>
  <c r="K101" i="4" s="1"/>
  <c r="H84" i="2"/>
  <c r="K84" i="2" s="1" a="1"/>
  <c r="K84" i="2" s="1"/>
  <c r="L84" i="2" s="1"/>
  <c r="B85" i="2" s="1"/>
  <c r="H85" i="2" s="1"/>
  <c r="N104" i="11" l="1"/>
  <c r="D105" i="11" s="1"/>
  <c r="J105" i="11" s="1"/>
  <c r="M104" i="11"/>
  <c r="C105" i="11" s="1"/>
  <c r="I105" i="11" s="1"/>
  <c r="L104" i="11"/>
  <c r="B105" i="11" s="1"/>
  <c r="H105" i="11" s="1"/>
  <c r="K105" i="11" s="1" a="1"/>
  <c r="K105" i="11" s="1"/>
  <c r="K110" i="10" a="1"/>
  <c r="K110" i="10" s="1"/>
  <c r="N100" i="9"/>
  <c r="D101" i="9" s="1"/>
  <c r="J101" i="9" s="1"/>
  <c r="M100" i="9"/>
  <c r="C101" i="9" s="1"/>
  <c r="I101" i="9" s="1"/>
  <c r="L100" i="9"/>
  <c r="B101" i="9" s="1"/>
  <c r="H101" i="9" s="1"/>
  <c r="K101" i="9" s="1" a="1"/>
  <c r="K101" i="9" s="1"/>
  <c r="M99" i="8"/>
  <c r="C100" i="8" s="1"/>
  <c r="I100" i="8" s="1"/>
  <c r="L99" i="8"/>
  <c r="B100" i="8" s="1"/>
  <c r="H100" i="8" s="1"/>
  <c r="N99" i="8"/>
  <c r="D100" i="8" s="1"/>
  <c r="J100" i="8" s="1"/>
  <c r="N104" i="7"/>
  <c r="D105" i="7" s="1"/>
  <c r="J105" i="7" s="1"/>
  <c r="M104" i="7"/>
  <c r="C105" i="7" s="1"/>
  <c r="I105" i="7" s="1"/>
  <c r="L104" i="7"/>
  <c r="B105" i="7" s="1"/>
  <c r="H105" i="7" s="1"/>
  <c r="N101" i="4"/>
  <c r="D102" i="4" s="1"/>
  <c r="J102" i="4" s="1"/>
  <c r="M101" i="4"/>
  <c r="C102" i="4" s="1"/>
  <c r="I102" i="4" s="1"/>
  <c r="L101" i="4"/>
  <c r="B102" i="4" s="1"/>
  <c r="H102" i="4" s="1"/>
  <c r="K102" i="4" s="1" a="1"/>
  <c r="K102" i="4" s="1"/>
  <c r="N84" i="2"/>
  <c r="D85" i="2" s="1"/>
  <c r="J85" i="2" s="1"/>
  <c r="M84" i="2"/>
  <c r="C85" i="2" s="1"/>
  <c r="N105" i="11" l="1"/>
  <c r="D106" i="11" s="1"/>
  <c r="J106" i="11" s="1"/>
  <c r="M105" i="11"/>
  <c r="C106" i="11" s="1"/>
  <c r="I106" i="11" s="1"/>
  <c r="L105" i="11"/>
  <c r="B106" i="11" s="1"/>
  <c r="H106" i="11" s="1"/>
  <c r="L110" i="10"/>
  <c r="B111" i="10" s="1"/>
  <c r="H111" i="10" s="1"/>
  <c r="N110" i="10"/>
  <c r="D111" i="10" s="1"/>
  <c r="J111" i="10" s="1"/>
  <c r="M110" i="10"/>
  <c r="C111" i="10" s="1"/>
  <c r="I111" i="10" s="1"/>
  <c r="N101" i="9"/>
  <c r="D102" i="9" s="1"/>
  <c r="J102" i="9" s="1"/>
  <c r="M101" i="9"/>
  <c r="C102" i="9" s="1"/>
  <c r="I102" i="9" s="1"/>
  <c r="L101" i="9"/>
  <c r="B102" i="9" s="1"/>
  <c r="H102" i="9" s="1"/>
  <c r="K100" i="8" a="1"/>
  <c r="K100" i="8" s="1"/>
  <c r="K105" i="7" a="1"/>
  <c r="K105" i="7" s="1"/>
  <c r="N102" i="4"/>
  <c r="D103" i="4" s="1"/>
  <c r="J103" i="4" s="1"/>
  <c r="M102" i="4"/>
  <c r="C103" i="4" s="1"/>
  <c r="I103" i="4" s="1"/>
  <c r="L102" i="4"/>
  <c r="B103" i="4" s="1"/>
  <c r="H103" i="4" s="1"/>
  <c r="K103" i="4" s="1" a="1"/>
  <c r="K103" i="4" s="1"/>
  <c r="K85" i="2" a="1"/>
  <c r="K85" i="2" s="1"/>
  <c r="N85" i="2" s="1"/>
  <c r="D86" i="2" s="1"/>
  <c r="J86" i="2" s="1"/>
  <c r="I85" i="2"/>
  <c r="K106" i="11" l="1" a="1"/>
  <c r="K106" i="11" s="1"/>
  <c r="K111" i="10" a="1"/>
  <c r="K111" i="10" s="1"/>
  <c r="K102" i="9" a="1"/>
  <c r="K102" i="9" s="1"/>
  <c r="N100" i="8"/>
  <c r="D101" i="8" s="1"/>
  <c r="J101" i="8" s="1"/>
  <c r="M100" i="8"/>
  <c r="C101" i="8" s="1"/>
  <c r="I101" i="8" s="1"/>
  <c r="L100" i="8"/>
  <c r="B101" i="8" s="1"/>
  <c r="H101" i="8" s="1"/>
  <c r="N105" i="7"/>
  <c r="D106" i="7" s="1"/>
  <c r="J106" i="7" s="1"/>
  <c r="L105" i="7"/>
  <c r="B106" i="7" s="1"/>
  <c r="H106" i="7" s="1"/>
  <c r="M105" i="7"/>
  <c r="C106" i="7" s="1"/>
  <c r="I106" i="7" s="1"/>
  <c r="N103" i="4"/>
  <c r="D104" i="4" s="1"/>
  <c r="J104" i="4" s="1"/>
  <c r="M103" i="4"/>
  <c r="C104" i="4" s="1"/>
  <c r="I104" i="4" s="1"/>
  <c r="L103" i="4"/>
  <c r="B104" i="4" s="1"/>
  <c r="H104" i="4" s="1"/>
  <c r="M85" i="2"/>
  <c r="C86" i="2" s="1"/>
  <c r="I86" i="2" s="1"/>
  <c r="L85" i="2"/>
  <c r="B86" i="2" s="1"/>
  <c r="H86" i="2" s="1"/>
  <c r="M106" i="11" l="1"/>
  <c r="C107" i="11" s="1"/>
  <c r="I107" i="11" s="1"/>
  <c r="L106" i="11"/>
  <c r="B107" i="11" s="1"/>
  <c r="H107" i="11" s="1"/>
  <c r="N106" i="11"/>
  <c r="D107" i="11" s="1"/>
  <c r="J107" i="11" s="1"/>
  <c r="M111" i="10"/>
  <c r="C112" i="10" s="1"/>
  <c r="I112" i="10" s="1"/>
  <c r="N111" i="10"/>
  <c r="D112" i="10" s="1"/>
  <c r="J112" i="10" s="1"/>
  <c r="L111" i="10"/>
  <c r="B112" i="10" s="1"/>
  <c r="H112" i="10" s="1"/>
  <c r="K112" i="10" s="1" a="1"/>
  <c r="K112" i="10" s="1"/>
  <c r="L102" i="9"/>
  <c r="B103" i="9" s="1"/>
  <c r="H103" i="9" s="1"/>
  <c r="N102" i="9"/>
  <c r="D103" i="9" s="1"/>
  <c r="J103" i="9" s="1"/>
  <c r="M102" i="9"/>
  <c r="C103" i="9" s="1"/>
  <c r="I103" i="9" s="1"/>
  <c r="K101" i="8" a="1"/>
  <c r="K101" i="8" s="1"/>
  <c r="K106" i="7" a="1"/>
  <c r="K106" i="7" s="1"/>
  <c r="K104" i="4" a="1"/>
  <c r="K104" i="4" s="1"/>
  <c r="K86" i="2" a="1"/>
  <c r="K86" i="2" s="1"/>
  <c r="L86" i="2" s="1"/>
  <c r="B87" i="2" s="1"/>
  <c r="H87" i="2" s="1"/>
  <c r="K107" i="11" l="1" a="1"/>
  <c r="K107" i="11" s="1"/>
  <c r="N112" i="10"/>
  <c r="D113" i="10" s="1"/>
  <c r="J113" i="10" s="1"/>
  <c r="L112" i="10"/>
  <c r="B113" i="10" s="1"/>
  <c r="H113" i="10" s="1"/>
  <c r="K113" i="10" s="1" a="1"/>
  <c r="K113" i="10" s="1"/>
  <c r="M112" i="10"/>
  <c r="C113" i="10" s="1"/>
  <c r="I113" i="10" s="1"/>
  <c r="K103" i="9" a="1"/>
  <c r="K103" i="9" s="1"/>
  <c r="N101" i="8"/>
  <c r="D102" i="8" s="1"/>
  <c r="J102" i="8" s="1"/>
  <c r="M101" i="8"/>
  <c r="C102" i="8" s="1"/>
  <c r="I102" i="8" s="1"/>
  <c r="L101" i="8"/>
  <c r="B102" i="8" s="1"/>
  <c r="H102" i="8" s="1"/>
  <c r="N106" i="7"/>
  <c r="D107" i="7" s="1"/>
  <c r="J107" i="7" s="1"/>
  <c r="M106" i="7"/>
  <c r="C107" i="7" s="1"/>
  <c r="I107" i="7" s="1"/>
  <c r="L106" i="7"/>
  <c r="B107" i="7" s="1"/>
  <c r="H107" i="7" s="1"/>
  <c r="K107" i="7" s="1" a="1"/>
  <c r="K107" i="7" s="1"/>
  <c r="N104" i="4"/>
  <c r="D105" i="4" s="1"/>
  <c r="J105" i="4" s="1"/>
  <c r="M104" i="4"/>
  <c r="C105" i="4" s="1"/>
  <c r="I105" i="4" s="1"/>
  <c r="L104" i="4"/>
  <c r="B105" i="4" s="1"/>
  <c r="H105" i="4" s="1"/>
  <c r="K105" i="4" s="1" a="1"/>
  <c r="K105" i="4" s="1"/>
  <c r="K87" i="2" a="1"/>
  <c r="K87" i="2" s="1"/>
  <c r="L87" i="2" s="1"/>
  <c r="B88" i="2" s="1"/>
  <c r="H88" i="2" s="1"/>
  <c r="M86" i="2"/>
  <c r="C87" i="2" s="1"/>
  <c r="I87" i="2" s="1"/>
  <c r="N86" i="2"/>
  <c r="D87" i="2" s="1"/>
  <c r="J87" i="2" s="1"/>
  <c r="N107" i="11" l="1"/>
  <c r="D108" i="11" s="1"/>
  <c r="J108" i="11" s="1"/>
  <c r="M107" i="11"/>
  <c r="C108" i="11" s="1"/>
  <c r="I108" i="11" s="1"/>
  <c r="L107" i="11"/>
  <c r="B108" i="11" s="1"/>
  <c r="H108" i="11" s="1"/>
  <c r="K108" i="11" s="1" a="1"/>
  <c r="K108" i="11" s="1"/>
  <c r="L113" i="10"/>
  <c r="B114" i="10" s="1"/>
  <c r="H114" i="10" s="1"/>
  <c r="N113" i="10"/>
  <c r="D114" i="10" s="1"/>
  <c r="J114" i="10" s="1"/>
  <c r="M113" i="10"/>
  <c r="C114" i="10" s="1"/>
  <c r="I114" i="10" s="1"/>
  <c r="M103" i="9"/>
  <c r="C104" i="9" s="1"/>
  <c r="I104" i="9" s="1"/>
  <c r="L103" i="9"/>
  <c r="B104" i="9" s="1"/>
  <c r="H104" i="9" s="1"/>
  <c r="N103" i="9"/>
  <c r="D104" i="9" s="1"/>
  <c r="J104" i="9" s="1"/>
  <c r="K102" i="8" a="1"/>
  <c r="K102" i="8" s="1"/>
  <c r="L107" i="7"/>
  <c r="B108" i="7" s="1"/>
  <c r="H108" i="7" s="1"/>
  <c r="N107" i="7"/>
  <c r="D108" i="7" s="1"/>
  <c r="J108" i="7" s="1"/>
  <c r="M107" i="7"/>
  <c r="C108" i="7" s="1"/>
  <c r="I108" i="7" s="1"/>
  <c r="N105" i="4"/>
  <c r="D106" i="4" s="1"/>
  <c r="J106" i="4" s="1"/>
  <c r="M105" i="4"/>
  <c r="C106" i="4" s="1"/>
  <c r="I106" i="4" s="1"/>
  <c r="L105" i="4"/>
  <c r="B106" i="4" s="1"/>
  <c r="H106" i="4" s="1"/>
  <c r="K106" i="4" s="1" a="1"/>
  <c r="K106" i="4" s="1"/>
  <c r="M87" i="2"/>
  <c r="C88" i="2" s="1"/>
  <c r="I88" i="2" s="1"/>
  <c r="K88" i="2" s="1" a="1"/>
  <c r="K88" i="2" s="1"/>
  <c r="N87" i="2"/>
  <c r="D88" i="2" s="1"/>
  <c r="J88" i="2" s="1"/>
  <c r="M108" i="11" l="1"/>
  <c r="C109" i="11" s="1"/>
  <c r="I109" i="11" s="1"/>
  <c r="L108" i="11"/>
  <c r="B109" i="11" s="1"/>
  <c r="H109" i="11" s="1"/>
  <c r="N108" i="11"/>
  <c r="D109" i="11" s="1"/>
  <c r="J109" i="11" s="1"/>
  <c r="K114" i="10" a="1"/>
  <c r="K114" i="10" s="1"/>
  <c r="K104" i="9" a="1"/>
  <c r="K104" i="9" s="1"/>
  <c r="N102" i="8"/>
  <c r="D103" i="8" s="1"/>
  <c r="J103" i="8" s="1"/>
  <c r="M102" i="8"/>
  <c r="C103" i="8" s="1"/>
  <c r="I103" i="8" s="1"/>
  <c r="L102" i="8"/>
  <c r="B103" i="8" s="1"/>
  <c r="H103" i="8" s="1"/>
  <c r="K108" i="7" a="1"/>
  <c r="K108" i="7" s="1"/>
  <c r="N106" i="4"/>
  <c r="D107" i="4" s="1"/>
  <c r="J107" i="4" s="1"/>
  <c r="M106" i="4"/>
  <c r="C107" i="4" s="1"/>
  <c r="I107" i="4" s="1"/>
  <c r="L106" i="4"/>
  <c r="B107" i="4" s="1"/>
  <c r="H107" i="4" s="1"/>
  <c r="N88" i="2"/>
  <c r="D89" i="2" s="1"/>
  <c r="L88" i="2"/>
  <c r="B89" i="2" s="1"/>
  <c r="H89" i="2" s="1"/>
  <c r="M88" i="2"/>
  <c r="C89" i="2" s="1"/>
  <c r="I89" i="2" s="1"/>
  <c r="K109" i="11" l="1" a="1"/>
  <c r="K109" i="11" s="1"/>
  <c r="M114" i="10"/>
  <c r="C115" i="10" s="1"/>
  <c r="I115" i="10" s="1"/>
  <c r="N114" i="10"/>
  <c r="D115" i="10" s="1"/>
  <c r="J115" i="10" s="1"/>
  <c r="L114" i="10"/>
  <c r="B115" i="10" s="1"/>
  <c r="H115" i="10" s="1"/>
  <c r="K115" i="10" s="1" a="1"/>
  <c r="K115" i="10" s="1"/>
  <c r="N104" i="9"/>
  <c r="D105" i="9" s="1"/>
  <c r="J105" i="9" s="1"/>
  <c r="M104" i="9"/>
  <c r="C105" i="9" s="1"/>
  <c r="I105" i="9" s="1"/>
  <c r="L104" i="9"/>
  <c r="B105" i="9" s="1"/>
  <c r="H105" i="9" s="1"/>
  <c r="K105" i="9" s="1" a="1"/>
  <c r="K105" i="9" s="1"/>
  <c r="K103" i="8" a="1"/>
  <c r="K103" i="8" s="1"/>
  <c r="M108" i="7"/>
  <c r="C109" i="7" s="1"/>
  <c r="I109" i="7" s="1"/>
  <c r="N108" i="7"/>
  <c r="D109" i="7" s="1"/>
  <c r="J109" i="7" s="1"/>
  <c r="L108" i="7"/>
  <c r="B109" i="7" s="1"/>
  <c r="H109" i="7" s="1"/>
  <c r="K109" i="7" s="1" a="1"/>
  <c r="K109" i="7" s="1"/>
  <c r="K107" i="4" a="1"/>
  <c r="K107" i="4" s="1"/>
  <c r="J89" i="2"/>
  <c r="K89" i="2" s="1" a="1"/>
  <c r="K89" i="2" s="1"/>
  <c r="N109" i="11" l="1"/>
  <c r="D110" i="11" s="1"/>
  <c r="J110" i="11" s="1"/>
  <c r="M109" i="11"/>
  <c r="C110" i="11" s="1"/>
  <c r="I110" i="11" s="1"/>
  <c r="L109" i="11"/>
  <c r="B110" i="11" s="1"/>
  <c r="H110" i="11" s="1"/>
  <c r="N115" i="10"/>
  <c r="D116" i="10" s="1"/>
  <c r="J116" i="10" s="1"/>
  <c r="L115" i="10"/>
  <c r="B116" i="10" s="1"/>
  <c r="H116" i="10" s="1"/>
  <c r="M115" i="10"/>
  <c r="C116" i="10" s="1"/>
  <c r="I116" i="10" s="1"/>
  <c r="N105" i="9"/>
  <c r="D106" i="9" s="1"/>
  <c r="J106" i="9" s="1"/>
  <c r="M105" i="9"/>
  <c r="C106" i="9" s="1"/>
  <c r="I106" i="9" s="1"/>
  <c r="L105" i="9"/>
  <c r="B106" i="9" s="1"/>
  <c r="H106" i="9" s="1"/>
  <c r="K106" i="9" s="1" a="1"/>
  <c r="K106" i="9" s="1"/>
  <c r="N103" i="8"/>
  <c r="D104" i="8" s="1"/>
  <c r="J104" i="8" s="1"/>
  <c r="L103" i="8"/>
  <c r="B104" i="8" s="1"/>
  <c r="H104" i="8" s="1"/>
  <c r="K104" i="8" s="1" a="1"/>
  <c r="K104" i="8" s="1"/>
  <c r="M103" i="8"/>
  <c r="C104" i="8" s="1"/>
  <c r="I104" i="8" s="1"/>
  <c r="N109" i="7"/>
  <c r="D110" i="7" s="1"/>
  <c r="J110" i="7" s="1"/>
  <c r="M109" i="7"/>
  <c r="C110" i="7" s="1"/>
  <c r="I110" i="7" s="1"/>
  <c r="L109" i="7"/>
  <c r="B110" i="7" s="1"/>
  <c r="H110" i="7" s="1"/>
  <c r="N107" i="4"/>
  <c r="D108" i="4" s="1"/>
  <c r="J108" i="4" s="1"/>
  <c r="M107" i="4"/>
  <c r="C108" i="4" s="1"/>
  <c r="I108" i="4" s="1"/>
  <c r="L107" i="4"/>
  <c r="B108" i="4" s="1"/>
  <c r="H108" i="4" s="1"/>
  <c r="K108" i="4" s="1" a="1"/>
  <c r="K108" i="4" s="1"/>
  <c r="N89" i="2"/>
  <c r="D90" i="2" s="1"/>
  <c r="J90" i="2" s="1"/>
  <c r="M89" i="2"/>
  <c r="C90" i="2" s="1"/>
  <c r="I90" i="2" s="1"/>
  <c r="L89" i="2"/>
  <c r="B90" i="2" s="1"/>
  <c r="H90" i="2" s="1"/>
  <c r="K90" i="2" s="1" a="1"/>
  <c r="K90" i="2" s="1"/>
  <c r="L90" i="2" s="1"/>
  <c r="B91" i="2" s="1"/>
  <c r="H91" i="2" s="1"/>
  <c r="K110" i="11" l="1" a="1"/>
  <c r="K110" i="11" s="1"/>
  <c r="K116" i="10" a="1"/>
  <c r="K116" i="10" s="1"/>
  <c r="N106" i="9"/>
  <c r="D107" i="9" s="1"/>
  <c r="J107" i="9" s="1"/>
  <c r="M106" i="9"/>
  <c r="C107" i="9" s="1"/>
  <c r="I107" i="9" s="1"/>
  <c r="L106" i="9"/>
  <c r="B107" i="9" s="1"/>
  <c r="H107" i="9" s="1"/>
  <c r="K107" i="9" s="1" a="1"/>
  <c r="K107" i="9" s="1"/>
  <c r="N104" i="8"/>
  <c r="D105" i="8" s="1"/>
  <c r="J105" i="8" s="1"/>
  <c r="M104" i="8"/>
  <c r="C105" i="8" s="1"/>
  <c r="I105" i="8" s="1"/>
  <c r="L104" i="8"/>
  <c r="B105" i="8" s="1"/>
  <c r="H105" i="8" s="1"/>
  <c r="K110" i="7" a="1"/>
  <c r="K110" i="7" s="1"/>
  <c r="N108" i="4"/>
  <c r="D109" i="4" s="1"/>
  <c r="J109" i="4" s="1"/>
  <c r="M108" i="4"/>
  <c r="C109" i="4" s="1"/>
  <c r="I109" i="4" s="1"/>
  <c r="L108" i="4"/>
  <c r="B109" i="4" s="1"/>
  <c r="H109" i="4" s="1"/>
  <c r="M90" i="2"/>
  <c r="C91" i="2" s="1"/>
  <c r="I91" i="2" s="1"/>
  <c r="N90" i="2"/>
  <c r="D91" i="2" s="1"/>
  <c r="J91" i="2" s="1"/>
  <c r="L110" i="11" l="1"/>
  <c r="B111" i="11" s="1"/>
  <c r="H111" i="11" s="1"/>
  <c r="M110" i="11"/>
  <c r="C111" i="11" s="1"/>
  <c r="I111" i="11" s="1"/>
  <c r="N110" i="11"/>
  <c r="D111" i="11" s="1"/>
  <c r="J111" i="11" s="1"/>
  <c r="M116" i="10"/>
  <c r="C117" i="10" s="1"/>
  <c r="I117" i="10" s="1"/>
  <c r="N116" i="10"/>
  <c r="D117" i="10" s="1"/>
  <c r="J117" i="10" s="1"/>
  <c r="L116" i="10"/>
  <c r="B117" i="10" s="1"/>
  <c r="H117" i="10" s="1"/>
  <c r="K117" i="10" s="1" a="1"/>
  <c r="K117" i="10" s="1"/>
  <c r="L107" i="9"/>
  <c r="B108" i="9" s="1"/>
  <c r="H108" i="9" s="1"/>
  <c r="N107" i="9"/>
  <c r="D108" i="9" s="1"/>
  <c r="J108" i="9" s="1"/>
  <c r="M107" i="9"/>
  <c r="C108" i="9" s="1"/>
  <c r="I108" i="9" s="1"/>
  <c r="K105" i="8" a="1"/>
  <c r="K105" i="8" s="1"/>
  <c r="L110" i="7"/>
  <c r="B111" i="7" s="1"/>
  <c r="H111" i="7" s="1"/>
  <c r="N110" i="7"/>
  <c r="D111" i="7" s="1"/>
  <c r="J111" i="7" s="1"/>
  <c r="M110" i="7"/>
  <c r="C111" i="7" s="1"/>
  <c r="I111" i="7" s="1"/>
  <c r="K109" i="4" a="1"/>
  <c r="K109" i="4" s="1"/>
  <c r="K91" i="2" a="1"/>
  <c r="K91" i="2" s="1"/>
  <c r="M91" i="2" s="1"/>
  <c r="C92" i="2" s="1"/>
  <c r="I92" i="2" s="1"/>
  <c r="K111" i="11" l="1" a="1"/>
  <c r="K111" i="11" s="1"/>
  <c r="N117" i="10"/>
  <c r="D118" i="10" s="1"/>
  <c r="J118" i="10" s="1"/>
  <c r="M117" i="10"/>
  <c r="C118" i="10" s="1"/>
  <c r="I118" i="10" s="1"/>
  <c r="L117" i="10"/>
  <c r="B118" i="10" s="1"/>
  <c r="H118" i="10" s="1"/>
  <c r="K118" i="10" s="1" a="1"/>
  <c r="K118" i="10" s="1"/>
  <c r="K108" i="9" a="1"/>
  <c r="K108" i="9" s="1"/>
  <c r="N105" i="8"/>
  <c r="D106" i="8" s="1"/>
  <c r="J106" i="8" s="1"/>
  <c r="M105" i="8"/>
  <c r="C106" i="8" s="1"/>
  <c r="I106" i="8" s="1"/>
  <c r="L105" i="8"/>
  <c r="B106" i="8" s="1"/>
  <c r="H106" i="8" s="1"/>
  <c r="K111" i="7" a="1"/>
  <c r="K111" i="7" s="1"/>
  <c r="N109" i="4"/>
  <c r="D110" i="4" s="1"/>
  <c r="J110" i="4" s="1"/>
  <c r="M109" i="4"/>
  <c r="C110" i="4" s="1"/>
  <c r="I110" i="4" s="1"/>
  <c r="L109" i="4"/>
  <c r="B110" i="4" s="1"/>
  <c r="H110" i="4" s="1"/>
  <c r="K110" i="4" s="1" a="1"/>
  <c r="K110" i="4" s="1"/>
  <c r="L91" i="2"/>
  <c r="B92" i="2" s="1"/>
  <c r="H92" i="2" s="1"/>
  <c r="N91" i="2"/>
  <c r="D92" i="2" s="1"/>
  <c r="M111" i="11" l="1"/>
  <c r="C112" i="11" s="1"/>
  <c r="I112" i="11" s="1"/>
  <c r="L111" i="11"/>
  <c r="B112" i="11" s="1"/>
  <c r="H112" i="11" s="1"/>
  <c r="K112" i="11" s="1" a="1"/>
  <c r="K112" i="11" s="1"/>
  <c r="N111" i="11"/>
  <c r="D112" i="11" s="1"/>
  <c r="J112" i="11" s="1"/>
  <c r="N118" i="10"/>
  <c r="D119" i="10" s="1"/>
  <c r="J119" i="10" s="1"/>
  <c r="M118" i="10"/>
  <c r="C119" i="10" s="1"/>
  <c r="I119" i="10" s="1"/>
  <c r="L118" i="10"/>
  <c r="B119" i="10" s="1"/>
  <c r="H119" i="10" s="1"/>
  <c r="K119" i="10" s="1" a="1"/>
  <c r="K119" i="10" s="1"/>
  <c r="N108" i="9"/>
  <c r="D109" i="9" s="1"/>
  <c r="J109" i="9" s="1"/>
  <c r="M108" i="9"/>
  <c r="C109" i="9" s="1"/>
  <c r="I109" i="9" s="1"/>
  <c r="L108" i="9"/>
  <c r="B109" i="9" s="1"/>
  <c r="H109" i="9" s="1"/>
  <c r="K109" i="9" s="1" a="1"/>
  <c r="K109" i="9" s="1"/>
  <c r="K106" i="8" a="1"/>
  <c r="K106" i="8" s="1"/>
  <c r="M111" i="7"/>
  <c r="C112" i="7" s="1"/>
  <c r="I112" i="7" s="1"/>
  <c r="N111" i="7"/>
  <c r="D112" i="7" s="1"/>
  <c r="J112" i="7" s="1"/>
  <c r="L111" i="7"/>
  <c r="B112" i="7" s="1"/>
  <c r="H112" i="7" s="1"/>
  <c r="L110" i="4"/>
  <c r="B111" i="4" s="1"/>
  <c r="H111" i="4" s="1"/>
  <c r="K111" i="4" s="1" a="1"/>
  <c r="K111" i="4" s="1"/>
  <c r="N110" i="4"/>
  <c r="D111" i="4" s="1"/>
  <c r="J111" i="4" s="1"/>
  <c r="M110" i="4"/>
  <c r="C111" i="4" s="1"/>
  <c r="I111" i="4" s="1"/>
  <c r="J92" i="2"/>
  <c r="K92" i="2" s="1" a="1"/>
  <c r="K92" i="2" s="1"/>
  <c r="N112" i="11" l="1"/>
  <c r="D113" i="11" s="1"/>
  <c r="J113" i="11" s="1"/>
  <c r="M112" i="11"/>
  <c r="C113" i="11" s="1"/>
  <c r="I113" i="11" s="1"/>
  <c r="L112" i="11"/>
  <c r="B113" i="11" s="1"/>
  <c r="H113" i="11" s="1"/>
  <c r="K113" i="11" s="1" a="1"/>
  <c r="K113" i="11" s="1"/>
  <c r="N119" i="10"/>
  <c r="D120" i="10" s="1"/>
  <c r="J120" i="10" s="1"/>
  <c r="M119" i="10"/>
  <c r="C120" i="10" s="1"/>
  <c r="I120" i="10" s="1"/>
  <c r="L119" i="10"/>
  <c r="B120" i="10" s="1"/>
  <c r="H120" i="10" s="1"/>
  <c r="K120" i="10" s="1" a="1"/>
  <c r="K120" i="10" s="1"/>
  <c r="N109" i="9"/>
  <c r="D110" i="9" s="1"/>
  <c r="J110" i="9" s="1"/>
  <c r="M109" i="9"/>
  <c r="C110" i="9" s="1"/>
  <c r="I110" i="9" s="1"/>
  <c r="L109" i="9"/>
  <c r="B110" i="9" s="1"/>
  <c r="H110" i="9" s="1"/>
  <c r="K110" i="9" s="1" a="1"/>
  <c r="K110" i="9" s="1"/>
  <c r="N106" i="8"/>
  <c r="D107" i="8" s="1"/>
  <c r="J107" i="8" s="1"/>
  <c r="M106" i="8"/>
  <c r="C107" i="8" s="1"/>
  <c r="I107" i="8" s="1"/>
  <c r="L106" i="8"/>
  <c r="B107" i="8" s="1"/>
  <c r="H107" i="8" s="1"/>
  <c r="K107" i="8" s="1" a="1"/>
  <c r="K107" i="8" s="1"/>
  <c r="K112" i="7" a="1"/>
  <c r="K112" i="7" s="1"/>
  <c r="M111" i="4"/>
  <c r="C112" i="4" s="1"/>
  <c r="I112" i="4" s="1"/>
  <c r="L111" i="4"/>
  <c r="B112" i="4" s="1"/>
  <c r="H112" i="4" s="1"/>
  <c r="K112" i="4" s="1" a="1"/>
  <c r="K112" i="4" s="1"/>
  <c r="N111" i="4"/>
  <c r="D112" i="4" s="1"/>
  <c r="J112" i="4" s="1"/>
  <c r="N92" i="2"/>
  <c r="D93" i="2" s="1"/>
  <c r="J93" i="2" s="1"/>
  <c r="K93" i="2" s="1" a="1"/>
  <c r="K93" i="2" s="1"/>
  <c r="L92" i="2"/>
  <c r="B93" i="2" s="1"/>
  <c r="H93" i="2" s="1"/>
  <c r="M92" i="2"/>
  <c r="C93" i="2" s="1"/>
  <c r="I93" i="2" s="1"/>
  <c r="N113" i="11" l="1"/>
  <c r="D114" i="11" s="1"/>
  <c r="J114" i="11" s="1"/>
  <c r="M113" i="11"/>
  <c r="C114" i="11" s="1"/>
  <c r="I114" i="11" s="1"/>
  <c r="L113" i="11"/>
  <c r="B114" i="11" s="1"/>
  <c r="H114" i="11" s="1"/>
  <c r="K114" i="11" s="1" a="1"/>
  <c r="K114" i="11" s="1"/>
  <c r="N120" i="10"/>
  <c r="D121" i="10" s="1"/>
  <c r="J121" i="10" s="1"/>
  <c r="M120" i="10"/>
  <c r="C121" i="10" s="1"/>
  <c r="I121" i="10" s="1"/>
  <c r="L120" i="10"/>
  <c r="B121" i="10" s="1"/>
  <c r="H121" i="10" s="1"/>
  <c r="K121" i="10" s="1" a="1"/>
  <c r="K121" i="10" s="1"/>
  <c r="L110" i="9"/>
  <c r="B111" i="9" s="1"/>
  <c r="H111" i="9" s="1"/>
  <c r="K111" i="9" s="1" a="1"/>
  <c r="K111" i="9" s="1"/>
  <c r="N110" i="9"/>
  <c r="D111" i="9" s="1"/>
  <c r="J111" i="9" s="1"/>
  <c r="M110" i="9"/>
  <c r="C111" i="9" s="1"/>
  <c r="I111" i="9" s="1"/>
  <c r="N107" i="8"/>
  <c r="D108" i="8" s="1"/>
  <c r="J108" i="8" s="1"/>
  <c r="M107" i="8"/>
  <c r="C108" i="8" s="1"/>
  <c r="I108" i="8" s="1"/>
  <c r="L107" i="8"/>
  <c r="B108" i="8" s="1"/>
  <c r="H108" i="8" s="1"/>
  <c r="K108" i="8" s="1" a="1"/>
  <c r="K108" i="8" s="1"/>
  <c r="N112" i="7"/>
  <c r="D113" i="7" s="1"/>
  <c r="J113" i="7" s="1"/>
  <c r="M112" i="7"/>
  <c r="C113" i="7" s="1"/>
  <c r="I113" i="7" s="1"/>
  <c r="L112" i="7"/>
  <c r="B113" i="7" s="1"/>
  <c r="H113" i="7" s="1"/>
  <c r="N112" i="4"/>
  <c r="D113" i="4" s="1"/>
  <c r="J113" i="4" s="1"/>
  <c r="M112" i="4"/>
  <c r="C113" i="4" s="1"/>
  <c r="I113" i="4" s="1"/>
  <c r="L112" i="4"/>
  <c r="B113" i="4" s="1"/>
  <c r="H113" i="4" s="1"/>
  <c r="M93" i="2"/>
  <c r="C94" i="2" s="1"/>
  <c r="I94" i="2" s="1"/>
  <c r="N93" i="2"/>
  <c r="D94" i="2" s="1"/>
  <c r="J94" i="2" s="1"/>
  <c r="L93" i="2"/>
  <c r="B94" i="2" s="1"/>
  <c r="H94" i="2" s="1"/>
  <c r="N114" i="11" l="1"/>
  <c r="D115" i="11" s="1"/>
  <c r="J115" i="11" s="1"/>
  <c r="M114" i="11"/>
  <c r="C115" i="11" s="1"/>
  <c r="I115" i="11" s="1"/>
  <c r="L114" i="11"/>
  <c r="B115" i="11" s="1"/>
  <c r="H115" i="11" s="1"/>
  <c r="K115" i="11" s="1" a="1"/>
  <c r="K115" i="11" s="1"/>
  <c r="N121" i="10"/>
  <c r="D122" i="10" s="1"/>
  <c r="J122" i="10" s="1"/>
  <c r="M121" i="10"/>
  <c r="C122" i="10" s="1"/>
  <c r="I122" i="10" s="1"/>
  <c r="L121" i="10"/>
  <c r="B122" i="10" s="1"/>
  <c r="H122" i="10" s="1"/>
  <c r="K122" i="10" s="1" a="1"/>
  <c r="K122" i="10" s="1"/>
  <c r="M111" i="9"/>
  <c r="C112" i="9" s="1"/>
  <c r="I112" i="9" s="1"/>
  <c r="N111" i="9"/>
  <c r="D112" i="9" s="1"/>
  <c r="J112" i="9" s="1"/>
  <c r="L111" i="9"/>
  <c r="B112" i="9" s="1"/>
  <c r="H112" i="9" s="1"/>
  <c r="N108" i="8"/>
  <c r="D109" i="8" s="1"/>
  <c r="J109" i="8" s="1"/>
  <c r="M108" i="8"/>
  <c r="C109" i="8" s="1"/>
  <c r="I109" i="8" s="1"/>
  <c r="L108" i="8"/>
  <c r="B109" i="8" s="1"/>
  <c r="H109" i="8" s="1"/>
  <c r="K109" i="8" s="1" a="1"/>
  <c r="K109" i="8" s="1"/>
  <c r="K113" i="7" a="1"/>
  <c r="K113" i="7" s="1"/>
  <c r="K113" i="4" a="1"/>
  <c r="K113" i="4" s="1"/>
  <c r="K94" i="2" a="1"/>
  <c r="K94" i="2" s="1"/>
  <c r="N115" i="11" l="1"/>
  <c r="D116" i="11" s="1"/>
  <c r="J116" i="11" s="1"/>
  <c r="M115" i="11"/>
  <c r="C116" i="11" s="1"/>
  <c r="I116" i="11" s="1"/>
  <c r="L115" i="11"/>
  <c r="B116" i="11" s="1"/>
  <c r="H116" i="11" s="1"/>
  <c r="K116" i="11" s="1" a="1"/>
  <c r="K116" i="11" s="1"/>
  <c r="L122" i="10"/>
  <c r="B123" i="10" s="1"/>
  <c r="H123" i="10" s="1"/>
  <c r="K123" i="10" s="1" a="1"/>
  <c r="K123" i="10" s="1"/>
  <c r="N122" i="10"/>
  <c r="D123" i="10" s="1"/>
  <c r="J123" i="10" s="1"/>
  <c r="M122" i="10"/>
  <c r="C123" i="10" s="1"/>
  <c r="I123" i="10" s="1"/>
  <c r="K112" i="9" a="1"/>
  <c r="K112" i="9" s="1"/>
  <c r="N109" i="8"/>
  <c r="D110" i="8" s="1"/>
  <c r="J110" i="8" s="1"/>
  <c r="M109" i="8"/>
  <c r="C110" i="8" s="1"/>
  <c r="I110" i="8" s="1"/>
  <c r="L109" i="8"/>
  <c r="B110" i="8" s="1"/>
  <c r="H110" i="8" s="1"/>
  <c r="K110" i="8" s="1" a="1"/>
  <c r="K110" i="8" s="1"/>
  <c r="L113" i="7"/>
  <c r="B114" i="7" s="1"/>
  <c r="H114" i="7" s="1"/>
  <c r="N113" i="7"/>
  <c r="D114" i="7" s="1"/>
  <c r="J114" i="7" s="1"/>
  <c r="M113" i="7"/>
  <c r="C114" i="7" s="1"/>
  <c r="I114" i="7" s="1"/>
  <c r="N113" i="4"/>
  <c r="D114" i="4" s="1"/>
  <c r="J114" i="4" s="1"/>
  <c r="M113" i="4"/>
  <c r="C114" i="4" s="1"/>
  <c r="I114" i="4" s="1"/>
  <c r="L113" i="4"/>
  <c r="B114" i="4" s="1"/>
  <c r="H114" i="4" s="1"/>
  <c r="L94" i="2"/>
  <c r="B95" i="2" s="1"/>
  <c r="H95" i="2" s="1"/>
  <c r="M94" i="2"/>
  <c r="C95" i="2" s="1"/>
  <c r="I95" i="2" s="1"/>
  <c r="N94" i="2"/>
  <c r="D95" i="2" s="1"/>
  <c r="J95" i="2" s="1"/>
  <c r="N116" i="11" l="1"/>
  <c r="D117" i="11" s="1"/>
  <c r="J117" i="11" s="1"/>
  <c r="M116" i="11"/>
  <c r="C117" i="11" s="1"/>
  <c r="I117" i="11" s="1"/>
  <c r="L116" i="11"/>
  <c r="B117" i="11" s="1"/>
  <c r="H117" i="11" s="1"/>
  <c r="K117" i="11" s="1" a="1"/>
  <c r="K117" i="11" s="1"/>
  <c r="M123" i="10"/>
  <c r="C124" i="10" s="1"/>
  <c r="I124" i="10" s="1"/>
  <c r="N123" i="10"/>
  <c r="D124" i="10" s="1"/>
  <c r="J124" i="10" s="1"/>
  <c r="L123" i="10"/>
  <c r="B124" i="10" s="1"/>
  <c r="H124" i="10" s="1"/>
  <c r="K124" i="10" s="1" a="1"/>
  <c r="K124" i="10" s="1"/>
  <c r="N112" i="9"/>
  <c r="D113" i="9" s="1"/>
  <c r="J113" i="9" s="1"/>
  <c r="M112" i="9"/>
  <c r="C113" i="9" s="1"/>
  <c r="I113" i="9" s="1"/>
  <c r="L112" i="9"/>
  <c r="B113" i="9" s="1"/>
  <c r="H113" i="9" s="1"/>
  <c r="K113" i="9" s="1" a="1"/>
  <c r="K113" i="9" s="1"/>
  <c r="L110" i="8"/>
  <c r="B111" i="8" s="1"/>
  <c r="H111" i="8" s="1"/>
  <c r="N110" i="8"/>
  <c r="D111" i="8" s="1"/>
  <c r="J111" i="8" s="1"/>
  <c r="M110" i="8"/>
  <c r="C111" i="8" s="1"/>
  <c r="I111" i="8" s="1"/>
  <c r="K114" i="7" a="1"/>
  <c r="K114" i="7" s="1"/>
  <c r="K114" i="4" a="1"/>
  <c r="K114" i="4" s="1"/>
  <c r="K95" i="2" a="1"/>
  <c r="K95" i="2" s="1"/>
  <c r="N117" i="11" l="1"/>
  <c r="D118" i="11" s="1"/>
  <c r="J118" i="11" s="1"/>
  <c r="M117" i="11"/>
  <c r="C118" i="11" s="1"/>
  <c r="I118" i="11" s="1"/>
  <c r="L117" i="11"/>
  <c r="B118" i="11" s="1"/>
  <c r="H118" i="11" s="1"/>
  <c r="K118" i="11" s="1" a="1"/>
  <c r="K118" i="11" s="1"/>
  <c r="N124" i="10"/>
  <c r="D125" i="10" s="1"/>
  <c r="J125" i="10" s="1"/>
  <c r="M124" i="10"/>
  <c r="C125" i="10" s="1"/>
  <c r="I125" i="10" s="1"/>
  <c r="L124" i="10"/>
  <c r="B125" i="10" s="1"/>
  <c r="H125" i="10" s="1"/>
  <c r="K125" i="10" s="1" a="1"/>
  <c r="K125" i="10" s="1"/>
  <c r="N113" i="9"/>
  <c r="D114" i="9" s="1"/>
  <c r="J114" i="9" s="1"/>
  <c r="M113" i="9"/>
  <c r="C114" i="9" s="1"/>
  <c r="I114" i="9" s="1"/>
  <c r="L113" i="9"/>
  <c r="B114" i="9" s="1"/>
  <c r="H114" i="9" s="1"/>
  <c r="K114" i="9" s="1" a="1"/>
  <c r="K114" i="9" s="1"/>
  <c r="K111" i="8" a="1"/>
  <c r="K111" i="8" s="1"/>
  <c r="M114" i="7"/>
  <c r="C115" i="7" s="1"/>
  <c r="I115" i="7" s="1"/>
  <c r="L114" i="7"/>
  <c r="B115" i="7" s="1"/>
  <c r="H115" i="7" s="1"/>
  <c r="N114" i="7"/>
  <c r="D115" i="7" s="1"/>
  <c r="J115" i="7" s="1"/>
  <c r="N114" i="4"/>
  <c r="D115" i="4" s="1"/>
  <c r="J115" i="4" s="1"/>
  <c r="M114" i="4"/>
  <c r="C115" i="4" s="1"/>
  <c r="I115" i="4" s="1"/>
  <c r="L114" i="4"/>
  <c r="B115" i="4" s="1"/>
  <c r="H115" i="4" s="1"/>
  <c r="K115" i="4" s="1" a="1"/>
  <c r="K115" i="4" s="1"/>
  <c r="M95" i="2"/>
  <c r="C96" i="2" s="1"/>
  <c r="I96" i="2" s="1"/>
  <c r="L95" i="2"/>
  <c r="B96" i="2" s="1"/>
  <c r="H96" i="2" s="1"/>
  <c r="N95" i="2"/>
  <c r="D96" i="2" s="1"/>
  <c r="J96" i="2" s="1"/>
  <c r="M118" i="11" l="1"/>
  <c r="C119" i="11" s="1"/>
  <c r="I119" i="11" s="1"/>
  <c r="L118" i="11"/>
  <c r="B119" i="11" s="1"/>
  <c r="H119" i="11" s="1"/>
  <c r="K119" i="11" s="1" a="1"/>
  <c r="K119" i="11" s="1"/>
  <c r="N118" i="11"/>
  <c r="D119" i="11" s="1"/>
  <c r="J119" i="11" s="1"/>
  <c r="L125" i="10"/>
  <c r="B126" i="10" s="1"/>
  <c r="H126" i="10" s="1"/>
  <c r="M125" i="10"/>
  <c r="C126" i="10" s="1"/>
  <c r="I126" i="10" s="1"/>
  <c r="N125" i="10"/>
  <c r="D126" i="10" s="1"/>
  <c r="J126" i="10" s="1"/>
  <c r="L114" i="9"/>
  <c r="B115" i="9" s="1"/>
  <c r="H115" i="9" s="1"/>
  <c r="N114" i="9"/>
  <c r="D115" i="9" s="1"/>
  <c r="J115" i="9" s="1"/>
  <c r="M114" i="9"/>
  <c r="C115" i="9" s="1"/>
  <c r="I115" i="9" s="1"/>
  <c r="M111" i="8"/>
  <c r="C112" i="8" s="1"/>
  <c r="I112" i="8" s="1"/>
  <c r="L111" i="8"/>
  <c r="B112" i="8" s="1"/>
  <c r="H112" i="8" s="1"/>
  <c r="N111" i="8"/>
  <c r="D112" i="8" s="1"/>
  <c r="J112" i="8" s="1"/>
  <c r="K115" i="7" a="1"/>
  <c r="K115" i="7" s="1"/>
  <c r="N115" i="4"/>
  <c r="D116" i="4" s="1"/>
  <c r="J116" i="4" s="1"/>
  <c r="M115" i="4"/>
  <c r="C116" i="4" s="1"/>
  <c r="I116" i="4" s="1"/>
  <c r="L115" i="4"/>
  <c r="B116" i="4" s="1"/>
  <c r="H116" i="4" s="1"/>
  <c r="K116" i="4" s="1" a="1"/>
  <c r="K116" i="4" s="1"/>
  <c r="K96" i="2" a="1"/>
  <c r="K96" i="2" s="1"/>
  <c r="N119" i="11" l="1"/>
  <c r="D120" i="11" s="1"/>
  <c r="J120" i="11" s="1"/>
  <c r="M119" i="11"/>
  <c r="C120" i="11" s="1"/>
  <c r="I120" i="11" s="1"/>
  <c r="L119" i="11"/>
  <c r="B120" i="11" s="1"/>
  <c r="H120" i="11" s="1"/>
  <c r="K126" i="10" a="1"/>
  <c r="K126" i="10" s="1"/>
  <c r="K115" i="9" a="1"/>
  <c r="K115" i="9" s="1"/>
  <c r="K112" i="8" a="1"/>
  <c r="K112" i="8" s="1"/>
  <c r="N115" i="7"/>
  <c r="D116" i="7" s="1"/>
  <c r="J116" i="7" s="1"/>
  <c r="M115" i="7"/>
  <c r="C116" i="7" s="1"/>
  <c r="I116" i="7" s="1"/>
  <c r="L115" i="7"/>
  <c r="B116" i="7" s="1"/>
  <c r="H116" i="7" s="1"/>
  <c r="K116" i="7" s="1" a="1"/>
  <c r="K116" i="7" s="1"/>
  <c r="N116" i="4"/>
  <c r="D117" i="4" s="1"/>
  <c r="J117" i="4" s="1"/>
  <c r="M116" i="4"/>
  <c r="C117" i="4" s="1"/>
  <c r="I117" i="4" s="1"/>
  <c r="L116" i="4"/>
  <c r="B117" i="4" s="1"/>
  <c r="H117" i="4" s="1"/>
  <c r="K117" i="4" s="1" a="1"/>
  <c r="K117" i="4" s="1"/>
  <c r="M96" i="2"/>
  <c r="C97" i="2" s="1"/>
  <c r="I97" i="2" s="1"/>
  <c r="N96" i="2"/>
  <c r="D97" i="2" s="1"/>
  <c r="J97" i="2" s="1"/>
  <c r="L96" i="2"/>
  <c r="B97" i="2" s="1"/>
  <c r="H97" i="2" s="1"/>
  <c r="K120" i="11" l="1" a="1"/>
  <c r="K120" i="11" s="1"/>
  <c r="N126" i="10"/>
  <c r="D127" i="10" s="1"/>
  <c r="J127" i="10" s="1"/>
  <c r="M126" i="10"/>
  <c r="C127" i="10" s="1"/>
  <c r="I127" i="10" s="1"/>
  <c r="L126" i="10"/>
  <c r="B127" i="10" s="1"/>
  <c r="H127" i="10" s="1"/>
  <c r="K127" i="10" s="1" a="1"/>
  <c r="K127" i="10" s="1"/>
  <c r="M115" i="9"/>
  <c r="C116" i="9" s="1"/>
  <c r="I116" i="9" s="1"/>
  <c r="L115" i="9"/>
  <c r="B116" i="9" s="1"/>
  <c r="H116" i="9" s="1"/>
  <c r="K116" i="9" s="1" a="1"/>
  <c r="K116" i="9" s="1"/>
  <c r="N115" i="9"/>
  <c r="D116" i="9" s="1"/>
  <c r="J116" i="9" s="1"/>
  <c r="N112" i="8"/>
  <c r="D113" i="8" s="1"/>
  <c r="J113" i="8" s="1"/>
  <c r="M112" i="8"/>
  <c r="C113" i="8" s="1"/>
  <c r="I113" i="8" s="1"/>
  <c r="L112" i="8"/>
  <c r="B113" i="8" s="1"/>
  <c r="H113" i="8" s="1"/>
  <c r="K113" i="8" s="1" a="1"/>
  <c r="K113" i="8" s="1"/>
  <c r="N116" i="7"/>
  <c r="D117" i="7" s="1"/>
  <c r="J117" i="7" s="1"/>
  <c r="M116" i="7"/>
  <c r="C117" i="7" s="1"/>
  <c r="I117" i="7" s="1"/>
  <c r="L116" i="7"/>
  <c r="B117" i="7" s="1"/>
  <c r="H117" i="7" s="1"/>
  <c r="N117" i="4"/>
  <c r="D118" i="4" s="1"/>
  <c r="J118" i="4" s="1"/>
  <c r="M117" i="4"/>
  <c r="C118" i="4" s="1"/>
  <c r="I118" i="4" s="1"/>
  <c r="L117" i="4"/>
  <c r="B118" i="4" s="1"/>
  <c r="H118" i="4" s="1"/>
  <c r="K118" i="4" s="1" a="1"/>
  <c r="K118" i="4" s="1"/>
  <c r="K97" i="2" a="1"/>
  <c r="K97" i="2" s="1"/>
  <c r="M97" i="2" s="1"/>
  <c r="C98" i="2" s="1"/>
  <c r="I98" i="2" s="1"/>
  <c r="N120" i="11" l="1"/>
  <c r="D121" i="11" s="1"/>
  <c r="J121" i="11" s="1"/>
  <c r="M120" i="11"/>
  <c r="C121" i="11" s="1"/>
  <c r="I121" i="11" s="1"/>
  <c r="L120" i="11"/>
  <c r="B121" i="11" s="1"/>
  <c r="H121" i="11" s="1"/>
  <c r="K121" i="11" s="1" a="1"/>
  <c r="K121" i="11" s="1"/>
  <c r="N127" i="10"/>
  <c r="D128" i="10" s="1"/>
  <c r="J128" i="10" s="1"/>
  <c r="L127" i="10"/>
  <c r="B128" i="10" s="1"/>
  <c r="H128" i="10" s="1"/>
  <c r="M127" i="10"/>
  <c r="C128" i="10" s="1"/>
  <c r="I128" i="10" s="1"/>
  <c r="N116" i="9"/>
  <c r="D117" i="9" s="1"/>
  <c r="J117" i="9" s="1"/>
  <c r="M116" i="9"/>
  <c r="C117" i="9" s="1"/>
  <c r="I117" i="9" s="1"/>
  <c r="L116" i="9"/>
  <c r="B117" i="9" s="1"/>
  <c r="H117" i="9" s="1"/>
  <c r="K117" i="9" s="1" a="1"/>
  <c r="K117" i="9" s="1"/>
  <c r="N113" i="8"/>
  <c r="D114" i="8" s="1"/>
  <c r="J114" i="8" s="1"/>
  <c r="M113" i="8"/>
  <c r="C114" i="8" s="1"/>
  <c r="I114" i="8" s="1"/>
  <c r="L113" i="8"/>
  <c r="B114" i="8" s="1"/>
  <c r="H114" i="8" s="1"/>
  <c r="K114" i="8" s="1" a="1"/>
  <c r="K114" i="8" s="1"/>
  <c r="K117" i="7" a="1"/>
  <c r="K117" i="7" s="1"/>
  <c r="N118" i="4"/>
  <c r="D119" i="4" s="1"/>
  <c r="J119" i="4" s="1"/>
  <c r="M118" i="4"/>
  <c r="C119" i="4" s="1"/>
  <c r="I119" i="4" s="1"/>
  <c r="L118" i="4"/>
  <c r="B119" i="4" s="1"/>
  <c r="H119" i="4" s="1"/>
  <c r="N97" i="2"/>
  <c r="D98" i="2" s="1"/>
  <c r="J98" i="2" s="1"/>
  <c r="L97" i="2"/>
  <c r="B98" i="2" s="1"/>
  <c r="H98" i="2" s="1"/>
  <c r="L121" i="11" l="1"/>
  <c r="B122" i="11" s="1"/>
  <c r="H122" i="11" s="1"/>
  <c r="M121" i="11"/>
  <c r="C122" i="11" s="1"/>
  <c r="I122" i="11" s="1"/>
  <c r="N121" i="11"/>
  <c r="D122" i="11" s="1"/>
  <c r="J122" i="11" s="1"/>
  <c r="K128" i="10" a="1"/>
  <c r="K128" i="10" s="1"/>
  <c r="N117" i="9"/>
  <c r="D118" i="9" s="1"/>
  <c r="J118" i="9" s="1"/>
  <c r="L117" i="9"/>
  <c r="B118" i="9" s="1"/>
  <c r="H118" i="9" s="1"/>
  <c r="M117" i="9"/>
  <c r="C118" i="9" s="1"/>
  <c r="I118" i="9" s="1"/>
  <c r="N114" i="8"/>
  <c r="D115" i="8" s="1"/>
  <c r="J115" i="8" s="1"/>
  <c r="M114" i="8"/>
  <c r="C115" i="8" s="1"/>
  <c r="I115" i="8" s="1"/>
  <c r="L114" i="8"/>
  <c r="B115" i="8" s="1"/>
  <c r="H115" i="8" s="1"/>
  <c r="N117" i="7"/>
  <c r="D118" i="7" s="1"/>
  <c r="J118" i="7" s="1"/>
  <c r="M117" i="7"/>
  <c r="C118" i="7" s="1"/>
  <c r="I118" i="7" s="1"/>
  <c r="L117" i="7"/>
  <c r="B118" i="7" s="1"/>
  <c r="H118" i="7" s="1"/>
  <c r="K118" i="7" s="1" a="1"/>
  <c r="K118" i="7" s="1"/>
  <c r="K119" i="4" a="1"/>
  <c r="K119" i="4" s="1"/>
  <c r="K98" i="2" a="1"/>
  <c r="K98" i="2" s="1"/>
  <c r="L98" i="2" s="1"/>
  <c r="B99" i="2" s="1"/>
  <c r="H99" i="2" s="1"/>
  <c r="K122" i="11" l="1" a="1"/>
  <c r="K122" i="11" s="1"/>
  <c r="M128" i="10"/>
  <c r="C129" i="10" s="1"/>
  <c r="I129" i="10" s="1"/>
  <c r="N128" i="10"/>
  <c r="D129" i="10" s="1"/>
  <c r="J129" i="10" s="1"/>
  <c r="L128" i="10"/>
  <c r="B129" i="10" s="1"/>
  <c r="H129" i="10" s="1"/>
  <c r="K129" i="10" s="1" a="1"/>
  <c r="K129" i="10" s="1"/>
  <c r="K118" i="9" a="1"/>
  <c r="K118" i="9" s="1"/>
  <c r="K115" i="8" a="1"/>
  <c r="K115" i="8" s="1"/>
  <c r="M118" i="7"/>
  <c r="C119" i="7" s="1"/>
  <c r="I119" i="7" s="1"/>
  <c r="N118" i="7"/>
  <c r="D119" i="7" s="1"/>
  <c r="J119" i="7" s="1"/>
  <c r="L118" i="7"/>
  <c r="B119" i="7" s="1"/>
  <c r="H119" i="7" s="1"/>
  <c r="K119" i="7" s="1" a="1"/>
  <c r="K119" i="7" s="1"/>
  <c r="N119" i="4"/>
  <c r="D120" i="4" s="1"/>
  <c r="J120" i="4" s="1"/>
  <c r="M119" i="4"/>
  <c r="C120" i="4" s="1"/>
  <c r="I120" i="4" s="1"/>
  <c r="L119" i="4"/>
  <c r="B120" i="4" s="1"/>
  <c r="H120" i="4" s="1"/>
  <c r="K120" i="4" s="1" a="1"/>
  <c r="K120" i="4" s="1"/>
  <c r="N98" i="2"/>
  <c r="D99" i="2" s="1"/>
  <c r="J99" i="2" s="1"/>
  <c r="M98" i="2"/>
  <c r="C99" i="2" s="1"/>
  <c r="L122" i="11" l="1"/>
  <c r="B123" i="11" s="1"/>
  <c r="H123" i="11" s="1"/>
  <c r="M122" i="11"/>
  <c r="C123" i="11" s="1"/>
  <c r="I123" i="11" s="1"/>
  <c r="N122" i="11"/>
  <c r="D123" i="11" s="1"/>
  <c r="J123" i="11" s="1"/>
  <c r="N129" i="10"/>
  <c r="D130" i="10" s="1"/>
  <c r="J130" i="10" s="1"/>
  <c r="M129" i="10"/>
  <c r="C130" i="10" s="1"/>
  <c r="I130" i="10" s="1"/>
  <c r="L129" i="10"/>
  <c r="B130" i="10" s="1"/>
  <c r="H130" i="10" s="1"/>
  <c r="K130" i="10" s="1" a="1"/>
  <c r="K130" i="10" s="1"/>
  <c r="N118" i="9"/>
  <c r="D119" i="9" s="1"/>
  <c r="J119" i="9" s="1"/>
  <c r="M118" i="9"/>
  <c r="C119" i="9" s="1"/>
  <c r="I119" i="9" s="1"/>
  <c r="L118" i="9"/>
  <c r="B119" i="9" s="1"/>
  <c r="H119" i="9" s="1"/>
  <c r="K119" i="9" s="1" a="1"/>
  <c r="K119" i="9" s="1"/>
  <c r="N115" i="8"/>
  <c r="D116" i="8" s="1"/>
  <c r="J116" i="8" s="1"/>
  <c r="M115" i="8"/>
  <c r="C116" i="8" s="1"/>
  <c r="I116" i="8" s="1"/>
  <c r="L115" i="8"/>
  <c r="B116" i="8" s="1"/>
  <c r="H116" i="8" s="1"/>
  <c r="N119" i="7"/>
  <c r="D120" i="7" s="1"/>
  <c r="J120" i="7" s="1"/>
  <c r="L119" i="7"/>
  <c r="B120" i="7" s="1"/>
  <c r="H120" i="7" s="1"/>
  <c r="K120" i="7" s="1" a="1"/>
  <c r="K120" i="7" s="1"/>
  <c r="M119" i="7"/>
  <c r="C120" i="7" s="1"/>
  <c r="I120" i="7" s="1"/>
  <c r="N120" i="4"/>
  <c r="D121" i="4" s="1"/>
  <c r="J121" i="4" s="1"/>
  <c r="M120" i="4"/>
  <c r="C121" i="4" s="1"/>
  <c r="I121" i="4" s="1"/>
  <c r="L120" i="4"/>
  <c r="B121" i="4" s="1"/>
  <c r="H121" i="4" s="1"/>
  <c r="K121" i="4" s="1" a="1"/>
  <c r="K121" i="4" s="1"/>
  <c r="I99" i="2"/>
  <c r="K99" i="2" s="1" a="1"/>
  <c r="K99" i="2" s="1"/>
  <c r="K123" i="11" l="1" a="1"/>
  <c r="K123" i="11" s="1"/>
  <c r="N130" i="10"/>
  <c r="D131" i="10" s="1"/>
  <c r="J131" i="10" s="1"/>
  <c r="M130" i="10"/>
  <c r="C131" i="10" s="1"/>
  <c r="I131" i="10" s="1"/>
  <c r="L130" i="10"/>
  <c r="B131" i="10" s="1"/>
  <c r="H131" i="10" s="1"/>
  <c r="K131" i="10" s="1" a="1"/>
  <c r="K131" i="10" s="1"/>
  <c r="N119" i="9"/>
  <c r="D120" i="9" s="1"/>
  <c r="J120" i="9" s="1"/>
  <c r="M119" i="9"/>
  <c r="C120" i="9" s="1"/>
  <c r="I120" i="9" s="1"/>
  <c r="L119" i="9"/>
  <c r="B120" i="9" s="1"/>
  <c r="H120" i="9" s="1"/>
  <c r="K120" i="9" s="1" a="1"/>
  <c r="K120" i="9" s="1"/>
  <c r="K116" i="8" a="1"/>
  <c r="K116" i="8" s="1"/>
  <c r="M120" i="7"/>
  <c r="C121" i="7" s="1"/>
  <c r="I121" i="7" s="1"/>
  <c r="N120" i="7"/>
  <c r="D121" i="7" s="1"/>
  <c r="J121" i="7" s="1"/>
  <c r="L120" i="7"/>
  <c r="B121" i="7" s="1"/>
  <c r="H121" i="7" s="1"/>
  <c r="K121" i="7" s="1" a="1"/>
  <c r="K121" i="7" s="1"/>
  <c r="N121" i="4"/>
  <c r="D122" i="4" s="1"/>
  <c r="J122" i="4" s="1"/>
  <c r="M121" i="4"/>
  <c r="C122" i="4" s="1"/>
  <c r="I122" i="4" s="1"/>
  <c r="L121" i="4"/>
  <c r="B122" i="4" s="1"/>
  <c r="H122" i="4" s="1"/>
  <c r="K122" i="4" s="1" a="1"/>
  <c r="K122" i="4" s="1"/>
  <c r="N99" i="2"/>
  <c r="D100" i="2" s="1"/>
  <c r="J100" i="2" s="1"/>
  <c r="K100" i="2" s="1" a="1"/>
  <c r="K100" i="2" s="1"/>
  <c r="L99" i="2"/>
  <c r="B100" i="2" s="1"/>
  <c r="H100" i="2" s="1"/>
  <c r="M99" i="2"/>
  <c r="C100" i="2" s="1"/>
  <c r="I100" i="2" s="1"/>
  <c r="M123" i="11" l="1"/>
  <c r="C124" i="11" s="1"/>
  <c r="I124" i="11" s="1"/>
  <c r="L123" i="11"/>
  <c r="B124" i="11" s="1"/>
  <c r="H124" i="11" s="1"/>
  <c r="N123" i="11"/>
  <c r="D124" i="11" s="1"/>
  <c r="J124" i="11" s="1"/>
  <c r="N131" i="10"/>
  <c r="D132" i="10" s="1"/>
  <c r="J132" i="10" s="1"/>
  <c r="M131" i="10"/>
  <c r="C132" i="10" s="1"/>
  <c r="I132" i="10" s="1"/>
  <c r="L131" i="10"/>
  <c r="B132" i="10" s="1"/>
  <c r="H132" i="10" s="1"/>
  <c r="K132" i="10" s="1" a="1"/>
  <c r="K132" i="10" s="1"/>
  <c r="N120" i="9"/>
  <c r="D121" i="9" s="1"/>
  <c r="J121" i="9" s="1"/>
  <c r="M120" i="9"/>
  <c r="C121" i="9" s="1"/>
  <c r="I121" i="9" s="1"/>
  <c r="L120" i="9"/>
  <c r="B121" i="9" s="1"/>
  <c r="H121" i="9" s="1"/>
  <c r="K121" i="9" s="1" a="1"/>
  <c r="K121" i="9" s="1"/>
  <c r="N116" i="8"/>
  <c r="D117" i="8" s="1"/>
  <c r="J117" i="8" s="1"/>
  <c r="M116" i="8"/>
  <c r="C117" i="8" s="1"/>
  <c r="I117" i="8" s="1"/>
  <c r="L116" i="8"/>
  <c r="B117" i="8" s="1"/>
  <c r="H117" i="8" s="1"/>
  <c r="N121" i="7"/>
  <c r="D122" i="7" s="1"/>
  <c r="J122" i="7" s="1"/>
  <c r="M121" i="7"/>
  <c r="C122" i="7" s="1"/>
  <c r="I122" i="7" s="1"/>
  <c r="L121" i="7"/>
  <c r="B122" i="7" s="1"/>
  <c r="H122" i="7" s="1"/>
  <c r="K122" i="7" s="1" a="1"/>
  <c r="K122" i="7" s="1"/>
  <c r="L122" i="4"/>
  <c r="B123" i="4" s="1"/>
  <c r="H123" i="4" s="1"/>
  <c r="N122" i="4"/>
  <c r="D123" i="4" s="1"/>
  <c r="J123" i="4" s="1"/>
  <c r="M122" i="4"/>
  <c r="C123" i="4" s="1"/>
  <c r="I123" i="4" s="1"/>
  <c r="M100" i="2"/>
  <c r="C101" i="2" s="1"/>
  <c r="I101" i="2" s="1"/>
  <c r="L100" i="2"/>
  <c r="B101" i="2" s="1"/>
  <c r="H101" i="2" s="1"/>
  <c r="N100" i="2"/>
  <c r="D101" i="2" s="1"/>
  <c r="J101" i="2" s="1"/>
  <c r="K124" i="11" l="1" a="1"/>
  <c r="K124" i="11" s="1"/>
  <c r="N132" i="10"/>
  <c r="D133" i="10" s="1"/>
  <c r="J133" i="10" s="1"/>
  <c r="M132" i="10"/>
  <c r="C133" i="10" s="1"/>
  <c r="I133" i="10" s="1"/>
  <c r="L132" i="10"/>
  <c r="B133" i="10" s="1"/>
  <c r="H133" i="10" s="1"/>
  <c r="K133" i="10" s="1" a="1"/>
  <c r="K133" i="10" s="1"/>
  <c r="N121" i="9"/>
  <c r="D122" i="9" s="1"/>
  <c r="J122" i="9" s="1"/>
  <c r="M121" i="9"/>
  <c r="C122" i="9" s="1"/>
  <c r="I122" i="9" s="1"/>
  <c r="L121" i="9"/>
  <c r="B122" i="9" s="1"/>
  <c r="H122" i="9" s="1"/>
  <c r="K122" i="9" s="1" a="1"/>
  <c r="K122" i="9" s="1"/>
  <c r="K117" i="8" a="1"/>
  <c r="K117" i="8" s="1"/>
  <c r="L122" i="7"/>
  <c r="B123" i="7" s="1"/>
  <c r="H123" i="7" s="1"/>
  <c r="N122" i="7"/>
  <c r="D123" i="7" s="1"/>
  <c r="J123" i="7" s="1"/>
  <c r="M122" i="7"/>
  <c r="C123" i="7" s="1"/>
  <c r="I123" i="7" s="1"/>
  <c r="K123" i="4" a="1"/>
  <c r="K123" i="4" s="1"/>
  <c r="K101" i="2" a="1"/>
  <c r="K101" i="2" s="1"/>
  <c r="N101" i="2" s="1"/>
  <c r="D102" i="2" s="1"/>
  <c r="J102" i="2" s="1"/>
  <c r="N124" i="11" l="1"/>
  <c r="D125" i="11" s="1"/>
  <c r="J125" i="11" s="1"/>
  <c r="M124" i="11"/>
  <c r="C125" i="11" s="1"/>
  <c r="I125" i="11" s="1"/>
  <c r="L124" i="11"/>
  <c r="B125" i="11" s="1"/>
  <c r="H125" i="11" s="1"/>
  <c r="N133" i="10"/>
  <c r="D134" i="10" s="1"/>
  <c r="J134" i="10" s="1"/>
  <c r="M133" i="10"/>
  <c r="C134" i="10" s="1"/>
  <c r="I134" i="10" s="1"/>
  <c r="L133" i="10"/>
  <c r="B134" i="10" s="1"/>
  <c r="H134" i="10" s="1"/>
  <c r="L122" i="9"/>
  <c r="B123" i="9" s="1"/>
  <c r="H123" i="9" s="1"/>
  <c r="N122" i="9"/>
  <c r="D123" i="9" s="1"/>
  <c r="J123" i="9" s="1"/>
  <c r="M122" i="9"/>
  <c r="C123" i="9" s="1"/>
  <c r="I123" i="9" s="1"/>
  <c r="N117" i="8"/>
  <c r="D118" i="8" s="1"/>
  <c r="J118" i="8" s="1"/>
  <c r="M117" i="8"/>
  <c r="C118" i="8" s="1"/>
  <c r="I118" i="8" s="1"/>
  <c r="L117" i="8"/>
  <c r="B118" i="8" s="1"/>
  <c r="H118" i="8" s="1"/>
  <c r="K123" i="7" a="1"/>
  <c r="K123" i="7" s="1"/>
  <c r="M123" i="4"/>
  <c r="C124" i="4" s="1"/>
  <c r="I124" i="4" s="1"/>
  <c r="L123" i="4"/>
  <c r="B124" i="4" s="1"/>
  <c r="H124" i="4" s="1"/>
  <c r="N123" i="4"/>
  <c r="D124" i="4" s="1"/>
  <c r="J124" i="4" s="1"/>
  <c r="L101" i="2"/>
  <c r="B102" i="2" s="1"/>
  <c r="H102" i="2" s="1"/>
  <c r="M101" i="2"/>
  <c r="C102" i="2" s="1"/>
  <c r="I102" i="2" s="1"/>
  <c r="K125" i="11" l="1" a="1"/>
  <c r="K125" i="11" s="1"/>
  <c r="K134" i="10" a="1"/>
  <c r="K134" i="10" s="1"/>
  <c r="K123" i="9" a="1"/>
  <c r="K123" i="9" s="1"/>
  <c r="K118" i="8" a="1"/>
  <c r="K118" i="8" s="1"/>
  <c r="M123" i="7"/>
  <c r="C124" i="7" s="1"/>
  <c r="I124" i="7" s="1"/>
  <c r="L123" i="7"/>
  <c r="B124" i="7" s="1"/>
  <c r="H124" i="7" s="1"/>
  <c r="N123" i="7"/>
  <c r="D124" i="7" s="1"/>
  <c r="J124" i="7" s="1"/>
  <c r="K124" i="4" a="1"/>
  <c r="K124" i="4" s="1"/>
  <c r="K102" i="2" a="1"/>
  <c r="K102" i="2" s="1"/>
  <c r="L102" i="2" s="1"/>
  <c r="B103" i="2" s="1"/>
  <c r="H103" i="2" s="1"/>
  <c r="N125" i="11" l="1"/>
  <c r="D126" i="11" s="1"/>
  <c r="J126" i="11" s="1"/>
  <c r="M125" i="11"/>
  <c r="C126" i="11" s="1"/>
  <c r="I126" i="11" s="1"/>
  <c r="L125" i="11"/>
  <c r="B126" i="11" s="1"/>
  <c r="H126" i="11" s="1"/>
  <c r="L134" i="10"/>
  <c r="B135" i="10" s="1"/>
  <c r="H135" i="10" s="1"/>
  <c r="N134" i="10"/>
  <c r="D135" i="10" s="1"/>
  <c r="J135" i="10" s="1"/>
  <c r="M134" i="10"/>
  <c r="C135" i="10" s="1"/>
  <c r="I135" i="10" s="1"/>
  <c r="M123" i="9"/>
  <c r="C124" i="9" s="1"/>
  <c r="I124" i="9" s="1"/>
  <c r="L123" i="9"/>
  <c r="B124" i="9" s="1"/>
  <c r="H124" i="9" s="1"/>
  <c r="N123" i="9"/>
  <c r="D124" i="9" s="1"/>
  <c r="J124" i="9" s="1"/>
  <c r="N118" i="8"/>
  <c r="D119" i="8" s="1"/>
  <c r="J119" i="8" s="1"/>
  <c r="M118" i="8"/>
  <c r="C119" i="8" s="1"/>
  <c r="I119" i="8" s="1"/>
  <c r="L118" i="8"/>
  <c r="B119" i="8" s="1"/>
  <c r="H119" i="8" s="1"/>
  <c r="K124" i="7" a="1"/>
  <c r="K124" i="7" s="1"/>
  <c r="N124" i="4"/>
  <c r="D125" i="4" s="1"/>
  <c r="J125" i="4" s="1"/>
  <c r="M124" i="4"/>
  <c r="C125" i="4" s="1"/>
  <c r="I125" i="4" s="1"/>
  <c r="L124" i="4"/>
  <c r="B125" i="4" s="1"/>
  <c r="H125" i="4" s="1"/>
  <c r="K125" i="4" s="1" a="1"/>
  <c r="K125" i="4" s="1"/>
  <c r="M102" i="2"/>
  <c r="C103" i="2" s="1"/>
  <c r="I103" i="2" s="1"/>
  <c r="N102" i="2"/>
  <c r="D103" i="2" s="1"/>
  <c r="J103" i="2" s="1"/>
  <c r="K126" i="11" l="1" a="1"/>
  <c r="K126" i="11" s="1"/>
  <c r="K135" i="10" a="1"/>
  <c r="K135" i="10" s="1"/>
  <c r="K124" i="9" a="1"/>
  <c r="K124" i="9" s="1"/>
  <c r="K119" i="8" a="1"/>
  <c r="K119" i="8" s="1"/>
  <c r="N124" i="7"/>
  <c r="D125" i="7" s="1"/>
  <c r="J125" i="7" s="1"/>
  <c r="M124" i="7"/>
  <c r="C125" i="7" s="1"/>
  <c r="I125" i="7" s="1"/>
  <c r="L124" i="7"/>
  <c r="B125" i="7" s="1"/>
  <c r="H125" i="7" s="1"/>
  <c r="K125" i="7" s="1" a="1"/>
  <c r="K125" i="7" s="1"/>
  <c r="N125" i="4"/>
  <c r="D126" i="4" s="1"/>
  <c r="J126" i="4" s="1"/>
  <c r="M125" i="4"/>
  <c r="C126" i="4" s="1"/>
  <c r="I126" i="4" s="1"/>
  <c r="L125" i="4"/>
  <c r="B126" i="4" s="1"/>
  <c r="H126" i="4" s="1"/>
  <c r="K126" i="4" s="1" a="1"/>
  <c r="K126" i="4" s="1"/>
  <c r="K103" i="2" a="1"/>
  <c r="K103" i="2" s="1"/>
  <c r="L103" i="2" s="1"/>
  <c r="B104" i="2" s="1"/>
  <c r="H104" i="2" s="1"/>
  <c r="N126" i="11" l="1"/>
  <c r="D127" i="11" s="1"/>
  <c r="J127" i="11" s="1"/>
  <c r="M126" i="11"/>
  <c r="C127" i="11" s="1"/>
  <c r="I127" i="11" s="1"/>
  <c r="L126" i="11"/>
  <c r="B127" i="11" s="1"/>
  <c r="H127" i="11" s="1"/>
  <c r="M135" i="10"/>
  <c r="C136" i="10" s="1"/>
  <c r="I136" i="10" s="1"/>
  <c r="L135" i="10"/>
  <c r="B136" i="10" s="1"/>
  <c r="H136" i="10" s="1"/>
  <c r="N135" i="10"/>
  <c r="D136" i="10" s="1"/>
  <c r="J136" i="10" s="1"/>
  <c r="N124" i="9"/>
  <c r="D125" i="9" s="1"/>
  <c r="J125" i="9" s="1"/>
  <c r="M124" i="9"/>
  <c r="C125" i="9" s="1"/>
  <c r="I125" i="9" s="1"/>
  <c r="L124" i="9"/>
  <c r="B125" i="9" s="1"/>
  <c r="H125" i="9" s="1"/>
  <c r="N119" i="8"/>
  <c r="D120" i="8" s="1"/>
  <c r="J120" i="8" s="1"/>
  <c r="M119" i="8"/>
  <c r="C120" i="8" s="1"/>
  <c r="I120" i="8" s="1"/>
  <c r="L119" i="8"/>
  <c r="B120" i="8" s="1"/>
  <c r="H120" i="8" s="1"/>
  <c r="K120" i="8" s="1" a="1"/>
  <c r="K120" i="8" s="1"/>
  <c r="N125" i="7"/>
  <c r="D126" i="7" s="1"/>
  <c r="J126" i="7" s="1"/>
  <c r="M125" i="7"/>
  <c r="C126" i="7" s="1"/>
  <c r="I126" i="7" s="1"/>
  <c r="L125" i="7"/>
  <c r="B126" i="7" s="1"/>
  <c r="H126" i="7" s="1"/>
  <c r="K126" i="7" s="1" a="1"/>
  <c r="K126" i="7" s="1"/>
  <c r="N126" i="4"/>
  <c r="D127" i="4" s="1"/>
  <c r="J127" i="4" s="1"/>
  <c r="M126" i="4"/>
  <c r="C127" i="4" s="1"/>
  <c r="I127" i="4" s="1"/>
  <c r="L126" i="4"/>
  <c r="B127" i="4" s="1"/>
  <c r="H127" i="4" s="1"/>
  <c r="K127" i="4" s="1" a="1"/>
  <c r="K127" i="4" s="1"/>
  <c r="N103" i="2"/>
  <c r="D104" i="2" s="1"/>
  <c r="J104" i="2" s="1"/>
  <c r="M103" i="2"/>
  <c r="C104" i="2" s="1"/>
  <c r="K127" i="11" l="1" a="1"/>
  <c r="K127" i="11" s="1"/>
  <c r="K136" i="10" a="1"/>
  <c r="K136" i="10" s="1"/>
  <c r="K125" i="9" a="1"/>
  <c r="K125" i="9" s="1"/>
  <c r="N120" i="8"/>
  <c r="D121" i="8" s="1"/>
  <c r="J121" i="8" s="1"/>
  <c r="M120" i="8"/>
  <c r="C121" i="8" s="1"/>
  <c r="I121" i="8" s="1"/>
  <c r="L120" i="8"/>
  <c r="B121" i="8" s="1"/>
  <c r="H121" i="8" s="1"/>
  <c r="K121" i="8" s="1" a="1"/>
  <c r="K121" i="8" s="1"/>
  <c r="N126" i="7"/>
  <c r="D127" i="7" s="1"/>
  <c r="J127" i="7" s="1"/>
  <c r="M126" i="7"/>
  <c r="C127" i="7" s="1"/>
  <c r="I127" i="7" s="1"/>
  <c r="L126" i="7"/>
  <c r="B127" i="7" s="1"/>
  <c r="H127" i="7" s="1"/>
  <c r="N127" i="4"/>
  <c r="D128" i="4" s="1"/>
  <c r="J128" i="4" s="1"/>
  <c r="M127" i="4"/>
  <c r="C128" i="4" s="1"/>
  <c r="I128" i="4" s="1"/>
  <c r="L127" i="4"/>
  <c r="B128" i="4" s="1"/>
  <c r="H128" i="4" s="1"/>
  <c r="K128" i="4" s="1" a="1"/>
  <c r="K128" i="4" s="1"/>
  <c r="I104" i="2"/>
  <c r="K104" i="2" s="1" a="1"/>
  <c r="K104" i="2" s="1"/>
  <c r="N127" i="11" l="1"/>
  <c r="D128" i="11" s="1"/>
  <c r="J128" i="11" s="1"/>
  <c r="M127" i="11"/>
  <c r="C128" i="11" s="1"/>
  <c r="I128" i="11" s="1"/>
  <c r="L127" i="11"/>
  <c r="B128" i="11" s="1"/>
  <c r="H128" i="11" s="1"/>
  <c r="N136" i="10"/>
  <c r="D137" i="10" s="1"/>
  <c r="J137" i="10" s="1"/>
  <c r="M136" i="10"/>
  <c r="C137" i="10" s="1"/>
  <c r="I137" i="10" s="1"/>
  <c r="L136" i="10"/>
  <c r="B137" i="10" s="1"/>
  <c r="H137" i="10" s="1"/>
  <c r="N125" i="9"/>
  <c r="D126" i="9" s="1"/>
  <c r="J126" i="9" s="1"/>
  <c r="M125" i="9"/>
  <c r="C126" i="9" s="1"/>
  <c r="I126" i="9" s="1"/>
  <c r="L125" i="9"/>
  <c r="B126" i="9" s="1"/>
  <c r="H126" i="9" s="1"/>
  <c r="N121" i="8"/>
  <c r="D122" i="8" s="1"/>
  <c r="J122" i="8" s="1"/>
  <c r="M121" i="8"/>
  <c r="C122" i="8" s="1"/>
  <c r="I122" i="8" s="1"/>
  <c r="L121" i="8"/>
  <c r="B122" i="8" s="1"/>
  <c r="H122" i="8" s="1"/>
  <c r="K127" i="7" a="1"/>
  <c r="K127" i="7" s="1"/>
  <c r="N128" i="4"/>
  <c r="D129" i="4" s="1"/>
  <c r="J129" i="4" s="1"/>
  <c r="M128" i="4"/>
  <c r="C129" i="4" s="1"/>
  <c r="I129" i="4" s="1"/>
  <c r="L128" i="4"/>
  <c r="B129" i="4" s="1"/>
  <c r="H129" i="4" s="1"/>
  <c r="L104" i="2"/>
  <c r="B105" i="2" s="1"/>
  <c r="H105" i="2" s="1"/>
  <c r="M104" i="2"/>
  <c r="C105" i="2" s="1"/>
  <c r="I105" i="2" s="1"/>
  <c r="N104" i="2"/>
  <c r="D105" i="2" s="1"/>
  <c r="J105" i="2" s="1"/>
  <c r="K128" i="11" l="1" a="1"/>
  <c r="K128" i="11" s="1"/>
  <c r="K137" i="10" a="1"/>
  <c r="K137" i="10" s="1"/>
  <c r="K126" i="9" a="1"/>
  <c r="K126" i="9" s="1"/>
  <c r="K122" i="8" a="1"/>
  <c r="K122" i="8" s="1"/>
  <c r="N127" i="7"/>
  <c r="D128" i="7" s="1"/>
  <c r="J128" i="7" s="1"/>
  <c r="M127" i="7"/>
  <c r="C128" i="7" s="1"/>
  <c r="I128" i="7" s="1"/>
  <c r="L127" i="7"/>
  <c r="B128" i="7" s="1"/>
  <c r="H128" i="7" s="1"/>
  <c r="K128" i="7" s="1" a="1"/>
  <c r="K128" i="7" s="1"/>
  <c r="K129" i="4" a="1"/>
  <c r="K129" i="4" s="1"/>
  <c r="K105" i="2" a="1"/>
  <c r="K105" i="2" s="1"/>
  <c r="N128" i="11" l="1"/>
  <c r="D129" i="11" s="1"/>
  <c r="J129" i="11" s="1"/>
  <c r="M128" i="11"/>
  <c r="C129" i="11" s="1"/>
  <c r="I129" i="11" s="1"/>
  <c r="L128" i="11"/>
  <c r="B129" i="11" s="1"/>
  <c r="H129" i="11" s="1"/>
  <c r="K129" i="11" s="1" a="1"/>
  <c r="K129" i="11" s="1"/>
  <c r="N137" i="10"/>
  <c r="D138" i="10" s="1"/>
  <c r="J138" i="10" s="1"/>
  <c r="M137" i="10"/>
  <c r="C138" i="10" s="1"/>
  <c r="I138" i="10" s="1"/>
  <c r="L137" i="10"/>
  <c r="B138" i="10" s="1"/>
  <c r="H138" i="10" s="1"/>
  <c r="K138" i="10" s="1" a="1"/>
  <c r="K138" i="10" s="1"/>
  <c r="N126" i="9"/>
  <c r="D127" i="9" s="1"/>
  <c r="J127" i="9" s="1"/>
  <c r="M126" i="9"/>
  <c r="C127" i="9" s="1"/>
  <c r="I127" i="9" s="1"/>
  <c r="L126" i="9"/>
  <c r="B127" i="9" s="1"/>
  <c r="H127" i="9" s="1"/>
  <c r="L122" i="8"/>
  <c r="B123" i="8" s="1"/>
  <c r="H123" i="8" s="1"/>
  <c r="N122" i="8"/>
  <c r="D123" i="8" s="1"/>
  <c r="J123" i="8" s="1"/>
  <c r="M122" i="8"/>
  <c r="C123" i="8" s="1"/>
  <c r="I123" i="8" s="1"/>
  <c r="N128" i="7"/>
  <c r="D129" i="7" s="1"/>
  <c r="J129" i="7" s="1"/>
  <c r="M128" i="7"/>
  <c r="C129" i="7" s="1"/>
  <c r="I129" i="7" s="1"/>
  <c r="L128" i="7"/>
  <c r="B129" i="7" s="1"/>
  <c r="H129" i="7" s="1"/>
  <c r="K129" i="7" s="1" a="1"/>
  <c r="K129" i="7" s="1"/>
  <c r="N129" i="4"/>
  <c r="D130" i="4" s="1"/>
  <c r="J130" i="4" s="1"/>
  <c r="M129" i="4"/>
  <c r="C130" i="4" s="1"/>
  <c r="I130" i="4" s="1"/>
  <c r="L129" i="4"/>
  <c r="B130" i="4" s="1"/>
  <c r="H130" i="4" s="1"/>
  <c r="N105" i="2"/>
  <c r="D106" i="2" s="1"/>
  <c r="J106" i="2" s="1"/>
  <c r="L105" i="2"/>
  <c r="B106" i="2" s="1"/>
  <c r="H106" i="2" s="1"/>
  <c r="M105" i="2"/>
  <c r="C106" i="2" s="1"/>
  <c r="I106" i="2" s="1"/>
  <c r="N129" i="11" l="1"/>
  <c r="D130" i="11" s="1"/>
  <c r="J130" i="11" s="1"/>
  <c r="M129" i="11"/>
  <c r="C130" i="11" s="1"/>
  <c r="I130" i="11" s="1"/>
  <c r="L129" i="11"/>
  <c r="B130" i="11" s="1"/>
  <c r="H130" i="11" s="1"/>
  <c r="K130" i="11" s="1" a="1"/>
  <c r="K130" i="11" s="1"/>
  <c r="N138" i="10"/>
  <c r="D139" i="10" s="1"/>
  <c r="J139" i="10" s="1"/>
  <c r="M138" i="10"/>
  <c r="C139" i="10" s="1"/>
  <c r="I139" i="10" s="1"/>
  <c r="L138" i="10"/>
  <c r="B139" i="10" s="1"/>
  <c r="H139" i="10" s="1"/>
  <c r="K139" i="10" s="1" a="1"/>
  <c r="K139" i="10" s="1"/>
  <c r="K127" i="9" a="1"/>
  <c r="K127" i="9" s="1"/>
  <c r="K123" i="8" a="1"/>
  <c r="K123" i="8" s="1"/>
  <c r="N129" i="7"/>
  <c r="D130" i="7" s="1"/>
  <c r="J130" i="7" s="1"/>
  <c r="M129" i="7"/>
  <c r="C130" i="7" s="1"/>
  <c r="I130" i="7" s="1"/>
  <c r="L129" i="7"/>
  <c r="B130" i="7" s="1"/>
  <c r="H130" i="7" s="1"/>
  <c r="K130" i="7" s="1" a="1"/>
  <c r="K130" i="7" s="1"/>
  <c r="K130" i="4" a="1"/>
  <c r="K130" i="4" s="1"/>
  <c r="K106" i="2" a="1"/>
  <c r="K106" i="2" s="1"/>
  <c r="L106" i="2" s="1"/>
  <c r="B107" i="2" s="1"/>
  <c r="H107" i="2" s="1"/>
  <c r="N130" i="11" l="1"/>
  <c r="D131" i="11" s="1"/>
  <c r="J131" i="11" s="1"/>
  <c r="L130" i="11"/>
  <c r="B131" i="11" s="1"/>
  <c r="H131" i="11" s="1"/>
  <c r="M130" i="11"/>
  <c r="C131" i="11" s="1"/>
  <c r="I131" i="11" s="1"/>
  <c r="N139" i="10"/>
  <c r="D140" i="10" s="1"/>
  <c r="J140" i="10" s="1"/>
  <c r="M139" i="10"/>
  <c r="C140" i="10" s="1"/>
  <c r="I140" i="10" s="1"/>
  <c r="L139" i="10"/>
  <c r="B140" i="10" s="1"/>
  <c r="H140" i="10" s="1"/>
  <c r="K140" i="10" s="1" a="1"/>
  <c r="K140" i="10" s="1"/>
  <c r="N127" i="9"/>
  <c r="D128" i="9" s="1"/>
  <c r="J128" i="9" s="1"/>
  <c r="M127" i="9"/>
  <c r="C128" i="9" s="1"/>
  <c r="I128" i="9" s="1"/>
  <c r="L127" i="9"/>
  <c r="B128" i="9" s="1"/>
  <c r="H128" i="9" s="1"/>
  <c r="M123" i="8"/>
  <c r="C124" i="8" s="1"/>
  <c r="I124" i="8" s="1"/>
  <c r="L123" i="8"/>
  <c r="B124" i="8" s="1"/>
  <c r="H124" i="8" s="1"/>
  <c r="K124" i="8" s="1" a="1"/>
  <c r="K124" i="8" s="1"/>
  <c r="N123" i="8"/>
  <c r="D124" i="8" s="1"/>
  <c r="J124" i="8" s="1"/>
  <c r="N130" i="7"/>
  <c r="D131" i="7" s="1"/>
  <c r="J131" i="7" s="1"/>
  <c r="M130" i="7"/>
  <c r="C131" i="7" s="1"/>
  <c r="I131" i="7" s="1"/>
  <c r="L130" i="7"/>
  <c r="B131" i="7" s="1"/>
  <c r="H131" i="7" s="1"/>
  <c r="K131" i="7" s="1" a="1"/>
  <c r="K131" i="7" s="1"/>
  <c r="N130" i="4"/>
  <c r="D131" i="4" s="1"/>
  <c r="J131" i="4" s="1"/>
  <c r="M130" i="4"/>
  <c r="C131" i="4" s="1"/>
  <c r="I131" i="4" s="1"/>
  <c r="L130" i="4"/>
  <c r="B131" i="4" s="1"/>
  <c r="H131" i="4" s="1"/>
  <c r="M106" i="2"/>
  <c r="C107" i="2" s="1"/>
  <c r="I107" i="2" s="1"/>
  <c r="N106" i="2"/>
  <c r="D107" i="2" s="1"/>
  <c r="J107" i="2" s="1"/>
  <c r="K131" i="11" l="1" a="1"/>
  <c r="K131" i="11" s="1"/>
  <c r="N140" i="10"/>
  <c r="D141" i="10" s="1"/>
  <c r="J141" i="10" s="1"/>
  <c r="M140" i="10"/>
  <c r="C141" i="10" s="1"/>
  <c r="I141" i="10" s="1"/>
  <c r="L140" i="10"/>
  <c r="B141" i="10" s="1"/>
  <c r="H141" i="10" s="1"/>
  <c r="K141" i="10" s="1" a="1"/>
  <c r="K141" i="10" s="1"/>
  <c r="K128" i="9" a="1"/>
  <c r="K128" i="9" s="1"/>
  <c r="N124" i="8"/>
  <c r="D125" i="8" s="1"/>
  <c r="J125" i="8" s="1"/>
  <c r="M124" i="8"/>
  <c r="C125" i="8" s="1"/>
  <c r="I125" i="8" s="1"/>
  <c r="L124" i="8"/>
  <c r="B125" i="8" s="1"/>
  <c r="H125" i="8" s="1"/>
  <c r="K125" i="8" s="1" a="1"/>
  <c r="K125" i="8" s="1"/>
  <c r="N131" i="7"/>
  <c r="D132" i="7" s="1"/>
  <c r="J132" i="7" s="1"/>
  <c r="L131" i="7"/>
  <c r="B132" i="7" s="1"/>
  <c r="H132" i="7" s="1"/>
  <c r="M131" i="7"/>
  <c r="C132" i="7" s="1"/>
  <c r="I132" i="7" s="1"/>
  <c r="K131" i="4" a="1"/>
  <c r="K131" i="4" s="1"/>
  <c r="K107" i="2" a="1"/>
  <c r="K107" i="2" s="1"/>
  <c r="M131" i="11" l="1"/>
  <c r="C132" i="11" s="1"/>
  <c r="I132" i="11" s="1"/>
  <c r="N131" i="11"/>
  <c r="D132" i="11" s="1"/>
  <c r="J132" i="11" s="1"/>
  <c r="L131" i="11"/>
  <c r="B132" i="11" s="1"/>
  <c r="H132" i="11" s="1"/>
  <c r="K132" i="11" s="1" a="1"/>
  <c r="K132" i="11" s="1"/>
  <c r="N141" i="10"/>
  <c r="D142" i="10" s="1"/>
  <c r="J142" i="10" s="1"/>
  <c r="M141" i="10"/>
  <c r="C142" i="10" s="1"/>
  <c r="I142" i="10" s="1"/>
  <c r="L141" i="10"/>
  <c r="B142" i="10" s="1"/>
  <c r="H142" i="10" s="1"/>
  <c r="K142" i="10" s="1" a="1"/>
  <c r="K142" i="10" s="1"/>
  <c r="N128" i="9"/>
  <c r="D129" i="9" s="1"/>
  <c r="J129" i="9" s="1"/>
  <c r="M128" i="9"/>
  <c r="C129" i="9" s="1"/>
  <c r="I129" i="9" s="1"/>
  <c r="L128" i="9"/>
  <c r="B129" i="9" s="1"/>
  <c r="H129" i="9" s="1"/>
  <c r="K129" i="9" s="1" a="1"/>
  <c r="K129" i="9" s="1"/>
  <c r="N125" i="8"/>
  <c r="D126" i="8" s="1"/>
  <c r="J126" i="8" s="1"/>
  <c r="M125" i="8"/>
  <c r="C126" i="8" s="1"/>
  <c r="I126" i="8" s="1"/>
  <c r="L125" i="8"/>
  <c r="B126" i="8" s="1"/>
  <c r="H126" i="8" s="1"/>
  <c r="K132" i="7" a="1"/>
  <c r="K132" i="7" s="1"/>
  <c r="N131" i="4"/>
  <c r="D132" i="4" s="1"/>
  <c r="J132" i="4" s="1"/>
  <c r="M131" i="4"/>
  <c r="C132" i="4" s="1"/>
  <c r="I132" i="4" s="1"/>
  <c r="L131" i="4"/>
  <c r="B132" i="4" s="1"/>
  <c r="H132" i="4" s="1"/>
  <c r="K132" i="4" s="1" a="1"/>
  <c r="K132" i="4" s="1"/>
  <c r="L107" i="2"/>
  <c r="B108" i="2" s="1"/>
  <c r="H108" i="2" s="1"/>
  <c r="N107" i="2"/>
  <c r="D108" i="2" s="1"/>
  <c r="J108" i="2" s="1"/>
  <c r="M107" i="2"/>
  <c r="C108" i="2" s="1"/>
  <c r="I108" i="2" s="1"/>
  <c r="N132" i="11" l="1"/>
  <c r="D133" i="11" s="1"/>
  <c r="J133" i="11" s="1"/>
  <c r="L132" i="11"/>
  <c r="B133" i="11" s="1"/>
  <c r="H133" i="11" s="1"/>
  <c r="M132" i="11"/>
  <c r="C133" i="11" s="1"/>
  <c r="I133" i="11" s="1"/>
  <c r="N142" i="10"/>
  <c r="D143" i="10" s="1"/>
  <c r="J143" i="10" s="1"/>
  <c r="M142" i="10"/>
  <c r="C143" i="10" s="1"/>
  <c r="I143" i="10" s="1"/>
  <c r="L142" i="10"/>
  <c r="B143" i="10" s="1"/>
  <c r="H143" i="10" s="1"/>
  <c r="K143" i="10" s="1" a="1"/>
  <c r="K143" i="10" s="1"/>
  <c r="N129" i="9"/>
  <c r="D130" i="9" s="1"/>
  <c r="J130" i="9" s="1"/>
  <c r="L129" i="9"/>
  <c r="B130" i="9" s="1"/>
  <c r="H130" i="9" s="1"/>
  <c r="M129" i="9"/>
  <c r="C130" i="9" s="1"/>
  <c r="I130" i="9" s="1"/>
  <c r="K126" i="8" a="1"/>
  <c r="K126" i="8" s="1"/>
  <c r="M132" i="7"/>
  <c r="C133" i="7" s="1"/>
  <c r="I133" i="7" s="1"/>
  <c r="N132" i="7"/>
  <c r="D133" i="7" s="1"/>
  <c r="J133" i="7" s="1"/>
  <c r="L132" i="7"/>
  <c r="B133" i="7" s="1"/>
  <c r="H133" i="7" s="1"/>
  <c r="N132" i="4"/>
  <c r="D133" i="4" s="1"/>
  <c r="J133" i="4" s="1"/>
  <c r="M132" i="4"/>
  <c r="C133" i="4" s="1"/>
  <c r="I133" i="4" s="1"/>
  <c r="L132" i="4"/>
  <c r="B133" i="4" s="1"/>
  <c r="H133" i="4" s="1"/>
  <c r="K133" i="4" s="1" a="1"/>
  <c r="K133" i="4" s="1"/>
  <c r="K108" i="2" a="1"/>
  <c r="K108" i="2" s="1"/>
  <c r="K133" i="11" l="1" a="1"/>
  <c r="K133" i="11" s="1"/>
  <c r="N143" i="10"/>
  <c r="D144" i="10" s="1"/>
  <c r="J144" i="10" s="1"/>
  <c r="L143" i="10"/>
  <c r="B144" i="10" s="1"/>
  <c r="H144" i="10" s="1"/>
  <c r="K144" i="10" s="1" a="1"/>
  <c r="K144" i="10" s="1"/>
  <c r="M143" i="10"/>
  <c r="C144" i="10" s="1"/>
  <c r="I144" i="10" s="1"/>
  <c r="K130" i="9" a="1"/>
  <c r="K130" i="9" s="1"/>
  <c r="N126" i="8"/>
  <c r="D127" i="8" s="1"/>
  <c r="J127" i="8" s="1"/>
  <c r="M126" i="8"/>
  <c r="C127" i="8" s="1"/>
  <c r="I127" i="8" s="1"/>
  <c r="L126" i="8"/>
  <c r="B127" i="8" s="1"/>
  <c r="H127" i="8" s="1"/>
  <c r="K133" i="7" a="1"/>
  <c r="K133" i="7" s="1"/>
  <c r="N133" i="4"/>
  <c r="D134" i="4" s="1"/>
  <c r="J134" i="4" s="1"/>
  <c r="M133" i="4"/>
  <c r="C134" i="4" s="1"/>
  <c r="I134" i="4" s="1"/>
  <c r="L133" i="4"/>
  <c r="B134" i="4" s="1"/>
  <c r="H134" i="4" s="1"/>
  <c r="N108" i="2"/>
  <c r="D109" i="2" s="1"/>
  <c r="J109" i="2" s="1"/>
  <c r="M108" i="2"/>
  <c r="C109" i="2" s="1"/>
  <c r="I109" i="2" s="1"/>
  <c r="L108" i="2"/>
  <c r="B109" i="2" s="1"/>
  <c r="H109" i="2" s="1"/>
  <c r="K109" i="2" s="1" a="1"/>
  <c r="K109" i="2" s="1"/>
  <c r="L109" i="2" s="1"/>
  <c r="B110" i="2" s="1"/>
  <c r="H110" i="2" s="1"/>
  <c r="L133" i="11" l="1"/>
  <c r="B134" i="11" s="1"/>
  <c r="H134" i="11" s="1"/>
  <c r="N133" i="11"/>
  <c r="D134" i="11" s="1"/>
  <c r="J134" i="11" s="1"/>
  <c r="M133" i="11"/>
  <c r="C134" i="11" s="1"/>
  <c r="I134" i="11" s="1"/>
  <c r="M144" i="10"/>
  <c r="C145" i="10" s="1"/>
  <c r="I145" i="10" s="1"/>
  <c r="N144" i="10"/>
  <c r="D145" i="10" s="1"/>
  <c r="J145" i="10" s="1"/>
  <c r="L144" i="10"/>
  <c r="B145" i="10" s="1"/>
  <c r="H145" i="10" s="1"/>
  <c r="K145" i="10" s="1" a="1"/>
  <c r="K145" i="10" s="1"/>
  <c r="L130" i="9"/>
  <c r="B131" i="9" s="1"/>
  <c r="H131" i="9" s="1"/>
  <c r="N130" i="9"/>
  <c r="D131" i="9" s="1"/>
  <c r="J131" i="9" s="1"/>
  <c r="M130" i="9"/>
  <c r="C131" i="9" s="1"/>
  <c r="I131" i="9" s="1"/>
  <c r="K127" i="8" a="1"/>
  <c r="K127" i="8" s="1"/>
  <c r="N133" i="7"/>
  <c r="D134" i="7" s="1"/>
  <c r="J134" i="7" s="1"/>
  <c r="M133" i="7"/>
  <c r="C134" i="7" s="1"/>
  <c r="I134" i="7" s="1"/>
  <c r="L133" i="7"/>
  <c r="B134" i="7" s="1"/>
  <c r="H134" i="7" s="1"/>
  <c r="K134" i="7" s="1" a="1"/>
  <c r="K134" i="7" s="1"/>
  <c r="K134" i="4" a="1"/>
  <c r="K134" i="4" s="1"/>
  <c r="M109" i="2"/>
  <c r="C110" i="2" s="1"/>
  <c r="N109" i="2"/>
  <c r="D110" i="2" s="1"/>
  <c r="J110" i="2" s="1"/>
  <c r="I110" i="2"/>
  <c r="K110" i="2" s="1" a="1"/>
  <c r="K110" i="2" s="1"/>
  <c r="K134" i="11" l="1" a="1"/>
  <c r="K134" i="11" s="1"/>
  <c r="N145" i="10"/>
  <c r="D146" i="10" s="1"/>
  <c r="J146" i="10" s="1"/>
  <c r="M145" i="10"/>
  <c r="C146" i="10" s="1"/>
  <c r="I146" i="10" s="1"/>
  <c r="L145" i="10"/>
  <c r="B146" i="10" s="1"/>
  <c r="H146" i="10" s="1"/>
  <c r="K146" i="10" s="1" a="1"/>
  <c r="K146" i="10" s="1"/>
  <c r="K131" i="9" a="1"/>
  <c r="K131" i="9" s="1"/>
  <c r="N127" i="8"/>
  <c r="D128" i="8" s="1"/>
  <c r="J128" i="8" s="1"/>
  <c r="M127" i="8"/>
  <c r="C128" i="8" s="1"/>
  <c r="I128" i="8" s="1"/>
  <c r="L127" i="8"/>
  <c r="B128" i="8" s="1"/>
  <c r="H128" i="8" s="1"/>
  <c r="K128" i="8" s="1" a="1"/>
  <c r="K128" i="8" s="1"/>
  <c r="L134" i="7"/>
  <c r="B135" i="7" s="1"/>
  <c r="H135" i="7" s="1"/>
  <c r="K135" i="7" s="1" a="1"/>
  <c r="K135" i="7" s="1"/>
  <c r="N134" i="7"/>
  <c r="D135" i="7" s="1"/>
  <c r="J135" i="7" s="1"/>
  <c r="M134" i="7"/>
  <c r="C135" i="7" s="1"/>
  <c r="I135" i="7" s="1"/>
  <c r="L134" i="4"/>
  <c r="B135" i="4" s="1"/>
  <c r="H135" i="4" s="1"/>
  <c r="N134" i="4"/>
  <c r="D135" i="4" s="1"/>
  <c r="J135" i="4" s="1"/>
  <c r="M134" i="4"/>
  <c r="C135" i="4" s="1"/>
  <c r="I135" i="4" s="1"/>
  <c r="M110" i="2"/>
  <c r="C111" i="2" s="1"/>
  <c r="N110" i="2"/>
  <c r="D111" i="2" s="1"/>
  <c r="J111" i="2" s="1"/>
  <c r="L110" i="2"/>
  <c r="B111" i="2" s="1"/>
  <c r="H111" i="2" s="1"/>
  <c r="L134" i="11" l="1"/>
  <c r="B135" i="11" s="1"/>
  <c r="H135" i="11" s="1"/>
  <c r="M134" i="11"/>
  <c r="C135" i="11" s="1"/>
  <c r="I135" i="11" s="1"/>
  <c r="N134" i="11"/>
  <c r="D135" i="11" s="1"/>
  <c r="J135" i="11" s="1"/>
  <c r="L146" i="10"/>
  <c r="B147" i="10" s="1"/>
  <c r="H147" i="10" s="1"/>
  <c r="N146" i="10"/>
  <c r="D147" i="10" s="1"/>
  <c r="J147" i="10" s="1"/>
  <c r="M146" i="10"/>
  <c r="C147" i="10" s="1"/>
  <c r="I147" i="10" s="1"/>
  <c r="M131" i="9"/>
  <c r="C132" i="9" s="1"/>
  <c r="I132" i="9" s="1"/>
  <c r="N131" i="9"/>
  <c r="D132" i="9" s="1"/>
  <c r="J132" i="9" s="1"/>
  <c r="L131" i="9"/>
  <c r="B132" i="9" s="1"/>
  <c r="H132" i="9" s="1"/>
  <c r="K132" i="9" s="1" a="1"/>
  <c r="K132" i="9" s="1"/>
  <c r="N128" i="8"/>
  <c r="D129" i="8" s="1"/>
  <c r="J129" i="8" s="1"/>
  <c r="M128" i="8"/>
  <c r="C129" i="8" s="1"/>
  <c r="I129" i="8" s="1"/>
  <c r="L128" i="8"/>
  <c r="B129" i="8" s="1"/>
  <c r="H129" i="8" s="1"/>
  <c r="K129" i="8" s="1" a="1"/>
  <c r="K129" i="8" s="1"/>
  <c r="M135" i="7"/>
  <c r="C136" i="7" s="1"/>
  <c r="I136" i="7" s="1"/>
  <c r="L135" i="7"/>
  <c r="B136" i="7" s="1"/>
  <c r="H136" i="7" s="1"/>
  <c r="N135" i="7"/>
  <c r="D136" i="7" s="1"/>
  <c r="J136" i="7" s="1"/>
  <c r="K135" i="4" a="1"/>
  <c r="K135" i="4" s="1"/>
  <c r="I111" i="2"/>
  <c r="K111" i="2" s="1" a="1"/>
  <c r="K111" i="2" s="1"/>
  <c r="K135" i="11" l="1" a="1"/>
  <c r="K135" i="11" s="1"/>
  <c r="K147" i="10" a="1"/>
  <c r="K147" i="10" s="1"/>
  <c r="N132" i="9"/>
  <c r="D133" i="9" s="1"/>
  <c r="J133" i="9" s="1"/>
  <c r="L132" i="9"/>
  <c r="B133" i="9" s="1"/>
  <c r="H133" i="9" s="1"/>
  <c r="M132" i="9"/>
  <c r="C133" i="9" s="1"/>
  <c r="I133" i="9" s="1"/>
  <c r="N129" i="8"/>
  <c r="D130" i="8" s="1"/>
  <c r="J130" i="8" s="1"/>
  <c r="M129" i="8"/>
  <c r="C130" i="8" s="1"/>
  <c r="I130" i="8" s="1"/>
  <c r="L129" i="8"/>
  <c r="B130" i="8" s="1"/>
  <c r="H130" i="8" s="1"/>
  <c r="K130" i="8" s="1" a="1"/>
  <c r="K130" i="8" s="1"/>
  <c r="K136" i="7" a="1"/>
  <c r="K136" i="7" s="1"/>
  <c r="M135" i="4"/>
  <c r="C136" i="4" s="1"/>
  <c r="I136" i="4" s="1"/>
  <c r="L135" i="4"/>
  <c r="B136" i="4" s="1"/>
  <c r="H136" i="4" s="1"/>
  <c r="N135" i="4"/>
  <c r="D136" i="4" s="1"/>
  <c r="J136" i="4" s="1"/>
  <c r="L111" i="2"/>
  <c r="B112" i="2" s="1"/>
  <c r="H112" i="2" s="1"/>
  <c r="N111" i="2"/>
  <c r="D112" i="2" s="1"/>
  <c r="J112" i="2" s="1"/>
  <c r="M111" i="2"/>
  <c r="C112" i="2" s="1"/>
  <c r="I112" i="2" s="1"/>
  <c r="M135" i="11" l="1"/>
  <c r="C136" i="11" s="1"/>
  <c r="I136" i="11" s="1"/>
  <c r="L135" i="11"/>
  <c r="B136" i="11" s="1"/>
  <c r="H136" i="11" s="1"/>
  <c r="K136" i="11" s="1" a="1"/>
  <c r="K136" i="11" s="1"/>
  <c r="N135" i="11"/>
  <c r="D136" i="11" s="1"/>
  <c r="J136" i="11" s="1"/>
  <c r="M147" i="10"/>
  <c r="C148" i="10" s="1"/>
  <c r="I148" i="10" s="1"/>
  <c r="L147" i="10"/>
  <c r="B148" i="10" s="1"/>
  <c r="H148" i="10" s="1"/>
  <c r="N147" i="10"/>
  <c r="D148" i="10" s="1"/>
  <c r="J148" i="10" s="1"/>
  <c r="K133" i="9" a="1"/>
  <c r="K133" i="9" s="1"/>
  <c r="N130" i="8"/>
  <c r="D131" i="8" s="1"/>
  <c r="J131" i="8" s="1"/>
  <c r="M130" i="8"/>
  <c r="C131" i="8" s="1"/>
  <c r="I131" i="8" s="1"/>
  <c r="L130" i="8"/>
  <c r="B131" i="8" s="1"/>
  <c r="H131" i="8" s="1"/>
  <c r="K131" i="8" s="1" a="1"/>
  <c r="K131" i="8" s="1"/>
  <c r="N136" i="7"/>
  <c r="D137" i="7" s="1"/>
  <c r="J137" i="7" s="1"/>
  <c r="M136" i="7"/>
  <c r="C137" i="7" s="1"/>
  <c r="I137" i="7" s="1"/>
  <c r="L136" i="7"/>
  <c r="B137" i="7" s="1"/>
  <c r="H137" i="7" s="1"/>
  <c r="K136" i="4" a="1"/>
  <c r="K136" i="4" s="1"/>
  <c r="K112" i="2" a="1"/>
  <c r="K112" i="2" s="1"/>
  <c r="N136" i="11" l="1"/>
  <c r="D137" i="11" s="1"/>
  <c r="J137" i="11" s="1"/>
  <c r="M136" i="11"/>
  <c r="C137" i="11" s="1"/>
  <c r="I137" i="11" s="1"/>
  <c r="L136" i="11"/>
  <c r="B137" i="11" s="1"/>
  <c r="H137" i="11" s="1"/>
  <c r="K148" i="10" a="1"/>
  <c r="K148" i="10" s="1"/>
  <c r="N133" i="9"/>
  <c r="D134" i="9" s="1"/>
  <c r="J134" i="9" s="1"/>
  <c r="M133" i="9"/>
  <c r="C134" i="9" s="1"/>
  <c r="I134" i="9" s="1"/>
  <c r="L133" i="9"/>
  <c r="B134" i="9" s="1"/>
  <c r="H134" i="9" s="1"/>
  <c r="N131" i="8"/>
  <c r="D132" i="8" s="1"/>
  <c r="J132" i="8" s="1"/>
  <c r="M131" i="8"/>
  <c r="C132" i="8" s="1"/>
  <c r="I132" i="8" s="1"/>
  <c r="L131" i="8"/>
  <c r="B132" i="8" s="1"/>
  <c r="H132" i="8" s="1"/>
  <c r="K137" i="7" a="1"/>
  <c r="K137" i="7" s="1"/>
  <c r="N136" i="4"/>
  <c r="D137" i="4" s="1"/>
  <c r="J137" i="4" s="1"/>
  <c r="M136" i="4"/>
  <c r="C137" i="4" s="1"/>
  <c r="I137" i="4" s="1"/>
  <c r="L136" i="4"/>
  <c r="B137" i="4" s="1"/>
  <c r="H137" i="4" s="1"/>
  <c r="K137" i="4" s="1" a="1"/>
  <c r="K137" i="4" s="1"/>
  <c r="N112" i="2"/>
  <c r="D113" i="2" s="1"/>
  <c r="J113" i="2" s="1"/>
  <c r="M112" i="2"/>
  <c r="C113" i="2" s="1"/>
  <c r="I113" i="2" s="1"/>
  <c r="L112" i="2"/>
  <c r="B113" i="2" s="1"/>
  <c r="H113" i="2" s="1"/>
  <c r="K137" i="11" l="1" a="1"/>
  <c r="K137" i="11" s="1"/>
  <c r="N148" i="10"/>
  <c r="D149" i="10" s="1"/>
  <c r="J149" i="10" s="1"/>
  <c r="M148" i="10"/>
  <c r="C149" i="10" s="1"/>
  <c r="I149" i="10" s="1"/>
  <c r="L148" i="10"/>
  <c r="B149" i="10" s="1"/>
  <c r="H149" i="10" s="1"/>
  <c r="K149" i="10" s="1" a="1"/>
  <c r="K149" i="10" s="1"/>
  <c r="K134" i="9" a="1"/>
  <c r="K134" i="9" s="1"/>
  <c r="K132" i="8" a="1"/>
  <c r="K132" i="8" s="1"/>
  <c r="N137" i="7"/>
  <c r="D138" i="7" s="1"/>
  <c r="J138" i="7" s="1"/>
  <c r="M137" i="7"/>
  <c r="C138" i="7" s="1"/>
  <c r="I138" i="7" s="1"/>
  <c r="L137" i="7"/>
  <c r="B138" i="7" s="1"/>
  <c r="H138" i="7" s="1"/>
  <c r="N137" i="4"/>
  <c r="D138" i="4" s="1"/>
  <c r="J138" i="4" s="1"/>
  <c r="M137" i="4"/>
  <c r="C138" i="4" s="1"/>
  <c r="I138" i="4" s="1"/>
  <c r="L137" i="4"/>
  <c r="B138" i="4" s="1"/>
  <c r="H138" i="4" s="1"/>
  <c r="K113" i="2" a="1"/>
  <c r="K113" i="2" s="1"/>
  <c r="N137" i="11" l="1"/>
  <c r="D138" i="11" s="1"/>
  <c r="J138" i="11" s="1"/>
  <c r="M137" i="11"/>
  <c r="C138" i="11" s="1"/>
  <c r="I138" i="11" s="1"/>
  <c r="L137" i="11"/>
  <c r="B138" i="11" s="1"/>
  <c r="H138" i="11" s="1"/>
  <c r="N149" i="10"/>
  <c r="D150" i="10" s="1"/>
  <c r="J150" i="10" s="1"/>
  <c r="M149" i="10"/>
  <c r="C150" i="10" s="1"/>
  <c r="I150" i="10" s="1"/>
  <c r="L149" i="10"/>
  <c r="B150" i="10" s="1"/>
  <c r="H150" i="10" s="1"/>
  <c r="K150" i="10" s="1" a="1"/>
  <c r="K150" i="10" s="1"/>
  <c r="L134" i="9"/>
  <c r="B135" i="9" s="1"/>
  <c r="H135" i="9" s="1"/>
  <c r="K135" i="9" s="1" a="1"/>
  <c r="K135" i="9" s="1"/>
  <c r="N134" i="9"/>
  <c r="D135" i="9" s="1"/>
  <c r="J135" i="9" s="1"/>
  <c r="M134" i="9"/>
  <c r="C135" i="9" s="1"/>
  <c r="I135" i="9" s="1"/>
  <c r="N132" i="8"/>
  <c r="D133" i="8" s="1"/>
  <c r="J133" i="8" s="1"/>
  <c r="M132" i="8"/>
  <c r="C133" i="8" s="1"/>
  <c r="I133" i="8" s="1"/>
  <c r="L132" i="8"/>
  <c r="B133" i="8" s="1"/>
  <c r="H133" i="8" s="1"/>
  <c r="K138" i="7" a="1"/>
  <c r="K138" i="7" s="1"/>
  <c r="K138" i="4" a="1"/>
  <c r="K138" i="4" s="1"/>
  <c r="N113" i="2"/>
  <c r="D114" i="2" s="1"/>
  <c r="J114" i="2" s="1"/>
  <c r="M113" i="2"/>
  <c r="C114" i="2" s="1"/>
  <c r="I114" i="2" s="1"/>
  <c r="L113" i="2"/>
  <c r="B114" i="2" s="1"/>
  <c r="H114" i="2" s="1"/>
  <c r="K114" i="2" s="1" a="1"/>
  <c r="K114" i="2" s="1"/>
  <c r="L114" i="2" s="1"/>
  <c r="B115" i="2" s="1"/>
  <c r="H115" i="2" s="1"/>
  <c r="K138" i="11" l="1" a="1"/>
  <c r="K138" i="11" s="1"/>
  <c r="N150" i="10"/>
  <c r="D151" i="10" s="1"/>
  <c r="J151" i="10" s="1"/>
  <c r="M150" i="10"/>
  <c r="C151" i="10" s="1"/>
  <c r="I151" i="10" s="1"/>
  <c r="L150" i="10"/>
  <c r="B151" i="10" s="1"/>
  <c r="H151" i="10" s="1"/>
  <c r="K151" i="10" s="1" a="1"/>
  <c r="K151" i="10" s="1"/>
  <c r="M135" i="9"/>
  <c r="C136" i="9" s="1"/>
  <c r="I136" i="9" s="1"/>
  <c r="L135" i="9"/>
  <c r="B136" i="9" s="1"/>
  <c r="H136" i="9" s="1"/>
  <c r="K136" i="9" s="1" a="1"/>
  <c r="K136" i="9" s="1"/>
  <c r="N135" i="9"/>
  <c r="D136" i="9" s="1"/>
  <c r="J136" i="9" s="1"/>
  <c r="K133" i="8" a="1"/>
  <c r="K133" i="8" s="1"/>
  <c r="N138" i="7"/>
  <c r="D139" i="7" s="1"/>
  <c r="J139" i="7" s="1"/>
  <c r="M138" i="7"/>
  <c r="C139" i="7" s="1"/>
  <c r="I139" i="7" s="1"/>
  <c r="L138" i="7"/>
  <c r="B139" i="7" s="1"/>
  <c r="H139" i="7" s="1"/>
  <c r="K139" i="7" s="1" a="1"/>
  <c r="K139" i="7" s="1"/>
  <c r="N138" i="4"/>
  <c r="D139" i="4" s="1"/>
  <c r="J139" i="4" s="1"/>
  <c r="M138" i="4"/>
  <c r="C139" i="4" s="1"/>
  <c r="I139" i="4" s="1"/>
  <c r="L138" i="4"/>
  <c r="B139" i="4" s="1"/>
  <c r="H139" i="4" s="1"/>
  <c r="K139" i="4" s="1" a="1"/>
  <c r="K139" i="4" s="1"/>
  <c r="M114" i="2"/>
  <c r="C115" i="2" s="1"/>
  <c r="I115" i="2" s="1"/>
  <c r="N114" i="2"/>
  <c r="D115" i="2" s="1"/>
  <c r="J115" i="2" s="1"/>
  <c r="N138" i="11" l="1"/>
  <c r="D139" i="11" s="1"/>
  <c r="J139" i="11" s="1"/>
  <c r="M138" i="11"/>
  <c r="C139" i="11" s="1"/>
  <c r="I139" i="11" s="1"/>
  <c r="L138" i="11"/>
  <c r="B139" i="11" s="1"/>
  <c r="H139" i="11" s="1"/>
  <c r="K139" i="11" s="1" a="1"/>
  <c r="K139" i="11" s="1"/>
  <c r="N151" i="10"/>
  <c r="D152" i="10" s="1"/>
  <c r="J152" i="10" s="1"/>
  <c r="M151" i="10"/>
  <c r="C152" i="10" s="1"/>
  <c r="I152" i="10" s="1"/>
  <c r="L151" i="10"/>
  <c r="B152" i="10" s="1"/>
  <c r="H152" i="10" s="1"/>
  <c r="K152" i="10" s="1" a="1"/>
  <c r="K152" i="10" s="1"/>
  <c r="N136" i="9"/>
  <c r="D137" i="9" s="1"/>
  <c r="J137" i="9" s="1"/>
  <c r="M136" i="9"/>
  <c r="C137" i="9" s="1"/>
  <c r="I137" i="9" s="1"/>
  <c r="L136" i="9"/>
  <c r="B137" i="9" s="1"/>
  <c r="H137" i="9" s="1"/>
  <c r="K137" i="9" s="1" a="1"/>
  <c r="K137" i="9" s="1"/>
  <c r="N133" i="8"/>
  <c r="D134" i="8" s="1"/>
  <c r="J134" i="8" s="1"/>
  <c r="M133" i="8"/>
  <c r="C134" i="8" s="1"/>
  <c r="I134" i="8" s="1"/>
  <c r="L133" i="8"/>
  <c r="B134" i="8" s="1"/>
  <c r="H134" i="8" s="1"/>
  <c r="K134" i="8" s="1" a="1"/>
  <c r="K134" i="8" s="1"/>
  <c r="N139" i="7"/>
  <c r="D140" i="7" s="1"/>
  <c r="J140" i="7" s="1"/>
  <c r="M139" i="7"/>
  <c r="C140" i="7" s="1"/>
  <c r="I140" i="7" s="1"/>
  <c r="L139" i="7"/>
  <c r="B140" i="7" s="1"/>
  <c r="H140" i="7" s="1"/>
  <c r="K140" i="7" s="1" a="1"/>
  <c r="K140" i="7" s="1"/>
  <c r="N139" i="4"/>
  <c r="D140" i="4" s="1"/>
  <c r="J140" i="4" s="1"/>
  <c r="M139" i="4"/>
  <c r="C140" i="4" s="1"/>
  <c r="I140" i="4" s="1"/>
  <c r="L139" i="4"/>
  <c r="B140" i="4" s="1"/>
  <c r="H140" i="4" s="1"/>
  <c r="K140" i="4" s="1" a="1"/>
  <c r="K140" i="4" s="1"/>
  <c r="K115" i="2" a="1"/>
  <c r="K115" i="2" s="1"/>
  <c r="L115" i="2" s="1"/>
  <c r="B116" i="2" s="1"/>
  <c r="H116" i="2" s="1"/>
  <c r="N115" i="2"/>
  <c r="D116" i="2" s="1"/>
  <c r="J116" i="2" s="1"/>
  <c r="M115" i="2"/>
  <c r="C116" i="2" s="1"/>
  <c r="N139" i="11" l="1"/>
  <c r="D140" i="11" s="1"/>
  <c r="J140" i="11" s="1"/>
  <c r="M139" i="11"/>
  <c r="C140" i="11" s="1"/>
  <c r="I140" i="11" s="1"/>
  <c r="L139" i="11"/>
  <c r="B140" i="11" s="1"/>
  <c r="H140" i="11" s="1"/>
  <c r="N152" i="10"/>
  <c r="D153" i="10" s="1"/>
  <c r="J153" i="10" s="1"/>
  <c r="M152" i="10"/>
  <c r="C153" i="10" s="1"/>
  <c r="I153" i="10" s="1"/>
  <c r="L152" i="10"/>
  <c r="B153" i="10" s="1"/>
  <c r="H153" i="10" s="1"/>
  <c r="K153" i="10" s="1" a="1"/>
  <c r="K153" i="10" s="1"/>
  <c r="N137" i="9"/>
  <c r="D138" i="9" s="1"/>
  <c r="J138" i="9" s="1"/>
  <c r="M137" i="9"/>
  <c r="C138" i="9" s="1"/>
  <c r="I138" i="9" s="1"/>
  <c r="L137" i="9"/>
  <c r="B138" i="9" s="1"/>
  <c r="H138" i="9" s="1"/>
  <c r="L134" i="8"/>
  <c r="B135" i="8" s="1"/>
  <c r="H135" i="8" s="1"/>
  <c r="N134" i="8"/>
  <c r="D135" i="8" s="1"/>
  <c r="J135" i="8" s="1"/>
  <c r="M134" i="8"/>
  <c r="C135" i="8" s="1"/>
  <c r="I135" i="8" s="1"/>
  <c r="N140" i="7"/>
  <c r="D141" i="7" s="1"/>
  <c r="J141" i="7" s="1"/>
  <c r="M140" i="7"/>
  <c r="C141" i="7" s="1"/>
  <c r="I141" i="7" s="1"/>
  <c r="L140" i="7"/>
  <c r="B141" i="7" s="1"/>
  <c r="H141" i="7" s="1"/>
  <c r="K141" i="7" s="1" a="1"/>
  <c r="K141" i="7" s="1"/>
  <c r="N140" i="4"/>
  <c r="D141" i="4" s="1"/>
  <c r="J141" i="4" s="1"/>
  <c r="M140" i="4"/>
  <c r="C141" i="4" s="1"/>
  <c r="I141" i="4" s="1"/>
  <c r="L140" i="4"/>
  <c r="B141" i="4" s="1"/>
  <c r="H141" i="4" s="1"/>
  <c r="K141" i="4" s="1" a="1"/>
  <c r="K141" i="4" s="1"/>
  <c r="I116" i="2"/>
  <c r="K116" i="2" s="1" a="1"/>
  <c r="K116" i="2" s="1"/>
  <c r="K140" i="11" l="1" a="1"/>
  <c r="K140" i="11" s="1"/>
  <c r="N153" i="10"/>
  <c r="D154" i="10" s="1"/>
  <c r="J154" i="10" s="1"/>
  <c r="M153" i="10"/>
  <c r="C154" i="10" s="1"/>
  <c r="I154" i="10" s="1"/>
  <c r="L153" i="10"/>
  <c r="B154" i="10" s="1"/>
  <c r="H154" i="10" s="1"/>
  <c r="K138" i="9" a="1"/>
  <c r="K138" i="9" s="1"/>
  <c r="K135" i="8" a="1"/>
  <c r="K135" i="8" s="1"/>
  <c r="N141" i="7"/>
  <c r="D142" i="7" s="1"/>
  <c r="J142" i="7" s="1"/>
  <c r="M141" i="7"/>
  <c r="C142" i="7" s="1"/>
  <c r="I142" i="7" s="1"/>
  <c r="L141" i="7"/>
  <c r="B142" i="7" s="1"/>
  <c r="H142" i="7" s="1"/>
  <c r="K142" i="7" s="1" a="1"/>
  <c r="K142" i="7" s="1"/>
  <c r="N141" i="4"/>
  <c r="D142" i="4" s="1"/>
  <c r="J142" i="4" s="1"/>
  <c r="M141" i="4"/>
  <c r="C142" i="4" s="1"/>
  <c r="I142" i="4" s="1"/>
  <c r="L141" i="4"/>
  <c r="B142" i="4" s="1"/>
  <c r="H142" i="4" s="1"/>
  <c r="L116" i="2"/>
  <c r="B117" i="2" s="1"/>
  <c r="H117" i="2" s="1"/>
  <c r="N116" i="2"/>
  <c r="D117" i="2" s="1"/>
  <c r="J117" i="2" s="1"/>
  <c r="M116" i="2"/>
  <c r="C117" i="2" s="1"/>
  <c r="I117" i="2" s="1"/>
  <c r="N140" i="11" l="1"/>
  <c r="D141" i="11" s="1"/>
  <c r="J141" i="11" s="1"/>
  <c r="M140" i="11"/>
  <c r="C141" i="11" s="1"/>
  <c r="I141" i="11" s="1"/>
  <c r="L140" i="11"/>
  <c r="B141" i="11" s="1"/>
  <c r="H141" i="11" s="1"/>
  <c r="K141" i="11" s="1" a="1"/>
  <c r="K141" i="11" s="1"/>
  <c r="K154" i="10" a="1"/>
  <c r="K154" i="10" s="1"/>
  <c r="N138" i="9"/>
  <c r="D139" i="9" s="1"/>
  <c r="J139" i="9" s="1"/>
  <c r="M138" i="9"/>
  <c r="C139" i="9" s="1"/>
  <c r="I139" i="9" s="1"/>
  <c r="L138" i="9"/>
  <c r="B139" i="9" s="1"/>
  <c r="H139" i="9" s="1"/>
  <c r="K139" i="9" s="1" a="1"/>
  <c r="K139" i="9" s="1"/>
  <c r="M135" i="8"/>
  <c r="C136" i="8" s="1"/>
  <c r="I136" i="8" s="1"/>
  <c r="L135" i="8"/>
  <c r="B136" i="8" s="1"/>
  <c r="H136" i="8" s="1"/>
  <c r="N135" i="8"/>
  <c r="D136" i="8" s="1"/>
  <c r="J136" i="8" s="1"/>
  <c r="N142" i="7"/>
  <c r="D143" i="7" s="1"/>
  <c r="J143" i="7" s="1"/>
  <c r="M142" i="7"/>
  <c r="C143" i="7" s="1"/>
  <c r="I143" i="7" s="1"/>
  <c r="L142" i="7"/>
  <c r="B143" i="7" s="1"/>
  <c r="H143" i="7" s="1"/>
  <c r="K143" i="7" s="1" a="1"/>
  <c r="K143" i="7" s="1"/>
  <c r="K142" i="4" a="1"/>
  <c r="K142" i="4" s="1"/>
  <c r="K117" i="2" a="1"/>
  <c r="K117" i="2" s="1"/>
  <c r="M117" i="2" s="1"/>
  <c r="C118" i="2" s="1"/>
  <c r="I118" i="2" s="1"/>
  <c r="N141" i="11" l="1"/>
  <c r="D142" i="11" s="1"/>
  <c r="J142" i="11" s="1"/>
  <c r="M141" i="11"/>
  <c r="C142" i="11" s="1"/>
  <c r="I142" i="11" s="1"/>
  <c r="L141" i="11"/>
  <c r="B142" i="11" s="1"/>
  <c r="H142" i="11" s="1"/>
  <c r="K142" i="11" s="1" a="1"/>
  <c r="K142" i="11" s="1"/>
  <c r="N154" i="10"/>
  <c r="D155" i="10" s="1"/>
  <c r="J155" i="10" s="1"/>
  <c r="M154" i="10"/>
  <c r="C155" i="10" s="1"/>
  <c r="I155" i="10" s="1"/>
  <c r="L154" i="10"/>
  <c r="B155" i="10" s="1"/>
  <c r="H155" i="10" s="1"/>
  <c r="K155" i="10" s="1" a="1"/>
  <c r="K155" i="10" s="1"/>
  <c r="N139" i="9"/>
  <c r="D140" i="9" s="1"/>
  <c r="J140" i="9" s="1"/>
  <c r="M139" i="9"/>
  <c r="C140" i="9" s="1"/>
  <c r="I140" i="9" s="1"/>
  <c r="L139" i="9"/>
  <c r="B140" i="9" s="1"/>
  <c r="H140" i="9" s="1"/>
  <c r="K136" i="8" a="1"/>
  <c r="K136" i="8" s="1"/>
  <c r="N143" i="7"/>
  <c r="D144" i="7" s="1"/>
  <c r="J144" i="7" s="1"/>
  <c r="L143" i="7"/>
  <c r="B144" i="7" s="1"/>
  <c r="H144" i="7" s="1"/>
  <c r="M143" i="7"/>
  <c r="C144" i="7" s="1"/>
  <c r="I144" i="7" s="1"/>
  <c r="N142" i="4"/>
  <c r="D143" i="4" s="1"/>
  <c r="J143" i="4" s="1"/>
  <c r="M142" i="4"/>
  <c r="C143" i="4" s="1"/>
  <c r="I143" i="4" s="1"/>
  <c r="L142" i="4"/>
  <c r="B143" i="4" s="1"/>
  <c r="H143" i="4" s="1"/>
  <c r="L117" i="2"/>
  <c r="B118" i="2" s="1"/>
  <c r="H118" i="2" s="1"/>
  <c r="N117" i="2"/>
  <c r="D118" i="2" s="1"/>
  <c r="J118" i="2" s="1"/>
  <c r="N142" i="11" l="1"/>
  <c r="D143" i="11" s="1"/>
  <c r="J143" i="11" s="1"/>
  <c r="L142" i="11"/>
  <c r="B143" i="11" s="1"/>
  <c r="H143" i="11" s="1"/>
  <c r="M142" i="11"/>
  <c r="C143" i="11" s="1"/>
  <c r="I143" i="11" s="1"/>
  <c r="N155" i="10"/>
  <c r="D156" i="10" s="1"/>
  <c r="J156" i="10" s="1"/>
  <c r="L155" i="10"/>
  <c r="B156" i="10" s="1"/>
  <c r="H156" i="10" s="1"/>
  <c r="K156" i="10" s="1" a="1"/>
  <c r="K156" i="10" s="1"/>
  <c r="M155" i="10"/>
  <c r="C156" i="10" s="1"/>
  <c r="I156" i="10" s="1"/>
  <c r="K140" i="9" a="1"/>
  <c r="K140" i="9" s="1"/>
  <c r="N136" i="8"/>
  <c r="D137" i="8" s="1"/>
  <c r="J137" i="8" s="1"/>
  <c r="M136" i="8"/>
  <c r="C137" i="8" s="1"/>
  <c r="I137" i="8" s="1"/>
  <c r="L136" i="8"/>
  <c r="B137" i="8" s="1"/>
  <c r="H137" i="8" s="1"/>
  <c r="K144" i="7" a="1"/>
  <c r="K144" i="7" s="1"/>
  <c r="K143" i="4" a="1"/>
  <c r="K143" i="4" s="1"/>
  <c r="K118" i="2" a="1"/>
  <c r="K118" i="2" s="1"/>
  <c r="K143" i="11" l="1" a="1"/>
  <c r="K143" i="11" s="1"/>
  <c r="M156" i="10"/>
  <c r="C157" i="10" s="1"/>
  <c r="I157" i="10" s="1"/>
  <c r="N156" i="10"/>
  <c r="D157" i="10" s="1"/>
  <c r="J157" i="10" s="1"/>
  <c r="L156" i="10"/>
  <c r="B157" i="10" s="1"/>
  <c r="H157" i="10" s="1"/>
  <c r="K157" i="10" s="1" a="1"/>
  <c r="K157" i="10" s="1"/>
  <c r="N140" i="9"/>
  <c r="D141" i="9" s="1"/>
  <c r="J141" i="9" s="1"/>
  <c r="M140" i="9"/>
  <c r="C141" i="9" s="1"/>
  <c r="I141" i="9" s="1"/>
  <c r="L140" i="9"/>
  <c r="B141" i="9" s="1"/>
  <c r="H141" i="9" s="1"/>
  <c r="K137" i="8" a="1"/>
  <c r="K137" i="8" s="1"/>
  <c r="M144" i="7"/>
  <c r="C145" i="7" s="1"/>
  <c r="I145" i="7" s="1"/>
  <c r="N144" i="7"/>
  <c r="D145" i="7" s="1"/>
  <c r="J145" i="7" s="1"/>
  <c r="L144" i="7"/>
  <c r="B145" i="7" s="1"/>
  <c r="H145" i="7" s="1"/>
  <c r="N143" i="4"/>
  <c r="D144" i="4" s="1"/>
  <c r="J144" i="4" s="1"/>
  <c r="M143" i="4"/>
  <c r="C144" i="4" s="1"/>
  <c r="I144" i="4" s="1"/>
  <c r="L143" i="4"/>
  <c r="B144" i="4" s="1"/>
  <c r="H144" i="4" s="1"/>
  <c r="N118" i="2"/>
  <c r="D119" i="2" s="1"/>
  <c r="J119" i="2" s="1"/>
  <c r="L118" i="2"/>
  <c r="B119" i="2" s="1"/>
  <c r="H119" i="2" s="1"/>
  <c r="M118" i="2"/>
  <c r="C119" i="2" s="1"/>
  <c r="I119" i="2" s="1"/>
  <c r="M143" i="11" l="1"/>
  <c r="C144" i="11" s="1"/>
  <c r="I144" i="11" s="1"/>
  <c r="N143" i="11"/>
  <c r="D144" i="11" s="1"/>
  <c r="J144" i="11" s="1"/>
  <c r="L143" i="11"/>
  <c r="B144" i="11" s="1"/>
  <c r="H144" i="11" s="1"/>
  <c r="K144" i="11" s="1" a="1"/>
  <c r="K144" i="11" s="1"/>
  <c r="N157" i="10"/>
  <c r="D158" i="10" s="1"/>
  <c r="J158" i="10" s="1"/>
  <c r="M157" i="10"/>
  <c r="C158" i="10" s="1"/>
  <c r="I158" i="10" s="1"/>
  <c r="L157" i="10"/>
  <c r="B158" i="10" s="1"/>
  <c r="H158" i="10" s="1"/>
  <c r="K141" i="9" a="1"/>
  <c r="K141" i="9" s="1"/>
  <c r="N137" i="8"/>
  <c r="D138" i="8" s="1"/>
  <c r="J138" i="8" s="1"/>
  <c r="M137" i="8"/>
  <c r="C138" i="8" s="1"/>
  <c r="I138" i="8" s="1"/>
  <c r="L137" i="8"/>
  <c r="B138" i="8" s="1"/>
  <c r="H138" i="8" s="1"/>
  <c r="K138" i="8" s="1" a="1"/>
  <c r="K138" i="8" s="1"/>
  <c r="K145" i="7" a="1"/>
  <c r="K145" i="7" s="1"/>
  <c r="K144" i="4" a="1"/>
  <c r="K144" i="4" s="1"/>
  <c r="K119" i="2" a="1"/>
  <c r="K119" i="2" s="1"/>
  <c r="N144" i="11" l="1"/>
  <c r="D145" i="11" s="1"/>
  <c r="J145" i="11" s="1"/>
  <c r="M144" i="11"/>
  <c r="C145" i="11" s="1"/>
  <c r="I145" i="11" s="1"/>
  <c r="L144" i="11"/>
  <c r="B145" i="11" s="1"/>
  <c r="H145" i="11" s="1"/>
  <c r="K145" i="11" s="1" a="1"/>
  <c r="K145" i="11" s="1"/>
  <c r="K158" i="10" a="1"/>
  <c r="K158" i="10" s="1"/>
  <c r="N141" i="9"/>
  <c r="D142" i="9" s="1"/>
  <c r="J142" i="9" s="1"/>
  <c r="M141" i="9"/>
  <c r="C142" i="9" s="1"/>
  <c r="I142" i="9" s="1"/>
  <c r="L141" i="9"/>
  <c r="B142" i="9" s="1"/>
  <c r="H142" i="9" s="1"/>
  <c r="N138" i="8"/>
  <c r="D139" i="8" s="1"/>
  <c r="J139" i="8" s="1"/>
  <c r="M138" i="8"/>
  <c r="C139" i="8" s="1"/>
  <c r="I139" i="8" s="1"/>
  <c r="L138" i="8"/>
  <c r="B139" i="8" s="1"/>
  <c r="H139" i="8" s="1"/>
  <c r="K139" i="8" s="1" a="1"/>
  <c r="K139" i="8" s="1"/>
  <c r="N145" i="7"/>
  <c r="D146" i="7" s="1"/>
  <c r="J146" i="7" s="1"/>
  <c r="M145" i="7"/>
  <c r="C146" i="7" s="1"/>
  <c r="I146" i="7" s="1"/>
  <c r="L145" i="7"/>
  <c r="B146" i="7" s="1"/>
  <c r="H146" i="7" s="1"/>
  <c r="K146" i="7" s="1" a="1"/>
  <c r="K146" i="7" s="1"/>
  <c r="N144" i="4"/>
  <c r="D145" i="4" s="1"/>
  <c r="J145" i="4" s="1"/>
  <c r="M144" i="4"/>
  <c r="C145" i="4" s="1"/>
  <c r="I145" i="4" s="1"/>
  <c r="L144" i="4"/>
  <c r="B145" i="4" s="1"/>
  <c r="H145" i="4" s="1"/>
  <c r="L119" i="2"/>
  <c r="B120" i="2" s="1"/>
  <c r="H120" i="2" s="1"/>
  <c r="K120" i="2" s="1" a="1"/>
  <c r="K120" i="2" s="1"/>
  <c r="L120" i="2" s="1"/>
  <c r="B121" i="2" s="1"/>
  <c r="H121" i="2" s="1"/>
  <c r="N119" i="2"/>
  <c r="D120" i="2" s="1"/>
  <c r="J120" i="2" s="1"/>
  <c r="M119" i="2"/>
  <c r="C120" i="2" s="1"/>
  <c r="I120" i="2" s="1"/>
  <c r="L145" i="11" l="1"/>
  <c r="B146" i="11" s="1"/>
  <c r="H146" i="11" s="1"/>
  <c r="M145" i="11"/>
  <c r="C146" i="11" s="1"/>
  <c r="I146" i="11" s="1"/>
  <c r="N145" i="11"/>
  <c r="D146" i="11" s="1"/>
  <c r="J146" i="11" s="1"/>
  <c r="L158" i="10"/>
  <c r="B159" i="10" s="1"/>
  <c r="H159" i="10" s="1"/>
  <c r="N158" i="10"/>
  <c r="D159" i="10" s="1"/>
  <c r="J159" i="10" s="1"/>
  <c r="M158" i="10"/>
  <c r="C159" i="10" s="1"/>
  <c r="I159" i="10" s="1"/>
  <c r="K142" i="9" a="1"/>
  <c r="K142" i="9" s="1"/>
  <c r="N139" i="8"/>
  <c r="D140" i="8" s="1"/>
  <c r="J140" i="8" s="1"/>
  <c r="M139" i="8"/>
  <c r="C140" i="8" s="1"/>
  <c r="I140" i="8" s="1"/>
  <c r="L139" i="8"/>
  <c r="B140" i="8" s="1"/>
  <c r="H140" i="8" s="1"/>
  <c r="K140" i="8" s="1" a="1"/>
  <c r="K140" i="8" s="1"/>
  <c r="L146" i="7"/>
  <c r="B147" i="7" s="1"/>
  <c r="H147" i="7" s="1"/>
  <c r="N146" i="7"/>
  <c r="D147" i="7" s="1"/>
  <c r="J147" i="7" s="1"/>
  <c r="M146" i="7"/>
  <c r="C147" i="7" s="1"/>
  <c r="I147" i="7" s="1"/>
  <c r="K145" i="4" a="1"/>
  <c r="K145" i="4" s="1"/>
  <c r="M120" i="2"/>
  <c r="C121" i="2" s="1"/>
  <c r="I121" i="2" s="1"/>
  <c r="K121" i="2" s="1" a="1"/>
  <c r="K121" i="2" s="1"/>
  <c r="N120" i="2"/>
  <c r="D121" i="2" s="1"/>
  <c r="J121" i="2" s="1"/>
  <c r="K146" i="11" l="1" a="1"/>
  <c r="K146" i="11" s="1"/>
  <c r="K159" i="10" a="1"/>
  <c r="K159" i="10" s="1"/>
  <c r="N142" i="9"/>
  <c r="D143" i="9" s="1"/>
  <c r="J143" i="9" s="1"/>
  <c r="M142" i="9"/>
  <c r="C143" i="9" s="1"/>
  <c r="I143" i="9" s="1"/>
  <c r="L142" i="9"/>
  <c r="B143" i="9" s="1"/>
  <c r="H143" i="9" s="1"/>
  <c r="N140" i="8"/>
  <c r="D141" i="8" s="1"/>
  <c r="J141" i="8" s="1"/>
  <c r="M140" i="8"/>
  <c r="C141" i="8" s="1"/>
  <c r="I141" i="8" s="1"/>
  <c r="L140" i="8"/>
  <c r="B141" i="8" s="1"/>
  <c r="H141" i="8" s="1"/>
  <c r="K147" i="7" a="1"/>
  <c r="K147" i="7" s="1"/>
  <c r="N145" i="4"/>
  <c r="D146" i="4" s="1"/>
  <c r="J146" i="4" s="1"/>
  <c r="M145" i="4"/>
  <c r="C146" i="4" s="1"/>
  <c r="I146" i="4" s="1"/>
  <c r="L145" i="4"/>
  <c r="B146" i="4" s="1"/>
  <c r="H146" i="4" s="1"/>
  <c r="K146" i="4" s="1" a="1"/>
  <c r="K146" i="4" s="1"/>
  <c r="N121" i="2"/>
  <c r="D122" i="2" s="1"/>
  <c r="J122" i="2" s="1"/>
  <c r="L121" i="2"/>
  <c r="B122" i="2" s="1"/>
  <c r="H122" i="2" s="1"/>
  <c r="M121" i="2"/>
  <c r="C122" i="2" s="1"/>
  <c r="I122" i="2" s="1"/>
  <c r="L146" i="11" l="1"/>
  <c r="B147" i="11" s="1"/>
  <c r="H147" i="11" s="1"/>
  <c r="M146" i="11"/>
  <c r="C147" i="11" s="1"/>
  <c r="I147" i="11" s="1"/>
  <c r="N146" i="11"/>
  <c r="D147" i="11" s="1"/>
  <c r="J147" i="11" s="1"/>
  <c r="M159" i="10"/>
  <c r="C160" i="10" s="1"/>
  <c r="I160" i="10" s="1"/>
  <c r="L159" i="10"/>
  <c r="B160" i="10" s="1"/>
  <c r="H160" i="10" s="1"/>
  <c r="N159" i="10"/>
  <c r="D160" i="10" s="1"/>
  <c r="J160" i="10" s="1"/>
  <c r="K143" i="9" a="1"/>
  <c r="K143" i="9" s="1"/>
  <c r="K141" i="8" a="1"/>
  <c r="K141" i="8" s="1"/>
  <c r="M147" i="7"/>
  <c r="C148" i="7" s="1"/>
  <c r="I148" i="7" s="1"/>
  <c r="L147" i="7"/>
  <c r="B148" i="7" s="1"/>
  <c r="H148" i="7" s="1"/>
  <c r="N147" i="7"/>
  <c r="D148" i="7" s="1"/>
  <c r="J148" i="7" s="1"/>
  <c r="L146" i="4"/>
  <c r="B147" i="4" s="1"/>
  <c r="H147" i="4" s="1"/>
  <c r="N146" i="4"/>
  <c r="D147" i="4" s="1"/>
  <c r="J147" i="4" s="1"/>
  <c r="M146" i="4"/>
  <c r="C147" i="4" s="1"/>
  <c r="I147" i="4" s="1"/>
  <c r="K122" i="2" a="1"/>
  <c r="K122" i="2" s="1"/>
  <c r="K147" i="11" l="1" a="1"/>
  <c r="K147" i="11" s="1"/>
  <c r="K160" i="10" a="1"/>
  <c r="K160" i="10" s="1"/>
  <c r="N143" i="9"/>
  <c r="D144" i="9" s="1"/>
  <c r="J144" i="9" s="1"/>
  <c r="M143" i="9"/>
  <c r="C144" i="9" s="1"/>
  <c r="I144" i="9" s="1"/>
  <c r="L143" i="9"/>
  <c r="B144" i="9" s="1"/>
  <c r="H144" i="9" s="1"/>
  <c r="K144" i="9" s="1" a="1"/>
  <c r="K144" i="9" s="1"/>
  <c r="N141" i="8"/>
  <c r="D142" i="8" s="1"/>
  <c r="J142" i="8" s="1"/>
  <c r="M141" i="8"/>
  <c r="C142" i="8" s="1"/>
  <c r="I142" i="8" s="1"/>
  <c r="L141" i="8"/>
  <c r="B142" i="8" s="1"/>
  <c r="H142" i="8" s="1"/>
  <c r="K142" i="8" s="1" a="1"/>
  <c r="K142" i="8" s="1"/>
  <c r="K148" i="7" a="1"/>
  <c r="K148" i="7" s="1"/>
  <c r="K147" i="4" a="1"/>
  <c r="K147" i="4" s="1"/>
  <c r="L122" i="2"/>
  <c r="B123" i="2" s="1"/>
  <c r="H123" i="2" s="1"/>
  <c r="N122" i="2"/>
  <c r="D123" i="2" s="1"/>
  <c r="J123" i="2" s="1"/>
  <c r="M122" i="2"/>
  <c r="C123" i="2" s="1"/>
  <c r="I123" i="2" s="1"/>
  <c r="K123" i="2" s="1" a="1"/>
  <c r="K123" i="2" s="1"/>
  <c r="N123" i="2" s="1"/>
  <c r="D124" i="2" s="1"/>
  <c r="J124" i="2" s="1"/>
  <c r="M147" i="11" l="1"/>
  <c r="C148" i="11" s="1"/>
  <c r="I148" i="11" s="1"/>
  <c r="L147" i="11"/>
  <c r="B148" i="11" s="1"/>
  <c r="H148" i="11" s="1"/>
  <c r="N147" i="11"/>
  <c r="D148" i="11" s="1"/>
  <c r="J148" i="11" s="1"/>
  <c r="N160" i="10"/>
  <c r="D161" i="10" s="1"/>
  <c r="J161" i="10" s="1"/>
  <c r="M160" i="10"/>
  <c r="C161" i="10" s="1"/>
  <c r="I161" i="10" s="1"/>
  <c r="L160" i="10"/>
  <c r="B161" i="10" s="1"/>
  <c r="H161" i="10" s="1"/>
  <c r="K161" i="10" s="1" a="1"/>
  <c r="K161" i="10" s="1"/>
  <c r="N144" i="9"/>
  <c r="D145" i="9" s="1"/>
  <c r="J145" i="9" s="1"/>
  <c r="M144" i="9"/>
  <c r="C145" i="9" s="1"/>
  <c r="I145" i="9" s="1"/>
  <c r="L144" i="9"/>
  <c r="B145" i="9" s="1"/>
  <c r="H145" i="9" s="1"/>
  <c r="K145" i="9" s="1" a="1"/>
  <c r="K145" i="9" s="1"/>
  <c r="N142" i="8"/>
  <c r="D143" i="8" s="1"/>
  <c r="J143" i="8" s="1"/>
  <c r="M142" i="8"/>
  <c r="C143" i="8" s="1"/>
  <c r="I143" i="8" s="1"/>
  <c r="L142" i="8"/>
  <c r="B143" i="8" s="1"/>
  <c r="H143" i="8" s="1"/>
  <c r="K143" i="8" s="1" a="1"/>
  <c r="K143" i="8" s="1"/>
  <c r="N148" i="7"/>
  <c r="D149" i="7" s="1"/>
  <c r="J149" i="7" s="1"/>
  <c r="M148" i="7"/>
  <c r="C149" i="7" s="1"/>
  <c r="I149" i="7" s="1"/>
  <c r="L148" i="7"/>
  <c r="B149" i="7" s="1"/>
  <c r="H149" i="7" s="1"/>
  <c r="M147" i="4"/>
  <c r="C148" i="4" s="1"/>
  <c r="I148" i="4" s="1"/>
  <c r="L147" i="4"/>
  <c r="B148" i="4" s="1"/>
  <c r="H148" i="4" s="1"/>
  <c r="K148" i="4" s="1" a="1"/>
  <c r="K148" i="4" s="1"/>
  <c r="N147" i="4"/>
  <c r="D148" i="4" s="1"/>
  <c r="J148" i="4" s="1"/>
  <c r="M123" i="2"/>
  <c r="C124" i="2" s="1"/>
  <c r="I124" i="2" s="1"/>
  <c r="L123" i="2"/>
  <c r="B124" i="2" s="1"/>
  <c r="H124" i="2" s="1"/>
  <c r="K124" i="2" s="1" a="1"/>
  <c r="K124" i="2" s="1"/>
  <c r="M124" i="2" s="1"/>
  <c r="C125" i="2" s="1"/>
  <c r="I125" i="2" s="1"/>
  <c r="K148" i="11" l="1" a="1"/>
  <c r="K148" i="11" s="1"/>
  <c r="N161" i="10"/>
  <c r="D162" i="10" s="1"/>
  <c r="J162" i="10" s="1"/>
  <c r="M161" i="10"/>
  <c r="C162" i="10" s="1"/>
  <c r="I162" i="10" s="1"/>
  <c r="L161" i="10"/>
  <c r="B162" i="10" s="1"/>
  <c r="H162" i="10" s="1"/>
  <c r="K162" i="10" s="1" a="1"/>
  <c r="K162" i="10" s="1"/>
  <c r="N145" i="9"/>
  <c r="D146" i="9" s="1"/>
  <c r="J146" i="9" s="1"/>
  <c r="L145" i="9"/>
  <c r="B146" i="9" s="1"/>
  <c r="H146" i="9" s="1"/>
  <c r="M145" i="9"/>
  <c r="C146" i="9" s="1"/>
  <c r="I146" i="9" s="1"/>
  <c r="N143" i="8"/>
  <c r="D144" i="8" s="1"/>
  <c r="J144" i="8" s="1"/>
  <c r="M143" i="8"/>
  <c r="C144" i="8" s="1"/>
  <c r="I144" i="8" s="1"/>
  <c r="L143" i="8"/>
  <c r="B144" i="8" s="1"/>
  <c r="H144" i="8" s="1"/>
  <c r="K149" i="7" a="1"/>
  <c r="K149" i="7" s="1"/>
  <c r="N148" i="4"/>
  <c r="D149" i="4" s="1"/>
  <c r="J149" i="4" s="1"/>
  <c r="M148" i="4"/>
  <c r="C149" i="4" s="1"/>
  <c r="I149" i="4" s="1"/>
  <c r="L148" i="4"/>
  <c r="B149" i="4" s="1"/>
  <c r="H149" i="4" s="1"/>
  <c r="N124" i="2"/>
  <c r="D125" i="2" s="1"/>
  <c r="J125" i="2" s="1"/>
  <c r="L124" i="2"/>
  <c r="B125" i="2" s="1"/>
  <c r="H125" i="2" s="1"/>
  <c r="K125" i="2" a="1"/>
  <c r="K125" i="2" s="1"/>
  <c r="N148" i="11" l="1"/>
  <c r="D149" i="11" s="1"/>
  <c r="J149" i="11" s="1"/>
  <c r="M148" i="11"/>
  <c r="C149" i="11" s="1"/>
  <c r="I149" i="11" s="1"/>
  <c r="L148" i="11"/>
  <c r="B149" i="11" s="1"/>
  <c r="H149" i="11" s="1"/>
  <c r="N162" i="10"/>
  <c r="D163" i="10" s="1"/>
  <c r="J163" i="10" s="1"/>
  <c r="M162" i="10"/>
  <c r="C163" i="10" s="1"/>
  <c r="I163" i="10" s="1"/>
  <c r="L162" i="10"/>
  <c r="B163" i="10" s="1"/>
  <c r="H163" i="10" s="1"/>
  <c r="K163" i="10" s="1" a="1"/>
  <c r="K163" i="10" s="1"/>
  <c r="K146" i="9" a="1"/>
  <c r="K146" i="9" s="1"/>
  <c r="K144" i="8" a="1"/>
  <c r="K144" i="8" s="1"/>
  <c r="N149" i="7"/>
  <c r="D150" i="7" s="1"/>
  <c r="J150" i="7" s="1"/>
  <c r="M149" i="7"/>
  <c r="C150" i="7" s="1"/>
  <c r="I150" i="7" s="1"/>
  <c r="L149" i="7"/>
  <c r="B150" i="7" s="1"/>
  <c r="H150" i="7" s="1"/>
  <c r="K150" i="7" s="1" a="1"/>
  <c r="K150" i="7" s="1"/>
  <c r="K149" i="4" a="1"/>
  <c r="K149" i="4" s="1"/>
  <c r="L125" i="2"/>
  <c r="B126" i="2" s="1"/>
  <c r="H126" i="2" s="1"/>
  <c r="M125" i="2"/>
  <c r="C126" i="2" s="1"/>
  <c r="I126" i="2" s="1"/>
  <c r="N125" i="2"/>
  <c r="D126" i="2" s="1"/>
  <c r="J126" i="2" s="1"/>
  <c r="K149" i="11" l="1" a="1"/>
  <c r="K149" i="11" s="1"/>
  <c r="N163" i="10"/>
  <c r="D164" i="10" s="1"/>
  <c r="J164" i="10" s="1"/>
  <c r="M163" i="10"/>
  <c r="C164" i="10" s="1"/>
  <c r="I164" i="10" s="1"/>
  <c r="L163" i="10"/>
  <c r="B164" i="10" s="1"/>
  <c r="H164" i="10" s="1"/>
  <c r="K164" i="10" s="1" a="1"/>
  <c r="K164" i="10" s="1"/>
  <c r="L146" i="9"/>
  <c r="B147" i="9" s="1"/>
  <c r="H147" i="9" s="1"/>
  <c r="N146" i="9"/>
  <c r="D147" i="9" s="1"/>
  <c r="J147" i="9" s="1"/>
  <c r="M146" i="9"/>
  <c r="C147" i="9" s="1"/>
  <c r="I147" i="9" s="1"/>
  <c r="N144" i="8"/>
  <c r="D145" i="8" s="1"/>
  <c r="J145" i="8" s="1"/>
  <c r="M144" i="8"/>
  <c r="C145" i="8" s="1"/>
  <c r="I145" i="8" s="1"/>
  <c r="L144" i="8"/>
  <c r="B145" i="8" s="1"/>
  <c r="H145" i="8" s="1"/>
  <c r="K145" i="8" s="1" a="1"/>
  <c r="K145" i="8" s="1"/>
  <c r="N150" i="7"/>
  <c r="D151" i="7" s="1"/>
  <c r="J151" i="7" s="1"/>
  <c r="M150" i="7"/>
  <c r="C151" i="7" s="1"/>
  <c r="I151" i="7" s="1"/>
  <c r="L150" i="7"/>
  <c r="B151" i="7" s="1"/>
  <c r="H151" i="7" s="1"/>
  <c r="K151" i="7" s="1" a="1"/>
  <c r="K151" i="7" s="1"/>
  <c r="N149" i="4"/>
  <c r="D150" i="4" s="1"/>
  <c r="J150" i="4" s="1"/>
  <c r="M149" i="4"/>
  <c r="C150" i="4" s="1"/>
  <c r="I150" i="4" s="1"/>
  <c r="L149" i="4"/>
  <c r="B150" i="4" s="1"/>
  <c r="H150" i="4" s="1"/>
  <c r="K150" i="4" s="1" a="1"/>
  <c r="K150" i="4" s="1"/>
  <c r="K126" i="2" a="1"/>
  <c r="K126" i="2" s="1"/>
  <c r="L126" i="2" s="1"/>
  <c r="B127" i="2" s="1"/>
  <c r="H127" i="2" s="1"/>
  <c r="N149" i="11" l="1"/>
  <c r="D150" i="11" s="1"/>
  <c r="J150" i="11" s="1"/>
  <c r="M149" i="11"/>
  <c r="C150" i="11" s="1"/>
  <c r="I150" i="11" s="1"/>
  <c r="L149" i="11"/>
  <c r="B150" i="11" s="1"/>
  <c r="H150" i="11" s="1"/>
  <c r="N164" i="10"/>
  <c r="D165" i="10" s="1"/>
  <c r="J165" i="10" s="1"/>
  <c r="M164" i="10"/>
  <c r="C165" i="10" s="1"/>
  <c r="I165" i="10" s="1"/>
  <c r="L164" i="10"/>
  <c r="B165" i="10" s="1"/>
  <c r="H165" i="10" s="1"/>
  <c r="K165" i="10" s="1" a="1"/>
  <c r="K165" i="10" s="1"/>
  <c r="K147" i="9" a="1"/>
  <c r="K147" i="9" s="1"/>
  <c r="N145" i="8"/>
  <c r="D146" i="8" s="1"/>
  <c r="J146" i="8" s="1"/>
  <c r="M145" i="8"/>
  <c r="C146" i="8" s="1"/>
  <c r="I146" i="8" s="1"/>
  <c r="L145" i="8"/>
  <c r="B146" i="8" s="1"/>
  <c r="H146" i="8" s="1"/>
  <c r="K146" i="8" s="1" a="1"/>
  <c r="K146" i="8" s="1"/>
  <c r="N151" i="7"/>
  <c r="D152" i="7" s="1"/>
  <c r="J152" i="7" s="1"/>
  <c r="M151" i="7"/>
  <c r="C152" i="7" s="1"/>
  <c r="I152" i="7" s="1"/>
  <c r="L151" i="7"/>
  <c r="B152" i="7" s="1"/>
  <c r="H152" i="7" s="1"/>
  <c r="K152" i="7" s="1" a="1"/>
  <c r="K152" i="7" s="1"/>
  <c r="N150" i="4"/>
  <c r="D151" i="4" s="1"/>
  <c r="J151" i="4" s="1"/>
  <c r="M150" i="4"/>
  <c r="C151" i="4" s="1"/>
  <c r="I151" i="4" s="1"/>
  <c r="L150" i="4"/>
  <c r="B151" i="4" s="1"/>
  <c r="H151" i="4" s="1"/>
  <c r="M126" i="2"/>
  <c r="C127" i="2" s="1"/>
  <c r="I127" i="2" s="1"/>
  <c r="N126" i="2"/>
  <c r="D127" i="2" s="1"/>
  <c r="J127" i="2" s="1"/>
  <c r="K150" i="11" l="1" a="1"/>
  <c r="K150" i="11" s="1"/>
  <c r="N165" i="10"/>
  <c r="D166" i="10" s="1"/>
  <c r="J166" i="10" s="1"/>
  <c r="M165" i="10"/>
  <c r="C166" i="10" s="1"/>
  <c r="I166" i="10" s="1"/>
  <c r="L165" i="10"/>
  <c r="B166" i="10" s="1"/>
  <c r="H166" i="10" s="1"/>
  <c r="K166" i="10" s="1" a="1"/>
  <c r="K166" i="10" s="1"/>
  <c r="M147" i="9"/>
  <c r="C148" i="9" s="1"/>
  <c r="I148" i="9" s="1"/>
  <c r="L147" i="9"/>
  <c r="B148" i="9" s="1"/>
  <c r="H148" i="9" s="1"/>
  <c r="N147" i="9"/>
  <c r="D148" i="9" s="1"/>
  <c r="J148" i="9" s="1"/>
  <c r="L146" i="8"/>
  <c r="B147" i="8" s="1"/>
  <c r="H147" i="8" s="1"/>
  <c r="N146" i="8"/>
  <c r="D147" i="8" s="1"/>
  <c r="J147" i="8" s="1"/>
  <c r="M146" i="8"/>
  <c r="C147" i="8" s="1"/>
  <c r="I147" i="8" s="1"/>
  <c r="N152" i="7"/>
  <c r="D153" i="7" s="1"/>
  <c r="J153" i="7" s="1"/>
  <c r="M152" i="7"/>
  <c r="C153" i="7" s="1"/>
  <c r="I153" i="7" s="1"/>
  <c r="L152" i="7"/>
  <c r="B153" i="7" s="1"/>
  <c r="H153" i="7" s="1"/>
  <c r="K153" i="7" s="1" a="1"/>
  <c r="K153" i="7" s="1"/>
  <c r="K151" i="4" a="1"/>
  <c r="K151" i="4" s="1"/>
  <c r="K127" i="2" a="1"/>
  <c r="K127" i="2" s="1"/>
  <c r="N127" i="2" s="1"/>
  <c r="D128" i="2" s="1"/>
  <c r="J128" i="2" s="1"/>
  <c r="N150" i="11" l="1"/>
  <c r="D151" i="11" s="1"/>
  <c r="J151" i="11" s="1"/>
  <c r="M150" i="11"/>
  <c r="C151" i="11" s="1"/>
  <c r="I151" i="11" s="1"/>
  <c r="L150" i="11"/>
  <c r="B151" i="11" s="1"/>
  <c r="H151" i="11" s="1"/>
  <c r="K151" i="11" s="1" a="1"/>
  <c r="K151" i="11" s="1"/>
  <c r="N166" i="10"/>
  <c r="D167" i="10" s="1"/>
  <c r="J167" i="10" s="1"/>
  <c r="M166" i="10"/>
  <c r="C167" i="10" s="1"/>
  <c r="I167" i="10" s="1"/>
  <c r="L166" i="10"/>
  <c r="B167" i="10" s="1"/>
  <c r="H167" i="10" s="1"/>
  <c r="K167" i="10" s="1" a="1"/>
  <c r="K167" i="10" s="1"/>
  <c r="K148" i="9" a="1"/>
  <c r="K148" i="9" s="1"/>
  <c r="K147" i="8" a="1"/>
  <c r="K147" i="8" s="1"/>
  <c r="N153" i="7"/>
  <c r="D154" i="7" s="1"/>
  <c r="J154" i="7" s="1"/>
  <c r="M153" i="7"/>
  <c r="C154" i="7" s="1"/>
  <c r="I154" i="7" s="1"/>
  <c r="L153" i="7"/>
  <c r="B154" i="7" s="1"/>
  <c r="H154" i="7" s="1"/>
  <c r="N151" i="4"/>
  <c r="D152" i="4" s="1"/>
  <c r="J152" i="4" s="1"/>
  <c r="M151" i="4"/>
  <c r="C152" i="4" s="1"/>
  <c r="I152" i="4" s="1"/>
  <c r="L151" i="4"/>
  <c r="B152" i="4" s="1"/>
  <c r="H152" i="4" s="1"/>
  <c r="K152" i="4" s="1" a="1"/>
  <c r="K152" i="4" s="1"/>
  <c r="M127" i="2"/>
  <c r="C128" i="2" s="1"/>
  <c r="I128" i="2" s="1"/>
  <c r="L127" i="2"/>
  <c r="B128" i="2" s="1"/>
  <c r="H128" i="2" s="1"/>
  <c r="N151" i="11" l="1"/>
  <c r="D152" i="11" s="1"/>
  <c r="J152" i="11" s="1"/>
  <c r="M151" i="11"/>
  <c r="C152" i="11" s="1"/>
  <c r="I152" i="11" s="1"/>
  <c r="L151" i="11"/>
  <c r="B152" i="11" s="1"/>
  <c r="H152" i="11" s="1"/>
  <c r="N167" i="10"/>
  <c r="D168" i="10" s="1"/>
  <c r="J168" i="10" s="1"/>
  <c r="L167" i="10"/>
  <c r="B168" i="10" s="1"/>
  <c r="H168" i="10" s="1"/>
  <c r="M167" i="10"/>
  <c r="C168" i="10" s="1"/>
  <c r="I168" i="10" s="1"/>
  <c r="N148" i="9"/>
  <c r="D149" i="9" s="1"/>
  <c r="J149" i="9" s="1"/>
  <c r="M148" i="9"/>
  <c r="C149" i="9" s="1"/>
  <c r="I149" i="9" s="1"/>
  <c r="L148" i="9"/>
  <c r="B149" i="9" s="1"/>
  <c r="H149" i="9" s="1"/>
  <c r="K149" i="9" s="1" a="1"/>
  <c r="K149" i="9" s="1"/>
  <c r="M147" i="8"/>
  <c r="C148" i="8" s="1"/>
  <c r="I148" i="8" s="1"/>
  <c r="L147" i="8"/>
  <c r="B148" i="8" s="1"/>
  <c r="H148" i="8" s="1"/>
  <c r="N147" i="8"/>
  <c r="D148" i="8" s="1"/>
  <c r="J148" i="8" s="1"/>
  <c r="K154" i="7" a="1"/>
  <c r="K154" i="7" s="1"/>
  <c r="N152" i="4"/>
  <c r="D153" i="4" s="1"/>
  <c r="J153" i="4" s="1"/>
  <c r="M152" i="4"/>
  <c r="C153" i="4" s="1"/>
  <c r="I153" i="4" s="1"/>
  <c r="L152" i="4"/>
  <c r="B153" i="4" s="1"/>
  <c r="H153" i="4" s="1"/>
  <c r="K128" i="2" a="1"/>
  <c r="K128" i="2" s="1"/>
  <c r="L128" i="2" s="1"/>
  <c r="B129" i="2" s="1"/>
  <c r="H129" i="2" s="1"/>
  <c r="K152" i="11" l="1" a="1"/>
  <c r="K152" i="11" s="1"/>
  <c r="K168" i="10" a="1"/>
  <c r="K168" i="10" s="1"/>
  <c r="N149" i="9"/>
  <c r="D150" i="9" s="1"/>
  <c r="J150" i="9" s="1"/>
  <c r="M149" i="9"/>
  <c r="C150" i="9" s="1"/>
  <c r="I150" i="9" s="1"/>
  <c r="L149" i="9"/>
  <c r="B150" i="9" s="1"/>
  <c r="H150" i="9" s="1"/>
  <c r="K150" i="9" s="1" a="1"/>
  <c r="K150" i="9" s="1"/>
  <c r="K148" i="8" a="1"/>
  <c r="K148" i="8" s="1"/>
  <c r="N154" i="7"/>
  <c r="D155" i="7" s="1"/>
  <c r="J155" i="7" s="1"/>
  <c r="M154" i="7"/>
  <c r="C155" i="7" s="1"/>
  <c r="I155" i="7" s="1"/>
  <c r="L154" i="7"/>
  <c r="B155" i="7" s="1"/>
  <c r="H155" i="7" s="1"/>
  <c r="K155" i="7" s="1" a="1"/>
  <c r="K155" i="7" s="1"/>
  <c r="K153" i="4" a="1"/>
  <c r="K153" i="4" s="1"/>
  <c r="N128" i="2"/>
  <c r="D129" i="2" s="1"/>
  <c r="J129" i="2" s="1"/>
  <c r="M128" i="2"/>
  <c r="C129" i="2" s="1"/>
  <c r="N152" i="11" l="1"/>
  <c r="D153" i="11" s="1"/>
  <c r="J153" i="11" s="1"/>
  <c r="M152" i="11"/>
  <c r="C153" i="11" s="1"/>
  <c r="I153" i="11" s="1"/>
  <c r="L152" i="11"/>
  <c r="B153" i="11" s="1"/>
  <c r="H153" i="11" s="1"/>
  <c r="K153" i="11" s="1" a="1"/>
  <c r="K153" i="11" s="1"/>
  <c r="M168" i="10"/>
  <c r="C169" i="10" s="1"/>
  <c r="I169" i="10" s="1"/>
  <c r="N168" i="10"/>
  <c r="D169" i="10" s="1"/>
  <c r="J169" i="10" s="1"/>
  <c r="L168" i="10"/>
  <c r="B169" i="10" s="1"/>
  <c r="H169" i="10" s="1"/>
  <c r="K169" i="10" s="1" a="1"/>
  <c r="K169" i="10" s="1"/>
  <c r="N150" i="9"/>
  <c r="D151" i="9" s="1"/>
  <c r="J151" i="9" s="1"/>
  <c r="M150" i="9"/>
  <c r="C151" i="9" s="1"/>
  <c r="I151" i="9" s="1"/>
  <c r="L150" i="9"/>
  <c r="B151" i="9" s="1"/>
  <c r="H151" i="9" s="1"/>
  <c r="K151" i="9" s="1" a="1"/>
  <c r="K151" i="9" s="1"/>
  <c r="N148" i="8"/>
  <c r="D149" i="8" s="1"/>
  <c r="J149" i="8" s="1"/>
  <c r="M148" i="8"/>
  <c r="C149" i="8" s="1"/>
  <c r="I149" i="8" s="1"/>
  <c r="L148" i="8"/>
  <c r="B149" i="8" s="1"/>
  <c r="H149" i="8" s="1"/>
  <c r="K149" i="8" s="1" a="1"/>
  <c r="K149" i="8" s="1"/>
  <c r="N155" i="7"/>
  <c r="D156" i="7" s="1"/>
  <c r="J156" i="7" s="1"/>
  <c r="L155" i="7"/>
  <c r="B156" i="7" s="1"/>
  <c r="H156" i="7" s="1"/>
  <c r="M155" i="7"/>
  <c r="C156" i="7" s="1"/>
  <c r="I156" i="7" s="1"/>
  <c r="N153" i="4"/>
  <c r="D154" i="4" s="1"/>
  <c r="J154" i="4" s="1"/>
  <c r="M153" i="4"/>
  <c r="C154" i="4" s="1"/>
  <c r="I154" i="4" s="1"/>
  <c r="L153" i="4"/>
  <c r="B154" i="4" s="1"/>
  <c r="H154" i="4" s="1"/>
  <c r="K154" i="4" s="1" a="1"/>
  <c r="K154" i="4" s="1"/>
  <c r="I129" i="2"/>
  <c r="K129" i="2" s="1" a="1"/>
  <c r="K129" i="2" s="1"/>
  <c r="M129" i="2" s="1"/>
  <c r="C130" i="2" s="1"/>
  <c r="I130" i="2" s="1"/>
  <c r="N153" i="11" l="1"/>
  <c r="D154" i="11" s="1"/>
  <c r="J154" i="11" s="1"/>
  <c r="M153" i="11"/>
  <c r="C154" i="11" s="1"/>
  <c r="I154" i="11" s="1"/>
  <c r="L153" i="11"/>
  <c r="B154" i="11" s="1"/>
  <c r="H154" i="11" s="1"/>
  <c r="K154" i="11" s="1" a="1"/>
  <c r="K154" i="11" s="1"/>
  <c r="N169" i="10"/>
  <c r="D170" i="10" s="1"/>
  <c r="J170" i="10" s="1"/>
  <c r="M169" i="10"/>
  <c r="C170" i="10" s="1"/>
  <c r="I170" i="10" s="1"/>
  <c r="L169" i="10"/>
  <c r="B170" i="10" s="1"/>
  <c r="H170" i="10" s="1"/>
  <c r="K170" i="10" s="1" a="1"/>
  <c r="K170" i="10" s="1"/>
  <c r="N151" i="9"/>
  <c r="D152" i="9" s="1"/>
  <c r="J152" i="9" s="1"/>
  <c r="M151" i="9"/>
  <c r="C152" i="9" s="1"/>
  <c r="I152" i="9" s="1"/>
  <c r="L151" i="9"/>
  <c r="B152" i="9" s="1"/>
  <c r="H152" i="9" s="1"/>
  <c r="K152" i="9" s="1" a="1"/>
  <c r="K152" i="9" s="1"/>
  <c r="N149" i="8"/>
  <c r="D150" i="8" s="1"/>
  <c r="J150" i="8" s="1"/>
  <c r="M149" i="8"/>
  <c r="C150" i="8" s="1"/>
  <c r="I150" i="8" s="1"/>
  <c r="L149" i="8"/>
  <c r="B150" i="8" s="1"/>
  <c r="H150" i="8" s="1"/>
  <c r="K156" i="7" a="1"/>
  <c r="K156" i="7" s="1"/>
  <c r="N154" i="4"/>
  <c r="D155" i="4" s="1"/>
  <c r="J155" i="4" s="1"/>
  <c r="M154" i="4"/>
  <c r="C155" i="4" s="1"/>
  <c r="I155" i="4" s="1"/>
  <c r="L154" i="4"/>
  <c r="B155" i="4" s="1"/>
  <c r="H155" i="4" s="1"/>
  <c r="N129" i="2"/>
  <c r="D130" i="2" s="1"/>
  <c r="J130" i="2" s="1"/>
  <c r="L129" i="2"/>
  <c r="B130" i="2" s="1"/>
  <c r="H130" i="2" s="1"/>
  <c r="K130" i="2" a="1"/>
  <c r="K130" i="2" s="1"/>
  <c r="L130" i="2" s="1"/>
  <c r="B131" i="2" s="1"/>
  <c r="H131" i="2" s="1"/>
  <c r="N154" i="11" l="1"/>
  <c r="D155" i="11" s="1"/>
  <c r="J155" i="11" s="1"/>
  <c r="L154" i="11"/>
  <c r="B155" i="11" s="1"/>
  <c r="H155" i="11" s="1"/>
  <c r="M154" i="11"/>
  <c r="C155" i="11" s="1"/>
  <c r="I155" i="11" s="1"/>
  <c r="L170" i="10"/>
  <c r="B171" i="10" s="1"/>
  <c r="H171" i="10" s="1"/>
  <c r="N170" i="10"/>
  <c r="D171" i="10" s="1"/>
  <c r="J171" i="10" s="1"/>
  <c r="M170" i="10"/>
  <c r="C171" i="10" s="1"/>
  <c r="I171" i="10" s="1"/>
  <c r="N152" i="9"/>
  <c r="D153" i="9" s="1"/>
  <c r="J153" i="9" s="1"/>
  <c r="M152" i="9"/>
  <c r="C153" i="9" s="1"/>
  <c r="I153" i="9" s="1"/>
  <c r="L152" i="9"/>
  <c r="B153" i="9" s="1"/>
  <c r="H153" i="9" s="1"/>
  <c r="K153" i="9" s="1" a="1"/>
  <c r="K153" i="9" s="1"/>
  <c r="K150" i="8" a="1"/>
  <c r="K150" i="8" s="1"/>
  <c r="M156" i="7"/>
  <c r="C157" i="7" s="1"/>
  <c r="I157" i="7" s="1"/>
  <c r="N156" i="7"/>
  <c r="D157" i="7" s="1"/>
  <c r="J157" i="7" s="1"/>
  <c r="L156" i="7"/>
  <c r="B157" i="7" s="1"/>
  <c r="H157" i="7" s="1"/>
  <c r="K155" i="4" a="1"/>
  <c r="K155" i="4" s="1"/>
  <c r="N130" i="2"/>
  <c r="D131" i="2" s="1"/>
  <c r="J131" i="2" s="1"/>
  <c r="M130" i="2"/>
  <c r="C131" i="2" s="1"/>
  <c r="I131" i="2" s="1"/>
  <c r="K155" i="11" l="1" a="1"/>
  <c r="K155" i="11" s="1"/>
  <c r="K171" i="10" a="1"/>
  <c r="K171" i="10" s="1"/>
  <c r="N153" i="9"/>
  <c r="D154" i="9" s="1"/>
  <c r="J154" i="9" s="1"/>
  <c r="M153" i="9"/>
  <c r="C154" i="9" s="1"/>
  <c r="I154" i="9" s="1"/>
  <c r="L153" i="9"/>
  <c r="B154" i="9" s="1"/>
  <c r="H154" i="9" s="1"/>
  <c r="N150" i="8"/>
  <c r="D151" i="8" s="1"/>
  <c r="J151" i="8" s="1"/>
  <c r="M150" i="8"/>
  <c r="C151" i="8" s="1"/>
  <c r="I151" i="8" s="1"/>
  <c r="L150" i="8"/>
  <c r="B151" i="8" s="1"/>
  <c r="H151" i="8" s="1"/>
  <c r="K157" i="7" a="1"/>
  <c r="K157" i="7" s="1"/>
  <c r="N155" i="4"/>
  <c r="D156" i="4" s="1"/>
  <c r="J156" i="4" s="1"/>
  <c r="M155" i="4"/>
  <c r="C156" i="4" s="1"/>
  <c r="I156" i="4" s="1"/>
  <c r="L155" i="4"/>
  <c r="B156" i="4" s="1"/>
  <c r="H156" i="4" s="1"/>
  <c r="K156" i="4" s="1" a="1"/>
  <c r="K156" i="4" s="1"/>
  <c r="K131" i="2" a="1"/>
  <c r="K131" i="2" s="1"/>
  <c r="L131" i="2" s="1"/>
  <c r="B132" i="2" s="1"/>
  <c r="H132" i="2" s="1"/>
  <c r="M155" i="11" l="1"/>
  <c r="C156" i="11" s="1"/>
  <c r="I156" i="11" s="1"/>
  <c r="N155" i="11"/>
  <c r="D156" i="11" s="1"/>
  <c r="J156" i="11" s="1"/>
  <c r="L155" i="11"/>
  <c r="B156" i="11" s="1"/>
  <c r="H156" i="11" s="1"/>
  <c r="K156" i="11" s="1" a="1"/>
  <c r="K156" i="11" s="1"/>
  <c r="M171" i="10"/>
  <c r="C172" i="10" s="1"/>
  <c r="I172" i="10" s="1"/>
  <c r="L171" i="10"/>
  <c r="B172" i="10" s="1"/>
  <c r="H172" i="10" s="1"/>
  <c r="K172" i="10" s="1" a="1"/>
  <c r="K172" i="10" s="1"/>
  <c r="N171" i="10"/>
  <c r="D172" i="10" s="1"/>
  <c r="J172" i="10" s="1"/>
  <c r="K154" i="9" a="1"/>
  <c r="K154" i="9" s="1"/>
  <c r="K151" i="8" a="1"/>
  <c r="K151" i="8" s="1"/>
  <c r="N157" i="7"/>
  <c r="D158" i="7" s="1"/>
  <c r="J158" i="7" s="1"/>
  <c r="M157" i="7"/>
  <c r="C158" i="7" s="1"/>
  <c r="I158" i="7" s="1"/>
  <c r="L157" i="7"/>
  <c r="B158" i="7" s="1"/>
  <c r="H158" i="7" s="1"/>
  <c r="K158" i="7" s="1" a="1"/>
  <c r="K158" i="7" s="1"/>
  <c r="N156" i="4"/>
  <c r="D157" i="4" s="1"/>
  <c r="J157" i="4" s="1"/>
  <c r="M156" i="4"/>
  <c r="C157" i="4" s="1"/>
  <c r="I157" i="4" s="1"/>
  <c r="L156" i="4"/>
  <c r="B157" i="4" s="1"/>
  <c r="H157" i="4" s="1"/>
  <c r="K157" i="4" s="1" a="1"/>
  <c r="K157" i="4" s="1"/>
  <c r="N131" i="2"/>
  <c r="D132" i="2" s="1"/>
  <c r="J132" i="2" s="1"/>
  <c r="M131" i="2"/>
  <c r="C132" i="2" s="1"/>
  <c r="N156" i="11" l="1"/>
  <c r="D157" i="11" s="1"/>
  <c r="J157" i="11" s="1"/>
  <c r="M156" i="11"/>
  <c r="C157" i="11" s="1"/>
  <c r="I157" i="11" s="1"/>
  <c r="L156" i="11"/>
  <c r="B157" i="11" s="1"/>
  <c r="H157" i="11" s="1"/>
  <c r="K157" i="11" s="1" a="1"/>
  <c r="K157" i="11" s="1"/>
  <c r="N172" i="10"/>
  <c r="D173" i="10" s="1"/>
  <c r="J173" i="10" s="1"/>
  <c r="M172" i="10"/>
  <c r="C173" i="10" s="1"/>
  <c r="I173" i="10" s="1"/>
  <c r="L172" i="10"/>
  <c r="B173" i="10" s="1"/>
  <c r="H173" i="10" s="1"/>
  <c r="K173" i="10" s="1" a="1"/>
  <c r="K173" i="10" s="1"/>
  <c r="N154" i="9"/>
  <c r="D155" i="9" s="1"/>
  <c r="J155" i="9" s="1"/>
  <c r="M154" i="9"/>
  <c r="C155" i="9" s="1"/>
  <c r="I155" i="9" s="1"/>
  <c r="L154" i="9"/>
  <c r="B155" i="9" s="1"/>
  <c r="H155" i="9" s="1"/>
  <c r="K155" i="9" s="1" a="1"/>
  <c r="K155" i="9" s="1"/>
  <c r="N151" i="8"/>
  <c r="D152" i="8" s="1"/>
  <c r="J152" i="8" s="1"/>
  <c r="M151" i="8"/>
  <c r="C152" i="8" s="1"/>
  <c r="I152" i="8" s="1"/>
  <c r="L151" i="8"/>
  <c r="B152" i="8" s="1"/>
  <c r="H152" i="8" s="1"/>
  <c r="K152" i="8" s="1" a="1"/>
  <c r="K152" i="8" s="1"/>
  <c r="L158" i="7"/>
  <c r="B159" i="7" s="1"/>
  <c r="H159" i="7" s="1"/>
  <c r="K159" i="7" s="1" a="1"/>
  <c r="K159" i="7" s="1"/>
  <c r="N158" i="7"/>
  <c r="D159" i="7" s="1"/>
  <c r="J159" i="7" s="1"/>
  <c r="M158" i="7"/>
  <c r="C159" i="7" s="1"/>
  <c r="I159" i="7" s="1"/>
  <c r="N157" i="4"/>
  <c r="D158" i="4" s="1"/>
  <c r="J158" i="4" s="1"/>
  <c r="M157" i="4"/>
  <c r="C158" i="4" s="1"/>
  <c r="I158" i="4" s="1"/>
  <c r="L157" i="4"/>
  <c r="B158" i="4" s="1"/>
  <c r="H158" i="4" s="1"/>
  <c r="K158" i="4" s="1" a="1"/>
  <c r="K158" i="4" s="1"/>
  <c r="I132" i="2"/>
  <c r="K132" i="2" s="1" a="1"/>
  <c r="K132" i="2" s="1"/>
  <c r="L157" i="11" l="1"/>
  <c r="B158" i="11" s="1"/>
  <c r="H158" i="11" s="1"/>
  <c r="K158" i="11" s="1" a="1"/>
  <c r="K158" i="11" s="1"/>
  <c r="N157" i="11"/>
  <c r="D158" i="11" s="1"/>
  <c r="J158" i="11" s="1"/>
  <c r="M157" i="11"/>
  <c r="C158" i="11" s="1"/>
  <c r="I158" i="11" s="1"/>
  <c r="N173" i="10"/>
  <c r="D174" i="10" s="1"/>
  <c r="J174" i="10" s="1"/>
  <c r="M173" i="10"/>
  <c r="C174" i="10" s="1"/>
  <c r="I174" i="10" s="1"/>
  <c r="L173" i="10"/>
  <c r="B174" i="10" s="1"/>
  <c r="H174" i="10" s="1"/>
  <c r="K174" i="10" s="1" a="1"/>
  <c r="K174" i="10" s="1"/>
  <c r="N155" i="9"/>
  <c r="D156" i="9" s="1"/>
  <c r="J156" i="9" s="1"/>
  <c r="M155" i="9"/>
  <c r="C156" i="9" s="1"/>
  <c r="I156" i="9" s="1"/>
  <c r="L155" i="9"/>
  <c r="B156" i="9" s="1"/>
  <c r="H156" i="9" s="1"/>
  <c r="K156" i="9" s="1" a="1"/>
  <c r="K156" i="9" s="1"/>
  <c r="N152" i="8"/>
  <c r="D153" i="8" s="1"/>
  <c r="J153" i="8" s="1"/>
  <c r="M152" i="8"/>
  <c r="C153" i="8" s="1"/>
  <c r="I153" i="8" s="1"/>
  <c r="L152" i="8"/>
  <c r="B153" i="8" s="1"/>
  <c r="H153" i="8" s="1"/>
  <c r="M159" i="7"/>
  <c r="C160" i="7" s="1"/>
  <c r="I160" i="7" s="1"/>
  <c r="L159" i="7"/>
  <c r="B160" i="7" s="1"/>
  <c r="H160" i="7" s="1"/>
  <c r="N159" i="7"/>
  <c r="D160" i="7" s="1"/>
  <c r="J160" i="7" s="1"/>
  <c r="L158" i="4"/>
  <c r="B159" i="4" s="1"/>
  <c r="H159" i="4" s="1"/>
  <c r="N158" i="4"/>
  <c r="D159" i="4" s="1"/>
  <c r="J159" i="4" s="1"/>
  <c r="M158" i="4"/>
  <c r="C159" i="4" s="1"/>
  <c r="I159" i="4" s="1"/>
  <c r="N132" i="2"/>
  <c r="D133" i="2" s="1"/>
  <c r="J133" i="2" s="1"/>
  <c r="L132" i="2"/>
  <c r="B133" i="2" s="1"/>
  <c r="H133" i="2" s="1"/>
  <c r="M132" i="2"/>
  <c r="C133" i="2" s="1"/>
  <c r="L158" i="11" l="1"/>
  <c r="B159" i="11" s="1"/>
  <c r="H159" i="11" s="1"/>
  <c r="K159" i="11" s="1" a="1"/>
  <c r="K159" i="11" s="1"/>
  <c r="M158" i="11"/>
  <c r="C159" i="11" s="1"/>
  <c r="I159" i="11" s="1"/>
  <c r="N158" i="11"/>
  <c r="D159" i="11" s="1"/>
  <c r="J159" i="11" s="1"/>
  <c r="N174" i="10"/>
  <c r="D175" i="10" s="1"/>
  <c r="J175" i="10" s="1"/>
  <c r="M174" i="10"/>
  <c r="C175" i="10" s="1"/>
  <c r="I175" i="10" s="1"/>
  <c r="L174" i="10"/>
  <c r="B175" i="10" s="1"/>
  <c r="H175" i="10" s="1"/>
  <c r="K175" i="10" s="1" a="1"/>
  <c r="K175" i="10" s="1"/>
  <c r="N156" i="9"/>
  <c r="D157" i="9" s="1"/>
  <c r="J157" i="9" s="1"/>
  <c r="M156" i="9"/>
  <c r="C157" i="9" s="1"/>
  <c r="I157" i="9" s="1"/>
  <c r="L156" i="9"/>
  <c r="B157" i="9" s="1"/>
  <c r="H157" i="9" s="1"/>
  <c r="K157" i="9" s="1" a="1"/>
  <c r="K157" i="9" s="1"/>
  <c r="K153" i="8" a="1"/>
  <c r="K153" i="8" s="1"/>
  <c r="K160" i="7" a="1"/>
  <c r="K160" i="7" s="1"/>
  <c r="K159" i="4" a="1"/>
  <c r="K159" i="4" s="1"/>
  <c r="I133" i="2"/>
  <c r="K133" i="2" s="1" a="1"/>
  <c r="K133" i="2" s="1"/>
  <c r="M159" i="11" l="1"/>
  <c r="C160" i="11" s="1"/>
  <c r="I160" i="11" s="1"/>
  <c r="L159" i="11"/>
  <c r="B160" i="11" s="1"/>
  <c r="H160" i="11" s="1"/>
  <c r="N159" i="11"/>
  <c r="D160" i="11" s="1"/>
  <c r="J160" i="11" s="1"/>
  <c r="N175" i="10"/>
  <c r="D176" i="10" s="1"/>
  <c r="J176" i="10" s="1"/>
  <c r="M175" i="10"/>
  <c r="C176" i="10" s="1"/>
  <c r="I176" i="10" s="1"/>
  <c r="L175" i="10"/>
  <c r="B176" i="10" s="1"/>
  <c r="H176" i="10" s="1"/>
  <c r="K176" i="10" s="1" a="1"/>
  <c r="K176" i="10" s="1"/>
  <c r="N157" i="9"/>
  <c r="D158" i="9" s="1"/>
  <c r="J158" i="9" s="1"/>
  <c r="M157" i="9"/>
  <c r="C158" i="9" s="1"/>
  <c r="I158" i="9" s="1"/>
  <c r="L157" i="9"/>
  <c r="B158" i="9" s="1"/>
  <c r="H158" i="9" s="1"/>
  <c r="K158" i="9" s="1" a="1"/>
  <c r="K158" i="9" s="1"/>
  <c r="N153" i="8"/>
  <c r="D154" i="8" s="1"/>
  <c r="J154" i="8" s="1"/>
  <c r="M153" i="8"/>
  <c r="C154" i="8" s="1"/>
  <c r="I154" i="8" s="1"/>
  <c r="L153" i="8"/>
  <c r="B154" i="8" s="1"/>
  <c r="H154" i="8" s="1"/>
  <c r="K154" i="8" s="1" a="1"/>
  <c r="K154" i="8" s="1"/>
  <c r="N160" i="7"/>
  <c r="D161" i="7" s="1"/>
  <c r="J161" i="7" s="1"/>
  <c r="M160" i="7"/>
  <c r="C161" i="7" s="1"/>
  <c r="I161" i="7" s="1"/>
  <c r="L160" i="7"/>
  <c r="B161" i="7" s="1"/>
  <c r="H161" i="7" s="1"/>
  <c r="K161" i="7" s="1" a="1"/>
  <c r="K161" i="7" s="1"/>
  <c r="M159" i="4"/>
  <c r="C160" i="4" s="1"/>
  <c r="I160" i="4" s="1"/>
  <c r="L159" i="4"/>
  <c r="B160" i="4" s="1"/>
  <c r="H160" i="4" s="1"/>
  <c r="K160" i="4" s="1" a="1"/>
  <c r="K160" i="4" s="1"/>
  <c r="N159" i="4"/>
  <c r="D160" i="4" s="1"/>
  <c r="J160" i="4" s="1"/>
  <c r="L133" i="2"/>
  <c r="B134" i="2" s="1"/>
  <c r="H134" i="2" s="1"/>
  <c r="N133" i="2"/>
  <c r="D134" i="2" s="1"/>
  <c r="J134" i="2" s="1"/>
  <c r="M133" i="2"/>
  <c r="C134" i="2" s="1"/>
  <c r="I134" i="2" s="1"/>
  <c r="K160" i="11" l="1" a="1"/>
  <c r="K160" i="11" s="1"/>
  <c r="N176" i="10"/>
  <c r="D177" i="10" s="1"/>
  <c r="J177" i="10" s="1"/>
  <c r="M176" i="10"/>
  <c r="C177" i="10" s="1"/>
  <c r="I177" i="10" s="1"/>
  <c r="L176" i="10"/>
  <c r="B177" i="10" s="1"/>
  <c r="H177" i="10" s="1"/>
  <c r="K177" i="10" s="1" a="1"/>
  <c r="K177" i="10" s="1"/>
  <c r="L158" i="9"/>
  <c r="B159" i="9" s="1"/>
  <c r="H159" i="9" s="1"/>
  <c r="M158" i="9"/>
  <c r="C159" i="9" s="1"/>
  <c r="I159" i="9" s="1"/>
  <c r="N158" i="9"/>
  <c r="D159" i="9" s="1"/>
  <c r="J159" i="9" s="1"/>
  <c r="N154" i="8"/>
  <c r="D155" i="8" s="1"/>
  <c r="J155" i="8" s="1"/>
  <c r="M154" i="8"/>
  <c r="C155" i="8" s="1"/>
  <c r="I155" i="8" s="1"/>
  <c r="L154" i="8"/>
  <c r="B155" i="8" s="1"/>
  <c r="H155" i="8" s="1"/>
  <c r="K155" i="8" s="1" a="1"/>
  <c r="K155" i="8" s="1"/>
  <c r="N161" i="7"/>
  <c r="D162" i="7" s="1"/>
  <c r="J162" i="7" s="1"/>
  <c r="M161" i="7"/>
  <c r="C162" i="7" s="1"/>
  <c r="I162" i="7" s="1"/>
  <c r="L161" i="7"/>
  <c r="B162" i="7" s="1"/>
  <c r="H162" i="7" s="1"/>
  <c r="K162" i="7" s="1" a="1"/>
  <c r="K162" i="7" s="1"/>
  <c r="N160" i="4"/>
  <c r="D161" i="4" s="1"/>
  <c r="J161" i="4" s="1"/>
  <c r="M160" i="4"/>
  <c r="C161" i="4" s="1"/>
  <c r="I161" i="4" s="1"/>
  <c r="L160" i="4"/>
  <c r="B161" i="4" s="1"/>
  <c r="H161" i="4" s="1"/>
  <c r="K161" i="4" s="1" a="1"/>
  <c r="K161" i="4" s="1"/>
  <c r="K134" i="2" a="1"/>
  <c r="K134" i="2" s="1"/>
  <c r="N160" i="11" l="1"/>
  <c r="D161" i="11" s="1"/>
  <c r="J161" i="11" s="1"/>
  <c r="M160" i="11"/>
  <c r="C161" i="11" s="1"/>
  <c r="I161" i="11" s="1"/>
  <c r="L160" i="11"/>
  <c r="B161" i="11" s="1"/>
  <c r="H161" i="11" s="1"/>
  <c r="K161" i="11" s="1" a="1"/>
  <c r="K161" i="11" s="1"/>
  <c r="N177" i="10"/>
  <c r="D178" i="10" s="1"/>
  <c r="J178" i="10" s="1"/>
  <c r="M177" i="10"/>
  <c r="C178" i="10" s="1"/>
  <c r="I178" i="10" s="1"/>
  <c r="L177" i="10"/>
  <c r="B178" i="10" s="1"/>
  <c r="H178" i="10" s="1"/>
  <c r="K178" i="10" s="1" a="1"/>
  <c r="K178" i="10" s="1"/>
  <c r="K159" i="9" a="1"/>
  <c r="K159" i="9" s="1"/>
  <c r="N155" i="8"/>
  <c r="D156" i="8" s="1"/>
  <c r="J156" i="8" s="1"/>
  <c r="M155" i="8"/>
  <c r="C156" i="8" s="1"/>
  <c r="I156" i="8" s="1"/>
  <c r="L155" i="8"/>
  <c r="B156" i="8" s="1"/>
  <c r="H156" i="8" s="1"/>
  <c r="N162" i="7"/>
  <c r="D163" i="7" s="1"/>
  <c r="J163" i="7" s="1"/>
  <c r="M162" i="7"/>
  <c r="C163" i="7" s="1"/>
  <c r="I163" i="7" s="1"/>
  <c r="L162" i="7"/>
  <c r="B163" i="7" s="1"/>
  <c r="H163" i="7" s="1"/>
  <c r="K163" i="7" s="1" a="1"/>
  <c r="K163" i="7" s="1"/>
  <c r="N161" i="4"/>
  <c r="D162" i="4" s="1"/>
  <c r="J162" i="4" s="1"/>
  <c r="M161" i="4"/>
  <c r="C162" i="4" s="1"/>
  <c r="I162" i="4" s="1"/>
  <c r="L161" i="4"/>
  <c r="B162" i="4" s="1"/>
  <c r="H162" i="4" s="1"/>
  <c r="N134" i="2"/>
  <c r="D135" i="2" s="1"/>
  <c r="J135" i="2" s="1"/>
  <c r="L134" i="2"/>
  <c r="B135" i="2" s="1"/>
  <c r="H135" i="2" s="1"/>
  <c r="M134" i="2"/>
  <c r="C135" i="2" s="1"/>
  <c r="I135" i="2" s="1"/>
  <c r="N161" i="11" l="1"/>
  <c r="D162" i="11" s="1"/>
  <c r="J162" i="11" s="1"/>
  <c r="M161" i="11"/>
  <c r="C162" i="11" s="1"/>
  <c r="I162" i="11" s="1"/>
  <c r="L161" i="11"/>
  <c r="B162" i="11" s="1"/>
  <c r="H162" i="11" s="1"/>
  <c r="K162" i="11" s="1" a="1"/>
  <c r="K162" i="11" s="1"/>
  <c r="N178" i="10"/>
  <c r="D179" i="10" s="1"/>
  <c r="J179" i="10" s="1"/>
  <c r="M178" i="10"/>
  <c r="C179" i="10" s="1"/>
  <c r="I179" i="10" s="1"/>
  <c r="L178" i="10"/>
  <c r="B179" i="10" s="1"/>
  <c r="H179" i="10" s="1"/>
  <c r="K179" i="10" s="1" a="1"/>
  <c r="K179" i="10" s="1"/>
  <c r="M159" i="9"/>
  <c r="C160" i="9" s="1"/>
  <c r="I160" i="9" s="1"/>
  <c r="L159" i="9"/>
  <c r="B160" i="9" s="1"/>
  <c r="H160" i="9" s="1"/>
  <c r="K160" i="9" s="1" a="1"/>
  <c r="K160" i="9" s="1"/>
  <c r="N159" i="9"/>
  <c r="D160" i="9" s="1"/>
  <c r="J160" i="9" s="1"/>
  <c r="K156" i="8" a="1"/>
  <c r="K156" i="8" s="1"/>
  <c r="N163" i="7"/>
  <c r="D164" i="7" s="1"/>
  <c r="J164" i="7" s="1"/>
  <c r="M163" i="7"/>
  <c r="C164" i="7" s="1"/>
  <c r="I164" i="7" s="1"/>
  <c r="L163" i="7"/>
  <c r="B164" i="7" s="1"/>
  <c r="H164" i="7" s="1"/>
  <c r="K162" i="4" a="1"/>
  <c r="K162" i="4" s="1"/>
  <c r="K135" i="2" a="1"/>
  <c r="K135" i="2" s="1"/>
  <c r="N162" i="11" l="1"/>
  <c r="D163" i="11" s="1"/>
  <c r="J163" i="11" s="1"/>
  <c r="M162" i="11"/>
  <c r="C163" i="11" s="1"/>
  <c r="I163" i="11" s="1"/>
  <c r="L162" i="11"/>
  <c r="B163" i="11" s="1"/>
  <c r="H163" i="11" s="1"/>
  <c r="N179" i="10"/>
  <c r="D180" i="10" s="1"/>
  <c r="J180" i="10" s="1"/>
  <c r="L179" i="10"/>
  <c r="B180" i="10" s="1"/>
  <c r="H180" i="10" s="1"/>
  <c r="K180" i="10" s="1" a="1"/>
  <c r="K180" i="10" s="1"/>
  <c r="M179" i="10"/>
  <c r="C180" i="10" s="1"/>
  <c r="I180" i="10" s="1"/>
  <c r="N160" i="9"/>
  <c r="D161" i="9" s="1"/>
  <c r="J161" i="9" s="1"/>
  <c r="M160" i="9"/>
  <c r="C161" i="9" s="1"/>
  <c r="I161" i="9" s="1"/>
  <c r="L160" i="9"/>
  <c r="B161" i="9" s="1"/>
  <c r="H161" i="9" s="1"/>
  <c r="K161" i="9" s="1" a="1"/>
  <c r="K161" i="9" s="1"/>
  <c r="N156" i="8"/>
  <c r="D157" i="8" s="1"/>
  <c r="J157" i="8" s="1"/>
  <c r="M156" i="8"/>
  <c r="C157" i="8" s="1"/>
  <c r="I157" i="8" s="1"/>
  <c r="L156" i="8"/>
  <c r="B157" i="8" s="1"/>
  <c r="H157" i="8" s="1"/>
  <c r="K157" i="8" s="1" a="1"/>
  <c r="K157" i="8" s="1"/>
  <c r="K164" i="7" a="1"/>
  <c r="K164" i="7" s="1"/>
  <c r="N162" i="4"/>
  <c r="D163" i="4" s="1"/>
  <c r="J163" i="4" s="1"/>
  <c r="M162" i="4"/>
  <c r="C163" i="4" s="1"/>
  <c r="I163" i="4" s="1"/>
  <c r="L162" i="4"/>
  <c r="B163" i="4" s="1"/>
  <c r="H163" i="4" s="1"/>
  <c r="K163" i="4" s="1" a="1"/>
  <c r="K163" i="4" s="1"/>
  <c r="L135" i="2"/>
  <c r="B136" i="2" s="1"/>
  <c r="H136" i="2" s="1"/>
  <c r="K136" i="2" s="1" a="1"/>
  <c r="K136" i="2" s="1"/>
  <c r="M136" i="2" s="1"/>
  <c r="C137" i="2" s="1"/>
  <c r="I137" i="2" s="1"/>
  <c r="N135" i="2"/>
  <c r="D136" i="2" s="1"/>
  <c r="J136" i="2" s="1"/>
  <c r="M135" i="2"/>
  <c r="C136" i="2" s="1"/>
  <c r="I136" i="2" s="1"/>
  <c r="K163" i="11" l="1" a="1"/>
  <c r="K163" i="11" s="1"/>
  <c r="M180" i="10"/>
  <c r="C181" i="10" s="1"/>
  <c r="I181" i="10" s="1"/>
  <c r="N180" i="10"/>
  <c r="D181" i="10" s="1"/>
  <c r="J181" i="10" s="1"/>
  <c r="L180" i="10"/>
  <c r="B181" i="10" s="1"/>
  <c r="H181" i="10" s="1"/>
  <c r="K181" i="10" s="1" a="1"/>
  <c r="K181" i="10" s="1"/>
  <c r="N161" i="9"/>
  <c r="D162" i="9" s="1"/>
  <c r="J162" i="9" s="1"/>
  <c r="M161" i="9"/>
  <c r="C162" i="9" s="1"/>
  <c r="I162" i="9" s="1"/>
  <c r="L161" i="9"/>
  <c r="B162" i="9" s="1"/>
  <c r="H162" i="9" s="1"/>
  <c r="K162" i="9" s="1" a="1"/>
  <c r="K162" i="9" s="1"/>
  <c r="N157" i="8"/>
  <c r="D158" i="8" s="1"/>
  <c r="J158" i="8" s="1"/>
  <c r="M157" i="8"/>
  <c r="C158" i="8" s="1"/>
  <c r="I158" i="8" s="1"/>
  <c r="L157" i="8"/>
  <c r="B158" i="8" s="1"/>
  <c r="H158" i="8" s="1"/>
  <c r="K158" i="8" s="1" a="1"/>
  <c r="K158" i="8" s="1"/>
  <c r="N164" i="7"/>
  <c r="D165" i="7" s="1"/>
  <c r="J165" i="7" s="1"/>
  <c r="M164" i="7"/>
  <c r="C165" i="7" s="1"/>
  <c r="I165" i="7" s="1"/>
  <c r="L164" i="7"/>
  <c r="B165" i="7" s="1"/>
  <c r="H165" i="7" s="1"/>
  <c r="N163" i="4"/>
  <c r="D164" i="4" s="1"/>
  <c r="J164" i="4" s="1"/>
  <c r="M163" i="4"/>
  <c r="C164" i="4" s="1"/>
  <c r="I164" i="4" s="1"/>
  <c r="L163" i="4"/>
  <c r="B164" i="4" s="1"/>
  <c r="H164" i="4" s="1"/>
  <c r="K164" i="4" s="1" a="1"/>
  <c r="K164" i="4" s="1"/>
  <c r="N136" i="2"/>
  <c r="D137" i="2" s="1"/>
  <c r="J137" i="2" s="1"/>
  <c r="L136" i="2"/>
  <c r="B137" i="2" s="1"/>
  <c r="H137" i="2" s="1"/>
  <c r="K137" i="2" s="1" a="1"/>
  <c r="K137" i="2" s="1"/>
  <c r="N137" i="2" s="1"/>
  <c r="D138" i="2" s="1"/>
  <c r="J138" i="2" s="1"/>
  <c r="N163" i="11" l="1"/>
  <c r="D164" i="11" s="1"/>
  <c r="J164" i="11" s="1"/>
  <c r="M163" i="11"/>
  <c r="C164" i="11" s="1"/>
  <c r="I164" i="11" s="1"/>
  <c r="L163" i="11"/>
  <c r="B164" i="11" s="1"/>
  <c r="H164" i="11" s="1"/>
  <c r="N181" i="10"/>
  <c r="D182" i="10" s="1"/>
  <c r="J182" i="10" s="1"/>
  <c r="M181" i="10"/>
  <c r="C182" i="10" s="1"/>
  <c r="I182" i="10" s="1"/>
  <c r="L181" i="10"/>
  <c r="B182" i="10" s="1"/>
  <c r="H182" i="10" s="1"/>
  <c r="K182" i="10" s="1" a="1"/>
  <c r="K182" i="10" s="1"/>
  <c r="N162" i="9"/>
  <c r="D163" i="9" s="1"/>
  <c r="J163" i="9" s="1"/>
  <c r="M162" i="9"/>
  <c r="C163" i="9" s="1"/>
  <c r="I163" i="9" s="1"/>
  <c r="L162" i="9"/>
  <c r="B163" i="9" s="1"/>
  <c r="H163" i="9" s="1"/>
  <c r="K163" i="9" s="1" a="1"/>
  <c r="K163" i="9" s="1"/>
  <c r="L158" i="8"/>
  <c r="B159" i="8" s="1"/>
  <c r="H159" i="8" s="1"/>
  <c r="K159" i="8" s="1" a="1"/>
  <c r="K159" i="8" s="1"/>
  <c r="N158" i="8"/>
  <c r="D159" i="8" s="1"/>
  <c r="J159" i="8" s="1"/>
  <c r="M158" i="8"/>
  <c r="C159" i="8" s="1"/>
  <c r="I159" i="8" s="1"/>
  <c r="K165" i="7" a="1"/>
  <c r="K165" i="7" s="1"/>
  <c r="N164" i="4"/>
  <c r="D165" i="4" s="1"/>
  <c r="J165" i="4" s="1"/>
  <c r="M164" i="4"/>
  <c r="C165" i="4" s="1"/>
  <c r="I165" i="4" s="1"/>
  <c r="L164" i="4"/>
  <c r="B165" i="4" s="1"/>
  <c r="H165" i="4" s="1"/>
  <c r="M137" i="2"/>
  <c r="C138" i="2" s="1"/>
  <c r="I138" i="2" s="1"/>
  <c r="L137" i="2"/>
  <c r="B138" i="2" s="1"/>
  <c r="H138" i="2" s="1"/>
  <c r="K138" i="2" s="1" a="1"/>
  <c r="K138" i="2" s="1"/>
  <c r="L138" i="2" s="1"/>
  <c r="B139" i="2" s="1"/>
  <c r="H139" i="2" s="1"/>
  <c r="K164" i="11" l="1" a="1"/>
  <c r="K164" i="11" s="1"/>
  <c r="L182" i="10"/>
  <c r="B183" i="10" s="1"/>
  <c r="H183" i="10" s="1"/>
  <c r="N182" i="10"/>
  <c r="D183" i="10" s="1"/>
  <c r="J183" i="10" s="1"/>
  <c r="M182" i="10"/>
  <c r="C183" i="10" s="1"/>
  <c r="I183" i="10" s="1"/>
  <c r="N163" i="9"/>
  <c r="D164" i="9" s="1"/>
  <c r="J164" i="9" s="1"/>
  <c r="M163" i="9"/>
  <c r="C164" i="9" s="1"/>
  <c r="I164" i="9" s="1"/>
  <c r="L163" i="9"/>
  <c r="B164" i="9" s="1"/>
  <c r="H164" i="9" s="1"/>
  <c r="K164" i="9" s="1" a="1"/>
  <c r="K164" i="9" s="1"/>
  <c r="M159" i="8"/>
  <c r="C160" i="8" s="1"/>
  <c r="I160" i="8" s="1"/>
  <c r="L159" i="8"/>
  <c r="B160" i="8" s="1"/>
  <c r="H160" i="8" s="1"/>
  <c r="N159" i="8"/>
  <c r="D160" i="8" s="1"/>
  <c r="J160" i="8" s="1"/>
  <c r="N165" i="7"/>
  <c r="D166" i="7" s="1"/>
  <c r="J166" i="7" s="1"/>
  <c r="M165" i="7"/>
  <c r="C166" i="7" s="1"/>
  <c r="I166" i="7" s="1"/>
  <c r="L165" i="7"/>
  <c r="B166" i="7" s="1"/>
  <c r="H166" i="7" s="1"/>
  <c r="K166" i="7" s="1" a="1"/>
  <c r="K166" i="7" s="1"/>
  <c r="K165" i="4" a="1"/>
  <c r="K165" i="4" s="1"/>
  <c r="N138" i="2"/>
  <c r="D139" i="2" s="1"/>
  <c r="J139" i="2" s="1"/>
  <c r="M138" i="2"/>
  <c r="C139" i="2" s="1"/>
  <c r="I139" i="2" s="1"/>
  <c r="N164" i="11" l="1"/>
  <c r="D165" i="11" s="1"/>
  <c r="J165" i="11" s="1"/>
  <c r="M164" i="11"/>
  <c r="C165" i="11" s="1"/>
  <c r="I165" i="11" s="1"/>
  <c r="L164" i="11"/>
  <c r="B165" i="11" s="1"/>
  <c r="H165" i="11" s="1"/>
  <c r="K183" i="10" a="1"/>
  <c r="K183" i="10" s="1"/>
  <c r="N164" i="9"/>
  <c r="D165" i="9" s="1"/>
  <c r="J165" i="9" s="1"/>
  <c r="M164" i="9"/>
  <c r="C165" i="9" s="1"/>
  <c r="I165" i="9" s="1"/>
  <c r="L164" i="9"/>
  <c r="B165" i="9" s="1"/>
  <c r="H165" i="9" s="1"/>
  <c r="K165" i="9" s="1" a="1"/>
  <c r="K165" i="9" s="1"/>
  <c r="K160" i="8" a="1"/>
  <c r="K160" i="8" s="1"/>
  <c r="N166" i="7"/>
  <c r="D167" i="7" s="1"/>
  <c r="J167" i="7" s="1"/>
  <c r="M166" i="7"/>
  <c r="C167" i="7" s="1"/>
  <c r="I167" i="7" s="1"/>
  <c r="L166" i="7"/>
  <c r="B167" i="7" s="1"/>
  <c r="H167" i="7" s="1"/>
  <c r="N165" i="4"/>
  <c r="D166" i="4" s="1"/>
  <c r="J166" i="4" s="1"/>
  <c r="M165" i="4"/>
  <c r="C166" i="4" s="1"/>
  <c r="I166" i="4" s="1"/>
  <c r="L165" i="4"/>
  <c r="B166" i="4" s="1"/>
  <c r="H166" i="4" s="1"/>
  <c r="K166" i="4" s="1" a="1"/>
  <c r="K166" i="4" s="1"/>
  <c r="K139" i="2" a="1"/>
  <c r="K139" i="2" s="1"/>
  <c r="N139" i="2" s="1"/>
  <c r="D140" i="2" s="1"/>
  <c r="J140" i="2" s="1"/>
  <c r="K165" i="11" l="1" a="1"/>
  <c r="K165" i="11" s="1"/>
  <c r="M183" i="10"/>
  <c r="C184" i="10" s="1"/>
  <c r="I184" i="10" s="1"/>
  <c r="L183" i="10"/>
  <c r="B184" i="10" s="1"/>
  <c r="H184" i="10" s="1"/>
  <c r="N183" i="10"/>
  <c r="D184" i="10" s="1"/>
  <c r="J184" i="10" s="1"/>
  <c r="N165" i="9"/>
  <c r="D166" i="9" s="1"/>
  <c r="J166" i="9" s="1"/>
  <c r="M165" i="9"/>
  <c r="C166" i="9" s="1"/>
  <c r="I166" i="9" s="1"/>
  <c r="L165" i="9"/>
  <c r="B166" i="9" s="1"/>
  <c r="H166" i="9" s="1"/>
  <c r="N160" i="8"/>
  <c r="D161" i="8" s="1"/>
  <c r="J161" i="8" s="1"/>
  <c r="M160" i="8"/>
  <c r="C161" i="8" s="1"/>
  <c r="I161" i="8" s="1"/>
  <c r="L160" i="8"/>
  <c r="B161" i="8" s="1"/>
  <c r="H161" i="8" s="1"/>
  <c r="K161" i="8" s="1" a="1"/>
  <c r="K161" i="8" s="1"/>
  <c r="K167" i="7" a="1"/>
  <c r="K167" i="7" s="1"/>
  <c r="N166" i="4"/>
  <c r="D167" i="4" s="1"/>
  <c r="J167" i="4" s="1"/>
  <c r="M166" i="4"/>
  <c r="C167" i="4" s="1"/>
  <c r="I167" i="4" s="1"/>
  <c r="L166" i="4"/>
  <c r="B167" i="4" s="1"/>
  <c r="H167" i="4" s="1"/>
  <c r="M139" i="2"/>
  <c r="C140" i="2" s="1"/>
  <c r="I140" i="2" s="1"/>
  <c r="L139" i="2"/>
  <c r="B140" i="2" s="1"/>
  <c r="H140" i="2" s="1"/>
  <c r="N165" i="11" l="1"/>
  <c r="D166" i="11" s="1"/>
  <c r="J166" i="11" s="1"/>
  <c r="M165" i="11"/>
  <c r="C166" i="11" s="1"/>
  <c r="I166" i="11" s="1"/>
  <c r="L165" i="11"/>
  <c r="B166" i="11" s="1"/>
  <c r="H166" i="11" s="1"/>
  <c r="K184" i="10" a="1"/>
  <c r="K184" i="10" s="1"/>
  <c r="K166" i="9" a="1"/>
  <c r="K166" i="9" s="1"/>
  <c r="N161" i="8"/>
  <c r="D162" i="8" s="1"/>
  <c r="J162" i="8" s="1"/>
  <c r="M161" i="8"/>
  <c r="C162" i="8" s="1"/>
  <c r="I162" i="8" s="1"/>
  <c r="L161" i="8"/>
  <c r="B162" i="8" s="1"/>
  <c r="H162" i="8" s="1"/>
  <c r="N167" i="7"/>
  <c r="D168" i="7" s="1"/>
  <c r="J168" i="7" s="1"/>
  <c r="L167" i="7"/>
  <c r="B168" i="7" s="1"/>
  <c r="H168" i="7" s="1"/>
  <c r="K168" i="7" s="1" a="1"/>
  <c r="K168" i="7" s="1"/>
  <c r="M167" i="7"/>
  <c r="C168" i="7" s="1"/>
  <c r="I168" i="7" s="1"/>
  <c r="K167" i="4" a="1"/>
  <c r="K167" i="4" s="1"/>
  <c r="K140" i="2" a="1"/>
  <c r="K140" i="2" s="1"/>
  <c r="L140" i="2" s="1"/>
  <c r="B141" i="2" s="1"/>
  <c r="H141" i="2" s="1"/>
  <c r="K166" i="11" l="1" a="1"/>
  <c r="K166" i="11" s="1"/>
  <c r="N184" i="10"/>
  <c r="M184" i="10"/>
  <c r="L184" i="10"/>
  <c r="N166" i="9"/>
  <c r="D167" i="9" s="1"/>
  <c r="J167" i="9" s="1"/>
  <c r="M166" i="9"/>
  <c r="C167" i="9" s="1"/>
  <c r="I167" i="9" s="1"/>
  <c r="L166" i="9"/>
  <c r="B167" i="9" s="1"/>
  <c r="H167" i="9" s="1"/>
  <c r="K167" i="9" s="1" a="1"/>
  <c r="K167" i="9" s="1"/>
  <c r="K162" i="8" a="1"/>
  <c r="K162" i="8" s="1"/>
  <c r="M168" i="7"/>
  <c r="C169" i="7" s="1"/>
  <c r="I169" i="7" s="1"/>
  <c r="N168" i="7"/>
  <c r="D169" i="7" s="1"/>
  <c r="J169" i="7" s="1"/>
  <c r="L168" i="7"/>
  <c r="B169" i="7" s="1"/>
  <c r="H169" i="7" s="1"/>
  <c r="N167" i="4"/>
  <c r="D168" i="4" s="1"/>
  <c r="J168" i="4" s="1"/>
  <c r="M167" i="4"/>
  <c r="C168" i="4" s="1"/>
  <c r="I168" i="4" s="1"/>
  <c r="L167" i="4"/>
  <c r="B168" i="4" s="1"/>
  <c r="H168" i="4" s="1"/>
  <c r="K168" i="4" s="1" a="1"/>
  <c r="K168" i="4" s="1"/>
  <c r="N140" i="2"/>
  <c r="D141" i="2" s="1"/>
  <c r="J141" i="2" s="1"/>
  <c r="M140" i="2"/>
  <c r="C141" i="2" s="1"/>
  <c r="N166" i="11" l="1"/>
  <c r="D167" i="11" s="1"/>
  <c r="J167" i="11" s="1"/>
  <c r="L166" i="11"/>
  <c r="B167" i="11" s="1"/>
  <c r="H167" i="11" s="1"/>
  <c r="M166" i="11"/>
  <c r="C167" i="11" s="1"/>
  <c r="I167" i="11" s="1"/>
  <c r="N167" i="9"/>
  <c r="D168" i="9" s="1"/>
  <c r="J168" i="9" s="1"/>
  <c r="M167" i="9"/>
  <c r="C168" i="9" s="1"/>
  <c r="I168" i="9" s="1"/>
  <c r="L167" i="9"/>
  <c r="B168" i="9" s="1"/>
  <c r="H168" i="9" s="1"/>
  <c r="K168" i="9" s="1" a="1"/>
  <c r="K168" i="9" s="1"/>
  <c r="N162" i="8"/>
  <c r="D163" i="8" s="1"/>
  <c r="J163" i="8" s="1"/>
  <c r="M162" i="8"/>
  <c r="C163" i="8" s="1"/>
  <c r="I163" i="8" s="1"/>
  <c r="L162" i="8"/>
  <c r="B163" i="8" s="1"/>
  <c r="H163" i="8" s="1"/>
  <c r="K169" i="7" a="1"/>
  <c r="K169" i="7" s="1"/>
  <c r="N168" i="4"/>
  <c r="D169" i="4" s="1"/>
  <c r="J169" i="4" s="1"/>
  <c r="M168" i="4"/>
  <c r="C169" i="4" s="1"/>
  <c r="I169" i="4" s="1"/>
  <c r="L168" i="4"/>
  <c r="B169" i="4" s="1"/>
  <c r="H169" i="4" s="1"/>
  <c r="K169" i="4" s="1" a="1"/>
  <c r="K169" i="4" s="1"/>
  <c r="I141" i="2"/>
  <c r="K141" i="2" s="1" a="1"/>
  <c r="K141" i="2" s="1"/>
  <c r="K167" i="11" l="1" a="1"/>
  <c r="K167" i="11" s="1"/>
  <c r="N168" i="9"/>
  <c r="D169" i="9" s="1"/>
  <c r="J169" i="9" s="1"/>
  <c r="M168" i="9"/>
  <c r="C169" i="9" s="1"/>
  <c r="I169" i="9" s="1"/>
  <c r="L168" i="9"/>
  <c r="B169" i="9" s="1"/>
  <c r="H169" i="9" s="1"/>
  <c r="K163" i="8" a="1"/>
  <c r="K163" i="8" s="1"/>
  <c r="N169" i="7"/>
  <c r="D170" i="7" s="1"/>
  <c r="J170" i="7" s="1"/>
  <c r="M169" i="7"/>
  <c r="C170" i="7" s="1"/>
  <c r="I170" i="7" s="1"/>
  <c r="L169" i="7"/>
  <c r="B170" i="7" s="1"/>
  <c r="H170" i="7" s="1"/>
  <c r="N169" i="4"/>
  <c r="D170" i="4" s="1"/>
  <c r="J170" i="4" s="1"/>
  <c r="M169" i="4"/>
  <c r="C170" i="4" s="1"/>
  <c r="I170" i="4" s="1"/>
  <c r="L169" i="4"/>
  <c r="B170" i="4" s="1"/>
  <c r="H170" i="4" s="1"/>
  <c r="M141" i="2"/>
  <c r="C142" i="2" s="1"/>
  <c r="I142" i="2" s="1"/>
  <c r="N141" i="2"/>
  <c r="D142" i="2" s="1"/>
  <c r="J142" i="2" s="1"/>
  <c r="L141" i="2"/>
  <c r="B142" i="2" s="1"/>
  <c r="H142" i="2" s="1"/>
  <c r="K142" i="2" s="1" a="1"/>
  <c r="K142" i="2" s="1"/>
  <c r="M167" i="11" l="1"/>
  <c r="C168" i="11" s="1"/>
  <c r="I168" i="11" s="1"/>
  <c r="N167" i="11"/>
  <c r="D168" i="11" s="1"/>
  <c r="J168" i="11" s="1"/>
  <c r="L167" i="11"/>
  <c r="B168" i="11" s="1"/>
  <c r="H168" i="11" s="1"/>
  <c r="K168" i="11" s="1" a="1"/>
  <c r="K168" i="11" s="1"/>
  <c r="K169" i="9" a="1"/>
  <c r="K169" i="9" s="1"/>
  <c r="N163" i="8"/>
  <c r="D164" i="8" s="1"/>
  <c r="J164" i="8" s="1"/>
  <c r="M163" i="8"/>
  <c r="C164" i="8" s="1"/>
  <c r="I164" i="8" s="1"/>
  <c r="L163" i="8"/>
  <c r="B164" i="8" s="1"/>
  <c r="H164" i="8" s="1"/>
  <c r="K164" i="8" s="1" a="1"/>
  <c r="K164" i="8" s="1"/>
  <c r="K170" i="7" a="1"/>
  <c r="K170" i="7" s="1"/>
  <c r="K170" i="4" a="1"/>
  <c r="K170" i="4" s="1"/>
  <c r="L142" i="2"/>
  <c r="B143" i="2" s="1"/>
  <c r="H143" i="2" s="1"/>
  <c r="M142" i="2"/>
  <c r="C143" i="2" s="1"/>
  <c r="I143" i="2" s="1"/>
  <c r="N142" i="2"/>
  <c r="D143" i="2" s="1"/>
  <c r="J143" i="2" s="1"/>
  <c r="N168" i="11" l="1"/>
  <c r="D169" i="11" s="1"/>
  <c r="J169" i="11" s="1"/>
  <c r="M168" i="11"/>
  <c r="C169" i="11" s="1"/>
  <c r="I169" i="11" s="1"/>
  <c r="L168" i="11"/>
  <c r="B169" i="11" s="1"/>
  <c r="H169" i="11" s="1"/>
  <c r="K169" i="11" s="1" a="1"/>
  <c r="K169" i="11" s="1"/>
  <c r="N169" i="9"/>
  <c r="D170" i="9" s="1"/>
  <c r="J170" i="9" s="1"/>
  <c r="M169" i="9"/>
  <c r="C170" i="9" s="1"/>
  <c r="I170" i="9" s="1"/>
  <c r="L169" i="9"/>
  <c r="B170" i="9" s="1"/>
  <c r="H170" i="9" s="1"/>
  <c r="K170" i="9" s="1" a="1"/>
  <c r="K170" i="9" s="1"/>
  <c r="N164" i="8"/>
  <c r="D165" i="8" s="1"/>
  <c r="J165" i="8" s="1"/>
  <c r="M164" i="8"/>
  <c r="C165" i="8" s="1"/>
  <c r="I165" i="8" s="1"/>
  <c r="L164" i="8"/>
  <c r="B165" i="8" s="1"/>
  <c r="H165" i="8" s="1"/>
  <c r="L170" i="7"/>
  <c r="B171" i="7" s="1"/>
  <c r="H171" i="7" s="1"/>
  <c r="K171" i="7" s="1" a="1"/>
  <c r="K171" i="7" s="1"/>
  <c r="N170" i="7"/>
  <c r="D171" i="7" s="1"/>
  <c r="J171" i="7" s="1"/>
  <c r="M170" i="7"/>
  <c r="C171" i="7" s="1"/>
  <c r="I171" i="7" s="1"/>
  <c r="L170" i="4"/>
  <c r="B171" i="4" s="1"/>
  <c r="H171" i="4" s="1"/>
  <c r="N170" i="4"/>
  <c r="D171" i="4" s="1"/>
  <c r="J171" i="4" s="1"/>
  <c r="M170" i="4"/>
  <c r="C171" i="4" s="1"/>
  <c r="I171" i="4" s="1"/>
  <c r="K143" i="2" a="1"/>
  <c r="K143" i="2" s="1"/>
  <c r="L169" i="11" l="1"/>
  <c r="B170" i="11" s="1"/>
  <c r="H170" i="11" s="1"/>
  <c r="N169" i="11"/>
  <c r="D170" i="11" s="1"/>
  <c r="J170" i="11" s="1"/>
  <c r="M169" i="11"/>
  <c r="C170" i="11" s="1"/>
  <c r="I170" i="11" s="1"/>
  <c r="L170" i="9"/>
  <c r="B171" i="9" s="1"/>
  <c r="H171" i="9" s="1"/>
  <c r="K171" i="9" s="1" a="1"/>
  <c r="K171" i="9" s="1"/>
  <c r="N170" i="9"/>
  <c r="D171" i="9" s="1"/>
  <c r="J171" i="9" s="1"/>
  <c r="M170" i="9"/>
  <c r="C171" i="9" s="1"/>
  <c r="I171" i="9" s="1"/>
  <c r="K165" i="8" a="1"/>
  <c r="K165" i="8" s="1"/>
  <c r="M171" i="7"/>
  <c r="C172" i="7" s="1"/>
  <c r="I172" i="7" s="1"/>
  <c r="L171" i="7"/>
  <c r="B172" i="7" s="1"/>
  <c r="H172" i="7" s="1"/>
  <c r="K172" i="7" s="1" a="1"/>
  <c r="K172" i="7" s="1"/>
  <c r="N171" i="7"/>
  <c r="D172" i="7" s="1"/>
  <c r="J172" i="7" s="1"/>
  <c r="K171" i="4" a="1"/>
  <c r="K171" i="4" s="1"/>
  <c r="L143" i="2"/>
  <c r="B144" i="2" s="1"/>
  <c r="H144" i="2" s="1"/>
  <c r="M143" i="2"/>
  <c r="C144" i="2" s="1"/>
  <c r="I144" i="2" s="1"/>
  <c r="N143" i="2"/>
  <c r="D144" i="2" s="1"/>
  <c r="J144" i="2" s="1"/>
  <c r="K170" i="11" l="1" a="1"/>
  <c r="K170" i="11" s="1"/>
  <c r="M171" i="9"/>
  <c r="C172" i="9" s="1"/>
  <c r="I172" i="9" s="1"/>
  <c r="L171" i="9"/>
  <c r="B172" i="9" s="1"/>
  <c r="H172" i="9" s="1"/>
  <c r="N171" i="9"/>
  <c r="D172" i="9" s="1"/>
  <c r="J172" i="9" s="1"/>
  <c r="N165" i="8"/>
  <c r="D166" i="8" s="1"/>
  <c r="J166" i="8" s="1"/>
  <c r="M165" i="8"/>
  <c r="C166" i="8" s="1"/>
  <c r="I166" i="8" s="1"/>
  <c r="L165" i="8"/>
  <c r="B166" i="8" s="1"/>
  <c r="H166" i="8" s="1"/>
  <c r="K166" i="8" s="1" a="1"/>
  <c r="K166" i="8" s="1"/>
  <c r="N172" i="7"/>
  <c r="D173" i="7" s="1"/>
  <c r="J173" i="7" s="1"/>
  <c r="M172" i="7"/>
  <c r="C173" i="7" s="1"/>
  <c r="I173" i="7" s="1"/>
  <c r="L172" i="7"/>
  <c r="B173" i="7" s="1"/>
  <c r="H173" i="7" s="1"/>
  <c r="M171" i="4"/>
  <c r="C172" i="4" s="1"/>
  <c r="I172" i="4" s="1"/>
  <c r="L171" i="4"/>
  <c r="B172" i="4" s="1"/>
  <c r="H172" i="4" s="1"/>
  <c r="N171" i="4"/>
  <c r="D172" i="4" s="1"/>
  <c r="J172" i="4" s="1"/>
  <c r="K144" i="2" a="1"/>
  <c r="K144" i="2" s="1"/>
  <c r="M144" i="2" s="1"/>
  <c r="C145" i="2" s="1"/>
  <c r="I145" i="2" s="1"/>
  <c r="L170" i="11" l="1"/>
  <c r="B171" i="11" s="1"/>
  <c r="H171" i="11" s="1"/>
  <c r="K171" i="11" s="1" a="1"/>
  <c r="K171" i="11" s="1"/>
  <c r="M170" i="11"/>
  <c r="C171" i="11" s="1"/>
  <c r="I171" i="11" s="1"/>
  <c r="N170" i="11"/>
  <c r="D171" i="11" s="1"/>
  <c r="J171" i="11" s="1"/>
  <c r="K172" i="9" a="1"/>
  <c r="K172" i="9" s="1"/>
  <c r="N166" i="8"/>
  <c r="D167" i="8" s="1"/>
  <c r="J167" i="8" s="1"/>
  <c r="M166" i="8"/>
  <c r="C167" i="8" s="1"/>
  <c r="I167" i="8" s="1"/>
  <c r="L166" i="8"/>
  <c r="B167" i="8" s="1"/>
  <c r="H167" i="8" s="1"/>
  <c r="K167" i="8" s="1" a="1"/>
  <c r="K167" i="8" s="1"/>
  <c r="K173" i="7" a="1"/>
  <c r="K173" i="7" s="1"/>
  <c r="K172" i="4" a="1"/>
  <c r="K172" i="4" s="1"/>
  <c r="L144" i="2"/>
  <c r="B145" i="2" s="1"/>
  <c r="H145" i="2" s="1"/>
  <c r="N144" i="2"/>
  <c r="D145" i="2" s="1"/>
  <c r="J145" i="2" s="1"/>
  <c r="M171" i="11" l="1"/>
  <c r="C172" i="11" s="1"/>
  <c r="I172" i="11" s="1"/>
  <c r="L171" i="11"/>
  <c r="B172" i="11" s="1"/>
  <c r="H172" i="11" s="1"/>
  <c r="N171" i="11"/>
  <c r="D172" i="11" s="1"/>
  <c r="J172" i="11" s="1"/>
  <c r="N172" i="9"/>
  <c r="D173" i="9" s="1"/>
  <c r="J173" i="9" s="1"/>
  <c r="M172" i="9"/>
  <c r="C173" i="9" s="1"/>
  <c r="I173" i="9" s="1"/>
  <c r="L172" i="9"/>
  <c r="B173" i="9" s="1"/>
  <c r="H173" i="9" s="1"/>
  <c r="K173" i="9" s="1" a="1"/>
  <c r="K173" i="9" s="1"/>
  <c r="N167" i="8"/>
  <c r="D168" i="8" s="1"/>
  <c r="J168" i="8" s="1"/>
  <c r="M167" i="8"/>
  <c r="C168" i="8" s="1"/>
  <c r="I168" i="8" s="1"/>
  <c r="L167" i="8"/>
  <c r="B168" i="8" s="1"/>
  <c r="H168" i="8" s="1"/>
  <c r="N173" i="7"/>
  <c r="D174" i="7" s="1"/>
  <c r="J174" i="7" s="1"/>
  <c r="M173" i="7"/>
  <c r="C174" i="7" s="1"/>
  <c r="I174" i="7" s="1"/>
  <c r="L173" i="7"/>
  <c r="B174" i="7" s="1"/>
  <c r="H174" i="7" s="1"/>
  <c r="K174" i="7" s="1" a="1"/>
  <c r="K174" i="7" s="1"/>
  <c r="N172" i="4"/>
  <c r="D173" i="4" s="1"/>
  <c r="J173" i="4" s="1"/>
  <c r="M172" i="4"/>
  <c r="C173" i="4" s="1"/>
  <c r="I173" i="4" s="1"/>
  <c r="L172" i="4"/>
  <c r="B173" i="4" s="1"/>
  <c r="H173" i="4" s="1"/>
  <c r="K173" i="4" s="1" a="1"/>
  <c r="K173" i="4" s="1"/>
  <c r="K145" i="2" a="1"/>
  <c r="K145" i="2" s="1"/>
  <c r="N145" i="2" s="1"/>
  <c r="D146" i="2" s="1"/>
  <c r="J146" i="2" s="1"/>
  <c r="K172" i="11" l="1" a="1"/>
  <c r="K172" i="11" s="1"/>
  <c r="N173" i="9"/>
  <c r="D174" i="9" s="1"/>
  <c r="J174" i="9" s="1"/>
  <c r="M173" i="9"/>
  <c r="C174" i="9" s="1"/>
  <c r="I174" i="9" s="1"/>
  <c r="L173" i="9"/>
  <c r="B174" i="9" s="1"/>
  <c r="H174" i="9" s="1"/>
  <c r="K174" i="9" s="1" a="1"/>
  <c r="K174" i="9" s="1"/>
  <c r="K168" i="8" a="1"/>
  <c r="K168" i="8" s="1"/>
  <c r="N174" i="7"/>
  <c r="D175" i="7" s="1"/>
  <c r="J175" i="7" s="1"/>
  <c r="M174" i="7"/>
  <c r="C175" i="7" s="1"/>
  <c r="I175" i="7" s="1"/>
  <c r="L174" i="7"/>
  <c r="B175" i="7" s="1"/>
  <c r="H175" i="7" s="1"/>
  <c r="N173" i="4"/>
  <c r="D174" i="4" s="1"/>
  <c r="J174" i="4" s="1"/>
  <c r="M173" i="4"/>
  <c r="C174" i="4" s="1"/>
  <c r="I174" i="4" s="1"/>
  <c r="L173" i="4"/>
  <c r="B174" i="4" s="1"/>
  <c r="H174" i="4" s="1"/>
  <c r="K174" i="4" s="1" a="1"/>
  <c r="K174" i="4" s="1"/>
  <c r="M145" i="2"/>
  <c r="C146" i="2" s="1"/>
  <c r="I146" i="2" s="1"/>
  <c r="L145" i="2"/>
  <c r="B146" i="2" s="1"/>
  <c r="H146" i="2" s="1"/>
  <c r="N172" i="11" l="1"/>
  <c r="D173" i="11" s="1"/>
  <c r="J173" i="11" s="1"/>
  <c r="M172" i="11"/>
  <c r="C173" i="11" s="1"/>
  <c r="I173" i="11" s="1"/>
  <c r="L172" i="11"/>
  <c r="B173" i="11" s="1"/>
  <c r="H173" i="11" s="1"/>
  <c r="K173" i="11" s="1" a="1"/>
  <c r="K173" i="11" s="1"/>
  <c r="N174" i="9"/>
  <c r="D175" i="9" s="1"/>
  <c r="J175" i="9" s="1"/>
  <c r="M174" i="9"/>
  <c r="C175" i="9" s="1"/>
  <c r="I175" i="9" s="1"/>
  <c r="L174" i="9"/>
  <c r="B175" i="9" s="1"/>
  <c r="H175" i="9" s="1"/>
  <c r="K175" i="9" s="1" a="1"/>
  <c r="K175" i="9" s="1"/>
  <c r="N168" i="8"/>
  <c r="D169" i="8" s="1"/>
  <c r="J169" i="8" s="1"/>
  <c r="M168" i="8"/>
  <c r="C169" i="8" s="1"/>
  <c r="I169" i="8" s="1"/>
  <c r="L168" i="8"/>
  <c r="B169" i="8" s="1"/>
  <c r="H169" i="8" s="1"/>
  <c r="K169" i="8" s="1" a="1"/>
  <c r="K169" i="8" s="1"/>
  <c r="K175" i="7" a="1"/>
  <c r="K175" i="7" s="1"/>
  <c r="N174" i="4"/>
  <c r="D175" i="4" s="1"/>
  <c r="J175" i="4" s="1"/>
  <c r="M174" i="4"/>
  <c r="C175" i="4" s="1"/>
  <c r="I175" i="4" s="1"/>
  <c r="L174" i="4"/>
  <c r="B175" i="4" s="1"/>
  <c r="H175" i="4" s="1"/>
  <c r="K146" i="2" a="1"/>
  <c r="K146" i="2" s="1"/>
  <c r="L146" i="2" s="1"/>
  <c r="B147" i="2" s="1"/>
  <c r="H147" i="2" s="1"/>
  <c r="N173" i="11" l="1"/>
  <c r="D174" i="11" s="1"/>
  <c r="J174" i="11" s="1"/>
  <c r="M173" i="11"/>
  <c r="C174" i="11" s="1"/>
  <c r="I174" i="11" s="1"/>
  <c r="L173" i="11"/>
  <c r="B174" i="11" s="1"/>
  <c r="H174" i="11" s="1"/>
  <c r="K174" i="11" s="1" a="1"/>
  <c r="K174" i="11" s="1"/>
  <c r="N175" i="9"/>
  <c r="D176" i="9" s="1"/>
  <c r="J176" i="9" s="1"/>
  <c r="M175" i="9"/>
  <c r="C176" i="9" s="1"/>
  <c r="I176" i="9" s="1"/>
  <c r="L175" i="9"/>
  <c r="B176" i="9" s="1"/>
  <c r="H176" i="9" s="1"/>
  <c r="N169" i="8"/>
  <c r="D170" i="8" s="1"/>
  <c r="J170" i="8" s="1"/>
  <c r="M169" i="8"/>
  <c r="C170" i="8" s="1"/>
  <c r="I170" i="8" s="1"/>
  <c r="L169" i="8"/>
  <c r="B170" i="8" s="1"/>
  <c r="H170" i="8" s="1"/>
  <c r="N175" i="7"/>
  <c r="D176" i="7" s="1"/>
  <c r="J176" i="7" s="1"/>
  <c r="M175" i="7"/>
  <c r="C176" i="7" s="1"/>
  <c r="I176" i="7" s="1"/>
  <c r="L175" i="7"/>
  <c r="B176" i="7" s="1"/>
  <c r="H176" i="7" s="1"/>
  <c r="K176" i="7" s="1" a="1"/>
  <c r="K176" i="7" s="1"/>
  <c r="K175" i="4" a="1"/>
  <c r="K175" i="4" s="1"/>
  <c r="M146" i="2"/>
  <c r="C147" i="2" s="1"/>
  <c r="I147" i="2" s="1"/>
  <c r="N146" i="2"/>
  <c r="D147" i="2" s="1"/>
  <c r="J147" i="2" s="1"/>
  <c r="N174" i="11" l="1"/>
  <c r="D175" i="11" s="1"/>
  <c r="J175" i="11" s="1"/>
  <c r="M174" i="11"/>
  <c r="C175" i="11" s="1"/>
  <c r="I175" i="11" s="1"/>
  <c r="L174" i="11"/>
  <c r="B175" i="11" s="1"/>
  <c r="H175" i="11" s="1"/>
  <c r="K175" i="11" s="1" a="1"/>
  <c r="K175" i="11" s="1"/>
  <c r="K176" i="9" a="1"/>
  <c r="K176" i="9" s="1"/>
  <c r="K170" i="8" a="1"/>
  <c r="K170" i="8" s="1"/>
  <c r="N176" i="7"/>
  <c r="D177" i="7" s="1"/>
  <c r="J177" i="7" s="1"/>
  <c r="M176" i="7"/>
  <c r="C177" i="7" s="1"/>
  <c r="I177" i="7" s="1"/>
  <c r="L176" i="7"/>
  <c r="B177" i="7" s="1"/>
  <c r="H177" i="7" s="1"/>
  <c r="N175" i="4"/>
  <c r="D176" i="4" s="1"/>
  <c r="J176" i="4" s="1"/>
  <c r="M175" i="4"/>
  <c r="C176" i="4" s="1"/>
  <c r="I176" i="4" s="1"/>
  <c r="L175" i="4"/>
  <c r="B176" i="4" s="1"/>
  <c r="H176" i="4" s="1"/>
  <c r="K147" i="2" a="1"/>
  <c r="K147" i="2" s="1"/>
  <c r="M147" i="2" s="1"/>
  <c r="C148" i="2" s="1"/>
  <c r="I148" i="2" s="1"/>
  <c r="N175" i="11" l="1"/>
  <c r="D176" i="11" s="1"/>
  <c r="J176" i="11" s="1"/>
  <c r="M175" i="11"/>
  <c r="C176" i="11" s="1"/>
  <c r="I176" i="11" s="1"/>
  <c r="L175" i="11"/>
  <c r="B176" i="11" s="1"/>
  <c r="H176" i="11" s="1"/>
  <c r="K176" i="11" s="1" a="1"/>
  <c r="K176" i="11" s="1"/>
  <c r="N176" i="9"/>
  <c r="D177" i="9" s="1"/>
  <c r="J177" i="9" s="1"/>
  <c r="M176" i="9"/>
  <c r="C177" i="9" s="1"/>
  <c r="I177" i="9" s="1"/>
  <c r="L176" i="9"/>
  <c r="B177" i="9" s="1"/>
  <c r="H177" i="9" s="1"/>
  <c r="L170" i="8"/>
  <c r="B171" i="8" s="1"/>
  <c r="H171" i="8" s="1"/>
  <c r="N170" i="8"/>
  <c r="D171" i="8" s="1"/>
  <c r="J171" i="8" s="1"/>
  <c r="M170" i="8"/>
  <c r="C171" i="8" s="1"/>
  <c r="I171" i="8" s="1"/>
  <c r="K177" i="7" a="1"/>
  <c r="K177" i="7" s="1"/>
  <c r="K176" i="4" a="1"/>
  <c r="K176" i="4" s="1"/>
  <c r="L147" i="2"/>
  <c r="B148" i="2" s="1"/>
  <c r="H148" i="2" s="1"/>
  <c r="N147" i="2"/>
  <c r="D148" i="2" s="1"/>
  <c r="J148" i="2" s="1"/>
  <c r="N176" i="11" l="1"/>
  <c r="D177" i="11" s="1"/>
  <c r="J177" i="11" s="1"/>
  <c r="M176" i="11"/>
  <c r="C177" i="11" s="1"/>
  <c r="I177" i="11" s="1"/>
  <c r="L176" i="11"/>
  <c r="B177" i="11" s="1"/>
  <c r="H177" i="11" s="1"/>
  <c r="K177" i="11" s="1" a="1"/>
  <c r="K177" i="11" s="1"/>
  <c r="K177" i="9" a="1"/>
  <c r="K177" i="9" s="1"/>
  <c r="K171" i="8" a="1"/>
  <c r="K171" i="8" s="1"/>
  <c r="N177" i="7"/>
  <c r="D178" i="7" s="1"/>
  <c r="J178" i="7" s="1"/>
  <c r="M177" i="7"/>
  <c r="C178" i="7" s="1"/>
  <c r="I178" i="7" s="1"/>
  <c r="L177" i="7"/>
  <c r="B178" i="7" s="1"/>
  <c r="H178" i="7" s="1"/>
  <c r="N176" i="4"/>
  <c r="D177" i="4" s="1"/>
  <c r="J177" i="4" s="1"/>
  <c r="M176" i="4"/>
  <c r="C177" i="4" s="1"/>
  <c r="I177" i="4" s="1"/>
  <c r="L176" i="4"/>
  <c r="B177" i="4" s="1"/>
  <c r="H177" i="4" s="1"/>
  <c r="K148" i="2" a="1"/>
  <c r="K148" i="2" s="1"/>
  <c r="M148" i="2" s="1"/>
  <c r="C149" i="2" s="1"/>
  <c r="I149" i="2" s="1"/>
  <c r="N177" i="11" l="1"/>
  <c r="D178" i="11" s="1"/>
  <c r="J178" i="11" s="1"/>
  <c r="M177" i="11"/>
  <c r="C178" i="11" s="1"/>
  <c r="I178" i="11" s="1"/>
  <c r="L177" i="11"/>
  <c r="B178" i="11" s="1"/>
  <c r="H178" i="11" s="1"/>
  <c r="K178" i="11" s="1" a="1"/>
  <c r="K178" i="11" s="1"/>
  <c r="N177" i="9"/>
  <c r="D178" i="9" s="1"/>
  <c r="J178" i="9" s="1"/>
  <c r="M177" i="9"/>
  <c r="C178" i="9" s="1"/>
  <c r="I178" i="9" s="1"/>
  <c r="L177" i="9"/>
  <c r="B178" i="9" s="1"/>
  <c r="H178" i="9" s="1"/>
  <c r="M171" i="8"/>
  <c r="C172" i="8" s="1"/>
  <c r="I172" i="8" s="1"/>
  <c r="L171" i="8"/>
  <c r="B172" i="8" s="1"/>
  <c r="H172" i="8" s="1"/>
  <c r="K172" i="8" s="1" a="1"/>
  <c r="K172" i="8" s="1"/>
  <c r="N171" i="8"/>
  <c r="D172" i="8" s="1"/>
  <c r="J172" i="8" s="1"/>
  <c r="K178" i="7" a="1"/>
  <c r="K178" i="7" s="1"/>
  <c r="K177" i="4" a="1"/>
  <c r="K177" i="4" s="1"/>
  <c r="N148" i="2"/>
  <c r="D149" i="2" s="1"/>
  <c r="J149" i="2" s="1"/>
  <c r="L148" i="2"/>
  <c r="B149" i="2" s="1"/>
  <c r="H149" i="2" s="1"/>
  <c r="N178" i="11" l="1"/>
  <c r="D179" i="11" s="1"/>
  <c r="J179" i="11" s="1"/>
  <c r="L178" i="11"/>
  <c r="B179" i="11" s="1"/>
  <c r="H179" i="11" s="1"/>
  <c r="M178" i="11"/>
  <c r="C179" i="11" s="1"/>
  <c r="I179" i="11" s="1"/>
  <c r="K178" i="9" a="1"/>
  <c r="K178" i="9" s="1"/>
  <c r="N172" i="8"/>
  <c r="D173" i="8" s="1"/>
  <c r="J173" i="8" s="1"/>
  <c r="M172" i="8"/>
  <c r="C173" i="8" s="1"/>
  <c r="I173" i="8" s="1"/>
  <c r="L172" i="8"/>
  <c r="B173" i="8" s="1"/>
  <c r="H173" i="8" s="1"/>
  <c r="N178" i="7"/>
  <c r="D179" i="7" s="1"/>
  <c r="J179" i="7" s="1"/>
  <c r="M178" i="7"/>
  <c r="C179" i="7" s="1"/>
  <c r="I179" i="7" s="1"/>
  <c r="L178" i="7"/>
  <c r="B179" i="7" s="1"/>
  <c r="H179" i="7" s="1"/>
  <c r="K179" i="7" s="1" a="1"/>
  <c r="K179" i="7" s="1"/>
  <c r="N177" i="4"/>
  <c r="D178" i="4" s="1"/>
  <c r="J178" i="4" s="1"/>
  <c r="M177" i="4"/>
  <c r="C178" i="4" s="1"/>
  <c r="I178" i="4" s="1"/>
  <c r="L177" i="4"/>
  <c r="B178" i="4" s="1"/>
  <c r="H178" i="4" s="1"/>
  <c r="K178" i="4" s="1" a="1"/>
  <c r="K178" i="4" s="1"/>
  <c r="K149" i="2" a="1"/>
  <c r="K149" i="2" s="1"/>
  <c r="K179" i="11" l="1" a="1"/>
  <c r="K179" i="11" s="1"/>
  <c r="N178" i="9"/>
  <c r="D179" i="9" s="1"/>
  <c r="J179" i="9" s="1"/>
  <c r="M178" i="9"/>
  <c r="C179" i="9" s="1"/>
  <c r="I179" i="9" s="1"/>
  <c r="L178" i="9"/>
  <c r="B179" i="9" s="1"/>
  <c r="H179" i="9" s="1"/>
  <c r="K173" i="8" a="1"/>
  <c r="K173" i="8" s="1"/>
  <c r="N179" i="7"/>
  <c r="D180" i="7" s="1"/>
  <c r="J180" i="7" s="1"/>
  <c r="L179" i="7"/>
  <c r="B180" i="7" s="1"/>
  <c r="H180" i="7" s="1"/>
  <c r="K180" i="7" s="1" a="1"/>
  <c r="K180" i="7" s="1"/>
  <c r="M179" i="7"/>
  <c r="C180" i="7" s="1"/>
  <c r="I180" i="7" s="1"/>
  <c r="N178" i="4"/>
  <c r="D179" i="4" s="1"/>
  <c r="J179" i="4" s="1"/>
  <c r="M178" i="4"/>
  <c r="C179" i="4" s="1"/>
  <c r="I179" i="4" s="1"/>
  <c r="L178" i="4"/>
  <c r="B179" i="4" s="1"/>
  <c r="H179" i="4" s="1"/>
  <c r="K179" i="4" s="1" a="1"/>
  <c r="K179" i="4" s="1"/>
  <c r="N149" i="2"/>
  <c r="D150" i="2" s="1"/>
  <c r="J150" i="2" s="1"/>
  <c r="L149" i="2"/>
  <c r="B150" i="2" s="1"/>
  <c r="H150" i="2" s="1"/>
  <c r="M149" i="2"/>
  <c r="C150" i="2" s="1"/>
  <c r="I150" i="2" s="1"/>
  <c r="M179" i="11" l="1"/>
  <c r="C180" i="11" s="1"/>
  <c r="I180" i="11" s="1"/>
  <c r="N179" i="11"/>
  <c r="D180" i="11" s="1"/>
  <c r="J180" i="11" s="1"/>
  <c r="L179" i="11"/>
  <c r="B180" i="11" s="1"/>
  <c r="H180" i="11" s="1"/>
  <c r="K180" i="11" s="1" a="1"/>
  <c r="K180" i="11" s="1"/>
  <c r="K179" i="9" a="1"/>
  <c r="K179" i="9" s="1"/>
  <c r="N173" i="8"/>
  <c r="D174" i="8" s="1"/>
  <c r="J174" i="8" s="1"/>
  <c r="M173" i="8"/>
  <c r="C174" i="8" s="1"/>
  <c r="I174" i="8" s="1"/>
  <c r="L173" i="8"/>
  <c r="B174" i="8" s="1"/>
  <c r="H174" i="8" s="1"/>
  <c r="K174" i="8" s="1" a="1"/>
  <c r="K174" i="8" s="1"/>
  <c r="M180" i="7"/>
  <c r="C181" i="7" s="1"/>
  <c r="I181" i="7" s="1"/>
  <c r="N180" i="7"/>
  <c r="D181" i="7" s="1"/>
  <c r="J181" i="7" s="1"/>
  <c r="L180" i="7"/>
  <c r="B181" i="7" s="1"/>
  <c r="H181" i="7" s="1"/>
  <c r="N179" i="4"/>
  <c r="D180" i="4" s="1"/>
  <c r="J180" i="4" s="1"/>
  <c r="M179" i="4"/>
  <c r="C180" i="4" s="1"/>
  <c r="I180" i="4" s="1"/>
  <c r="L179" i="4"/>
  <c r="B180" i="4" s="1"/>
  <c r="H180" i="4" s="1"/>
  <c r="K150" i="2" a="1"/>
  <c r="K150" i="2" s="1"/>
  <c r="L150" i="2" s="1"/>
  <c r="B151" i="2" s="1"/>
  <c r="H151" i="2" s="1"/>
  <c r="N180" i="11" l="1"/>
  <c r="D181" i="11" s="1"/>
  <c r="J181" i="11" s="1"/>
  <c r="L180" i="11"/>
  <c r="B181" i="11" s="1"/>
  <c r="H181" i="11" s="1"/>
  <c r="M180" i="11"/>
  <c r="C181" i="11" s="1"/>
  <c r="I181" i="11" s="1"/>
  <c r="N179" i="9"/>
  <c r="D180" i="9" s="1"/>
  <c r="J180" i="9" s="1"/>
  <c r="M179" i="9"/>
  <c r="C180" i="9" s="1"/>
  <c r="I180" i="9" s="1"/>
  <c r="L179" i="9"/>
  <c r="B180" i="9" s="1"/>
  <c r="H180" i="9" s="1"/>
  <c r="N174" i="8"/>
  <c r="D175" i="8" s="1"/>
  <c r="J175" i="8" s="1"/>
  <c r="M174" i="8"/>
  <c r="C175" i="8" s="1"/>
  <c r="I175" i="8" s="1"/>
  <c r="L174" i="8"/>
  <c r="B175" i="8" s="1"/>
  <c r="H175" i="8" s="1"/>
  <c r="K175" i="8" s="1" a="1"/>
  <c r="K175" i="8" s="1"/>
  <c r="K181" i="7" a="1"/>
  <c r="K181" i="7" s="1"/>
  <c r="K180" i="4" a="1"/>
  <c r="K180" i="4" s="1"/>
  <c r="M150" i="2"/>
  <c r="C151" i="2" s="1"/>
  <c r="I151" i="2" s="1"/>
  <c r="N150" i="2"/>
  <c r="D151" i="2" s="1"/>
  <c r="J151" i="2" s="1"/>
  <c r="K151" i="2" a="1"/>
  <c r="K151" i="2" s="1"/>
  <c r="L151" i="2" s="1"/>
  <c r="B152" i="2" s="1"/>
  <c r="H152" i="2" s="1"/>
  <c r="K181" i="11" l="1" a="1"/>
  <c r="K181" i="11" s="1"/>
  <c r="K180" i="9" a="1"/>
  <c r="K180" i="9" s="1"/>
  <c r="N175" i="8"/>
  <c r="D176" i="8" s="1"/>
  <c r="J176" i="8" s="1"/>
  <c r="M175" i="8"/>
  <c r="C176" i="8" s="1"/>
  <c r="I176" i="8" s="1"/>
  <c r="L175" i="8"/>
  <c r="B176" i="8" s="1"/>
  <c r="H176" i="8" s="1"/>
  <c r="K176" i="8" s="1" a="1"/>
  <c r="K176" i="8" s="1"/>
  <c r="N181" i="7"/>
  <c r="D182" i="7" s="1"/>
  <c r="J182" i="7" s="1"/>
  <c r="M181" i="7"/>
  <c r="C182" i="7" s="1"/>
  <c r="I182" i="7" s="1"/>
  <c r="L181" i="7"/>
  <c r="B182" i="7" s="1"/>
  <c r="H182" i="7" s="1"/>
  <c r="K182" i="7" s="1" a="1"/>
  <c r="K182" i="7" s="1"/>
  <c r="N180" i="4"/>
  <c r="D181" i="4" s="1"/>
  <c r="J181" i="4" s="1"/>
  <c r="M180" i="4"/>
  <c r="C181" i="4" s="1"/>
  <c r="I181" i="4" s="1"/>
  <c r="L180" i="4"/>
  <c r="B181" i="4" s="1"/>
  <c r="H181" i="4" s="1"/>
  <c r="K181" i="4" s="1" a="1"/>
  <c r="K181" i="4" s="1"/>
  <c r="N151" i="2"/>
  <c r="D152" i="2" s="1"/>
  <c r="J152" i="2" s="1"/>
  <c r="M151" i="2"/>
  <c r="C152" i="2" s="1"/>
  <c r="I152" i="2" s="1"/>
  <c r="K152" i="2" s="1" a="1"/>
  <c r="K152" i="2" s="1"/>
  <c r="L152" i="2" s="1"/>
  <c r="B153" i="2" s="1"/>
  <c r="H153" i="2" s="1"/>
  <c r="L181" i="11" l="1"/>
  <c r="B182" i="11" s="1"/>
  <c r="H182" i="11" s="1"/>
  <c r="N181" i="11"/>
  <c r="D182" i="11" s="1"/>
  <c r="J182" i="11" s="1"/>
  <c r="M181" i="11"/>
  <c r="C182" i="11" s="1"/>
  <c r="I182" i="11" s="1"/>
  <c r="N180" i="9"/>
  <c r="D181" i="9" s="1"/>
  <c r="J181" i="9" s="1"/>
  <c r="M180" i="9"/>
  <c r="C181" i="9" s="1"/>
  <c r="I181" i="9" s="1"/>
  <c r="L180" i="9"/>
  <c r="B181" i="9" s="1"/>
  <c r="H181" i="9" s="1"/>
  <c r="K181" i="9" s="1" a="1"/>
  <c r="K181" i="9" s="1"/>
  <c r="N176" i="8"/>
  <c r="D177" i="8" s="1"/>
  <c r="J177" i="8" s="1"/>
  <c r="M176" i="8"/>
  <c r="C177" i="8" s="1"/>
  <c r="I177" i="8" s="1"/>
  <c r="L176" i="8"/>
  <c r="B177" i="8" s="1"/>
  <c r="H177" i="8" s="1"/>
  <c r="K177" i="8" s="1" a="1"/>
  <c r="K177" i="8" s="1"/>
  <c r="L182" i="7"/>
  <c r="B183" i="7" s="1"/>
  <c r="H183" i="7" s="1"/>
  <c r="N182" i="7"/>
  <c r="D183" i="7" s="1"/>
  <c r="J183" i="7" s="1"/>
  <c r="M182" i="7"/>
  <c r="C183" i="7" s="1"/>
  <c r="I183" i="7" s="1"/>
  <c r="N181" i="4"/>
  <c r="D182" i="4" s="1"/>
  <c r="J182" i="4" s="1"/>
  <c r="M181" i="4"/>
  <c r="C182" i="4" s="1"/>
  <c r="I182" i="4" s="1"/>
  <c r="L181" i="4"/>
  <c r="B182" i="4" s="1"/>
  <c r="H182" i="4" s="1"/>
  <c r="K182" i="4" s="1" a="1"/>
  <c r="K182" i="4" s="1"/>
  <c r="M152" i="2"/>
  <c r="C153" i="2" s="1"/>
  <c r="I153" i="2" s="1"/>
  <c r="N152" i="2"/>
  <c r="D153" i="2" s="1"/>
  <c r="K182" i="11" l="1" a="1"/>
  <c r="K182" i="11" s="1"/>
  <c r="N181" i="9"/>
  <c r="D182" i="9" s="1"/>
  <c r="J182" i="9" s="1"/>
  <c r="M181" i="9"/>
  <c r="C182" i="9" s="1"/>
  <c r="I182" i="9" s="1"/>
  <c r="L181" i="9"/>
  <c r="B182" i="9" s="1"/>
  <c r="H182" i="9" s="1"/>
  <c r="K182" i="9" s="1" a="1"/>
  <c r="K182" i="9" s="1"/>
  <c r="N177" i="8"/>
  <c r="D178" i="8" s="1"/>
  <c r="J178" i="8" s="1"/>
  <c r="M177" i="8"/>
  <c r="C178" i="8" s="1"/>
  <c r="I178" i="8" s="1"/>
  <c r="L177" i="8"/>
  <c r="B178" i="8" s="1"/>
  <c r="H178" i="8" s="1"/>
  <c r="K183" i="7" a="1"/>
  <c r="K183" i="7" s="1"/>
  <c r="L182" i="4"/>
  <c r="B183" i="4" s="1"/>
  <c r="H183" i="4" s="1"/>
  <c r="N182" i="4"/>
  <c r="D183" i="4" s="1"/>
  <c r="J183" i="4" s="1"/>
  <c r="M182" i="4"/>
  <c r="C183" i="4" s="1"/>
  <c r="I183" i="4" s="1"/>
  <c r="J153" i="2"/>
  <c r="K153" i="2" s="1" a="1"/>
  <c r="K153" i="2" s="1"/>
  <c r="L182" i="11" l="1"/>
  <c r="B183" i="11" s="1"/>
  <c r="H183" i="11" s="1"/>
  <c r="M182" i="11"/>
  <c r="C183" i="11" s="1"/>
  <c r="I183" i="11" s="1"/>
  <c r="N182" i="11"/>
  <c r="D183" i="11" s="1"/>
  <c r="J183" i="11" s="1"/>
  <c r="L182" i="9"/>
  <c r="B183" i="9" s="1"/>
  <c r="H183" i="9" s="1"/>
  <c r="N182" i="9"/>
  <c r="D183" i="9" s="1"/>
  <c r="J183" i="9" s="1"/>
  <c r="M182" i="9"/>
  <c r="C183" i="9" s="1"/>
  <c r="I183" i="9" s="1"/>
  <c r="K178" i="8" a="1"/>
  <c r="K178" i="8" s="1"/>
  <c r="M183" i="7"/>
  <c r="C184" i="7" s="1"/>
  <c r="I184" i="7" s="1"/>
  <c r="L183" i="7"/>
  <c r="B184" i="7" s="1"/>
  <c r="H184" i="7" s="1"/>
  <c r="K184" i="7" s="1" a="1"/>
  <c r="K184" i="7" s="1"/>
  <c r="N183" i="7"/>
  <c r="D184" i="7" s="1"/>
  <c r="J184" i="7" s="1"/>
  <c r="K183" i="4" a="1"/>
  <c r="K183" i="4" s="1"/>
  <c r="L153" i="2"/>
  <c r="B154" i="2" s="1"/>
  <c r="H154" i="2" s="1"/>
  <c r="N153" i="2"/>
  <c r="D154" i="2" s="1"/>
  <c r="J154" i="2" s="1"/>
  <c r="M153" i="2"/>
  <c r="C154" i="2" s="1"/>
  <c r="I154" i="2" s="1"/>
  <c r="K154" i="2" a="1"/>
  <c r="K154" i="2" s="1"/>
  <c r="K183" i="11" l="1" a="1"/>
  <c r="K183" i="11" s="1"/>
  <c r="K183" i="9" a="1"/>
  <c r="K183" i="9" s="1"/>
  <c r="N178" i="8"/>
  <c r="D179" i="8" s="1"/>
  <c r="J179" i="8" s="1"/>
  <c r="M178" i="8"/>
  <c r="C179" i="8" s="1"/>
  <c r="I179" i="8" s="1"/>
  <c r="L178" i="8"/>
  <c r="B179" i="8" s="1"/>
  <c r="H179" i="8" s="1"/>
  <c r="K179" i="8" s="1" a="1"/>
  <c r="K179" i="8" s="1"/>
  <c r="N184" i="7"/>
  <c r="M184" i="7"/>
  <c r="L184" i="7"/>
  <c r="M183" i="4"/>
  <c r="C184" i="4" s="1"/>
  <c r="I184" i="4" s="1"/>
  <c r="L183" i="4"/>
  <c r="B184" i="4" s="1"/>
  <c r="H184" i="4" s="1"/>
  <c r="N183" i="4"/>
  <c r="D184" i="4" s="1"/>
  <c r="J184" i="4" s="1"/>
  <c r="L154" i="2"/>
  <c r="B155" i="2" s="1"/>
  <c r="H155" i="2" s="1"/>
  <c r="M154" i="2"/>
  <c r="C155" i="2" s="1"/>
  <c r="I155" i="2" s="1"/>
  <c r="N154" i="2"/>
  <c r="D155" i="2" s="1"/>
  <c r="J155" i="2" s="1"/>
  <c r="M183" i="11" l="1"/>
  <c r="C184" i="11" s="1"/>
  <c r="I184" i="11" s="1"/>
  <c r="L183" i="11"/>
  <c r="B184" i="11" s="1"/>
  <c r="H184" i="11" s="1"/>
  <c r="N183" i="11"/>
  <c r="D184" i="11" s="1"/>
  <c r="J184" i="11" s="1"/>
  <c r="M183" i="9"/>
  <c r="C184" i="9" s="1"/>
  <c r="I184" i="9" s="1"/>
  <c r="L183" i="9"/>
  <c r="B184" i="9" s="1"/>
  <c r="H184" i="9" s="1"/>
  <c r="N183" i="9"/>
  <c r="D184" i="9" s="1"/>
  <c r="J184" i="9" s="1"/>
  <c r="N179" i="8"/>
  <c r="D180" i="8" s="1"/>
  <c r="J180" i="8" s="1"/>
  <c r="M179" i="8"/>
  <c r="C180" i="8" s="1"/>
  <c r="I180" i="8" s="1"/>
  <c r="L179" i="8"/>
  <c r="B180" i="8" s="1"/>
  <c r="H180" i="8" s="1"/>
  <c r="K180" i="8" s="1" a="1"/>
  <c r="K180" i="8" s="1"/>
  <c r="K184" i="4" a="1"/>
  <c r="K184" i="4" s="1"/>
  <c r="K155" i="2" a="1"/>
  <c r="K155" i="2" s="1"/>
  <c r="K184" i="11" l="1" a="1"/>
  <c r="K184" i="11" s="1"/>
  <c r="K184" i="9" a="1"/>
  <c r="K184" i="9" s="1"/>
  <c r="N180" i="8"/>
  <c r="D181" i="8" s="1"/>
  <c r="J181" i="8" s="1"/>
  <c r="M180" i="8"/>
  <c r="C181" i="8" s="1"/>
  <c r="I181" i="8" s="1"/>
  <c r="L180" i="8"/>
  <c r="B181" i="8" s="1"/>
  <c r="H181" i="8" s="1"/>
  <c r="K181" i="8" s="1" a="1"/>
  <c r="K181" i="8" s="1"/>
  <c r="N184" i="4"/>
  <c r="M184" i="4"/>
  <c r="L184" i="4"/>
  <c r="L155" i="2"/>
  <c r="B156" i="2" s="1"/>
  <c r="H156" i="2" s="1"/>
  <c r="M155" i="2"/>
  <c r="C156" i="2" s="1"/>
  <c r="I156" i="2" s="1"/>
  <c r="N155" i="2"/>
  <c r="D156" i="2" s="1"/>
  <c r="J156" i="2" s="1"/>
  <c r="N184" i="11" l="1"/>
  <c r="M184" i="11"/>
  <c r="L184" i="11"/>
  <c r="N184" i="9"/>
  <c r="M184" i="9"/>
  <c r="L184" i="9"/>
  <c r="N181" i="8"/>
  <c r="D182" i="8" s="1"/>
  <c r="J182" i="8" s="1"/>
  <c r="M181" i="8"/>
  <c r="C182" i="8" s="1"/>
  <c r="I182" i="8" s="1"/>
  <c r="L181" i="8"/>
  <c r="B182" i="8" s="1"/>
  <c r="H182" i="8" s="1"/>
  <c r="K182" i="8" s="1" a="1"/>
  <c r="K182" i="8" s="1"/>
  <c r="K156" i="2" a="1"/>
  <c r="K156" i="2" s="1"/>
  <c r="L182" i="8" l="1"/>
  <c r="B183" i="8" s="1"/>
  <c r="H183" i="8" s="1"/>
  <c r="N182" i="8"/>
  <c r="D183" i="8" s="1"/>
  <c r="J183" i="8" s="1"/>
  <c r="M182" i="8"/>
  <c r="C183" i="8" s="1"/>
  <c r="I183" i="8" s="1"/>
  <c r="L156" i="2"/>
  <c r="B157" i="2" s="1"/>
  <c r="H157" i="2" s="1"/>
  <c r="M156" i="2"/>
  <c r="C157" i="2" s="1"/>
  <c r="I157" i="2" s="1"/>
  <c r="N156" i="2"/>
  <c r="D157" i="2" s="1"/>
  <c r="J157" i="2" s="1"/>
  <c r="K183" i="8" l="1" a="1"/>
  <c r="K183" i="8" s="1"/>
  <c r="K157" i="2" a="1"/>
  <c r="K157" i="2" s="1"/>
  <c r="M183" i="8" l="1"/>
  <c r="C184" i="8" s="1"/>
  <c r="I184" i="8" s="1"/>
  <c r="L183" i="8"/>
  <c r="B184" i="8" s="1"/>
  <c r="H184" i="8" s="1"/>
  <c r="K184" i="8" s="1" a="1"/>
  <c r="K184" i="8" s="1"/>
  <c r="N183" i="8"/>
  <c r="D184" i="8" s="1"/>
  <c r="J184" i="8" s="1"/>
  <c r="M157" i="2"/>
  <c r="C158" i="2" s="1"/>
  <c r="I158" i="2" s="1"/>
  <c r="N157" i="2"/>
  <c r="D158" i="2" s="1"/>
  <c r="J158" i="2" s="1"/>
  <c r="L157" i="2"/>
  <c r="B158" i="2" s="1"/>
  <c r="H158" i="2" s="1"/>
  <c r="N184" i="8" l="1"/>
  <c r="M184" i="8"/>
  <c r="L184" i="8"/>
  <c r="K158" i="2" a="1"/>
  <c r="K158" i="2" s="1"/>
  <c r="M158" i="2" l="1"/>
  <c r="C159" i="2" s="1"/>
  <c r="I159" i="2" s="1"/>
  <c r="N158" i="2"/>
  <c r="D159" i="2" s="1"/>
  <c r="J159" i="2" s="1"/>
  <c r="L158" i="2"/>
  <c r="B159" i="2" s="1"/>
  <c r="H159" i="2" s="1"/>
  <c r="K159" i="2" l="1" a="1"/>
  <c r="K159" i="2" s="1"/>
  <c r="L159" i="2" s="1"/>
  <c r="B160" i="2" s="1"/>
  <c r="H160" i="2" s="1"/>
  <c r="M159" i="2" l="1"/>
  <c r="C160" i="2" s="1"/>
  <c r="I160" i="2" s="1"/>
  <c r="N159" i="2"/>
  <c r="D160" i="2" s="1"/>
  <c r="J160" i="2" s="1"/>
  <c r="K160" i="2" l="1" a="1"/>
  <c r="K160" i="2" s="1"/>
  <c r="L160" i="2" s="1"/>
  <c r="B161" i="2" s="1"/>
  <c r="H161" i="2" s="1"/>
  <c r="N160" i="2" l="1"/>
  <c r="D161" i="2" s="1"/>
  <c r="J161" i="2" s="1"/>
  <c r="M160" i="2"/>
  <c r="C161" i="2" s="1"/>
  <c r="I161" i="2" s="1"/>
  <c r="K161" i="2" l="1" a="1"/>
  <c r="K161" i="2" s="1"/>
  <c r="N161" i="2" s="1"/>
  <c r="D162" i="2" s="1"/>
  <c r="J162" i="2" s="1"/>
  <c r="M161" i="2" l="1"/>
  <c r="C162" i="2" s="1"/>
  <c r="I162" i="2" s="1"/>
  <c r="K162" i="2" s="1" a="1"/>
  <c r="K162" i="2" s="1"/>
  <c r="M162" i="2" s="1"/>
  <c r="C163" i="2" s="1"/>
  <c r="I163" i="2" s="1"/>
  <c r="L161" i="2"/>
  <c r="B162" i="2" s="1"/>
  <c r="H162" i="2" s="1"/>
  <c r="N162" i="2" l="1"/>
  <c r="D163" i="2" s="1"/>
  <c r="J163" i="2" s="1"/>
  <c r="L162" i="2"/>
  <c r="B163" i="2" s="1"/>
  <c r="H163" i="2" l="1"/>
  <c r="K163" i="2" s="1" a="1"/>
  <c r="K163" i="2" s="1"/>
  <c r="N163" i="2" l="1"/>
  <c r="D164" i="2" s="1"/>
  <c r="J164" i="2" s="1"/>
  <c r="L163" i="2"/>
  <c r="B164" i="2" s="1"/>
  <c r="H164" i="2" s="1"/>
  <c r="M163" i="2"/>
  <c r="C164" i="2" s="1"/>
  <c r="I164" i="2" s="1"/>
  <c r="K164" i="2" l="1" a="1"/>
  <c r="K164" i="2" s="1"/>
  <c r="N164" i="2" s="1"/>
  <c r="D165" i="2" s="1"/>
  <c r="J165" i="2" s="1"/>
  <c r="L164" i="2" l="1"/>
  <c r="B165" i="2" s="1"/>
  <c r="H165" i="2" s="1"/>
  <c r="M164" i="2"/>
  <c r="C165" i="2" s="1"/>
  <c r="I165" i="2" s="1"/>
  <c r="K165" i="2" a="1"/>
  <c r="K165" i="2" s="1"/>
  <c r="M165" i="2" s="1"/>
  <c r="C166" i="2" s="1"/>
  <c r="I166" i="2" s="1"/>
  <c r="L165" i="2" l="1"/>
  <c r="B166" i="2" s="1"/>
  <c r="H166" i="2" s="1"/>
  <c r="N165" i="2"/>
  <c r="D166" i="2" s="1"/>
  <c r="J166" i="2" s="1"/>
  <c r="K166" i="2" l="1" a="1"/>
  <c r="K166" i="2" s="1"/>
  <c r="N166" i="2" s="1"/>
  <c r="D167" i="2" s="1"/>
  <c r="J167" i="2" s="1"/>
  <c r="L166" i="2" l="1"/>
  <c r="B167" i="2" s="1"/>
  <c r="H167" i="2" s="1"/>
  <c r="M166" i="2"/>
  <c r="C167" i="2" s="1"/>
  <c r="I167" i="2" s="1"/>
  <c r="K167" i="2" l="1" a="1"/>
  <c r="K167" i="2" s="1"/>
  <c r="L167" i="2" s="1"/>
  <c r="B168" i="2" s="1"/>
  <c r="H168" i="2" s="1"/>
  <c r="M167" i="2" l="1"/>
  <c r="C168" i="2" s="1"/>
  <c r="I168" i="2" s="1"/>
  <c r="N167" i="2"/>
  <c r="D168" i="2" s="1"/>
  <c r="J168" i="2" s="1"/>
  <c r="K168" i="2" l="1" a="1"/>
  <c r="K168" i="2" s="1"/>
  <c r="L168" i="2" l="1"/>
  <c r="B169" i="2" s="1"/>
  <c r="N168" i="2"/>
  <c r="D169" i="2" s="1"/>
  <c r="J169" i="2" s="1"/>
  <c r="M168" i="2"/>
  <c r="C169" i="2" s="1"/>
  <c r="I169" i="2" s="1"/>
  <c r="H169" i="2" l="1"/>
  <c r="K169" i="2" s="1" a="1"/>
  <c r="K169" i="2" s="1"/>
  <c r="L169" i="2" l="1"/>
  <c r="B170" i="2" s="1"/>
  <c r="H170" i="2" s="1"/>
  <c r="N169" i="2"/>
  <c r="D170" i="2" s="1"/>
  <c r="J170" i="2" s="1"/>
  <c r="M169" i="2"/>
  <c r="C170" i="2" s="1"/>
  <c r="I170" i="2" s="1"/>
  <c r="K170" i="2" l="1" a="1"/>
  <c r="K170" i="2" s="1"/>
  <c r="L170" i="2" l="1"/>
  <c r="B171" i="2" s="1"/>
  <c r="H171" i="2" s="1"/>
  <c r="N170" i="2"/>
  <c r="D171" i="2" s="1"/>
  <c r="J171" i="2" s="1"/>
  <c r="M170" i="2"/>
  <c r="C171" i="2" s="1"/>
  <c r="I171" i="2" s="1"/>
  <c r="K171" i="2" l="1" a="1"/>
  <c r="K171" i="2" s="1"/>
  <c r="M171" i="2" l="1"/>
  <c r="C172" i="2" s="1"/>
  <c r="I172" i="2" s="1"/>
  <c r="N171" i="2"/>
  <c r="D172" i="2" s="1"/>
  <c r="J172" i="2" s="1"/>
  <c r="L171" i="2"/>
  <c r="B172" i="2" s="1"/>
  <c r="H172" i="2" s="1"/>
  <c r="K172" i="2" l="1" a="1"/>
  <c r="K172" i="2" s="1"/>
  <c r="L172" i="2" s="1"/>
  <c r="B173" i="2" s="1"/>
  <c r="H173" i="2" s="1"/>
  <c r="M172" i="2" l="1"/>
  <c r="C173" i="2" s="1"/>
  <c r="N172" i="2"/>
  <c r="D173" i="2" s="1"/>
  <c r="J173" i="2" s="1"/>
  <c r="K173" i="2" l="1" a="1"/>
  <c r="K173" i="2" s="1"/>
  <c r="I173" i="2"/>
  <c r="M173" i="2" l="1"/>
  <c r="C174" i="2" s="1"/>
  <c r="N173" i="2"/>
  <c r="D174" i="2" s="1"/>
  <c r="J174" i="2" s="1"/>
  <c r="L173" i="2"/>
  <c r="B174" i="2" s="1"/>
  <c r="H174" i="2" s="1"/>
  <c r="I174" i="2" l="1"/>
  <c r="K174" i="2" s="1" a="1"/>
  <c r="K174" i="2" s="1"/>
  <c r="N174" i="2" l="1"/>
  <c r="D175" i="2" s="1"/>
  <c r="J175" i="2" s="1"/>
  <c r="L174" i="2"/>
  <c r="B175" i="2" s="1"/>
  <c r="H175" i="2" s="1"/>
  <c r="M174" i="2"/>
  <c r="C175" i="2" s="1"/>
  <c r="I175" i="2" s="1"/>
  <c r="K175" i="2" l="1" a="1"/>
  <c r="K175" i="2" s="1"/>
  <c r="M175" i="2" l="1"/>
  <c r="C176" i="2" s="1"/>
  <c r="I176" i="2" s="1"/>
  <c r="N175" i="2"/>
  <c r="D176" i="2" s="1"/>
  <c r="J176" i="2" s="1"/>
  <c r="L175" i="2"/>
  <c r="B176" i="2" s="1"/>
  <c r="H176" i="2" s="1"/>
  <c r="K176" i="2" s="1" a="1"/>
  <c r="K176" i="2" s="1"/>
  <c r="N176" i="2" l="1"/>
  <c r="D177" i="2" s="1"/>
  <c r="J177" i="2" s="1"/>
  <c r="M176" i="2"/>
  <c r="C177" i="2" s="1"/>
  <c r="I177" i="2" s="1"/>
  <c r="L176" i="2"/>
  <c r="B177" i="2" s="1"/>
  <c r="H177" i="2" s="1"/>
  <c r="K177" i="2" s="1" a="1"/>
  <c r="K177" i="2" s="1"/>
  <c r="M177" i="2" s="1"/>
  <c r="C178" i="2" s="1"/>
  <c r="I178" i="2" l="1"/>
  <c r="N177" i="2"/>
  <c r="D178" i="2" s="1"/>
  <c r="J178" i="2" s="1"/>
  <c r="L177" i="2"/>
  <c r="B178" i="2" s="1"/>
  <c r="H178" i="2" s="1"/>
  <c r="K178" i="2" s="1" a="1"/>
  <c r="K178" i="2" s="1"/>
  <c r="N178" i="2" l="1"/>
  <c r="D179" i="2" s="1"/>
  <c r="J179" i="2" s="1"/>
  <c r="M178" i="2"/>
  <c r="C179" i="2" s="1"/>
  <c r="I179" i="2" s="1"/>
  <c r="L178" i="2"/>
  <c r="B179" i="2" s="1"/>
  <c r="H179" i="2"/>
  <c r="K179" i="2" s="1" a="1"/>
  <c r="K179" i="2" s="1"/>
  <c r="L179" i="2" l="1"/>
  <c r="B180" i="2" s="1"/>
  <c r="H180" i="2" s="1"/>
  <c r="K180" i="2" s="1" a="1"/>
  <c r="K180" i="2" s="1"/>
  <c r="N180" i="2" s="1"/>
  <c r="D181" i="2" s="1"/>
  <c r="J181" i="2" s="1"/>
  <c r="N179" i="2"/>
  <c r="D180" i="2" s="1"/>
  <c r="J180" i="2" s="1"/>
  <c r="M179" i="2"/>
  <c r="C180" i="2" s="1"/>
  <c r="I180" i="2" s="1"/>
  <c r="L180" i="2" l="1"/>
  <c r="B181" i="2" s="1"/>
  <c r="H181" i="2" s="1"/>
  <c r="M180" i="2"/>
  <c r="C181" i="2" s="1"/>
  <c r="I181" i="2" s="1"/>
  <c r="K181" i="2" l="1" a="1"/>
  <c r="K181" i="2" s="1"/>
  <c r="L181" i="2" s="1"/>
  <c r="B182" i="2" s="1"/>
  <c r="H182" i="2" s="1"/>
  <c r="M181" i="2" l="1"/>
  <c r="C182" i="2" s="1"/>
  <c r="N181" i="2"/>
  <c r="D182" i="2" s="1"/>
  <c r="J182" i="2" s="1"/>
  <c r="I182" i="2"/>
  <c r="K182" i="2" s="1" a="1"/>
  <c r="K182" i="2" s="1"/>
  <c r="M182" i="2" l="1"/>
  <c r="C183" i="2" s="1"/>
  <c r="I183" i="2" s="1"/>
  <c r="N182" i="2"/>
  <c r="D183" i="2" s="1"/>
  <c r="J183" i="2" s="1"/>
  <c r="L182" i="2"/>
  <c r="B183" i="2" s="1"/>
  <c r="H183" i="2" s="1"/>
  <c r="K183" i="2" a="1"/>
  <c r="K183" i="2" s="1"/>
  <c r="M183" i="2" l="1"/>
  <c r="C184" i="2" s="1"/>
  <c r="I184" i="2" s="1"/>
  <c r="N183" i="2"/>
  <c r="D184" i="2" s="1"/>
  <c r="J184" i="2" s="1"/>
  <c r="L183" i="2"/>
  <c r="B184" i="2" s="1"/>
  <c r="H184" i="2" s="1"/>
  <c r="K184" i="2" l="1" a="1"/>
  <c r="K184" i="2" s="1"/>
  <c r="N184" i="2" s="1"/>
  <c r="M184" i="2" l="1"/>
  <c r="L18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1CB8EB-CA43-4E75-80A5-29A53F36CDDF}" keepAlive="1" name="Zapytanie — piastek" description="Połączenie z zapytaniem „piastek” w skoroszycie." type="5" refreshedVersion="8" background="1" saveData="1">
    <dbPr connection="Provider=Microsoft.Mashup.OleDb.1;Data Source=$Workbook$;Location=piastek;Extended Properties=&quot;&quot;" command="SELECT * FROM [piastek]"/>
  </connection>
  <connection id="2" xr16:uid="{FB81178D-A848-4AFD-86D4-0D9E9E4C1CFF}" keepAlive="1" name="Zapytanie — piastek (2)" description="Połączenie z zapytaniem „piastek (2)” w skoroszycie." type="5" refreshedVersion="8" background="1" saveData="1">
    <dbPr connection="Provider=Microsoft.Mashup.OleDb.1;Data Source=$Workbook$;Location=&quot;piastek (2)&quot;;Extended Properties=&quot;&quot;" command="SELECT * FROM [piastek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<sst xmlns="http://schemas.openxmlformats.org/spreadsheetml/2006/main" count="222" uniqueCount="38">
  <si>
    <t>kostka</t>
  </si>
  <si>
    <t>orzech</t>
  </si>
  <si>
    <t>postać węgla</t>
  </si>
  <si>
    <t>cena [zł\t]</t>
  </si>
  <si>
    <t>miał</t>
  </si>
  <si>
    <t>data</t>
  </si>
  <si>
    <t>spalanie_w_dobe</t>
  </si>
  <si>
    <t>spalanie</t>
  </si>
  <si>
    <t>stan_kostki_rano</t>
  </si>
  <si>
    <t>stan_orzechu_rano</t>
  </si>
  <si>
    <t>stan_miału_rano</t>
  </si>
  <si>
    <t>czym_palimy</t>
  </si>
  <si>
    <t>stan_kostki_po_dostawie</t>
  </si>
  <si>
    <t>stan_orzechu_po_dostawie</t>
  </si>
  <si>
    <t>stan_miału_po_dostawie</t>
  </si>
  <si>
    <t>stan_kostki_po_paleniu</t>
  </si>
  <si>
    <t>stan_orzecha_po_paleniu</t>
  </si>
  <si>
    <t>stan_miału_po_paleniu</t>
  </si>
  <si>
    <t>dostawa_kostki[t]</t>
  </si>
  <si>
    <t>dostawa_orzechu[t]</t>
  </si>
  <si>
    <t>dostawa_miału[t]</t>
  </si>
  <si>
    <t>Suma końcowa</t>
  </si>
  <si>
    <t>sty</t>
  </si>
  <si>
    <t>lut</t>
  </si>
  <si>
    <t>mar</t>
  </si>
  <si>
    <t>kwi</t>
  </si>
  <si>
    <t>paź</t>
  </si>
  <si>
    <t>lis</t>
  </si>
  <si>
    <t>gru</t>
  </si>
  <si>
    <t>miesiące</t>
  </si>
  <si>
    <t>łączna dostawa węgla kostka</t>
  </si>
  <si>
    <t>łączna dostawa węgla orzech</t>
  </si>
  <si>
    <t>łączna dostawa węgla miał</t>
  </si>
  <si>
    <t>cena</t>
  </si>
  <si>
    <t>suma</t>
  </si>
  <si>
    <t>rodzaj węgla</t>
  </si>
  <si>
    <t>liczba dni</t>
  </si>
  <si>
    <t>LICZBA DNI KIEDY PODTRZYMYWAŁA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</si>
</sst>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164" fontId="0" fillId="2" borderId="0" xfId="0" applyNumberFormat="1" applyFill="1"/>
    <xf numFmtId="0" fontId="0" fillId="0" borderId="0" xfId="0" pivotButton="1"/>
    <xf numFmtId="0" fontId="0" fillId="0" borderId="0" xfId="0" applyNumberFormat="1"/>
    <xf numFmtId="0" fontId="1" fillId="4" borderId="1" xfId="0" applyFont="1" applyFill="1" applyBorder="1"/>
    <xf numFmtId="0" fontId="0" fillId="2" borderId="0" xfId="0" applyNumberFormat="1" applyFill="1"/>
    <xf numFmtId="14" fontId="0" fillId="2" borderId="0" xfId="0" applyNumberFormat="1" applyFill="1"/>
    <xf numFmtId="0" fontId="1" fillId="2" borderId="1" xfId="0" applyFont="1" applyFill="1" applyBorder="1"/>
    <xf numFmtId="0" fontId="0" fillId="3" borderId="0" xfId="0" applyNumberFormat="1" applyFill="1"/>
  </cellXfs>
  <cellStyles count="1">
    <cellStyle name="Normalny" xfId="0" builtinId="0"/>
  </cellStyles>
  <dxfs count="2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Liczba ton każdego rodzaju węgla dostarczonego przez Kopalnię Piastek w okresie od października 2014 do kwietnia 2015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'2'!$Q$17</c:f>
              <c:strCache>
                <c:ptCount val="1"/>
                <c:pt idx="0">
                  <c:v>łączna dostawa węgla kostka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'2'!$P$18:$P$24</c:f>
              <c:strCache>
                <c:ptCount val="7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  <c:pt idx="3">
                  <c:v>sty</c:v>
                </c:pt>
                <c:pt idx="4">
                  <c:v>lut</c:v>
                </c:pt>
                <c:pt idx="5">
                  <c:v>mar</c:v>
                </c:pt>
                <c:pt idx="6">
                  <c:v>kwi</c:v>
                </c:pt>
              </c:strCache>
            </c:strRef>
          </c:cat>
          <c:val>
            <c:numRef>
              <c:f>'2'!$Q$18:$Q$24</c:f>
              <c:numCache>
                <c:formatCode>General</c:formatCode>
                <c:ptCount val="7"/>
                <c:pt idx="0">
                  <c:v>1742</c:v>
                </c:pt>
                <c:pt idx="1">
                  <c:v>2756</c:v>
                </c:pt>
                <c:pt idx="2">
                  <c:v>2696</c:v>
                </c:pt>
                <c:pt idx="3">
                  <c:v>2990</c:v>
                </c:pt>
                <c:pt idx="4">
                  <c:v>2579</c:v>
                </c:pt>
                <c:pt idx="5">
                  <c:v>3332</c:v>
                </c:pt>
                <c:pt idx="6">
                  <c:v>1365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2-4B37-BE79-A4482B58D082}"/>
            </c:ext>
          </c:extLst>
        </c:ser>
        <c:ser>
          <c:idx val="1"/>
          <c:order val="1"/>
          <c:tx>
            <c:strRef>
              <c:f>'2'!$R$17</c:f>
              <c:strCache>
                <c:ptCount val="1"/>
                <c:pt idx="0">
                  <c:v>łączna dostawa węgla orzech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'2'!$P$18:$P$24</c:f>
              <c:strCache>
                <c:ptCount val="7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  <c:pt idx="3">
                  <c:v>sty</c:v>
                </c:pt>
                <c:pt idx="4">
                  <c:v>lut</c:v>
                </c:pt>
                <c:pt idx="5">
                  <c:v>mar</c:v>
                </c:pt>
                <c:pt idx="6">
                  <c:v>kwi</c:v>
                </c:pt>
              </c:strCache>
            </c:strRef>
          </c:cat>
          <c:val>
            <c:numRef>
              <c:f>'2'!$R$18:$R$24</c:f>
              <c:numCache>
                <c:formatCode>General</c:formatCode>
                <c:ptCount val="7"/>
                <c:pt idx="0">
                  <c:v>1658</c:v>
                </c:pt>
                <c:pt idx="1">
                  <c:v>2884</c:v>
                </c:pt>
                <c:pt idx="2">
                  <c:v>2749</c:v>
                </c:pt>
                <c:pt idx="3">
                  <c:v>2870</c:v>
                </c:pt>
                <c:pt idx="4">
                  <c:v>2651</c:v>
                </c:pt>
                <c:pt idx="5">
                  <c:v>3026</c:v>
                </c:pt>
                <c:pt idx="6">
                  <c:v>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2-4B37-BE79-A4482B58D082}"/>
            </c:ext>
          </c:extLst>
        </c:ser>
        <c:ser>
          <c:idx val="2"/>
          <c:order val="2"/>
          <c:tx>
            <c:strRef>
              <c:f>'2'!$S$17</c:f>
              <c:strCache>
                <c:ptCount val="1"/>
                <c:pt idx="0">
                  <c:v>łączna dostawa węgla miał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'2'!$P$18:$P$24</c:f>
              <c:strCache>
                <c:ptCount val="7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  <c:pt idx="3">
                  <c:v>sty</c:v>
                </c:pt>
                <c:pt idx="4">
                  <c:v>lut</c:v>
                </c:pt>
                <c:pt idx="5">
                  <c:v>mar</c:v>
                </c:pt>
                <c:pt idx="6">
                  <c:v>kwi</c:v>
                </c:pt>
              </c:strCache>
            </c:strRef>
          </c:cat>
          <c:val>
            <c:numRef>
              <c:f>'2'!$S$18:$S$24</c:f>
              <c:numCache>
                <c:formatCode>General</c:formatCode>
                <c:ptCount val="7"/>
                <c:pt idx="0">
                  <c:v>915</c:v>
                </c:pt>
                <c:pt idx="1">
                  <c:v>1750</c:v>
                </c:pt>
                <c:pt idx="2">
                  <c:v>1586</c:v>
                </c:pt>
                <c:pt idx="3">
                  <c:v>1646</c:v>
                </c:pt>
                <c:pt idx="4">
                  <c:v>1252</c:v>
                </c:pt>
                <c:pt idx="5">
                  <c:v>1360</c:v>
                </c:pt>
                <c:pt idx="6">
                  <c:v>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C2-4B37-BE79-A4482B58D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8047392"/>
        <c:axId val="988046432"/>
      </c:barChart>
      <c:catAx>
        <c:axId val="98804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8046432"/>
        <c:crosses val="autoZero"/>
        <c:auto val="1"/>
        <c:lblAlgn val="ctr"/>
        <c:lblOffset val="100"/>
        <c:noMultiLvlLbl val="0"/>
      </c:catAx>
      <c:valAx>
        <c:axId val="98804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ton dostarczonego węgla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8804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25</xdr:row>
      <xdr:rowOff>23812</xdr:rowOff>
    </xdr:from>
    <xdr:to>
      <xdr:col>19</xdr:col>
      <xdr:colOff>323850</xdr:colOff>
      <xdr:row>47</xdr:row>
      <xdr:rowOff>38100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4ACE044-D596-D5F1-28CC-782EFBDAB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66.767260995373" createdVersion="8" refreshedVersion="8" minRefreshableVersion="3" recordCount="183" xr:uid="{D2D18B53-BE6E-41F0-B37E-F6CA89578792}">
  <cacheSource type="worksheet">
    <worksheetSource ref="A1:N184" sheet="1"/>
  </cacheSource>
  <cacheFields count="17">
    <cacheField name="data" numFmtId="14">
      <sharedItems containsSemiMixedTypes="0" containsNonDate="0" containsDate="1" containsString="0" minDate="2014-10-15T00:00:00" maxDate="2015-04-16T00:00:00" count="183"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</sharedItems>
      <fieldGroup par="16"/>
    </cacheField>
    <cacheField name="stan_kostki_rano" numFmtId="0">
      <sharedItems containsSemiMixedTypes="0" containsString="0" containsNumber="1" containsInteger="1" minValue="0" maxValue="198"/>
    </cacheField>
    <cacheField name="stan_orzechu_rano" numFmtId="0">
      <sharedItems containsSemiMixedTypes="0" containsString="0" containsNumber="1" containsInteger="1" minValue="0" maxValue="533"/>
    </cacheField>
    <cacheField name="stan_miału_rano" numFmtId="0">
      <sharedItems containsSemiMixedTypes="0" containsString="0" containsNumber="1" containsInteger="1" minValue="7" maxValue="1339"/>
    </cacheField>
    <cacheField name="dostawa_kostki[t]" numFmtId="0">
      <sharedItems containsSemiMixedTypes="0" containsString="0" containsNumber="1" containsInteger="1" minValue="0" maxValue="200"/>
    </cacheField>
    <cacheField name="dostawa_orzechu[t]" numFmtId="0">
      <sharedItems containsSemiMixedTypes="0" containsString="0" containsNumber="1" containsInteger="1" minValue="1" maxValue="191"/>
    </cacheField>
    <cacheField name="dostawa_miału[t]" numFmtId="0">
      <sharedItems containsSemiMixedTypes="0" containsString="0" containsNumber="1" containsInteger="1" minValue="0" maxValue="99"/>
    </cacheField>
    <cacheField name="stan_kostki_po_dostawie" numFmtId="0">
      <sharedItems containsSemiMixedTypes="0" containsString="0" containsNumber="1" containsInteger="1" minValue="5" maxValue="375"/>
    </cacheField>
    <cacheField name="stan_orzechu_po_dostawie" numFmtId="0">
      <sharedItems containsSemiMixedTypes="0" containsString="0" containsNumber="1" containsInteger="1" minValue="45" maxValue="633"/>
    </cacheField>
    <cacheField name="stan_miału_po_dostawie" numFmtId="0">
      <sharedItems containsSemiMixedTypes="0" containsString="0" containsNumber="1" containsInteger="1" minValue="66" maxValue="1367"/>
    </cacheField>
    <cacheField name="czym_palimy" numFmtId="0">
      <sharedItems/>
    </cacheField>
    <cacheField name="stan_kostki_po_paleniu" numFmtId="0">
      <sharedItems containsSemiMixedTypes="0" containsString="0" containsNumber="1" containsInteger="1" minValue="0" maxValue="198"/>
    </cacheField>
    <cacheField name="stan_orzecha_po_paleniu" numFmtId="0">
      <sharedItems containsSemiMixedTypes="0" containsString="0" containsNumber="1" containsInteger="1" minValue="0" maxValue="533"/>
    </cacheField>
    <cacheField name="stan_miału_po_paleniu" numFmtId="0">
      <sharedItems containsSemiMixedTypes="0" containsString="0" containsNumber="1" containsInteger="1" minValue="7" maxValue="1339"/>
    </cacheField>
    <cacheField name="Miesiące (data)" numFmtId="0" databaseField="0">
      <fieldGroup base="0">
        <rangePr groupBy="months" startDate="2014-10-15T00:00:00" endDate="2015-04-16T00:00:00"/>
        <groupItems count="14">
          <s v="&lt;15.10.201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6.04.2015"/>
        </groupItems>
      </fieldGroup>
    </cacheField>
    <cacheField name="Kwartały (data)" numFmtId="0" databaseField="0">
      <fieldGroup base="0">
        <rangePr groupBy="quarters" startDate="2014-10-15T00:00:00" endDate="2015-04-16T00:00:00"/>
        <groupItems count="6">
          <s v="&lt;15.10.2014"/>
          <s v="Kwartał1"/>
          <s v="Kwartał2"/>
          <s v="Kwartał3"/>
          <s v="Kwartał4"/>
          <s v="&gt;16.04.2015"/>
        </groupItems>
      </fieldGroup>
    </cacheField>
    <cacheField name="Lata (data)" numFmtId="0" databaseField="0">
      <fieldGroup base="0">
        <rangePr groupBy="years" startDate="2014-10-15T00:00:00" endDate="2015-04-16T00:00:00"/>
        <groupItems count="4">
          <s v="&lt;15.10.2014"/>
          <s v="2014"/>
          <s v="2015"/>
          <s v="&gt;16.04.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66.93693275463" createdVersion="8" refreshedVersion="8" minRefreshableVersion="3" recordCount="183" xr:uid="{4F803FA2-EF8A-4EFD-8F27-D1F28A02DDC9}">
  <cacheSource type="worksheet">
    <worksheetSource ref="A1:N184" sheet="4"/>
  </cacheSource>
  <cacheFields count="17">
    <cacheField name="data" numFmtId="14">
      <sharedItems containsSemiMixedTypes="0" containsNonDate="0" containsDate="1" containsString="0" minDate="2014-10-15T00:00:00" maxDate="2015-04-16T00:00:00" count="183"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</sharedItems>
      <fieldGroup par="16"/>
    </cacheField>
    <cacheField name="stan_kostki_rano" numFmtId="0">
      <sharedItems containsSemiMixedTypes="0" containsString="0" containsNumber="1" containsInteger="1" minValue="0" maxValue="198"/>
    </cacheField>
    <cacheField name="stan_orzechu_rano" numFmtId="0">
      <sharedItems containsSemiMixedTypes="0" containsString="0" containsNumber="1" containsInteger="1" minValue="0" maxValue="533"/>
    </cacheField>
    <cacheField name="stan_miału_rano" numFmtId="0">
      <sharedItems containsSemiMixedTypes="0" containsString="0" containsNumber="1" containsInteger="1" minValue="7" maxValue="1339"/>
    </cacheField>
    <cacheField name="dostawa_kostki[t]" numFmtId="0">
      <sharedItems containsSemiMixedTypes="0" containsString="0" containsNumber="1" containsInteger="1" minValue="0" maxValue="200"/>
    </cacheField>
    <cacheField name="dostawa_orzechu[t]" numFmtId="0">
      <sharedItems containsSemiMixedTypes="0" containsString="0" containsNumber="1" containsInteger="1" minValue="1" maxValue="191"/>
    </cacheField>
    <cacheField name="dostawa_miału[t]" numFmtId="0">
      <sharedItems containsSemiMixedTypes="0" containsString="0" containsNumber="1" containsInteger="1" minValue="0" maxValue="99"/>
    </cacheField>
    <cacheField name="stan_kostki_po_dostawie" numFmtId="0">
      <sharedItems containsSemiMixedTypes="0" containsString="0" containsNumber="1" containsInteger="1" minValue="5" maxValue="375"/>
    </cacheField>
    <cacheField name="stan_orzechu_po_dostawie" numFmtId="0">
      <sharedItems containsSemiMixedTypes="0" containsString="0" containsNumber="1" containsInteger="1" minValue="45" maxValue="633"/>
    </cacheField>
    <cacheField name="stan_miału_po_dostawie" numFmtId="0">
      <sharedItems containsSemiMixedTypes="0" containsString="0" containsNumber="1" containsInteger="1" minValue="66" maxValue="1367"/>
    </cacheField>
    <cacheField name="czym_palimy" numFmtId="0">
      <sharedItems count="4">
        <s v="kostka"/>
        <s v="orzech"/>
        <s v="miał"/>
        <s v="NIC"/>
      </sharedItems>
    </cacheField>
    <cacheField name="stan_kostki_po_paleniu" numFmtId="0">
      <sharedItems containsSemiMixedTypes="0" containsString="0" containsNumber="1" containsInteger="1" minValue="0" maxValue="198"/>
    </cacheField>
    <cacheField name="stan_orzecha_po_paleniu" numFmtId="0">
      <sharedItems containsSemiMixedTypes="0" containsString="0" containsNumber="1" containsInteger="1" minValue="0" maxValue="533"/>
    </cacheField>
    <cacheField name="stan_miału_po_paleniu" numFmtId="0">
      <sharedItems containsSemiMixedTypes="0" containsString="0" containsNumber="1" containsInteger="1" minValue="7" maxValue="1339"/>
    </cacheField>
    <cacheField name="Miesiące (data)" numFmtId="0" databaseField="0">
      <fieldGroup base="0">
        <rangePr groupBy="months" startDate="2014-10-15T00:00:00" endDate="2015-04-16T00:00:00"/>
        <groupItems count="14">
          <s v="&lt;15.10.201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6.04.2015"/>
        </groupItems>
      </fieldGroup>
    </cacheField>
    <cacheField name="Kwartały (data)" numFmtId="0" databaseField="0">
      <fieldGroup base="0">
        <rangePr groupBy="quarters" startDate="2014-10-15T00:00:00" endDate="2015-04-16T00:00:00"/>
        <groupItems count="6">
          <s v="&lt;15.10.2014"/>
          <s v="Kwartał1"/>
          <s v="Kwartał2"/>
          <s v="Kwartał3"/>
          <s v="Kwartał4"/>
          <s v="&gt;16.04.2015"/>
        </groupItems>
      </fieldGroup>
    </cacheField>
    <cacheField name="Lata (data)" numFmtId="0" databaseField="0">
      <fieldGroup base="0">
        <rangePr groupBy="years" startDate="2014-10-15T00:00:00" endDate="2015-04-16T00:00:00"/>
        <groupItems count="4">
          <s v="&lt;15.10.2014"/>
          <s v="2014"/>
          <s v="2015"/>
          <s v="&gt;16.04.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n v="80"/>
    <n v="80"/>
    <n v="80"/>
    <n v="200"/>
    <n v="120"/>
    <n v="81"/>
    <n v="280"/>
    <n v="200"/>
    <n v="161"/>
    <s v="kostka"/>
    <n v="80"/>
    <n v="200"/>
    <n v="161"/>
  </r>
  <r>
    <x v="1"/>
    <n v="80"/>
    <n v="200"/>
    <n v="161"/>
    <n v="100"/>
    <n v="135"/>
    <n v="33"/>
    <n v="180"/>
    <n v="335"/>
    <n v="194"/>
    <s v="orzech"/>
    <n v="180"/>
    <n v="75"/>
    <n v="194"/>
  </r>
  <r>
    <x v="2"/>
    <n v="180"/>
    <n v="75"/>
    <n v="194"/>
    <n v="50"/>
    <n v="29"/>
    <n v="85"/>
    <n v="230"/>
    <n v="104"/>
    <n v="279"/>
    <s v="kostka"/>
    <n v="30"/>
    <n v="104"/>
    <n v="279"/>
  </r>
  <r>
    <x v="3"/>
    <n v="30"/>
    <n v="104"/>
    <n v="279"/>
    <n v="68"/>
    <n v="107"/>
    <n v="84"/>
    <n v="98"/>
    <n v="211"/>
    <n v="363"/>
    <s v="miał"/>
    <n v="98"/>
    <n v="211"/>
    <n v="43"/>
  </r>
  <r>
    <x v="4"/>
    <n v="98"/>
    <n v="211"/>
    <n v="43"/>
    <n v="75"/>
    <n v="49"/>
    <n v="23"/>
    <n v="173"/>
    <n v="260"/>
    <n v="66"/>
    <s v="orzech"/>
    <n v="173"/>
    <n v="0"/>
    <n v="66"/>
  </r>
  <r>
    <x v="5"/>
    <n v="173"/>
    <n v="0"/>
    <n v="66"/>
    <n v="109"/>
    <n v="90"/>
    <n v="48"/>
    <n v="282"/>
    <n v="90"/>
    <n v="114"/>
    <s v="kostka"/>
    <n v="82"/>
    <n v="90"/>
    <n v="114"/>
  </r>
  <r>
    <x v="6"/>
    <n v="82"/>
    <n v="90"/>
    <n v="114"/>
    <n v="161"/>
    <n v="2"/>
    <n v="16"/>
    <n v="243"/>
    <n v="92"/>
    <n v="130"/>
    <s v="kostka"/>
    <n v="43"/>
    <n v="92"/>
    <n v="130"/>
  </r>
  <r>
    <x v="7"/>
    <n v="43"/>
    <n v="92"/>
    <n v="130"/>
    <n v="97"/>
    <n v="129"/>
    <n v="43"/>
    <n v="140"/>
    <n v="221"/>
    <n v="173"/>
    <s v="NIC"/>
    <n v="140"/>
    <n v="221"/>
    <n v="173"/>
  </r>
  <r>
    <x v="8"/>
    <n v="140"/>
    <n v="221"/>
    <n v="173"/>
    <n v="25"/>
    <n v="186"/>
    <n v="4"/>
    <n v="165"/>
    <n v="407"/>
    <n v="177"/>
    <s v="orzech"/>
    <n v="165"/>
    <n v="147"/>
    <n v="177"/>
  </r>
  <r>
    <x v="9"/>
    <n v="165"/>
    <n v="147"/>
    <n v="177"/>
    <n v="113"/>
    <n v="97"/>
    <n v="97"/>
    <n v="278"/>
    <n v="244"/>
    <n v="274"/>
    <s v="kostka"/>
    <n v="78"/>
    <n v="244"/>
    <n v="274"/>
  </r>
  <r>
    <x v="10"/>
    <n v="78"/>
    <n v="244"/>
    <n v="274"/>
    <n v="70"/>
    <n v="12"/>
    <n v="53"/>
    <n v="148"/>
    <n v="256"/>
    <n v="327"/>
    <s v="miał"/>
    <n v="148"/>
    <n v="256"/>
    <n v="7"/>
  </r>
  <r>
    <x v="11"/>
    <n v="148"/>
    <n v="256"/>
    <n v="7"/>
    <n v="117"/>
    <n v="142"/>
    <n v="90"/>
    <n v="265"/>
    <n v="398"/>
    <n v="97"/>
    <s v="kostka"/>
    <n v="65"/>
    <n v="398"/>
    <n v="97"/>
  </r>
  <r>
    <x v="12"/>
    <n v="65"/>
    <n v="398"/>
    <n v="97"/>
    <n v="189"/>
    <n v="28"/>
    <n v="43"/>
    <n v="254"/>
    <n v="426"/>
    <n v="140"/>
    <s v="kostka"/>
    <n v="54"/>
    <n v="426"/>
    <n v="140"/>
  </r>
  <r>
    <x v="13"/>
    <n v="54"/>
    <n v="426"/>
    <n v="140"/>
    <n v="140"/>
    <n v="191"/>
    <n v="40"/>
    <n v="194"/>
    <n v="617"/>
    <n v="180"/>
    <s v="orzech"/>
    <n v="194"/>
    <n v="357"/>
    <n v="180"/>
  </r>
  <r>
    <x v="14"/>
    <n v="194"/>
    <n v="357"/>
    <n v="180"/>
    <n v="167"/>
    <n v="48"/>
    <n v="30"/>
    <n v="361"/>
    <n v="405"/>
    <n v="210"/>
    <s v="kostka"/>
    <n v="161"/>
    <n v="405"/>
    <n v="210"/>
  </r>
  <r>
    <x v="15"/>
    <n v="161"/>
    <n v="405"/>
    <n v="210"/>
    <n v="0"/>
    <n v="154"/>
    <n v="68"/>
    <n v="161"/>
    <n v="559"/>
    <n v="278"/>
    <s v="orzech"/>
    <n v="161"/>
    <n v="299"/>
    <n v="278"/>
  </r>
  <r>
    <x v="16"/>
    <n v="161"/>
    <n v="299"/>
    <n v="278"/>
    <n v="61"/>
    <n v="139"/>
    <n v="77"/>
    <n v="222"/>
    <n v="438"/>
    <n v="355"/>
    <s v="kostka"/>
    <n v="22"/>
    <n v="438"/>
    <n v="355"/>
  </r>
  <r>
    <x v="17"/>
    <n v="22"/>
    <n v="438"/>
    <n v="355"/>
    <n v="18"/>
    <n v="163"/>
    <n v="75"/>
    <n v="40"/>
    <n v="601"/>
    <n v="430"/>
    <s v="orzech"/>
    <n v="40"/>
    <n v="341"/>
    <n v="430"/>
  </r>
  <r>
    <x v="18"/>
    <n v="40"/>
    <n v="341"/>
    <n v="430"/>
    <n v="43"/>
    <n v="169"/>
    <n v="0"/>
    <n v="83"/>
    <n v="510"/>
    <n v="430"/>
    <s v="orzech"/>
    <n v="83"/>
    <n v="250"/>
    <n v="430"/>
  </r>
  <r>
    <x v="19"/>
    <n v="83"/>
    <n v="250"/>
    <n v="430"/>
    <n v="160"/>
    <n v="135"/>
    <n v="34"/>
    <n v="243"/>
    <n v="385"/>
    <n v="464"/>
    <s v="kostka"/>
    <n v="43"/>
    <n v="385"/>
    <n v="464"/>
  </r>
  <r>
    <x v="20"/>
    <n v="43"/>
    <n v="385"/>
    <n v="464"/>
    <n v="150"/>
    <n v="89"/>
    <n v="17"/>
    <n v="193"/>
    <n v="474"/>
    <n v="481"/>
    <s v="orzech"/>
    <n v="193"/>
    <n v="214"/>
    <n v="481"/>
  </r>
  <r>
    <x v="21"/>
    <n v="193"/>
    <n v="214"/>
    <n v="481"/>
    <n v="57"/>
    <n v="109"/>
    <n v="93"/>
    <n v="250"/>
    <n v="323"/>
    <n v="574"/>
    <s v="kostka"/>
    <n v="50"/>
    <n v="323"/>
    <n v="574"/>
  </r>
  <r>
    <x v="22"/>
    <n v="50"/>
    <n v="323"/>
    <n v="574"/>
    <n v="62"/>
    <n v="80"/>
    <n v="62"/>
    <n v="112"/>
    <n v="403"/>
    <n v="636"/>
    <s v="orzech"/>
    <n v="112"/>
    <n v="143"/>
    <n v="636"/>
  </r>
  <r>
    <x v="23"/>
    <n v="112"/>
    <n v="143"/>
    <n v="636"/>
    <n v="162"/>
    <n v="62"/>
    <n v="88"/>
    <n v="274"/>
    <n v="205"/>
    <n v="724"/>
    <s v="kostka"/>
    <n v="74"/>
    <n v="205"/>
    <n v="724"/>
  </r>
  <r>
    <x v="24"/>
    <n v="74"/>
    <n v="205"/>
    <n v="724"/>
    <n v="142"/>
    <n v="79"/>
    <n v="76"/>
    <n v="216"/>
    <n v="284"/>
    <n v="800"/>
    <s v="kostka"/>
    <n v="16"/>
    <n v="284"/>
    <n v="800"/>
  </r>
  <r>
    <x v="25"/>
    <n v="16"/>
    <n v="284"/>
    <n v="800"/>
    <n v="7"/>
    <n v="30"/>
    <n v="68"/>
    <n v="23"/>
    <n v="314"/>
    <n v="868"/>
    <s v="orzech"/>
    <n v="23"/>
    <n v="54"/>
    <n v="868"/>
  </r>
  <r>
    <x v="26"/>
    <n v="23"/>
    <n v="54"/>
    <n v="868"/>
    <n v="116"/>
    <n v="6"/>
    <n v="88"/>
    <n v="139"/>
    <n v="60"/>
    <n v="956"/>
    <s v="miał"/>
    <n v="139"/>
    <n v="60"/>
    <n v="636"/>
  </r>
  <r>
    <x v="27"/>
    <n v="139"/>
    <n v="60"/>
    <n v="636"/>
    <n v="0"/>
    <n v="1"/>
    <n v="47"/>
    <n v="139"/>
    <n v="61"/>
    <n v="683"/>
    <s v="miał"/>
    <n v="139"/>
    <n v="61"/>
    <n v="363"/>
  </r>
  <r>
    <x v="28"/>
    <n v="139"/>
    <n v="61"/>
    <n v="363"/>
    <n v="78"/>
    <n v="84"/>
    <n v="16"/>
    <n v="217"/>
    <n v="145"/>
    <n v="379"/>
    <s v="kostka"/>
    <n v="17"/>
    <n v="145"/>
    <n v="379"/>
  </r>
  <r>
    <x v="29"/>
    <n v="17"/>
    <n v="145"/>
    <n v="379"/>
    <n v="112"/>
    <n v="140"/>
    <n v="97"/>
    <n v="129"/>
    <n v="285"/>
    <n v="476"/>
    <s v="orzech"/>
    <n v="129"/>
    <n v="25"/>
    <n v="476"/>
  </r>
  <r>
    <x v="30"/>
    <n v="129"/>
    <n v="25"/>
    <n v="476"/>
    <n v="109"/>
    <n v="74"/>
    <n v="53"/>
    <n v="238"/>
    <n v="99"/>
    <n v="529"/>
    <s v="kostka"/>
    <n v="38"/>
    <n v="99"/>
    <n v="529"/>
  </r>
  <r>
    <x v="31"/>
    <n v="38"/>
    <n v="99"/>
    <n v="529"/>
    <n v="121"/>
    <n v="77"/>
    <n v="70"/>
    <n v="159"/>
    <n v="176"/>
    <n v="599"/>
    <s v="miał"/>
    <n v="159"/>
    <n v="176"/>
    <n v="279"/>
  </r>
  <r>
    <x v="32"/>
    <n v="159"/>
    <n v="176"/>
    <n v="279"/>
    <n v="106"/>
    <n v="89"/>
    <n v="75"/>
    <n v="265"/>
    <n v="265"/>
    <n v="354"/>
    <s v="kostka"/>
    <n v="65"/>
    <n v="265"/>
    <n v="354"/>
  </r>
  <r>
    <x v="33"/>
    <n v="65"/>
    <n v="265"/>
    <n v="354"/>
    <n v="57"/>
    <n v="119"/>
    <n v="64"/>
    <n v="122"/>
    <n v="384"/>
    <n v="418"/>
    <s v="orzech"/>
    <n v="122"/>
    <n v="124"/>
    <n v="418"/>
  </r>
  <r>
    <x v="34"/>
    <n v="122"/>
    <n v="124"/>
    <n v="418"/>
    <n v="26"/>
    <n v="87"/>
    <n v="84"/>
    <n v="148"/>
    <n v="211"/>
    <n v="502"/>
    <s v="miał"/>
    <n v="148"/>
    <n v="211"/>
    <n v="182"/>
  </r>
  <r>
    <x v="35"/>
    <n v="148"/>
    <n v="211"/>
    <n v="182"/>
    <n v="79"/>
    <n v="171"/>
    <n v="75"/>
    <n v="227"/>
    <n v="382"/>
    <n v="257"/>
    <s v="kostka"/>
    <n v="27"/>
    <n v="382"/>
    <n v="257"/>
  </r>
  <r>
    <x v="36"/>
    <n v="27"/>
    <n v="382"/>
    <n v="257"/>
    <n v="192"/>
    <n v="151"/>
    <n v="45"/>
    <n v="219"/>
    <n v="533"/>
    <n v="302"/>
    <s v="kostka"/>
    <n v="19"/>
    <n v="533"/>
    <n v="302"/>
  </r>
  <r>
    <x v="37"/>
    <n v="19"/>
    <n v="533"/>
    <n v="302"/>
    <n v="9"/>
    <n v="64"/>
    <n v="22"/>
    <n v="28"/>
    <n v="597"/>
    <n v="324"/>
    <s v="orzech"/>
    <n v="28"/>
    <n v="337"/>
    <n v="324"/>
  </r>
  <r>
    <x v="38"/>
    <n v="28"/>
    <n v="337"/>
    <n v="324"/>
    <n v="123"/>
    <n v="150"/>
    <n v="10"/>
    <n v="151"/>
    <n v="487"/>
    <n v="334"/>
    <s v="orzech"/>
    <n v="151"/>
    <n v="227"/>
    <n v="334"/>
  </r>
  <r>
    <x v="39"/>
    <n v="151"/>
    <n v="227"/>
    <n v="334"/>
    <n v="87"/>
    <n v="123"/>
    <n v="33"/>
    <n v="238"/>
    <n v="350"/>
    <n v="367"/>
    <s v="kostka"/>
    <n v="38"/>
    <n v="350"/>
    <n v="367"/>
  </r>
  <r>
    <x v="40"/>
    <n v="38"/>
    <n v="350"/>
    <n v="367"/>
    <n v="165"/>
    <n v="88"/>
    <n v="13"/>
    <n v="203"/>
    <n v="438"/>
    <n v="380"/>
    <s v="kostka"/>
    <n v="3"/>
    <n v="438"/>
    <n v="380"/>
  </r>
  <r>
    <x v="41"/>
    <n v="3"/>
    <n v="438"/>
    <n v="380"/>
    <n v="144"/>
    <n v="78"/>
    <n v="82"/>
    <n v="147"/>
    <n v="516"/>
    <n v="462"/>
    <s v="orzech"/>
    <n v="147"/>
    <n v="256"/>
    <n v="462"/>
  </r>
  <r>
    <x v="42"/>
    <n v="147"/>
    <n v="256"/>
    <n v="462"/>
    <n v="54"/>
    <n v="38"/>
    <n v="68"/>
    <n v="201"/>
    <n v="294"/>
    <n v="530"/>
    <s v="kostka"/>
    <n v="1"/>
    <n v="294"/>
    <n v="530"/>
  </r>
  <r>
    <x v="43"/>
    <n v="1"/>
    <n v="294"/>
    <n v="530"/>
    <n v="188"/>
    <n v="44"/>
    <n v="86"/>
    <n v="189"/>
    <n v="338"/>
    <n v="616"/>
    <s v="orzech"/>
    <n v="189"/>
    <n v="78"/>
    <n v="616"/>
  </r>
  <r>
    <x v="44"/>
    <n v="189"/>
    <n v="78"/>
    <n v="616"/>
    <n v="165"/>
    <n v="170"/>
    <n v="62"/>
    <n v="354"/>
    <n v="248"/>
    <n v="678"/>
    <s v="kostka"/>
    <n v="154"/>
    <n v="248"/>
    <n v="678"/>
  </r>
  <r>
    <x v="45"/>
    <n v="154"/>
    <n v="248"/>
    <n v="678"/>
    <n v="24"/>
    <n v="94"/>
    <n v="87"/>
    <n v="178"/>
    <n v="342"/>
    <n v="765"/>
    <s v="orzech"/>
    <n v="178"/>
    <n v="82"/>
    <n v="765"/>
  </r>
  <r>
    <x v="46"/>
    <n v="178"/>
    <n v="82"/>
    <n v="765"/>
    <n v="0"/>
    <n v="120"/>
    <n v="60"/>
    <n v="178"/>
    <n v="202"/>
    <n v="825"/>
    <s v="miał"/>
    <n v="178"/>
    <n v="202"/>
    <n v="505"/>
  </r>
  <r>
    <x v="47"/>
    <n v="178"/>
    <n v="202"/>
    <n v="505"/>
    <n v="101"/>
    <n v="53"/>
    <n v="62"/>
    <n v="279"/>
    <n v="255"/>
    <n v="567"/>
    <s v="kostka"/>
    <n v="79"/>
    <n v="255"/>
    <n v="567"/>
  </r>
  <r>
    <x v="48"/>
    <n v="79"/>
    <n v="255"/>
    <n v="567"/>
    <n v="67"/>
    <n v="147"/>
    <n v="20"/>
    <n v="146"/>
    <n v="402"/>
    <n v="587"/>
    <s v="orzech"/>
    <n v="146"/>
    <n v="142"/>
    <n v="587"/>
  </r>
  <r>
    <x v="49"/>
    <n v="146"/>
    <n v="142"/>
    <n v="587"/>
    <n v="109"/>
    <n v="99"/>
    <n v="70"/>
    <n v="255"/>
    <n v="241"/>
    <n v="657"/>
    <s v="kostka"/>
    <n v="55"/>
    <n v="241"/>
    <n v="657"/>
  </r>
  <r>
    <x v="50"/>
    <n v="55"/>
    <n v="241"/>
    <n v="657"/>
    <n v="22"/>
    <n v="16"/>
    <n v="59"/>
    <n v="77"/>
    <n v="257"/>
    <n v="716"/>
    <s v="miał"/>
    <n v="77"/>
    <n v="257"/>
    <n v="396"/>
  </r>
  <r>
    <x v="51"/>
    <n v="77"/>
    <n v="257"/>
    <n v="396"/>
    <n v="5"/>
    <n v="91"/>
    <n v="73"/>
    <n v="82"/>
    <n v="348"/>
    <n v="469"/>
    <s v="orzech"/>
    <n v="82"/>
    <n v="88"/>
    <n v="469"/>
  </r>
  <r>
    <x v="52"/>
    <n v="82"/>
    <n v="88"/>
    <n v="469"/>
    <n v="105"/>
    <n v="154"/>
    <n v="48"/>
    <n v="187"/>
    <n v="242"/>
    <n v="517"/>
    <s v="miał"/>
    <n v="187"/>
    <n v="242"/>
    <n v="197"/>
  </r>
  <r>
    <x v="53"/>
    <n v="187"/>
    <n v="242"/>
    <n v="197"/>
    <n v="108"/>
    <n v="5"/>
    <n v="71"/>
    <n v="295"/>
    <n v="247"/>
    <n v="268"/>
    <s v="kostka"/>
    <n v="95"/>
    <n v="247"/>
    <n v="268"/>
  </r>
  <r>
    <x v="54"/>
    <n v="95"/>
    <n v="247"/>
    <n v="268"/>
    <n v="64"/>
    <n v="37"/>
    <n v="89"/>
    <n v="159"/>
    <n v="284"/>
    <n v="357"/>
    <s v="orzech"/>
    <n v="159"/>
    <n v="24"/>
    <n v="357"/>
  </r>
  <r>
    <x v="55"/>
    <n v="159"/>
    <n v="24"/>
    <n v="357"/>
    <n v="114"/>
    <n v="140"/>
    <n v="36"/>
    <n v="273"/>
    <n v="164"/>
    <n v="393"/>
    <s v="kostka"/>
    <n v="73"/>
    <n v="164"/>
    <n v="393"/>
  </r>
  <r>
    <x v="56"/>
    <n v="73"/>
    <n v="164"/>
    <n v="393"/>
    <n v="147"/>
    <n v="140"/>
    <n v="61"/>
    <n v="220"/>
    <n v="304"/>
    <n v="454"/>
    <s v="kostka"/>
    <n v="20"/>
    <n v="304"/>
    <n v="454"/>
  </r>
  <r>
    <x v="57"/>
    <n v="20"/>
    <n v="304"/>
    <n v="454"/>
    <n v="69"/>
    <n v="120"/>
    <n v="52"/>
    <n v="89"/>
    <n v="424"/>
    <n v="506"/>
    <s v="orzech"/>
    <n v="89"/>
    <n v="164"/>
    <n v="506"/>
  </r>
  <r>
    <x v="58"/>
    <n v="89"/>
    <n v="164"/>
    <n v="506"/>
    <n v="101"/>
    <n v="39"/>
    <n v="10"/>
    <n v="190"/>
    <n v="203"/>
    <n v="516"/>
    <s v="miał"/>
    <n v="190"/>
    <n v="203"/>
    <n v="196"/>
  </r>
  <r>
    <x v="59"/>
    <n v="190"/>
    <n v="203"/>
    <n v="196"/>
    <n v="158"/>
    <n v="36"/>
    <n v="79"/>
    <n v="348"/>
    <n v="239"/>
    <n v="275"/>
    <s v="kostka"/>
    <n v="148"/>
    <n v="239"/>
    <n v="275"/>
  </r>
  <r>
    <x v="60"/>
    <n v="148"/>
    <n v="239"/>
    <n v="275"/>
    <n v="79"/>
    <n v="105"/>
    <n v="73"/>
    <n v="227"/>
    <n v="344"/>
    <n v="348"/>
    <s v="kostka"/>
    <n v="27"/>
    <n v="344"/>
    <n v="348"/>
  </r>
  <r>
    <x v="61"/>
    <n v="27"/>
    <n v="344"/>
    <n v="348"/>
    <n v="5"/>
    <n v="24"/>
    <n v="43"/>
    <n v="32"/>
    <n v="368"/>
    <n v="391"/>
    <s v="orzech"/>
    <n v="32"/>
    <n v="108"/>
    <n v="391"/>
  </r>
  <r>
    <x v="62"/>
    <n v="32"/>
    <n v="108"/>
    <n v="391"/>
    <n v="68"/>
    <n v="112"/>
    <n v="25"/>
    <n v="100"/>
    <n v="220"/>
    <n v="416"/>
    <s v="miał"/>
    <n v="100"/>
    <n v="220"/>
    <n v="96"/>
  </r>
  <r>
    <x v="63"/>
    <n v="100"/>
    <n v="220"/>
    <n v="96"/>
    <n v="37"/>
    <n v="57"/>
    <n v="81"/>
    <n v="137"/>
    <n v="277"/>
    <n v="177"/>
    <s v="orzech"/>
    <n v="137"/>
    <n v="17"/>
    <n v="177"/>
  </r>
  <r>
    <x v="64"/>
    <n v="137"/>
    <n v="17"/>
    <n v="177"/>
    <n v="188"/>
    <n v="28"/>
    <n v="7"/>
    <n v="325"/>
    <n v="45"/>
    <n v="184"/>
    <s v="kostka"/>
    <n v="125"/>
    <n v="45"/>
    <n v="184"/>
  </r>
  <r>
    <x v="65"/>
    <n v="125"/>
    <n v="45"/>
    <n v="184"/>
    <n v="167"/>
    <n v="41"/>
    <n v="45"/>
    <n v="292"/>
    <n v="86"/>
    <n v="229"/>
    <s v="kostka"/>
    <n v="92"/>
    <n v="86"/>
    <n v="229"/>
  </r>
  <r>
    <x v="66"/>
    <n v="92"/>
    <n v="86"/>
    <n v="229"/>
    <n v="197"/>
    <n v="82"/>
    <n v="43"/>
    <n v="289"/>
    <n v="168"/>
    <n v="272"/>
    <s v="kostka"/>
    <n v="89"/>
    <n v="168"/>
    <n v="272"/>
  </r>
  <r>
    <x v="67"/>
    <n v="89"/>
    <n v="168"/>
    <n v="272"/>
    <n v="54"/>
    <n v="130"/>
    <n v="50"/>
    <n v="143"/>
    <n v="298"/>
    <n v="322"/>
    <s v="orzech"/>
    <n v="143"/>
    <n v="38"/>
    <n v="322"/>
  </r>
  <r>
    <x v="68"/>
    <n v="143"/>
    <n v="38"/>
    <n v="322"/>
    <n v="19"/>
    <n v="153"/>
    <n v="65"/>
    <n v="162"/>
    <n v="191"/>
    <n v="387"/>
    <s v="miał"/>
    <n v="162"/>
    <n v="191"/>
    <n v="67"/>
  </r>
  <r>
    <x v="69"/>
    <n v="162"/>
    <n v="191"/>
    <n v="67"/>
    <n v="27"/>
    <n v="160"/>
    <n v="81"/>
    <n v="189"/>
    <n v="351"/>
    <n v="148"/>
    <s v="orzech"/>
    <n v="189"/>
    <n v="91"/>
    <n v="148"/>
  </r>
  <r>
    <x v="70"/>
    <n v="189"/>
    <n v="91"/>
    <n v="148"/>
    <n v="11"/>
    <n v="140"/>
    <n v="77"/>
    <n v="200"/>
    <n v="231"/>
    <n v="225"/>
    <s v="kostka"/>
    <n v="0"/>
    <n v="231"/>
    <n v="225"/>
  </r>
  <r>
    <x v="71"/>
    <n v="0"/>
    <n v="231"/>
    <n v="225"/>
    <n v="182"/>
    <n v="50"/>
    <n v="22"/>
    <n v="182"/>
    <n v="281"/>
    <n v="247"/>
    <s v="orzech"/>
    <n v="182"/>
    <n v="21"/>
    <n v="247"/>
  </r>
  <r>
    <x v="72"/>
    <n v="182"/>
    <n v="21"/>
    <n v="247"/>
    <n v="63"/>
    <n v="83"/>
    <n v="69"/>
    <n v="245"/>
    <n v="104"/>
    <n v="316"/>
    <s v="kostka"/>
    <n v="45"/>
    <n v="104"/>
    <n v="316"/>
  </r>
  <r>
    <x v="73"/>
    <n v="45"/>
    <n v="104"/>
    <n v="316"/>
    <n v="33"/>
    <n v="59"/>
    <n v="46"/>
    <n v="78"/>
    <n v="163"/>
    <n v="362"/>
    <s v="miał"/>
    <n v="78"/>
    <n v="163"/>
    <n v="42"/>
  </r>
  <r>
    <x v="74"/>
    <n v="78"/>
    <n v="163"/>
    <n v="42"/>
    <n v="119"/>
    <n v="57"/>
    <n v="67"/>
    <n v="197"/>
    <n v="220"/>
    <n v="109"/>
    <s v="NIC"/>
    <n v="197"/>
    <n v="220"/>
    <n v="109"/>
  </r>
  <r>
    <x v="75"/>
    <n v="197"/>
    <n v="220"/>
    <n v="109"/>
    <n v="58"/>
    <n v="176"/>
    <n v="16"/>
    <n v="255"/>
    <n v="396"/>
    <n v="125"/>
    <s v="kostka"/>
    <n v="55"/>
    <n v="396"/>
    <n v="125"/>
  </r>
  <r>
    <x v="76"/>
    <n v="55"/>
    <n v="396"/>
    <n v="125"/>
    <n v="174"/>
    <n v="61"/>
    <n v="46"/>
    <n v="229"/>
    <n v="457"/>
    <n v="171"/>
    <s v="kostka"/>
    <n v="29"/>
    <n v="457"/>
    <n v="171"/>
  </r>
  <r>
    <x v="77"/>
    <n v="29"/>
    <n v="457"/>
    <n v="171"/>
    <n v="45"/>
    <n v="154"/>
    <n v="0"/>
    <n v="74"/>
    <n v="611"/>
    <n v="171"/>
    <s v="orzech"/>
    <n v="74"/>
    <n v="351"/>
    <n v="171"/>
  </r>
  <r>
    <x v="78"/>
    <n v="74"/>
    <n v="351"/>
    <n v="171"/>
    <n v="94"/>
    <n v="120"/>
    <n v="95"/>
    <n v="168"/>
    <n v="471"/>
    <n v="266"/>
    <s v="orzech"/>
    <n v="168"/>
    <n v="211"/>
    <n v="266"/>
  </r>
  <r>
    <x v="79"/>
    <n v="168"/>
    <n v="211"/>
    <n v="266"/>
    <n v="12"/>
    <n v="5"/>
    <n v="42"/>
    <n v="180"/>
    <n v="216"/>
    <n v="308"/>
    <s v="NIC"/>
    <n v="180"/>
    <n v="216"/>
    <n v="308"/>
  </r>
  <r>
    <x v="80"/>
    <n v="180"/>
    <n v="216"/>
    <n v="308"/>
    <n v="80"/>
    <n v="170"/>
    <n v="96"/>
    <n v="260"/>
    <n v="386"/>
    <n v="404"/>
    <s v="kostka"/>
    <n v="60"/>
    <n v="386"/>
    <n v="404"/>
  </r>
  <r>
    <x v="81"/>
    <n v="60"/>
    <n v="386"/>
    <n v="404"/>
    <n v="80"/>
    <n v="10"/>
    <n v="30"/>
    <n v="140"/>
    <n v="396"/>
    <n v="434"/>
    <s v="orzech"/>
    <n v="140"/>
    <n v="136"/>
    <n v="434"/>
  </r>
  <r>
    <x v="82"/>
    <n v="140"/>
    <n v="136"/>
    <n v="434"/>
    <n v="90"/>
    <n v="80"/>
    <n v="31"/>
    <n v="230"/>
    <n v="216"/>
    <n v="465"/>
    <s v="kostka"/>
    <n v="30"/>
    <n v="216"/>
    <n v="465"/>
  </r>
  <r>
    <x v="83"/>
    <n v="30"/>
    <n v="216"/>
    <n v="465"/>
    <n v="130"/>
    <n v="163"/>
    <n v="92"/>
    <n v="160"/>
    <n v="379"/>
    <n v="557"/>
    <s v="orzech"/>
    <n v="160"/>
    <n v="119"/>
    <n v="557"/>
  </r>
  <r>
    <x v="84"/>
    <n v="160"/>
    <n v="119"/>
    <n v="557"/>
    <n v="54"/>
    <n v="7"/>
    <n v="79"/>
    <n v="214"/>
    <n v="126"/>
    <n v="636"/>
    <s v="kostka"/>
    <n v="14"/>
    <n v="126"/>
    <n v="636"/>
  </r>
  <r>
    <x v="85"/>
    <n v="14"/>
    <n v="126"/>
    <n v="636"/>
    <n v="88"/>
    <n v="125"/>
    <n v="97"/>
    <n v="102"/>
    <n v="251"/>
    <n v="733"/>
    <s v="miał"/>
    <n v="102"/>
    <n v="251"/>
    <n v="413"/>
  </r>
  <r>
    <x v="86"/>
    <n v="102"/>
    <n v="251"/>
    <n v="413"/>
    <n v="83"/>
    <n v="85"/>
    <n v="99"/>
    <n v="185"/>
    <n v="336"/>
    <n v="512"/>
    <s v="orzech"/>
    <n v="185"/>
    <n v="76"/>
    <n v="512"/>
  </r>
  <r>
    <x v="87"/>
    <n v="185"/>
    <n v="76"/>
    <n v="512"/>
    <n v="139"/>
    <n v="155"/>
    <n v="11"/>
    <n v="324"/>
    <n v="231"/>
    <n v="523"/>
    <s v="kostka"/>
    <n v="124"/>
    <n v="231"/>
    <n v="523"/>
  </r>
  <r>
    <x v="88"/>
    <n v="124"/>
    <n v="231"/>
    <n v="523"/>
    <n v="82"/>
    <n v="43"/>
    <n v="93"/>
    <n v="206"/>
    <n v="274"/>
    <n v="616"/>
    <s v="kostka"/>
    <n v="6"/>
    <n v="274"/>
    <n v="616"/>
  </r>
  <r>
    <x v="89"/>
    <n v="6"/>
    <n v="274"/>
    <n v="616"/>
    <n v="23"/>
    <n v="40"/>
    <n v="83"/>
    <n v="29"/>
    <n v="314"/>
    <n v="699"/>
    <s v="orzech"/>
    <n v="29"/>
    <n v="54"/>
    <n v="699"/>
  </r>
  <r>
    <x v="90"/>
    <n v="29"/>
    <n v="54"/>
    <n v="699"/>
    <n v="118"/>
    <n v="165"/>
    <n v="56"/>
    <n v="147"/>
    <n v="219"/>
    <n v="755"/>
    <s v="miał"/>
    <n v="147"/>
    <n v="219"/>
    <n v="435"/>
  </r>
  <r>
    <x v="91"/>
    <n v="147"/>
    <n v="219"/>
    <n v="435"/>
    <n v="59"/>
    <n v="35"/>
    <n v="17"/>
    <n v="206"/>
    <n v="254"/>
    <n v="452"/>
    <s v="kostka"/>
    <n v="6"/>
    <n v="254"/>
    <n v="452"/>
  </r>
  <r>
    <x v="92"/>
    <n v="6"/>
    <n v="254"/>
    <n v="452"/>
    <n v="127"/>
    <n v="58"/>
    <n v="39"/>
    <n v="133"/>
    <n v="312"/>
    <n v="491"/>
    <s v="orzech"/>
    <n v="133"/>
    <n v="52"/>
    <n v="491"/>
  </r>
  <r>
    <x v="93"/>
    <n v="133"/>
    <n v="52"/>
    <n v="491"/>
    <n v="121"/>
    <n v="175"/>
    <n v="77"/>
    <n v="254"/>
    <n v="227"/>
    <n v="568"/>
    <s v="kostka"/>
    <n v="54"/>
    <n v="227"/>
    <n v="568"/>
  </r>
  <r>
    <x v="94"/>
    <n v="54"/>
    <n v="227"/>
    <n v="568"/>
    <n v="80"/>
    <n v="101"/>
    <n v="3"/>
    <n v="134"/>
    <n v="328"/>
    <n v="571"/>
    <s v="orzech"/>
    <n v="134"/>
    <n v="68"/>
    <n v="571"/>
  </r>
  <r>
    <x v="95"/>
    <n v="134"/>
    <n v="68"/>
    <n v="571"/>
    <n v="189"/>
    <n v="161"/>
    <n v="53"/>
    <n v="323"/>
    <n v="229"/>
    <n v="624"/>
    <s v="kostka"/>
    <n v="123"/>
    <n v="229"/>
    <n v="624"/>
  </r>
  <r>
    <x v="96"/>
    <n v="123"/>
    <n v="229"/>
    <n v="624"/>
    <n v="18"/>
    <n v="61"/>
    <n v="19"/>
    <n v="141"/>
    <n v="290"/>
    <n v="643"/>
    <s v="orzech"/>
    <n v="141"/>
    <n v="30"/>
    <n v="643"/>
  </r>
  <r>
    <x v="97"/>
    <n v="141"/>
    <n v="30"/>
    <n v="643"/>
    <n v="68"/>
    <n v="127"/>
    <n v="3"/>
    <n v="209"/>
    <n v="157"/>
    <n v="646"/>
    <s v="kostka"/>
    <n v="9"/>
    <n v="157"/>
    <n v="646"/>
  </r>
  <r>
    <x v="98"/>
    <n v="9"/>
    <n v="157"/>
    <n v="646"/>
    <n v="37"/>
    <n v="112"/>
    <n v="68"/>
    <n v="46"/>
    <n v="269"/>
    <n v="714"/>
    <s v="orzech"/>
    <n v="46"/>
    <n v="9"/>
    <n v="714"/>
  </r>
  <r>
    <x v="99"/>
    <n v="46"/>
    <n v="9"/>
    <n v="714"/>
    <n v="40"/>
    <n v="140"/>
    <n v="15"/>
    <n v="86"/>
    <n v="149"/>
    <n v="729"/>
    <s v="miał"/>
    <n v="86"/>
    <n v="149"/>
    <n v="409"/>
  </r>
  <r>
    <x v="100"/>
    <n v="86"/>
    <n v="149"/>
    <n v="409"/>
    <n v="189"/>
    <n v="87"/>
    <n v="64"/>
    <n v="275"/>
    <n v="236"/>
    <n v="473"/>
    <s v="kostka"/>
    <n v="75"/>
    <n v="236"/>
    <n v="473"/>
  </r>
  <r>
    <x v="101"/>
    <n v="75"/>
    <n v="236"/>
    <n v="473"/>
    <n v="145"/>
    <n v="18"/>
    <n v="1"/>
    <n v="220"/>
    <n v="254"/>
    <n v="474"/>
    <s v="kostka"/>
    <n v="20"/>
    <n v="254"/>
    <n v="474"/>
  </r>
  <r>
    <x v="102"/>
    <n v="20"/>
    <n v="254"/>
    <n v="474"/>
    <n v="148"/>
    <n v="27"/>
    <n v="13"/>
    <n v="168"/>
    <n v="281"/>
    <n v="487"/>
    <s v="orzech"/>
    <n v="168"/>
    <n v="21"/>
    <n v="487"/>
  </r>
  <r>
    <x v="103"/>
    <n v="168"/>
    <n v="21"/>
    <n v="487"/>
    <n v="127"/>
    <n v="161"/>
    <n v="31"/>
    <n v="295"/>
    <n v="182"/>
    <n v="518"/>
    <s v="kostka"/>
    <n v="95"/>
    <n v="182"/>
    <n v="518"/>
  </r>
  <r>
    <x v="104"/>
    <n v="95"/>
    <n v="182"/>
    <n v="518"/>
    <n v="131"/>
    <n v="1"/>
    <n v="98"/>
    <n v="226"/>
    <n v="183"/>
    <n v="616"/>
    <s v="kostka"/>
    <n v="26"/>
    <n v="183"/>
    <n v="616"/>
  </r>
  <r>
    <x v="105"/>
    <n v="26"/>
    <n v="183"/>
    <n v="616"/>
    <n v="142"/>
    <n v="131"/>
    <n v="62"/>
    <n v="168"/>
    <n v="314"/>
    <n v="678"/>
    <s v="orzech"/>
    <n v="168"/>
    <n v="54"/>
    <n v="678"/>
  </r>
  <r>
    <x v="106"/>
    <n v="168"/>
    <n v="54"/>
    <n v="678"/>
    <n v="121"/>
    <n v="150"/>
    <n v="25"/>
    <n v="289"/>
    <n v="204"/>
    <n v="703"/>
    <s v="kostka"/>
    <n v="89"/>
    <n v="204"/>
    <n v="703"/>
  </r>
  <r>
    <x v="107"/>
    <n v="89"/>
    <n v="204"/>
    <n v="703"/>
    <n v="33"/>
    <n v="113"/>
    <n v="62"/>
    <n v="122"/>
    <n v="317"/>
    <n v="765"/>
    <s v="orzech"/>
    <n v="122"/>
    <n v="57"/>
    <n v="765"/>
  </r>
  <r>
    <x v="108"/>
    <n v="122"/>
    <n v="57"/>
    <n v="765"/>
    <n v="142"/>
    <n v="44"/>
    <n v="92"/>
    <n v="264"/>
    <n v="101"/>
    <n v="857"/>
    <s v="kostka"/>
    <n v="64"/>
    <n v="101"/>
    <n v="857"/>
  </r>
  <r>
    <x v="109"/>
    <n v="64"/>
    <n v="101"/>
    <n v="857"/>
    <n v="119"/>
    <n v="167"/>
    <n v="64"/>
    <n v="183"/>
    <n v="268"/>
    <n v="921"/>
    <s v="orzech"/>
    <n v="183"/>
    <n v="8"/>
    <n v="921"/>
  </r>
  <r>
    <x v="110"/>
    <n v="183"/>
    <n v="8"/>
    <n v="921"/>
    <n v="54"/>
    <n v="109"/>
    <n v="65"/>
    <n v="237"/>
    <n v="117"/>
    <n v="986"/>
    <s v="kostka"/>
    <n v="37"/>
    <n v="117"/>
    <n v="986"/>
  </r>
  <r>
    <x v="111"/>
    <n v="37"/>
    <n v="117"/>
    <n v="986"/>
    <n v="53"/>
    <n v="94"/>
    <n v="43"/>
    <n v="90"/>
    <n v="211"/>
    <n v="1029"/>
    <s v="miał"/>
    <n v="90"/>
    <n v="211"/>
    <n v="709"/>
  </r>
  <r>
    <x v="112"/>
    <n v="90"/>
    <n v="211"/>
    <n v="709"/>
    <n v="165"/>
    <n v="101"/>
    <n v="8"/>
    <n v="255"/>
    <n v="312"/>
    <n v="717"/>
    <s v="kostka"/>
    <n v="55"/>
    <n v="312"/>
    <n v="717"/>
  </r>
  <r>
    <x v="113"/>
    <n v="55"/>
    <n v="312"/>
    <n v="717"/>
    <n v="159"/>
    <n v="68"/>
    <n v="96"/>
    <n v="214"/>
    <n v="380"/>
    <n v="813"/>
    <s v="kostka"/>
    <n v="14"/>
    <n v="380"/>
    <n v="813"/>
  </r>
  <r>
    <x v="114"/>
    <n v="14"/>
    <n v="380"/>
    <n v="813"/>
    <n v="79"/>
    <n v="119"/>
    <n v="35"/>
    <n v="93"/>
    <n v="499"/>
    <n v="848"/>
    <s v="orzech"/>
    <n v="93"/>
    <n v="239"/>
    <n v="848"/>
  </r>
  <r>
    <x v="115"/>
    <n v="93"/>
    <n v="239"/>
    <n v="848"/>
    <n v="128"/>
    <n v="148"/>
    <n v="77"/>
    <n v="221"/>
    <n v="387"/>
    <n v="925"/>
    <s v="kostka"/>
    <n v="21"/>
    <n v="387"/>
    <n v="925"/>
  </r>
  <r>
    <x v="116"/>
    <n v="21"/>
    <n v="387"/>
    <n v="925"/>
    <n v="195"/>
    <n v="39"/>
    <n v="77"/>
    <n v="216"/>
    <n v="426"/>
    <n v="1002"/>
    <s v="kostka"/>
    <n v="16"/>
    <n v="426"/>
    <n v="1002"/>
  </r>
  <r>
    <x v="117"/>
    <n v="16"/>
    <n v="426"/>
    <n v="1002"/>
    <n v="87"/>
    <n v="8"/>
    <n v="17"/>
    <n v="103"/>
    <n v="434"/>
    <n v="1019"/>
    <s v="orzech"/>
    <n v="103"/>
    <n v="174"/>
    <n v="1019"/>
  </r>
  <r>
    <x v="118"/>
    <n v="103"/>
    <n v="174"/>
    <n v="1019"/>
    <n v="114"/>
    <n v="124"/>
    <n v="94"/>
    <n v="217"/>
    <n v="298"/>
    <n v="1113"/>
    <s v="kostka"/>
    <n v="17"/>
    <n v="298"/>
    <n v="1113"/>
  </r>
  <r>
    <x v="119"/>
    <n v="17"/>
    <n v="298"/>
    <n v="1113"/>
    <n v="126"/>
    <n v="122"/>
    <n v="39"/>
    <n v="143"/>
    <n v="420"/>
    <n v="1152"/>
    <s v="orzech"/>
    <n v="143"/>
    <n v="160"/>
    <n v="1152"/>
  </r>
  <r>
    <x v="120"/>
    <n v="143"/>
    <n v="160"/>
    <n v="1152"/>
    <n v="96"/>
    <n v="113"/>
    <n v="28"/>
    <n v="239"/>
    <n v="273"/>
    <n v="1180"/>
    <s v="kostka"/>
    <n v="39"/>
    <n v="273"/>
    <n v="1180"/>
  </r>
  <r>
    <x v="121"/>
    <n v="39"/>
    <n v="273"/>
    <n v="1180"/>
    <n v="165"/>
    <n v="4"/>
    <n v="83"/>
    <n v="204"/>
    <n v="277"/>
    <n v="1263"/>
    <s v="kostka"/>
    <n v="4"/>
    <n v="277"/>
    <n v="1263"/>
  </r>
  <r>
    <x v="122"/>
    <n v="4"/>
    <n v="277"/>
    <n v="1263"/>
    <n v="1"/>
    <n v="117"/>
    <n v="76"/>
    <n v="5"/>
    <n v="394"/>
    <n v="1339"/>
    <s v="orzech"/>
    <n v="5"/>
    <n v="134"/>
    <n v="1339"/>
  </r>
  <r>
    <x v="123"/>
    <n v="5"/>
    <n v="134"/>
    <n v="1339"/>
    <n v="107"/>
    <n v="70"/>
    <n v="28"/>
    <n v="112"/>
    <n v="204"/>
    <n v="1367"/>
    <s v="miał"/>
    <n v="112"/>
    <n v="204"/>
    <n v="1047"/>
  </r>
  <r>
    <x v="124"/>
    <n v="112"/>
    <n v="204"/>
    <n v="1047"/>
    <n v="83"/>
    <n v="81"/>
    <n v="1"/>
    <n v="195"/>
    <n v="285"/>
    <n v="1048"/>
    <s v="orzech"/>
    <n v="195"/>
    <n v="25"/>
    <n v="1048"/>
  </r>
  <r>
    <x v="125"/>
    <n v="195"/>
    <n v="25"/>
    <n v="1048"/>
    <n v="43"/>
    <n v="109"/>
    <n v="50"/>
    <n v="238"/>
    <n v="134"/>
    <n v="1098"/>
    <s v="kostka"/>
    <n v="38"/>
    <n v="134"/>
    <n v="1098"/>
  </r>
  <r>
    <x v="126"/>
    <n v="38"/>
    <n v="134"/>
    <n v="1098"/>
    <n v="52"/>
    <n v="110"/>
    <n v="19"/>
    <n v="90"/>
    <n v="244"/>
    <n v="1117"/>
    <s v="miał"/>
    <n v="90"/>
    <n v="244"/>
    <n v="797"/>
  </r>
  <r>
    <x v="127"/>
    <n v="90"/>
    <n v="244"/>
    <n v="797"/>
    <n v="104"/>
    <n v="132"/>
    <n v="57"/>
    <n v="194"/>
    <n v="376"/>
    <n v="854"/>
    <s v="orzech"/>
    <n v="194"/>
    <n v="116"/>
    <n v="854"/>
  </r>
  <r>
    <x v="128"/>
    <n v="194"/>
    <n v="116"/>
    <n v="854"/>
    <n v="57"/>
    <n v="150"/>
    <n v="36"/>
    <n v="251"/>
    <n v="266"/>
    <n v="890"/>
    <s v="kostka"/>
    <n v="51"/>
    <n v="266"/>
    <n v="890"/>
  </r>
  <r>
    <x v="129"/>
    <n v="51"/>
    <n v="266"/>
    <n v="890"/>
    <n v="86"/>
    <n v="183"/>
    <n v="0"/>
    <n v="137"/>
    <n v="449"/>
    <n v="890"/>
    <s v="orzech"/>
    <n v="137"/>
    <n v="189"/>
    <n v="890"/>
  </r>
  <r>
    <x v="130"/>
    <n v="137"/>
    <n v="189"/>
    <n v="890"/>
    <n v="108"/>
    <n v="20"/>
    <n v="87"/>
    <n v="245"/>
    <n v="209"/>
    <n v="977"/>
    <s v="kostka"/>
    <n v="45"/>
    <n v="209"/>
    <n v="977"/>
  </r>
  <r>
    <x v="131"/>
    <n v="45"/>
    <n v="209"/>
    <n v="977"/>
    <n v="102"/>
    <n v="142"/>
    <n v="20"/>
    <n v="147"/>
    <n v="351"/>
    <n v="997"/>
    <s v="orzech"/>
    <n v="147"/>
    <n v="91"/>
    <n v="997"/>
  </r>
  <r>
    <x v="132"/>
    <n v="147"/>
    <n v="91"/>
    <n v="997"/>
    <n v="81"/>
    <n v="133"/>
    <n v="25"/>
    <n v="228"/>
    <n v="224"/>
    <n v="1022"/>
    <s v="kostka"/>
    <n v="28"/>
    <n v="224"/>
    <n v="1022"/>
  </r>
  <r>
    <x v="133"/>
    <n v="28"/>
    <n v="224"/>
    <n v="1022"/>
    <n v="59"/>
    <n v="87"/>
    <n v="10"/>
    <n v="87"/>
    <n v="311"/>
    <n v="1032"/>
    <s v="orzech"/>
    <n v="87"/>
    <n v="51"/>
    <n v="1032"/>
  </r>
  <r>
    <x v="134"/>
    <n v="87"/>
    <n v="51"/>
    <n v="1032"/>
    <n v="21"/>
    <n v="75"/>
    <n v="65"/>
    <n v="108"/>
    <n v="126"/>
    <n v="1097"/>
    <s v="miał"/>
    <n v="108"/>
    <n v="126"/>
    <n v="777"/>
  </r>
  <r>
    <x v="135"/>
    <n v="108"/>
    <n v="126"/>
    <n v="777"/>
    <n v="79"/>
    <n v="14"/>
    <n v="27"/>
    <n v="187"/>
    <n v="140"/>
    <n v="804"/>
    <s v="miał"/>
    <n v="187"/>
    <n v="140"/>
    <n v="484"/>
  </r>
  <r>
    <x v="136"/>
    <n v="187"/>
    <n v="140"/>
    <n v="484"/>
    <n v="56"/>
    <n v="12"/>
    <n v="25"/>
    <n v="243"/>
    <n v="152"/>
    <n v="509"/>
    <s v="kostka"/>
    <n v="43"/>
    <n v="152"/>
    <n v="509"/>
  </r>
  <r>
    <x v="137"/>
    <n v="43"/>
    <n v="152"/>
    <n v="509"/>
    <n v="195"/>
    <n v="90"/>
    <n v="56"/>
    <n v="238"/>
    <n v="242"/>
    <n v="565"/>
    <s v="kostka"/>
    <n v="38"/>
    <n v="242"/>
    <n v="565"/>
  </r>
  <r>
    <x v="138"/>
    <n v="38"/>
    <n v="242"/>
    <n v="565"/>
    <n v="113"/>
    <n v="90"/>
    <n v="24"/>
    <n v="151"/>
    <n v="332"/>
    <n v="589"/>
    <s v="orzech"/>
    <n v="151"/>
    <n v="72"/>
    <n v="589"/>
  </r>
  <r>
    <x v="139"/>
    <n v="151"/>
    <n v="72"/>
    <n v="589"/>
    <n v="93"/>
    <n v="139"/>
    <n v="47"/>
    <n v="244"/>
    <n v="211"/>
    <n v="636"/>
    <s v="kostka"/>
    <n v="44"/>
    <n v="211"/>
    <n v="636"/>
  </r>
  <r>
    <x v="140"/>
    <n v="44"/>
    <n v="211"/>
    <n v="636"/>
    <n v="93"/>
    <n v="147"/>
    <n v="26"/>
    <n v="137"/>
    <n v="358"/>
    <n v="662"/>
    <s v="orzech"/>
    <n v="137"/>
    <n v="98"/>
    <n v="662"/>
  </r>
  <r>
    <x v="141"/>
    <n v="137"/>
    <n v="98"/>
    <n v="662"/>
    <n v="79"/>
    <n v="145"/>
    <n v="36"/>
    <n v="216"/>
    <n v="243"/>
    <n v="698"/>
    <s v="kostka"/>
    <n v="16"/>
    <n v="243"/>
    <n v="698"/>
  </r>
  <r>
    <x v="142"/>
    <n v="16"/>
    <n v="243"/>
    <n v="698"/>
    <n v="148"/>
    <n v="127"/>
    <n v="27"/>
    <n v="164"/>
    <n v="370"/>
    <n v="725"/>
    <s v="orzech"/>
    <n v="164"/>
    <n v="110"/>
    <n v="725"/>
  </r>
  <r>
    <x v="143"/>
    <n v="164"/>
    <n v="110"/>
    <n v="725"/>
    <n v="132"/>
    <n v="128"/>
    <n v="37"/>
    <n v="296"/>
    <n v="238"/>
    <n v="762"/>
    <s v="kostka"/>
    <n v="96"/>
    <n v="238"/>
    <n v="762"/>
  </r>
  <r>
    <x v="144"/>
    <n v="96"/>
    <n v="238"/>
    <n v="762"/>
    <n v="22"/>
    <n v="115"/>
    <n v="28"/>
    <n v="118"/>
    <n v="353"/>
    <n v="790"/>
    <s v="orzech"/>
    <n v="118"/>
    <n v="93"/>
    <n v="790"/>
  </r>
  <r>
    <x v="145"/>
    <n v="118"/>
    <n v="93"/>
    <n v="790"/>
    <n v="50"/>
    <n v="99"/>
    <n v="78"/>
    <n v="168"/>
    <n v="192"/>
    <n v="868"/>
    <s v="miał"/>
    <n v="168"/>
    <n v="192"/>
    <n v="548"/>
  </r>
  <r>
    <x v="146"/>
    <n v="168"/>
    <n v="192"/>
    <n v="548"/>
    <n v="178"/>
    <n v="146"/>
    <n v="75"/>
    <n v="346"/>
    <n v="338"/>
    <n v="623"/>
    <s v="kostka"/>
    <n v="146"/>
    <n v="338"/>
    <n v="623"/>
  </r>
  <r>
    <x v="147"/>
    <n v="146"/>
    <n v="338"/>
    <n v="623"/>
    <n v="97"/>
    <n v="135"/>
    <n v="66"/>
    <n v="243"/>
    <n v="473"/>
    <n v="689"/>
    <s v="kostka"/>
    <n v="43"/>
    <n v="473"/>
    <n v="689"/>
  </r>
  <r>
    <x v="148"/>
    <n v="43"/>
    <n v="473"/>
    <n v="689"/>
    <n v="138"/>
    <n v="160"/>
    <n v="6"/>
    <n v="181"/>
    <n v="633"/>
    <n v="695"/>
    <s v="orzech"/>
    <n v="181"/>
    <n v="373"/>
    <n v="695"/>
  </r>
  <r>
    <x v="149"/>
    <n v="181"/>
    <n v="373"/>
    <n v="695"/>
    <n v="194"/>
    <n v="87"/>
    <n v="60"/>
    <n v="375"/>
    <n v="460"/>
    <n v="755"/>
    <s v="kostka"/>
    <n v="175"/>
    <n v="460"/>
    <n v="755"/>
  </r>
  <r>
    <x v="150"/>
    <n v="175"/>
    <n v="460"/>
    <n v="755"/>
    <n v="86"/>
    <n v="21"/>
    <n v="45"/>
    <n v="261"/>
    <n v="481"/>
    <n v="800"/>
    <s v="kostka"/>
    <n v="61"/>
    <n v="481"/>
    <n v="800"/>
  </r>
  <r>
    <x v="151"/>
    <n v="61"/>
    <n v="481"/>
    <n v="800"/>
    <n v="26"/>
    <n v="60"/>
    <n v="44"/>
    <n v="87"/>
    <n v="541"/>
    <n v="844"/>
    <s v="orzech"/>
    <n v="87"/>
    <n v="281"/>
    <n v="844"/>
  </r>
  <r>
    <x v="152"/>
    <n v="87"/>
    <n v="281"/>
    <n v="844"/>
    <n v="28"/>
    <n v="35"/>
    <n v="96"/>
    <n v="115"/>
    <n v="316"/>
    <n v="940"/>
    <s v="orzech"/>
    <n v="115"/>
    <n v="56"/>
    <n v="940"/>
  </r>
  <r>
    <x v="153"/>
    <n v="115"/>
    <n v="56"/>
    <n v="940"/>
    <n v="53"/>
    <n v="100"/>
    <n v="64"/>
    <n v="168"/>
    <n v="156"/>
    <n v="1004"/>
    <s v="miał"/>
    <n v="168"/>
    <n v="156"/>
    <n v="684"/>
  </r>
  <r>
    <x v="154"/>
    <n v="168"/>
    <n v="156"/>
    <n v="684"/>
    <n v="168"/>
    <n v="64"/>
    <n v="46"/>
    <n v="336"/>
    <n v="220"/>
    <n v="730"/>
    <s v="kostka"/>
    <n v="136"/>
    <n v="220"/>
    <n v="730"/>
  </r>
  <r>
    <x v="155"/>
    <n v="136"/>
    <n v="220"/>
    <n v="730"/>
    <n v="77"/>
    <n v="60"/>
    <n v="35"/>
    <n v="213"/>
    <n v="280"/>
    <n v="765"/>
    <s v="kostka"/>
    <n v="13"/>
    <n v="280"/>
    <n v="765"/>
  </r>
  <r>
    <x v="156"/>
    <n v="13"/>
    <n v="280"/>
    <n v="765"/>
    <n v="17"/>
    <n v="80"/>
    <n v="30"/>
    <n v="30"/>
    <n v="360"/>
    <n v="795"/>
    <s v="orzech"/>
    <n v="30"/>
    <n v="100"/>
    <n v="795"/>
  </r>
  <r>
    <x v="157"/>
    <n v="30"/>
    <n v="100"/>
    <n v="795"/>
    <n v="175"/>
    <n v="47"/>
    <n v="25"/>
    <n v="205"/>
    <n v="147"/>
    <n v="820"/>
    <s v="kostka"/>
    <n v="5"/>
    <n v="147"/>
    <n v="820"/>
  </r>
  <r>
    <x v="158"/>
    <n v="5"/>
    <n v="147"/>
    <n v="820"/>
    <n v="164"/>
    <n v="60"/>
    <n v="22"/>
    <n v="169"/>
    <n v="207"/>
    <n v="842"/>
    <s v="miał"/>
    <n v="169"/>
    <n v="207"/>
    <n v="522"/>
  </r>
  <r>
    <x v="159"/>
    <n v="169"/>
    <n v="207"/>
    <n v="522"/>
    <n v="199"/>
    <n v="80"/>
    <n v="45"/>
    <n v="368"/>
    <n v="287"/>
    <n v="567"/>
    <s v="kostka"/>
    <n v="168"/>
    <n v="287"/>
    <n v="567"/>
  </r>
  <r>
    <x v="160"/>
    <n v="168"/>
    <n v="287"/>
    <n v="567"/>
    <n v="111"/>
    <n v="92"/>
    <n v="45"/>
    <n v="279"/>
    <n v="379"/>
    <n v="612"/>
    <s v="kostka"/>
    <n v="79"/>
    <n v="379"/>
    <n v="612"/>
  </r>
  <r>
    <x v="161"/>
    <n v="79"/>
    <n v="379"/>
    <n v="612"/>
    <n v="58"/>
    <n v="90"/>
    <n v="40"/>
    <n v="137"/>
    <n v="469"/>
    <n v="652"/>
    <s v="orzech"/>
    <n v="137"/>
    <n v="209"/>
    <n v="652"/>
  </r>
  <r>
    <x v="162"/>
    <n v="137"/>
    <n v="209"/>
    <n v="652"/>
    <n v="59"/>
    <n v="164"/>
    <n v="47"/>
    <n v="196"/>
    <n v="373"/>
    <n v="699"/>
    <s v="orzech"/>
    <n v="196"/>
    <n v="113"/>
    <n v="699"/>
  </r>
  <r>
    <x v="163"/>
    <n v="196"/>
    <n v="113"/>
    <n v="699"/>
    <n v="158"/>
    <n v="120"/>
    <n v="30"/>
    <n v="354"/>
    <n v="233"/>
    <n v="729"/>
    <s v="kostka"/>
    <n v="154"/>
    <n v="233"/>
    <n v="729"/>
  </r>
  <r>
    <x v="164"/>
    <n v="154"/>
    <n v="233"/>
    <n v="729"/>
    <n v="84"/>
    <n v="90"/>
    <n v="30"/>
    <n v="238"/>
    <n v="323"/>
    <n v="759"/>
    <s v="kostka"/>
    <n v="38"/>
    <n v="323"/>
    <n v="759"/>
  </r>
  <r>
    <x v="165"/>
    <n v="38"/>
    <n v="323"/>
    <n v="759"/>
    <n v="64"/>
    <n v="61"/>
    <n v="60"/>
    <n v="102"/>
    <n v="384"/>
    <n v="819"/>
    <s v="orzech"/>
    <n v="102"/>
    <n v="124"/>
    <n v="819"/>
  </r>
  <r>
    <x v="166"/>
    <n v="102"/>
    <n v="124"/>
    <n v="819"/>
    <n v="125"/>
    <n v="84"/>
    <n v="40"/>
    <n v="227"/>
    <n v="208"/>
    <n v="859"/>
    <s v="kostka"/>
    <n v="27"/>
    <n v="208"/>
    <n v="859"/>
  </r>
  <r>
    <x v="167"/>
    <n v="27"/>
    <n v="208"/>
    <n v="859"/>
    <n v="148"/>
    <n v="110"/>
    <n v="50"/>
    <n v="175"/>
    <n v="318"/>
    <n v="909"/>
    <s v="orzech"/>
    <n v="175"/>
    <n v="58"/>
    <n v="909"/>
  </r>
  <r>
    <x v="168"/>
    <n v="175"/>
    <n v="58"/>
    <n v="909"/>
    <n v="172"/>
    <n v="100"/>
    <n v="30"/>
    <n v="347"/>
    <n v="158"/>
    <n v="939"/>
    <s v="kostka"/>
    <n v="147"/>
    <n v="158"/>
    <n v="939"/>
  </r>
  <r>
    <x v="169"/>
    <n v="147"/>
    <n v="158"/>
    <n v="939"/>
    <n v="103"/>
    <n v="60"/>
    <n v="40"/>
    <n v="250"/>
    <n v="218"/>
    <n v="979"/>
    <s v="kostka"/>
    <n v="50"/>
    <n v="218"/>
    <n v="979"/>
  </r>
  <r>
    <x v="170"/>
    <n v="50"/>
    <n v="218"/>
    <n v="979"/>
    <n v="191"/>
    <n v="41"/>
    <n v="52"/>
    <n v="241"/>
    <n v="259"/>
    <n v="1031"/>
    <s v="kostka"/>
    <n v="41"/>
    <n v="259"/>
    <n v="1031"/>
  </r>
  <r>
    <x v="171"/>
    <n v="41"/>
    <n v="259"/>
    <n v="1031"/>
    <n v="128"/>
    <n v="98"/>
    <n v="40"/>
    <n v="169"/>
    <n v="357"/>
    <n v="1071"/>
    <s v="orzech"/>
    <n v="169"/>
    <n v="97"/>
    <n v="1071"/>
  </r>
  <r>
    <x v="172"/>
    <n v="169"/>
    <n v="97"/>
    <n v="1071"/>
    <n v="75"/>
    <n v="87"/>
    <n v="47"/>
    <n v="244"/>
    <n v="184"/>
    <n v="1118"/>
    <s v="kostka"/>
    <n v="44"/>
    <n v="184"/>
    <n v="1118"/>
  </r>
  <r>
    <x v="173"/>
    <n v="44"/>
    <n v="184"/>
    <n v="1118"/>
    <n v="38"/>
    <n v="100"/>
    <n v="50"/>
    <n v="82"/>
    <n v="284"/>
    <n v="1168"/>
    <s v="orzech"/>
    <n v="82"/>
    <n v="24"/>
    <n v="1168"/>
  </r>
  <r>
    <x v="174"/>
    <n v="82"/>
    <n v="24"/>
    <n v="1168"/>
    <n v="80"/>
    <n v="40"/>
    <n v="30"/>
    <n v="162"/>
    <n v="64"/>
    <n v="1198"/>
    <s v="miał"/>
    <n v="162"/>
    <n v="64"/>
    <n v="878"/>
  </r>
  <r>
    <x v="175"/>
    <n v="162"/>
    <n v="64"/>
    <n v="878"/>
    <n v="55"/>
    <n v="60"/>
    <n v="50"/>
    <n v="217"/>
    <n v="124"/>
    <n v="928"/>
    <s v="kostka"/>
    <n v="17"/>
    <n v="124"/>
    <n v="928"/>
  </r>
  <r>
    <x v="176"/>
    <n v="17"/>
    <n v="124"/>
    <n v="928"/>
    <n v="10"/>
    <n v="80"/>
    <n v="48"/>
    <n v="27"/>
    <n v="204"/>
    <n v="976"/>
    <s v="miał"/>
    <n v="27"/>
    <n v="204"/>
    <n v="656"/>
  </r>
  <r>
    <x v="177"/>
    <n v="27"/>
    <n v="204"/>
    <n v="656"/>
    <n v="95"/>
    <n v="60"/>
    <n v="51"/>
    <n v="122"/>
    <n v="264"/>
    <n v="707"/>
    <s v="orzech"/>
    <n v="122"/>
    <n v="4"/>
    <n v="707"/>
  </r>
  <r>
    <x v="178"/>
    <n v="122"/>
    <n v="4"/>
    <n v="707"/>
    <n v="90"/>
    <n v="100"/>
    <n v="50"/>
    <n v="212"/>
    <n v="104"/>
    <n v="757"/>
    <s v="kostka"/>
    <n v="12"/>
    <n v="104"/>
    <n v="757"/>
  </r>
  <r>
    <x v="179"/>
    <n v="12"/>
    <n v="104"/>
    <n v="757"/>
    <n v="186"/>
    <n v="60"/>
    <n v="92"/>
    <n v="198"/>
    <n v="164"/>
    <n v="849"/>
    <s v="miał"/>
    <n v="198"/>
    <n v="164"/>
    <n v="529"/>
  </r>
  <r>
    <x v="180"/>
    <n v="198"/>
    <n v="164"/>
    <n v="529"/>
    <n v="2"/>
    <n v="40"/>
    <n v="50"/>
    <n v="200"/>
    <n v="204"/>
    <n v="579"/>
    <s v="kostka"/>
    <n v="0"/>
    <n v="204"/>
    <n v="579"/>
  </r>
  <r>
    <x v="181"/>
    <n v="0"/>
    <n v="204"/>
    <n v="579"/>
    <n v="136"/>
    <n v="20"/>
    <n v="66"/>
    <n v="136"/>
    <n v="224"/>
    <n v="645"/>
    <s v="miał"/>
    <n v="136"/>
    <n v="224"/>
    <n v="325"/>
  </r>
  <r>
    <x v="182"/>
    <n v="136"/>
    <n v="224"/>
    <n v="325"/>
    <n v="4"/>
    <n v="20"/>
    <n v="10"/>
    <n v="140"/>
    <n v="244"/>
    <n v="335"/>
    <s v="miał"/>
    <n v="140"/>
    <n v="244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n v="80"/>
    <n v="80"/>
    <n v="80"/>
    <n v="200"/>
    <n v="120"/>
    <n v="81"/>
    <n v="280"/>
    <n v="200"/>
    <n v="161"/>
    <x v="0"/>
    <n v="80"/>
    <n v="200"/>
    <n v="161"/>
  </r>
  <r>
    <x v="1"/>
    <n v="80"/>
    <n v="200"/>
    <n v="161"/>
    <n v="100"/>
    <n v="135"/>
    <n v="33"/>
    <n v="180"/>
    <n v="335"/>
    <n v="194"/>
    <x v="1"/>
    <n v="180"/>
    <n v="75"/>
    <n v="194"/>
  </r>
  <r>
    <x v="2"/>
    <n v="180"/>
    <n v="75"/>
    <n v="194"/>
    <n v="50"/>
    <n v="29"/>
    <n v="85"/>
    <n v="230"/>
    <n v="104"/>
    <n v="279"/>
    <x v="0"/>
    <n v="30"/>
    <n v="104"/>
    <n v="279"/>
  </r>
  <r>
    <x v="3"/>
    <n v="30"/>
    <n v="104"/>
    <n v="279"/>
    <n v="68"/>
    <n v="107"/>
    <n v="84"/>
    <n v="98"/>
    <n v="211"/>
    <n v="363"/>
    <x v="2"/>
    <n v="98"/>
    <n v="211"/>
    <n v="43"/>
  </r>
  <r>
    <x v="4"/>
    <n v="98"/>
    <n v="211"/>
    <n v="43"/>
    <n v="75"/>
    <n v="49"/>
    <n v="23"/>
    <n v="173"/>
    <n v="260"/>
    <n v="66"/>
    <x v="1"/>
    <n v="173"/>
    <n v="0"/>
    <n v="66"/>
  </r>
  <r>
    <x v="5"/>
    <n v="173"/>
    <n v="0"/>
    <n v="66"/>
    <n v="109"/>
    <n v="90"/>
    <n v="48"/>
    <n v="282"/>
    <n v="90"/>
    <n v="114"/>
    <x v="0"/>
    <n v="82"/>
    <n v="90"/>
    <n v="114"/>
  </r>
  <r>
    <x v="6"/>
    <n v="82"/>
    <n v="90"/>
    <n v="114"/>
    <n v="161"/>
    <n v="2"/>
    <n v="16"/>
    <n v="243"/>
    <n v="92"/>
    <n v="130"/>
    <x v="0"/>
    <n v="43"/>
    <n v="92"/>
    <n v="130"/>
  </r>
  <r>
    <x v="7"/>
    <n v="43"/>
    <n v="92"/>
    <n v="130"/>
    <n v="97"/>
    <n v="129"/>
    <n v="43"/>
    <n v="140"/>
    <n v="221"/>
    <n v="173"/>
    <x v="3"/>
    <n v="140"/>
    <n v="221"/>
    <n v="173"/>
  </r>
  <r>
    <x v="8"/>
    <n v="140"/>
    <n v="221"/>
    <n v="173"/>
    <n v="25"/>
    <n v="186"/>
    <n v="4"/>
    <n v="165"/>
    <n v="407"/>
    <n v="177"/>
    <x v="1"/>
    <n v="165"/>
    <n v="147"/>
    <n v="177"/>
  </r>
  <r>
    <x v="9"/>
    <n v="165"/>
    <n v="147"/>
    <n v="177"/>
    <n v="113"/>
    <n v="97"/>
    <n v="97"/>
    <n v="278"/>
    <n v="244"/>
    <n v="274"/>
    <x v="0"/>
    <n v="78"/>
    <n v="244"/>
    <n v="274"/>
  </r>
  <r>
    <x v="10"/>
    <n v="78"/>
    <n v="244"/>
    <n v="274"/>
    <n v="70"/>
    <n v="12"/>
    <n v="53"/>
    <n v="148"/>
    <n v="256"/>
    <n v="327"/>
    <x v="2"/>
    <n v="148"/>
    <n v="256"/>
    <n v="7"/>
  </r>
  <r>
    <x v="11"/>
    <n v="148"/>
    <n v="256"/>
    <n v="7"/>
    <n v="117"/>
    <n v="142"/>
    <n v="90"/>
    <n v="265"/>
    <n v="398"/>
    <n v="97"/>
    <x v="0"/>
    <n v="65"/>
    <n v="398"/>
    <n v="97"/>
  </r>
  <r>
    <x v="12"/>
    <n v="65"/>
    <n v="398"/>
    <n v="97"/>
    <n v="189"/>
    <n v="28"/>
    <n v="43"/>
    <n v="254"/>
    <n v="426"/>
    <n v="140"/>
    <x v="0"/>
    <n v="54"/>
    <n v="426"/>
    <n v="140"/>
  </r>
  <r>
    <x v="13"/>
    <n v="54"/>
    <n v="426"/>
    <n v="140"/>
    <n v="140"/>
    <n v="191"/>
    <n v="40"/>
    <n v="194"/>
    <n v="617"/>
    <n v="180"/>
    <x v="1"/>
    <n v="194"/>
    <n v="357"/>
    <n v="180"/>
  </r>
  <r>
    <x v="14"/>
    <n v="194"/>
    <n v="357"/>
    <n v="180"/>
    <n v="167"/>
    <n v="48"/>
    <n v="30"/>
    <n v="361"/>
    <n v="405"/>
    <n v="210"/>
    <x v="0"/>
    <n v="161"/>
    <n v="405"/>
    <n v="210"/>
  </r>
  <r>
    <x v="15"/>
    <n v="161"/>
    <n v="405"/>
    <n v="210"/>
    <n v="0"/>
    <n v="154"/>
    <n v="68"/>
    <n v="161"/>
    <n v="559"/>
    <n v="278"/>
    <x v="1"/>
    <n v="161"/>
    <n v="299"/>
    <n v="278"/>
  </r>
  <r>
    <x v="16"/>
    <n v="161"/>
    <n v="299"/>
    <n v="278"/>
    <n v="61"/>
    <n v="139"/>
    <n v="77"/>
    <n v="222"/>
    <n v="438"/>
    <n v="355"/>
    <x v="0"/>
    <n v="22"/>
    <n v="438"/>
    <n v="355"/>
  </r>
  <r>
    <x v="17"/>
    <n v="22"/>
    <n v="438"/>
    <n v="355"/>
    <n v="18"/>
    <n v="163"/>
    <n v="75"/>
    <n v="40"/>
    <n v="601"/>
    <n v="430"/>
    <x v="1"/>
    <n v="40"/>
    <n v="341"/>
    <n v="430"/>
  </r>
  <r>
    <x v="18"/>
    <n v="40"/>
    <n v="341"/>
    <n v="430"/>
    <n v="43"/>
    <n v="169"/>
    <n v="0"/>
    <n v="83"/>
    <n v="510"/>
    <n v="430"/>
    <x v="1"/>
    <n v="83"/>
    <n v="250"/>
    <n v="430"/>
  </r>
  <r>
    <x v="19"/>
    <n v="83"/>
    <n v="250"/>
    <n v="430"/>
    <n v="160"/>
    <n v="135"/>
    <n v="34"/>
    <n v="243"/>
    <n v="385"/>
    <n v="464"/>
    <x v="0"/>
    <n v="43"/>
    <n v="385"/>
    <n v="464"/>
  </r>
  <r>
    <x v="20"/>
    <n v="43"/>
    <n v="385"/>
    <n v="464"/>
    <n v="150"/>
    <n v="89"/>
    <n v="17"/>
    <n v="193"/>
    <n v="474"/>
    <n v="481"/>
    <x v="1"/>
    <n v="193"/>
    <n v="214"/>
    <n v="481"/>
  </r>
  <r>
    <x v="21"/>
    <n v="193"/>
    <n v="214"/>
    <n v="481"/>
    <n v="57"/>
    <n v="109"/>
    <n v="93"/>
    <n v="250"/>
    <n v="323"/>
    <n v="574"/>
    <x v="0"/>
    <n v="50"/>
    <n v="323"/>
    <n v="574"/>
  </r>
  <r>
    <x v="22"/>
    <n v="50"/>
    <n v="323"/>
    <n v="574"/>
    <n v="62"/>
    <n v="80"/>
    <n v="62"/>
    <n v="112"/>
    <n v="403"/>
    <n v="636"/>
    <x v="1"/>
    <n v="112"/>
    <n v="143"/>
    <n v="636"/>
  </r>
  <r>
    <x v="23"/>
    <n v="112"/>
    <n v="143"/>
    <n v="636"/>
    <n v="162"/>
    <n v="62"/>
    <n v="88"/>
    <n v="274"/>
    <n v="205"/>
    <n v="724"/>
    <x v="0"/>
    <n v="74"/>
    <n v="205"/>
    <n v="724"/>
  </r>
  <r>
    <x v="24"/>
    <n v="74"/>
    <n v="205"/>
    <n v="724"/>
    <n v="142"/>
    <n v="79"/>
    <n v="76"/>
    <n v="216"/>
    <n v="284"/>
    <n v="800"/>
    <x v="0"/>
    <n v="16"/>
    <n v="284"/>
    <n v="800"/>
  </r>
  <r>
    <x v="25"/>
    <n v="16"/>
    <n v="284"/>
    <n v="800"/>
    <n v="7"/>
    <n v="30"/>
    <n v="68"/>
    <n v="23"/>
    <n v="314"/>
    <n v="868"/>
    <x v="1"/>
    <n v="23"/>
    <n v="54"/>
    <n v="868"/>
  </r>
  <r>
    <x v="26"/>
    <n v="23"/>
    <n v="54"/>
    <n v="868"/>
    <n v="116"/>
    <n v="6"/>
    <n v="88"/>
    <n v="139"/>
    <n v="60"/>
    <n v="956"/>
    <x v="2"/>
    <n v="139"/>
    <n v="60"/>
    <n v="636"/>
  </r>
  <r>
    <x v="27"/>
    <n v="139"/>
    <n v="60"/>
    <n v="636"/>
    <n v="0"/>
    <n v="1"/>
    <n v="47"/>
    <n v="139"/>
    <n v="61"/>
    <n v="683"/>
    <x v="2"/>
    <n v="139"/>
    <n v="61"/>
    <n v="363"/>
  </r>
  <r>
    <x v="28"/>
    <n v="139"/>
    <n v="61"/>
    <n v="363"/>
    <n v="78"/>
    <n v="84"/>
    <n v="16"/>
    <n v="217"/>
    <n v="145"/>
    <n v="379"/>
    <x v="0"/>
    <n v="17"/>
    <n v="145"/>
    <n v="379"/>
  </r>
  <r>
    <x v="29"/>
    <n v="17"/>
    <n v="145"/>
    <n v="379"/>
    <n v="112"/>
    <n v="140"/>
    <n v="97"/>
    <n v="129"/>
    <n v="285"/>
    <n v="476"/>
    <x v="1"/>
    <n v="129"/>
    <n v="25"/>
    <n v="476"/>
  </r>
  <r>
    <x v="30"/>
    <n v="129"/>
    <n v="25"/>
    <n v="476"/>
    <n v="109"/>
    <n v="74"/>
    <n v="53"/>
    <n v="238"/>
    <n v="99"/>
    <n v="529"/>
    <x v="0"/>
    <n v="38"/>
    <n v="99"/>
    <n v="529"/>
  </r>
  <r>
    <x v="31"/>
    <n v="38"/>
    <n v="99"/>
    <n v="529"/>
    <n v="121"/>
    <n v="77"/>
    <n v="70"/>
    <n v="159"/>
    <n v="176"/>
    <n v="599"/>
    <x v="2"/>
    <n v="159"/>
    <n v="176"/>
    <n v="279"/>
  </r>
  <r>
    <x v="32"/>
    <n v="159"/>
    <n v="176"/>
    <n v="279"/>
    <n v="106"/>
    <n v="89"/>
    <n v="75"/>
    <n v="265"/>
    <n v="265"/>
    <n v="354"/>
    <x v="0"/>
    <n v="65"/>
    <n v="265"/>
    <n v="354"/>
  </r>
  <r>
    <x v="33"/>
    <n v="65"/>
    <n v="265"/>
    <n v="354"/>
    <n v="57"/>
    <n v="119"/>
    <n v="64"/>
    <n v="122"/>
    <n v="384"/>
    <n v="418"/>
    <x v="1"/>
    <n v="122"/>
    <n v="124"/>
    <n v="418"/>
  </r>
  <r>
    <x v="34"/>
    <n v="122"/>
    <n v="124"/>
    <n v="418"/>
    <n v="26"/>
    <n v="87"/>
    <n v="84"/>
    <n v="148"/>
    <n v="211"/>
    <n v="502"/>
    <x v="2"/>
    <n v="148"/>
    <n v="211"/>
    <n v="182"/>
  </r>
  <r>
    <x v="35"/>
    <n v="148"/>
    <n v="211"/>
    <n v="182"/>
    <n v="79"/>
    <n v="171"/>
    <n v="75"/>
    <n v="227"/>
    <n v="382"/>
    <n v="257"/>
    <x v="0"/>
    <n v="27"/>
    <n v="382"/>
    <n v="257"/>
  </r>
  <r>
    <x v="36"/>
    <n v="27"/>
    <n v="382"/>
    <n v="257"/>
    <n v="192"/>
    <n v="151"/>
    <n v="45"/>
    <n v="219"/>
    <n v="533"/>
    <n v="302"/>
    <x v="0"/>
    <n v="19"/>
    <n v="533"/>
    <n v="302"/>
  </r>
  <r>
    <x v="37"/>
    <n v="19"/>
    <n v="533"/>
    <n v="302"/>
    <n v="9"/>
    <n v="64"/>
    <n v="22"/>
    <n v="28"/>
    <n v="597"/>
    <n v="324"/>
    <x v="1"/>
    <n v="28"/>
    <n v="337"/>
    <n v="324"/>
  </r>
  <r>
    <x v="38"/>
    <n v="28"/>
    <n v="337"/>
    <n v="324"/>
    <n v="123"/>
    <n v="150"/>
    <n v="10"/>
    <n v="151"/>
    <n v="487"/>
    <n v="334"/>
    <x v="1"/>
    <n v="151"/>
    <n v="227"/>
    <n v="334"/>
  </r>
  <r>
    <x v="39"/>
    <n v="151"/>
    <n v="227"/>
    <n v="334"/>
    <n v="87"/>
    <n v="123"/>
    <n v="33"/>
    <n v="238"/>
    <n v="350"/>
    <n v="367"/>
    <x v="0"/>
    <n v="38"/>
    <n v="350"/>
    <n v="367"/>
  </r>
  <r>
    <x v="40"/>
    <n v="38"/>
    <n v="350"/>
    <n v="367"/>
    <n v="165"/>
    <n v="88"/>
    <n v="13"/>
    <n v="203"/>
    <n v="438"/>
    <n v="380"/>
    <x v="0"/>
    <n v="3"/>
    <n v="438"/>
    <n v="380"/>
  </r>
  <r>
    <x v="41"/>
    <n v="3"/>
    <n v="438"/>
    <n v="380"/>
    <n v="144"/>
    <n v="78"/>
    <n v="82"/>
    <n v="147"/>
    <n v="516"/>
    <n v="462"/>
    <x v="1"/>
    <n v="147"/>
    <n v="256"/>
    <n v="462"/>
  </r>
  <r>
    <x v="42"/>
    <n v="147"/>
    <n v="256"/>
    <n v="462"/>
    <n v="54"/>
    <n v="38"/>
    <n v="68"/>
    <n v="201"/>
    <n v="294"/>
    <n v="530"/>
    <x v="0"/>
    <n v="1"/>
    <n v="294"/>
    <n v="530"/>
  </r>
  <r>
    <x v="43"/>
    <n v="1"/>
    <n v="294"/>
    <n v="530"/>
    <n v="188"/>
    <n v="44"/>
    <n v="86"/>
    <n v="189"/>
    <n v="338"/>
    <n v="616"/>
    <x v="1"/>
    <n v="189"/>
    <n v="78"/>
    <n v="616"/>
  </r>
  <r>
    <x v="44"/>
    <n v="189"/>
    <n v="78"/>
    <n v="616"/>
    <n v="165"/>
    <n v="170"/>
    <n v="62"/>
    <n v="354"/>
    <n v="248"/>
    <n v="678"/>
    <x v="0"/>
    <n v="154"/>
    <n v="248"/>
    <n v="678"/>
  </r>
  <r>
    <x v="45"/>
    <n v="154"/>
    <n v="248"/>
    <n v="678"/>
    <n v="24"/>
    <n v="94"/>
    <n v="87"/>
    <n v="178"/>
    <n v="342"/>
    <n v="765"/>
    <x v="1"/>
    <n v="178"/>
    <n v="82"/>
    <n v="765"/>
  </r>
  <r>
    <x v="46"/>
    <n v="178"/>
    <n v="82"/>
    <n v="765"/>
    <n v="0"/>
    <n v="120"/>
    <n v="60"/>
    <n v="178"/>
    <n v="202"/>
    <n v="825"/>
    <x v="2"/>
    <n v="178"/>
    <n v="202"/>
    <n v="505"/>
  </r>
  <r>
    <x v="47"/>
    <n v="178"/>
    <n v="202"/>
    <n v="505"/>
    <n v="101"/>
    <n v="53"/>
    <n v="62"/>
    <n v="279"/>
    <n v="255"/>
    <n v="567"/>
    <x v="0"/>
    <n v="79"/>
    <n v="255"/>
    <n v="567"/>
  </r>
  <r>
    <x v="48"/>
    <n v="79"/>
    <n v="255"/>
    <n v="567"/>
    <n v="67"/>
    <n v="147"/>
    <n v="20"/>
    <n v="146"/>
    <n v="402"/>
    <n v="587"/>
    <x v="1"/>
    <n v="146"/>
    <n v="142"/>
    <n v="587"/>
  </r>
  <r>
    <x v="49"/>
    <n v="146"/>
    <n v="142"/>
    <n v="587"/>
    <n v="109"/>
    <n v="99"/>
    <n v="70"/>
    <n v="255"/>
    <n v="241"/>
    <n v="657"/>
    <x v="0"/>
    <n v="55"/>
    <n v="241"/>
    <n v="657"/>
  </r>
  <r>
    <x v="50"/>
    <n v="55"/>
    <n v="241"/>
    <n v="657"/>
    <n v="22"/>
    <n v="16"/>
    <n v="59"/>
    <n v="77"/>
    <n v="257"/>
    <n v="716"/>
    <x v="2"/>
    <n v="77"/>
    <n v="257"/>
    <n v="396"/>
  </r>
  <r>
    <x v="51"/>
    <n v="77"/>
    <n v="257"/>
    <n v="396"/>
    <n v="5"/>
    <n v="91"/>
    <n v="73"/>
    <n v="82"/>
    <n v="348"/>
    <n v="469"/>
    <x v="1"/>
    <n v="82"/>
    <n v="88"/>
    <n v="469"/>
  </r>
  <r>
    <x v="52"/>
    <n v="82"/>
    <n v="88"/>
    <n v="469"/>
    <n v="105"/>
    <n v="154"/>
    <n v="48"/>
    <n v="187"/>
    <n v="242"/>
    <n v="517"/>
    <x v="2"/>
    <n v="187"/>
    <n v="242"/>
    <n v="197"/>
  </r>
  <r>
    <x v="53"/>
    <n v="187"/>
    <n v="242"/>
    <n v="197"/>
    <n v="108"/>
    <n v="5"/>
    <n v="71"/>
    <n v="295"/>
    <n v="247"/>
    <n v="268"/>
    <x v="0"/>
    <n v="95"/>
    <n v="247"/>
    <n v="268"/>
  </r>
  <r>
    <x v="54"/>
    <n v="95"/>
    <n v="247"/>
    <n v="268"/>
    <n v="64"/>
    <n v="37"/>
    <n v="89"/>
    <n v="159"/>
    <n v="284"/>
    <n v="357"/>
    <x v="1"/>
    <n v="159"/>
    <n v="24"/>
    <n v="357"/>
  </r>
  <r>
    <x v="55"/>
    <n v="159"/>
    <n v="24"/>
    <n v="357"/>
    <n v="114"/>
    <n v="140"/>
    <n v="36"/>
    <n v="273"/>
    <n v="164"/>
    <n v="393"/>
    <x v="0"/>
    <n v="73"/>
    <n v="164"/>
    <n v="393"/>
  </r>
  <r>
    <x v="56"/>
    <n v="73"/>
    <n v="164"/>
    <n v="393"/>
    <n v="147"/>
    <n v="140"/>
    <n v="61"/>
    <n v="220"/>
    <n v="304"/>
    <n v="454"/>
    <x v="0"/>
    <n v="20"/>
    <n v="304"/>
    <n v="454"/>
  </r>
  <r>
    <x v="57"/>
    <n v="20"/>
    <n v="304"/>
    <n v="454"/>
    <n v="69"/>
    <n v="120"/>
    <n v="52"/>
    <n v="89"/>
    <n v="424"/>
    <n v="506"/>
    <x v="1"/>
    <n v="89"/>
    <n v="164"/>
    <n v="506"/>
  </r>
  <r>
    <x v="58"/>
    <n v="89"/>
    <n v="164"/>
    <n v="506"/>
    <n v="101"/>
    <n v="39"/>
    <n v="10"/>
    <n v="190"/>
    <n v="203"/>
    <n v="516"/>
    <x v="2"/>
    <n v="190"/>
    <n v="203"/>
    <n v="196"/>
  </r>
  <r>
    <x v="59"/>
    <n v="190"/>
    <n v="203"/>
    <n v="196"/>
    <n v="158"/>
    <n v="36"/>
    <n v="79"/>
    <n v="348"/>
    <n v="239"/>
    <n v="275"/>
    <x v="0"/>
    <n v="148"/>
    <n v="239"/>
    <n v="275"/>
  </r>
  <r>
    <x v="60"/>
    <n v="148"/>
    <n v="239"/>
    <n v="275"/>
    <n v="79"/>
    <n v="105"/>
    <n v="73"/>
    <n v="227"/>
    <n v="344"/>
    <n v="348"/>
    <x v="0"/>
    <n v="27"/>
    <n v="344"/>
    <n v="348"/>
  </r>
  <r>
    <x v="61"/>
    <n v="27"/>
    <n v="344"/>
    <n v="348"/>
    <n v="5"/>
    <n v="24"/>
    <n v="43"/>
    <n v="32"/>
    <n v="368"/>
    <n v="391"/>
    <x v="1"/>
    <n v="32"/>
    <n v="108"/>
    <n v="391"/>
  </r>
  <r>
    <x v="62"/>
    <n v="32"/>
    <n v="108"/>
    <n v="391"/>
    <n v="68"/>
    <n v="112"/>
    <n v="25"/>
    <n v="100"/>
    <n v="220"/>
    <n v="416"/>
    <x v="2"/>
    <n v="100"/>
    <n v="220"/>
    <n v="96"/>
  </r>
  <r>
    <x v="63"/>
    <n v="100"/>
    <n v="220"/>
    <n v="96"/>
    <n v="37"/>
    <n v="57"/>
    <n v="81"/>
    <n v="137"/>
    <n v="277"/>
    <n v="177"/>
    <x v="1"/>
    <n v="137"/>
    <n v="17"/>
    <n v="177"/>
  </r>
  <r>
    <x v="64"/>
    <n v="137"/>
    <n v="17"/>
    <n v="177"/>
    <n v="188"/>
    <n v="28"/>
    <n v="7"/>
    <n v="325"/>
    <n v="45"/>
    <n v="184"/>
    <x v="0"/>
    <n v="125"/>
    <n v="45"/>
    <n v="184"/>
  </r>
  <r>
    <x v="65"/>
    <n v="125"/>
    <n v="45"/>
    <n v="184"/>
    <n v="167"/>
    <n v="41"/>
    <n v="45"/>
    <n v="292"/>
    <n v="86"/>
    <n v="229"/>
    <x v="0"/>
    <n v="92"/>
    <n v="86"/>
    <n v="229"/>
  </r>
  <r>
    <x v="66"/>
    <n v="92"/>
    <n v="86"/>
    <n v="229"/>
    <n v="197"/>
    <n v="82"/>
    <n v="43"/>
    <n v="289"/>
    <n v="168"/>
    <n v="272"/>
    <x v="0"/>
    <n v="89"/>
    <n v="168"/>
    <n v="272"/>
  </r>
  <r>
    <x v="67"/>
    <n v="89"/>
    <n v="168"/>
    <n v="272"/>
    <n v="54"/>
    <n v="130"/>
    <n v="50"/>
    <n v="143"/>
    <n v="298"/>
    <n v="322"/>
    <x v="1"/>
    <n v="143"/>
    <n v="38"/>
    <n v="322"/>
  </r>
  <r>
    <x v="68"/>
    <n v="143"/>
    <n v="38"/>
    <n v="322"/>
    <n v="19"/>
    <n v="153"/>
    <n v="65"/>
    <n v="162"/>
    <n v="191"/>
    <n v="387"/>
    <x v="2"/>
    <n v="162"/>
    <n v="191"/>
    <n v="67"/>
  </r>
  <r>
    <x v="69"/>
    <n v="162"/>
    <n v="191"/>
    <n v="67"/>
    <n v="27"/>
    <n v="160"/>
    <n v="81"/>
    <n v="189"/>
    <n v="351"/>
    <n v="148"/>
    <x v="1"/>
    <n v="189"/>
    <n v="91"/>
    <n v="148"/>
  </r>
  <r>
    <x v="70"/>
    <n v="189"/>
    <n v="91"/>
    <n v="148"/>
    <n v="11"/>
    <n v="140"/>
    <n v="77"/>
    <n v="200"/>
    <n v="231"/>
    <n v="225"/>
    <x v="0"/>
    <n v="0"/>
    <n v="231"/>
    <n v="225"/>
  </r>
  <r>
    <x v="71"/>
    <n v="0"/>
    <n v="231"/>
    <n v="225"/>
    <n v="182"/>
    <n v="50"/>
    <n v="22"/>
    <n v="182"/>
    <n v="281"/>
    <n v="247"/>
    <x v="1"/>
    <n v="182"/>
    <n v="21"/>
    <n v="247"/>
  </r>
  <r>
    <x v="72"/>
    <n v="182"/>
    <n v="21"/>
    <n v="247"/>
    <n v="63"/>
    <n v="83"/>
    <n v="69"/>
    <n v="245"/>
    <n v="104"/>
    <n v="316"/>
    <x v="0"/>
    <n v="45"/>
    <n v="104"/>
    <n v="316"/>
  </r>
  <r>
    <x v="73"/>
    <n v="45"/>
    <n v="104"/>
    <n v="316"/>
    <n v="33"/>
    <n v="59"/>
    <n v="46"/>
    <n v="78"/>
    <n v="163"/>
    <n v="362"/>
    <x v="2"/>
    <n v="78"/>
    <n v="163"/>
    <n v="42"/>
  </r>
  <r>
    <x v="74"/>
    <n v="78"/>
    <n v="163"/>
    <n v="42"/>
    <n v="119"/>
    <n v="57"/>
    <n v="67"/>
    <n v="197"/>
    <n v="220"/>
    <n v="109"/>
    <x v="3"/>
    <n v="197"/>
    <n v="220"/>
    <n v="109"/>
  </r>
  <r>
    <x v="75"/>
    <n v="197"/>
    <n v="220"/>
    <n v="109"/>
    <n v="58"/>
    <n v="176"/>
    <n v="16"/>
    <n v="255"/>
    <n v="396"/>
    <n v="125"/>
    <x v="0"/>
    <n v="55"/>
    <n v="396"/>
    <n v="125"/>
  </r>
  <r>
    <x v="76"/>
    <n v="55"/>
    <n v="396"/>
    <n v="125"/>
    <n v="174"/>
    <n v="61"/>
    <n v="46"/>
    <n v="229"/>
    <n v="457"/>
    <n v="171"/>
    <x v="0"/>
    <n v="29"/>
    <n v="457"/>
    <n v="171"/>
  </r>
  <r>
    <x v="77"/>
    <n v="29"/>
    <n v="457"/>
    <n v="171"/>
    <n v="45"/>
    <n v="154"/>
    <n v="0"/>
    <n v="74"/>
    <n v="611"/>
    <n v="171"/>
    <x v="1"/>
    <n v="74"/>
    <n v="351"/>
    <n v="171"/>
  </r>
  <r>
    <x v="78"/>
    <n v="74"/>
    <n v="351"/>
    <n v="171"/>
    <n v="94"/>
    <n v="120"/>
    <n v="95"/>
    <n v="168"/>
    <n v="471"/>
    <n v="266"/>
    <x v="1"/>
    <n v="168"/>
    <n v="211"/>
    <n v="266"/>
  </r>
  <r>
    <x v="79"/>
    <n v="168"/>
    <n v="211"/>
    <n v="266"/>
    <n v="12"/>
    <n v="5"/>
    <n v="42"/>
    <n v="180"/>
    <n v="216"/>
    <n v="308"/>
    <x v="3"/>
    <n v="180"/>
    <n v="216"/>
    <n v="308"/>
  </r>
  <r>
    <x v="80"/>
    <n v="180"/>
    <n v="216"/>
    <n v="308"/>
    <n v="80"/>
    <n v="170"/>
    <n v="96"/>
    <n v="260"/>
    <n v="386"/>
    <n v="404"/>
    <x v="0"/>
    <n v="60"/>
    <n v="386"/>
    <n v="404"/>
  </r>
  <r>
    <x v="81"/>
    <n v="60"/>
    <n v="386"/>
    <n v="404"/>
    <n v="80"/>
    <n v="10"/>
    <n v="30"/>
    <n v="140"/>
    <n v="396"/>
    <n v="434"/>
    <x v="1"/>
    <n v="140"/>
    <n v="136"/>
    <n v="434"/>
  </r>
  <r>
    <x v="82"/>
    <n v="140"/>
    <n v="136"/>
    <n v="434"/>
    <n v="90"/>
    <n v="80"/>
    <n v="31"/>
    <n v="230"/>
    <n v="216"/>
    <n v="465"/>
    <x v="0"/>
    <n v="30"/>
    <n v="216"/>
    <n v="465"/>
  </r>
  <r>
    <x v="83"/>
    <n v="30"/>
    <n v="216"/>
    <n v="465"/>
    <n v="130"/>
    <n v="163"/>
    <n v="92"/>
    <n v="160"/>
    <n v="379"/>
    <n v="557"/>
    <x v="1"/>
    <n v="160"/>
    <n v="119"/>
    <n v="557"/>
  </r>
  <r>
    <x v="84"/>
    <n v="160"/>
    <n v="119"/>
    <n v="557"/>
    <n v="54"/>
    <n v="7"/>
    <n v="79"/>
    <n v="214"/>
    <n v="126"/>
    <n v="636"/>
    <x v="0"/>
    <n v="14"/>
    <n v="126"/>
    <n v="636"/>
  </r>
  <r>
    <x v="85"/>
    <n v="14"/>
    <n v="126"/>
    <n v="636"/>
    <n v="88"/>
    <n v="125"/>
    <n v="97"/>
    <n v="102"/>
    <n v="251"/>
    <n v="733"/>
    <x v="2"/>
    <n v="102"/>
    <n v="251"/>
    <n v="413"/>
  </r>
  <r>
    <x v="86"/>
    <n v="102"/>
    <n v="251"/>
    <n v="413"/>
    <n v="83"/>
    <n v="85"/>
    <n v="99"/>
    <n v="185"/>
    <n v="336"/>
    <n v="512"/>
    <x v="1"/>
    <n v="185"/>
    <n v="76"/>
    <n v="512"/>
  </r>
  <r>
    <x v="87"/>
    <n v="185"/>
    <n v="76"/>
    <n v="512"/>
    <n v="139"/>
    <n v="155"/>
    <n v="11"/>
    <n v="324"/>
    <n v="231"/>
    <n v="523"/>
    <x v="0"/>
    <n v="124"/>
    <n v="231"/>
    <n v="523"/>
  </r>
  <r>
    <x v="88"/>
    <n v="124"/>
    <n v="231"/>
    <n v="523"/>
    <n v="82"/>
    <n v="43"/>
    <n v="93"/>
    <n v="206"/>
    <n v="274"/>
    <n v="616"/>
    <x v="0"/>
    <n v="6"/>
    <n v="274"/>
    <n v="616"/>
  </r>
  <r>
    <x v="89"/>
    <n v="6"/>
    <n v="274"/>
    <n v="616"/>
    <n v="23"/>
    <n v="40"/>
    <n v="83"/>
    <n v="29"/>
    <n v="314"/>
    <n v="699"/>
    <x v="1"/>
    <n v="29"/>
    <n v="54"/>
    <n v="699"/>
  </r>
  <r>
    <x v="90"/>
    <n v="29"/>
    <n v="54"/>
    <n v="699"/>
    <n v="118"/>
    <n v="165"/>
    <n v="56"/>
    <n v="147"/>
    <n v="219"/>
    <n v="755"/>
    <x v="2"/>
    <n v="147"/>
    <n v="219"/>
    <n v="435"/>
  </r>
  <r>
    <x v="91"/>
    <n v="147"/>
    <n v="219"/>
    <n v="435"/>
    <n v="59"/>
    <n v="35"/>
    <n v="17"/>
    <n v="206"/>
    <n v="254"/>
    <n v="452"/>
    <x v="0"/>
    <n v="6"/>
    <n v="254"/>
    <n v="452"/>
  </r>
  <r>
    <x v="92"/>
    <n v="6"/>
    <n v="254"/>
    <n v="452"/>
    <n v="127"/>
    <n v="58"/>
    <n v="39"/>
    <n v="133"/>
    <n v="312"/>
    <n v="491"/>
    <x v="1"/>
    <n v="133"/>
    <n v="52"/>
    <n v="491"/>
  </r>
  <r>
    <x v="93"/>
    <n v="133"/>
    <n v="52"/>
    <n v="491"/>
    <n v="121"/>
    <n v="175"/>
    <n v="77"/>
    <n v="254"/>
    <n v="227"/>
    <n v="568"/>
    <x v="0"/>
    <n v="54"/>
    <n v="227"/>
    <n v="568"/>
  </r>
  <r>
    <x v="94"/>
    <n v="54"/>
    <n v="227"/>
    <n v="568"/>
    <n v="80"/>
    <n v="101"/>
    <n v="3"/>
    <n v="134"/>
    <n v="328"/>
    <n v="571"/>
    <x v="1"/>
    <n v="134"/>
    <n v="68"/>
    <n v="571"/>
  </r>
  <r>
    <x v="95"/>
    <n v="134"/>
    <n v="68"/>
    <n v="571"/>
    <n v="189"/>
    <n v="161"/>
    <n v="53"/>
    <n v="323"/>
    <n v="229"/>
    <n v="624"/>
    <x v="0"/>
    <n v="123"/>
    <n v="229"/>
    <n v="624"/>
  </r>
  <r>
    <x v="96"/>
    <n v="123"/>
    <n v="229"/>
    <n v="624"/>
    <n v="18"/>
    <n v="61"/>
    <n v="19"/>
    <n v="141"/>
    <n v="290"/>
    <n v="643"/>
    <x v="1"/>
    <n v="141"/>
    <n v="30"/>
    <n v="643"/>
  </r>
  <r>
    <x v="97"/>
    <n v="141"/>
    <n v="30"/>
    <n v="643"/>
    <n v="68"/>
    <n v="127"/>
    <n v="3"/>
    <n v="209"/>
    <n v="157"/>
    <n v="646"/>
    <x v="0"/>
    <n v="9"/>
    <n v="157"/>
    <n v="646"/>
  </r>
  <r>
    <x v="98"/>
    <n v="9"/>
    <n v="157"/>
    <n v="646"/>
    <n v="37"/>
    <n v="112"/>
    <n v="68"/>
    <n v="46"/>
    <n v="269"/>
    <n v="714"/>
    <x v="1"/>
    <n v="46"/>
    <n v="9"/>
    <n v="714"/>
  </r>
  <r>
    <x v="99"/>
    <n v="46"/>
    <n v="9"/>
    <n v="714"/>
    <n v="40"/>
    <n v="140"/>
    <n v="15"/>
    <n v="86"/>
    <n v="149"/>
    <n v="729"/>
    <x v="2"/>
    <n v="86"/>
    <n v="149"/>
    <n v="409"/>
  </r>
  <r>
    <x v="100"/>
    <n v="86"/>
    <n v="149"/>
    <n v="409"/>
    <n v="189"/>
    <n v="87"/>
    <n v="64"/>
    <n v="275"/>
    <n v="236"/>
    <n v="473"/>
    <x v="0"/>
    <n v="75"/>
    <n v="236"/>
    <n v="473"/>
  </r>
  <r>
    <x v="101"/>
    <n v="75"/>
    <n v="236"/>
    <n v="473"/>
    <n v="145"/>
    <n v="18"/>
    <n v="1"/>
    <n v="220"/>
    <n v="254"/>
    <n v="474"/>
    <x v="0"/>
    <n v="20"/>
    <n v="254"/>
    <n v="474"/>
  </r>
  <r>
    <x v="102"/>
    <n v="20"/>
    <n v="254"/>
    <n v="474"/>
    <n v="148"/>
    <n v="27"/>
    <n v="13"/>
    <n v="168"/>
    <n v="281"/>
    <n v="487"/>
    <x v="1"/>
    <n v="168"/>
    <n v="21"/>
    <n v="487"/>
  </r>
  <r>
    <x v="103"/>
    <n v="168"/>
    <n v="21"/>
    <n v="487"/>
    <n v="127"/>
    <n v="161"/>
    <n v="31"/>
    <n v="295"/>
    <n v="182"/>
    <n v="518"/>
    <x v="0"/>
    <n v="95"/>
    <n v="182"/>
    <n v="518"/>
  </r>
  <r>
    <x v="104"/>
    <n v="95"/>
    <n v="182"/>
    <n v="518"/>
    <n v="131"/>
    <n v="1"/>
    <n v="98"/>
    <n v="226"/>
    <n v="183"/>
    <n v="616"/>
    <x v="0"/>
    <n v="26"/>
    <n v="183"/>
    <n v="616"/>
  </r>
  <r>
    <x v="105"/>
    <n v="26"/>
    <n v="183"/>
    <n v="616"/>
    <n v="142"/>
    <n v="131"/>
    <n v="62"/>
    <n v="168"/>
    <n v="314"/>
    <n v="678"/>
    <x v="1"/>
    <n v="168"/>
    <n v="54"/>
    <n v="678"/>
  </r>
  <r>
    <x v="106"/>
    <n v="168"/>
    <n v="54"/>
    <n v="678"/>
    <n v="121"/>
    <n v="150"/>
    <n v="25"/>
    <n v="289"/>
    <n v="204"/>
    <n v="703"/>
    <x v="0"/>
    <n v="89"/>
    <n v="204"/>
    <n v="703"/>
  </r>
  <r>
    <x v="107"/>
    <n v="89"/>
    <n v="204"/>
    <n v="703"/>
    <n v="33"/>
    <n v="113"/>
    <n v="62"/>
    <n v="122"/>
    <n v="317"/>
    <n v="765"/>
    <x v="1"/>
    <n v="122"/>
    <n v="57"/>
    <n v="765"/>
  </r>
  <r>
    <x v="108"/>
    <n v="122"/>
    <n v="57"/>
    <n v="765"/>
    <n v="142"/>
    <n v="44"/>
    <n v="92"/>
    <n v="264"/>
    <n v="101"/>
    <n v="857"/>
    <x v="0"/>
    <n v="64"/>
    <n v="101"/>
    <n v="857"/>
  </r>
  <r>
    <x v="109"/>
    <n v="64"/>
    <n v="101"/>
    <n v="857"/>
    <n v="119"/>
    <n v="167"/>
    <n v="64"/>
    <n v="183"/>
    <n v="268"/>
    <n v="921"/>
    <x v="1"/>
    <n v="183"/>
    <n v="8"/>
    <n v="921"/>
  </r>
  <r>
    <x v="110"/>
    <n v="183"/>
    <n v="8"/>
    <n v="921"/>
    <n v="54"/>
    <n v="109"/>
    <n v="65"/>
    <n v="237"/>
    <n v="117"/>
    <n v="986"/>
    <x v="0"/>
    <n v="37"/>
    <n v="117"/>
    <n v="986"/>
  </r>
  <r>
    <x v="111"/>
    <n v="37"/>
    <n v="117"/>
    <n v="986"/>
    <n v="53"/>
    <n v="94"/>
    <n v="43"/>
    <n v="90"/>
    <n v="211"/>
    <n v="1029"/>
    <x v="2"/>
    <n v="90"/>
    <n v="211"/>
    <n v="709"/>
  </r>
  <r>
    <x v="112"/>
    <n v="90"/>
    <n v="211"/>
    <n v="709"/>
    <n v="165"/>
    <n v="101"/>
    <n v="8"/>
    <n v="255"/>
    <n v="312"/>
    <n v="717"/>
    <x v="0"/>
    <n v="55"/>
    <n v="312"/>
    <n v="717"/>
  </r>
  <r>
    <x v="113"/>
    <n v="55"/>
    <n v="312"/>
    <n v="717"/>
    <n v="159"/>
    <n v="68"/>
    <n v="96"/>
    <n v="214"/>
    <n v="380"/>
    <n v="813"/>
    <x v="0"/>
    <n v="14"/>
    <n v="380"/>
    <n v="813"/>
  </r>
  <r>
    <x v="114"/>
    <n v="14"/>
    <n v="380"/>
    <n v="813"/>
    <n v="79"/>
    <n v="119"/>
    <n v="35"/>
    <n v="93"/>
    <n v="499"/>
    <n v="848"/>
    <x v="1"/>
    <n v="93"/>
    <n v="239"/>
    <n v="848"/>
  </r>
  <r>
    <x v="115"/>
    <n v="93"/>
    <n v="239"/>
    <n v="848"/>
    <n v="128"/>
    <n v="148"/>
    <n v="77"/>
    <n v="221"/>
    <n v="387"/>
    <n v="925"/>
    <x v="0"/>
    <n v="21"/>
    <n v="387"/>
    <n v="925"/>
  </r>
  <r>
    <x v="116"/>
    <n v="21"/>
    <n v="387"/>
    <n v="925"/>
    <n v="195"/>
    <n v="39"/>
    <n v="77"/>
    <n v="216"/>
    <n v="426"/>
    <n v="1002"/>
    <x v="0"/>
    <n v="16"/>
    <n v="426"/>
    <n v="1002"/>
  </r>
  <r>
    <x v="117"/>
    <n v="16"/>
    <n v="426"/>
    <n v="1002"/>
    <n v="87"/>
    <n v="8"/>
    <n v="17"/>
    <n v="103"/>
    <n v="434"/>
    <n v="1019"/>
    <x v="1"/>
    <n v="103"/>
    <n v="174"/>
    <n v="1019"/>
  </r>
  <r>
    <x v="118"/>
    <n v="103"/>
    <n v="174"/>
    <n v="1019"/>
    <n v="114"/>
    <n v="124"/>
    <n v="94"/>
    <n v="217"/>
    <n v="298"/>
    <n v="1113"/>
    <x v="0"/>
    <n v="17"/>
    <n v="298"/>
    <n v="1113"/>
  </r>
  <r>
    <x v="119"/>
    <n v="17"/>
    <n v="298"/>
    <n v="1113"/>
    <n v="126"/>
    <n v="122"/>
    <n v="39"/>
    <n v="143"/>
    <n v="420"/>
    <n v="1152"/>
    <x v="1"/>
    <n v="143"/>
    <n v="160"/>
    <n v="1152"/>
  </r>
  <r>
    <x v="120"/>
    <n v="143"/>
    <n v="160"/>
    <n v="1152"/>
    <n v="96"/>
    <n v="113"/>
    <n v="28"/>
    <n v="239"/>
    <n v="273"/>
    <n v="1180"/>
    <x v="0"/>
    <n v="39"/>
    <n v="273"/>
    <n v="1180"/>
  </r>
  <r>
    <x v="121"/>
    <n v="39"/>
    <n v="273"/>
    <n v="1180"/>
    <n v="165"/>
    <n v="4"/>
    <n v="83"/>
    <n v="204"/>
    <n v="277"/>
    <n v="1263"/>
    <x v="0"/>
    <n v="4"/>
    <n v="277"/>
    <n v="1263"/>
  </r>
  <r>
    <x v="122"/>
    <n v="4"/>
    <n v="277"/>
    <n v="1263"/>
    <n v="1"/>
    <n v="117"/>
    <n v="76"/>
    <n v="5"/>
    <n v="394"/>
    <n v="1339"/>
    <x v="1"/>
    <n v="5"/>
    <n v="134"/>
    <n v="1339"/>
  </r>
  <r>
    <x v="123"/>
    <n v="5"/>
    <n v="134"/>
    <n v="1339"/>
    <n v="107"/>
    <n v="70"/>
    <n v="28"/>
    <n v="112"/>
    <n v="204"/>
    <n v="1367"/>
    <x v="2"/>
    <n v="112"/>
    <n v="204"/>
    <n v="1047"/>
  </r>
  <r>
    <x v="124"/>
    <n v="112"/>
    <n v="204"/>
    <n v="1047"/>
    <n v="83"/>
    <n v="81"/>
    <n v="1"/>
    <n v="195"/>
    <n v="285"/>
    <n v="1048"/>
    <x v="1"/>
    <n v="195"/>
    <n v="25"/>
    <n v="1048"/>
  </r>
  <r>
    <x v="125"/>
    <n v="195"/>
    <n v="25"/>
    <n v="1048"/>
    <n v="43"/>
    <n v="109"/>
    <n v="50"/>
    <n v="238"/>
    <n v="134"/>
    <n v="1098"/>
    <x v="0"/>
    <n v="38"/>
    <n v="134"/>
    <n v="1098"/>
  </r>
  <r>
    <x v="126"/>
    <n v="38"/>
    <n v="134"/>
    <n v="1098"/>
    <n v="52"/>
    <n v="110"/>
    <n v="19"/>
    <n v="90"/>
    <n v="244"/>
    <n v="1117"/>
    <x v="2"/>
    <n v="90"/>
    <n v="244"/>
    <n v="797"/>
  </r>
  <r>
    <x v="127"/>
    <n v="90"/>
    <n v="244"/>
    <n v="797"/>
    <n v="104"/>
    <n v="132"/>
    <n v="57"/>
    <n v="194"/>
    <n v="376"/>
    <n v="854"/>
    <x v="1"/>
    <n v="194"/>
    <n v="116"/>
    <n v="854"/>
  </r>
  <r>
    <x v="128"/>
    <n v="194"/>
    <n v="116"/>
    <n v="854"/>
    <n v="57"/>
    <n v="150"/>
    <n v="36"/>
    <n v="251"/>
    <n v="266"/>
    <n v="890"/>
    <x v="0"/>
    <n v="51"/>
    <n v="266"/>
    <n v="890"/>
  </r>
  <r>
    <x v="129"/>
    <n v="51"/>
    <n v="266"/>
    <n v="890"/>
    <n v="86"/>
    <n v="183"/>
    <n v="0"/>
    <n v="137"/>
    <n v="449"/>
    <n v="890"/>
    <x v="1"/>
    <n v="137"/>
    <n v="189"/>
    <n v="890"/>
  </r>
  <r>
    <x v="130"/>
    <n v="137"/>
    <n v="189"/>
    <n v="890"/>
    <n v="108"/>
    <n v="20"/>
    <n v="87"/>
    <n v="245"/>
    <n v="209"/>
    <n v="977"/>
    <x v="0"/>
    <n v="45"/>
    <n v="209"/>
    <n v="977"/>
  </r>
  <r>
    <x v="131"/>
    <n v="45"/>
    <n v="209"/>
    <n v="977"/>
    <n v="102"/>
    <n v="142"/>
    <n v="20"/>
    <n v="147"/>
    <n v="351"/>
    <n v="997"/>
    <x v="1"/>
    <n v="147"/>
    <n v="91"/>
    <n v="997"/>
  </r>
  <r>
    <x v="132"/>
    <n v="147"/>
    <n v="91"/>
    <n v="997"/>
    <n v="81"/>
    <n v="133"/>
    <n v="25"/>
    <n v="228"/>
    <n v="224"/>
    <n v="1022"/>
    <x v="0"/>
    <n v="28"/>
    <n v="224"/>
    <n v="1022"/>
  </r>
  <r>
    <x v="133"/>
    <n v="28"/>
    <n v="224"/>
    <n v="1022"/>
    <n v="59"/>
    <n v="87"/>
    <n v="10"/>
    <n v="87"/>
    <n v="311"/>
    <n v="1032"/>
    <x v="1"/>
    <n v="87"/>
    <n v="51"/>
    <n v="1032"/>
  </r>
  <r>
    <x v="134"/>
    <n v="87"/>
    <n v="51"/>
    <n v="1032"/>
    <n v="21"/>
    <n v="75"/>
    <n v="65"/>
    <n v="108"/>
    <n v="126"/>
    <n v="1097"/>
    <x v="2"/>
    <n v="108"/>
    <n v="126"/>
    <n v="777"/>
  </r>
  <r>
    <x v="135"/>
    <n v="108"/>
    <n v="126"/>
    <n v="777"/>
    <n v="79"/>
    <n v="14"/>
    <n v="27"/>
    <n v="187"/>
    <n v="140"/>
    <n v="804"/>
    <x v="2"/>
    <n v="187"/>
    <n v="140"/>
    <n v="484"/>
  </r>
  <r>
    <x v="136"/>
    <n v="187"/>
    <n v="140"/>
    <n v="484"/>
    <n v="56"/>
    <n v="12"/>
    <n v="25"/>
    <n v="243"/>
    <n v="152"/>
    <n v="509"/>
    <x v="0"/>
    <n v="43"/>
    <n v="152"/>
    <n v="509"/>
  </r>
  <r>
    <x v="137"/>
    <n v="43"/>
    <n v="152"/>
    <n v="509"/>
    <n v="195"/>
    <n v="90"/>
    <n v="56"/>
    <n v="238"/>
    <n v="242"/>
    <n v="565"/>
    <x v="0"/>
    <n v="38"/>
    <n v="242"/>
    <n v="565"/>
  </r>
  <r>
    <x v="138"/>
    <n v="38"/>
    <n v="242"/>
    <n v="565"/>
    <n v="113"/>
    <n v="90"/>
    <n v="24"/>
    <n v="151"/>
    <n v="332"/>
    <n v="589"/>
    <x v="1"/>
    <n v="151"/>
    <n v="72"/>
    <n v="589"/>
  </r>
  <r>
    <x v="139"/>
    <n v="151"/>
    <n v="72"/>
    <n v="589"/>
    <n v="93"/>
    <n v="139"/>
    <n v="47"/>
    <n v="244"/>
    <n v="211"/>
    <n v="636"/>
    <x v="0"/>
    <n v="44"/>
    <n v="211"/>
    <n v="636"/>
  </r>
  <r>
    <x v="140"/>
    <n v="44"/>
    <n v="211"/>
    <n v="636"/>
    <n v="93"/>
    <n v="147"/>
    <n v="26"/>
    <n v="137"/>
    <n v="358"/>
    <n v="662"/>
    <x v="1"/>
    <n v="137"/>
    <n v="98"/>
    <n v="662"/>
  </r>
  <r>
    <x v="141"/>
    <n v="137"/>
    <n v="98"/>
    <n v="662"/>
    <n v="79"/>
    <n v="145"/>
    <n v="36"/>
    <n v="216"/>
    <n v="243"/>
    <n v="698"/>
    <x v="0"/>
    <n v="16"/>
    <n v="243"/>
    <n v="698"/>
  </r>
  <r>
    <x v="142"/>
    <n v="16"/>
    <n v="243"/>
    <n v="698"/>
    <n v="148"/>
    <n v="127"/>
    <n v="27"/>
    <n v="164"/>
    <n v="370"/>
    <n v="725"/>
    <x v="1"/>
    <n v="164"/>
    <n v="110"/>
    <n v="725"/>
  </r>
  <r>
    <x v="143"/>
    <n v="164"/>
    <n v="110"/>
    <n v="725"/>
    <n v="132"/>
    <n v="128"/>
    <n v="37"/>
    <n v="296"/>
    <n v="238"/>
    <n v="762"/>
    <x v="0"/>
    <n v="96"/>
    <n v="238"/>
    <n v="762"/>
  </r>
  <r>
    <x v="144"/>
    <n v="96"/>
    <n v="238"/>
    <n v="762"/>
    <n v="22"/>
    <n v="115"/>
    <n v="28"/>
    <n v="118"/>
    <n v="353"/>
    <n v="790"/>
    <x v="1"/>
    <n v="118"/>
    <n v="93"/>
    <n v="790"/>
  </r>
  <r>
    <x v="145"/>
    <n v="118"/>
    <n v="93"/>
    <n v="790"/>
    <n v="50"/>
    <n v="99"/>
    <n v="78"/>
    <n v="168"/>
    <n v="192"/>
    <n v="868"/>
    <x v="2"/>
    <n v="168"/>
    <n v="192"/>
    <n v="548"/>
  </r>
  <r>
    <x v="146"/>
    <n v="168"/>
    <n v="192"/>
    <n v="548"/>
    <n v="178"/>
    <n v="146"/>
    <n v="75"/>
    <n v="346"/>
    <n v="338"/>
    <n v="623"/>
    <x v="0"/>
    <n v="146"/>
    <n v="338"/>
    <n v="623"/>
  </r>
  <r>
    <x v="147"/>
    <n v="146"/>
    <n v="338"/>
    <n v="623"/>
    <n v="97"/>
    <n v="135"/>
    <n v="66"/>
    <n v="243"/>
    <n v="473"/>
    <n v="689"/>
    <x v="0"/>
    <n v="43"/>
    <n v="473"/>
    <n v="689"/>
  </r>
  <r>
    <x v="148"/>
    <n v="43"/>
    <n v="473"/>
    <n v="689"/>
    <n v="138"/>
    <n v="160"/>
    <n v="6"/>
    <n v="181"/>
    <n v="633"/>
    <n v="695"/>
    <x v="1"/>
    <n v="181"/>
    <n v="373"/>
    <n v="695"/>
  </r>
  <r>
    <x v="149"/>
    <n v="181"/>
    <n v="373"/>
    <n v="695"/>
    <n v="194"/>
    <n v="87"/>
    <n v="60"/>
    <n v="375"/>
    <n v="460"/>
    <n v="755"/>
    <x v="0"/>
    <n v="175"/>
    <n v="460"/>
    <n v="755"/>
  </r>
  <r>
    <x v="150"/>
    <n v="175"/>
    <n v="460"/>
    <n v="755"/>
    <n v="86"/>
    <n v="21"/>
    <n v="45"/>
    <n v="261"/>
    <n v="481"/>
    <n v="800"/>
    <x v="0"/>
    <n v="61"/>
    <n v="481"/>
    <n v="800"/>
  </r>
  <r>
    <x v="151"/>
    <n v="61"/>
    <n v="481"/>
    <n v="800"/>
    <n v="26"/>
    <n v="60"/>
    <n v="44"/>
    <n v="87"/>
    <n v="541"/>
    <n v="844"/>
    <x v="1"/>
    <n v="87"/>
    <n v="281"/>
    <n v="844"/>
  </r>
  <r>
    <x v="152"/>
    <n v="87"/>
    <n v="281"/>
    <n v="844"/>
    <n v="28"/>
    <n v="35"/>
    <n v="96"/>
    <n v="115"/>
    <n v="316"/>
    <n v="940"/>
    <x v="1"/>
    <n v="115"/>
    <n v="56"/>
    <n v="940"/>
  </r>
  <r>
    <x v="153"/>
    <n v="115"/>
    <n v="56"/>
    <n v="940"/>
    <n v="53"/>
    <n v="100"/>
    <n v="64"/>
    <n v="168"/>
    <n v="156"/>
    <n v="1004"/>
    <x v="2"/>
    <n v="168"/>
    <n v="156"/>
    <n v="684"/>
  </r>
  <r>
    <x v="154"/>
    <n v="168"/>
    <n v="156"/>
    <n v="684"/>
    <n v="168"/>
    <n v="64"/>
    <n v="46"/>
    <n v="336"/>
    <n v="220"/>
    <n v="730"/>
    <x v="0"/>
    <n v="136"/>
    <n v="220"/>
    <n v="730"/>
  </r>
  <r>
    <x v="155"/>
    <n v="136"/>
    <n v="220"/>
    <n v="730"/>
    <n v="77"/>
    <n v="60"/>
    <n v="35"/>
    <n v="213"/>
    <n v="280"/>
    <n v="765"/>
    <x v="0"/>
    <n v="13"/>
    <n v="280"/>
    <n v="765"/>
  </r>
  <r>
    <x v="156"/>
    <n v="13"/>
    <n v="280"/>
    <n v="765"/>
    <n v="17"/>
    <n v="80"/>
    <n v="30"/>
    <n v="30"/>
    <n v="360"/>
    <n v="795"/>
    <x v="1"/>
    <n v="30"/>
    <n v="100"/>
    <n v="795"/>
  </r>
  <r>
    <x v="157"/>
    <n v="30"/>
    <n v="100"/>
    <n v="795"/>
    <n v="175"/>
    <n v="47"/>
    <n v="25"/>
    <n v="205"/>
    <n v="147"/>
    <n v="820"/>
    <x v="0"/>
    <n v="5"/>
    <n v="147"/>
    <n v="820"/>
  </r>
  <r>
    <x v="158"/>
    <n v="5"/>
    <n v="147"/>
    <n v="820"/>
    <n v="164"/>
    <n v="60"/>
    <n v="22"/>
    <n v="169"/>
    <n v="207"/>
    <n v="842"/>
    <x v="2"/>
    <n v="169"/>
    <n v="207"/>
    <n v="522"/>
  </r>
  <r>
    <x v="159"/>
    <n v="169"/>
    <n v="207"/>
    <n v="522"/>
    <n v="199"/>
    <n v="80"/>
    <n v="45"/>
    <n v="368"/>
    <n v="287"/>
    <n v="567"/>
    <x v="0"/>
    <n v="168"/>
    <n v="287"/>
    <n v="567"/>
  </r>
  <r>
    <x v="160"/>
    <n v="168"/>
    <n v="287"/>
    <n v="567"/>
    <n v="111"/>
    <n v="92"/>
    <n v="45"/>
    <n v="279"/>
    <n v="379"/>
    <n v="612"/>
    <x v="0"/>
    <n v="79"/>
    <n v="379"/>
    <n v="612"/>
  </r>
  <r>
    <x v="161"/>
    <n v="79"/>
    <n v="379"/>
    <n v="612"/>
    <n v="58"/>
    <n v="90"/>
    <n v="40"/>
    <n v="137"/>
    <n v="469"/>
    <n v="652"/>
    <x v="1"/>
    <n v="137"/>
    <n v="209"/>
    <n v="652"/>
  </r>
  <r>
    <x v="162"/>
    <n v="137"/>
    <n v="209"/>
    <n v="652"/>
    <n v="59"/>
    <n v="164"/>
    <n v="47"/>
    <n v="196"/>
    <n v="373"/>
    <n v="699"/>
    <x v="1"/>
    <n v="196"/>
    <n v="113"/>
    <n v="699"/>
  </r>
  <r>
    <x v="163"/>
    <n v="196"/>
    <n v="113"/>
    <n v="699"/>
    <n v="158"/>
    <n v="120"/>
    <n v="30"/>
    <n v="354"/>
    <n v="233"/>
    <n v="729"/>
    <x v="0"/>
    <n v="154"/>
    <n v="233"/>
    <n v="729"/>
  </r>
  <r>
    <x v="164"/>
    <n v="154"/>
    <n v="233"/>
    <n v="729"/>
    <n v="84"/>
    <n v="90"/>
    <n v="30"/>
    <n v="238"/>
    <n v="323"/>
    <n v="759"/>
    <x v="0"/>
    <n v="38"/>
    <n v="323"/>
    <n v="759"/>
  </r>
  <r>
    <x v="165"/>
    <n v="38"/>
    <n v="323"/>
    <n v="759"/>
    <n v="64"/>
    <n v="61"/>
    <n v="60"/>
    <n v="102"/>
    <n v="384"/>
    <n v="819"/>
    <x v="1"/>
    <n v="102"/>
    <n v="124"/>
    <n v="819"/>
  </r>
  <r>
    <x v="166"/>
    <n v="102"/>
    <n v="124"/>
    <n v="819"/>
    <n v="125"/>
    <n v="84"/>
    <n v="40"/>
    <n v="227"/>
    <n v="208"/>
    <n v="859"/>
    <x v="0"/>
    <n v="27"/>
    <n v="208"/>
    <n v="859"/>
  </r>
  <r>
    <x v="167"/>
    <n v="27"/>
    <n v="208"/>
    <n v="859"/>
    <n v="148"/>
    <n v="110"/>
    <n v="50"/>
    <n v="175"/>
    <n v="318"/>
    <n v="909"/>
    <x v="1"/>
    <n v="175"/>
    <n v="58"/>
    <n v="909"/>
  </r>
  <r>
    <x v="168"/>
    <n v="175"/>
    <n v="58"/>
    <n v="909"/>
    <n v="172"/>
    <n v="100"/>
    <n v="30"/>
    <n v="347"/>
    <n v="158"/>
    <n v="939"/>
    <x v="0"/>
    <n v="147"/>
    <n v="158"/>
    <n v="939"/>
  </r>
  <r>
    <x v="169"/>
    <n v="147"/>
    <n v="158"/>
    <n v="939"/>
    <n v="103"/>
    <n v="60"/>
    <n v="40"/>
    <n v="250"/>
    <n v="218"/>
    <n v="979"/>
    <x v="0"/>
    <n v="50"/>
    <n v="218"/>
    <n v="979"/>
  </r>
  <r>
    <x v="170"/>
    <n v="50"/>
    <n v="218"/>
    <n v="979"/>
    <n v="191"/>
    <n v="41"/>
    <n v="52"/>
    <n v="241"/>
    <n v="259"/>
    <n v="1031"/>
    <x v="0"/>
    <n v="41"/>
    <n v="259"/>
    <n v="1031"/>
  </r>
  <r>
    <x v="171"/>
    <n v="41"/>
    <n v="259"/>
    <n v="1031"/>
    <n v="128"/>
    <n v="98"/>
    <n v="40"/>
    <n v="169"/>
    <n v="357"/>
    <n v="1071"/>
    <x v="1"/>
    <n v="169"/>
    <n v="97"/>
    <n v="1071"/>
  </r>
  <r>
    <x v="172"/>
    <n v="169"/>
    <n v="97"/>
    <n v="1071"/>
    <n v="75"/>
    <n v="87"/>
    <n v="47"/>
    <n v="244"/>
    <n v="184"/>
    <n v="1118"/>
    <x v="0"/>
    <n v="44"/>
    <n v="184"/>
    <n v="1118"/>
  </r>
  <r>
    <x v="173"/>
    <n v="44"/>
    <n v="184"/>
    <n v="1118"/>
    <n v="38"/>
    <n v="100"/>
    <n v="50"/>
    <n v="82"/>
    <n v="284"/>
    <n v="1168"/>
    <x v="1"/>
    <n v="82"/>
    <n v="24"/>
    <n v="1168"/>
  </r>
  <r>
    <x v="174"/>
    <n v="82"/>
    <n v="24"/>
    <n v="1168"/>
    <n v="80"/>
    <n v="40"/>
    <n v="30"/>
    <n v="162"/>
    <n v="64"/>
    <n v="1198"/>
    <x v="2"/>
    <n v="162"/>
    <n v="64"/>
    <n v="878"/>
  </r>
  <r>
    <x v="175"/>
    <n v="162"/>
    <n v="64"/>
    <n v="878"/>
    <n v="55"/>
    <n v="60"/>
    <n v="50"/>
    <n v="217"/>
    <n v="124"/>
    <n v="928"/>
    <x v="0"/>
    <n v="17"/>
    <n v="124"/>
    <n v="928"/>
  </r>
  <r>
    <x v="176"/>
    <n v="17"/>
    <n v="124"/>
    <n v="928"/>
    <n v="10"/>
    <n v="80"/>
    <n v="48"/>
    <n v="27"/>
    <n v="204"/>
    <n v="976"/>
    <x v="2"/>
    <n v="27"/>
    <n v="204"/>
    <n v="656"/>
  </r>
  <r>
    <x v="177"/>
    <n v="27"/>
    <n v="204"/>
    <n v="656"/>
    <n v="95"/>
    <n v="60"/>
    <n v="51"/>
    <n v="122"/>
    <n v="264"/>
    <n v="707"/>
    <x v="1"/>
    <n v="122"/>
    <n v="4"/>
    <n v="707"/>
  </r>
  <r>
    <x v="178"/>
    <n v="122"/>
    <n v="4"/>
    <n v="707"/>
    <n v="90"/>
    <n v="100"/>
    <n v="50"/>
    <n v="212"/>
    <n v="104"/>
    <n v="757"/>
    <x v="0"/>
    <n v="12"/>
    <n v="104"/>
    <n v="757"/>
  </r>
  <r>
    <x v="179"/>
    <n v="12"/>
    <n v="104"/>
    <n v="757"/>
    <n v="186"/>
    <n v="60"/>
    <n v="92"/>
    <n v="198"/>
    <n v="164"/>
    <n v="849"/>
    <x v="2"/>
    <n v="198"/>
    <n v="164"/>
    <n v="529"/>
  </r>
  <r>
    <x v="180"/>
    <n v="198"/>
    <n v="164"/>
    <n v="529"/>
    <n v="2"/>
    <n v="40"/>
    <n v="50"/>
    <n v="200"/>
    <n v="204"/>
    <n v="579"/>
    <x v="0"/>
    <n v="0"/>
    <n v="204"/>
    <n v="579"/>
  </r>
  <r>
    <x v="181"/>
    <n v="0"/>
    <n v="204"/>
    <n v="579"/>
    <n v="136"/>
    <n v="20"/>
    <n v="66"/>
    <n v="136"/>
    <n v="224"/>
    <n v="645"/>
    <x v="2"/>
    <n v="136"/>
    <n v="224"/>
    <n v="325"/>
  </r>
  <r>
    <x v="182"/>
    <n v="136"/>
    <n v="224"/>
    <n v="325"/>
    <n v="4"/>
    <n v="20"/>
    <n v="10"/>
    <n v="140"/>
    <n v="244"/>
    <n v="335"/>
    <x v="2"/>
    <n v="140"/>
    <n v="244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7FDFA-67F7-4D69-86C0-4CB49C371794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 rowHeaderCaption="miesiące">
  <location ref="P8:S16" firstHeaderRow="0" firstDataRow="1" firstDataCol="1"/>
  <pivotFields count="17">
    <pivotField numFmtId="14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5">
        <item sd="0" x="13"/>
        <item sd="0" x="0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4"/>
  </rowFields>
  <rowItems count="8">
    <i>
      <x v="2"/>
    </i>
    <i>
      <x v="3"/>
    </i>
    <i>
      <x v="4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łączna dostawa węgla kostka" fld="4" baseField="0" baseItem="0"/>
    <dataField name="łączna dostawa węgla orzech" fld="5" baseField="0" baseItem="0"/>
    <dataField name="łączna dostawa węgla miał" fld="6" baseField="0" baseItem="0"/>
  </dataFields>
  <formats count="8">
    <format dxfId="24">
      <pivotArea collapsedLevelsAreSubtotals="1" fieldPosition="0">
        <references count="1">
          <reference field="14" count="7">
            <x v="2"/>
            <x v="3"/>
            <x v="4"/>
            <x v="10"/>
            <x v="11"/>
            <x v="12"/>
            <x v="13"/>
          </reference>
        </references>
      </pivotArea>
    </format>
    <format dxfId="23">
      <pivotArea field="14" type="button" dataOnly="0" labelOnly="1" outline="0" axis="axisRow" fieldPosition="0"/>
    </format>
    <format dxfId="22">
      <pivotArea dataOnly="0" labelOnly="1" fieldPosition="0">
        <references count="1">
          <reference field="14" count="7">
            <x v="2"/>
            <x v="3"/>
            <x v="4"/>
            <x v="10"/>
            <x v="11"/>
            <x v="12"/>
            <x v="13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">
      <pivotArea collapsedLevelsAreSubtotals="1" fieldPosition="0">
        <references count="1">
          <reference field="14" count="7">
            <x v="2"/>
            <x v="3"/>
            <x v="4"/>
            <x v="10"/>
            <x v="11"/>
            <x v="12"/>
            <x v="13"/>
          </reference>
        </references>
      </pivotArea>
    </format>
    <format dxfId="19">
      <pivotArea field="14" type="button" dataOnly="0" labelOnly="1" outline="0" axis="axisRow" fieldPosition="0"/>
    </format>
    <format dxfId="18">
      <pivotArea dataOnly="0" labelOnly="1" fieldPosition="0">
        <references count="1">
          <reference field="14" count="7">
            <x v="2"/>
            <x v="3"/>
            <x v="4"/>
            <x v="10"/>
            <x v="11"/>
            <x v="12"/>
            <x v="13"/>
          </reference>
        </references>
      </pivotArea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FA105-B18A-4618-864D-2F8D487D2C7A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miesiące">
  <location ref="P8:S16" firstHeaderRow="0" firstDataRow="1" firstDataCol="1"/>
  <pivotFields count="17">
    <pivotField numFmtId="14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łączna dostawa węgla kostka" fld="4" baseField="0" baseItem="0"/>
    <dataField name="łączna dostawa węgla orzech" fld="5" baseField="0" baseItem="0"/>
    <dataField name="łączna dostawa węgla miał" fld="6" baseField="0" baseItem="0"/>
  </dataFields>
  <formats count="8">
    <format dxfId="0">
      <pivotArea collapsedLevelsAreSubtotals="1" fieldPosition="0">
        <references count="1">
          <reference field="14" count="7">
            <x v="0"/>
            <x v="1"/>
            <x v="2"/>
            <x v="3"/>
            <x v="9"/>
            <x v="10"/>
            <x v="11"/>
          </reference>
        </references>
      </pivotArea>
    </format>
    <format dxfId="1">
      <pivotArea field="14" type="button" dataOnly="0" labelOnly="1" outline="0" axis="axisRow" fieldPosition="0"/>
    </format>
    <format dxfId="2">
      <pivotArea dataOnly="0" labelOnly="1" fieldPosition="0">
        <references count="1">
          <reference field="14" count="7">
            <x v="0"/>
            <x v="1"/>
            <x v="2"/>
            <x v="3"/>
            <x v="9"/>
            <x v="10"/>
            <x v="11"/>
          </reference>
        </references>
      </pivotArea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collapsedLevelsAreSubtotals="1" fieldPosition="0">
        <references count="1">
          <reference field="14" count="7">
            <x v="0"/>
            <x v="1"/>
            <x v="2"/>
            <x v="3"/>
            <x v="9"/>
            <x v="10"/>
            <x v="11"/>
          </reference>
        </references>
      </pivotArea>
    </format>
    <format dxfId="5">
      <pivotArea field="14" type="button" dataOnly="0" labelOnly="1" outline="0" axis="axisRow" fieldPosition="0"/>
    </format>
    <format dxfId="6">
      <pivotArea dataOnly="0" labelOnly="1" fieldPosition="0">
        <references count="1">
          <reference field="14" count="7">
            <x v="0"/>
            <x v="1"/>
            <x v="2"/>
            <x v="3"/>
            <x v="9"/>
            <x v="10"/>
            <x v="11"/>
          </reference>
        </references>
      </pivotArea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8C041-6204-422A-B1B3-93E46BCEC868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miesiące">
  <location ref="P8:S16" firstHeaderRow="0" firstDataRow="1" firstDataCol="1"/>
  <pivotFields count="17">
    <pivotField numFmtId="14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łączna dostawa węgla kostka" fld="4" baseField="0" baseItem="0"/>
    <dataField name="łączna dostawa węgla orzech" fld="5" baseField="0" baseItem="0"/>
    <dataField name="łączna dostawa węgla miał" fld="6" baseField="0" baseItem="0"/>
  </dataFields>
  <formats count="8">
    <format dxfId="16">
      <pivotArea collapsedLevelsAreSubtotals="1" fieldPosition="0">
        <references count="1">
          <reference field="14" count="7">
            <x v="0"/>
            <x v="1"/>
            <x v="2"/>
            <x v="3"/>
            <x v="9"/>
            <x v="10"/>
            <x v="11"/>
          </reference>
        </references>
      </pivotArea>
    </format>
    <format dxfId="15">
      <pivotArea field="14" type="button" dataOnly="0" labelOnly="1" outline="0" axis="axisRow" fieldPosition="0"/>
    </format>
    <format dxfId="14">
      <pivotArea dataOnly="0" labelOnly="1" fieldPosition="0">
        <references count="1">
          <reference field="14" count="7">
            <x v="0"/>
            <x v="1"/>
            <x v="2"/>
            <x v="3"/>
            <x v="9"/>
            <x v="10"/>
            <x v="11"/>
          </reference>
        </references>
      </pivotArea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collapsedLevelsAreSubtotals="1" fieldPosition="0">
        <references count="1">
          <reference field="14" count="7">
            <x v="0"/>
            <x v="1"/>
            <x v="2"/>
            <x v="3"/>
            <x v="9"/>
            <x v="10"/>
            <x v="11"/>
          </reference>
        </references>
      </pivotArea>
    </format>
    <format dxfId="10">
      <pivotArea field="14" type="button" dataOnly="0" labelOnly="1" outline="0" axis="axisRow" fieldPosition="0"/>
    </format>
    <format dxfId="9">
      <pivotArea dataOnly="0" labelOnly="1" fieldPosition="0">
        <references count="1">
          <reference field="14" count="7">
            <x v="0"/>
            <x v="1"/>
            <x v="2"/>
            <x v="3"/>
            <x v="9"/>
            <x v="10"/>
            <x v="11"/>
          </reference>
        </references>
      </pivotArea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D5AB7-50C5-4332-BC4C-D14BA6494C91}" name="Tabela przestawna1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rodzaj węgla">
  <location ref="P13:Q17" firstHeaderRow="1" firstDataRow="1" firstDataCol="1"/>
  <pivotFields count="17">
    <pivotField dataField="1" numFmtId="14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2"/>
        <item h="1" x="3"/>
        <item x="1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0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liczba dni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4FBF-99B8-4CBB-814D-C88A0FEBA333}">
  <dimension ref="A1:U184"/>
  <sheetViews>
    <sheetView topLeftCell="J1" zoomScale="85" zoomScaleNormal="85" workbookViewId="0">
      <selection activeCell="T20" sqref="T20"/>
    </sheetView>
  </sheetViews>
  <sheetFormatPr defaultRowHeight="15" x14ac:dyDescent="0.25"/>
  <cols>
    <col min="1" max="1" width="10.140625" bestFit="1" customWidth="1"/>
    <col min="2" max="2" width="16.140625" bestFit="1" customWidth="1"/>
    <col min="3" max="3" width="18" bestFit="1" customWidth="1"/>
    <col min="4" max="4" width="15.85546875" bestFit="1" customWidth="1"/>
    <col min="5" max="5" width="17" bestFit="1" customWidth="1"/>
    <col min="6" max="6" width="18.85546875" bestFit="1" customWidth="1"/>
    <col min="7" max="7" width="16.7109375" bestFit="1" customWidth="1"/>
    <col min="8" max="8" width="23.85546875" bestFit="1" customWidth="1"/>
    <col min="9" max="9" width="25.7109375" bestFit="1" customWidth="1"/>
    <col min="10" max="10" width="23.5703125" bestFit="1" customWidth="1"/>
    <col min="11" max="11" width="12.42578125" bestFit="1" customWidth="1"/>
    <col min="12" max="12" width="22.42578125" bestFit="1" customWidth="1"/>
    <col min="13" max="13" width="24" bestFit="1" customWidth="1"/>
    <col min="14" max="14" width="22.140625" bestFit="1" customWidth="1"/>
    <col min="16" max="16" width="14.28515625" bestFit="1" customWidth="1"/>
    <col min="17" max="17" width="26.7109375" bestFit="1" customWidth="1"/>
    <col min="18" max="18" width="26.85546875" bestFit="1" customWidth="1"/>
    <col min="19" max="19" width="24.7109375" bestFit="1" customWidth="1"/>
    <col min="20" max="20" width="16.7109375" bestFit="1" customWidth="1"/>
    <col min="21" max="21" width="4" bestFit="1" customWidth="1"/>
  </cols>
  <sheetData>
    <row r="1" spans="1:21" x14ac:dyDescent="0.25">
      <c r="A1" t="s">
        <v>5</v>
      </c>
      <c r="B1" t="s">
        <v>8</v>
      </c>
      <c r="C1" t="s">
        <v>9</v>
      </c>
      <c r="D1" t="s">
        <v>10</v>
      </c>
      <c r="E1" t="s">
        <v>18</v>
      </c>
      <c r="F1" t="s">
        <v>19</v>
      </c>
      <c r="G1" t="s">
        <v>20</v>
      </c>
      <c r="H1" t="s">
        <v>12</v>
      </c>
      <c r="I1" t="s">
        <v>13</v>
      </c>
      <c r="J1" t="s">
        <v>14</v>
      </c>
      <c r="K1" t="s">
        <v>11</v>
      </c>
      <c r="L1" t="s">
        <v>15</v>
      </c>
      <c r="M1" t="s">
        <v>16</v>
      </c>
      <c r="N1" t="s">
        <v>17</v>
      </c>
      <c r="P1" t="s">
        <v>2</v>
      </c>
      <c r="Q1" t="s">
        <v>3</v>
      </c>
      <c r="R1" t="s">
        <v>7</v>
      </c>
      <c r="T1" t="s">
        <v>6</v>
      </c>
      <c r="U1">
        <v>200</v>
      </c>
    </row>
    <row r="2" spans="1:21" x14ac:dyDescent="0.25">
      <c r="A2" s="1">
        <v>41927</v>
      </c>
      <c r="B2">
        <v>80</v>
      </c>
      <c r="C2">
        <v>80</v>
      </c>
      <c r="D2">
        <v>80</v>
      </c>
      <c r="E2">
        <v>200</v>
      </c>
      <c r="F2">
        <v>120</v>
      </c>
      <c r="G2">
        <v>81</v>
      </c>
      <c r="H2">
        <f>B2+E2</f>
        <v>280</v>
      </c>
      <c r="I2">
        <f>C2+F2</f>
        <v>200</v>
      </c>
      <c r="J2">
        <f>D2+G2</f>
        <v>161</v>
      </c>
      <c r="K2" t="str" cm="1">
        <f t="array" ref="K2">_xlfn.IFS(H2&gt;=$U$1,"kostka",I2&gt;=$U$1*$R$3,"orzech",J2&gt;=$U$1*$R$4,"miał",1=1,"NIC")</f>
        <v>kostka</v>
      </c>
      <c r="L2">
        <f>IF($K2="kostka",H2-$U$1,H2)</f>
        <v>80</v>
      </c>
      <c r="M2">
        <f>IF($K2="orzech",I2-$U$1*$R$3,I2)</f>
        <v>200</v>
      </c>
      <c r="N2">
        <f>IF($K2="miał",J2-$U$1*$R$4,J2)</f>
        <v>161</v>
      </c>
      <c r="P2" t="s">
        <v>0</v>
      </c>
      <c r="Q2">
        <v>685</v>
      </c>
      <c r="R2">
        <v>1</v>
      </c>
    </row>
    <row r="3" spans="1:21" x14ac:dyDescent="0.25">
      <c r="A3" s="1">
        <v>41928</v>
      </c>
      <c r="B3">
        <f>L2</f>
        <v>80</v>
      </c>
      <c r="C3">
        <f>M2</f>
        <v>200</v>
      </c>
      <c r="D3">
        <f>N2</f>
        <v>161</v>
      </c>
      <c r="E3">
        <v>100</v>
      </c>
      <c r="F3">
        <v>135</v>
      </c>
      <c r="G3">
        <v>33</v>
      </c>
      <c r="H3">
        <f t="shared" ref="H3:J66" si="0">B3+E3</f>
        <v>180</v>
      </c>
      <c r="I3">
        <f t="shared" si="0"/>
        <v>335</v>
      </c>
      <c r="J3">
        <f t="shared" si="0"/>
        <v>194</v>
      </c>
      <c r="K3" t="str" cm="1">
        <f t="array" ref="K3">_xlfn.IFS(H3&gt;=$U$1,"kostka",I3&gt;=$U$1*$R$3,"orzech",J3&gt;=$U$1*$R$4,"miał",1=1,"NIC")</f>
        <v>orzech</v>
      </c>
      <c r="L3">
        <f>IF($K3="kostka",H3-$U$1,H3)</f>
        <v>180</v>
      </c>
      <c r="M3">
        <f>IF($K3="orzech",I3-$U$1*$R$3,I3)</f>
        <v>75</v>
      </c>
      <c r="N3">
        <f>IF($K3="miał",J3-$U$1*$R$4,J3)</f>
        <v>194</v>
      </c>
      <c r="P3" t="s">
        <v>1</v>
      </c>
      <c r="Q3">
        <v>620</v>
      </c>
      <c r="R3">
        <v>1.3</v>
      </c>
    </row>
    <row r="4" spans="1:21" x14ac:dyDescent="0.25">
      <c r="A4" s="1">
        <v>41929</v>
      </c>
      <c r="B4">
        <f t="shared" ref="B4:D67" si="1">L3</f>
        <v>180</v>
      </c>
      <c r="C4">
        <f t="shared" si="1"/>
        <v>75</v>
      </c>
      <c r="D4">
        <f t="shared" si="1"/>
        <v>194</v>
      </c>
      <c r="E4">
        <v>50</v>
      </c>
      <c r="F4">
        <v>29</v>
      </c>
      <c r="G4">
        <v>85</v>
      </c>
      <c r="H4">
        <f t="shared" si="0"/>
        <v>230</v>
      </c>
      <c r="I4">
        <f t="shared" si="0"/>
        <v>104</v>
      </c>
      <c r="J4">
        <f t="shared" si="0"/>
        <v>279</v>
      </c>
      <c r="K4" t="str" cm="1">
        <f t="array" ref="K4">_xlfn.IFS(H4&gt;=$U$1,"kostka",I4&gt;=$U$1*$R$3,"orzech",J4&gt;=$U$1*$R$4,"miał",1=1,"NIC")</f>
        <v>kostka</v>
      </c>
      <c r="L4">
        <f t="shared" ref="L4:L67" si="2">IF($K4="kostka",H4-$U$1,H4)</f>
        <v>30</v>
      </c>
      <c r="M4">
        <f t="shared" ref="M4:M67" si="3">IF($K4="orzech",I4-$U$1*$R$3,I4)</f>
        <v>104</v>
      </c>
      <c r="N4">
        <f t="shared" ref="N4:N67" si="4">IF($K4="miał",J4-$U$1*$R$4,J4)</f>
        <v>279</v>
      </c>
      <c r="P4" t="s">
        <v>4</v>
      </c>
      <c r="Q4">
        <v>380</v>
      </c>
      <c r="R4">
        <v>1.6</v>
      </c>
    </row>
    <row r="5" spans="1:21" x14ac:dyDescent="0.25">
      <c r="A5" s="1">
        <v>41930</v>
      </c>
      <c r="B5">
        <f t="shared" si="1"/>
        <v>30</v>
      </c>
      <c r="C5">
        <f t="shared" si="1"/>
        <v>104</v>
      </c>
      <c r="D5">
        <f t="shared" si="1"/>
        <v>279</v>
      </c>
      <c r="E5">
        <v>68</v>
      </c>
      <c r="F5">
        <v>107</v>
      </c>
      <c r="G5">
        <v>84</v>
      </c>
      <c r="H5">
        <f t="shared" si="0"/>
        <v>98</v>
      </c>
      <c r="I5">
        <f t="shared" si="0"/>
        <v>211</v>
      </c>
      <c r="J5">
        <f t="shared" si="0"/>
        <v>363</v>
      </c>
      <c r="K5" t="str" cm="1">
        <f t="array" ref="K5">_xlfn.IFS(H5&gt;=$U$1,"kostka",I5&gt;=$U$1*$R$3,"orzech",J5&gt;=$U$1*$R$4,"miał",1=1,"NIC")</f>
        <v>miał</v>
      </c>
      <c r="L5">
        <f t="shared" si="2"/>
        <v>98</v>
      </c>
      <c r="M5">
        <f t="shared" si="3"/>
        <v>211</v>
      </c>
      <c r="N5">
        <f t="shared" si="4"/>
        <v>43</v>
      </c>
    </row>
    <row r="6" spans="1:21" x14ac:dyDescent="0.25">
      <c r="A6" s="1">
        <v>41931</v>
      </c>
      <c r="B6">
        <f t="shared" si="1"/>
        <v>98</v>
      </c>
      <c r="C6">
        <f t="shared" si="1"/>
        <v>211</v>
      </c>
      <c r="D6">
        <f t="shared" si="1"/>
        <v>43</v>
      </c>
      <c r="E6">
        <v>75</v>
      </c>
      <c r="F6">
        <v>49</v>
      </c>
      <c r="G6">
        <v>23</v>
      </c>
      <c r="H6">
        <f t="shared" si="0"/>
        <v>173</v>
      </c>
      <c r="I6">
        <f t="shared" si="0"/>
        <v>260</v>
      </c>
      <c r="J6">
        <f t="shared" si="0"/>
        <v>66</v>
      </c>
      <c r="K6" t="str" cm="1">
        <f t="array" ref="K6">_xlfn.IFS(H6&gt;=$U$1,"kostka",I6&gt;=$U$1*$R$3,"orzech",J6&gt;=$U$1*$R$4,"miał",1=1,"NIC")</f>
        <v>orzech</v>
      </c>
      <c r="L6">
        <f t="shared" si="2"/>
        <v>173</v>
      </c>
      <c r="M6">
        <f t="shared" si="3"/>
        <v>0</v>
      </c>
      <c r="N6">
        <f t="shared" si="4"/>
        <v>66</v>
      </c>
    </row>
    <row r="7" spans="1:21" x14ac:dyDescent="0.25">
      <c r="A7" s="1">
        <v>41932</v>
      </c>
      <c r="B7">
        <f t="shared" si="1"/>
        <v>173</v>
      </c>
      <c r="C7">
        <f t="shared" si="1"/>
        <v>0</v>
      </c>
      <c r="D7">
        <f t="shared" si="1"/>
        <v>66</v>
      </c>
      <c r="E7">
        <v>109</v>
      </c>
      <c r="F7">
        <v>90</v>
      </c>
      <c r="G7">
        <v>48</v>
      </c>
      <c r="H7">
        <f t="shared" si="0"/>
        <v>282</v>
      </c>
      <c r="I7">
        <f t="shared" si="0"/>
        <v>90</v>
      </c>
      <c r="J7">
        <f t="shared" si="0"/>
        <v>114</v>
      </c>
      <c r="K7" t="str" cm="1">
        <f t="array" ref="K7">_xlfn.IFS(H7&gt;=$U$1,"kostka",I7&gt;=$U$1*$R$3,"orzech",J7&gt;=$U$1*$R$4,"miał",1=1,"NIC")</f>
        <v>kostka</v>
      </c>
      <c r="L7">
        <f t="shared" si="2"/>
        <v>82</v>
      </c>
      <c r="M7">
        <f t="shared" si="3"/>
        <v>90</v>
      </c>
      <c r="N7">
        <f t="shared" si="4"/>
        <v>114</v>
      </c>
    </row>
    <row r="8" spans="1:21" x14ac:dyDescent="0.25">
      <c r="A8" s="1">
        <v>41933</v>
      </c>
      <c r="B8">
        <f t="shared" si="1"/>
        <v>82</v>
      </c>
      <c r="C8">
        <f t="shared" si="1"/>
        <v>90</v>
      </c>
      <c r="D8">
        <f t="shared" si="1"/>
        <v>114</v>
      </c>
      <c r="E8">
        <v>161</v>
      </c>
      <c r="F8">
        <v>2</v>
      </c>
      <c r="G8">
        <v>16</v>
      </c>
      <c r="H8">
        <f t="shared" si="0"/>
        <v>243</v>
      </c>
      <c r="I8">
        <f t="shared" si="0"/>
        <v>92</v>
      </c>
      <c r="J8">
        <f t="shared" si="0"/>
        <v>130</v>
      </c>
      <c r="K8" t="str" cm="1">
        <f t="array" ref="K8">_xlfn.IFS(H8&gt;=$U$1,"kostka",I8&gt;=$U$1*$R$3,"orzech",J8&gt;=$U$1*$R$4,"miał",1=1,"NIC")</f>
        <v>kostka</v>
      </c>
      <c r="L8">
        <f t="shared" si="2"/>
        <v>43</v>
      </c>
      <c r="M8">
        <f t="shared" si="3"/>
        <v>92</v>
      </c>
      <c r="N8">
        <f t="shared" si="4"/>
        <v>130</v>
      </c>
      <c r="P8" s="5" t="s">
        <v>29</v>
      </c>
      <c r="Q8" s="5" t="s">
        <v>30</v>
      </c>
      <c r="R8" s="5" t="s">
        <v>31</v>
      </c>
      <c r="S8" s="5" t="s">
        <v>32</v>
      </c>
    </row>
    <row r="9" spans="1:21" x14ac:dyDescent="0.25">
      <c r="A9" s="1">
        <v>41934</v>
      </c>
      <c r="B9">
        <f t="shared" si="1"/>
        <v>43</v>
      </c>
      <c r="C9">
        <f t="shared" si="1"/>
        <v>92</v>
      </c>
      <c r="D9">
        <f t="shared" si="1"/>
        <v>130</v>
      </c>
      <c r="E9">
        <v>97</v>
      </c>
      <c r="F9">
        <v>129</v>
      </c>
      <c r="G9">
        <v>43</v>
      </c>
      <c r="H9">
        <f t="shared" si="0"/>
        <v>140</v>
      </c>
      <c r="I9">
        <f t="shared" si="0"/>
        <v>221</v>
      </c>
      <c r="J9">
        <f t="shared" si="0"/>
        <v>173</v>
      </c>
      <c r="K9" t="str" cm="1">
        <f t="array" ref="K9">_xlfn.IFS(H9&gt;=$U$1,"kostka",I9&gt;=$U$1*$R$3,"orzech",J9&gt;=$U$1*$R$4,"miał",1=1,"NIC")</f>
        <v>NIC</v>
      </c>
      <c r="L9">
        <f t="shared" si="2"/>
        <v>140</v>
      </c>
      <c r="M9">
        <f t="shared" si="3"/>
        <v>221</v>
      </c>
      <c r="N9">
        <f t="shared" si="4"/>
        <v>173</v>
      </c>
      <c r="P9" s="6" t="s">
        <v>28</v>
      </c>
      <c r="Q9" s="5">
        <v>2696</v>
      </c>
      <c r="R9" s="5">
        <v>2749</v>
      </c>
      <c r="S9" s="5">
        <v>1586</v>
      </c>
    </row>
    <row r="10" spans="1:21" x14ac:dyDescent="0.25">
      <c r="A10" s="1">
        <v>41935</v>
      </c>
      <c r="B10">
        <f t="shared" si="1"/>
        <v>140</v>
      </c>
      <c r="C10">
        <f t="shared" si="1"/>
        <v>221</v>
      </c>
      <c r="D10">
        <f t="shared" si="1"/>
        <v>173</v>
      </c>
      <c r="E10">
        <v>25</v>
      </c>
      <c r="F10">
        <v>186</v>
      </c>
      <c r="G10">
        <v>4</v>
      </c>
      <c r="H10">
        <f t="shared" si="0"/>
        <v>165</v>
      </c>
      <c r="I10">
        <f t="shared" si="0"/>
        <v>407</v>
      </c>
      <c r="J10">
        <f t="shared" si="0"/>
        <v>177</v>
      </c>
      <c r="K10" t="str" cm="1">
        <f t="array" ref="K10">_xlfn.IFS(H10&gt;=$U$1,"kostka",I10&gt;=$U$1*$R$3,"orzech",J10&gt;=$U$1*$R$4,"miał",1=1,"NIC")</f>
        <v>orzech</v>
      </c>
      <c r="L10">
        <f t="shared" si="2"/>
        <v>165</v>
      </c>
      <c r="M10">
        <f t="shared" si="3"/>
        <v>147</v>
      </c>
      <c r="N10">
        <f t="shared" si="4"/>
        <v>177</v>
      </c>
      <c r="P10" s="6" t="s">
        <v>27</v>
      </c>
      <c r="Q10" s="5">
        <v>2756</v>
      </c>
      <c r="R10" s="5">
        <v>2884</v>
      </c>
      <c r="S10" s="5">
        <v>1750</v>
      </c>
    </row>
    <row r="11" spans="1:21" x14ac:dyDescent="0.25">
      <c r="A11" s="1">
        <v>41936</v>
      </c>
      <c r="B11">
        <f t="shared" si="1"/>
        <v>165</v>
      </c>
      <c r="C11">
        <f t="shared" si="1"/>
        <v>147</v>
      </c>
      <c r="D11">
        <f t="shared" si="1"/>
        <v>177</v>
      </c>
      <c r="E11">
        <v>113</v>
      </c>
      <c r="F11">
        <v>97</v>
      </c>
      <c r="G11">
        <v>97</v>
      </c>
      <c r="H11">
        <f t="shared" si="0"/>
        <v>278</v>
      </c>
      <c r="I11">
        <f t="shared" si="0"/>
        <v>244</v>
      </c>
      <c r="J11">
        <f t="shared" si="0"/>
        <v>274</v>
      </c>
      <c r="K11" t="str" cm="1">
        <f t="array" ref="K11">_xlfn.IFS(H11&gt;=$U$1,"kostka",I11&gt;=$U$1*$R$3,"orzech",J11&gt;=$U$1*$R$4,"miał",1=1,"NIC")</f>
        <v>kostka</v>
      </c>
      <c r="L11">
        <f t="shared" si="2"/>
        <v>78</v>
      </c>
      <c r="M11">
        <f t="shared" si="3"/>
        <v>244</v>
      </c>
      <c r="N11">
        <f t="shared" si="4"/>
        <v>274</v>
      </c>
      <c r="P11" s="6" t="s">
        <v>26</v>
      </c>
      <c r="Q11" s="5">
        <v>1742</v>
      </c>
      <c r="R11" s="5">
        <v>1658</v>
      </c>
      <c r="S11" s="5">
        <v>915</v>
      </c>
    </row>
    <row r="12" spans="1:21" x14ac:dyDescent="0.25">
      <c r="A12" s="1">
        <v>41937</v>
      </c>
      <c r="B12">
        <f t="shared" si="1"/>
        <v>78</v>
      </c>
      <c r="C12">
        <f t="shared" si="1"/>
        <v>244</v>
      </c>
      <c r="D12">
        <f t="shared" si="1"/>
        <v>274</v>
      </c>
      <c r="E12">
        <v>70</v>
      </c>
      <c r="F12">
        <v>12</v>
      </c>
      <c r="G12">
        <v>53</v>
      </c>
      <c r="H12">
        <f t="shared" si="0"/>
        <v>148</v>
      </c>
      <c r="I12">
        <f t="shared" si="0"/>
        <v>256</v>
      </c>
      <c r="J12">
        <f t="shared" si="0"/>
        <v>327</v>
      </c>
      <c r="K12" t="str" cm="1">
        <f t="array" ref="K12">_xlfn.IFS(H12&gt;=$U$1,"kostka",I12&gt;=$U$1*$R$3,"orzech",J12&gt;=$U$1*$R$4,"miał",1=1,"NIC")</f>
        <v>miał</v>
      </c>
      <c r="L12">
        <f t="shared" si="2"/>
        <v>148</v>
      </c>
      <c r="M12">
        <f t="shared" si="3"/>
        <v>256</v>
      </c>
      <c r="N12">
        <f t="shared" si="4"/>
        <v>7</v>
      </c>
      <c r="P12" s="6" t="s">
        <v>25</v>
      </c>
      <c r="Q12" s="5">
        <v>1365</v>
      </c>
      <c r="R12" s="5">
        <v>966</v>
      </c>
      <c r="S12" s="5">
        <v>706</v>
      </c>
    </row>
    <row r="13" spans="1:21" x14ac:dyDescent="0.25">
      <c r="A13" s="1">
        <v>41938</v>
      </c>
      <c r="B13">
        <f t="shared" si="1"/>
        <v>148</v>
      </c>
      <c r="C13">
        <f t="shared" si="1"/>
        <v>256</v>
      </c>
      <c r="D13">
        <f t="shared" si="1"/>
        <v>7</v>
      </c>
      <c r="E13">
        <v>117</v>
      </c>
      <c r="F13">
        <v>142</v>
      </c>
      <c r="G13">
        <v>90</v>
      </c>
      <c r="H13">
        <f t="shared" si="0"/>
        <v>265</v>
      </c>
      <c r="I13">
        <f t="shared" si="0"/>
        <v>398</v>
      </c>
      <c r="J13">
        <f t="shared" si="0"/>
        <v>97</v>
      </c>
      <c r="K13" t="str" cm="1">
        <f t="array" ref="K13">_xlfn.IFS(H13&gt;=$U$1,"kostka",I13&gt;=$U$1*$R$3,"orzech",J13&gt;=$U$1*$R$4,"miał",1=1,"NIC")</f>
        <v>kostka</v>
      </c>
      <c r="L13">
        <f t="shared" si="2"/>
        <v>65</v>
      </c>
      <c r="M13">
        <f t="shared" si="3"/>
        <v>398</v>
      </c>
      <c r="N13">
        <f t="shared" si="4"/>
        <v>97</v>
      </c>
      <c r="P13" s="6" t="s">
        <v>24</v>
      </c>
      <c r="Q13" s="5">
        <v>3332</v>
      </c>
      <c r="R13" s="5">
        <v>3026</v>
      </c>
      <c r="S13" s="5">
        <v>1360</v>
      </c>
    </row>
    <row r="14" spans="1:21" x14ac:dyDescent="0.25">
      <c r="A14" s="1">
        <v>41939</v>
      </c>
      <c r="B14">
        <f t="shared" si="1"/>
        <v>65</v>
      </c>
      <c r="C14">
        <f t="shared" si="1"/>
        <v>398</v>
      </c>
      <c r="D14">
        <f t="shared" si="1"/>
        <v>97</v>
      </c>
      <c r="E14">
        <v>189</v>
      </c>
      <c r="F14">
        <v>28</v>
      </c>
      <c r="G14">
        <v>43</v>
      </c>
      <c r="H14">
        <f t="shared" si="0"/>
        <v>254</v>
      </c>
      <c r="I14">
        <f t="shared" si="0"/>
        <v>426</v>
      </c>
      <c r="J14">
        <f t="shared" si="0"/>
        <v>140</v>
      </c>
      <c r="K14" t="str" cm="1">
        <f t="array" ref="K14">_xlfn.IFS(H14&gt;=$U$1,"kostka",I14&gt;=$U$1*$R$3,"orzech",J14&gt;=$U$1*$R$4,"miał",1=1,"NIC")</f>
        <v>kostka</v>
      </c>
      <c r="L14">
        <f t="shared" si="2"/>
        <v>54</v>
      </c>
      <c r="M14">
        <f t="shared" si="3"/>
        <v>426</v>
      </c>
      <c r="N14">
        <f t="shared" si="4"/>
        <v>140</v>
      </c>
      <c r="P14" s="6" t="s">
        <v>23</v>
      </c>
      <c r="Q14" s="5">
        <v>2579</v>
      </c>
      <c r="R14" s="5">
        <v>2651</v>
      </c>
      <c r="S14" s="5">
        <v>1252</v>
      </c>
    </row>
    <row r="15" spans="1:21" x14ac:dyDescent="0.25">
      <c r="A15" s="1">
        <v>41940</v>
      </c>
      <c r="B15">
        <f t="shared" si="1"/>
        <v>54</v>
      </c>
      <c r="C15">
        <f t="shared" si="1"/>
        <v>426</v>
      </c>
      <c r="D15">
        <f t="shared" si="1"/>
        <v>140</v>
      </c>
      <c r="E15">
        <v>140</v>
      </c>
      <c r="F15">
        <v>191</v>
      </c>
      <c r="G15">
        <v>40</v>
      </c>
      <c r="H15">
        <f t="shared" si="0"/>
        <v>194</v>
      </c>
      <c r="I15">
        <f t="shared" si="0"/>
        <v>617</v>
      </c>
      <c r="J15">
        <f t="shared" si="0"/>
        <v>180</v>
      </c>
      <c r="K15" t="str" cm="1">
        <f t="array" ref="K15">_xlfn.IFS(H15&gt;=$U$1,"kostka",I15&gt;=$U$1*$R$3,"orzech",J15&gt;=$U$1*$R$4,"miał",1=1,"NIC")</f>
        <v>orzech</v>
      </c>
      <c r="L15">
        <f t="shared" si="2"/>
        <v>194</v>
      </c>
      <c r="M15">
        <f t="shared" si="3"/>
        <v>357</v>
      </c>
      <c r="N15">
        <f t="shared" si="4"/>
        <v>180</v>
      </c>
      <c r="P15" s="6" t="s">
        <v>22</v>
      </c>
      <c r="Q15" s="5">
        <v>2990</v>
      </c>
      <c r="R15" s="5">
        <v>2870</v>
      </c>
      <c r="S15" s="5">
        <v>1646</v>
      </c>
    </row>
    <row r="16" spans="1:21" x14ac:dyDescent="0.25">
      <c r="A16" s="1">
        <v>41941</v>
      </c>
      <c r="B16">
        <f t="shared" si="1"/>
        <v>194</v>
      </c>
      <c r="C16">
        <f t="shared" si="1"/>
        <v>357</v>
      </c>
      <c r="D16">
        <f t="shared" si="1"/>
        <v>180</v>
      </c>
      <c r="E16">
        <v>167</v>
      </c>
      <c r="F16">
        <v>48</v>
      </c>
      <c r="G16">
        <v>30</v>
      </c>
      <c r="H16">
        <f t="shared" si="0"/>
        <v>361</v>
      </c>
      <c r="I16">
        <f t="shared" si="0"/>
        <v>405</v>
      </c>
      <c r="J16">
        <f t="shared" si="0"/>
        <v>210</v>
      </c>
      <c r="K16" t="str" cm="1">
        <f t="array" ref="K16">_xlfn.IFS(H16&gt;=$U$1,"kostka",I16&gt;=$U$1*$R$3,"orzech",J16&gt;=$U$1*$R$4,"miał",1=1,"NIC")</f>
        <v>kostka</v>
      </c>
      <c r="L16">
        <f t="shared" si="2"/>
        <v>161</v>
      </c>
      <c r="M16">
        <f t="shared" si="3"/>
        <v>405</v>
      </c>
      <c r="N16">
        <f t="shared" si="4"/>
        <v>210</v>
      </c>
      <c r="P16" s="2" t="s">
        <v>21</v>
      </c>
      <c r="Q16">
        <v>17460</v>
      </c>
      <c r="R16">
        <v>16804</v>
      </c>
      <c r="S16">
        <v>9215</v>
      </c>
    </row>
    <row r="17" spans="1:20" x14ac:dyDescent="0.25">
      <c r="A17" s="1">
        <v>41942</v>
      </c>
      <c r="B17">
        <f t="shared" si="1"/>
        <v>161</v>
      </c>
      <c r="C17">
        <f t="shared" si="1"/>
        <v>405</v>
      </c>
      <c r="D17">
        <f t="shared" si="1"/>
        <v>210</v>
      </c>
      <c r="E17">
        <v>0</v>
      </c>
      <c r="F17">
        <v>154</v>
      </c>
      <c r="G17">
        <v>68</v>
      </c>
      <c r="H17">
        <f t="shared" si="0"/>
        <v>161</v>
      </c>
      <c r="I17">
        <f t="shared" si="0"/>
        <v>559</v>
      </c>
      <c r="J17">
        <f t="shared" si="0"/>
        <v>278</v>
      </c>
      <c r="K17" t="str" cm="1">
        <f t="array" ref="K17">_xlfn.IFS(H17&gt;=$U$1,"kostka",I17&gt;=$U$1*$R$3,"orzech",J17&gt;=$U$1*$R$4,"miał",1=1,"NIC")</f>
        <v>orzech</v>
      </c>
      <c r="L17">
        <f t="shared" si="2"/>
        <v>161</v>
      </c>
      <c r="M17">
        <f t="shared" si="3"/>
        <v>299</v>
      </c>
      <c r="N17">
        <f t="shared" si="4"/>
        <v>278</v>
      </c>
    </row>
    <row r="18" spans="1:20" x14ac:dyDescent="0.25">
      <c r="A18" s="1">
        <v>41943</v>
      </c>
      <c r="B18">
        <f t="shared" si="1"/>
        <v>161</v>
      </c>
      <c r="C18">
        <f t="shared" si="1"/>
        <v>299</v>
      </c>
      <c r="D18">
        <f t="shared" si="1"/>
        <v>278</v>
      </c>
      <c r="E18">
        <v>61</v>
      </c>
      <c r="F18">
        <v>139</v>
      </c>
      <c r="G18">
        <v>77</v>
      </c>
      <c r="H18">
        <f t="shared" si="0"/>
        <v>222</v>
      </c>
      <c r="I18">
        <f t="shared" si="0"/>
        <v>438</v>
      </c>
      <c r="J18">
        <f t="shared" si="0"/>
        <v>355</v>
      </c>
      <c r="K18" t="str" cm="1">
        <f t="array" ref="K18">_xlfn.IFS(H18&gt;=$U$1,"kostka",I18&gt;=$U$1*$R$3,"orzech",J18&gt;=$U$1*$R$4,"miał",1=1,"NIC")</f>
        <v>kostka</v>
      </c>
      <c r="L18">
        <f t="shared" si="2"/>
        <v>22</v>
      </c>
      <c r="M18">
        <f t="shared" si="3"/>
        <v>438</v>
      </c>
      <c r="N18">
        <f t="shared" si="4"/>
        <v>355</v>
      </c>
      <c r="Q18" t="s">
        <v>0</v>
      </c>
      <c r="R18" t="s">
        <v>1</v>
      </c>
      <c r="S18" t="s">
        <v>4</v>
      </c>
      <c r="T18" t="s">
        <v>34</v>
      </c>
    </row>
    <row r="19" spans="1:20" x14ac:dyDescent="0.25">
      <c r="A19" s="1">
        <v>41944</v>
      </c>
      <c r="B19">
        <f t="shared" si="1"/>
        <v>22</v>
      </c>
      <c r="C19">
        <f t="shared" si="1"/>
        <v>438</v>
      </c>
      <c r="D19">
        <f t="shared" si="1"/>
        <v>355</v>
      </c>
      <c r="E19">
        <v>18</v>
      </c>
      <c r="F19">
        <v>163</v>
      </c>
      <c r="G19">
        <v>75</v>
      </c>
      <c r="H19">
        <f t="shared" si="0"/>
        <v>40</v>
      </c>
      <c r="I19">
        <f t="shared" si="0"/>
        <v>601</v>
      </c>
      <c r="J19">
        <f t="shared" si="0"/>
        <v>430</v>
      </c>
      <c r="K19" t="str" cm="1">
        <f t="array" ref="K19">_xlfn.IFS(H19&gt;=$U$1,"kostka",I19&gt;=$U$1*$R$3,"orzech",J19&gt;=$U$1*$R$4,"miał",1=1,"NIC")</f>
        <v>orzech</v>
      </c>
      <c r="L19">
        <f t="shared" si="2"/>
        <v>40</v>
      </c>
      <c r="M19">
        <f t="shared" si="3"/>
        <v>341</v>
      </c>
      <c r="N19">
        <f t="shared" si="4"/>
        <v>430</v>
      </c>
      <c r="P19" t="s">
        <v>33</v>
      </c>
      <c r="Q19">
        <f>Q16*$Q$2</f>
        <v>11960100</v>
      </c>
      <c r="R19">
        <f>R16*$Q$3</f>
        <v>10418480</v>
      </c>
      <c r="S19">
        <f>S16*$Q$4</f>
        <v>3501700</v>
      </c>
      <c r="T19" s="7">
        <f>SUM(Q19:S19)</f>
        <v>25880280</v>
      </c>
    </row>
    <row r="20" spans="1:20" x14ac:dyDescent="0.25">
      <c r="A20" s="1">
        <v>41945</v>
      </c>
      <c r="B20">
        <f t="shared" si="1"/>
        <v>40</v>
      </c>
      <c r="C20">
        <f t="shared" si="1"/>
        <v>341</v>
      </c>
      <c r="D20">
        <f t="shared" si="1"/>
        <v>430</v>
      </c>
      <c r="E20">
        <v>43</v>
      </c>
      <c r="F20">
        <v>169</v>
      </c>
      <c r="G20">
        <v>0</v>
      </c>
      <c r="H20">
        <f t="shared" si="0"/>
        <v>83</v>
      </c>
      <c r="I20">
        <f t="shared" si="0"/>
        <v>510</v>
      </c>
      <c r="J20">
        <f t="shared" si="0"/>
        <v>430</v>
      </c>
      <c r="K20" t="str" cm="1">
        <f t="array" ref="K20">_xlfn.IFS(H20&gt;=$U$1,"kostka",I20&gt;=$U$1*$R$3,"orzech",J20&gt;=$U$1*$R$4,"miał",1=1,"NIC")</f>
        <v>orzech</v>
      </c>
      <c r="L20">
        <f t="shared" si="2"/>
        <v>83</v>
      </c>
      <c r="M20">
        <f t="shared" si="3"/>
        <v>250</v>
      </c>
      <c r="N20">
        <f t="shared" si="4"/>
        <v>430</v>
      </c>
    </row>
    <row r="21" spans="1:20" x14ac:dyDescent="0.25">
      <c r="A21" s="1">
        <v>41946</v>
      </c>
      <c r="B21">
        <f t="shared" si="1"/>
        <v>83</v>
      </c>
      <c r="C21">
        <f t="shared" si="1"/>
        <v>250</v>
      </c>
      <c r="D21">
        <f t="shared" si="1"/>
        <v>430</v>
      </c>
      <c r="E21">
        <v>160</v>
      </c>
      <c r="F21">
        <v>135</v>
      </c>
      <c r="G21">
        <v>34</v>
      </c>
      <c r="H21">
        <f t="shared" si="0"/>
        <v>243</v>
      </c>
      <c r="I21">
        <f t="shared" si="0"/>
        <v>385</v>
      </c>
      <c r="J21">
        <f t="shared" si="0"/>
        <v>464</v>
      </c>
      <c r="K21" t="str" cm="1">
        <f t="array" ref="K21">_xlfn.IFS(H21&gt;=$U$1,"kostka",I21&gt;=$U$1*$R$3,"orzech",J21&gt;=$U$1*$R$4,"miał",1=1,"NIC")</f>
        <v>kostka</v>
      </c>
      <c r="L21">
        <f t="shared" si="2"/>
        <v>43</v>
      </c>
      <c r="M21">
        <f t="shared" si="3"/>
        <v>385</v>
      </c>
      <c r="N21">
        <f t="shared" si="4"/>
        <v>464</v>
      </c>
    </row>
    <row r="22" spans="1:20" x14ac:dyDescent="0.25">
      <c r="A22" s="1">
        <v>41947</v>
      </c>
      <c r="B22">
        <f t="shared" si="1"/>
        <v>43</v>
      </c>
      <c r="C22">
        <f t="shared" si="1"/>
        <v>385</v>
      </c>
      <c r="D22">
        <f t="shared" si="1"/>
        <v>464</v>
      </c>
      <c r="E22">
        <v>150</v>
      </c>
      <c r="F22">
        <v>89</v>
      </c>
      <c r="G22">
        <v>17</v>
      </c>
      <c r="H22">
        <f t="shared" si="0"/>
        <v>193</v>
      </c>
      <c r="I22">
        <f t="shared" si="0"/>
        <v>474</v>
      </c>
      <c r="J22">
        <f t="shared" si="0"/>
        <v>481</v>
      </c>
      <c r="K22" t="str" cm="1">
        <f t="array" ref="K22">_xlfn.IFS(H22&gt;=$U$1,"kostka",I22&gt;=$U$1*$R$3,"orzech",J22&gt;=$U$1*$R$4,"miał",1=1,"NIC")</f>
        <v>orzech</v>
      </c>
      <c r="L22">
        <f t="shared" si="2"/>
        <v>193</v>
      </c>
      <c r="M22">
        <f t="shared" si="3"/>
        <v>214</v>
      </c>
      <c r="N22">
        <f t="shared" si="4"/>
        <v>481</v>
      </c>
    </row>
    <row r="23" spans="1:20" x14ac:dyDescent="0.25">
      <c r="A23" s="1">
        <v>41948</v>
      </c>
      <c r="B23">
        <f t="shared" si="1"/>
        <v>193</v>
      </c>
      <c r="C23">
        <f t="shared" si="1"/>
        <v>214</v>
      </c>
      <c r="D23">
        <f t="shared" si="1"/>
        <v>481</v>
      </c>
      <c r="E23">
        <v>57</v>
      </c>
      <c r="F23">
        <v>109</v>
      </c>
      <c r="G23">
        <v>93</v>
      </c>
      <c r="H23">
        <f t="shared" si="0"/>
        <v>250</v>
      </c>
      <c r="I23">
        <f t="shared" si="0"/>
        <v>323</v>
      </c>
      <c r="J23">
        <f t="shared" si="0"/>
        <v>574</v>
      </c>
      <c r="K23" t="str" cm="1">
        <f t="array" ref="K23">_xlfn.IFS(H23&gt;=$U$1,"kostka",I23&gt;=$U$1*$R$3,"orzech",J23&gt;=$U$1*$R$4,"miał",1=1,"NIC")</f>
        <v>kostka</v>
      </c>
      <c r="L23">
        <f t="shared" si="2"/>
        <v>50</v>
      </c>
      <c r="M23">
        <f t="shared" si="3"/>
        <v>323</v>
      </c>
      <c r="N23">
        <f t="shared" si="4"/>
        <v>574</v>
      </c>
    </row>
    <row r="24" spans="1:20" x14ac:dyDescent="0.25">
      <c r="A24" s="1">
        <v>41949</v>
      </c>
      <c r="B24">
        <f t="shared" si="1"/>
        <v>50</v>
      </c>
      <c r="C24">
        <f t="shared" si="1"/>
        <v>323</v>
      </c>
      <c r="D24">
        <f t="shared" si="1"/>
        <v>574</v>
      </c>
      <c r="E24">
        <v>62</v>
      </c>
      <c r="F24">
        <v>80</v>
      </c>
      <c r="G24">
        <v>62</v>
      </c>
      <c r="H24">
        <f t="shared" si="0"/>
        <v>112</v>
      </c>
      <c r="I24">
        <f t="shared" si="0"/>
        <v>403</v>
      </c>
      <c r="J24">
        <f t="shared" si="0"/>
        <v>636</v>
      </c>
      <c r="K24" t="str" cm="1">
        <f t="array" ref="K24">_xlfn.IFS(H24&gt;=$U$1,"kostka",I24&gt;=$U$1*$R$3,"orzech",J24&gt;=$U$1*$R$4,"miał",1=1,"NIC")</f>
        <v>orzech</v>
      </c>
      <c r="L24">
        <f t="shared" si="2"/>
        <v>112</v>
      </c>
      <c r="M24">
        <f t="shared" si="3"/>
        <v>143</v>
      </c>
      <c r="N24">
        <f t="shared" si="4"/>
        <v>636</v>
      </c>
    </row>
    <row r="25" spans="1:20" x14ac:dyDescent="0.25">
      <c r="A25" s="1">
        <v>41950</v>
      </c>
      <c r="B25">
        <f t="shared" si="1"/>
        <v>112</v>
      </c>
      <c r="C25">
        <f t="shared" si="1"/>
        <v>143</v>
      </c>
      <c r="D25">
        <f t="shared" si="1"/>
        <v>636</v>
      </c>
      <c r="E25">
        <v>162</v>
      </c>
      <c r="F25">
        <v>62</v>
      </c>
      <c r="G25">
        <v>88</v>
      </c>
      <c r="H25">
        <f t="shared" si="0"/>
        <v>274</v>
      </c>
      <c r="I25">
        <f t="shared" si="0"/>
        <v>205</v>
      </c>
      <c r="J25">
        <f t="shared" si="0"/>
        <v>724</v>
      </c>
      <c r="K25" t="str" cm="1">
        <f t="array" ref="K25">_xlfn.IFS(H25&gt;=$U$1,"kostka",I25&gt;=$U$1*$R$3,"orzech",J25&gt;=$U$1*$R$4,"miał",1=1,"NIC")</f>
        <v>kostka</v>
      </c>
      <c r="L25">
        <f t="shared" si="2"/>
        <v>74</v>
      </c>
      <c r="M25">
        <f t="shared" si="3"/>
        <v>205</v>
      </c>
      <c r="N25">
        <f t="shared" si="4"/>
        <v>724</v>
      </c>
    </row>
    <row r="26" spans="1:20" x14ac:dyDescent="0.25">
      <c r="A26" s="1">
        <v>41951</v>
      </c>
      <c r="B26">
        <f t="shared" si="1"/>
        <v>74</v>
      </c>
      <c r="C26">
        <f t="shared" si="1"/>
        <v>205</v>
      </c>
      <c r="D26">
        <f t="shared" si="1"/>
        <v>724</v>
      </c>
      <c r="E26">
        <v>142</v>
      </c>
      <c r="F26">
        <v>79</v>
      </c>
      <c r="G26">
        <v>76</v>
      </c>
      <c r="H26">
        <f t="shared" si="0"/>
        <v>216</v>
      </c>
      <c r="I26">
        <f t="shared" si="0"/>
        <v>284</v>
      </c>
      <c r="J26">
        <f t="shared" si="0"/>
        <v>800</v>
      </c>
      <c r="K26" t="str" cm="1">
        <f t="array" ref="K26">_xlfn.IFS(H26&gt;=$U$1,"kostka",I26&gt;=$U$1*$R$3,"orzech",J26&gt;=$U$1*$R$4,"miał",1=1,"NIC")</f>
        <v>kostka</v>
      </c>
      <c r="L26">
        <f t="shared" si="2"/>
        <v>16</v>
      </c>
      <c r="M26">
        <f t="shared" si="3"/>
        <v>284</v>
      </c>
      <c r="N26">
        <f t="shared" si="4"/>
        <v>800</v>
      </c>
    </row>
    <row r="27" spans="1:20" x14ac:dyDescent="0.25">
      <c r="A27" s="1">
        <v>41952</v>
      </c>
      <c r="B27">
        <f t="shared" si="1"/>
        <v>16</v>
      </c>
      <c r="C27">
        <f t="shared" si="1"/>
        <v>284</v>
      </c>
      <c r="D27">
        <f t="shared" si="1"/>
        <v>800</v>
      </c>
      <c r="E27">
        <v>7</v>
      </c>
      <c r="F27">
        <v>30</v>
      </c>
      <c r="G27">
        <v>68</v>
      </c>
      <c r="H27">
        <f t="shared" si="0"/>
        <v>23</v>
      </c>
      <c r="I27">
        <f t="shared" si="0"/>
        <v>314</v>
      </c>
      <c r="J27">
        <f t="shared" si="0"/>
        <v>868</v>
      </c>
      <c r="K27" t="str" cm="1">
        <f t="array" ref="K27">_xlfn.IFS(H27&gt;=$U$1,"kostka",I27&gt;=$U$1*$R$3,"orzech",J27&gt;=$U$1*$R$4,"miał",1=1,"NIC")</f>
        <v>orzech</v>
      </c>
      <c r="L27">
        <f t="shared" si="2"/>
        <v>23</v>
      </c>
      <c r="M27">
        <f t="shared" si="3"/>
        <v>54</v>
      </c>
      <c r="N27">
        <f t="shared" si="4"/>
        <v>868</v>
      </c>
    </row>
    <row r="28" spans="1:20" x14ac:dyDescent="0.25">
      <c r="A28" s="1">
        <v>41953</v>
      </c>
      <c r="B28">
        <f t="shared" si="1"/>
        <v>23</v>
      </c>
      <c r="C28">
        <f t="shared" si="1"/>
        <v>54</v>
      </c>
      <c r="D28">
        <f t="shared" si="1"/>
        <v>868</v>
      </c>
      <c r="E28">
        <v>116</v>
      </c>
      <c r="F28">
        <v>6</v>
      </c>
      <c r="G28">
        <v>88</v>
      </c>
      <c r="H28">
        <f t="shared" si="0"/>
        <v>139</v>
      </c>
      <c r="I28">
        <f t="shared" si="0"/>
        <v>60</v>
      </c>
      <c r="J28">
        <f t="shared" si="0"/>
        <v>956</v>
      </c>
      <c r="K28" t="str" cm="1">
        <f t="array" ref="K28">_xlfn.IFS(H28&gt;=$U$1,"kostka",I28&gt;=$U$1*$R$3,"orzech",J28&gt;=$U$1*$R$4,"miał",1=1,"NIC")</f>
        <v>miał</v>
      </c>
      <c r="L28">
        <f t="shared" si="2"/>
        <v>139</v>
      </c>
      <c r="M28">
        <f t="shared" si="3"/>
        <v>60</v>
      </c>
      <c r="N28">
        <f t="shared" si="4"/>
        <v>636</v>
      </c>
    </row>
    <row r="29" spans="1:20" x14ac:dyDescent="0.25">
      <c r="A29" s="1">
        <v>41954</v>
      </c>
      <c r="B29">
        <f t="shared" si="1"/>
        <v>139</v>
      </c>
      <c r="C29">
        <f t="shared" si="1"/>
        <v>60</v>
      </c>
      <c r="D29">
        <f t="shared" si="1"/>
        <v>636</v>
      </c>
      <c r="E29">
        <v>0</v>
      </c>
      <c r="F29">
        <v>1</v>
      </c>
      <c r="G29">
        <v>47</v>
      </c>
      <c r="H29">
        <f t="shared" si="0"/>
        <v>139</v>
      </c>
      <c r="I29">
        <f t="shared" si="0"/>
        <v>61</v>
      </c>
      <c r="J29">
        <f t="shared" si="0"/>
        <v>683</v>
      </c>
      <c r="K29" t="str" cm="1">
        <f t="array" ref="K29">_xlfn.IFS(H29&gt;=$U$1,"kostka",I29&gt;=$U$1*$R$3,"orzech",J29&gt;=$U$1*$R$4,"miał",1=1,"NIC")</f>
        <v>miał</v>
      </c>
      <c r="L29">
        <f t="shared" si="2"/>
        <v>139</v>
      </c>
      <c r="M29">
        <f t="shared" si="3"/>
        <v>61</v>
      </c>
      <c r="N29">
        <f t="shared" si="4"/>
        <v>363</v>
      </c>
    </row>
    <row r="30" spans="1:20" x14ac:dyDescent="0.25">
      <c r="A30" s="1">
        <v>41955</v>
      </c>
      <c r="B30">
        <f t="shared" si="1"/>
        <v>139</v>
      </c>
      <c r="C30">
        <f t="shared" si="1"/>
        <v>61</v>
      </c>
      <c r="D30">
        <f t="shared" si="1"/>
        <v>363</v>
      </c>
      <c r="E30">
        <v>78</v>
      </c>
      <c r="F30">
        <v>84</v>
      </c>
      <c r="G30">
        <v>16</v>
      </c>
      <c r="H30">
        <f t="shared" si="0"/>
        <v>217</v>
      </c>
      <c r="I30">
        <f t="shared" si="0"/>
        <v>145</v>
      </c>
      <c r="J30">
        <f t="shared" si="0"/>
        <v>379</v>
      </c>
      <c r="K30" t="str" cm="1">
        <f t="array" ref="K30">_xlfn.IFS(H30&gt;=$U$1,"kostka",I30&gt;=$U$1*$R$3,"orzech",J30&gt;=$U$1*$R$4,"miał",1=1,"NIC")</f>
        <v>kostka</v>
      </c>
      <c r="L30">
        <f t="shared" si="2"/>
        <v>17</v>
      </c>
      <c r="M30">
        <f t="shared" si="3"/>
        <v>145</v>
      </c>
      <c r="N30">
        <f t="shared" si="4"/>
        <v>379</v>
      </c>
    </row>
    <row r="31" spans="1:20" x14ac:dyDescent="0.25">
      <c r="A31" s="1">
        <v>41956</v>
      </c>
      <c r="B31">
        <f t="shared" si="1"/>
        <v>17</v>
      </c>
      <c r="C31">
        <f t="shared" si="1"/>
        <v>145</v>
      </c>
      <c r="D31">
        <f t="shared" si="1"/>
        <v>379</v>
      </c>
      <c r="E31">
        <v>112</v>
      </c>
      <c r="F31">
        <v>140</v>
      </c>
      <c r="G31">
        <v>97</v>
      </c>
      <c r="H31">
        <f t="shared" si="0"/>
        <v>129</v>
      </c>
      <c r="I31">
        <f t="shared" si="0"/>
        <v>285</v>
      </c>
      <c r="J31">
        <f t="shared" si="0"/>
        <v>476</v>
      </c>
      <c r="K31" t="str" cm="1">
        <f t="array" ref="K31">_xlfn.IFS(H31&gt;=$U$1,"kostka",I31&gt;=$U$1*$R$3,"orzech",J31&gt;=$U$1*$R$4,"miał",1=1,"NIC")</f>
        <v>orzech</v>
      </c>
      <c r="L31">
        <f t="shared" si="2"/>
        <v>129</v>
      </c>
      <c r="M31">
        <f t="shared" si="3"/>
        <v>25</v>
      </c>
      <c r="N31">
        <f t="shared" si="4"/>
        <v>476</v>
      </c>
    </row>
    <row r="32" spans="1:20" x14ac:dyDescent="0.25">
      <c r="A32" s="1">
        <v>41957</v>
      </c>
      <c r="B32">
        <f t="shared" si="1"/>
        <v>129</v>
      </c>
      <c r="C32">
        <f t="shared" si="1"/>
        <v>25</v>
      </c>
      <c r="D32">
        <f t="shared" si="1"/>
        <v>476</v>
      </c>
      <c r="E32">
        <v>109</v>
      </c>
      <c r="F32">
        <v>74</v>
      </c>
      <c r="G32">
        <v>53</v>
      </c>
      <c r="H32">
        <f t="shared" si="0"/>
        <v>238</v>
      </c>
      <c r="I32">
        <f t="shared" si="0"/>
        <v>99</v>
      </c>
      <c r="J32">
        <f t="shared" si="0"/>
        <v>529</v>
      </c>
      <c r="K32" t="str" cm="1">
        <f t="array" ref="K32">_xlfn.IFS(H32&gt;=$U$1,"kostka",I32&gt;=$U$1*$R$3,"orzech",J32&gt;=$U$1*$R$4,"miał",1=1,"NIC")</f>
        <v>kostka</v>
      </c>
      <c r="L32">
        <f t="shared" si="2"/>
        <v>38</v>
      </c>
      <c r="M32">
        <f t="shared" si="3"/>
        <v>99</v>
      </c>
      <c r="N32">
        <f t="shared" si="4"/>
        <v>529</v>
      </c>
    </row>
    <row r="33" spans="1:14" x14ac:dyDescent="0.25">
      <c r="A33" s="1">
        <v>41958</v>
      </c>
      <c r="B33">
        <f t="shared" si="1"/>
        <v>38</v>
      </c>
      <c r="C33">
        <f t="shared" si="1"/>
        <v>99</v>
      </c>
      <c r="D33">
        <f t="shared" si="1"/>
        <v>529</v>
      </c>
      <c r="E33">
        <v>121</v>
      </c>
      <c r="F33">
        <v>77</v>
      </c>
      <c r="G33">
        <v>70</v>
      </c>
      <c r="H33">
        <f t="shared" si="0"/>
        <v>159</v>
      </c>
      <c r="I33">
        <f t="shared" si="0"/>
        <v>176</v>
      </c>
      <c r="J33">
        <f t="shared" si="0"/>
        <v>599</v>
      </c>
      <c r="K33" t="str" cm="1">
        <f t="array" ref="K33">_xlfn.IFS(H33&gt;=$U$1,"kostka",I33&gt;=$U$1*$R$3,"orzech",J33&gt;=$U$1*$R$4,"miał",1=1,"NIC")</f>
        <v>miał</v>
      </c>
      <c r="L33">
        <f t="shared" si="2"/>
        <v>159</v>
      </c>
      <c r="M33">
        <f t="shared" si="3"/>
        <v>176</v>
      </c>
      <c r="N33">
        <f t="shared" si="4"/>
        <v>279</v>
      </c>
    </row>
    <row r="34" spans="1:14" x14ac:dyDescent="0.25">
      <c r="A34" s="1">
        <v>41959</v>
      </c>
      <c r="B34">
        <f t="shared" si="1"/>
        <v>159</v>
      </c>
      <c r="C34">
        <f t="shared" si="1"/>
        <v>176</v>
      </c>
      <c r="D34">
        <f t="shared" si="1"/>
        <v>279</v>
      </c>
      <c r="E34">
        <v>106</v>
      </c>
      <c r="F34">
        <v>89</v>
      </c>
      <c r="G34">
        <v>75</v>
      </c>
      <c r="H34">
        <f t="shared" si="0"/>
        <v>265</v>
      </c>
      <c r="I34">
        <f t="shared" si="0"/>
        <v>265</v>
      </c>
      <c r="J34">
        <f t="shared" si="0"/>
        <v>354</v>
      </c>
      <c r="K34" t="str" cm="1">
        <f t="array" ref="K34">_xlfn.IFS(H34&gt;=$U$1,"kostka",I34&gt;=$U$1*$R$3,"orzech",J34&gt;=$U$1*$R$4,"miał",1=1,"NIC")</f>
        <v>kostka</v>
      </c>
      <c r="L34">
        <f t="shared" si="2"/>
        <v>65</v>
      </c>
      <c r="M34">
        <f t="shared" si="3"/>
        <v>265</v>
      </c>
      <c r="N34">
        <f t="shared" si="4"/>
        <v>354</v>
      </c>
    </row>
    <row r="35" spans="1:14" x14ac:dyDescent="0.25">
      <c r="A35" s="1">
        <v>41960</v>
      </c>
      <c r="B35">
        <f t="shared" si="1"/>
        <v>65</v>
      </c>
      <c r="C35">
        <f t="shared" si="1"/>
        <v>265</v>
      </c>
      <c r="D35">
        <f t="shared" si="1"/>
        <v>354</v>
      </c>
      <c r="E35">
        <v>57</v>
      </c>
      <c r="F35">
        <v>119</v>
      </c>
      <c r="G35">
        <v>64</v>
      </c>
      <c r="H35">
        <f t="shared" si="0"/>
        <v>122</v>
      </c>
      <c r="I35">
        <f t="shared" si="0"/>
        <v>384</v>
      </c>
      <c r="J35">
        <f t="shared" si="0"/>
        <v>418</v>
      </c>
      <c r="K35" t="str" cm="1">
        <f t="array" ref="K35">_xlfn.IFS(H35&gt;=$U$1,"kostka",I35&gt;=$U$1*$R$3,"orzech",J35&gt;=$U$1*$R$4,"miał",1=1,"NIC")</f>
        <v>orzech</v>
      </c>
      <c r="L35">
        <f t="shared" si="2"/>
        <v>122</v>
      </c>
      <c r="M35">
        <f t="shared" si="3"/>
        <v>124</v>
      </c>
      <c r="N35">
        <f t="shared" si="4"/>
        <v>418</v>
      </c>
    </row>
    <row r="36" spans="1:14" x14ac:dyDescent="0.25">
      <c r="A36" s="1">
        <v>41961</v>
      </c>
      <c r="B36">
        <f t="shared" si="1"/>
        <v>122</v>
      </c>
      <c r="C36">
        <f t="shared" si="1"/>
        <v>124</v>
      </c>
      <c r="D36">
        <f t="shared" si="1"/>
        <v>418</v>
      </c>
      <c r="E36">
        <v>26</v>
      </c>
      <c r="F36">
        <v>87</v>
      </c>
      <c r="G36">
        <v>84</v>
      </c>
      <c r="H36">
        <f t="shared" si="0"/>
        <v>148</v>
      </c>
      <c r="I36">
        <f t="shared" si="0"/>
        <v>211</v>
      </c>
      <c r="J36">
        <f t="shared" si="0"/>
        <v>502</v>
      </c>
      <c r="K36" t="str" cm="1">
        <f t="array" ref="K36">_xlfn.IFS(H36&gt;=$U$1,"kostka",I36&gt;=$U$1*$R$3,"orzech",J36&gt;=$U$1*$R$4,"miał",1=1,"NIC")</f>
        <v>miał</v>
      </c>
      <c r="L36">
        <f t="shared" si="2"/>
        <v>148</v>
      </c>
      <c r="M36">
        <f t="shared" si="3"/>
        <v>211</v>
      </c>
      <c r="N36">
        <f t="shared" si="4"/>
        <v>182</v>
      </c>
    </row>
    <row r="37" spans="1:14" x14ac:dyDescent="0.25">
      <c r="A37" s="1">
        <v>41962</v>
      </c>
      <c r="B37">
        <f t="shared" si="1"/>
        <v>148</v>
      </c>
      <c r="C37">
        <f t="shared" si="1"/>
        <v>211</v>
      </c>
      <c r="D37">
        <f t="shared" si="1"/>
        <v>182</v>
      </c>
      <c r="E37">
        <v>79</v>
      </c>
      <c r="F37">
        <v>171</v>
      </c>
      <c r="G37">
        <v>75</v>
      </c>
      <c r="H37">
        <f t="shared" si="0"/>
        <v>227</v>
      </c>
      <c r="I37">
        <f t="shared" si="0"/>
        <v>382</v>
      </c>
      <c r="J37">
        <f t="shared" si="0"/>
        <v>257</v>
      </c>
      <c r="K37" t="str" cm="1">
        <f t="array" ref="K37">_xlfn.IFS(H37&gt;=$U$1,"kostka",I37&gt;=$U$1*$R$3,"orzech",J37&gt;=$U$1*$R$4,"miał",1=1,"NIC")</f>
        <v>kostka</v>
      </c>
      <c r="L37">
        <f t="shared" si="2"/>
        <v>27</v>
      </c>
      <c r="M37">
        <f t="shared" si="3"/>
        <v>382</v>
      </c>
      <c r="N37">
        <f t="shared" si="4"/>
        <v>257</v>
      </c>
    </row>
    <row r="38" spans="1:14" x14ac:dyDescent="0.25">
      <c r="A38" s="1">
        <v>41963</v>
      </c>
      <c r="B38">
        <f t="shared" si="1"/>
        <v>27</v>
      </c>
      <c r="C38">
        <f t="shared" si="1"/>
        <v>382</v>
      </c>
      <c r="D38">
        <f t="shared" si="1"/>
        <v>257</v>
      </c>
      <c r="E38">
        <v>192</v>
      </c>
      <c r="F38">
        <v>151</v>
      </c>
      <c r="G38">
        <v>45</v>
      </c>
      <c r="H38">
        <f t="shared" si="0"/>
        <v>219</v>
      </c>
      <c r="I38">
        <f t="shared" si="0"/>
        <v>533</v>
      </c>
      <c r="J38">
        <f t="shared" si="0"/>
        <v>302</v>
      </c>
      <c r="K38" t="str" cm="1">
        <f t="array" ref="K38">_xlfn.IFS(H38&gt;=$U$1,"kostka",I38&gt;=$U$1*$R$3,"orzech",J38&gt;=$U$1*$R$4,"miał",1=1,"NIC")</f>
        <v>kostka</v>
      </c>
      <c r="L38">
        <f t="shared" si="2"/>
        <v>19</v>
      </c>
      <c r="M38">
        <f t="shared" si="3"/>
        <v>533</v>
      </c>
      <c r="N38">
        <f t="shared" si="4"/>
        <v>302</v>
      </c>
    </row>
    <row r="39" spans="1:14" x14ac:dyDescent="0.25">
      <c r="A39" s="1">
        <v>41964</v>
      </c>
      <c r="B39">
        <f t="shared" si="1"/>
        <v>19</v>
      </c>
      <c r="C39">
        <f t="shared" si="1"/>
        <v>533</v>
      </c>
      <c r="D39">
        <f t="shared" si="1"/>
        <v>302</v>
      </c>
      <c r="E39">
        <v>9</v>
      </c>
      <c r="F39">
        <v>64</v>
      </c>
      <c r="G39">
        <v>22</v>
      </c>
      <c r="H39">
        <f t="shared" si="0"/>
        <v>28</v>
      </c>
      <c r="I39">
        <f t="shared" si="0"/>
        <v>597</v>
      </c>
      <c r="J39">
        <f t="shared" si="0"/>
        <v>324</v>
      </c>
      <c r="K39" t="str" cm="1">
        <f t="array" ref="K39">_xlfn.IFS(H39&gt;=$U$1,"kostka",I39&gt;=$U$1*$R$3,"orzech",J39&gt;=$U$1*$R$4,"miał",1=1,"NIC")</f>
        <v>orzech</v>
      </c>
      <c r="L39">
        <f t="shared" si="2"/>
        <v>28</v>
      </c>
      <c r="M39">
        <f t="shared" si="3"/>
        <v>337</v>
      </c>
      <c r="N39">
        <f t="shared" si="4"/>
        <v>324</v>
      </c>
    </row>
    <row r="40" spans="1:14" x14ac:dyDescent="0.25">
      <c r="A40" s="1">
        <v>41965</v>
      </c>
      <c r="B40">
        <f t="shared" si="1"/>
        <v>28</v>
      </c>
      <c r="C40">
        <f t="shared" si="1"/>
        <v>337</v>
      </c>
      <c r="D40">
        <f t="shared" si="1"/>
        <v>324</v>
      </c>
      <c r="E40">
        <v>123</v>
      </c>
      <c r="F40">
        <v>150</v>
      </c>
      <c r="G40">
        <v>10</v>
      </c>
      <c r="H40">
        <f t="shared" si="0"/>
        <v>151</v>
      </c>
      <c r="I40">
        <f t="shared" si="0"/>
        <v>487</v>
      </c>
      <c r="J40">
        <f t="shared" si="0"/>
        <v>334</v>
      </c>
      <c r="K40" t="str" cm="1">
        <f t="array" ref="K40">_xlfn.IFS(H40&gt;=$U$1,"kostka",I40&gt;=$U$1*$R$3,"orzech",J40&gt;=$U$1*$R$4,"miał",1=1,"NIC")</f>
        <v>orzech</v>
      </c>
      <c r="L40">
        <f t="shared" si="2"/>
        <v>151</v>
      </c>
      <c r="M40">
        <f t="shared" si="3"/>
        <v>227</v>
      </c>
      <c r="N40">
        <f t="shared" si="4"/>
        <v>334</v>
      </c>
    </row>
    <row r="41" spans="1:14" x14ac:dyDescent="0.25">
      <c r="A41" s="1">
        <v>41966</v>
      </c>
      <c r="B41">
        <f t="shared" si="1"/>
        <v>151</v>
      </c>
      <c r="C41">
        <f t="shared" si="1"/>
        <v>227</v>
      </c>
      <c r="D41">
        <f t="shared" si="1"/>
        <v>334</v>
      </c>
      <c r="E41">
        <v>87</v>
      </c>
      <c r="F41">
        <v>123</v>
      </c>
      <c r="G41">
        <v>33</v>
      </c>
      <c r="H41">
        <f t="shared" si="0"/>
        <v>238</v>
      </c>
      <c r="I41">
        <f t="shared" si="0"/>
        <v>350</v>
      </c>
      <c r="J41">
        <f t="shared" si="0"/>
        <v>367</v>
      </c>
      <c r="K41" t="str" cm="1">
        <f t="array" ref="K41">_xlfn.IFS(H41&gt;=$U$1,"kostka",I41&gt;=$U$1*$R$3,"orzech",J41&gt;=$U$1*$R$4,"miał",1=1,"NIC")</f>
        <v>kostka</v>
      </c>
      <c r="L41">
        <f t="shared" si="2"/>
        <v>38</v>
      </c>
      <c r="M41">
        <f t="shared" si="3"/>
        <v>350</v>
      </c>
      <c r="N41">
        <f t="shared" si="4"/>
        <v>367</v>
      </c>
    </row>
    <row r="42" spans="1:14" x14ac:dyDescent="0.25">
      <c r="A42" s="1">
        <v>41967</v>
      </c>
      <c r="B42">
        <f t="shared" si="1"/>
        <v>38</v>
      </c>
      <c r="C42">
        <f t="shared" si="1"/>
        <v>350</v>
      </c>
      <c r="D42">
        <f t="shared" si="1"/>
        <v>367</v>
      </c>
      <c r="E42">
        <v>165</v>
      </c>
      <c r="F42">
        <v>88</v>
      </c>
      <c r="G42">
        <v>13</v>
      </c>
      <c r="H42">
        <f t="shared" si="0"/>
        <v>203</v>
      </c>
      <c r="I42">
        <f t="shared" si="0"/>
        <v>438</v>
      </c>
      <c r="J42">
        <f t="shared" si="0"/>
        <v>380</v>
      </c>
      <c r="K42" t="str" cm="1">
        <f t="array" ref="K42">_xlfn.IFS(H42&gt;=$U$1,"kostka",I42&gt;=$U$1*$R$3,"orzech",J42&gt;=$U$1*$R$4,"miał",1=1,"NIC")</f>
        <v>kostka</v>
      </c>
      <c r="L42">
        <f t="shared" si="2"/>
        <v>3</v>
      </c>
      <c r="M42">
        <f t="shared" si="3"/>
        <v>438</v>
      </c>
      <c r="N42">
        <f t="shared" si="4"/>
        <v>380</v>
      </c>
    </row>
    <row r="43" spans="1:14" x14ac:dyDescent="0.25">
      <c r="A43" s="1">
        <v>41968</v>
      </c>
      <c r="B43">
        <f t="shared" si="1"/>
        <v>3</v>
      </c>
      <c r="C43">
        <f t="shared" si="1"/>
        <v>438</v>
      </c>
      <c r="D43">
        <f t="shared" si="1"/>
        <v>380</v>
      </c>
      <c r="E43">
        <v>144</v>
      </c>
      <c r="F43">
        <v>78</v>
      </c>
      <c r="G43">
        <v>82</v>
      </c>
      <c r="H43">
        <f t="shared" si="0"/>
        <v>147</v>
      </c>
      <c r="I43">
        <f t="shared" si="0"/>
        <v>516</v>
      </c>
      <c r="J43">
        <f t="shared" si="0"/>
        <v>462</v>
      </c>
      <c r="K43" t="str" cm="1">
        <f t="array" ref="K43">_xlfn.IFS(H43&gt;=$U$1,"kostka",I43&gt;=$U$1*$R$3,"orzech",J43&gt;=$U$1*$R$4,"miał",1=1,"NIC")</f>
        <v>orzech</v>
      </c>
      <c r="L43">
        <f t="shared" si="2"/>
        <v>147</v>
      </c>
      <c r="M43">
        <f t="shared" si="3"/>
        <v>256</v>
      </c>
      <c r="N43">
        <f t="shared" si="4"/>
        <v>462</v>
      </c>
    </row>
    <row r="44" spans="1:14" x14ac:dyDescent="0.25">
      <c r="A44" s="1">
        <v>41969</v>
      </c>
      <c r="B44">
        <f t="shared" si="1"/>
        <v>147</v>
      </c>
      <c r="C44">
        <f t="shared" si="1"/>
        <v>256</v>
      </c>
      <c r="D44">
        <f t="shared" si="1"/>
        <v>462</v>
      </c>
      <c r="E44">
        <v>54</v>
      </c>
      <c r="F44">
        <v>38</v>
      </c>
      <c r="G44">
        <v>68</v>
      </c>
      <c r="H44">
        <f t="shared" si="0"/>
        <v>201</v>
      </c>
      <c r="I44">
        <f t="shared" si="0"/>
        <v>294</v>
      </c>
      <c r="J44">
        <f t="shared" si="0"/>
        <v>530</v>
      </c>
      <c r="K44" t="str" cm="1">
        <f t="array" ref="K44">_xlfn.IFS(H44&gt;=$U$1,"kostka",I44&gt;=$U$1*$R$3,"orzech",J44&gt;=$U$1*$R$4,"miał",1=1,"NIC")</f>
        <v>kostka</v>
      </c>
      <c r="L44">
        <f t="shared" si="2"/>
        <v>1</v>
      </c>
      <c r="M44">
        <f t="shared" si="3"/>
        <v>294</v>
      </c>
      <c r="N44">
        <f t="shared" si="4"/>
        <v>530</v>
      </c>
    </row>
    <row r="45" spans="1:14" x14ac:dyDescent="0.25">
      <c r="A45" s="1">
        <v>41970</v>
      </c>
      <c r="B45">
        <f t="shared" si="1"/>
        <v>1</v>
      </c>
      <c r="C45">
        <f t="shared" si="1"/>
        <v>294</v>
      </c>
      <c r="D45">
        <f t="shared" si="1"/>
        <v>530</v>
      </c>
      <c r="E45">
        <v>188</v>
      </c>
      <c r="F45">
        <v>44</v>
      </c>
      <c r="G45">
        <v>86</v>
      </c>
      <c r="H45">
        <f t="shared" si="0"/>
        <v>189</v>
      </c>
      <c r="I45">
        <f t="shared" si="0"/>
        <v>338</v>
      </c>
      <c r="J45">
        <f t="shared" si="0"/>
        <v>616</v>
      </c>
      <c r="K45" t="str" cm="1">
        <f t="array" ref="K45">_xlfn.IFS(H45&gt;=$U$1,"kostka",I45&gt;=$U$1*$R$3,"orzech",J45&gt;=$U$1*$R$4,"miał",1=1,"NIC")</f>
        <v>orzech</v>
      </c>
      <c r="L45">
        <f t="shared" si="2"/>
        <v>189</v>
      </c>
      <c r="M45">
        <f t="shared" si="3"/>
        <v>78</v>
      </c>
      <c r="N45">
        <f t="shared" si="4"/>
        <v>616</v>
      </c>
    </row>
    <row r="46" spans="1:14" x14ac:dyDescent="0.25">
      <c r="A46" s="1">
        <v>41971</v>
      </c>
      <c r="B46">
        <f t="shared" si="1"/>
        <v>189</v>
      </c>
      <c r="C46">
        <f t="shared" si="1"/>
        <v>78</v>
      </c>
      <c r="D46">
        <f t="shared" si="1"/>
        <v>616</v>
      </c>
      <c r="E46">
        <v>165</v>
      </c>
      <c r="F46">
        <v>170</v>
      </c>
      <c r="G46">
        <v>62</v>
      </c>
      <c r="H46">
        <f t="shared" si="0"/>
        <v>354</v>
      </c>
      <c r="I46">
        <f t="shared" si="0"/>
        <v>248</v>
      </c>
      <c r="J46">
        <f t="shared" si="0"/>
        <v>678</v>
      </c>
      <c r="K46" t="str" cm="1">
        <f t="array" ref="K46">_xlfn.IFS(H46&gt;=$U$1,"kostka",I46&gt;=$U$1*$R$3,"orzech",J46&gt;=$U$1*$R$4,"miał",1=1,"NIC")</f>
        <v>kostka</v>
      </c>
      <c r="L46">
        <f t="shared" si="2"/>
        <v>154</v>
      </c>
      <c r="M46">
        <f t="shared" si="3"/>
        <v>248</v>
      </c>
      <c r="N46">
        <f t="shared" si="4"/>
        <v>678</v>
      </c>
    </row>
    <row r="47" spans="1:14" x14ac:dyDescent="0.25">
      <c r="A47" s="1">
        <v>41972</v>
      </c>
      <c r="B47">
        <f t="shared" si="1"/>
        <v>154</v>
      </c>
      <c r="C47">
        <f t="shared" si="1"/>
        <v>248</v>
      </c>
      <c r="D47">
        <f t="shared" si="1"/>
        <v>678</v>
      </c>
      <c r="E47">
        <v>24</v>
      </c>
      <c r="F47">
        <v>94</v>
      </c>
      <c r="G47">
        <v>87</v>
      </c>
      <c r="H47">
        <f t="shared" si="0"/>
        <v>178</v>
      </c>
      <c r="I47">
        <f t="shared" si="0"/>
        <v>342</v>
      </c>
      <c r="J47">
        <f t="shared" si="0"/>
        <v>765</v>
      </c>
      <c r="K47" t="str" cm="1">
        <f t="array" ref="K47">_xlfn.IFS(H47&gt;=$U$1,"kostka",I47&gt;=$U$1*$R$3,"orzech",J47&gt;=$U$1*$R$4,"miał",1=1,"NIC")</f>
        <v>orzech</v>
      </c>
      <c r="L47">
        <f t="shared" si="2"/>
        <v>178</v>
      </c>
      <c r="M47">
        <f t="shared" si="3"/>
        <v>82</v>
      </c>
      <c r="N47">
        <f t="shared" si="4"/>
        <v>765</v>
      </c>
    </row>
    <row r="48" spans="1:14" x14ac:dyDescent="0.25">
      <c r="A48" s="1">
        <v>41973</v>
      </c>
      <c r="B48">
        <f t="shared" si="1"/>
        <v>178</v>
      </c>
      <c r="C48">
        <f t="shared" si="1"/>
        <v>82</v>
      </c>
      <c r="D48">
        <f t="shared" si="1"/>
        <v>765</v>
      </c>
      <c r="E48">
        <v>0</v>
      </c>
      <c r="F48">
        <v>120</v>
      </c>
      <c r="G48">
        <v>60</v>
      </c>
      <c r="H48">
        <f t="shared" si="0"/>
        <v>178</v>
      </c>
      <c r="I48">
        <f t="shared" si="0"/>
        <v>202</v>
      </c>
      <c r="J48">
        <f t="shared" si="0"/>
        <v>825</v>
      </c>
      <c r="K48" t="str" cm="1">
        <f t="array" ref="K48">_xlfn.IFS(H48&gt;=$U$1,"kostka",I48&gt;=$U$1*$R$3,"orzech",J48&gt;=$U$1*$R$4,"miał",1=1,"NIC")</f>
        <v>miał</v>
      </c>
      <c r="L48">
        <f t="shared" si="2"/>
        <v>178</v>
      </c>
      <c r="M48">
        <f t="shared" si="3"/>
        <v>202</v>
      </c>
      <c r="N48">
        <f t="shared" si="4"/>
        <v>505</v>
      </c>
    </row>
    <row r="49" spans="1:14" x14ac:dyDescent="0.25">
      <c r="A49" s="1">
        <v>41974</v>
      </c>
      <c r="B49">
        <f t="shared" si="1"/>
        <v>178</v>
      </c>
      <c r="C49">
        <f t="shared" si="1"/>
        <v>202</v>
      </c>
      <c r="D49">
        <f t="shared" si="1"/>
        <v>505</v>
      </c>
      <c r="E49">
        <v>101</v>
      </c>
      <c r="F49">
        <v>53</v>
      </c>
      <c r="G49">
        <v>62</v>
      </c>
      <c r="H49">
        <f t="shared" si="0"/>
        <v>279</v>
      </c>
      <c r="I49">
        <f t="shared" si="0"/>
        <v>255</v>
      </c>
      <c r="J49">
        <f t="shared" si="0"/>
        <v>567</v>
      </c>
      <c r="K49" t="str" cm="1">
        <f t="array" ref="K49">_xlfn.IFS(H49&gt;=$U$1,"kostka",I49&gt;=$U$1*$R$3,"orzech",J49&gt;=$U$1*$R$4,"miał",1=1,"NIC")</f>
        <v>kostka</v>
      </c>
      <c r="L49">
        <f t="shared" si="2"/>
        <v>79</v>
      </c>
      <c r="M49">
        <f t="shared" si="3"/>
        <v>255</v>
      </c>
      <c r="N49">
        <f t="shared" si="4"/>
        <v>567</v>
      </c>
    </row>
    <row r="50" spans="1:14" x14ac:dyDescent="0.25">
      <c r="A50" s="1">
        <v>41975</v>
      </c>
      <c r="B50">
        <f t="shared" si="1"/>
        <v>79</v>
      </c>
      <c r="C50">
        <f t="shared" si="1"/>
        <v>255</v>
      </c>
      <c r="D50">
        <f t="shared" si="1"/>
        <v>567</v>
      </c>
      <c r="E50">
        <v>67</v>
      </c>
      <c r="F50">
        <v>147</v>
      </c>
      <c r="G50">
        <v>20</v>
      </c>
      <c r="H50">
        <f t="shared" si="0"/>
        <v>146</v>
      </c>
      <c r="I50">
        <f t="shared" si="0"/>
        <v>402</v>
      </c>
      <c r="J50">
        <f t="shared" si="0"/>
        <v>587</v>
      </c>
      <c r="K50" t="str" cm="1">
        <f t="array" ref="K50">_xlfn.IFS(H50&gt;=$U$1,"kostka",I50&gt;=$U$1*$R$3,"orzech",J50&gt;=$U$1*$R$4,"miał",1=1,"NIC")</f>
        <v>orzech</v>
      </c>
      <c r="L50">
        <f t="shared" si="2"/>
        <v>146</v>
      </c>
      <c r="M50">
        <f t="shared" si="3"/>
        <v>142</v>
      </c>
      <c r="N50">
        <f t="shared" si="4"/>
        <v>587</v>
      </c>
    </row>
    <row r="51" spans="1:14" x14ac:dyDescent="0.25">
      <c r="A51" s="1">
        <v>41976</v>
      </c>
      <c r="B51">
        <f t="shared" si="1"/>
        <v>146</v>
      </c>
      <c r="C51">
        <f t="shared" si="1"/>
        <v>142</v>
      </c>
      <c r="D51">
        <f t="shared" si="1"/>
        <v>587</v>
      </c>
      <c r="E51">
        <v>109</v>
      </c>
      <c r="F51">
        <v>99</v>
      </c>
      <c r="G51">
        <v>70</v>
      </c>
      <c r="H51">
        <f t="shared" si="0"/>
        <v>255</v>
      </c>
      <c r="I51">
        <f t="shared" si="0"/>
        <v>241</v>
      </c>
      <c r="J51">
        <f t="shared" si="0"/>
        <v>657</v>
      </c>
      <c r="K51" t="str" cm="1">
        <f t="array" ref="K51">_xlfn.IFS(H51&gt;=$U$1,"kostka",I51&gt;=$U$1*$R$3,"orzech",J51&gt;=$U$1*$R$4,"miał",1=1,"NIC")</f>
        <v>kostka</v>
      </c>
      <c r="L51">
        <f t="shared" si="2"/>
        <v>55</v>
      </c>
      <c r="M51">
        <f t="shared" si="3"/>
        <v>241</v>
      </c>
      <c r="N51">
        <f t="shared" si="4"/>
        <v>657</v>
      </c>
    </row>
    <row r="52" spans="1:14" x14ac:dyDescent="0.25">
      <c r="A52" s="1">
        <v>41977</v>
      </c>
      <c r="B52">
        <f t="shared" si="1"/>
        <v>55</v>
      </c>
      <c r="C52">
        <f t="shared" si="1"/>
        <v>241</v>
      </c>
      <c r="D52">
        <f t="shared" si="1"/>
        <v>657</v>
      </c>
      <c r="E52">
        <v>22</v>
      </c>
      <c r="F52">
        <v>16</v>
      </c>
      <c r="G52">
        <v>59</v>
      </c>
      <c r="H52">
        <f t="shared" si="0"/>
        <v>77</v>
      </c>
      <c r="I52">
        <f t="shared" si="0"/>
        <v>257</v>
      </c>
      <c r="J52">
        <f t="shared" si="0"/>
        <v>716</v>
      </c>
      <c r="K52" t="str" cm="1">
        <f t="array" ref="K52">_xlfn.IFS(H52&gt;=$U$1,"kostka",I52&gt;=$U$1*$R$3,"orzech",J52&gt;=$U$1*$R$4,"miał",1=1,"NIC")</f>
        <v>miał</v>
      </c>
      <c r="L52">
        <f t="shared" si="2"/>
        <v>77</v>
      </c>
      <c r="M52">
        <f t="shared" si="3"/>
        <v>257</v>
      </c>
      <c r="N52">
        <f t="shared" si="4"/>
        <v>396</v>
      </c>
    </row>
    <row r="53" spans="1:14" x14ac:dyDescent="0.25">
      <c r="A53" s="1">
        <v>41978</v>
      </c>
      <c r="B53">
        <f t="shared" si="1"/>
        <v>77</v>
      </c>
      <c r="C53">
        <f t="shared" si="1"/>
        <v>257</v>
      </c>
      <c r="D53">
        <f t="shared" si="1"/>
        <v>396</v>
      </c>
      <c r="E53">
        <v>5</v>
      </c>
      <c r="F53">
        <v>91</v>
      </c>
      <c r="G53">
        <v>73</v>
      </c>
      <c r="H53">
        <f t="shared" si="0"/>
        <v>82</v>
      </c>
      <c r="I53">
        <f t="shared" si="0"/>
        <v>348</v>
      </c>
      <c r="J53">
        <f t="shared" si="0"/>
        <v>469</v>
      </c>
      <c r="K53" t="str" cm="1">
        <f t="array" ref="K53">_xlfn.IFS(H53&gt;=$U$1,"kostka",I53&gt;=$U$1*$R$3,"orzech",J53&gt;=$U$1*$R$4,"miał",1=1,"NIC")</f>
        <v>orzech</v>
      </c>
      <c r="L53">
        <f t="shared" si="2"/>
        <v>82</v>
      </c>
      <c r="M53">
        <f t="shared" si="3"/>
        <v>88</v>
      </c>
      <c r="N53">
        <f t="shared" si="4"/>
        <v>469</v>
      </c>
    </row>
    <row r="54" spans="1:14" x14ac:dyDescent="0.25">
      <c r="A54" s="1">
        <v>41979</v>
      </c>
      <c r="B54">
        <f t="shared" si="1"/>
        <v>82</v>
      </c>
      <c r="C54">
        <f t="shared" si="1"/>
        <v>88</v>
      </c>
      <c r="D54">
        <f t="shared" si="1"/>
        <v>469</v>
      </c>
      <c r="E54">
        <v>105</v>
      </c>
      <c r="F54">
        <v>154</v>
      </c>
      <c r="G54">
        <v>48</v>
      </c>
      <c r="H54">
        <f t="shared" si="0"/>
        <v>187</v>
      </c>
      <c r="I54">
        <f t="shared" si="0"/>
        <v>242</v>
      </c>
      <c r="J54">
        <f t="shared" si="0"/>
        <v>517</v>
      </c>
      <c r="K54" t="str" cm="1">
        <f t="array" ref="K54">_xlfn.IFS(H54&gt;=$U$1,"kostka",I54&gt;=$U$1*$R$3,"orzech",J54&gt;=$U$1*$R$4,"miał",1=1,"NIC")</f>
        <v>miał</v>
      </c>
      <c r="L54">
        <f t="shared" si="2"/>
        <v>187</v>
      </c>
      <c r="M54">
        <f t="shared" si="3"/>
        <v>242</v>
      </c>
      <c r="N54">
        <f t="shared" si="4"/>
        <v>197</v>
      </c>
    </row>
    <row r="55" spans="1:14" x14ac:dyDescent="0.25">
      <c r="A55" s="1">
        <v>41980</v>
      </c>
      <c r="B55">
        <f t="shared" si="1"/>
        <v>187</v>
      </c>
      <c r="C55">
        <f t="shared" si="1"/>
        <v>242</v>
      </c>
      <c r="D55">
        <f t="shared" si="1"/>
        <v>197</v>
      </c>
      <c r="E55">
        <v>108</v>
      </c>
      <c r="F55">
        <v>5</v>
      </c>
      <c r="G55">
        <v>71</v>
      </c>
      <c r="H55">
        <f t="shared" si="0"/>
        <v>295</v>
      </c>
      <c r="I55">
        <f t="shared" si="0"/>
        <v>247</v>
      </c>
      <c r="J55">
        <f t="shared" si="0"/>
        <v>268</v>
      </c>
      <c r="K55" t="str" cm="1">
        <f t="array" ref="K55">_xlfn.IFS(H55&gt;=$U$1,"kostka",I55&gt;=$U$1*$R$3,"orzech",J55&gt;=$U$1*$R$4,"miał",1=1,"NIC")</f>
        <v>kostka</v>
      </c>
      <c r="L55">
        <f t="shared" si="2"/>
        <v>95</v>
      </c>
      <c r="M55">
        <f t="shared" si="3"/>
        <v>247</v>
      </c>
      <c r="N55">
        <f t="shared" si="4"/>
        <v>268</v>
      </c>
    </row>
    <row r="56" spans="1:14" x14ac:dyDescent="0.25">
      <c r="A56" s="1">
        <v>41981</v>
      </c>
      <c r="B56">
        <f t="shared" si="1"/>
        <v>95</v>
      </c>
      <c r="C56">
        <f t="shared" si="1"/>
        <v>247</v>
      </c>
      <c r="D56">
        <f t="shared" si="1"/>
        <v>268</v>
      </c>
      <c r="E56">
        <v>64</v>
      </c>
      <c r="F56">
        <v>37</v>
      </c>
      <c r="G56">
        <v>89</v>
      </c>
      <c r="H56">
        <f t="shared" si="0"/>
        <v>159</v>
      </c>
      <c r="I56">
        <f t="shared" si="0"/>
        <v>284</v>
      </c>
      <c r="J56">
        <f t="shared" si="0"/>
        <v>357</v>
      </c>
      <c r="K56" t="str" cm="1">
        <f t="array" ref="K56">_xlfn.IFS(H56&gt;=$U$1,"kostka",I56&gt;=$U$1*$R$3,"orzech",J56&gt;=$U$1*$R$4,"miał",1=1,"NIC")</f>
        <v>orzech</v>
      </c>
      <c r="L56">
        <f t="shared" si="2"/>
        <v>159</v>
      </c>
      <c r="M56">
        <f t="shared" si="3"/>
        <v>24</v>
      </c>
      <c r="N56">
        <f t="shared" si="4"/>
        <v>357</v>
      </c>
    </row>
    <row r="57" spans="1:14" x14ac:dyDescent="0.25">
      <c r="A57" s="1">
        <v>41982</v>
      </c>
      <c r="B57">
        <f t="shared" si="1"/>
        <v>159</v>
      </c>
      <c r="C57">
        <f t="shared" si="1"/>
        <v>24</v>
      </c>
      <c r="D57">
        <f t="shared" si="1"/>
        <v>357</v>
      </c>
      <c r="E57">
        <v>114</v>
      </c>
      <c r="F57">
        <v>140</v>
      </c>
      <c r="G57">
        <v>36</v>
      </c>
      <c r="H57">
        <f t="shared" si="0"/>
        <v>273</v>
      </c>
      <c r="I57">
        <f t="shared" si="0"/>
        <v>164</v>
      </c>
      <c r="J57">
        <f t="shared" si="0"/>
        <v>393</v>
      </c>
      <c r="K57" t="str" cm="1">
        <f t="array" ref="K57">_xlfn.IFS(H57&gt;=$U$1,"kostka",I57&gt;=$U$1*$R$3,"orzech",J57&gt;=$U$1*$R$4,"miał",1=1,"NIC")</f>
        <v>kostka</v>
      </c>
      <c r="L57">
        <f t="shared" si="2"/>
        <v>73</v>
      </c>
      <c r="M57">
        <f t="shared" si="3"/>
        <v>164</v>
      </c>
      <c r="N57">
        <f t="shared" si="4"/>
        <v>393</v>
      </c>
    </row>
    <row r="58" spans="1:14" x14ac:dyDescent="0.25">
      <c r="A58" s="1">
        <v>41983</v>
      </c>
      <c r="B58">
        <f t="shared" si="1"/>
        <v>73</v>
      </c>
      <c r="C58">
        <f t="shared" si="1"/>
        <v>164</v>
      </c>
      <c r="D58">
        <f t="shared" si="1"/>
        <v>393</v>
      </c>
      <c r="E58">
        <v>147</v>
      </c>
      <c r="F58">
        <v>140</v>
      </c>
      <c r="G58">
        <v>61</v>
      </c>
      <c r="H58">
        <f t="shared" si="0"/>
        <v>220</v>
      </c>
      <c r="I58">
        <f t="shared" si="0"/>
        <v>304</v>
      </c>
      <c r="J58">
        <f t="shared" si="0"/>
        <v>454</v>
      </c>
      <c r="K58" t="str" cm="1">
        <f t="array" ref="K58">_xlfn.IFS(H58&gt;=$U$1,"kostka",I58&gt;=$U$1*$R$3,"orzech",J58&gt;=$U$1*$R$4,"miał",1=1,"NIC")</f>
        <v>kostka</v>
      </c>
      <c r="L58">
        <f t="shared" si="2"/>
        <v>20</v>
      </c>
      <c r="M58">
        <f t="shared" si="3"/>
        <v>304</v>
      </c>
      <c r="N58">
        <f t="shared" si="4"/>
        <v>454</v>
      </c>
    </row>
    <row r="59" spans="1:14" x14ac:dyDescent="0.25">
      <c r="A59" s="1">
        <v>41984</v>
      </c>
      <c r="B59">
        <f t="shared" si="1"/>
        <v>20</v>
      </c>
      <c r="C59">
        <f t="shared" si="1"/>
        <v>304</v>
      </c>
      <c r="D59">
        <f t="shared" si="1"/>
        <v>454</v>
      </c>
      <c r="E59">
        <v>69</v>
      </c>
      <c r="F59">
        <v>120</v>
      </c>
      <c r="G59">
        <v>52</v>
      </c>
      <c r="H59">
        <f t="shared" si="0"/>
        <v>89</v>
      </c>
      <c r="I59">
        <f t="shared" si="0"/>
        <v>424</v>
      </c>
      <c r="J59">
        <f t="shared" si="0"/>
        <v>506</v>
      </c>
      <c r="K59" t="str" cm="1">
        <f t="array" ref="K59">_xlfn.IFS(H59&gt;=$U$1,"kostka",I59&gt;=$U$1*$R$3,"orzech",J59&gt;=$U$1*$R$4,"miał",1=1,"NIC")</f>
        <v>orzech</v>
      </c>
      <c r="L59">
        <f t="shared" si="2"/>
        <v>89</v>
      </c>
      <c r="M59">
        <f t="shared" si="3"/>
        <v>164</v>
      </c>
      <c r="N59">
        <f t="shared" si="4"/>
        <v>506</v>
      </c>
    </row>
    <row r="60" spans="1:14" x14ac:dyDescent="0.25">
      <c r="A60" s="1">
        <v>41985</v>
      </c>
      <c r="B60">
        <f t="shared" si="1"/>
        <v>89</v>
      </c>
      <c r="C60">
        <f t="shared" si="1"/>
        <v>164</v>
      </c>
      <c r="D60">
        <f t="shared" si="1"/>
        <v>506</v>
      </c>
      <c r="E60">
        <v>101</v>
      </c>
      <c r="F60">
        <v>39</v>
      </c>
      <c r="G60">
        <v>10</v>
      </c>
      <c r="H60">
        <f t="shared" si="0"/>
        <v>190</v>
      </c>
      <c r="I60">
        <f t="shared" si="0"/>
        <v>203</v>
      </c>
      <c r="J60">
        <f t="shared" si="0"/>
        <v>516</v>
      </c>
      <c r="K60" t="str" cm="1">
        <f t="array" ref="K60">_xlfn.IFS(H60&gt;=$U$1,"kostka",I60&gt;=$U$1*$R$3,"orzech",J60&gt;=$U$1*$R$4,"miał",1=1,"NIC")</f>
        <v>miał</v>
      </c>
      <c r="L60">
        <f t="shared" si="2"/>
        <v>190</v>
      </c>
      <c r="M60">
        <f t="shared" si="3"/>
        <v>203</v>
      </c>
      <c r="N60">
        <f t="shared" si="4"/>
        <v>196</v>
      </c>
    </row>
    <row r="61" spans="1:14" x14ac:dyDescent="0.25">
      <c r="A61" s="1">
        <v>41986</v>
      </c>
      <c r="B61">
        <f t="shared" si="1"/>
        <v>190</v>
      </c>
      <c r="C61">
        <f t="shared" si="1"/>
        <v>203</v>
      </c>
      <c r="D61">
        <f t="shared" si="1"/>
        <v>196</v>
      </c>
      <c r="E61">
        <v>158</v>
      </c>
      <c r="F61">
        <v>36</v>
      </c>
      <c r="G61">
        <v>79</v>
      </c>
      <c r="H61">
        <f t="shared" si="0"/>
        <v>348</v>
      </c>
      <c r="I61">
        <f t="shared" si="0"/>
        <v>239</v>
      </c>
      <c r="J61">
        <f t="shared" si="0"/>
        <v>275</v>
      </c>
      <c r="K61" t="str" cm="1">
        <f t="array" ref="K61">_xlfn.IFS(H61&gt;=$U$1,"kostka",I61&gt;=$U$1*$R$3,"orzech",J61&gt;=$U$1*$R$4,"miał",1=1,"NIC")</f>
        <v>kostka</v>
      </c>
      <c r="L61">
        <f t="shared" si="2"/>
        <v>148</v>
      </c>
      <c r="M61">
        <f t="shared" si="3"/>
        <v>239</v>
      </c>
      <c r="N61">
        <f t="shared" si="4"/>
        <v>275</v>
      </c>
    </row>
    <row r="62" spans="1:14" x14ac:dyDescent="0.25">
      <c r="A62" s="1">
        <v>41987</v>
      </c>
      <c r="B62">
        <f t="shared" si="1"/>
        <v>148</v>
      </c>
      <c r="C62">
        <f t="shared" si="1"/>
        <v>239</v>
      </c>
      <c r="D62">
        <f t="shared" si="1"/>
        <v>275</v>
      </c>
      <c r="E62">
        <v>79</v>
      </c>
      <c r="F62">
        <v>105</v>
      </c>
      <c r="G62">
        <v>73</v>
      </c>
      <c r="H62">
        <f t="shared" si="0"/>
        <v>227</v>
      </c>
      <c r="I62">
        <f t="shared" si="0"/>
        <v>344</v>
      </c>
      <c r="J62">
        <f t="shared" si="0"/>
        <v>348</v>
      </c>
      <c r="K62" t="str" cm="1">
        <f t="array" ref="K62">_xlfn.IFS(H62&gt;=$U$1,"kostka",I62&gt;=$U$1*$R$3,"orzech",J62&gt;=$U$1*$R$4,"miał",1=1,"NIC")</f>
        <v>kostka</v>
      </c>
      <c r="L62">
        <f t="shared" si="2"/>
        <v>27</v>
      </c>
      <c r="M62">
        <f t="shared" si="3"/>
        <v>344</v>
      </c>
      <c r="N62">
        <f t="shared" si="4"/>
        <v>348</v>
      </c>
    </row>
    <row r="63" spans="1:14" x14ac:dyDescent="0.25">
      <c r="A63" s="1">
        <v>41988</v>
      </c>
      <c r="B63">
        <f t="shared" si="1"/>
        <v>27</v>
      </c>
      <c r="C63">
        <f t="shared" si="1"/>
        <v>344</v>
      </c>
      <c r="D63">
        <f t="shared" si="1"/>
        <v>348</v>
      </c>
      <c r="E63">
        <v>5</v>
      </c>
      <c r="F63">
        <v>24</v>
      </c>
      <c r="G63">
        <v>43</v>
      </c>
      <c r="H63">
        <f t="shared" si="0"/>
        <v>32</v>
      </c>
      <c r="I63">
        <f t="shared" si="0"/>
        <v>368</v>
      </c>
      <c r="J63">
        <f t="shared" si="0"/>
        <v>391</v>
      </c>
      <c r="K63" t="str" cm="1">
        <f t="array" ref="K63">_xlfn.IFS(H63&gt;=$U$1,"kostka",I63&gt;=$U$1*$R$3,"orzech",J63&gt;=$U$1*$R$4,"miał",1=1,"NIC")</f>
        <v>orzech</v>
      </c>
      <c r="L63">
        <f t="shared" si="2"/>
        <v>32</v>
      </c>
      <c r="M63">
        <f t="shared" si="3"/>
        <v>108</v>
      </c>
      <c r="N63">
        <f t="shared" si="4"/>
        <v>391</v>
      </c>
    </row>
    <row r="64" spans="1:14" x14ac:dyDescent="0.25">
      <c r="A64" s="1">
        <v>41989</v>
      </c>
      <c r="B64">
        <f t="shared" si="1"/>
        <v>32</v>
      </c>
      <c r="C64">
        <f t="shared" si="1"/>
        <v>108</v>
      </c>
      <c r="D64">
        <f t="shared" si="1"/>
        <v>391</v>
      </c>
      <c r="E64">
        <v>68</v>
      </c>
      <c r="F64">
        <v>112</v>
      </c>
      <c r="G64">
        <v>25</v>
      </c>
      <c r="H64">
        <f t="shared" si="0"/>
        <v>100</v>
      </c>
      <c r="I64">
        <f t="shared" si="0"/>
        <v>220</v>
      </c>
      <c r="J64">
        <f t="shared" si="0"/>
        <v>416</v>
      </c>
      <c r="K64" t="str" cm="1">
        <f t="array" ref="K64">_xlfn.IFS(H64&gt;=$U$1,"kostka",I64&gt;=$U$1*$R$3,"orzech",J64&gt;=$U$1*$R$4,"miał",1=1,"NIC")</f>
        <v>miał</v>
      </c>
      <c r="L64">
        <f t="shared" si="2"/>
        <v>100</v>
      </c>
      <c r="M64">
        <f t="shared" si="3"/>
        <v>220</v>
      </c>
      <c r="N64">
        <f t="shared" si="4"/>
        <v>96</v>
      </c>
    </row>
    <row r="65" spans="1:14" x14ac:dyDescent="0.25">
      <c r="A65" s="1">
        <v>41990</v>
      </c>
      <c r="B65">
        <f t="shared" si="1"/>
        <v>100</v>
      </c>
      <c r="C65">
        <f t="shared" si="1"/>
        <v>220</v>
      </c>
      <c r="D65">
        <f t="shared" si="1"/>
        <v>96</v>
      </c>
      <c r="E65">
        <v>37</v>
      </c>
      <c r="F65">
        <v>57</v>
      </c>
      <c r="G65">
        <v>81</v>
      </c>
      <c r="H65">
        <f t="shared" si="0"/>
        <v>137</v>
      </c>
      <c r="I65">
        <f t="shared" si="0"/>
        <v>277</v>
      </c>
      <c r="J65">
        <f t="shared" si="0"/>
        <v>177</v>
      </c>
      <c r="K65" t="str" cm="1">
        <f t="array" ref="K65">_xlfn.IFS(H65&gt;=$U$1,"kostka",I65&gt;=$U$1*$R$3,"orzech",J65&gt;=$U$1*$R$4,"miał",1=1,"NIC")</f>
        <v>orzech</v>
      </c>
      <c r="L65">
        <f t="shared" si="2"/>
        <v>137</v>
      </c>
      <c r="M65">
        <f t="shared" si="3"/>
        <v>17</v>
      </c>
      <c r="N65">
        <f t="shared" si="4"/>
        <v>177</v>
      </c>
    </row>
    <row r="66" spans="1:14" x14ac:dyDescent="0.25">
      <c r="A66" s="1">
        <v>41991</v>
      </c>
      <c r="B66">
        <f t="shared" si="1"/>
        <v>137</v>
      </c>
      <c r="C66">
        <f t="shared" si="1"/>
        <v>17</v>
      </c>
      <c r="D66">
        <f t="shared" si="1"/>
        <v>177</v>
      </c>
      <c r="E66">
        <v>188</v>
      </c>
      <c r="F66">
        <v>28</v>
      </c>
      <c r="G66">
        <v>7</v>
      </c>
      <c r="H66">
        <f t="shared" si="0"/>
        <v>325</v>
      </c>
      <c r="I66">
        <f t="shared" si="0"/>
        <v>45</v>
      </c>
      <c r="J66">
        <f t="shared" si="0"/>
        <v>184</v>
      </c>
      <c r="K66" t="str" cm="1">
        <f t="array" ref="K66">_xlfn.IFS(H66&gt;=$U$1,"kostka",I66&gt;=$U$1*$R$3,"orzech",J66&gt;=$U$1*$R$4,"miał",1=1,"NIC")</f>
        <v>kostka</v>
      </c>
      <c r="L66">
        <f t="shared" si="2"/>
        <v>125</v>
      </c>
      <c r="M66">
        <f t="shared" si="3"/>
        <v>45</v>
      </c>
      <c r="N66">
        <f t="shared" si="4"/>
        <v>184</v>
      </c>
    </row>
    <row r="67" spans="1:14" x14ac:dyDescent="0.25">
      <c r="A67" s="1">
        <v>41992</v>
      </c>
      <c r="B67">
        <f t="shared" si="1"/>
        <v>125</v>
      </c>
      <c r="C67">
        <f t="shared" si="1"/>
        <v>45</v>
      </c>
      <c r="D67">
        <f t="shared" si="1"/>
        <v>184</v>
      </c>
      <c r="E67">
        <v>167</v>
      </c>
      <c r="F67">
        <v>41</v>
      </c>
      <c r="G67">
        <v>45</v>
      </c>
      <c r="H67">
        <f t="shared" ref="H67:J130" si="5">B67+E67</f>
        <v>292</v>
      </c>
      <c r="I67">
        <f t="shared" si="5"/>
        <v>86</v>
      </c>
      <c r="J67">
        <f t="shared" si="5"/>
        <v>229</v>
      </c>
      <c r="K67" t="str" cm="1">
        <f t="array" ref="K67">_xlfn.IFS(H67&gt;=$U$1,"kostka",I67&gt;=$U$1*$R$3,"orzech",J67&gt;=$U$1*$R$4,"miał",1=1,"NIC")</f>
        <v>kostka</v>
      </c>
      <c r="L67">
        <f t="shared" si="2"/>
        <v>92</v>
      </c>
      <c r="M67">
        <f t="shared" si="3"/>
        <v>86</v>
      </c>
      <c r="N67">
        <f t="shared" si="4"/>
        <v>229</v>
      </c>
    </row>
    <row r="68" spans="1:14" x14ac:dyDescent="0.25">
      <c r="A68" s="1">
        <v>41993</v>
      </c>
      <c r="B68">
        <f t="shared" ref="B68:D131" si="6">L67</f>
        <v>92</v>
      </c>
      <c r="C68">
        <f t="shared" si="6"/>
        <v>86</v>
      </c>
      <c r="D68">
        <f t="shared" si="6"/>
        <v>229</v>
      </c>
      <c r="E68">
        <v>197</v>
      </c>
      <c r="F68">
        <v>82</v>
      </c>
      <c r="G68">
        <v>43</v>
      </c>
      <c r="H68">
        <f t="shared" si="5"/>
        <v>289</v>
      </c>
      <c r="I68">
        <f t="shared" si="5"/>
        <v>168</v>
      </c>
      <c r="J68">
        <f t="shared" si="5"/>
        <v>272</v>
      </c>
      <c r="K68" t="str" cm="1">
        <f t="array" ref="K68">_xlfn.IFS(H68&gt;=$U$1,"kostka",I68&gt;=$U$1*$R$3,"orzech",J68&gt;=$U$1*$R$4,"miał",1=1,"NIC")</f>
        <v>kostka</v>
      </c>
      <c r="L68">
        <f t="shared" ref="L68:L131" si="7">IF($K68="kostka",H68-$U$1,H68)</f>
        <v>89</v>
      </c>
      <c r="M68">
        <f t="shared" ref="M68:M131" si="8">IF($K68="orzech",I68-$U$1*$R$3,I68)</f>
        <v>168</v>
      </c>
      <c r="N68">
        <f t="shared" ref="N68:N131" si="9">IF($K68="miał",J68-$U$1*$R$4,J68)</f>
        <v>272</v>
      </c>
    </row>
    <row r="69" spans="1:14" x14ac:dyDescent="0.25">
      <c r="A69" s="1">
        <v>41994</v>
      </c>
      <c r="B69">
        <f t="shared" si="6"/>
        <v>89</v>
      </c>
      <c r="C69">
        <f t="shared" si="6"/>
        <v>168</v>
      </c>
      <c r="D69">
        <f t="shared" si="6"/>
        <v>272</v>
      </c>
      <c r="E69">
        <v>54</v>
      </c>
      <c r="F69">
        <v>130</v>
      </c>
      <c r="G69">
        <v>50</v>
      </c>
      <c r="H69">
        <f t="shared" si="5"/>
        <v>143</v>
      </c>
      <c r="I69">
        <f t="shared" si="5"/>
        <v>298</v>
      </c>
      <c r="J69">
        <f t="shared" si="5"/>
        <v>322</v>
      </c>
      <c r="K69" t="str" cm="1">
        <f t="array" ref="K69">_xlfn.IFS(H69&gt;=$U$1,"kostka",I69&gt;=$U$1*$R$3,"orzech",J69&gt;=$U$1*$R$4,"miał",1=1,"NIC")</f>
        <v>orzech</v>
      </c>
      <c r="L69">
        <f t="shared" si="7"/>
        <v>143</v>
      </c>
      <c r="M69">
        <f t="shared" si="8"/>
        <v>38</v>
      </c>
      <c r="N69">
        <f t="shared" si="9"/>
        <v>322</v>
      </c>
    </row>
    <row r="70" spans="1:14" x14ac:dyDescent="0.25">
      <c r="A70" s="1">
        <v>41995</v>
      </c>
      <c r="B70">
        <f t="shared" si="6"/>
        <v>143</v>
      </c>
      <c r="C70">
        <f t="shared" si="6"/>
        <v>38</v>
      </c>
      <c r="D70">
        <f t="shared" si="6"/>
        <v>322</v>
      </c>
      <c r="E70">
        <v>19</v>
      </c>
      <c r="F70">
        <v>153</v>
      </c>
      <c r="G70">
        <v>65</v>
      </c>
      <c r="H70">
        <f t="shared" si="5"/>
        <v>162</v>
      </c>
      <c r="I70">
        <f t="shared" si="5"/>
        <v>191</v>
      </c>
      <c r="J70">
        <f t="shared" si="5"/>
        <v>387</v>
      </c>
      <c r="K70" t="str" cm="1">
        <f t="array" ref="K70">_xlfn.IFS(H70&gt;=$U$1,"kostka",I70&gt;=$U$1*$R$3,"orzech",J70&gt;=$U$1*$R$4,"miał",1=1,"NIC")</f>
        <v>miał</v>
      </c>
      <c r="L70">
        <f t="shared" si="7"/>
        <v>162</v>
      </c>
      <c r="M70">
        <f t="shared" si="8"/>
        <v>191</v>
      </c>
      <c r="N70">
        <f t="shared" si="9"/>
        <v>67</v>
      </c>
    </row>
    <row r="71" spans="1:14" x14ac:dyDescent="0.25">
      <c r="A71" s="1">
        <v>41996</v>
      </c>
      <c r="B71">
        <f t="shared" si="6"/>
        <v>162</v>
      </c>
      <c r="C71">
        <f t="shared" si="6"/>
        <v>191</v>
      </c>
      <c r="D71">
        <f t="shared" si="6"/>
        <v>67</v>
      </c>
      <c r="E71">
        <v>27</v>
      </c>
      <c r="F71">
        <v>160</v>
      </c>
      <c r="G71">
        <v>81</v>
      </c>
      <c r="H71">
        <f t="shared" si="5"/>
        <v>189</v>
      </c>
      <c r="I71">
        <f t="shared" si="5"/>
        <v>351</v>
      </c>
      <c r="J71">
        <f t="shared" si="5"/>
        <v>148</v>
      </c>
      <c r="K71" t="str" cm="1">
        <f t="array" ref="K71">_xlfn.IFS(H71&gt;=$U$1,"kostka",I71&gt;=$U$1*$R$3,"orzech",J71&gt;=$U$1*$R$4,"miał",1=1,"NIC")</f>
        <v>orzech</v>
      </c>
      <c r="L71">
        <f t="shared" si="7"/>
        <v>189</v>
      </c>
      <c r="M71">
        <f t="shared" si="8"/>
        <v>91</v>
      </c>
      <c r="N71">
        <f t="shared" si="9"/>
        <v>148</v>
      </c>
    </row>
    <row r="72" spans="1:14" x14ac:dyDescent="0.25">
      <c r="A72" s="1">
        <v>41997</v>
      </c>
      <c r="B72">
        <f t="shared" si="6"/>
        <v>189</v>
      </c>
      <c r="C72">
        <f t="shared" si="6"/>
        <v>91</v>
      </c>
      <c r="D72">
        <f t="shared" si="6"/>
        <v>148</v>
      </c>
      <c r="E72">
        <v>11</v>
      </c>
      <c r="F72">
        <v>140</v>
      </c>
      <c r="G72">
        <v>77</v>
      </c>
      <c r="H72">
        <f t="shared" si="5"/>
        <v>200</v>
      </c>
      <c r="I72">
        <f t="shared" si="5"/>
        <v>231</v>
      </c>
      <c r="J72">
        <f t="shared" si="5"/>
        <v>225</v>
      </c>
      <c r="K72" t="str" cm="1">
        <f t="array" ref="K72">_xlfn.IFS(H72&gt;=$U$1,"kostka",I72&gt;=$U$1*$R$3,"orzech",J72&gt;=$U$1*$R$4,"miał",1=1,"NIC")</f>
        <v>kostka</v>
      </c>
      <c r="L72">
        <f t="shared" si="7"/>
        <v>0</v>
      </c>
      <c r="M72">
        <f t="shared" si="8"/>
        <v>231</v>
      </c>
      <c r="N72">
        <f t="shared" si="9"/>
        <v>225</v>
      </c>
    </row>
    <row r="73" spans="1:14" x14ac:dyDescent="0.25">
      <c r="A73" s="1">
        <v>41998</v>
      </c>
      <c r="B73">
        <f t="shared" si="6"/>
        <v>0</v>
      </c>
      <c r="C73">
        <f t="shared" si="6"/>
        <v>231</v>
      </c>
      <c r="D73">
        <f t="shared" si="6"/>
        <v>225</v>
      </c>
      <c r="E73">
        <v>182</v>
      </c>
      <c r="F73">
        <v>50</v>
      </c>
      <c r="G73">
        <v>22</v>
      </c>
      <c r="H73">
        <f t="shared" si="5"/>
        <v>182</v>
      </c>
      <c r="I73">
        <f t="shared" si="5"/>
        <v>281</v>
      </c>
      <c r="J73">
        <f t="shared" si="5"/>
        <v>247</v>
      </c>
      <c r="K73" t="str" cm="1">
        <f t="array" ref="K73">_xlfn.IFS(H73&gt;=$U$1,"kostka",I73&gt;=$U$1*$R$3,"orzech",J73&gt;=$U$1*$R$4,"miał",1=1,"NIC")</f>
        <v>orzech</v>
      </c>
      <c r="L73">
        <f t="shared" si="7"/>
        <v>182</v>
      </c>
      <c r="M73">
        <f t="shared" si="8"/>
        <v>21</v>
      </c>
      <c r="N73">
        <f t="shared" si="9"/>
        <v>247</v>
      </c>
    </row>
    <row r="74" spans="1:14" x14ac:dyDescent="0.25">
      <c r="A74" s="1">
        <v>41999</v>
      </c>
      <c r="B74">
        <f t="shared" si="6"/>
        <v>182</v>
      </c>
      <c r="C74">
        <f t="shared" si="6"/>
        <v>21</v>
      </c>
      <c r="D74">
        <f t="shared" si="6"/>
        <v>247</v>
      </c>
      <c r="E74">
        <v>63</v>
      </c>
      <c r="F74">
        <v>83</v>
      </c>
      <c r="G74">
        <v>69</v>
      </c>
      <c r="H74">
        <f t="shared" si="5"/>
        <v>245</v>
      </c>
      <c r="I74">
        <f t="shared" si="5"/>
        <v>104</v>
      </c>
      <c r="J74">
        <f t="shared" si="5"/>
        <v>316</v>
      </c>
      <c r="K74" t="str" cm="1">
        <f t="array" ref="K74">_xlfn.IFS(H74&gt;=$U$1,"kostka",I74&gt;=$U$1*$R$3,"orzech",J74&gt;=$U$1*$R$4,"miał",1=1,"NIC")</f>
        <v>kostka</v>
      </c>
      <c r="L74">
        <f t="shared" si="7"/>
        <v>45</v>
      </c>
      <c r="M74">
        <f t="shared" si="8"/>
        <v>104</v>
      </c>
      <c r="N74">
        <f t="shared" si="9"/>
        <v>316</v>
      </c>
    </row>
    <row r="75" spans="1:14" x14ac:dyDescent="0.25">
      <c r="A75" s="1">
        <v>42000</v>
      </c>
      <c r="B75">
        <f t="shared" si="6"/>
        <v>45</v>
      </c>
      <c r="C75">
        <f t="shared" si="6"/>
        <v>104</v>
      </c>
      <c r="D75">
        <f t="shared" si="6"/>
        <v>316</v>
      </c>
      <c r="E75">
        <v>33</v>
      </c>
      <c r="F75">
        <v>59</v>
      </c>
      <c r="G75">
        <v>46</v>
      </c>
      <c r="H75">
        <f t="shared" si="5"/>
        <v>78</v>
      </c>
      <c r="I75">
        <f t="shared" si="5"/>
        <v>163</v>
      </c>
      <c r="J75">
        <f t="shared" si="5"/>
        <v>362</v>
      </c>
      <c r="K75" t="str" cm="1">
        <f t="array" ref="K75">_xlfn.IFS(H75&gt;=$U$1,"kostka",I75&gt;=$U$1*$R$3,"orzech",J75&gt;=$U$1*$R$4,"miał",1=1,"NIC")</f>
        <v>miał</v>
      </c>
      <c r="L75">
        <f t="shared" si="7"/>
        <v>78</v>
      </c>
      <c r="M75">
        <f t="shared" si="8"/>
        <v>163</v>
      </c>
      <c r="N75">
        <f t="shared" si="9"/>
        <v>42</v>
      </c>
    </row>
    <row r="76" spans="1:14" x14ac:dyDescent="0.25">
      <c r="A76" s="1">
        <v>42001</v>
      </c>
      <c r="B76">
        <f t="shared" si="6"/>
        <v>78</v>
      </c>
      <c r="C76">
        <f t="shared" si="6"/>
        <v>163</v>
      </c>
      <c r="D76">
        <f t="shared" si="6"/>
        <v>42</v>
      </c>
      <c r="E76">
        <v>119</v>
      </c>
      <c r="F76">
        <v>57</v>
      </c>
      <c r="G76">
        <v>67</v>
      </c>
      <c r="H76">
        <f t="shared" si="5"/>
        <v>197</v>
      </c>
      <c r="I76">
        <f t="shared" si="5"/>
        <v>220</v>
      </c>
      <c r="J76">
        <f t="shared" si="5"/>
        <v>109</v>
      </c>
      <c r="K76" t="str" cm="1">
        <f t="array" ref="K76">_xlfn.IFS(H76&gt;=$U$1,"kostka",I76&gt;=$U$1*$R$3,"orzech",J76&gt;=$U$1*$R$4,"miał",1=1,"NIC")</f>
        <v>NIC</v>
      </c>
      <c r="L76">
        <f t="shared" si="7"/>
        <v>197</v>
      </c>
      <c r="M76">
        <f t="shared" si="8"/>
        <v>220</v>
      </c>
      <c r="N76">
        <f t="shared" si="9"/>
        <v>109</v>
      </c>
    </row>
    <row r="77" spans="1:14" x14ac:dyDescent="0.25">
      <c r="A77" s="1">
        <v>42002</v>
      </c>
      <c r="B77">
        <f t="shared" si="6"/>
        <v>197</v>
      </c>
      <c r="C77">
        <f t="shared" si="6"/>
        <v>220</v>
      </c>
      <c r="D77">
        <f t="shared" si="6"/>
        <v>109</v>
      </c>
      <c r="E77">
        <v>58</v>
      </c>
      <c r="F77">
        <v>176</v>
      </c>
      <c r="G77">
        <v>16</v>
      </c>
      <c r="H77">
        <f t="shared" si="5"/>
        <v>255</v>
      </c>
      <c r="I77">
        <f t="shared" si="5"/>
        <v>396</v>
      </c>
      <c r="J77">
        <f t="shared" si="5"/>
        <v>125</v>
      </c>
      <c r="K77" t="str" cm="1">
        <f t="array" ref="K77">_xlfn.IFS(H77&gt;=$U$1,"kostka",I77&gt;=$U$1*$R$3,"orzech",J77&gt;=$U$1*$R$4,"miał",1=1,"NIC")</f>
        <v>kostka</v>
      </c>
      <c r="L77">
        <f t="shared" si="7"/>
        <v>55</v>
      </c>
      <c r="M77">
        <f t="shared" si="8"/>
        <v>396</v>
      </c>
      <c r="N77">
        <f t="shared" si="9"/>
        <v>125</v>
      </c>
    </row>
    <row r="78" spans="1:14" x14ac:dyDescent="0.25">
      <c r="A78" s="1">
        <v>42003</v>
      </c>
      <c r="B78">
        <f t="shared" si="6"/>
        <v>55</v>
      </c>
      <c r="C78">
        <f t="shared" si="6"/>
        <v>396</v>
      </c>
      <c r="D78">
        <f t="shared" si="6"/>
        <v>125</v>
      </c>
      <c r="E78">
        <v>174</v>
      </c>
      <c r="F78">
        <v>61</v>
      </c>
      <c r="G78">
        <v>46</v>
      </c>
      <c r="H78">
        <f t="shared" si="5"/>
        <v>229</v>
      </c>
      <c r="I78">
        <f t="shared" si="5"/>
        <v>457</v>
      </c>
      <c r="J78">
        <f t="shared" si="5"/>
        <v>171</v>
      </c>
      <c r="K78" t="str" cm="1">
        <f t="array" ref="K78">_xlfn.IFS(H78&gt;=$U$1,"kostka",I78&gt;=$U$1*$R$3,"orzech",J78&gt;=$U$1*$R$4,"miał",1=1,"NIC")</f>
        <v>kostka</v>
      </c>
      <c r="L78">
        <f t="shared" si="7"/>
        <v>29</v>
      </c>
      <c r="M78">
        <f t="shared" si="8"/>
        <v>457</v>
      </c>
      <c r="N78">
        <f t="shared" si="9"/>
        <v>171</v>
      </c>
    </row>
    <row r="79" spans="1:14" x14ac:dyDescent="0.25">
      <c r="A79" s="1">
        <v>42004</v>
      </c>
      <c r="B79">
        <f t="shared" si="6"/>
        <v>29</v>
      </c>
      <c r="C79">
        <f t="shared" si="6"/>
        <v>457</v>
      </c>
      <c r="D79">
        <f t="shared" si="6"/>
        <v>171</v>
      </c>
      <c r="E79">
        <v>45</v>
      </c>
      <c r="F79">
        <v>154</v>
      </c>
      <c r="G79">
        <v>0</v>
      </c>
      <c r="H79">
        <f t="shared" si="5"/>
        <v>74</v>
      </c>
      <c r="I79">
        <f t="shared" si="5"/>
        <v>611</v>
      </c>
      <c r="J79">
        <f t="shared" si="5"/>
        <v>171</v>
      </c>
      <c r="K79" t="str" cm="1">
        <f t="array" ref="K79">_xlfn.IFS(H79&gt;=$U$1,"kostka",I79&gt;=$U$1*$R$3,"orzech",J79&gt;=$U$1*$R$4,"miał",1=1,"NIC")</f>
        <v>orzech</v>
      </c>
      <c r="L79">
        <f t="shared" si="7"/>
        <v>74</v>
      </c>
      <c r="M79">
        <f t="shared" si="8"/>
        <v>351</v>
      </c>
      <c r="N79">
        <f t="shared" si="9"/>
        <v>171</v>
      </c>
    </row>
    <row r="80" spans="1:14" x14ac:dyDescent="0.25">
      <c r="A80" s="1">
        <v>42005</v>
      </c>
      <c r="B80">
        <f t="shared" si="6"/>
        <v>74</v>
      </c>
      <c r="C80">
        <f t="shared" si="6"/>
        <v>351</v>
      </c>
      <c r="D80">
        <f t="shared" si="6"/>
        <v>171</v>
      </c>
      <c r="E80">
        <v>94</v>
      </c>
      <c r="F80">
        <v>120</v>
      </c>
      <c r="G80">
        <v>95</v>
      </c>
      <c r="H80">
        <f t="shared" si="5"/>
        <v>168</v>
      </c>
      <c r="I80">
        <f t="shared" si="5"/>
        <v>471</v>
      </c>
      <c r="J80">
        <f t="shared" si="5"/>
        <v>266</v>
      </c>
      <c r="K80" t="str" cm="1">
        <f t="array" ref="K80">_xlfn.IFS(H80&gt;=$U$1,"kostka",I80&gt;=$U$1*$R$3,"orzech",J80&gt;=$U$1*$R$4,"miał",1=1,"NIC")</f>
        <v>orzech</v>
      </c>
      <c r="L80">
        <f t="shared" si="7"/>
        <v>168</v>
      </c>
      <c r="M80">
        <f t="shared" si="8"/>
        <v>211</v>
      </c>
      <c r="N80">
        <f t="shared" si="9"/>
        <v>266</v>
      </c>
    </row>
    <row r="81" spans="1:14" x14ac:dyDescent="0.25">
      <c r="A81" s="1">
        <v>42006</v>
      </c>
      <c r="B81">
        <f t="shared" si="6"/>
        <v>168</v>
      </c>
      <c r="C81">
        <f t="shared" si="6"/>
        <v>211</v>
      </c>
      <c r="D81">
        <f t="shared" si="6"/>
        <v>266</v>
      </c>
      <c r="E81">
        <v>12</v>
      </c>
      <c r="F81">
        <v>5</v>
      </c>
      <c r="G81">
        <v>42</v>
      </c>
      <c r="H81">
        <f t="shared" si="5"/>
        <v>180</v>
      </c>
      <c r="I81">
        <f t="shared" si="5"/>
        <v>216</v>
      </c>
      <c r="J81">
        <f t="shared" si="5"/>
        <v>308</v>
      </c>
      <c r="K81" t="str" cm="1">
        <f t="array" ref="K81">_xlfn.IFS(H81&gt;=$U$1,"kostka",I81&gt;=$U$1*$R$3,"orzech",J81&gt;=$U$1*$R$4,"miał",1=1,"NIC")</f>
        <v>NIC</v>
      </c>
      <c r="L81">
        <f t="shared" si="7"/>
        <v>180</v>
      </c>
      <c r="M81">
        <f t="shared" si="8"/>
        <v>216</v>
      </c>
      <c r="N81">
        <f t="shared" si="9"/>
        <v>308</v>
      </c>
    </row>
    <row r="82" spans="1:14" x14ac:dyDescent="0.25">
      <c r="A82" s="1">
        <v>42007</v>
      </c>
      <c r="B82">
        <f t="shared" si="6"/>
        <v>180</v>
      </c>
      <c r="C82">
        <f t="shared" si="6"/>
        <v>216</v>
      </c>
      <c r="D82">
        <f t="shared" si="6"/>
        <v>308</v>
      </c>
      <c r="E82">
        <v>80</v>
      </c>
      <c r="F82">
        <v>170</v>
      </c>
      <c r="G82">
        <v>96</v>
      </c>
      <c r="H82">
        <f t="shared" si="5"/>
        <v>260</v>
      </c>
      <c r="I82">
        <f t="shared" si="5"/>
        <v>386</v>
      </c>
      <c r="J82">
        <f t="shared" si="5"/>
        <v>404</v>
      </c>
      <c r="K82" t="str" cm="1">
        <f t="array" ref="K82">_xlfn.IFS(H82&gt;=$U$1,"kostka",I82&gt;=$U$1*$R$3,"orzech",J82&gt;=$U$1*$R$4,"miał",1=1,"NIC")</f>
        <v>kostka</v>
      </c>
      <c r="L82">
        <f t="shared" si="7"/>
        <v>60</v>
      </c>
      <c r="M82">
        <f t="shared" si="8"/>
        <v>386</v>
      </c>
      <c r="N82">
        <f t="shared" si="9"/>
        <v>404</v>
      </c>
    </row>
    <row r="83" spans="1:14" x14ac:dyDescent="0.25">
      <c r="A83" s="1">
        <v>42008</v>
      </c>
      <c r="B83">
        <f t="shared" si="6"/>
        <v>60</v>
      </c>
      <c r="C83">
        <f t="shared" si="6"/>
        <v>386</v>
      </c>
      <c r="D83">
        <f t="shared" si="6"/>
        <v>404</v>
      </c>
      <c r="E83">
        <v>80</v>
      </c>
      <c r="F83">
        <v>10</v>
      </c>
      <c r="G83">
        <v>30</v>
      </c>
      <c r="H83">
        <f t="shared" si="5"/>
        <v>140</v>
      </c>
      <c r="I83">
        <f t="shared" si="5"/>
        <v>396</v>
      </c>
      <c r="J83">
        <f t="shared" si="5"/>
        <v>434</v>
      </c>
      <c r="K83" t="str" cm="1">
        <f t="array" ref="K83">_xlfn.IFS(H83&gt;=$U$1,"kostka",I83&gt;=$U$1*$R$3,"orzech",J83&gt;=$U$1*$R$4,"miał",1=1,"NIC")</f>
        <v>orzech</v>
      </c>
      <c r="L83">
        <f t="shared" si="7"/>
        <v>140</v>
      </c>
      <c r="M83">
        <f t="shared" si="8"/>
        <v>136</v>
      </c>
      <c r="N83">
        <f t="shared" si="9"/>
        <v>434</v>
      </c>
    </row>
    <row r="84" spans="1:14" x14ac:dyDescent="0.25">
      <c r="A84" s="1">
        <v>42009</v>
      </c>
      <c r="B84">
        <f t="shared" si="6"/>
        <v>140</v>
      </c>
      <c r="C84">
        <f t="shared" si="6"/>
        <v>136</v>
      </c>
      <c r="D84">
        <f t="shared" si="6"/>
        <v>434</v>
      </c>
      <c r="E84">
        <v>90</v>
      </c>
      <c r="F84">
        <v>80</v>
      </c>
      <c r="G84">
        <v>31</v>
      </c>
      <c r="H84">
        <f t="shared" si="5"/>
        <v>230</v>
      </c>
      <c r="I84">
        <f t="shared" si="5"/>
        <v>216</v>
      </c>
      <c r="J84">
        <f t="shared" si="5"/>
        <v>465</v>
      </c>
      <c r="K84" t="str" cm="1">
        <f t="array" ref="K84">_xlfn.IFS(H84&gt;=$U$1,"kostka",I84&gt;=$U$1*$R$3,"orzech",J84&gt;=$U$1*$R$4,"miał",1=1,"NIC")</f>
        <v>kostka</v>
      </c>
      <c r="L84">
        <f t="shared" si="7"/>
        <v>30</v>
      </c>
      <c r="M84">
        <f t="shared" si="8"/>
        <v>216</v>
      </c>
      <c r="N84">
        <f t="shared" si="9"/>
        <v>465</v>
      </c>
    </row>
    <row r="85" spans="1:14" x14ac:dyDescent="0.25">
      <c r="A85" s="1">
        <v>42010</v>
      </c>
      <c r="B85">
        <f t="shared" si="6"/>
        <v>30</v>
      </c>
      <c r="C85">
        <f t="shared" si="6"/>
        <v>216</v>
      </c>
      <c r="D85">
        <f t="shared" si="6"/>
        <v>465</v>
      </c>
      <c r="E85">
        <v>130</v>
      </c>
      <c r="F85">
        <v>163</v>
      </c>
      <c r="G85">
        <v>92</v>
      </c>
      <c r="H85">
        <f t="shared" si="5"/>
        <v>160</v>
      </c>
      <c r="I85">
        <f t="shared" si="5"/>
        <v>379</v>
      </c>
      <c r="J85">
        <f t="shared" si="5"/>
        <v>557</v>
      </c>
      <c r="K85" t="str" cm="1">
        <f t="array" ref="K85">_xlfn.IFS(H85&gt;=$U$1,"kostka",I85&gt;=$U$1*$R$3,"orzech",J85&gt;=$U$1*$R$4,"miał",1=1,"NIC")</f>
        <v>orzech</v>
      </c>
      <c r="L85">
        <f t="shared" si="7"/>
        <v>160</v>
      </c>
      <c r="M85">
        <f t="shared" si="8"/>
        <v>119</v>
      </c>
      <c r="N85">
        <f t="shared" si="9"/>
        <v>557</v>
      </c>
    </row>
    <row r="86" spans="1:14" x14ac:dyDescent="0.25">
      <c r="A86" s="1">
        <v>42011</v>
      </c>
      <c r="B86">
        <f t="shared" si="6"/>
        <v>160</v>
      </c>
      <c r="C86">
        <f t="shared" si="6"/>
        <v>119</v>
      </c>
      <c r="D86">
        <f t="shared" si="6"/>
        <v>557</v>
      </c>
      <c r="E86">
        <v>54</v>
      </c>
      <c r="F86">
        <v>7</v>
      </c>
      <c r="G86">
        <v>79</v>
      </c>
      <c r="H86">
        <f t="shared" si="5"/>
        <v>214</v>
      </c>
      <c r="I86">
        <f t="shared" si="5"/>
        <v>126</v>
      </c>
      <c r="J86">
        <f t="shared" si="5"/>
        <v>636</v>
      </c>
      <c r="K86" t="str" cm="1">
        <f t="array" ref="K86">_xlfn.IFS(H86&gt;=$U$1,"kostka",I86&gt;=$U$1*$R$3,"orzech",J86&gt;=$U$1*$R$4,"miał",1=1,"NIC")</f>
        <v>kostka</v>
      </c>
      <c r="L86">
        <f t="shared" si="7"/>
        <v>14</v>
      </c>
      <c r="M86">
        <f t="shared" si="8"/>
        <v>126</v>
      </c>
      <c r="N86">
        <f t="shared" si="9"/>
        <v>636</v>
      </c>
    </row>
    <row r="87" spans="1:14" x14ac:dyDescent="0.25">
      <c r="A87" s="1">
        <v>42012</v>
      </c>
      <c r="B87">
        <f t="shared" si="6"/>
        <v>14</v>
      </c>
      <c r="C87">
        <f t="shared" si="6"/>
        <v>126</v>
      </c>
      <c r="D87">
        <f t="shared" si="6"/>
        <v>636</v>
      </c>
      <c r="E87">
        <v>88</v>
      </c>
      <c r="F87">
        <v>125</v>
      </c>
      <c r="G87">
        <v>97</v>
      </c>
      <c r="H87">
        <f t="shared" si="5"/>
        <v>102</v>
      </c>
      <c r="I87">
        <f t="shared" si="5"/>
        <v>251</v>
      </c>
      <c r="J87">
        <f t="shared" si="5"/>
        <v>733</v>
      </c>
      <c r="K87" t="str" cm="1">
        <f t="array" ref="K87">_xlfn.IFS(H87&gt;=$U$1,"kostka",I87&gt;=$U$1*$R$3,"orzech",J87&gt;=$U$1*$R$4,"miał",1=1,"NIC")</f>
        <v>miał</v>
      </c>
      <c r="L87">
        <f t="shared" si="7"/>
        <v>102</v>
      </c>
      <c r="M87">
        <f t="shared" si="8"/>
        <v>251</v>
      </c>
      <c r="N87">
        <f t="shared" si="9"/>
        <v>413</v>
      </c>
    </row>
    <row r="88" spans="1:14" x14ac:dyDescent="0.25">
      <c r="A88" s="1">
        <v>42013</v>
      </c>
      <c r="B88">
        <f t="shared" si="6"/>
        <v>102</v>
      </c>
      <c r="C88">
        <f t="shared" si="6"/>
        <v>251</v>
      </c>
      <c r="D88">
        <f t="shared" si="6"/>
        <v>413</v>
      </c>
      <c r="E88">
        <v>83</v>
      </c>
      <c r="F88">
        <v>85</v>
      </c>
      <c r="G88">
        <v>99</v>
      </c>
      <c r="H88">
        <f t="shared" si="5"/>
        <v>185</v>
      </c>
      <c r="I88">
        <f t="shared" si="5"/>
        <v>336</v>
      </c>
      <c r="J88">
        <f t="shared" si="5"/>
        <v>512</v>
      </c>
      <c r="K88" t="str" cm="1">
        <f t="array" ref="K88">_xlfn.IFS(H88&gt;=$U$1,"kostka",I88&gt;=$U$1*$R$3,"orzech",J88&gt;=$U$1*$R$4,"miał",1=1,"NIC")</f>
        <v>orzech</v>
      </c>
      <c r="L88">
        <f t="shared" si="7"/>
        <v>185</v>
      </c>
      <c r="M88">
        <f t="shared" si="8"/>
        <v>76</v>
      </c>
      <c r="N88">
        <f t="shared" si="9"/>
        <v>512</v>
      </c>
    </row>
    <row r="89" spans="1:14" x14ac:dyDescent="0.25">
      <c r="A89" s="1">
        <v>42014</v>
      </c>
      <c r="B89">
        <f t="shared" si="6"/>
        <v>185</v>
      </c>
      <c r="C89">
        <f t="shared" si="6"/>
        <v>76</v>
      </c>
      <c r="D89">
        <f t="shared" si="6"/>
        <v>512</v>
      </c>
      <c r="E89">
        <v>139</v>
      </c>
      <c r="F89">
        <v>155</v>
      </c>
      <c r="G89">
        <v>11</v>
      </c>
      <c r="H89">
        <f t="shared" si="5"/>
        <v>324</v>
      </c>
      <c r="I89">
        <f t="shared" si="5"/>
        <v>231</v>
      </c>
      <c r="J89">
        <f t="shared" si="5"/>
        <v>523</v>
      </c>
      <c r="K89" t="str" cm="1">
        <f t="array" ref="K89">_xlfn.IFS(H89&gt;=$U$1,"kostka",I89&gt;=$U$1*$R$3,"orzech",J89&gt;=$U$1*$R$4,"miał",1=1,"NIC")</f>
        <v>kostka</v>
      </c>
      <c r="L89">
        <f t="shared" si="7"/>
        <v>124</v>
      </c>
      <c r="M89">
        <f t="shared" si="8"/>
        <v>231</v>
      </c>
      <c r="N89">
        <f t="shared" si="9"/>
        <v>523</v>
      </c>
    </row>
    <row r="90" spans="1:14" x14ac:dyDescent="0.25">
      <c r="A90" s="1">
        <v>42015</v>
      </c>
      <c r="B90">
        <f t="shared" si="6"/>
        <v>124</v>
      </c>
      <c r="C90">
        <f t="shared" si="6"/>
        <v>231</v>
      </c>
      <c r="D90">
        <f t="shared" si="6"/>
        <v>523</v>
      </c>
      <c r="E90">
        <v>82</v>
      </c>
      <c r="F90">
        <v>43</v>
      </c>
      <c r="G90">
        <v>93</v>
      </c>
      <c r="H90">
        <f t="shared" si="5"/>
        <v>206</v>
      </c>
      <c r="I90">
        <f t="shared" si="5"/>
        <v>274</v>
      </c>
      <c r="J90">
        <f t="shared" si="5"/>
        <v>616</v>
      </c>
      <c r="K90" t="str" cm="1">
        <f t="array" ref="K90">_xlfn.IFS(H90&gt;=$U$1,"kostka",I90&gt;=$U$1*$R$3,"orzech",J90&gt;=$U$1*$R$4,"miał",1=1,"NIC")</f>
        <v>kostka</v>
      </c>
      <c r="L90">
        <f t="shared" si="7"/>
        <v>6</v>
      </c>
      <c r="M90">
        <f t="shared" si="8"/>
        <v>274</v>
      </c>
      <c r="N90">
        <f t="shared" si="9"/>
        <v>616</v>
      </c>
    </row>
    <row r="91" spans="1:14" x14ac:dyDescent="0.25">
      <c r="A91" s="1">
        <v>42016</v>
      </c>
      <c r="B91">
        <f t="shared" si="6"/>
        <v>6</v>
      </c>
      <c r="C91">
        <f t="shared" si="6"/>
        <v>274</v>
      </c>
      <c r="D91">
        <f t="shared" si="6"/>
        <v>616</v>
      </c>
      <c r="E91">
        <v>23</v>
      </c>
      <c r="F91">
        <v>40</v>
      </c>
      <c r="G91">
        <v>83</v>
      </c>
      <c r="H91">
        <f t="shared" si="5"/>
        <v>29</v>
      </c>
      <c r="I91">
        <f t="shared" si="5"/>
        <v>314</v>
      </c>
      <c r="J91">
        <f t="shared" si="5"/>
        <v>699</v>
      </c>
      <c r="K91" t="str" cm="1">
        <f t="array" ref="K91">_xlfn.IFS(H91&gt;=$U$1,"kostka",I91&gt;=$U$1*$R$3,"orzech",J91&gt;=$U$1*$R$4,"miał",1=1,"NIC")</f>
        <v>orzech</v>
      </c>
      <c r="L91">
        <f t="shared" si="7"/>
        <v>29</v>
      </c>
      <c r="M91">
        <f t="shared" si="8"/>
        <v>54</v>
      </c>
      <c r="N91">
        <f t="shared" si="9"/>
        <v>699</v>
      </c>
    </row>
    <row r="92" spans="1:14" x14ac:dyDescent="0.25">
      <c r="A92" s="1">
        <v>42017</v>
      </c>
      <c r="B92">
        <f t="shared" si="6"/>
        <v>29</v>
      </c>
      <c r="C92">
        <f t="shared" si="6"/>
        <v>54</v>
      </c>
      <c r="D92">
        <f t="shared" si="6"/>
        <v>699</v>
      </c>
      <c r="E92">
        <v>118</v>
      </c>
      <c r="F92">
        <v>165</v>
      </c>
      <c r="G92">
        <v>56</v>
      </c>
      <c r="H92">
        <f t="shared" si="5"/>
        <v>147</v>
      </c>
      <c r="I92">
        <f t="shared" si="5"/>
        <v>219</v>
      </c>
      <c r="J92">
        <f t="shared" si="5"/>
        <v>755</v>
      </c>
      <c r="K92" t="str" cm="1">
        <f t="array" ref="K92">_xlfn.IFS(H92&gt;=$U$1,"kostka",I92&gt;=$U$1*$R$3,"orzech",J92&gt;=$U$1*$R$4,"miał",1=1,"NIC")</f>
        <v>miał</v>
      </c>
      <c r="L92">
        <f t="shared" si="7"/>
        <v>147</v>
      </c>
      <c r="M92">
        <f t="shared" si="8"/>
        <v>219</v>
      </c>
      <c r="N92">
        <f t="shared" si="9"/>
        <v>435</v>
      </c>
    </row>
    <row r="93" spans="1:14" x14ac:dyDescent="0.25">
      <c r="A93" s="1">
        <v>42018</v>
      </c>
      <c r="B93">
        <f t="shared" si="6"/>
        <v>147</v>
      </c>
      <c r="C93">
        <f t="shared" si="6"/>
        <v>219</v>
      </c>
      <c r="D93">
        <f t="shared" si="6"/>
        <v>435</v>
      </c>
      <c r="E93">
        <v>59</v>
      </c>
      <c r="F93">
        <v>35</v>
      </c>
      <c r="G93">
        <v>17</v>
      </c>
      <c r="H93">
        <f t="shared" si="5"/>
        <v>206</v>
      </c>
      <c r="I93">
        <f t="shared" si="5"/>
        <v>254</v>
      </c>
      <c r="J93">
        <f t="shared" si="5"/>
        <v>452</v>
      </c>
      <c r="K93" t="str" cm="1">
        <f t="array" ref="K93">_xlfn.IFS(H93&gt;=$U$1,"kostka",I93&gt;=$U$1*$R$3,"orzech",J93&gt;=$U$1*$R$4,"miał",1=1,"NIC")</f>
        <v>kostka</v>
      </c>
      <c r="L93">
        <f t="shared" si="7"/>
        <v>6</v>
      </c>
      <c r="M93">
        <f t="shared" si="8"/>
        <v>254</v>
      </c>
      <c r="N93">
        <f t="shared" si="9"/>
        <v>452</v>
      </c>
    </row>
    <row r="94" spans="1:14" x14ac:dyDescent="0.25">
      <c r="A94" s="1">
        <v>42019</v>
      </c>
      <c r="B94">
        <f t="shared" si="6"/>
        <v>6</v>
      </c>
      <c r="C94">
        <f t="shared" si="6"/>
        <v>254</v>
      </c>
      <c r="D94">
        <f t="shared" si="6"/>
        <v>452</v>
      </c>
      <c r="E94">
        <v>127</v>
      </c>
      <c r="F94">
        <v>58</v>
      </c>
      <c r="G94">
        <v>39</v>
      </c>
      <c r="H94">
        <f t="shared" si="5"/>
        <v>133</v>
      </c>
      <c r="I94">
        <f t="shared" si="5"/>
        <v>312</v>
      </c>
      <c r="J94">
        <f t="shared" si="5"/>
        <v>491</v>
      </c>
      <c r="K94" t="str" cm="1">
        <f t="array" ref="K94">_xlfn.IFS(H94&gt;=$U$1,"kostka",I94&gt;=$U$1*$R$3,"orzech",J94&gt;=$U$1*$R$4,"miał",1=1,"NIC")</f>
        <v>orzech</v>
      </c>
      <c r="L94">
        <f t="shared" si="7"/>
        <v>133</v>
      </c>
      <c r="M94">
        <f t="shared" si="8"/>
        <v>52</v>
      </c>
      <c r="N94">
        <f t="shared" si="9"/>
        <v>491</v>
      </c>
    </row>
    <row r="95" spans="1:14" x14ac:dyDescent="0.25">
      <c r="A95" s="1">
        <v>42020</v>
      </c>
      <c r="B95">
        <f t="shared" si="6"/>
        <v>133</v>
      </c>
      <c r="C95">
        <f t="shared" si="6"/>
        <v>52</v>
      </c>
      <c r="D95">
        <f t="shared" si="6"/>
        <v>491</v>
      </c>
      <c r="E95">
        <v>121</v>
      </c>
      <c r="F95">
        <v>175</v>
      </c>
      <c r="G95">
        <v>77</v>
      </c>
      <c r="H95">
        <f t="shared" si="5"/>
        <v>254</v>
      </c>
      <c r="I95">
        <f t="shared" si="5"/>
        <v>227</v>
      </c>
      <c r="J95">
        <f t="shared" si="5"/>
        <v>568</v>
      </c>
      <c r="K95" t="str" cm="1">
        <f t="array" ref="K95">_xlfn.IFS(H95&gt;=$U$1,"kostka",I95&gt;=$U$1*$R$3,"orzech",J95&gt;=$U$1*$R$4,"miał",1=1,"NIC")</f>
        <v>kostka</v>
      </c>
      <c r="L95">
        <f t="shared" si="7"/>
        <v>54</v>
      </c>
      <c r="M95">
        <f t="shared" si="8"/>
        <v>227</v>
      </c>
      <c r="N95">
        <f t="shared" si="9"/>
        <v>568</v>
      </c>
    </row>
    <row r="96" spans="1:14" x14ac:dyDescent="0.25">
      <c r="A96" s="1">
        <v>42021</v>
      </c>
      <c r="B96">
        <f t="shared" si="6"/>
        <v>54</v>
      </c>
      <c r="C96">
        <f t="shared" si="6"/>
        <v>227</v>
      </c>
      <c r="D96">
        <f t="shared" si="6"/>
        <v>568</v>
      </c>
      <c r="E96">
        <v>80</v>
      </c>
      <c r="F96">
        <v>101</v>
      </c>
      <c r="G96">
        <v>3</v>
      </c>
      <c r="H96">
        <f t="shared" si="5"/>
        <v>134</v>
      </c>
      <c r="I96">
        <f t="shared" si="5"/>
        <v>328</v>
      </c>
      <c r="J96">
        <f t="shared" si="5"/>
        <v>571</v>
      </c>
      <c r="K96" t="str" cm="1">
        <f t="array" ref="K96">_xlfn.IFS(H96&gt;=$U$1,"kostka",I96&gt;=$U$1*$R$3,"orzech",J96&gt;=$U$1*$R$4,"miał",1=1,"NIC")</f>
        <v>orzech</v>
      </c>
      <c r="L96">
        <f t="shared" si="7"/>
        <v>134</v>
      </c>
      <c r="M96">
        <f t="shared" si="8"/>
        <v>68</v>
      </c>
      <c r="N96">
        <f t="shared" si="9"/>
        <v>571</v>
      </c>
    </row>
    <row r="97" spans="1:14" x14ac:dyDescent="0.25">
      <c r="A97" s="1">
        <v>42022</v>
      </c>
      <c r="B97">
        <f t="shared" si="6"/>
        <v>134</v>
      </c>
      <c r="C97">
        <f t="shared" si="6"/>
        <v>68</v>
      </c>
      <c r="D97">
        <f t="shared" si="6"/>
        <v>571</v>
      </c>
      <c r="E97">
        <v>189</v>
      </c>
      <c r="F97">
        <v>161</v>
      </c>
      <c r="G97">
        <v>53</v>
      </c>
      <c r="H97">
        <f t="shared" si="5"/>
        <v>323</v>
      </c>
      <c r="I97">
        <f t="shared" si="5"/>
        <v>229</v>
      </c>
      <c r="J97">
        <f t="shared" si="5"/>
        <v>624</v>
      </c>
      <c r="K97" t="str" cm="1">
        <f t="array" ref="K97">_xlfn.IFS(H97&gt;=$U$1,"kostka",I97&gt;=$U$1*$R$3,"orzech",J97&gt;=$U$1*$R$4,"miał",1=1,"NIC")</f>
        <v>kostka</v>
      </c>
      <c r="L97">
        <f t="shared" si="7"/>
        <v>123</v>
      </c>
      <c r="M97">
        <f t="shared" si="8"/>
        <v>229</v>
      </c>
      <c r="N97">
        <f t="shared" si="9"/>
        <v>624</v>
      </c>
    </row>
    <row r="98" spans="1:14" x14ac:dyDescent="0.25">
      <c r="A98" s="1">
        <v>42023</v>
      </c>
      <c r="B98">
        <f t="shared" si="6"/>
        <v>123</v>
      </c>
      <c r="C98">
        <f t="shared" si="6"/>
        <v>229</v>
      </c>
      <c r="D98">
        <f t="shared" si="6"/>
        <v>624</v>
      </c>
      <c r="E98">
        <v>18</v>
      </c>
      <c r="F98">
        <v>61</v>
      </c>
      <c r="G98">
        <v>19</v>
      </c>
      <c r="H98">
        <f t="shared" si="5"/>
        <v>141</v>
      </c>
      <c r="I98">
        <f t="shared" si="5"/>
        <v>290</v>
      </c>
      <c r="J98">
        <f t="shared" si="5"/>
        <v>643</v>
      </c>
      <c r="K98" t="str" cm="1">
        <f t="array" ref="K98">_xlfn.IFS(H98&gt;=$U$1,"kostka",I98&gt;=$U$1*$R$3,"orzech",J98&gt;=$U$1*$R$4,"miał",1=1,"NIC")</f>
        <v>orzech</v>
      </c>
      <c r="L98">
        <f t="shared" si="7"/>
        <v>141</v>
      </c>
      <c r="M98">
        <f t="shared" si="8"/>
        <v>30</v>
      </c>
      <c r="N98">
        <f t="shared" si="9"/>
        <v>643</v>
      </c>
    </row>
    <row r="99" spans="1:14" x14ac:dyDescent="0.25">
      <c r="A99" s="1">
        <v>42024</v>
      </c>
      <c r="B99">
        <f t="shared" si="6"/>
        <v>141</v>
      </c>
      <c r="C99">
        <f t="shared" si="6"/>
        <v>30</v>
      </c>
      <c r="D99">
        <f t="shared" si="6"/>
        <v>643</v>
      </c>
      <c r="E99">
        <v>68</v>
      </c>
      <c r="F99">
        <v>127</v>
      </c>
      <c r="G99">
        <v>3</v>
      </c>
      <c r="H99">
        <f t="shared" si="5"/>
        <v>209</v>
      </c>
      <c r="I99">
        <f t="shared" si="5"/>
        <v>157</v>
      </c>
      <c r="J99">
        <f t="shared" si="5"/>
        <v>646</v>
      </c>
      <c r="K99" t="str" cm="1">
        <f t="array" ref="K99">_xlfn.IFS(H99&gt;=$U$1,"kostka",I99&gt;=$U$1*$R$3,"orzech",J99&gt;=$U$1*$R$4,"miał",1=1,"NIC")</f>
        <v>kostka</v>
      </c>
      <c r="L99">
        <f t="shared" si="7"/>
        <v>9</v>
      </c>
      <c r="M99">
        <f t="shared" si="8"/>
        <v>157</v>
      </c>
      <c r="N99">
        <f t="shared" si="9"/>
        <v>646</v>
      </c>
    </row>
    <row r="100" spans="1:14" x14ac:dyDescent="0.25">
      <c r="A100" s="1">
        <v>42025</v>
      </c>
      <c r="B100">
        <f t="shared" si="6"/>
        <v>9</v>
      </c>
      <c r="C100">
        <f t="shared" si="6"/>
        <v>157</v>
      </c>
      <c r="D100">
        <f t="shared" si="6"/>
        <v>646</v>
      </c>
      <c r="E100">
        <v>37</v>
      </c>
      <c r="F100">
        <v>112</v>
      </c>
      <c r="G100">
        <v>68</v>
      </c>
      <c r="H100">
        <f t="shared" si="5"/>
        <v>46</v>
      </c>
      <c r="I100">
        <f t="shared" si="5"/>
        <v>269</v>
      </c>
      <c r="J100">
        <f t="shared" si="5"/>
        <v>714</v>
      </c>
      <c r="K100" t="str" cm="1">
        <f t="array" ref="K100">_xlfn.IFS(H100&gt;=$U$1,"kostka",I100&gt;=$U$1*$R$3,"orzech",J100&gt;=$U$1*$R$4,"miał",1=1,"NIC")</f>
        <v>orzech</v>
      </c>
      <c r="L100">
        <f t="shared" si="7"/>
        <v>46</v>
      </c>
      <c r="M100">
        <f t="shared" si="8"/>
        <v>9</v>
      </c>
      <c r="N100">
        <f t="shared" si="9"/>
        <v>714</v>
      </c>
    </row>
    <row r="101" spans="1:14" x14ac:dyDescent="0.25">
      <c r="A101" s="1">
        <v>42026</v>
      </c>
      <c r="B101">
        <f t="shared" si="6"/>
        <v>46</v>
      </c>
      <c r="C101">
        <f t="shared" si="6"/>
        <v>9</v>
      </c>
      <c r="D101">
        <f t="shared" si="6"/>
        <v>714</v>
      </c>
      <c r="E101">
        <v>40</v>
      </c>
      <c r="F101">
        <v>140</v>
      </c>
      <c r="G101">
        <v>15</v>
      </c>
      <c r="H101">
        <f t="shared" si="5"/>
        <v>86</v>
      </c>
      <c r="I101">
        <f t="shared" si="5"/>
        <v>149</v>
      </c>
      <c r="J101">
        <f t="shared" si="5"/>
        <v>729</v>
      </c>
      <c r="K101" t="str" cm="1">
        <f t="array" ref="K101">_xlfn.IFS(H101&gt;=$U$1,"kostka",I101&gt;=$U$1*$R$3,"orzech",J101&gt;=$U$1*$R$4,"miał",1=1,"NIC")</f>
        <v>miał</v>
      </c>
      <c r="L101">
        <f t="shared" si="7"/>
        <v>86</v>
      </c>
      <c r="M101">
        <f t="shared" si="8"/>
        <v>149</v>
      </c>
      <c r="N101">
        <f t="shared" si="9"/>
        <v>409</v>
      </c>
    </row>
    <row r="102" spans="1:14" x14ac:dyDescent="0.25">
      <c r="A102" s="1">
        <v>42027</v>
      </c>
      <c r="B102">
        <f t="shared" si="6"/>
        <v>86</v>
      </c>
      <c r="C102">
        <f t="shared" si="6"/>
        <v>149</v>
      </c>
      <c r="D102">
        <f t="shared" si="6"/>
        <v>409</v>
      </c>
      <c r="E102">
        <v>189</v>
      </c>
      <c r="F102">
        <v>87</v>
      </c>
      <c r="G102">
        <v>64</v>
      </c>
      <c r="H102">
        <f t="shared" si="5"/>
        <v>275</v>
      </c>
      <c r="I102">
        <f t="shared" si="5"/>
        <v>236</v>
      </c>
      <c r="J102">
        <f t="shared" si="5"/>
        <v>473</v>
      </c>
      <c r="K102" t="str" cm="1">
        <f t="array" ref="K102">_xlfn.IFS(H102&gt;=$U$1,"kostka",I102&gt;=$U$1*$R$3,"orzech",J102&gt;=$U$1*$R$4,"miał",1=1,"NIC")</f>
        <v>kostka</v>
      </c>
      <c r="L102">
        <f t="shared" si="7"/>
        <v>75</v>
      </c>
      <c r="M102">
        <f t="shared" si="8"/>
        <v>236</v>
      </c>
      <c r="N102">
        <f t="shared" si="9"/>
        <v>473</v>
      </c>
    </row>
    <row r="103" spans="1:14" x14ac:dyDescent="0.25">
      <c r="A103" s="1">
        <v>42028</v>
      </c>
      <c r="B103">
        <f t="shared" si="6"/>
        <v>75</v>
      </c>
      <c r="C103">
        <f t="shared" si="6"/>
        <v>236</v>
      </c>
      <c r="D103">
        <f t="shared" si="6"/>
        <v>473</v>
      </c>
      <c r="E103">
        <v>145</v>
      </c>
      <c r="F103">
        <v>18</v>
      </c>
      <c r="G103">
        <v>1</v>
      </c>
      <c r="H103">
        <f t="shared" si="5"/>
        <v>220</v>
      </c>
      <c r="I103">
        <f t="shared" si="5"/>
        <v>254</v>
      </c>
      <c r="J103">
        <f t="shared" si="5"/>
        <v>474</v>
      </c>
      <c r="K103" t="str" cm="1">
        <f t="array" ref="K103">_xlfn.IFS(H103&gt;=$U$1,"kostka",I103&gt;=$U$1*$R$3,"orzech",J103&gt;=$U$1*$R$4,"miał",1=1,"NIC")</f>
        <v>kostka</v>
      </c>
      <c r="L103">
        <f t="shared" si="7"/>
        <v>20</v>
      </c>
      <c r="M103">
        <f t="shared" si="8"/>
        <v>254</v>
      </c>
      <c r="N103">
        <f t="shared" si="9"/>
        <v>474</v>
      </c>
    </row>
    <row r="104" spans="1:14" x14ac:dyDescent="0.25">
      <c r="A104" s="1">
        <v>42029</v>
      </c>
      <c r="B104">
        <f t="shared" si="6"/>
        <v>20</v>
      </c>
      <c r="C104">
        <f t="shared" si="6"/>
        <v>254</v>
      </c>
      <c r="D104">
        <f t="shared" si="6"/>
        <v>474</v>
      </c>
      <c r="E104">
        <v>148</v>
      </c>
      <c r="F104">
        <v>27</v>
      </c>
      <c r="G104">
        <v>13</v>
      </c>
      <c r="H104">
        <f t="shared" si="5"/>
        <v>168</v>
      </c>
      <c r="I104">
        <f t="shared" si="5"/>
        <v>281</v>
      </c>
      <c r="J104">
        <f t="shared" si="5"/>
        <v>487</v>
      </c>
      <c r="K104" t="str" cm="1">
        <f t="array" ref="K104">_xlfn.IFS(H104&gt;=$U$1,"kostka",I104&gt;=$U$1*$R$3,"orzech",J104&gt;=$U$1*$R$4,"miał",1=1,"NIC")</f>
        <v>orzech</v>
      </c>
      <c r="L104">
        <f t="shared" si="7"/>
        <v>168</v>
      </c>
      <c r="M104">
        <f t="shared" si="8"/>
        <v>21</v>
      </c>
      <c r="N104">
        <f t="shared" si="9"/>
        <v>487</v>
      </c>
    </row>
    <row r="105" spans="1:14" x14ac:dyDescent="0.25">
      <c r="A105" s="1">
        <v>42030</v>
      </c>
      <c r="B105">
        <f t="shared" si="6"/>
        <v>168</v>
      </c>
      <c r="C105">
        <f t="shared" si="6"/>
        <v>21</v>
      </c>
      <c r="D105">
        <f t="shared" si="6"/>
        <v>487</v>
      </c>
      <c r="E105">
        <v>127</v>
      </c>
      <c r="F105">
        <v>161</v>
      </c>
      <c r="G105">
        <v>31</v>
      </c>
      <c r="H105">
        <f t="shared" si="5"/>
        <v>295</v>
      </c>
      <c r="I105">
        <f t="shared" si="5"/>
        <v>182</v>
      </c>
      <c r="J105">
        <f t="shared" si="5"/>
        <v>518</v>
      </c>
      <c r="K105" t="str" cm="1">
        <f t="array" ref="K105">_xlfn.IFS(H105&gt;=$U$1,"kostka",I105&gt;=$U$1*$R$3,"orzech",J105&gt;=$U$1*$R$4,"miał",1=1,"NIC")</f>
        <v>kostka</v>
      </c>
      <c r="L105">
        <f t="shared" si="7"/>
        <v>95</v>
      </c>
      <c r="M105">
        <f t="shared" si="8"/>
        <v>182</v>
      </c>
      <c r="N105">
        <f t="shared" si="9"/>
        <v>518</v>
      </c>
    </row>
    <row r="106" spans="1:14" x14ac:dyDescent="0.25">
      <c r="A106" s="1">
        <v>42031</v>
      </c>
      <c r="B106">
        <f t="shared" si="6"/>
        <v>95</v>
      </c>
      <c r="C106">
        <f t="shared" si="6"/>
        <v>182</v>
      </c>
      <c r="D106">
        <f t="shared" si="6"/>
        <v>518</v>
      </c>
      <c r="E106">
        <v>131</v>
      </c>
      <c r="F106">
        <v>1</v>
      </c>
      <c r="G106">
        <v>98</v>
      </c>
      <c r="H106">
        <f t="shared" si="5"/>
        <v>226</v>
      </c>
      <c r="I106">
        <f t="shared" si="5"/>
        <v>183</v>
      </c>
      <c r="J106">
        <f t="shared" si="5"/>
        <v>616</v>
      </c>
      <c r="K106" t="str" cm="1">
        <f t="array" ref="K106">_xlfn.IFS(H106&gt;=$U$1,"kostka",I106&gt;=$U$1*$R$3,"orzech",J106&gt;=$U$1*$R$4,"miał",1=1,"NIC")</f>
        <v>kostka</v>
      </c>
      <c r="L106">
        <f t="shared" si="7"/>
        <v>26</v>
      </c>
      <c r="M106">
        <f t="shared" si="8"/>
        <v>183</v>
      </c>
      <c r="N106">
        <f t="shared" si="9"/>
        <v>616</v>
      </c>
    </row>
    <row r="107" spans="1:14" x14ac:dyDescent="0.25">
      <c r="A107" s="1">
        <v>42032</v>
      </c>
      <c r="B107">
        <f t="shared" si="6"/>
        <v>26</v>
      </c>
      <c r="C107">
        <f t="shared" si="6"/>
        <v>183</v>
      </c>
      <c r="D107">
        <f t="shared" si="6"/>
        <v>616</v>
      </c>
      <c r="E107">
        <v>142</v>
      </c>
      <c r="F107">
        <v>131</v>
      </c>
      <c r="G107">
        <v>62</v>
      </c>
      <c r="H107">
        <f t="shared" si="5"/>
        <v>168</v>
      </c>
      <c r="I107">
        <f t="shared" si="5"/>
        <v>314</v>
      </c>
      <c r="J107">
        <f t="shared" si="5"/>
        <v>678</v>
      </c>
      <c r="K107" t="str" cm="1">
        <f t="array" ref="K107">_xlfn.IFS(H107&gt;=$U$1,"kostka",I107&gt;=$U$1*$R$3,"orzech",J107&gt;=$U$1*$R$4,"miał",1=1,"NIC")</f>
        <v>orzech</v>
      </c>
      <c r="L107">
        <f t="shared" si="7"/>
        <v>168</v>
      </c>
      <c r="M107">
        <f t="shared" si="8"/>
        <v>54</v>
      </c>
      <c r="N107">
        <f t="shared" si="9"/>
        <v>678</v>
      </c>
    </row>
    <row r="108" spans="1:14" x14ac:dyDescent="0.25">
      <c r="A108" s="1">
        <v>42033</v>
      </c>
      <c r="B108">
        <f t="shared" si="6"/>
        <v>168</v>
      </c>
      <c r="C108">
        <f t="shared" si="6"/>
        <v>54</v>
      </c>
      <c r="D108">
        <f t="shared" si="6"/>
        <v>678</v>
      </c>
      <c r="E108">
        <v>121</v>
      </c>
      <c r="F108">
        <v>150</v>
      </c>
      <c r="G108">
        <v>25</v>
      </c>
      <c r="H108">
        <f t="shared" si="5"/>
        <v>289</v>
      </c>
      <c r="I108">
        <f t="shared" si="5"/>
        <v>204</v>
      </c>
      <c r="J108">
        <f t="shared" si="5"/>
        <v>703</v>
      </c>
      <c r="K108" t="str" cm="1">
        <f t="array" ref="K108">_xlfn.IFS(H108&gt;=$U$1,"kostka",I108&gt;=$U$1*$R$3,"orzech",J108&gt;=$U$1*$R$4,"miał",1=1,"NIC")</f>
        <v>kostka</v>
      </c>
      <c r="L108">
        <f t="shared" si="7"/>
        <v>89</v>
      </c>
      <c r="M108">
        <f t="shared" si="8"/>
        <v>204</v>
      </c>
      <c r="N108">
        <f t="shared" si="9"/>
        <v>703</v>
      </c>
    </row>
    <row r="109" spans="1:14" x14ac:dyDescent="0.25">
      <c r="A109" s="1">
        <v>42034</v>
      </c>
      <c r="B109">
        <f t="shared" si="6"/>
        <v>89</v>
      </c>
      <c r="C109">
        <f t="shared" si="6"/>
        <v>204</v>
      </c>
      <c r="D109">
        <f t="shared" si="6"/>
        <v>703</v>
      </c>
      <c r="E109">
        <v>33</v>
      </c>
      <c r="F109">
        <v>113</v>
      </c>
      <c r="G109">
        <v>62</v>
      </c>
      <c r="H109">
        <f t="shared" si="5"/>
        <v>122</v>
      </c>
      <c r="I109">
        <f t="shared" si="5"/>
        <v>317</v>
      </c>
      <c r="J109">
        <f t="shared" si="5"/>
        <v>765</v>
      </c>
      <c r="K109" t="str" cm="1">
        <f t="array" ref="K109">_xlfn.IFS(H109&gt;=$U$1,"kostka",I109&gt;=$U$1*$R$3,"orzech",J109&gt;=$U$1*$R$4,"miał",1=1,"NIC")</f>
        <v>orzech</v>
      </c>
      <c r="L109">
        <f t="shared" si="7"/>
        <v>122</v>
      </c>
      <c r="M109">
        <f t="shared" si="8"/>
        <v>57</v>
      </c>
      <c r="N109">
        <f t="shared" si="9"/>
        <v>765</v>
      </c>
    </row>
    <row r="110" spans="1:14" x14ac:dyDescent="0.25">
      <c r="A110" s="1">
        <v>42035</v>
      </c>
      <c r="B110">
        <f t="shared" si="6"/>
        <v>122</v>
      </c>
      <c r="C110">
        <f t="shared" si="6"/>
        <v>57</v>
      </c>
      <c r="D110">
        <f t="shared" si="6"/>
        <v>765</v>
      </c>
      <c r="E110">
        <v>142</v>
      </c>
      <c r="F110">
        <v>44</v>
      </c>
      <c r="G110">
        <v>92</v>
      </c>
      <c r="H110">
        <f t="shared" si="5"/>
        <v>264</v>
      </c>
      <c r="I110">
        <f t="shared" si="5"/>
        <v>101</v>
      </c>
      <c r="J110">
        <f t="shared" si="5"/>
        <v>857</v>
      </c>
      <c r="K110" t="str" cm="1">
        <f t="array" ref="K110">_xlfn.IFS(H110&gt;=$U$1,"kostka",I110&gt;=$U$1*$R$3,"orzech",J110&gt;=$U$1*$R$4,"miał",1=1,"NIC")</f>
        <v>kostka</v>
      </c>
      <c r="L110">
        <f t="shared" si="7"/>
        <v>64</v>
      </c>
      <c r="M110">
        <f t="shared" si="8"/>
        <v>101</v>
      </c>
      <c r="N110">
        <f t="shared" si="9"/>
        <v>857</v>
      </c>
    </row>
    <row r="111" spans="1:14" x14ac:dyDescent="0.25">
      <c r="A111" s="1">
        <v>42036</v>
      </c>
      <c r="B111">
        <f t="shared" si="6"/>
        <v>64</v>
      </c>
      <c r="C111">
        <f t="shared" si="6"/>
        <v>101</v>
      </c>
      <c r="D111">
        <f t="shared" si="6"/>
        <v>857</v>
      </c>
      <c r="E111">
        <v>119</v>
      </c>
      <c r="F111">
        <v>167</v>
      </c>
      <c r="G111">
        <v>64</v>
      </c>
      <c r="H111">
        <f t="shared" si="5"/>
        <v>183</v>
      </c>
      <c r="I111">
        <f t="shared" si="5"/>
        <v>268</v>
      </c>
      <c r="J111">
        <f t="shared" si="5"/>
        <v>921</v>
      </c>
      <c r="K111" t="str" cm="1">
        <f t="array" ref="K111">_xlfn.IFS(H111&gt;=$U$1,"kostka",I111&gt;=$U$1*$R$3,"orzech",J111&gt;=$U$1*$R$4,"miał",1=1,"NIC")</f>
        <v>orzech</v>
      </c>
      <c r="L111">
        <f t="shared" si="7"/>
        <v>183</v>
      </c>
      <c r="M111">
        <f t="shared" si="8"/>
        <v>8</v>
      </c>
      <c r="N111">
        <f t="shared" si="9"/>
        <v>921</v>
      </c>
    </row>
    <row r="112" spans="1:14" x14ac:dyDescent="0.25">
      <c r="A112" s="1">
        <v>42037</v>
      </c>
      <c r="B112">
        <f t="shared" si="6"/>
        <v>183</v>
      </c>
      <c r="C112">
        <f t="shared" si="6"/>
        <v>8</v>
      </c>
      <c r="D112">
        <f t="shared" si="6"/>
        <v>921</v>
      </c>
      <c r="E112">
        <v>54</v>
      </c>
      <c r="F112">
        <v>109</v>
      </c>
      <c r="G112">
        <v>65</v>
      </c>
      <c r="H112">
        <f t="shared" si="5"/>
        <v>237</v>
      </c>
      <c r="I112">
        <f t="shared" si="5"/>
        <v>117</v>
      </c>
      <c r="J112">
        <f t="shared" si="5"/>
        <v>986</v>
      </c>
      <c r="K112" t="str" cm="1">
        <f t="array" ref="K112">_xlfn.IFS(H112&gt;=$U$1,"kostka",I112&gt;=$U$1*$R$3,"orzech",J112&gt;=$U$1*$R$4,"miał",1=1,"NIC")</f>
        <v>kostka</v>
      </c>
      <c r="L112">
        <f t="shared" si="7"/>
        <v>37</v>
      </c>
      <c r="M112">
        <f t="shared" si="8"/>
        <v>117</v>
      </c>
      <c r="N112">
        <f t="shared" si="9"/>
        <v>986</v>
      </c>
    </row>
    <row r="113" spans="1:14" x14ac:dyDescent="0.25">
      <c r="A113" s="1">
        <v>42038</v>
      </c>
      <c r="B113">
        <f t="shared" si="6"/>
        <v>37</v>
      </c>
      <c r="C113">
        <f t="shared" si="6"/>
        <v>117</v>
      </c>
      <c r="D113">
        <f t="shared" si="6"/>
        <v>986</v>
      </c>
      <c r="E113">
        <v>53</v>
      </c>
      <c r="F113">
        <v>94</v>
      </c>
      <c r="G113">
        <v>43</v>
      </c>
      <c r="H113">
        <f t="shared" si="5"/>
        <v>90</v>
      </c>
      <c r="I113">
        <f t="shared" si="5"/>
        <v>211</v>
      </c>
      <c r="J113">
        <f t="shared" si="5"/>
        <v>1029</v>
      </c>
      <c r="K113" t="str" cm="1">
        <f t="array" ref="K113">_xlfn.IFS(H113&gt;=$U$1,"kostka",I113&gt;=$U$1*$R$3,"orzech",J113&gt;=$U$1*$R$4,"miał",1=1,"NIC")</f>
        <v>miał</v>
      </c>
      <c r="L113">
        <f t="shared" si="7"/>
        <v>90</v>
      </c>
      <c r="M113">
        <f t="shared" si="8"/>
        <v>211</v>
      </c>
      <c r="N113">
        <f t="shared" si="9"/>
        <v>709</v>
      </c>
    </row>
    <row r="114" spans="1:14" x14ac:dyDescent="0.25">
      <c r="A114" s="1">
        <v>42039</v>
      </c>
      <c r="B114">
        <f t="shared" si="6"/>
        <v>90</v>
      </c>
      <c r="C114">
        <f t="shared" si="6"/>
        <v>211</v>
      </c>
      <c r="D114">
        <f t="shared" si="6"/>
        <v>709</v>
      </c>
      <c r="E114">
        <v>165</v>
      </c>
      <c r="F114">
        <v>101</v>
      </c>
      <c r="G114">
        <v>8</v>
      </c>
      <c r="H114">
        <f t="shared" si="5"/>
        <v>255</v>
      </c>
      <c r="I114">
        <f t="shared" si="5"/>
        <v>312</v>
      </c>
      <c r="J114">
        <f t="shared" si="5"/>
        <v>717</v>
      </c>
      <c r="K114" t="str" cm="1">
        <f t="array" ref="K114">_xlfn.IFS(H114&gt;=$U$1,"kostka",I114&gt;=$U$1*$R$3,"orzech",J114&gt;=$U$1*$R$4,"miał",1=1,"NIC")</f>
        <v>kostka</v>
      </c>
      <c r="L114">
        <f t="shared" si="7"/>
        <v>55</v>
      </c>
      <c r="M114">
        <f t="shared" si="8"/>
        <v>312</v>
      </c>
      <c r="N114">
        <f t="shared" si="9"/>
        <v>717</v>
      </c>
    </row>
    <row r="115" spans="1:14" x14ac:dyDescent="0.25">
      <c r="A115" s="1">
        <v>42040</v>
      </c>
      <c r="B115">
        <f t="shared" si="6"/>
        <v>55</v>
      </c>
      <c r="C115">
        <f t="shared" si="6"/>
        <v>312</v>
      </c>
      <c r="D115">
        <f t="shared" si="6"/>
        <v>717</v>
      </c>
      <c r="E115">
        <v>159</v>
      </c>
      <c r="F115">
        <v>68</v>
      </c>
      <c r="G115">
        <v>96</v>
      </c>
      <c r="H115">
        <f t="shared" si="5"/>
        <v>214</v>
      </c>
      <c r="I115">
        <f t="shared" si="5"/>
        <v>380</v>
      </c>
      <c r="J115">
        <f t="shared" si="5"/>
        <v>813</v>
      </c>
      <c r="K115" t="str" cm="1">
        <f t="array" ref="K115">_xlfn.IFS(H115&gt;=$U$1,"kostka",I115&gt;=$U$1*$R$3,"orzech",J115&gt;=$U$1*$R$4,"miał",1=1,"NIC")</f>
        <v>kostka</v>
      </c>
      <c r="L115">
        <f t="shared" si="7"/>
        <v>14</v>
      </c>
      <c r="M115">
        <f t="shared" si="8"/>
        <v>380</v>
      </c>
      <c r="N115">
        <f t="shared" si="9"/>
        <v>813</v>
      </c>
    </row>
    <row r="116" spans="1:14" x14ac:dyDescent="0.25">
      <c r="A116" s="1">
        <v>42041</v>
      </c>
      <c r="B116">
        <f t="shared" si="6"/>
        <v>14</v>
      </c>
      <c r="C116">
        <f t="shared" si="6"/>
        <v>380</v>
      </c>
      <c r="D116">
        <f t="shared" si="6"/>
        <v>813</v>
      </c>
      <c r="E116">
        <v>79</v>
      </c>
      <c r="F116">
        <v>119</v>
      </c>
      <c r="G116">
        <v>35</v>
      </c>
      <c r="H116">
        <f t="shared" si="5"/>
        <v>93</v>
      </c>
      <c r="I116">
        <f t="shared" si="5"/>
        <v>499</v>
      </c>
      <c r="J116">
        <f t="shared" si="5"/>
        <v>848</v>
      </c>
      <c r="K116" t="str" cm="1">
        <f t="array" ref="K116">_xlfn.IFS(H116&gt;=$U$1,"kostka",I116&gt;=$U$1*$R$3,"orzech",J116&gt;=$U$1*$R$4,"miał",1=1,"NIC")</f>
        <v>orzech</v>
      </c>
      <c r="L116">
        <f t="shared" si="7"/>
        <v>93</v>
      </c>
      <c r="M116">
        <f t="shared" si="8"/>
        <v>239</v>
      </c>
      <c r="N116">
        <f t="shared" si="9"/>
        <v>848</v>
      </c>
    </row>
    <row r="117" spans="1:14" x14ac:dyDescent="0.25">
      <c r="A117" s="1">
        <v>42042</v>
      </c>
      <c r="B117">
        <f t="shared" si="6"/>
        <v>93</v>
      </c>
      <c r="C117">
        <f t="shared" si="6"/>
        <v>239</v>
      </c>
      <c r="D117">
        <f t="shared" si="6"/>
        <v>848</v>
      </c>
      <c r="E117">
        <v>128</v>
      </c>
      <c r="F117">
        <v>148</v>
      </c>
      <c r="G117">
        <v>77</v>
      </c>
      <c r="H117">
        <f t="shared" si="5"/>
        <v>221</v>
      </c>
      <c r="I117">
        <f t="shared" si="5"/>
        <v>387</v>
      </c>
      <c r="J117">
        <f t="shared" si="5"/>
        <v>925</v>
      </c>
      <c r="K117" t="str" cm="1">
        <f t="array" ref="K117">_xlfn.IFS(H117&gt;=$U$1,"kostka",I117&gt;=$U$1*$R$3,"orzech",J117&gt;=$U$1*$R$4,"miał",1=1,"NIC")</f>
        <v>kostka</v>
      </c>
      <c r="L117">
        <f t="shared" si="7"/>
        <v>21</v>
      </c>
      <c r="M117">
        <f t="shared" si="8"/>
        <v>387</v>
      </c>
      <c r="N117">
        <f t="shared" si="9"/>
        <v>925</v>
      </c>
    </row>
    <row r="118" spans="1:14" x14ac:dyDescent="0.25">
      <c r="A118" s="1">
        <v>42043</v>
      </c>
      <c r="B118">
        <f t="shared" si="6"/>
        <v>21</v>
      </c>
      <c r="C118">
        <f t="shared" si="6"/>
        <v>387</v>
      </c>
      <c r="D118">
        <f t="shared" si="6"/>
        <v>925</v>
      </c>
      <c r="E118">
        <v>195</v>
      </c>
      <c r="F118">
        <v>39</v>
      </c>
      <c r="G118">
        <v>77</v>
      </c>
      <c r="H118">
        <f t="shared" si="5"/>
        <v>216</v>
      </c>
      <c r="I118">
        <f t="shared" si="5"/>
        <v>426</v>
      </c>
      <c r="J118">
        <f t="shared" si="5"/>
        <v>1002</v>
      </c>
      <c r="K118" t="str" cm="1">
        <f t="array" ref="K118">_xlfn.IFS(H118&gt;=$U$1,"kostka",I118&gt;=$U$1*$R$3,"orzech",J118&gt;=$U$1*$R$4,"miał",1=1,"NIC")</f>
        <v>kostka</v>
      </c>
      <c r="L118">
        <f t="shared" si="7"/>
        <v>16</v>
      </c>
      <c r="M118">
        <f t="shared" si="8"/>
        <v>426</v>
      </c>
      <c r="N118">
        <f t="shared" si="9"/>
        <v>1002</v>
      </c>
    </row>
    <row r="119" spans="1:14" x14ac:dyDescent="0.25">
      <c r="A119" s="1">
        <v>42044</v>
      </c>
      <c r="B119">
        <f t="shared" si="6"/>
        <v>16</v>
      </c>
      <c r="C119">
        <f t="shared" si="6"/>
        <v>426</v>
      </c>
      <c r="D119">
        <f t="shared" si="6"/>
        <v>1002</v>
      </c>
      <c r="E119">
        <v>87</v>
      </c>
      <c r="F119">
        <v>8</v>
      </c>
      <c r="G119">
        <v>17</v>
      </c>
      <c r="H119">
        <f t="shared" si="5"/>
        <v>103</v>
      </c>
      <c r="I119">
        <f t="shared" si="5"/>
        <v>434</v>
      </c>
      <c r="J119">
        <f t="shared" si="5"/>
        <v>1019</v>
      </c>
      <c r="K119" t="str" cm="1">
        <f t="array" ref="K119">_xlfn.IFS(H119&gt;=$U$1,"kostka",I119&gt;=$U$1*$R$3,"orzech",J119&gt;=$U$1*$R$4,"miał",1=1,"NIC")</f>
        <v>orzech</v>
      </c>
      <c r="L119">
        <f t="shared" si="7"/>
        <v>103</v>
      </c>
      <c r="M119">
        <f t="shared" si="8"/>
        <v>174</v>
      </c>
      <c r="N119">
        <f t="shared" si="9"/>
        <v>1019</v>
      </c>
    </row>
    <row r="120" spans="1:14" x14ac:dyDescent="0.25">
      <c r="A120" s="1">
        <v>42045</v>
      </c>
      <c r="B120">
        <f t="shared" si="6"/>
        <v>103</v>
      </c>
      <c r="C120">
        <f t="shared" si="6"/>
        <v>174</v>
      </c>
      <c r="D120">
        <f t="shared" si="6"/>
        <v>1019</v>
      </c>
      <c r="E120">
        <v>114</v>
      </c>
      <c r="F120">
        <v>124</v>
      </c>
      <c r="G120">
        <v>94</v>
      </c>
      <c r="H120">
        <f t="shared" si="5"/>
        <v>217</v>
      </c>
      <c r="I120">
        <f t="shared" si="5"/>
        <v>298</v>
      </c>
      <c r="J120">
        <f t="shared" si="5"/>
        <v>1113</v>
      </c>
      <c r="K120" t="str" cm="1">
        <f t="array" ref="K120">_xlfn.IFS(H120&gt;=$U$1,"kostka",I120&gt;=$U$1*$R$3,"orzech",J120&gt;=$U$1*$R$4,"miał",1=1,"NIC")</f>
        <v>kostka</v>
      </c>
      <c r="L120">
        <f t="shared" si="7"/>
        <v>17</v>
      </c>
      <c r="M120">
        <f t="shared" si="8"/>
        <v>298</v>
      </c>
      <c r="N120">
        <f t="shared" si="9"/>
        <v>1113</v>
      </c>
    </row>
    <row r="121" spans="1:14" x14ac:dyDescent="0.25">
      <c r="A121" s="1">
        <v>42046</v>
      </c>
      <c r="B121">
        <f t="shared" si="6"/>
        <v>17</v>
      </c>
      <c r="C121">
        <f t="shared" si="6"/>
        <v>298</v>
      </c>
      <c r="D121">
        <f t="shared" si="6"/>
        <v>1113</v>
      </c>
      <c r="E121">
        <v>126</v>
      </c>
      <c r="F121">
        <v>122</v>
      </c>
      <c r="G121">
        <v>39</v>
      </c>
      <c r="H121">
        <f t="shared" si="5"/>
        <v>143</v>
      </c>
      <c r="I121">
        <f t="shared" si="5"/>
        <v>420</v>
      </c>
      <c r="J121">
        <f t="shared" si="5"/>
        <v>1152</v>
      </c>
      <c r="K121" t="str" cm="1">
        <f t="array" ref="K121">_xlfn.IFS(H121&gt;=$U$1,"kostka",I121&gt;=$U$1*$R$3,"orzech",J121&gt;=$U$1*$R$4,"miał",1=1,"NIC")</f>
        <v>orzech</v>
      </c>
      <c r="L121">
        <f t="shared" si="7"/>
        <v>143</v>
      </c>
      <c r="M121">
        <f t="shared" si="8"/>
        <v>160</v>
      </c>
      <c r="N121">
        <f t="shared" si="9"/>
        <v>1152</v>
      </c>
    </row>
    <row r="122" spans="1:14" x14ac:dyDescent="0.25">
      <c r="A122" s="1">
        <v>42047</v>
      </c>
      <c r="B122">
        <f t="shared" si="6"/>
        <v>143</v>
      </c>
      <c r="C122">
        <f t="shared" si="6"/>
        <v>160</v>
      </c>
      <c r="D122">
        <f t="shared" si="6"/>
        <v>1152</v>
      </c>
      <c r="E122">
        <v>96</v>
      </c>
      <c r="F122">
        <v>113</v>
      </c>
      <c r="G122">
        <v>28</v>
      </c>
      <c r="H122">
        <f t="shared" si="5"/>
        <v>239</v>
      </c>
      <c r="I122">
        <f t="shared" si="5"/>
        <v>273</v>
      </c>
      <c r="J122">
        <f t="shared" si="5"/>
        <v>1180</v>
      </c>
      <c r="K122" t="str" cm="1">
        <f t="array" ref="K122">_xlfn.IFS(H122&gt;=$U$1,"kostka",I122&gt;=$U$1*$R$3,"orzech",J122&gt;=$U$1*$R$4,"miał",1=1,"NIC")</f>
        <v>kostka</v>
      </c>
      <c r="L122">
        <f t="shared" si="7"/>
        <v>39</v>
      </c>
      <c r="M122">
        <f t="shared" si="8"/>
        <v>273</v>
      </c>
      <c r="N122">
        <f t="shared" si="9"/>
        <v>1180</v>
      </c>
    </row>
    <row r="123" spans="1:14" x14ac:dyDescent="0.25">
      <c r="A123" s="1">
        <v>42048</v>
      </c>
      <c r="B123">
        <f t="shared" si="6"/>
        <v>39</v>
      </c>
      <c r="C123">
        <f t="shared" si="6"/>
        <v>273</v>
      </c>
      <c r="D123">
        <f t="shared" si="6"/>
        <v>1180</v>
      </c>
      <c r="E123">
        <v>165</v>
      </c>
      <c r="F123">
        <v>4</v>
      </c>
      <c r="G123">
        <v>83</v>
      </c>
      <c r="H123">
        <f t="shared" si="5"/>
        <v>204</v>
      </c>
      <c r="I123">
        <f t="shared" si="5"/>
        <v>277</v>
      </c>
      <c r="J123">
        <f t="shared" si="5"/>
        <v>1263</v>
      </c>
      <c r="K123" t="str" cm="1">
        <f t="array" ref="K123">_xlfn.IFS(H123&gt;=$U$1,"kostka",I123&gt;=$U$1*$R$3,"orzech",J123&gt;=$U$1*$R$4,"miał",1=1,"NIC")</f>
        <v>kostka</v>
      </c>
      <c r="L123">
        <f t="shared" si="7"/>
        <v>4</v>
      </c>
      <c r="M123">
        <f t="shared" si="8"/>
        <v>277</v>
      </c>
      <c r="N123">
        <f t="shared" si="9"/>
        <v>1263</v>
      </c>
    </row>
    <row r="124" spans="1:14" x14ac:dyDescent="0.25">
      <c r="A124" s="1">
        <v>42049</v>
      </c>
      <c r="B124">
        <f t="shared" si="6"/>
        <v>4</v>
      </c>
      <c r="C124">
        <f t="shared" si="6"/>
        <v>277</v>
      </c>
      <c r="D124">
        <f t="shared" si="6"/>
        <v>1263</v>
      </c>
      <c r="E124">
        <v>1</v>
      </c>
      <c r="F124">
        <v>117</v>
      </c>
      <c r="G124">
        <v>76</v>
      </c>
      <c r="H124">
        <f t="shared" si="5"/>
        <v>5</v>
      </c>
      <c r="I124">
        <f t="shared" si="5"/>
        <v>394</v>
      </c>
      <c r="J124">
        <f t="shared" si="5"/>
        <v>1339</v>
      </c>
      <c r="K124" t="str" cm="1">
        <f t="array" ref="K124">_xlfn.IFS(H124&gt;=$U$1,"kostka",I124&gt;=$U$1*$R$3,"orzech",J124&gt;=$U$1*$R$4,"miał",1=1,"NIC")</f>
        <v>orzech</v>
      </c>
      <c r="L124">
        <f t="shared" si="7"/>
        <v>5</v>
      </c>
      <c r="M124">
        <f t="shared" si="8"/>
        <v>134</v>
      </c>
      <c r="N124">
        <f t="shared" si="9"/>
        <v>1339</v>
      </c>
    </row>
    <row r="125" spans="1:14" x14ac:dyDescent="0.25">
      <c r="A125" s="1">
        <v>42050</v>
      </c>
      <c r="B125">
        <f t="shared" si="6"/>
        <v>5</v>
      </c>
      <c r="C125">
        <f t="shared" si="6"/>
        <v>134</v>
      </c>
      <c r="D125">
        <f t="shared" si="6"/>
        <v>1339</v>
      </c>
      <c r="E125">
        <v>107</v>
      </c>
      <c r="F125">
        <v>70</v>
      </c>
      <c r="G125">
        <v>28</v>
      </c>
      <c r="H125">
        <f t="shared" si="5"/>
        <v>112</v>
      </c>
      <c r="I125">
        <f t="shared" si="5"/>
        <v>204</v>
      </c>
      <c r="J125">
        <f t="shared" si="5"/>
        <v>1367</v>
      </c>
      <c r="K125" t="str" cm="1">
        <f t="array" ref="K125">_xlfn.IFS(H125&gt;=$U$1,"kostka",I125&gt;=$U$1*$R$3,"orzech",J125&gt;=$U$1*$R$4,"miał",1=1,"NIC")</f>
        <v>miał</v>
      </c>
      <c r="L125">
        <f t="shared" si="7"/>
        <v>112</v>
      </c>
      <c r="M125">
        <f t="shared" si="8"/>
        <v>204</v>
      </c>
      <c r="N125">
        <f t="shared" si="9"/>
        <v>1047</v>
      </c>
    </row>
    <row r="126" spans="1:14" x14ac:dyDescent="0.25">
      <c r="A126" s="1">
        <v>42051</v>
      </c>
      <c r="B126">
        <f t="shared" si="6"/>
        <v>112</v>
      </c>
      <c r="C126">
        <f t="shared" si="6"/>
        <v>204</v>
      </c>
      <c r="D126">
        <f t="shared" si="6"/>
        <v>1047</v>
      </c>
      <c r="E126">
        <v>83</v>
      </c>
      <c r="F126">
        <v>81</v>
      </c>
      <c r="G126">
        <v>1</v>
      </c>
      <c r="H126">
        <f t="shared" si="5"/>
        <v>195</v>
      </c>
      <c r="I126">
        <f t="shared" si="5"/>
        <v>285</v>
      </c>
      <c r="J126">
        <f t="shared" si="5"/>
        <v>1048</v>
      </c>
      <c r="K126" t="str" cm="1">
        <f t="array" ref="K126">_xlfn.IFS(H126&gt;=$U$1,"kostka",I126&gt;=$U$1*$R$3,"orzech",J126&gt;=$U$1*$R$4,"miał",1=1,"NIC")</f>
        <v>orzech</v>
      </c>
      <c r="L126">
        <f t="shared" si="7"/>
        <v>195</v>
      </c>
      <c r="M126">
        <f t="shared" si="8"/>
        <v>25</v>
      </c>
      <c r="N126">
        <f t="shared" si="9"/>
        <v>1048</v>
      </c>
    </row>
    <row r="127" spans="1:14" x14ac:dyDescent="0.25">
      <c r="A127" s="1">
        <v>42052</v>
      </c>
      <c r="B127">
        <f t="shared" si="6"/>
        <v>195</v>
      </c>
      <c r="C127">
        <f t="shared" si="6"/>
        <v>25</v>
      </c>
      <c r="D127">
        <f t="shared" si="6"/>
        <v>1048</v>
      </c>
      <c r="E127">
        <v>43</v>
      </c>
      <c r="F127">
        <v>109</v>
      </c>
      <c r="G127">
        <v>50</v>
      </c>
      <c r="H127">
        <f t="shared" si="5"/>
        <v>238</v>
      </c>
      <c r="I127">
        <f t="shared" si="5"/>
        <v>134</v>
      </c>
      <c r="J127">
        <f t="shared" si="5"/>
        <v>1098</v>
      </c>
      <c r="K127" t="str" cm="1">
        <f t="array" ref="K127">_xlfn.IFS(H127&gt;=$U$1,"kostka",I127&gt;=$U$1*$R$3,"orzech",J127&gt;=$U$1*$R$4,"miał",1=1,"NIC")</f>
        <v>kostka</v>
      </c>
      <c r="L127">
        <f t="shared" si="7"/>
        <v>38</v>
      </c>
      <c r="M127">
        <f t="shared" si="8"/>
        <v>134</v>
      </c>
      <c r="N127">
        <f t="shared" si="9"/>
        <v>1098</v>
      </c>
    </row>
    <row r="128" spans="1:14" x14ac:dyDescent="0.25">
      <c r="A128" s="1">
        <v>42053</v>
      </c>
      <c r="B128">
        <f t="shared" si="6"/>
        <v>38</v>
      </c>
      <c r="C128">
        <f t="shared" si="6"/>
        <v>134</v>
      </c>
      <c r="D128">
        <f t="shared" si="6"/>
        <v>1098</v>
      </c>
      <c r="E128">
        <v>52</v>
      </c>
      <c r="F128">
        <v>110</v>
      </c>
      <c r="G128">
        <v>19</v>
      </c>
      <c r="H128">
        <f t="shared" si="5"/>
        <v>90</v>
      </c>
      <c r="I128">
        <f t="shared" si="5"/>
        <v>244</v>
      </c>
      <c r="J128">
        <f t="shared" si="5"/>
        <v>1117</v>
      </c>
      <c r="K128" t="str" cm="1">
        <f t="array" ref="K128">_xlfn.IFS(H128&gt;=$U$1,"kostka",I128&gt;=$U$1*$R$3,"orzech",J128&gt;=$U$1*$R$4,"miał",1=1,"NIC")</f>
        <v>miał</v>
      </c>
      <c r="L128">
        <f t="shared" si="7"/>
        <v>90</v>
      </c>
      <c r="M128">
        <f t="shared" si="8"/>
        <v>244</v>
      </c>
      <c r="N128">
        <f t="shared" si="9"/>
        <v>797</v>
      </c>
    </row>
    <row r="129" spans="1:14" x14ac:dyDescent="0.25">
      <c r="A129" s="1">
        <v>42054</v>
      </c>
      <c r="B129">
        <f t="shared" si="6"/>
        <v>90</v>
      </c>
      <c r="C129">
        <f t="shared" si="6"/>
        <v>244</v>
      </c>
      <c r="D129">
        <f t="shared" si="6"/>
        <v>797</v>
      </c>
      <c r="E129">
        <v>104</v>
      </c>
      <c r="F129">
        <v>132</v>
      </c>
      <c r="G129">
        <v>57</v>
      </c>
      <c r="H129">
        <f t="shared" si="5"/>
        <v>194</v>
      </c>
      <c r="I129">
        <f t="shared" si="5"/>
        <v>376</v>
      </c>
      <c r="J129">
        <f t="shared" si="5"/>
        <v>854</v>
      </c>
      <c r="K129" t="str" cm="1">
        <f t="array" ref="K129">_xlfn.IFS(H129&gt;=$U$1,"kostka",I129&gt;=$U$1*$R$3,"orzech",J129&gt;=$U$1*$R$4,"miał",1=1,"NIC")</f>
        <v>orzech</v>
      </c>
      <c r="L129">
        <f t="shared" si="7"/>
        <v>194</v>
      </c>
      <c r="M129">
        <f t="shared" si="8"/>
        <v>116</v>
      </c>
      <c r="N129">
        <f t="shared" si="9"/>
        <v>854</v>
      </c>
    </row>
    <row r="130" spans="1:14" x14ac:dyDescent="0.25">
      <c r="A130" s="1">
        <v>42055</v>
      </c>
      <c r="B130">
        <f t="shared" si="6"/>
        <v>194</v>
      </c>
      <c r="C130">
        <f t="shared" si="6"/>
        <v>116</v>
      </c>
      <c r="D130">
        <f t="shared" si="6"/>
        <v>854</v>
      </c>
      <c r="E130">
        <v>57</v>
      </c>
      <c r="F130">
        <v>150</v>
      </c>
      <c r="G130">
        <v>36</v>
      </c>
      <c r="H130">
        <f t="shared" si="5"/>
        <v>251</v>
      </c>
      <c r="I130">
        <f t="shared" si="5"/>
        <v>266</v>
      </c>
      <c r="J130">
        <f t="shared" si="5"/>
        <v>890</v>
      </c>
      <c r="K130" t="str" cm="1">
        <f t="array" ref="K130">_xlfn.IFS(H130&gt;=$U$1,"kostka",I130&gt;=$U$1*$R$3,"orzech",J130&gt;=$U$1*$R$4,"miał",1=1,"NIC")</f>
        <v>kostka</v>
      </c>
      <c r="L130">
        <f t="shared" si="7"/>
        <v>51</v>
      </c>
      <c r="M130">
        <f t="shared" si="8"/>
        <v>266</v>
      </c>
      <c r="N130">
        <f t="shared" si="9"/>
        <v>890</v>
      </c>
    </row>
    <row r="131" spans="1:14" x14ac:dyDescent="0.25">
      <c r="A131" s="1">
        <v>42056</v>
      </c>
      <c r="B131">
        <f t="shared" si="6"/>
        <v>51</v>
      </c>
      <c r="C131">
        <f t="shared" si="6"/>
        <v>266</v>
      </c>
      <c r="D131">
        <f t="shared" si="6"/>
        <v>890</v>
      </c>
      <c r="E131">
        <v>86</v>
      </c>
      <c r="F131">
        <v>183</v>
      </c>
      <c r="G131">
        <v>0</v>
      </c>
      <c r="H131">
        <f t="shared" ref="H131:J184" si="10">B131+E131</f>
        <v>137</v>
      </c>
      <c r="I131">
        <f t="shared" si="10"/>
        <v>449</v>
      </c>
      <c r="J131">
        <f t="shared" si="10"/>
        <v>890</v>
      </c>
      <c r="K131" t="str" cm="1">
        <f t="array" ref="K131">_xlfn.IFS(H131&gt;=$U$1,"kostka",I131&gt;=$U$1*$R$3,"orzech",J131&gt;=$U$1*$R$4,"miał",1=1,"NIC")</f>
        <v>orzech</v>
      </c>
      <c r="L131">
        <f t="shared" si="7"/>
        <v>137</v>
      </c>
      <c r="M131">
        <f t="shared" si="8"/>
        <v>189</v>
      </c>
      <c r="N131">
        <f t="shared" si="9"/>
        <v>890</v>
      </c>
    </row>
    <row r="132" spans="1:14" x14ac:dyDescent="0.25">
      <c r="A132" s="1">
        <v>42057</v>
      </c>
      <c r="B132">
        <f t="shared" ref="B132:D184" si="11">L131</f>
        <v>137</v>
      </c>
      <c r="C132">
        <f t="shared" si="11"/>
        <v>189</v>
      </c>
      <c r="D132">
        <f t="shared" si="11"/>
        <v>890</v>
      </c>
      <c r="E132">
        <v>108</v>
      </c>
      <c r="F132">
        <v>20</v>
      </c>
      <c r="G132">
        <v>87</v>
      </c>
      <c r="H132">
        <f t="shared" si="10"/>
        <v>245</v>
      </c>
      <c r="I132">
        <f t="shared" si="10"/>
        <v>209</v>
      </c>
      <c r="J132">
        <f t="shared" si="10"/>
        <v>977</v>
      </c>
      <c r="K132" t="str" cm="1">
        <f t="array" ref="K132">_xlfn.IFS(H132&gt;=$U$1,"kostka",I132&gt;=$U$1*$R$3,"orzech",J132&gt;=$U$1*$R$4,"miał",1=1,"NIC")</f>
        <v>kostka</v>
      </c>
      <c r="L132">
        <f t="shared" ref="L132:L184" si="12">IF($K132="kostka",H132-$U$1,H132)</f>
        <v>45</v>
      </c>
      <c r="M132">
        <f t="shared" ref="M132:M184" si="13">IF($K132="orzech",I132-$U$1*$R$3,I132)</f>
        <v>209</v>
      </c>
      <c r="N132">
        <f t="shared" ref="N132:N184" si="14">IF($K132="miał",J132-$U$1*$R$4,J132)</f>
        <v>977</v>
      </c>
    </row>
    <row r="133" spans="1:14" x14ac:dyDescent="0.25">
      <c r="A133" s="1">
        <v>42058</v>
      </c>
      <c r="B133">
        <f t="shared" si="11"/>
        <v>45</v>
      </c>
      <c r="C133">
        <f t="shared" si="11"/>
        <v>209</v>
      </c>
      <c r="D133">
        <f t="shared" si="11"/>
        <v>977</v>
      </c>
      <c r="E133">
        <v>102</v>
      </c>
      <c r="F133">
        <v>142</v>
      </c>
      <c r="G133">
        <v>20</v>
      </c>
      <c r="H133">
        <f t="shared" si="10"/>
        <v>147</v>
      </c>
      <c r="I133">
        <f t="shared" si="10"/>
        <v>351</v>
      </c>
      <c r="J133">
        <f t="shared" si="10"/>
        <v>997</v>
      </c>
      <c r="K133" t="str" cm="1">
        <f t="array" ref="K133">_xlfn.IFS(H133&gt;=$U$1,"kostka",I133&gt;=$U$1*$R$3,"orzech",J133&gt;=$U$1*$R$4,"miał",1=1,"NIC")</f>
        <v>orzech</v>
      </c>
      <c r="L133">
        <f t="shared" si="12"/>
        <v>147</v>
      </c>
      <c r="M133">
        <f t="shared" si="13"/>
        <v>91</v>
      </c>
      <c r="N133">
        <f t="shared" si="14"/>
        <v>997</v>
      </c>
    </row>
    <row r="134" spans="1:14" x14ac:dyDescent="0.25">
      <c r="A134" s="1">
        <v>42059</v>
      </c>
      <c r="B134">
        <f t="shared" si="11"/>
        <v>147</v>
      </c>
      <c r="C134">
        <f t="shared" si="11"/>
        <v>91</v>
      </c>
      <c r="D134">
        <f t="shared" si="11"/>
        <v>997</v>
      </c>
      <c r="E134">
        <v>81</v>
      </c>
      <c r="F134">
        <v>133</v>
      </c>
      <c r="G134">
        <v>25</v>
      </c>
      <c r="H134">
        <f t="shared" si="10"/>
        <v>228</v>
      </c>
      <c r="I134">
        <f t="shared" si="10"/>
        <v>224</v>
      </c>
      <c r="J134">
        <f t="shared" si="10"/>
        <v>1022</v>
      </c>
      <c r="K134" t="str" cm="1">
        <f t="array" ref="K134">_xlfn.IFS(H134&gt;=$U$1,"kostka",I134&gt;=$U$1*$R$3,"orzech",J134&gt;=$U$1*$R$4,"miał",1=1,"NIC")</f>
        <v>kostka</v>
      </c>
      <c r="L134">
        <f t="shared" si="12"/>
        <v>28</v>
      </c>
      <c r="M134">
        <f t="shared" si="13"/>
        <v>224</v>
      </c>
      <c r="N134">
        <f t="shared" si="14"/>
        <v>1022</v>
      </c>
    </row>
    <row r="135" spans="1:14" x14ac:dyDescent="0.25">
      <c r="A135" s="1">
        <v>42060</v>
      </c>
      <c r="B135">
        <f t="shared" si="11"/>
        <v>28</v>
      </c>
      <c r="C135">
        <f t="shared" si="11"/>
        <v>224</v>
      </c>
      <c r="D135">
        <f t="shared" si="11"/>
        <v>1022</v>
      </c>
      <c r="E135">
        <v>59</v>
      </c>
      <c r="F135">
        <v>87</v>
      </c>
      <c r="G135">
        <v>10</v>
      </c>
      <c r="H135">
        <f t="shared" si="10"/>
        <v>87</v>
      </c>
      <c r="I135">
        <f t="shared" si="10"/>
        <v>311</v>
      </c>
      <c r="J135">
        <f t="shared" si="10"/>
        <v>1032</v>
      </c>
      <c r="K135" t="str" cm="1">
        <f t="array" ref="K135">_xlfn.IFS(H135&gt;=$U$1,"kostka",I135&gt;=$U$1*$R$3,"orzech",J135&gt;=$U$1*$R$4,"miał",1=1,"NIC")</f>
        <v>orzech</v>
      </c>
      <c r="L135">
        <f t="shared" si="12"/>
        <v>87</v>
      </c>
      <c r="M135">
        <f t="shared" si="13"/>
        <v>51</v>
      </c>
      <c r="N135">
        <f t="shared" si="14"/>
        <v>1032</v>
      </c>
    </row>
    <row r="136" spans="1:14" x14ac:dyDescent="0.25">
      <c r="A136" s="1">
        <v>42061</v>
      </c>
      <c r="B136">
        <f t="shared" si="11"/>
        <v>87</v>
      </c>
      <c r="C136">
        <f t="shared" si="11"/>
        <v>51</v>
      </c>
      <c r="D136">
        <f t="shared" si="11"/>
        <v>1032</v>
      </c>
      <c r="E136">
        <v>21</v>
      </c>
      <c r="F136">
        <v>75</v>
      </c>
      <c r="G136">
        <v>65</v>
      </c>
      <c r="H136">
        <f t="shared" si="10"/>
        <v>108</v>
      </c>
      <c r="I136">
        <f t="shared" si="10"/>
        <v>126</v>
      </c>
      <c r="J136">
        <f t="shared" si="10"/>
        <v>1097</v>
      </c>
      <c r="K136" t="str" cm="1">
        <f t="array" ref="K136">_xlfn.IFS(H136&gt;=$U$1,"kostka",I136&gt;=$U$1*$R$3,"orzech",J136&gt;=$U$1*$R$4,"miał",1=1,"NIC")</f>
        <v>miał</v>
      </c>
      <c r="L136">
        <f t="shared" si="12"/>
        <v>108</v>
      </c>
      <c r="M136">
        <f t="shared" si="13"/>
        <v>126</v>
      </c>
      <c r="N136">
        <f t="shared" si="14"/>
        <v>777</v>
      </c>
    </row>
    <row r="137" spans="1:14" x14ac:dyDescent="0.25">
      <c r="A137" s="1">
        <v>42062</v>
      </c>
      <c r="B137">
        <f t="shared" si="11"/>
        <v>108</v>
      </c>
      <c r="C137">
        <f t="shared" si="11"/>
        <v>126</v>
      </c>
      <c r="D137">
        <f t="shared" si="11"/>
        <v>777</v>
      </c>
      <c r="E137">
        <v>79</v>
      </c>
      <c r="F137">
        <v>14</v>
      </c>
      <c r="G137">
        <v>27</v>
      </c>
      <c r="H137">
        <f t="shared" si="10"/>
        <v>187</v>
      </c>
      <c r="I137">
        <f t="shared" si="10"/>
        <v>140</v>
      </c>
      <c r="J137">
        <f t="shared" si="10"/>
        <v>804</v>
      </c>
      <c r="K137" t="str" cm="1">
        <f t="array" ref="K137">_xlfn.IFS(H137&gt;=$U$1,"kostka",I137&gt;=$U$1*$R$3,"orzech",J137&gt;=$U$1*$R$4,"miał",1=1,"NIC")</f>
        <v>miał</v>
      </c>
      <c r="L137">
        <f t="shared" si="12"/>
        <v>187</v>
      </c>
      <c r="M137">
        <f t="shared" si="13"/>
        <v>140</v>
      </c>
      <c r="N137">
        <f t="shared" si="14"/>
        <v>484</v>
      </c>
    </row>
    <row r="138" spans="1:14" x14ac:dyDescent="0.25">
      <c r="A138" s="1">
        <v>42063</v>
      </c>
      <c r="B138">
        <f t="shared" si="11"/>
        <v>187</v>
      </c>
      <c r="C138">
        <f t="shared" si="11"/>
        <v>140</v>
      </c>
      <c r="D138">
        <f t="shared" si="11"/>
        <v>484</v>
      </c>
      <c r="E138">
        <v>56</v>
      </c>
      <c r="F138">
        <v>12</v>
      </c>
      <c r="G138">
        <v>25</v>
      </c>
      <c r="H138">
        <f t="shared" si="10"/>
        <v>243</v>
      </c>
      <c r="I138">
        <f t="shared" si="10"/>
        <v>152</v>
      </c>
      <c r="J138">
        <f t="shared" si="10"/>
        <v>509</v>
      </c>
      <c r="K138" t="str" cm="1">
        <f t="array" ref="K138">_xlfn.IFS(H138&gt;=$U$1,"kostka",I138&gt;=$U$1*$R$3,"orzech",J138&gt;=$U$1*$R$4,"miał",1=1,"NIC")</f>
        <v>kostka</v>
      </c>
      <c r="L138">
        <f t="shared" si="12"/>
        <v>43</v>
      </c>
      <c r="M138">
        <f t="shared" si="13"/>
        <v>152</v>
      </c>
      <c r="N138">
        <f t="shared" si="14"/>
        <v>509</v>
      </c>
    </row>
    <row r="139" spans="1:14" x14ac:dyDescent="0.25">
      <c r="A139" s="1">
        <v>42064</v>
      </c>
      <c r="B139">
        <f t="shared" si="11"/>
        <v>43</v>
      </c>
      <c r="C139">
        <f t="shared" si="11"/>
        <v>152</v>
      </c>
      <c r="D139">
        <f t="shared" si="11"/>
        <v>509</v>
      </c>
      <c r="E139">
        <v>195</v>
      </c>
      <c r="F139">
        <v>90</v>
      </c>
      <c r="G139">
        <v>56</v>
      </c>
      <c r="H139">
        <f t="shared" si="10"/>
        <v>238</v>
      </c>
      <c r="I139">
        <f t="shared" si="10"/>
        <v>242</v>
      </c>
      <c r="J139">
        <f t="shared" si="10"/>
        <v>565</v>
      </c>
      <c r="K139" t="str" cm="1">
        <f t="array" ref="K139">_xlfn.IFS(H139&gt;=$U$1,"kostka",I139&gt;=$U$1*$R$3,"orzech",J139&gt;=$U$1*$R$4,"miał",1=1,"NIC")</f>
        <v>kostka</v>
      </c>
      <c r="L139">
        <f t="shared" si="12"/>
        <v>38</v>
      </c>
      <c r="M139">
        <f t="shared" si="13"/>
        <v>242</v>
      </c>
      <c r="N139">
        <f t="shared" si="14"/>
        <v>565</v>
      </c>
    </row>
    <row r="140" spans="1:14" x14ac:dyDescent="0.25">
      <c r="A140" s="1">
        <v>42065</v>
      </c>
      <c r="B140">
        <f t="shared" si="11"/>
        <v>38</v>
      </c>
      <c r="C140">
        <f t="shared" si="11"/>
        <v>242</v>
      </c>
      <c r="D140">
        <f t="shared" si="11"/>
        <v>565</v>
      </c>
      <c r="E140">
        <v>113</v>
      </c>
      <c r="F140">
        <v>90</v>
      </c>
      <c r="G140">
        <v>24</v>
      </c>
      <c r="H140">
        <f t="shared" si="10"/>
        <v>151</v>
      </c>
      <c r="I140">
        <f t="shared" si="10"/>
        <v>332</v>
      </c>
      <c r="J140">
        <f t="shared" si="10"/>
        <v>589</v>
      </c>
      <c r="K140" t="str" cm="1">
        <f t="array" ref="K140">_xlfn.IFS(H140&gt;=$U$1,"kostka",I140&gt;=$U$1*$R$3,"orzech",J140&gt;=$U$1*$R$4,"miał",1=1,"NIC")</f>
        <v>orzech</v>
      </c>
      <c r="L140">
        <f t="shared" si="12"/>
        <v>151</v>
      </c>
      <c r="M140">
        <f t="shared" si="13"/>
        <v>72</v>
      </c>
      <c r="N140">
        <f t="shared" si="14"/>
        <v>589</v>
      </c>
    </row>
    <row r="141" spans="1:14" x14ac:dyDescent="0.25">
      <c r="A141" s="1">
        <v>42066</v>
      </c>
      <c r="B141">
        <f t="shared" si="11"/>
        <v>151</v>
      </c>
      <c r="C141">
        <f t="shared" si="11"/>
        <v>72</v>
      </c>
      <c r="D141">
        <f t="shared" si="11"/>
        <v>589</v>
      </c>
      <c r="E141">
        <v>93</v>
      </c>
      <c r="F141">
        <v>139</v>
      </c>
      <c r="G141">
        <v>47</v>
      </c>
      <c r="H141">
        <f t="shared" si="10"/>
        <v>244</v>
      </c>
      <c r="I141">
        <f t="shared" si="10"/>
        <v>211</v>
      </c>
      <c r="J141">
        <f t="shared" si="10"/>
        <v>636</v>
      </c>
      <c r="K141" t="str" cm="1">
        <f t="array" ref="K141">_xlfn.IFS(H141&gt;=$U$1,"kostka",I141&gt;=$U$1*$R$3,"orzech",J141&gt;=$U$1*$R$4,"miał",1=1,"NIC")</f>
        <v>kostka</v>
      </c>
      <c r="L141">
        <f t="shared" si="12"/>
        <v>44</v>
      </c>
      <c r="M141">
        <f t="shared" si="13"/>
        <v>211</v>
      </c>
      <c r="N141">
        <f t="shared" si="14"/>
        <v>636</v>
      </c>
    </row>
    <row r="142" spans="1:14" x14ac:dyDescent="0.25">
      <c r="A142" s="1">
        <v>42067</v>
      </c>
      <c r="B142">
        <f t="shared" si="11"/>
        <v>44</v>
      </c>
      <c r="C142">
        <f t="shared" si="11"/>
        <v>211</v>
      </c>
      <c r="D142">
        <f t="shared" si="11"/>
        <v>636</v>
      </c>
      <c r="E142">
        <v>93</v>
      </c>
      <c r="F142">
        <v>147</v>
      </c>
      <c r="G142">
        <v>26</v>
      </c>
      <c r="H142">
        <f t="shared" si="10"/>
        <v>137</v>
      </c>
      <c r="I142">
        <f t="shared" si="10"/>
        <v>358</v>
      </c>
      <c r="J142">
        <f t="shared" si="10"/>
        <v>662</v>
      </c>
      <c r="K142" t="str" cm="1">
        <f t="array" ref="K142">_xlfn.IFS(H142&gt;=$U$1,"kostka",I142&gt;=$U$1*$R$3,"orzech",J142&gt;=$U$1*$R$4,"miał",1=1,"NIC")</f>
        <v>orzech</v>
      </c>
      <c r="L142">
        <f t="shared" si="12"/>
        <v>137</v>
      </c>
      <c r="M142">
        <f t="shared" si="13"/>
        <v>98</v>
      </c>
      <c r="N142">
        <f t="shared" si="14"/>
        <v>662</v>
      </c>
    </row>
    <row r="143" spans="1:14" x14ac:dyDescent="0.25">
      <c r="A143" s="1">
        <v>42068</v>
      </c>
      <c r="B143">
        <f t="shared" si="11"/>
        <v>137</v>
      </c>
      <c r="C143">
        <f t="shared" si="11"/>
        <v>98</v>
      </c>
      <c r="D143">
        <f t="shared" si="11"/>
        <v>662</v>
      </c>
      <c r="E143">
        <v>79</v>
      </c>
      <c r="F143">
        <v>145</v>
      </c>
      <c r="G143">
        <v>36</v>
      </c>
      <c r="H143">
        <f t="shared" si="10"/>
        <v>216</v>
      </c>
      <c r="I143">
        <f t="shared" si="10"/>
        <v>243</v>
      </c>
      <c r="J143">
        <f t="shared" si="10"/>
        <v>698</v>
      </c>
      <c r="K143" t="str" cm="1">
        <f t="array" ref="K143">_xlfn.IFS(H143&gt;=$U$1,"kostka",I143&gt;=$U$1*$R$3,"orzech",J143&gt;=$U$1*$R$4,"miał",1=1,"NIC")</f>
        <v>kostka</v>
      </c>
      <c r="L143">
        <f t="shared" si="12"/>
        <v>16</v>
      </c>
      <c r="M143">
        <f t="shared" si="13"/>
        <v>243</v>
      </c>
      <c r="N143">
        <f t="shared" si="14"/>
        <v>698</v>
      </c>
    </row>
    <row r="144" spans="1:14" x14ac:dyDescent="0.25">
      <c r="A144" s="1">
        <v>42069</v>
      </c>
      <c r="B144">
        <f t="shared" si="11"/>
        <v>16</v>
      </c>
      <c r="C144">
        <f t="shared" si="11"/>
        <v>243</v>
      </c>
      <c r="D144">
        <f t="shared" si="11"/>
        <v>698</v>
      </c>
      <c r="E144">
        <v>148</v>
      </c>
      <c r="F144">
        <v>127</v>
      </c>
      <c r="G144">
        <v>27</v>
      </c>
      <c r="H144">
        <f t="shared" si="10"/>
        <v>164</v>
      </c>
      <c r="I144">
        <f t="shared" si="10"/>
        <v>370</v>
      </c>
      <c r="J144">
        <f t="shared" si="10"/>
        <v>725</v>
      </c>
      <c r="K144" t="str" cm="1">
        <f t="array" ref="K144">_xlfn.IFS(H144&gt;=$U$1,"kostka",I144&gt;=$U$1*$R$3,"orzech",J144&gt;=$U$1*$R$4,"miał",1=1,"NIC")</f>
        <v>orzech</v>
      </c>
      <c r="L144">
        <f t="shared" si="12"/>
        <v>164</v>
      </c>
      <c r="M144">
        <f t="shared" si="13"/>
        <v>110</v>
      </c>
      <c r="N144">
        <f t="shared" si="14"/>
        <v>725</v>
      </c>
    </row>
    <row r="145" spans="1:14" x14ac:dyDescent="0.25">
      <c r="A145" s="1">
        <v>42070</v>
      </c>
      <c r="B145">
        <f t="shared" si="11"/>
        <v>164</v>
      </c>
      <c r="C145">
        <f t="shared" si="11"/>
        <v>110</v>
      </c>
      <c r="D145">
        <f t="shared" si="11"/>
        <v>725</v>
      </c>
      <c r="E145">
        <v>132</v>
      </c>
      <c r="F145">
        <v>128</v>
      </c>
      <c r="G145">
        <v>37</v>
      </c>
      <c r="H145">
        <f t="shared" si="10"/>
        <v>296</v>
      </c>
      <c r="I145">
        <f t="shared" si="10"/>
        <v>238</v>
      </c>
      <c r="J145">
        <f t="shared" si="10"/>
        <v>762</v>
      </c>
      <c r="K145" t="str" cm="1">
        <f t="array" ref="K145">_xlfn.IFS(H145&gt;=$U$1,"kostka",I145&gt;=$U$1*$R$3,"orzech",J145&gt;=$U$1*$R$4,"miał",1=1,"NIC")</f>
        <v>kostka</v>
      </c>
      <c r="L145">
        <f t="shared" si="12"/>
        <v>96</v>
      </c>
      <c r="M145">
        <f t="shared" si="13"/>
        <v>238</v>
      </c>
      <c r="N145">
        <f t="shared" si="14"/>
        <v>762</v>
      </c>
    </row>
    <row r="146" spans="1:14" x14ac:dyDescent="0.25">
      <c r="A146" s="1">
        <v>42071</v>
      </c>
      <c r="B146">
        <f t="shared" si="11"/>
        <v>96</v>
      </c>
      <c r="C146">
        <f t="shared" si="11"/>
        <v>238</v>
      </c>
      <c r="D146">
        <f t="shared" si="11"/>
        <v>762</v>
      </c>
      <c r="E146">
        <v>22</v>
      </c>
      <c r="F146">
        <v>115</v>
      </c>
      <c r="G146">
        <v>28</v>
      </c>
      <c r="H146">
        <f t="shared" si="10"/>
        <v>118</v>
      </c>
      <c r="I146">
        <f t="shared" si="10"/>
        <v>353</v>
      </c>
      <c r="J146">
        <f t="shared" si="10"/>
        <v>790</v>
      </c>
      <c r="K146" t="str" cm="1">
        <f t="array" ref="K146">_xlfn.IFS(H146&gt;=$U$1,"kostka",I146&gt;=$U$1*$R$3,"orzech",J146&gt;=$U$1*$R$4,"miał",1=1,"NIC")</f>
        <v>orzech</v>
      </c>
      <c r="L146">
        <f t="shared" si="12"/>
        <v>118</v>
      </c>
      <c r="M146">
        <f t="shared" si="13"/>
        <v>93</v>
      </c>
      <c r="N146">
        <f t="shared" si="14"/>
        <v>790</v>
      </c>
    </row>
    <row r="147" spans="1:14" x14ac:dyDescent="0.25">
      <c r="A147" s="1">
        <v>42072</v>
      </c>
      <c r="B147">
        <f t="shared" si="11"/>
        <v>118</v>
      </c>
      <c r="C147">
        <f t="shared" si="11"/>
        <v>93</v>
      </c>
      <c r="D147">
        <f t="shared" si="11"/>
        <v>790</v>
      </c>
      <c r="E147">
        <v>50</v>
      </c>
      <c r="F147">
        <v>99</v>
      </c>
      <c r="G147">
        <v>78</v>
      </c>
      <c r="H147">
        <f t="shared" si="10"/>
        <v>168</v>
      </c>
      <c r="I147">
        <f t="shared" si="10"/>
        <v>192</v>
      </c>
      <c r="J147">
        <f t="shared" si="10"/>
        <v>868</v>
      </c>
      <c r="K147" t="str" cm="1">
        <f t="array" ref="K147">_xlfn.IFS(H147&gt;=$U$1,"kostka",I147&gt;=$U$1*$R$3,"orzech",J147&gt;=$U$1*$R$4,"miał",1=1,"NIC")</f>
        <v>miał</v>
      </c>
      <c r="L147">
        <f t="shared" si="12"/>
        <v>168</v>
      </c>
      <c r="M147">
        <f t="shared" si="13"/>
        <v>192</v>
      </c>
      <c r="N147">
        <f t="shared" si="14"/>
        <v>548</v>
      </c>
    </row>
    <row r="148" spans="1:14" x14ac:dyDescent="0.25">
      <c r="A148" s="1">
        <v>42073</v>
      </c>
      <c r="B148">
        <f t="shared" si="11"/>
        <v>168</v>
      </c>
      <c r="C148">
        <f t="shared" si="11"/>
        <v>192</v>
      </c>
      <c r="D148">
        <f t="shared" si="11"/>
        <v>548</v>
      </c>
      <c r="E148">
        <v>178</v>
      </c>
      <c r="F148">
        <v>146</v>
      </c>
      <c r="G148">
        <v>75</v>
      </c>
      <c r="H148">
        <f t="shared" si="10"/>
        <v>346</v>
      </c>
      <c r="I148">
        <f t="shared" si="10"/>
        <v>338</v>
      </c>
      <c r="J148">
        <f t="shared" si="10"/>
        <v>623</v>
      </c>
      <c r="K148" t="str" cm="1">
        <f t="array" ref="K148">_xlfn.IFS(H148&gt;=$U$1,"kostka",I148&gt;=$U$1*$R$3,"orzech",J148&gt;=$U$1*$R$4,"miał",1=1,"NIC")</f>
        <v>kostka</v>
      </c>
      <c r="L148">
        <f t="shared" si="12"/>
        <v>146</v>
      </c>
      <c r="M148">
        <f t="shared" si="13"/>
        <v>338</v>
      </c>
      <c r="N148">
        <f t="shared" si="14"/>
        <v>623</v>
      </c>
    </row>
    <row r="149" spans="1:14" x14ac:dyDescent="0.25">
      <c r="A149" s="1">
        <v>42074</v>
      </c>
      <c r="B149">
        <f t="shared" si="11"/>
        <v>146</v>
      </c>
      <c r="C149">
        <f t="shared" si="11"/>
        <v>338</v>
      </c>
      <c r="D149">
        <f t="shared" si="11"/>
        <v>623</v>
      </c>
      <c r="E149">
        <v>97</v>
      </c>
      <c r="F149">
        <v>135</v>
      </c>
      <c r="G149">
        <v>66</v>
      </c>
      <c r="H149">
        <f t="shared" si="10"/>
        <v>243</v>
      </c>
      <c r="I149">
        <f t="shared" si="10"/>
        <v>473</v>
      </c>
      <c r="J149">
        <f t="shared" si="10"/>
        <v>689</v>
      </c>
      <c r="K149" t="str" cm="1">
        <f t="array" ref="K149">_xlfn.IFS(H149&gt;=$U$1,"kostka",I149&gt;=$U$1*$R$3,"orzech",J149&gt;=$U$1*$R$4,"miał",1=1,"NIC")</f>
        <v>kostka</v>
      </c>
      <c r="L149">
        <f t="shared" si="12"/>
        <v>43</v>
      </c>
      <c r="M149">
        <f t="shared" si="13"/>
        <v>473</v>
      </c>
      <c r="N149">
        <f t="shared" si="14"/>
        <v>689</v>
      </c>
    </row>
    <row r="150" spans="1:14" x14ac:dyDescent="0.25">
      <c r="A150" s="1">
        <v>42075</v>
      </c>
      <c r="B150">
        <f t="shared" si="11"/>
        <v>43</v>
      </c>
      <c r="C150">
        <f t="shared" si="11"/>
        <v>473</v>
      </c>
      <c r="D150">
        <f t="shared" si="11"/>
        <v>689</v>
      </c>
      <c r="E150">
        <v>138</v>
      </c>
      <c r="F150">
        <v>160</v>
      </c>
      <c r="G150">
        <v>6</v>
      </c>
      <c r="H150">
        <f t="shared" si="10"/>
        <v>181</v>
      </c>
      <c r="I150">
        <f t="shared" si="10"/>
        <v>633</v>
      </c>
      <c r="J150">
        <f t="shared" si="10"/>
        <v>695</v>
      </c>
      <c r="K150" t="str" cm="1">
        <f t="array" ref="K150">_xlfn.IFS(H150&gt;=$U$1,"kostka",I150&gt;=$U$1*$R$3,"orzech",J150&gt;=$U$1*$R$4,"miał",1=1,"NIC")</f>
        <v>orzech</v>
      </c>
      <c r="L150">
        <f t="shared" si="12"/>
        <v>181</v>
      </c>
      <c r="M150">
        <f t="shared" si="13"/>
        <v>373</v>
      </c>
      <c r="N150">
        <f t="shared" si="14"/>
        <v>695</v>
      </c>
    </row>
    <row r="151" spans="1:14" x14ac:dyDescent="0.25">
      <c r="A151" s="1">
        <v>42076</v>
      </c>
      <c r="B151">
        <f t="shared" si="11"/>
        <v>181</v>
      </c>
      <c r="C151">
        <f t="shared" si="11"/>
        <v>373</v>
      </c>
      <c r="D151">
        <f t="shared" si="11"/>
        <v>695</v>
      </c>
      <c r="E151">
        <v>194</v>
      </c>
      <c r="F151">
        <v>87</v>
      </c>
      <c r="G151">
        <v>60</v>
      </c>
      <c r="H151">
        <f t="shared" si="10"/>
        <v>375</v>
      </c>
      <c r="I151">
        <f t="shared" si="10"/>
        <v>460</v>
      </c>
      <c r="J151">
        <f t="shared" si="10"/>
        <v>755</v>
      </c>
      <c r="K151" t="str" cm="1">
        <f t="array" ref="K151">_xlfn.IFS(H151&gt;=$U$1,"kostka",I151&gt;=$U$1*$R$3,"orzech",J151&gt;=$U$1*$R$4,"miał",1=1,"NIC")</f>
        <v>kostka</v>
      </c>
      <c r="L151">
        <f t="shared" si="12"/>
        <v>175</v>
      </c>
      <c r="M151">
        <f t="shared" si="13"/>
        <v>460</v>
      </c>
      <c r="N151">
        <f t="shared" si="14"/>
        <v>755</v>
      </c>
    </row>
    <row r="152" spans="1:14" x14ac:dyDescent="0.25">
      <c r="A152" s="1">
        <v>42077</v>
      </c>
      <c r="B152">
        <f t="shared" si="11"/>
        <v>175</v>
      </c>
      <c r="C152">
        <f t="shared" si="11"/>
        <v>460</v>
      </c>
      <c r="D152">
        <f t="shared" si="11"/>
        <v>755</v>
      </c>
      <c r="E152">
        <v>86</v>
      </c>
      <c r="F152">
        <v>21</v>
      </c>
      <c r="G152">
        <v>45</v>
      </c>
      <c r="H152">
        <f t="shared" si="10"/>
        <v>261</v>
      </c>
      <c r="I152">
        <f t="shared" si="10"/>
        <v>481</v>
      </c>
      <c r="J152">
        <f t="shared" si="10"/>
        <v>800</v>
      </c>
      <c r="K152" t="str" cm="1">
        <f t="array" ref="K152">_xlfn.IFS(H152&gt;=$U$1,"kostka",I152&gt;=$U$1*$R$3,"orzech",J152&gt;=$U$1*$R$4,"miał",1=1,"NIC")</f>
        <v>kostka</v>
      </c>
      <c r="L152">
        <f t="shared" si="12"/>
        <v>61</v>
      </c>
      <c r="M152">
        <f t="shared" si="13"/>
        <v>481</v>
      </c>
      <c r="N152">
        <f t="shared" si="14"/>
        <v>800</v>
      </c>
    </row>
    <row r="153" spans="1:14" x14ac:dyDescent="0.25">
      <c r="A153" s="1">
        <v>42078</v>
      </c>
      <c r="B153">
        <f t="shared" si="11"/>
        <v>61</v>
      </c>
      <c r="C153">
        <f t="shared" si="11"/>
        <v>481</v>
      </c>
      <c r="D153">
        <f t="shared" si="11"/>
        <v>800</v>
      </c>
      <c r="E153">
        <v>26</v>
      </c>
      <c r="F153">
        <v>60</v>
      </c>
      <c r="G153">
        <v>44</v>
      </c>
      <c r="H153">
        <f t="shared" si="10"/>
        <v>87</v>
      </c>
      <c r="I153">
        <f t="shared" si="10"/>
        <v>541</v>
      </c>
      <c r="J153">
        <f t="shared" si="10"/>
        <v>844</v>
      </c>
      <c r="K153" t="str" cm="1">
        <f t="array" ref="K153">_xlfn.IFS(H153&gt;=$U$1,"kostka",I153&gt;=$U$1*$R$3,"orzech",J153&gt;=$U$1*$R$4,"miał",1=1,"NIC")</f>
        <v>orzech</v>
      </c>
      <c r="L153">
        <f t="shared" si="12"/>
        <v>87</v>
      </c>
      <c r="M153">
        <f t="shared" si="13"/>
        <v>281</v>
      </c>
      <c r="N153">
        <f t="shared" si="14"/>
        <v>844</v>
      </c>
    </row>
    <row r="154" spans="1:14" x14ac:dyDescent="0.25">
      <c r="A154" s="1">
        <v>42079</v>
      </c>
      <c r="B154">
        <f t="shared" si="11"/>
        <v>87</v>
      </c>
      <c r="C154">
        <f t="shared" si="11"/>
        <v>281</v>
      </c>
      <c r="D154">
        <f t="shared" si="11"/>
        <v>844</v>
      </c>
      <c r="E154">
        <v>28</v>
      </c>
      <c r="F154">
        <v>35</v>
      </c>
      <c r="G154">
        <v>96</v>
      </c>
      <c r="H154">
        <f t="shared" si="10"/>
        <v>115</v>
      </c>
      <c r="I154">
        <f t="shared" si="10"/>
        <v>316</v>
      </c>
      <c r="J154">
        <f t="shared" si="10"/>
        <v>940</v>
      </c>
      <c r="K154" t="str" cm="1">
        <f t="array" ref="K154">_xlfn.IFS(H154&gt;=$U$1,"kostka",I154&gt;=$U$1*$R$3,"orzech",J154&gt;=$U$1*$R$4,"miał",1=1,"NIC")</f>
        <v>orzech</v>
      </c>
      <c r="L154">
        <f t="shared" si="12"/>
        <v>115</v>
      </c>
      <c r="M154">
        <f t="shared" si="13"/>
        <v>56</v>
      </c>
      <c r="N154">
        <f t="shared" si="14"/>
        <v>940</v>
      </c>
    </row>
    <row r="155" spans="1:14" x14ac:dyDescent="0.25">
      <c r="A155" s="1">
        <v>42080</v>
      </c>
      <c r="B155">
        <f t="shared" si="11"/>
        <v>115</v>
      </c>
      <c r="C155">
        <f t="shared" si="11"/>
        <v>56</v>
      </c>
      <c r="D155">
        <f t="shared" si="11"/>
        <v>940</v>
      </c>
      <c r="E155">
        <v>53</v>
      </c>
      <c r="F155">
        <v>100</v>
      </c>
      <c r="G155">
        <v>64</v>
      </c>
      <c r="H155">
        <f t="shared" si="10"/>
        <v>168</v>
      </c>
      <c r="I155">
        <f t="shared" si="10"/>
        <v>156</v>
      </c>
      <c r="J155">
        <f t="shared" si="10"/>
        <v>1004</v>
      </c>
      <c r="K155" t="str" cm="1">
        <f t="array" ref="K155">_xlfn.IFS(H155&gt;=$U$1,"kostka",I155&gt;=$U$1*$R$3,"orzech",J155&gt;=$U$1*$R$4,"miał",1=1,"NIC")</f>
        <v>miał</v>
      </c>
      <c r="L155">
        <f t="shared" si="12"/>
        <v>168</v>
      </c>
      <c r="M155">
        <f t="shared" si="13"/>
        <v>156</v>
      </c>
      <c r="N155">
        <f t="shared" si="14"/>
        <v>684</v>
      </c>
    </row>
    <row r="156" spans="1:14" x14ac:dyDescent="0.25">
      <c r="A156" s="1">
        <v>42081</v>
      </c>
      <c r="B156">
        <f t="shared" si="11"/>
        <v>168</v>
      </c>
      <c r="C156">
        <f t="shared" si="11"/>
        <v>156</v>
      </c>
      <c r="D156">
        <f t="shared" si="11"/>
        <v>684</v>
      </c>
      <c r="E156">
        <v>168</v>
      </c>
      <c r="F156">
        <v>64</v>
      </c>
      <c r="G156">
        <v>46</v>
      </c>
      <c r="H156">
        <f t="shared" si="10"/>
        <v>336</v>
      </c>
      <c r="I156">
        <f t="shared" si="10"/>
        <v>220</v>
      </c>
      <c r="J156">
        <f t="shared" si="10"/>
        <v>730</v>
      </c>
      <c r="K156" t="str" cm="1">
        <f t="array" ref="K156">_xlfn.IFS(H156&gt;=$U$1,"kostka",I156&gt;=$U$1*$R$3,"orzech",J156&gt;=$U$1*$R$4,"miał",1=1,"NIC")</f>
        <v>kostka</v>
      </c>
      <c r="L156">
        <f t="shared" si="12"/>
        <v>136</v>
      </c>
      <c r="M156">
        <f t="shared" si="13"/>
        <v>220</v>
      </c>
      <c r="N156">
        <f t="shared" si="14"/>
        <v>730</v>
      </c>
    </row>
    <row r="157" spans="1:14" x14ac:dyDescent="0.25">
      <c r="A157" s="1">
        <v>42082</v>
      </c>
      <c r="B157">
        <f t="shared" si="11"/>
        <v>136</v>
      </c>
      <c r="C157">
        <f t="shared" si="11"/>
        <v>220</v>
      </c>
      <c r="D157">
        <f t="shared" si="11"/>
        <v>730</v>
      </c>
      <c r="E157">
        <v>77</v>
      </c>
      <c r="F157">
        <v>60</v>
      </c>
      <c r="G157">
        <v>35</v>
      </c>
      <c r="H157">
        <f t="shared" si="10"/>
        <v>213</v>
      </c>
      <c r="I157">
        <f t="shared" si="10"/>
        <v>280</v>
      </c>
      <c r="J157">
        <f t="shared" si="10"/>
        <v>765</v>
      </c>
      <c r="K157" t="str" cm="1">
        <f t="array" ref="K157">_xlfn.IFS(H157&gt;=$U$1,"kostka",I157&gt;=$U$1*$R$3,"orzech",J157&gt;=$U$1*$R$4,"miał",1=1,"NIC")</f>
        <v>kostka</v>
      </c>
      <c r="L157">
        <f t="shared" si="12"/>
        <v>13</v>
      </c>
      <c r="M157">
        <f t="shared" si="13"/>
        <v>280</v>
      </c>
      <c r="N157">
        <f t="shared" si="14"/>
        <v>765</v>
      </c>
    </row>
    <row r="158" spans="1:14" x14ac:dyDescent="0.25">
      <c r="A158" s="1">
        <v>42083</v>
      </c>
      <c r="B158">
        <f t="shared" si="11"/>
        <v>13</v>
      </c>
      <c r="C158">
        <f t="shared" si="11"/>
        <v>280</v>
      </c>
      <c r="D158">
        <f t="shared" si="11"/>
        <v>765</v>
      </c>
      <c r="E158">
        <v>17</v>
      </c>
      <c r="F158">
        <v>80</v>
      </c>
      <c r="G158">
        <v>30</v>
      </c>
      <c r="H158">
        <f t="shared" si="10"/>
        <v>30</v>
      </c>
      <c r="I158">
        <f t="shared" si="10"/>
        <v>360</v>
      </c>
      <c r="J158">
        <f t="shared" si="10"/>
        <v>795</v>
      </c>
      <c r="K158" t="str" cm="1">
        <f t="array" ref="K158">_xlfn.IFS(H158&gt;=$U$1,"kostka",I158&gt;=$U$1*$R$3,"orzech",J158&gt;=$U$1*$R$4,"miał",1=1,"NIC")</f>
        <v>orzech</v>
      </c>
      <c r="L158">
        <f t="shared" si="12"/>
        <v>30</v>
      </c>
      <c r="M158">
        <f t="shared" si="13"/>
        <v>100</v>
      </c>
      <c r="N158">
        <f t="shared" si="14"/>
        <v>795</v>
      </c>
    </row>
    <row r="159" spans="1:14" x14ac:dyDescent="0.25">
      <c r="A159" s="1">
        <v>42084</v>
      </c>
      <c r="B159">
        <f t="shared" si="11"/>
        <v>30</v>
      </c>
      <c r="C159">
        <f t="shared" si="11"/>
        <v>100</v>
      </c>
      <c r="D159">
        <f t="shared" si="11"/>
        <v>795</v>
      </c>
      <c r="E159">
        <v>175</v>
      </c>
      <c r="F159">
        <v>47</v>
      </c>
      <c r="G159">
        <v>25</v>
      </c>
      <c r="H159">
        <f t="shared" si="10"/>
        <v>205</v>
      </c>
      <c r="I159">
        <f t="shared" si="10"/>
        <v>147</v>
      </c>
      <c r="J159">
        <f t="shared" si="10"/>
        <v>820</v>
      </c>
      <c r="K159" t="str" cm="1">
        <f t="array" ref="K159">_xlfn.IFS(H159&gt;=$U$1,"kostka",I159&gt;=$U$1*$R$3,"orzech",J159&gt;=$U$1*$R$4,"miał",1=1,"NIC")</f>
        <v>kostka</v>
      </c>
      <c r="L159">
        <f t="shared" si="12"/>
        <v>5</v>
      </c>
      <c r="M159">
        <f t="shared" si="13"/>
        <v>147</v>
      </c>
      <c r="N159">
        <f t="shared" si="14"/>
        <v>820</v>
      </c>
    </row>
    <row r="160" spans="1:14" x14ac:dyDescent="0.25">
      <c r="A160" s="1">
        <v>42085</v>
      </c>
      <c r="B160">
        <f t="shared" si="11"/>
        <v>5</v>
      </c>
      <c r="C160">
        <f t="shared" si="11"/>
        <v>147</v>
      </c>
      <c r="D160">
        <f t="shared" si="11"/>
        <v>820</v>
      </c>
      <c r="E160">
        <v>164</v>
      </c>
      <c r="F160">
        <v>60</v>
      </c>
      <c r="G160">
        <v>22</v>
      </c>
      <c r="H160">
        <f t="shared" si="10"/>
        <v>169</v>
      </c>
      <c r="I160">
        <f t="shared" si="10"/>
        <v>207</v>
      </c>
      <c r="J160">
        <f t="shared" si="10"/>
        <v>842</v>
      </c>
      <c r="K160" t="str" cm="1">
        <f t="array" ref="K160">_xlfn.IFS(H160&gt;=$U$1,"kostka",I160&gt;=$U$1*$R$3,"orzech",J160&gt;=$U$1*$R$4,"miał",1=1,"NIC")</f>
        <v>miał</v>
      </c>
      <c r="L160">
        <f t="shared" si="12"/>
        <v>169</v>
      </c>
      <c r="M160">
        <f t="shared" si="13"/>
        <v>207</v>
      </c>
      <c r="N160">
        <f t="shared" si="14"/>
        <v>522</v>
      </c>
    </row>
    <row r="161" spans="1:14" x14ac:dyDescent="0.25">
      <c r="A161" s="1">
        <v>42086</v>
      </c>
      <c r="B161">
        <f t="shared" si="11"/>
        <v>169</v>
      </c>
      <c r="C161">
        <f t="shared" si="11"/>
        <v>207</v>
      </c>
      <c r="D161">
        <f t="shared" si="11"/>
        <v>522</v>
      </c>
      <c r="E161">
        <v>199</v>
      </c>
      <c r="F161">
        <v>80</v>
      </c>
      <c r="G161">
        <v>45</v>
      </c>
      <c r="H161">
        <f t="shared" si="10"/>
        <v>368</v>
      </c>
      <c r="I161">
        <f t="shared" si="10"/>
        <v>287</v>
      </c>
      <c r="J161">
        <f t="shared" si="10"/>
        <v>567</v>
      </c>
      <c r="K161" t="str" cm="1">
        <f t="array" ref="K161">_xlfn.IFS(H161&gt;=$U$1,"kostka",I161&gt;=$U$1*$R$3,"orzech",J161&gt;=$U$1*$R$4,"miał",1=1,"NIC")</f>
        <v>kostka</v>
      </c>
      <c r="L161">
        <f t="shared" si="12"/>
        <v>168</v>
      </c>
      <c r="M161">
        <f t="shared" si="13"/>
        <v>287</v>
      </c>
      <c r="N161">
        <f t="shared" si="14"/>
        <v>567</v>
      </c>
    </row>
    <row r="162" spans="1:14" x14ac:dyDescent="0.25">
      <c r="A162" s="1">
        <v>42087</v>
      </c>
      <c r="B162">
        <f t="shared" si="11"/>
        <v>168</v>
      </c>
      <c r="C162">
        <f t="shared" si="11"/>
        <v>287</v>
      </c>
      <c r="D162">
        <f t="shared" si="11"/>
        <v>567</v>
      </c>
      <c r="E162">
        <v>111</v>
      </c>
      <c r="F162">
        <v>92</v>
      </c>
      <c r="G162">
        <v>45</v>
      </c>
      <c r="H162">
        <f t="shared" si="10"/>
        <v>279</v>
      </c>
      <c r="I162">
        <f t="shared" si="10"/>
        <v>379</v>
      </c>
      <c r="J162">
        <f t="shared" si="10"/>
        <v>612</v>
      </c>
      <c r="K162" t="str" cm="1">
        <f t="array" ref="K162">_xlfn.IFS(H162&gt;=$U$1,"kostka",I162&gt;=$U$1*$R$3,"orzech",J162&gt;=$U$1*$R$4,"miał",1=1,"NIC")</f>
        <v>kostka</v>
      </c>
      <c r="L162">
        <f t="shared" si="12"/>
        <v>79</v>
      </c>
      <c r="M162">
        <f t="shared" si="13"/>
        <v>379</v>
      </c>
      <c r="N162">
        <f t="shared" si="14"/>
        <v>612</v>
      </c>
    </row>
    <row r="163" spans="1:14" x14ac:dyDescent="0.25">
      <c r="A163" s="1">
        <v>42088</v>
      </c>
      <c r="B163">
        <f t="shared" si="11"/>
        <v>79</v>
      </c>
      <c r="C163">
        <f t="shared" si="11"/>
        <v>379</v>
      </c>
      <c r="D163">
        <f t="shared" si="11"/>
        <v>612</v>
      </c>
      <c r="E163">
        <v>58</v>
      </c>
      <c r="F163">
        <v>90</v>
      </c>
      <c r="G163">
        <v>40</v>
      </c>
      <c r="H163">
        <f t="shared" si="10"/>
        <v>137</v>
      </c>
      <c r="I163">
        <f t="shared" si="10"/>
        <v>469</v>
      </c>
      <c r="J163">
        <f t="shared" si="10"/>
        <v>652</v>
      </c>
      <c r="K163" t="str" cm="1">
        <f t="array" ref="K163">_xlfn.IFS(H163&gt;=$U$1,"kostka",I163&gt;=$U$1*$R$3,"orzech",J163&gt;=$U$1*$R$4,"miał",1=1,"NIC")</f>
        <v>orzech</v>
      </c>
      <c r="L163">
        <f t="shared" si="12"/>
        <v>137</v>
      </c>
      <c r="M163">
        <f t="shared" si="13"/>
        <v>209</v>
      </c>
      <c r="N163">
        <f t="shared" si="14"/>
        <v>652</v>
      </c>
    </row>
    <row r="164" spans="1:14" x14ac:dyDescent="0.25">
      <c r="A164" s="1">
        <v>42089</v>
      </c>
      <c r="B164">
        <f t="shared" si="11"/>
        <v>137</v>
      </c>
      <c r="C164">
        <f t="shared" si="11"/>
        <v>209</v>
      </c>
      <c r="D164">
        <f t="shared" si="11"/>
        <v>652</v>
      </c>
      <c r="E164">
        <v>59</v>
      </c>
      <c r="F164">
        <v>164</v>
      </c>
      <c r="G164">
        <v>47</v>
      </c>
      <c r="H164">
        <f t="shared" si="10"/>
        <v>196</v>
      </c>
      <c r="I164">
        <f t="shared" si="10"/>
        <v>373</v>
      </c>
      <c r="J164">
        <f t="shared" si="10"/>
        <v>699</v>
      </c>
      <c r="K164" t="str" cm="1">
        <f t="array" ref="K164">_xlfn.IFS(H164&gt;=$U$1,"kostka",I164&gt;=$U$1*$R$3,"orzech",J164&gt;=$U$1*$R$4,"miał",1=1,"NIC")</f>
        <v>orzech</v>
      </c>
      <c r="L164">
        <f t="shared" si="12"/>
        <v>196</v>
      </c>
      <c r="M164">
        <f t="shared" si="13"/>
        <v>113</v>
      </c>
      <c r="N164">
        <f t="shared" si="14"/>
        <v>699</v>
      </c>
    </row>
    <row r="165" spans="1:14" x14ac:dyDescent="0.25">
      <c r="A165" s="1">
        <v>42090</v>
      </c>
      <c r="B165">
        <f t="shared" si="11"/>
        <v>196</v>
      </c>
      <c r="C165">
        <f t="shared" si="11"/>
        <v>113</v>
      </c>
      <c r="D165">
        <f t="shared" si="11"/>
        <v>699</v>
      </c>
      <c r="E165">
        <v>158</v>
      </c>
      <c r="F165">
        <v>120</v>
      </c>
      <c r="G165">
        <v>30</v>
      </c>
      <c r="H165">
        <f t="shared" si="10"/>
        <v>354</v>
      </c>
      <c r="I165">
        <f t="shared" si="10"/>
        <v>233</v>
      </c>
      <c r="J165">
        <f t="shared" si="10"/>
        <v>729</v>
      </c>
      <c r="K165" t="str" cm="1">
        <f t="array" ref="K165">_xlfn.IFS(H165&gt;=$U$1,"kostka",I165&gt;=$U$1*$R$3,"orzech",J165&gt;=$U$1*$R$4,"miał",1=1,"NIC")</f>
        <v>kostka</v>
      </c>
      <c r="L165">
        <f t="shared" si="12"/>
        <v>154</v>
      </c>
      <c r="M165">
        <f t="shared" si="13"/>
        <v>233</v>
      </c>
      <c r="N165">
        <f t="shared" si="14"/>
        <v>729</v>
      </c>
    </row>
    <row r="166" spans="1:14" x14ac:dyDescent="0.25">
      <c r="A166" s="1">
        <v>42091</v>
      </c>
      <c r="B166">
        <f t="shared" si="11"/>
        <v>154</v>
      </c>
      <c r="C166">
        <f t="shared" si="11"/>
        <v>233</v>
      </c>
      <c r="D166">
        <f t="shared" si="11"/>
        <v>729</v>
      </c>
      <c r="E166">
        <v>84</v>
      </c>
      <c r="F166">
        <v>90</v>
      </c>
      <c r="G166">
        <v>30</v>
      </c>
      <c r="H166">
        <f t="shared" si="10"/>
        <v>238</v>
      </c>
      <c r="I166">
        <f t="shared" si="10"/>
        <v>323</v>
      </c>
      <c r="J166">
        <f t="shared" si="10"/>
        <v>759</v>
      </c>
      <c r="K166" t="str" cm="1">
        <f t="array" ref="K166">_xlfn.IFS(H166&gt;=$U$1,"kostka",I166&gt;=$U$1*$R$3,"orzech",J166&gt;=$U$1*$R$4,"miał",1=1,"NIC")</f>
        <v>kostka</v>
      </c>
      <c r="L166">
        <f t="shared" si="12"/>
        <v>38</v>
      </c>
      <c r="M166">
        <f t="shared" si="13"/>
        <v>323</v>
      </c>
      <c r="N166">
        <f t="shared" si="14"/>
        <v>759</v>
      </c>
    </row>
    <row r="167" spans="1:14" x14ac:dyDescent="0.25">
      <c r="A167" s="1">
        <v>42092</v>
      </c>
      <c r="B167">
        <f t="shared" si="11"/>
        <v>38</v>
      </c>
      <c r="C167">
        <f t="shared" si="11"/>
        <v>323</v>
      </c>
      <c r="D167">
        <f t="shared" si="11"/>
        <v>759</v>
      </c>
      <c r="E167">
        <v>64</v>
      </c>
      <c r="F167">
        <v>61</v>
      </c>
      <c r="G167">
        <v>60</v>
      </c>
      <c r="H167">
        <f t="shared" si="10"/>
        <v>102</v>
      </c>
      <c r="I167">
        <f t="shared" si="10"/>
        <v>384</v>
      </c>
      <c r="J167">
        <f t="shared" si="10"/>
        <v>819</v>
      </c>
      <c r="K167" t="str" cm="1">
        <f t="array" ref="K167">_xlfn.IFS(H167&gt;=$U$1,"kostka",I167&gt;=$U$1*$R$3,"orzech",J167&gt;=$U$1*$R$4,"miał",1=1,"NIC")</f>
        <v>orzech</v>
      </c>
      <c r="L167">
        <f t="shared" si="12"/>
        <v>102</v>
      </c>
      <c r="M167">
        <f t="shared" si="13"/>
        <v>124</v>
      </c>
      <c r="N167">
        <f t="shared" si="14"/>
        <v>819</v>
      </c>
    </row>
    <row r="168" spans="1:14" x14ac:dyDescent="0.25">
      <c r="A168" s="1">
        <v>42093</v>
      </c>
      <c r="B168">
        <f t="shared" si="11"/>
        <v>102</v>
      </c>
      <c r="C168">
        <f t="shared" si="11"/>
        <v>124</v>
      </c>
      <c r="D168">
        <f t="shared" si="11"/>
        <v>819</v>
      </c>
      <c r="E168">
        <v>125</v>
      </c>
      <c r="F168">
        <v>84</v>
      </c>
      <c r="G168">
        <v>40</v>
      </c>
      <c r="H168">
        <f t="shared" si="10"/>
        <v>227</v>
      </c>
      <c r="I168">
        <f t="shared" si="10"/>
        <v>208</v>
      </c>
      <c r="J168">
        <f t="shared" si="10"/>
        <v>859</v>
      </c>
      <c r="K168" t="str" cm="1">
        <f t="array" ref="K168">_xlfn.IFS(H168&gt;=$U$1,"kostka",I168&gt;=$U$1*$R$3,"orzech",J168&gt;=$U$1*$R$4,"miał",1=1,"NIC")</f>
        <v>kostka</v>
      </c>
      <c r="L168">
        <f t="shared" si="12"/>
        <v>27</v>
      </c>
      <c r="M168">
        <f t="shared" si="13"/>
        <v>208</v>
      </c>
      <c r="N168">
        <f t="shared" si="14"/>
        <v>859</v>
      </c>
    </row>
    <row r="169" spans="1:14" x14ac:dyDescent="0.25">
      <c r="A169" s="1">
        <v>42094</v>
      </c>
      <c r="B169">
        <f t="shared" si="11"/>
        <v>27</v>
      </c>
      <c r="C169">
        <f t="shared" si="11"/>
        <v>208</v>
      </c>
      <c r="D169">
        <f t="shared" si="11"/>
        <v>859</v>
      </c>
      <c r="E169">
        <v>148</v>
      </c>
      <c r="F169">
        <v>110</v>
      </c>
      <c r="G169">
        <v>50</v>
      </c>
      <c r="H169">
        <f t="shared" si="10"/>
        <v>175</v>
      </c>
      <c r="I169">
        <f t="shared" si="10"/>
        <v>318</v>
      </c>
      <c r="J169">
        <f t="shared" si="10"/>
        <v>909</v>
      </c>
      <c r="K169" t="str" cm="1">
        <f t="array" ref="K169">_xlfn.IFS(H169&gt;=$U$1,"kostka",I169&gt;=$U$1*$R$3,"orzech",J169&gt;=$U$1*$R$4,"miał",1=1,"NIC")</f>
        <v>orzech</v>
      </c>
      <c r="L169">
        <f t="shared" si="12"/>
        <v>175</v>
      </c>
      <c r="M169">
        <f t="shared" si="13"/>
        <v>58</v>
      </c>
      <c r="N169">
        <f t="shared" si="14"/>
        <v>909</v>
      </c>
    </row>
    <row r="170" spans="1:14" x14ac:dyDescent="0.25">
      <c r="A170" s="1">
        <v>42095</v>
      </c>
      <c r="B170">
        <f t="shared" si="11"/>
        <v>175</v>
      </c>
      <c r="C170">
        <f t="shared" si="11"/>
        <v>58</v>
      </c>
      <c r="D170">
        <f t="shared" si="11"/>
        <v>909</v>
      </c>
      <c r="E170">
        <v>172</v>
      </c>
      <c r="F170">
        <v>100</v>
      </c>
      <c r="G170">
        <v>30</v>
      </c>
      <c r="H170">
        <f t="shared" si="10"/>
        <v>347</v>
      </c>
      <c r="I170">
        <f t="shared" si="10"/>
        <v>158</v>
      </c>
      <c r="J170">
        <f t="shared" si="10"/>
        <v>939</v>
      </c>
      <c r="K170" t="str" cm="1">
        <f t="array" ref="K170">_xlfn.IFS(H170&gt;=$U$1,"kostka",I170&gt;=$U$1*$R$3,"orzech",J170&gt;=$U$1*$R$4,"miał",1=1,"NIC")</f>
        <v>kostka</v>
      </c>
      <c r="L170">
        <f t="shared" si="12"/>
        <v>147</v>
      </c>
      <c r="M170">
        <f t="shared" si="13"/>
        <v>158</v>
      </c>
      <c r="N170">
        <f t="shared" si="14"/>
        <v>939</v>
      </c>
    </row>
    <row r="171" spans="1:14" x14ac:dyDescent="0.25">
      <c r="A171" s="1">
        <v>42096</v>
      </c>
      <c r="B171">
        <f t="shared" si="11"/>
        <v>147</v>
      </c>
      <c r="C171">
        <f t="shared" si="11"/>
        <v>158</v>
      </c>
      <c r="D171">
        <f t="shared" si="11"/>
        <v>939</v>
      </c>
      <c r="E171">
        <v>103</v>
      </c>
      <c r="F171">
        <v>60</v>
      </c>
      <c r="G171">
        <v>40</v>
      </c>
      <c r="H171">
        <f t="shared" si="10"/>
        <v>250</v>
      </c>
      <c r="I171">
        <f t="shared" si="10"/>
        <v>218</v>
      </c>
      <c r="J171">
        <f t="shared" si="10"/>
        <v>979</v>
      </c>
      <c r="K171" t="str" cm="1">
        <f t="array" ref="K171">_xlfn.IFS(H171&gt;=$U$1,"kostka",I171&gt;=$U$1*$R$3,"orzech",J171&gt;=$U$1*$R$4,"miał",1=1,"NIC")</f>
        <v>kostka</v>
      </c>
      <c r="L171">
        <f t="shared" si="12"/>
        <v>50</v>
      </c>
      <c r="M171">
        <f t="shared" si="13"/>
        <v>218</v>
      </c>
      <c r="N171">
        <f t="shared" si="14"/>
        <v>979</v>
      </c>
    </row>
    <row r="172" spans="1:14" x14ac:dyDescent="0.25">
      <c r="A172" s="1">
        <v>42097</v>
      </c>
      <c r="B172">
        <f t="shared" si="11"/>
        <v>50</v>
      </c>
      <c r="C172">
        <f t="shared" si="11"/>
        <v>218</v>
      </c>
      <c r="D172">
        <f t="shared" si="11"/>
        <v>979</v>
      </c>
      <c r="E172">
        <v>191</v>
      </c>
      <c r="F172">
        <v>41</v>
      </c>
      <c r="G172">
        <v>52</v>
      </c>
      <c r="H172">
        <f t="shared" si="10"/>
        <v>241</v>
      </c>
      <c r="I172">
        <f t="shared" si="10"/>
        <v>259</v>
      </c>
      <c r="J172">
        <f t="shared" si="10"/>
        <v>1031</v>
      </c>
      <c r="K172" t="str" cm="1">
        <f t="array" ref="K172">_xlfn.IFS(H172&gt;=$U$1,"kostka",I172&gt;=$U$1*$R$3,"orzech",J172&gt;=$U$1*$R$4,"miał",1=1,"NIC")</f>
        <v>kostka</v>
      </c>
      <c r="L172">
        <f t="shared" si="12"/>
        <v>41</v>
      </c>
      <c r="M172">
        <f t="shared" si="13"/>
        <v>259</v>
      </c>
      <c r="N172">
        <f t="shared" si="14"/>
        <v>1031</v>
      </c>
    </row>
    <row r="173" spans="1:14" x14ac:dyDescent="0.25">
      <c r="A173" s="1">
        <v>42098</v>
      </c>
      <c r="B173">
        <f t="shared" si="11"/>
        <v>41</v>
      </c>
      <c r="C173">
        <f t="shared" si="11"/>
        <v>259</v>
      </c>
      <c r="D173">
        <f t="shared" si="11"/>
        <v>1031</v>
      </c>
      <c r="E173">
        <v>128</v>
      </c>
      <c r="F173">
        <v>98</v>
      </c>
      <c r="G173">
        <v>40</v>
      </c>
      <c r="H173">
        <f t="shared" si="10"/>
        <v>169</v>
      </c>
      <c r="I173">
        <f t="shared" si="10"/>
        <v>357</v>
      </c>
      <c r="J173">
        <f t="shared" si="10"/>
        <v>1071</v>
      </c>
      <c r="K173" t="str" cm="1">
        <f t="array" ref="K173">_xlfn.IFS(H173&gt;=$U$1,"kostka",I173&gt;=$U$1*$R$3,"orzech",J173&gt;=$U$1*$R$4,"miał",1=1,"NIC")</f>
        <v>orzech</v>
      </c>
      <c r="L173">
        <f t="shared" si="12"/>
        <v>169</v>
      </c>
      <c r="M173">
        <f t="shared" si="13"/>
        <v>97</v>
      </c>
      <c r="N173">
        <f t="shared" si="14"/>
        <v>1071</v>
      </c>
    </row>
    <row r="174" spans="1:14" x14ac:dyDescent="0.25">
      <c r="A174" s="1">
        <v>42099</v>
      </c>
      <c r="B174">
        <f t="shared" si="11"/>
        <v>169</v>
      </c>
      <c r="C174">
        <f t="shared" si="11"/>
        <v>97</v>
      </c>
      <c r="D174">
        <f t="shared" si="11"/>
        <v>1071</v>
      </c>
      <c r="E174">
        <v>75</v>
      </c>
      <c r="F174">
        <v>87</v>
      </c>
      <c r="G174">
        <v>47</v>
      </c>
      <c r="H174">
        <f t="shared" si="10"/>
        <v>244</v>
      </c>
      <c r="I174">
        <f t="shared" si="10"/>
        <v>184</v>
      </c>
      <c r="J174">
        <f t="shared" si="10"/>
        <v>1118</v>
      </c>
      <c r="K174" t="str" cm="1">
        <f t="array" ref="K174">_xlfn.IFS(H174&gt;=$U$1,"kostka",I174&gt;=$U$1*$R$3,"orzech",J174&gt;=$U$1*$R$4,"miał",1=1,"NIC")</f>
        <v>kostka</v>
      </c>
      <c r="L174">
        <f t="shared" si="12"/>
        <v>44</v>
      </c>
      <c r="M174">
        <f t="shared" si="13"/>
        <v>184</v>
      </c>
      <c r="N174">
        <f t="shared" si="14"/>
        <v>1118</v>
      </c>
    </row>
    <row r="175" spans="1:14" x14ac:dyDescent="0.25">
      <c r="A175" s="1">
        <v>42100</v>
      </c>
      <c r="B175">
        <f t="shared" si="11"/>
        <v>44</v>
      </c>
      <c r="C175">
        <f t="shared" si="11"/>
        <v>184</v>
      </c>
      <c r="D175">
        <f t="shared" si="11"/>
        <v>1118</v>
      </c>
      <c r="E175">
        <v>38</v>
      </c>
      <c r="F175">
        <v>100</v>
      </c>
      <c r="G175">
        <v>50</v>
      </c>
      <c r="H175">
        <f t="shared" si="10"/>
        <v>82</v>
      </c>
      <c r="I175">
        <f t="shared" si="10"/>
        <v>284</v>
      </c>
      <c r="J175">
        <f t="shared" si="10"/>
        <v>1168</v>
      </c>
      <c r="K175" t="str" cm="1">
        <f t="array" ref="K175">_xlfn.IFS(H175&gt;=$U$1,"kostka",I175&gt;=$U$1*$R$3,"orzech",J175&gt;=$U$1*$R$4,"miał",1=1,"NIC")</f>
        <v>orzech</v>
      </c>
      <c r="L175">
        <f t="shared" si="12"/>
        <v>82</v>
      </c>
      <c r="M175">
        <f t="shared" si="13"/>
        <v>24</v>
      </c>
      <c r="N175">
        <f t="shared" si="14"/>
        <v>1168</v>
      </c>
    </row>
    <row r="176" spans="1:14" x14ac:dyDescent="0.25">
      <c r="A176" s="1">
        <v>42101</v>
      </c>
      <c r="B176">
        <f t="shared" si="11"/>
        <v>82</v>
      </c>
      <c r="C176">
        <f t="shared" si="11"/>
        <v>24</v>
      </c>
      <c r="D176">
        <f t="shared" si="11"/>
        <v>1168</v>
      </c>
      <c r="E176">
        <v>80</v>
      </c>
      <c r="F176">
        <v>40</v>
      </c>
      <c r="G176">
        <v>30</v>
      </c>
      <c r="H176">
        <f t="shared" si="10"/>
        <v>162</v>
      </c>
      <c r="I176">
        <f t="shared" si="10"/>
        <v>64</v>
      </c>
      <c r="J176">
        <f t="shared" si="10"/>
        <v>1198</v>
      </c>
      <c r="K176" t="str" cm="1">
        <f t="array" ref="K176">_xlfn.IFS(H176&gt;=$U$1,"kostka",I176&gt;=$U$1*$R$3,"orzech",J176&gt;=$U$1*$R$4,"miał",1=1,"NIC")</f>
        <v>miał</v>
      </c>
      <c r="L176">
        <f t="shared" si="12"/>
        <v>162</v>
      </c>
      <c r="M176">
        <f t="shared" si="13"/>
        <v>64</v>
      </c>
      <c r="N176">
        <f t="shared" si="14"/>
        <v>878</v>
      </c>
    </row>
    <row r="177" spans="1:14" x14ac:dyDescent="0.25">
      <c r="A177" s="1">
        <v>42102</v>
      </c>
      <c r="B177">
        <f t="shared" si="11"/>
        <v>162</v>
      </c>
      <c r="C177">
        <f t="shared" si="11"/>
        <v>64</v>
      </c>
      <c r="D177">
        <f t="shared" si="11"/>
        <v>878</v>
      </c>
      <c r="E177">
        <v>55</v>
      </c>
      <c r="F177">
        <v>60</v>
      </c>
      <c r="G177">
        <v>50</v>
      </c>
      <c r="H177">
        <f t="shared" si="10"/>
        <v>217</v>
      </c>
      <c r="I177">
        <f t="shared" si="10"/>
        <v>124</v>
      </c>
      <c r="J177">
        <f t="shared" si="10"/>
        <v>928</v>
      </c>
      <c r="K177" t="str" cm="1">
        <f t="array" ref="K177">_xlfn.IFS(H177&gt;=$U$1,"kostka",I177&gt;=$U$1*$R$3,"orzech",J177&gt;=$U$1*$R$4,"miał",1=1,"NIC")</f>
        <v>kostka</v>
      </c>
      <c r="L177">
        <f t="shared" si="12"/>
        <v>17</v>
      </c>
      <c r="M177">
        <f t="shared" si="13"/>
        <v>124</v>
      </c>
      <c r="N177">
        <f t="shared" si="14"/>
        <v>928</v>
      </c>
    </row>
    <row r="178" spans="1:14" x14ac:dyDescent="0.25">
      <c r="A178" s="1">
        <v>42103</v>
      </c>
      <c r="B178">
        <f t="shared" si="11"/>
        <v>17</v>
      </c>
      <c r="C178">
        <f t="shared" si="11"/>
        <v>124</v>
      </c>
      <c r="D178">
        <f t="shared" si="11"/>
        <v>928</v>
      </c>
      <c r="E178">
        <v>10</v>
      </c>
      <c r="F178">
        <v>80</v>
      </c>
      <c r="G178">
        <v>48</v>
      </c>
      <c r="H178">
        <f t="shared" si="10"/>
        <v>27</v>
      </c>
      <c r="I178">
        <f t="shared" si="10"/>
        <v>204</v>
      </c>
      <c r="J178">
        <f t="shared" si="10"/>
        <v>976</v>
      </c>
      <c r="K178" t="str" cm="1">
        <f t="array" ref="K178">_xlfn.IFS(H178&gt;=$U$1,"kostka",I178&gt;=$U$1*$R$3,"orzech",J178&gt;=$U$1*$R$4,"miał",1=1,"NIC")</f>
        <v>miał</v>
      </c>
      <c r="L178">
        <f t="shared" si="12"/>
        <v>27</v>
      </c>
      <c r="M178">
        <f t="shared" si="13"/>
        <v>204</v>
      </c>
      <c r="N178">
        <f t="shared" si="14"/>
        <v>656</v>
      </c>
    </row>
    <row r="179" spans="1:14" x14ac:dyDescent="0.25">
      <c r="A179" s="1">
        <v>42104</v>
      </c>
      <c r="B179">
        <f t="shared" si="11"/>
        <v>27</v>
      </c>
      <c r="C179">
        <f t="shared" si="11"/>
        <v>204</v>
      </c>
      <c r="D179">
        <f t="shared" si="11"/>
        <v>656</v>
      </c>
      <c r="E179">
        <v>95</v>
      </c>
      <c r="F179">
        <v>60</v>
      </c>
      <c r="G179">
        <v>51</v>
      </c>
      <c r="H179">
        <f t="shared" si="10"/>
        <v>122</v>
      </c>
      <c r="I179">
        <f t="shared" si="10"/>
        <v>264</v>
      </c>
      <c r="J179">
        <f t="shared" si="10"/>
        <v>707</v>
      </c>
      <c r="K179" t="str" cm="1">
        <f t="array" ref="K179">_xlfn.IFS(H179&gt;=$U$1,"kostka",I179&gt;=$U$1*$R$3,"orzech",J179&gt;=$U$1*$R$4,"miał",1=1,"NIC")</f>
        <v>orzech</v>
      </c>
      <c r="L179">
        <f t="shared" si="12"/>
        <v>122</v>
      </c>
      <c r="M179">
        <f t="shared" si="13"/>
        <v>4</v>
      </c>
      <c r="N179">
        <f t="shared" si="14"/>
        <v>707</v>
      </c>
    </row>
    <row r="180" spans="1:14" x14ac:dyDescent="0.25">
      <c r="A180" s="1">
        <v>42105</v>
      </c>
      <c r="B180">
        <f t="shared" si="11"/>
        <v>122</v>
      </c>
      <c r="C180">
        <f t="shared" si="11"/>
        <v>4</v>
      </c>
      <c r="D180">
        <f t="shared" si="11"/>
        <v>707</v>
      </c>
      <c r="E180">
        <v>90</v>
      </c>
      <c r="F180">
        <v>100</v>
      </c>
      <c r="G180">
        <v>50</v>
      </c>
      <c r="H180">
        <f t="shared" si="10"/>
        <v>212</v>
      </c>
      <c r="I180">
        <f t="shared" si="10"/>
        <v>104</v>
      </c>
      <c r="J180">
        <f t="shared" si="10"/>
        <v>757</v>
      </c>
      <c r="K180" t="str" cm="1">
        <f t="array" ref="K180">_xlfn.IFS(H180&gt;=$U$1,"kostka",I180&gt;=$U$1*$R$3,"orzech",J180&gt;=$U$1*$R$4,"miał",1=1,"NIC")</f>
        <v>kostka</v>
      </c>
      <c r="L180">
        <f t="shared" si="12"/>
        <v>12</v>
      </c>
      <c r="M180">
        <f t="shared" si="13"/>
        <v>104</v>
      </c>
      <c r="N180">
        <f t="shared" si="14"/>
        <v>757</v>
      </c>
    </row>
    <row r="181" spans="1:14" x14ac:dyDescent="0.25">
      <c r="A181" s="1">
        <v>42106</v>
      </c>
      <c r="B181">
        <f t="shared" si="11"/>
        <v>12</v>
      </c>
      <c r="C181">
        <f t="shared" si="11"/>
        <v>104</v>
      </c>
      <c r="D181">
        <f t="shared" si="11"/>
        <v>757</v>
      </c>
      <c r="E181">
        <v>186</v>
      </c>
      <c r="F181">
        <v>60</v>
      </c>
      <c r="G181">
        <v>92</v>
      </c>
      <c r="H181">
        <f t="shared" si="10"/>
        <v>198</v>
      </c>
      <c r="I181">
        <f t="shared" si="10"/>
        <v>164</v>
      </c>
      <c r="J181">
        <f t="shared" si="10"/>
        <v>849</v>
      </c>
      <c r="K181" t="str" cm="1">
        <f t="array" ref="K181">_xlfn.IFS(H181&gt;=$U$1,"kostka",I181&gt;=$U$1*$R$3,"orzech",J181&gt;=$U$1*$R$4,"miał",1=1,"NIC")</f>
        <v>miał</v>
      </c>
      <c r="L181">
        <f t="shared" si="12"/>
        <v>198</v>
      </c>
      <c r="M181">
        <f t="shared" si="13"/>
        <v>164</v>
      </c>
      <c r="N181">
        <f t="shared" si="14"/>
        <v>529</v>
      </c>
    </row>
    <row r="182" spans="1:14" x14ac:dyDescent="0.25">
      <c r="A182" s="1">
        <v>42107</v>
      </c>
      <c r="B182">
        <f t="shared" si="11"/>
        <v>198</v>
      </c>
      <c r="C182">
        <f t="shared" si="11"/>
        <v>164</v>
      </c>
      <c r="D182">
        <f t="shared" si="11"/>
        <v>529</v>
      </c>
      <c r="E182">
        <v>2</v>
      </c>
      <c r="F182">
        <v>40</v>
      </c>
      <c r="G182">
        <v>50</v>
      </c>
      <c r="H182">
        <f t="shared" si="10"/>
        <v>200</v>
      </c>
      <c r="I182">
        <f t="shared" si="10"/>
        <v>204</v>
      </c>
      <c r="J182">
        <f t="shared" si="10"/>
        <v>579</v>
      </c>
      <c r="K182" t="str" cm="1">
        <f t="array" ref="K182">_xlfn.IFS(H182&gt;=$U$1,"kostka",I182&gt;=$U$1*$R$3,"orzech",J182&gt;=$U$1*$R$4,"miał",1=1,"NIC")</f>
        <v>kostka</v>
      </c>
      <c r="L182">
        <f t="shared" si="12"/>
        <v>0</v>
      </c>
      <c r="M182">
        <f t="shared" si="13"/>
        <v>204</v>
      </c>
      <c r="N182">
        <f t="shared" si="14"/>
        <v>579</v>
      </c>
    </row>
    <row r="183" spans="1:14" x14ac:dyDescent="0.25">
      <c r="A183" s="1">
        <v>42108</v>
      </c>
      <c r="B183">
        <f t="shared" si="11"/>
        <v>0</v>
      </c>
      <c r="C183">
        <f t="shared" si="11"/>
        <v>204</v>
      </c>
      <c r="D183">
        <f t="shared" si="11"/>
        <v>579</v>
      </c>
      <c r="E183">
        <v>136</v>
      </c>
      <c r="F183">
        <v>20</v>
      </c>
      <c r="G183">
        <v>66</v>
      </c>
      <c r="H183">
        <f t="shared" si="10"/>
        <v>136</v>
      </c>
      <c r="I183">
        <f t="shared" si="10"/>
        <v>224</v>
      </c>
      <c r="J183">
        <f t="shared" si="10"/>
        <v>645</v>
      </c>
      <c r="K183" t="str" cm="1">
        <f t="array" ref="K183">_xlfn.IFS(H183&gt;=$U$1,"kostka",I183&gt;=$U$1*$R$3,"orzech",J183&gt;=$U$1*$R$4,"miał",1=1,"NIC")</f>
        <v>miał</v>
      </c>
      <c r="L183">
        <f t="shared" si="12"/>
        <v>136</v>
      </c>
      <c r="M183">
        <f t="shared" si="13"/>
        <v>224</v>
      </c>
      <c r="N183">
        <f t="shared" si="14"/>
        <v>325</v>
      </c>
    </row>
    <row r="184" spans="1:14" x14ac:dyDescent="0.25">
      <c r="A184" s="1">
        <v>42109</v>
      </c>
      <c r="B184">
        <f t="shared" si="11"/>
        <v>136</v>
      </c>
      <c r="C184">
        <f t="shared" si="11"/>
        <v>224</v>
      </c>
      <c r="D184">
        <f t="shared" si="11"/>
        <v>325</v>
      </c>
      <c r="E184">
        <v>4</v>
      </c>
      <c r="F184">
        <v>20</v>
      </c>
      <c r="G184">
        <v>10</v>
      </c>
      <c r="H184">
        <f t="shared" si="10"/>
        <v>140</v>
      </c>
      <c r="I184">
        <f t="shared" si="10"/>
        <v>244</v>
      </c>
      <c r="J184">
        <f t="shared" si="10"/>
        <v>335</v>
      </c>
      <c r="K184" t="str" cm="1">
        <f t="array" ref="K184">_xlfn.IFS(H184&gt;=$U$1,"kostka",I184&gt;=$U$1*$R$3,"orzech",J184&gt;=$U$1*$R$4,"miał",1=1,"NIC")</f>
        <v>miał</v>
      </c>
      <c r="L184">
        <f t="shared" si="12"/>
        <v>140</v>
      </c>
      <c r="M184">
        <f t="shared" si="13"/>
        <v>244</v>
      </c>
      <c r="N184">
        <f t="shared" si="14"/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3A9C-6083-4D86-B360-D6D6086D5CA2}">
  <dimension ref="A1:U184"/>
  <sheetViews>
    <sheetView tabSelected="1" topLeftCell="K22" workbookViewId="0">
      <selection activeCell="T46" sqref="T46"/>
    </sheetView>
  </sheetViews>
  <sheetFormatPr defaultRowHeight="15" x14ac:dyDescent="0.25"/>
  <cols>
    <col min="1" max="1" width="10.140625" bestFit="1" customWidth="1"/>
    <col min="2" max="2" width="16.140625" bestFit="1" customWidth="1"/>
    <col min="3" max="3" width="18" bestFit="1" customWidth="1"/>
    <col min="4" max="4" width="15.85546875" bestFit="1" customWidth="1"/>
    <col min="5" max="5" width="17" bestFit="1" customWidth="1"/>
    <col min="6" max="6" width="18.85546875" bestFit="1" customWidth="1"/>
    <col min="7" max="7" width="16.7109375" bestFit="1" customWidth="1"/>
    <col min="8" max="8" width="23.85546875" bestFit="1" customWidth="1"/>
    <col min="9" max="9" width="25.7109375" bestFit="1" customWidth="1"/>
    <col min="10" max="10" width="23.5703125" bestFit="1" customWidth="1"/>
    <col min="11" max="11" width="12.42578125" bestFit="1" customWidth="1"/>
    <col min="12" max="12" width="22.42578125" bestFit="1" customWidth="1"/>
    <col min="13" max="13" width="24" bestFit="1" customWidth="1"/>
    <col min="14" max="14" width="22.140625" bestFit="1" customWidth="1"/>
    <col min="16" max="16" width="14.28515625" bestFit="1" customWidth="1"/>
    <col min="17" max="17" width="26.7109375" bestFit="1" customWidth="1"/>
    <col min="18" max="18" width="26.85546875" bestFit="1" customWidth="1"/>
    <col min="19" max="19" width="24.7109375" bestFit="1" customWidth="1"/>
    <col min="20" max="20" width="16.7109375" bestFit="1" customWidth="1"/>
    <col min="21" max="21" width="4" bestFit="1" customWidth="1"/>
  </cols>
  <sheetData>
    <row r="1" spans="1:21" x14ac:dyDescent="0.25">
      <c r="A1" t="s">
        <v>5</v>
      </c>
      <c r="B1" t="s">
        <v>8</v>
      </c>
      <c r="C1" t="s">
        <v>9</v>
      </c>
      <c r="D1" t="s">
        <v>10</v>
      </c>
      <c r="E1" t="s">
        <v>18</v>
      </c>
      <c r="F1" t="s">
        <v>19</v>
      </c>
      <c r="G1" t="s">
        <v>20</v>
      </c>
      <c r="H1" t="s">
        <v>12</v>
      </c>
      <c r="I1" t="s">
        <v>13</v>
      </c>
      <c r="J1" t="s">
        <v>14</v>
      </c>
      <c r="K1" t="s">
        <v>11</v>
      </c>
      <c r="L1" t="s">
        <v>15</v>
      </c>
      <c r="M1" t="s">
        <v>16</v>
      </c>
      <c r="N1" t="s">
        <v>17</v>
      </c>
      <c r="P1" t="s">
        <v>2</v>
      </c>
      <c r="Q1" t="s">
        <v>3</v>
      </c>
      <c r="R1" t="s">
        <v>7</v>
      </c>
      <c r="T1" t="s">
        <v>6</v>
      </c>
      <c r="U1">
        <v>200</v>
      </c>
    </row>
    <row r="2" spans="1:21" x14ac:dyDescent="0.25">
      <c r="A2" s="1">
        <v>41927</v>
      </c>
      <c r="B2">
        <v>80</v>
      </c>
      <c r="C2">
        <v>80</v>
      </c>
      <c r="D2">
        <v>80</v>
      </c>
      <c r="E2">
        <v>200</v>
      </c>
      <c r="F2">
        <v>120</v>
      </c>
      <c r="G2">
        <v>81</v>
      </c>
      <c r="H2">
        <f>B2+E2</f>
        <v>280</v>
      </c>
      <c r="I2">
        <f>C2+F2</f>
        <v>200</v>
      </c>
      <c r="J2">
        <f>D2+G2</f>
        <v>161</v>
      </c>
      <c r="K2" t="str" cm="1">
        <f t="array" ref="K2">_xlfn.IFS(H2&gt;=$U$1,"kostka",I2&gt;=$U$1*$R$3,"orzech",J2&gt;=$U$1*$R$4,"miał",1=1,"NIC")</f>
        <v>kostka</v>
      </c>
      <c r="L2">
        <f>IF($K2="kostka",H2-$U$1,H2)</f>
        <v>80</v>
      </c>
      <c r="M2">
        <f>IF($K2="orzech",I2-$U$1*$R$3,I2)</f>
        <v>200</v>
      </c>
      <c r="N2">
        <f>IF($K2="miał",J2-$U$1*$R$4,J2)</f>
        <v>161</v>
      </c>
      <c r="P2" t="s">
        <v>0</v>
      </c>
      <c r="Q2">
        <v>685</v>
      </c>
      <c r="R2">
        <v>1</v>
      </c>
    </row>
    <row r="3" spans="1:21" x14ac:dyDescent="0.25">
      <c r="A3" s="1">
        <v>41928</v>
      </c>
      <c r="B3">
        <f>L2</f>
        <v>80</v>
      </c>
      <c r="C3">
        <f>M2</f>
        <v>200</v>
      </c>
      <c r="D3">
        <f>N2</f>
        <v>161</v>
      </c>
      <c r="E3">
        <v>100</v>
      </c>
      <c r="F3">
        <v>135</v>
      </c>
      <c r="G3">
        <v>33</v>
      </c>
      <c r="H3">
        <f t="shared" ref="H3:J66" si="0">B3+E3</f>
        <v>180</v>
      </c>
      <c r="I3">
        <f t="shared" si="0"/>
        <v>335</v>
      </c>
      <c r="J3">
        <f t="shared" si="0"/>
        <v>194</v>
      </c>
      <c r="K3" t="str" cm="1">
        <f t="array" ref="K3">_xlfn.IFS(H3&gt;=$U$1,"kostka",I3&gt;=$U$1*$R$3,"orzech",J3&gt;=$U$1*$R$4,"miał",1=1,"NIC")</f>
        <v>orzech</v>
      </c>
      <c r="L3">
        <f>IF($K3="kostka",H3-$U$1,H3)</f>
        <v>180</v>
      </c>
      <c r="M3">
        <f>IF($K3="orzech",I3-$U$1*$R$3,I3)</f>
        <v>75</v>
      </c>
      <c r="N3">
        <f>IF($K3="miał",J3-$U$1*$R$4,J3)</f>
        <v>194</v>
      </c>
      <c r="P3" t="s">
        <v>1</v>
      </c>
      <c r="Q3">
        <v>620</v>
      </c>
      <c r="R3">
        <v>1.3</v>
      </c>
    </row>
    <row r="4" spans="1:21" x14ac:dyDescent="0.25">
      <c r="A4" s="1">
        <v>41929</v>
      </c>
      <c r="B4">
        <f t="shared" ref="B4:D67" si="1">L3</f>
        <v>180</v>
      </c>
      <c r="C4">
        <f t="shared" si="1"/>
        <v>75</v>
      </c>
      <c r="D4">
        <f t="shared" si="1"/>
        <v>194</v>
      </c>
      <c r="E4">
        <v>50</v>
      </c>
      <c r="F4">
        <v>29</v>
      </c>
      <c r="G4">
        <v>85</v>
      </c>
      <c r="H4">
        <f t="shared" si="0"/>
        <v>230</v>
      </c>
      <c r="I4">
        <f t="shared" si="0"/>
        <v>104</v>
      </c>
      <c r="J4">
        <f t="shared" si="0"/>
        <v>279</v>
      </c>
      <c r="K4" t="str" cm="1">
        <f t="array" ref="K4">_xlfn.IFS(H4&gt;=$U$1,"kostka",I4&gt;=$U$1*$R$3,"orzech",J4&gt;=$U$1*$R$4,"miał",1=1,"NIC")</f>
        <v>kostka</v>
      </c>
      <c r="L4">
        <f t="shared" ref="L4:L67" si="2">IF($K4="kostka",H4-$U$1,H4)</f>
        <v>30</v>
      </c>
      <c r="M4">
        <f t="shared" ref="M4:M67" si="3">IF($K4="orzech",I4-$U$1*$R$3,I4)</f>
        <v>104</v>
      </c>
      <c r="N4">
        <f t="shared" ref="N4:N67" si="4">IF($K4="miał",J4-$U$1*$R$4,J4)</f>
        <v>279</v>
      </c>
      <c r="P4" t="s">
        <v>4</v>
      </c>
      <c r="Q4">
        <v>380</v>
      </c>
      <c r="R4">
        <v>1.6</v>
      </c>
    </row>
    <row r="5" spans="1:21" x14ac:dyDescent="0.25">
      <c r="A5" s="1">
        <v>41930</v>
      </c>
      <c r="B5">
        <f t="shared" si="1"/>
        <v>30</v>
      </c>
      <c r="C5">
        <f t="shared" si="1"/>
        <v>104</v>
      </c>
      <c r="D5">
        <f t="shared" si="1"/>
        <v>279</v>
      </c>
      <c r="E5">
        <v>68</v>
      </c>
      <c r="F5">
        <v>107</v>
      </c>
      <c r="G5">
        <v>84</v>
      </c>
      <c r="H5">
        <f t="shared" si="0"/>
        <v>98</v>
      </c>
      <c r="I5">
        <f t="shared" si="0"/>
        <v>211</v>
      </c>
      <c r="J5">
        <f t="shared" si="0"/>
        <v>363</v>
      </c>
      <c r="K5" t="str" cm="1">
        <f t="array" ref="K5">_xlfn.IFS(H5&gt;=$U$1,"kostka",I5&gt;=$U$1*$R$3,"orzech",J5&gt;=$U$1*$R$4,"miał",1=1,"NIC")</f>
        <v>miał</v>
      </c>
      <c r="L5">
        <f t="shared" si="2"/>
        <v>98</v>
      </c>
      <c r="M5">
        <f t="shared" si="3"/>
        <v>211</v>
      </c>
      <c r="N5">
        <f t="shared" si="4"/>
        <v>43</v>
      </c>
    </row>
    <row r="6" spans="1:21" x14ac:dyDescent="0.25">
      <c r="A6" s="1">
        <v>41931</v>
      </c>
      <c r="B6">
        <f t="shared" si="1"/>
        <v>98</v>
      </c>
      <c r="C6">
        <f t="shared" si="1"/>
        <v>211</v>
      </c>
      <c r="D6">
        <f t="shared" si="1"/>
        <v>43</v>
      </c>
      <c r="E6">
        <v>75</v>
      </c>
      <c r="F6">
        <v>49</v>
      </c>
      <c r="G6">
        <v>23</v>
      </c>
      <c r="H6">
        <f t="shared" si="0"/>
        <v>173</v>
      </c>
      <c r="I6">
        <f t="shared" si="0"/>
        <v>260</v>
      </c>
      <c r="J6">
        <f t="shared" si="0"/>
        <v>66</v>
      </c>
      <c r="K6" t="str" cm="1">
        <f t="array" ref="K6">_xlfn.IFS(H6&gt;=$U$1,"kostka",I6&gt;=$U$1*$R$3,"orzech",J6&gt;=$U$1*$R$4,"miał",1=1,"NIC")</f>
        <v>orzech</v>
      </c>
      <c r="L6">
        <f t="shared" si="2"/>
        <v>173</v>
      </c>
      <c r="M6">
        <f t="shared" si="3"/>
        <v>0</v>
      </c>
      <c r="N6">
        <f t="shared" si="4"/>
        <v>66</v>
      </c>
    </row>
    <row r="7" spans="1:21" x14ac:dyDescent="0.25">
      <c r="A7" s="1">
        <v>41932</v>
      </c>
      <c r="B7">
        <f t="shared" si="1"/>
        <v>173</v>
      </c>
      <c r="C7">
        <f t="shared" si="1"/>
        <v>0</v>
      </c>
      <c r="D7">
        <f t="shared" si="1"/>
        <v>66</v>
      </c>
      <c r="E7">
        <v>109</v>
      </c>
      <c r="F7">
        <v>90</v>
      </c>
      <c r="G7">
        <v>48</v>
      </c>
      <c r="H7">
        <f t="shared" si="0"/>
        <v>282</v>
      </c>
      <c r="I7">
        <f t="shared" si="0"/>
        <v>90</v>
      </c>
      <c r="J7">
        <f t="shared" si="0"/>
        <v>114</v>
      </c>
      <c r="K7" t="str" cm="1">
        <f t="array" ref="K7">_xlfn.IFS(H7&gt;=$U$1,"kostka",I7&gt;=$U$1*$R$3,"orzech",J7&gt;=$U$1*$R$4,"miał",1=1,"NIC")</f>
        <v>kostka</v>
      </c>
      <c r="L7">
        <f t="shared" si="2"/>
        <v>82</v>
      </c>
      <c r="M7">
        <f t="shared" si="3"/>
        <v>90</v>
      </c>
      <c r="N7">
        <f t="shared" si="4"/>
        <v>114</v>
      </c>
    </row>
    <row r="8" spans="1:21" x14ac:dyDescent="0.25">
      <c r="A8" s="1">
        <v>41933</v>
      </c>
      <c r="B8">
        <f t="shared" si="1"/>
        <v>82</v>
      </c>
      <c r="C8">
        <f t="shared" si="1"/>
        <v>90</v>
      </c>
      <c r="D8">
        <f t="shared" si="1"/>
        <v>114</v>
      </c>
      <c r="E8">
        <v>161</v>
      </c>
      <c r="F8">
        <v>2</v>
      </c>
      <c r="G8">
        <v>16</v>
      </c>
      <c r="H8">
        <f t="shared" si="0"/>
        <v>243</v>
      </c>
      <c r="I8">
        <f t="shared" si="0"/>
        <v>92</v>
      </c>
      <c r="J8">
        <f t="shared" si="0"/>
        <v>130</v>
      </c>
      <c r="K8" t="str" cm="1">
        <f t="array" ref="K8">_xlfn.IFS(H8&gt;=$U$1,"kostka",I8&gt;=$U$1*$R$3,"orzech",J8&gt;=$U$1*$R$4,"miał",1=1,"NIC")</f>
        <v>kostka</v>
      </c>
      <c r="L8">
        <f t="shared" si="2"/>
        <v>43</v>
      </c>
      <c r="M8">
        <f t="shared" si="3"/>
        <v>92</v>
      </c>
      <c r="N8">
        <f t="shared" si="4"/>
        <v>130</v>
      </c>
      <c r="P8" s="5" t="s">
        <v>29</v>
      </c>
      <c r="Q8" s="5" t="s">
        <v>30</v>
      </c>
      <c r="R8" s="5" t="s">
        <v>31</v>
      </c>
      <c r="S8" s="5" t="s">
        <v>32</v>
      </c>
    </row>
    <row r="9" spans="1:21" x14ac:dyDescent="0.25">
      <c r="A9" s="1">
        <v>41934</v>
      </c>
      <c r="B9">
        <f t="shared" si="1"/>
        <v>43</v>
      </c>
      <c r="C9">
        <f t="shared" si="1"/>
        <v>92</v>
      </c>
      <c r="D9">
        <f t="shared" si="1"/>
        <v>130</v>
      </c>
      <c r="E9">
        <v>97</v>
      </c>
      <c r="F9">
        <v>129</v>
      </c>
      <c r="G9">
        <v>43</v>
      </c>
      <c r="H9">
        <f t="shared" si="0"/>
        <v>140</v>
      </c>
      <c r="I9">
        <f t="shared" si="0"/>
        <v>221</v>
      </c>
      <c r="J9">
        <f t="shared" si="0"/>
        <v>173</v>
      </c>
      <c r="K9" t="str" cm="1">
        <f t="array" ref="K9">_xlfn.IFS(H9&gt;=$U$1,"kostka",I9&gt;=$U$1*$R$3,"orzech",J9&gt;=$U$1*$R$4,"miał",1=1,"NIC")</f>
        <v>NIC</v>
      </c>
      <c r="L9">
        <f t="shared" si="2"/>
        <v>140</v>
      </c>
      <c r="M9">
        <f t="shared" si="3"/>
        <v>221</v>
      </c>
      <c r="N9">
        <f t="shared" si="4"/>
        <v>173</v>
      </c>
      <c r="P9" s="6" t="s">
        <v>22</v>
      </c>
      <c r="Q9" s="14">
        <v>2990</v>
      </c>
      <c r="R9" s="14">
        <v>2870</v>
      </c>
      <c r="S9" s="14">
        <v>1646</v>
      </c>
    </row>
    <row r="10" spans="1:21" x14ac:dyDescent="0.25">
      <c r="A10" s="1">
        <v>41935</v>
      </c>
      <c r="B10">
        <f t="shared" si="1"/>
        <v>140</v>
      </c>
      <c r="C10">
        <f t="shared" si="1"/>
        <v>221</v>
      </c>
      <c r="D10">
        <f t="shared" si="1"/>
        <v>173</v>
      </c>
      <c r="E10">
        <v>25</v>
      </c>
      <c r="F10">
        <v>186</v>
      </c>
      <c r="G10">
        <v>4</v>
      </c>
      <c r="H10">
        <f t="shared" si="0"/>
        <v>165</v>
      </c>
      <c r="I10">
        <f t="shared" si="0"/>
        <v>407</v>
      </c>
      <c r="J10">
        <f t="shared" si="0"/>
        <v>177</v>
      </c>
      <c r="K10" t="str" cm="1">
        <f t="array" ref="K10">_xlfn.IFS(H10&gt;=$U$1,"kostka",I10&gt;=$U$1*$R$3,"orzech",J10&gt;=$U$1*$R$4,"miał",1=1,"NIC")</f>
        <v>orzech</v>
      </c>
      <c r="L10">
        <f t="shared" si="2"/>
        <v>165</v>
      </c>
      <c r="M10">
        <f t="shared" si="3"/>
        <v>147</v>
      </c>
      <c r="N10">
        <f t="shared" si="4"/>
        <v>177</v>
      </c>
      <c r="P10" s="6" t="s">
        <v>23</v>
      </c>
      <c r="Q10" s="14">
        <v>2579</v>
      </c>
      <c r="R10" s="14">
        <v>2651</v>
      </c>
      <c r="S10" s="14">
        <v>1252</v>
      </c>
    </row>
    <row r="11" spans="1:21" x14ac:dyDescent="0.25">
      <c r="A11" s="1">
        <v>41936</v>
      </c>
      <c r="B11">
        <f t="shared" si="1"/>
        <v>165</v>
      </c>
      <c r="C11">
        <f t="shared" si="1"/>
        <v>147</v>
      </c>
      <c r="D11">
        <f t="shared" si="1"/>
        <v>177</v>
      </c>
      <c r="E11">
        <v>113</v>
      </c>
      <c r="F11">
        <v>97</v>
      </c>
      <c r="G11">
        <v>97</v>
      </c>
      <c r="H11">
        <f t="shared" si="0"/>
        <v>278</v>
      </c>
      <c r="I11">
        <f t="shared" si="0"/>
        <v>244</v>
      </c>
      <c r="J11">
        <f t="shared" si="0"/>
        <v>274</v>
      </c>
      <c r="K11" t="str" cm="1">
        <f t="array" ref="K11">_xlfn.IFS(H11&gt;=$U$1,"kostka",I11&gt;=$U$1*$R$3,"orzech",J11&gt;=$U$1*$R$4,"miał",1=1,"NIC")</f>
        <v>kostka</v>
      </c>
      <c r="L11">
        <f t="shared" si="2"/>
        <v>78</v>
      </c>
      <c r="M11">
        <f t="shared" si="3"/>
        <v>244</v>
      </c>
      <c r="N11">
        <f t="shared" si="4"/>
        <v>274</v>
      </c>
      <c r="P11" s="6" t="s">
        <v>24</v>
      </c>
      <c r="Q11" s="14">
        <v>3332</v>
      </c>
      <c r="R11" s="14">
        <v>3026</v>
      </c>
      <c r="S11" s="14">
        <v>1360</v>
      </c>
    </row>
    <row r="12" spans="1:21" x14ac:dyDescent="0.25">
      <c r="A12" s="1">
        <v>41937</v>
      </c>
      <c r="B12">
        <f t="shared" si="1"/>
        <v>78</v>
      </c>
      <c r="C12">
        <f t="shared" si="1"/>
        <v>244</v>
      </c>
      <c r="D12">
        <f t="shared" si="1"/>
        <v>274</v>
      </c>
      <c r="E12">
        <v>70</v>
      </c>
      <c r="F12">
        <v>12</v>
      </c>
      <c r="G12">
        <v>53</v>
      </c>
      <c r="H12">
        <f t="shared" si="0"/>
        <v>148</v>
      </c>
      <c r="I12">
        <f t="shared" si="0"/>
        <v>256</v>
      </c>
      <c r="J12">
        <f t="shared" si="0"/>
        <v>327</v>
      </c>
      <c r="K12" t="str" cm="1">
        <f t="array" ref="K12">_xlfn.IFS(H12&gt;=$U$1,"kostka",I12&gt;=$U$1*$R$3,"orzech",J12&gt;=$U$1*$R$4,"miał",1=1,"NIC")</f>
        <v>miał</v>
      </c>
      <c r="L12">
        <f t="shared" si="2"/>
        <v>148</v>
      </c>
      <c r="M12">
        <f t="shared" si="3"/>
        <v>256</v>
      </c>
      <c r="N12">
        <f t="shared" si="4"/>
        <v>7</v>
      </c>
      <c r="P12" s="6" t="s">
        <v>25</v>
      </c>
      <c r="Q12" s="14">
        <v>1365</v>
      </c>
      <c r="R12" s="14">
        <v>966</v>
      </c>
      <c r="S12" s="14">
        <v>706</v>
      </c>
    </row>
    <row r="13" spans="1:21" x14ac:dyDescent="0.25">
      <c r="A13" s="1">
        <v>41938</v>
      </c>
      <c r="B13">
        <f t="shared" si="1"/>
        <v>148</v>
      </c>
      <c r="C13">
        <f t="shared" si="1"/>
        <v>256</v>
      </c>
      <c r="D13">
        <f t="shared" si="1"/>
        <v>7</v>
      </c>
      <c r="E13">
        <v>117</v>
      </c>
      <c r="F13">
        <v>142</v>
      </c>
      <c r="G13">
        <v>90</v>
      </c>
      <c r="H13">
        <f t="shared" si="0"/>
        <v>265</v>
      </c>
      <c r="I13">
        <f t="shared" si="0"/>
        <v>398</v>
      </c>
      <c r="J13">
        <f t="shared" si="0"/>
        <v>97</v>
      </c>
      <c r="K13" t="str" cm="1">
        <f t="array" ref="K13">_xlfn.IFS(H13&gt;=$U$1,"kostka",I13&gt;=$U$1*$R$3,"orzech",J13&gt;=$U$1*$R$4,"miał",1=1,"NIC")</f>
        <v>kostka</v>
      </c>
      <c r="L13">
        <f t="shared" si="2"/>
        <v>65</v>
      </c>
      <c r="M13">
        <f t="shared" si="3"/>
        <v>398</v>
      </c>
      <c r="N13">
        <f t="shared" si="4"/>
        <v>97</v>
      </c>
      <c r="P13" s="6" t="s">
        <v>26</v>
      </c>
      <c r="Q13" s="14">
        <v>1742</v>
      </c>
      <c r="R13" s="14">
        <v>1658</v>
      </c>
      <c r="S13" s="14">
        <v>915</v>
      </c>
    </row>
    <row r="14" spans="1:21" x14ac:dyDescent="0.25">
      <c r="A14" s="1">
        <v>41939</v>
      </c>
      <c r="B14">
        <f t="shared" si="1"/>
        <v>65</v>
      </c>
      <c r="C14">
        <f t="shared" si="1"/>
        <v>398</v>
      </c>
      <c r="D14">
        <f t="shared" si="1"/>
        <v>97</v>
      </c>
      <c r="E14">
        <v>189</v>
      </c>
      <c r="F14">
        <v>28</v>
      </c>
      <c r="G14">
        <v>43</v>
      </c>
      <c r="H14">
        <f t="shared" si="0"/>
        <v>254</v>
      </c>
      <c r="I14">
        <f t="shared" si="0"/>
        <v>426</v>
      </c>
      <c r="J14">
        <f t="shared" si="0"/>
        <v>140</v>
      </c>
      <c r="K14" t="str" cm="1">
        <f t="array" ref="K14">_xlfn.IFS(H14&gt;=$U$1,"kostka",I14&gt;=$U$1*$R$3,"orzech",J14&gt;=$U$1*$R$4,"miał",1=1,"NIC")</f>
        <v>kostka</v>
      </c>
      <c r="L14">
        <f t="shared" si="2"/>
        <v>54</v>
      </c>
      <c r="M14">
        <f t="shared" si="3"/>
        <v>426</v>
      </c>
      <c r="N14">
        <f t="shared" si="4"/>
        <v>140</v>
      </c>
      <c r="P14" s="6" t="s">
        <v>27</v>
      </c>
      <c r="Q14" s="14">
        <v>2756</v>
      </c>
      <c r="R14" s="14">
        <v>2884</v>
      </c>
      <c r="S14" s="14">
        <v>1750</v>
      </c>
    </row>
    <row r="15" spans="1:21" x14ac:dyDescent="0.25">
      <c r="A15" s="1">
        <v>41940</v>
      </c>
      <c r="B15">
        <f t="shared" si="1"/>
        <v>54</v>
      </c>
      <c r="C15">
        <f t="shared" si="1"/>
        <v>426</v>
      </c>
      <c r="D15">
        <f t="shared" si="1"/>
        <v>140</v>
      </c>
      <c r="E15">
        <v>140</v>
      </c>
      <c r="F15">
        <v>191</v>
      </c>
      <c r="G15">
        <v>40</v>
      </c>
      <c r="H15">
        <f t="shared" si="0"/>
        <v>194</v>
      </c>
      <c r="I15">
        <f t="shared" si="0"/>
        <v>617</v>
      </c>
      <c r="J15">
        <f t="shared" si="0"/>
        <v>180</v>
      </c>
      <c r="K15" t="str" cm="1">
        <f t="array" ref="K15">_xlfn.IFS(H15&gt;=$U$1,"kostka",I15&gt;=$U$1*$R$3,"orzech",J15&gt;=$U$1*$R$4,"miał",1=1,"NIC")</f>
        <v>orzech</v>
      </c>
      <c r="L15">
        <f t="shared" si="2"/>
        <v>194</v>
      </c>
      <c r="M15">
        <f t="shared" si="3"/>
        <v>357</v>
      </c>
      <c r="N15">
        <f t="shared" si="4"/>
        <v>180</v>
      </c>
      <c r="P15" s="6" t="s">
        <v>28</v>
      </c>
      <c r="Q15" s="14">
        <v>2696</v>
      </c>
      <c r="R15" s="14">
        <v>2749</v>
      </c>
      <c r="S15" s="14">
        <v>1586</v>
      </c>
    </row>
    <row r="16" spans="1:21" x14ac:dyDescent="0.25">
      <c r="A16" s="1">
        <v>41941</v>
      </c>
      <c r="B16">
        <f t="shared" si="1"/>
        <v>194</v>
      </c>
      <c r="C16">
        <f t="shared" si="1"/>
        <v>357</v>
      </c>
      <c r="D16">
        <f t="shared" si="1"/>
        <v>180</v>
      </c>
      <c r="E16">
        <v>167</v>
      </c>
      <c r="F16">
        <v>48</v>
      </c>
      <c r="G16">
        <v>30</v>
      </c>
      <c r="H16">
        <f t="shared" si="0"/>
        <v>361</v>
      </c>
      <c r="I16">
        <f t="shared" si="0"/>
        <v>405</v>
      </c>
      <c r="J16">
        <f t="shared" si="0"/>
        <v>210</v>
      </c>
      <c r="K16" t="str" cm="1">
        <f t="array" ref="K16">_xlfn.IFS(H16&gt;=$U$1,"kostka",I16&gt;=$U$1*$R$3,"orzech",J16&gt;=$U$1*$R$4,"miał",1=1,"NIC")</f>
        <v>kostka</v>
      </c>
      <c r="L16">
        <f t="shared" si="2"/>
        <v>161</v>
      </c>
      <c r="M16">
        <f t="shared" si="3"/>
        <v>405</v>
      </c>
      <c r="N16">
        <f t="shared" si="4"/>
        <v>210</v>
      </c>
      <c r="P16" s="2" t="s">
        <v>21</v>
      </c>
      <c r="Q16" s="9">
        <v>17460</v>
      </c>
      <c r="R16" s="9">
        <v>16804</v>
      </c>
      <c r="S16" s="9">
        <v>9215</v>
      </c>
    </row>
    <row r="17" spans="1:19" x14ac:dyDescent="0.25">
      <c r="A17" s="1">
        <v>41942</v>
      </c>
      <c r="B17">
        <f t="shared" si="1"/>
        <v>161</v>
      </c>
      <c r="C17">
        <f t="shared" si="1"/>
        <v>405</v>
      </c>
      <c r="D17">
        <f t="shared" si="1"/>
        <v>210</v>
      </c>
      <c r="E17">
        <v>0</v>
      </c>
      <c r="F17">
        <v>154</v>
      </c>
      <c r="G17">
        <v>68</v>
      </c>
      <c r="H17">
        <f t="shared" si="0"/>
        <v>161</v>
      </c>
      <c r="I17">
        <f t="shared" si="0"/>
        <v>559</v>
      </c>
      <c r="J17">
        <f t="shared" si="0"/>
        <v>278</v>
      </c>
      <c r="K17" t="str" cm="1">
        <f t="array" ref="K17">_xlfn.IFS(H17&gt;=$U$1,"kostka",I17&gt;=$U$1*$R$3,"orzech",J17&gt;=$U$1*$R$4,"miał",1=1,"NIC")</f>
        <v>orzech</v>
      </c>
      <c r="L17">
        <f t="shared" si="2"/>
        <v>161</v>
      </c>
      <c r="M17">
        <f t="shared" si="3"/>
        <v>299</v>
      </c>
      <c r="N17">
        <f t="shared" si="4"/>
        <v>278</v>
      </c>
      <c r="P17" s="13" t="s">
        <v>29</v>
      </c>
      <c r="Q17" s="13" t="s">
        <v>30</v>
      </c>
      <c r="R17" s="13" t="s">
        <v>31</v>
      </c>
      <c r="S17" s="13" t="s">
        <v>32</v>
      </c>
    </row>
    <row r="18" spans="1:19" x14ac:dyDescent="0.25">
      <c r="A18" s="1">
        <v>41943</v>
      </c>
      <c r="B18">
        <f t="shared" si="1"/>
        <v>161</v>
      </c>
      <c r="C18">
        <f t="shared" si="1"/>
        <v>299</v>
      </c>
      <c r="D18">
        <f t="shared" si="1"/>
        <v>278</v>
      </c>
      <c r="E18">
        <v>61</v>
      </c>
      <c r="F18">
        <v>139</v>
      </c>
      <c r="G18">
        <v>77</v>
      </c>
      <c r="H18">
        <f t="shared" si="0"/>
        <v>222</v>
      </c>
      <c r="I18">
        <f t="shared" si="0"/>
        <v>438</v>
      </c>
      <c r="J18">
        <f t="shared" si="0"/>
        <v>355</v>
      </c>
      <c r="K18" t="str" cm="1">
        <f t="array" ref="K18">_xlfn.IFS(H18&gt;=$U$1,"kostka",I18&gt;=$U$1*$R$3,"orzech",J18&gt;=$U$1*$R$4,"miał",1=1,"NIC")</f>
        <v>kostka</v>
      </c>
      <c r="L18">
        <f t="shared" si="2"/>
        <v>22</v>
      </c>
      <c r="M18">
        <f t="shared" si="3"/>
        <v>438</v>
      </c>
      <c r="N18">
        <f t="shared" si="4"/>
        <v>355</v>
      </c>
      <c r="P18" s="4" t="s">
        <v>26</v>
      </c>
      <c r="Q18" s="11">
        <v>1742</v>
      </c>
      <c r="R18" s="11">
        <v>1658</v>
      </c>
      <c r="S18" s="11">
        <v>915</v>
      </c>
    </row>
    <row r="19" spans="1:19" x14ac:dyDescent="0.25">
      <c r="A19" s="1">
        <v>41944</v>
      </c>
      <c r="B19">
        <f t="shared" si="1"/>
        <v>22</v>
      </c>
      <c r="C19">
        <f t="shared" si="1"/>
        <v>438</v>
      </c>
      <c r="D19">
        <f t="shared" si="1"/>
        <v>355</v>
      </c>
      <c r="E19">
        <v>18</v>
      </c>
      <c r="F19">
        <v>163</v>
      </c>
      <c r="G19">
        <v>75</v>
      </c>
      <c r="H19">
        <f t="shared" si="0"/>
        <v>40</v>
      </c>
      <c r="I19">
        <f t="shared" si="0"/>
        <v>601</v>
      </c>
      <c r="J19">
        <f t="shared" si="0"/>
        <v>430</v>
      </c>
      <c r="K19" t="str" cm="1">
        <f t="array" ref="K19">_xlfn.IFS(H19&gt;=$U$1,"kostka",I19&gt;=$U$1*$R$3,"orzech",J19&gt;=$U$1*$R$4,"miał",1=1,"NIC")</f>
        <v>orzech</v>
      </c>
      <c r="L19">
        <f t="shared" si="2"/>
        <v>40</v>
      </c>
      <c r="M19">
        <f t="shared" si="3"/>
        <v>341</v>
      </c>
      <c r="N19">
        <f t="shared" si="4"/>
        <v>430</v>
      </c>
      <c r="P19" s="4" t="s">
        <v>27</v>
      </c>
      <c r="Q19" s="11">
        <v>2756</v>
      </c>
      <c r="R19" s="11">
        <v>2884</v>
      </c>
      <c r="S19" s="11">
        <v>1750</v>
      </c>
    </row>
    <row r="20" spans="1:19" x14ac:dyDescent="0.25">
      <c r="A20" s="1">
        <v>41945</v>
      </c>
      <c r="B20">
        <f t="shared" si="1"/>
        <v>40</v>
      </c>
      <c r="C20">
        <f t="shared" si="1"/>
        <v>341</v>
      </c>
      <c r="D20">
        <f t="shared" si="1"/>
        <v>430</v>
      </c>
      <c r="E20">
        <v>43</v>
      </c>
      <c r="F20">
        <v>169</v>
      </c>
      <c r="G20">
        <v>0</v>
      </c>
      <c r="H20">
        <f t="shared" si="0"/>
        <v>83</v>
      </c>
      <c r="I20">
        <f t="shared" si="0"/>
        <v>510</v>
      </c>
      <c r="J20">
        <f t="shared" si="0"/>
        <v>430</v>
      </c>
      <c r="K20" t="str" cm="1">
        <f t="array" ref="K20">_xlfn.IFS(H20&gt;=$U$1,"kostka",I20&gt;=$U$1*$R$3,"orzech",J20&gt;=$U$1*$R$4,"miał",1=1,"NIC")</f>
        <v>orzech</v>
      </c>
      <c r="L20">
        <f t="shared" si="2"/>
        <v>83</v>
      </c>
      <c r="M20">
        <f t="shared" si="3"/>
        <v>250</v>
      </c>
      <c r="N20">
        <f t="shared" si="4"/>
        <v>430</v>
      </c>
      <c r="P20" s="4" t="s">
        <v>28</v>
      </c>
      <c r="Q20" s="11">
        <v>2696</v>
      </c>
      <c r="R20" s="11">
        <v>2749</v>
      </c>
      <c r="S20" s="11">
        <v>1586</v>
      </c>
    </row>
    <row r="21" spans="1:19" x14ac:dyDescent="0.25">
      <c r="A21" s="1">
        <v>41946</v>
      </c>
      <c r="B21">
        <f t="shared" si="1"/>
        <v>83</v>
      </c>
      <c r="C21">
        <f t="shared" si="1"/>
        <v>250</v>
      </c>
      <c r="D21">
        <f t="shared" si="1"/>
        <v>430</v>
      </c>
      <c r="E21">
        <v>160</v>
      </c>
      <c r="F21">
        <v>135</v>
      </c>
      <c r="G21">
        <v>34</v>
      </c>
      <c r="H21">
        <f t="shared" si="0"/>
        <v>243</v>
      </c>
      <c r="I21">
        <f t="shared" si="0"/>
        <v>385</v>
      </c>
      <c r="J21">
        <f t="shared" si="0"/>
        <v>464</v>
      </c>
      <c r="K21" t="str" cm="1">
        <f t="array" ref="K21">_xlfn.IFS(H21&gt;=$U$1,"kostka",I21&gt;=$U$1*$R$3,"orzech",J21&gt;=$U$1*$R$4,"miał",1=1,"NIC")</f>
        <v>kostka</v>
      </c>
      <c r="L21">
        <f t="shared" si="2"/>
        <v>43</v>
      </c>
      <c r="M21">
        <f t="shared" si="3"/>
        <v>385</v>
      </c>
      <c r="N21">
        <f t="shared" si="4"/>
        <v>464</v>
      </c>
      <c r="P21" s="4" t="s">
        <v>22</v>
      </c>
      <c r="Q21" s="11">
        <v>2990</v>
      </c>
      <c r="R21" s="11">
        <v>2870</v>
      </c>
      <c r="S21" s="11">
        <v>1646</v>
      </c>
    </row>
    <row r="22" spans="1:19" x14ac:dyDescent="0.25">
      <c r="A22" s="1">
        <v>41947</v>
      </c>
      <c r="B22">
        <f t="shared" si="1"/>
        <v>43</v>
      </c>
      <c r="C22">
        <f t="shared" si="1"/>
        <v>385</v>
      </c>
      <c r="D22">
        <f t="shared" si="1"/>
        <v>464</v>
      </c>
      <c r="E22">
        <v>150</v>
      </c>
      <c r="F22">
        <v>89</v>
      </c>
      <c r="G22">
        <v>17</v>
      </c>
      <c r="H22">
        <f t="shared" si="0"/>
        <v>193</v>
      </c>
      <c r="I22">
        <f t="shared" si="0"/>
        <v>474</v>
      </c>
      <c r="J22">
        <f t="shared" si="0"/>
        <v>481</v>
      </c>
      <c r="K22" t="str" cm="1">
        <f t="array" ref="K22">_xlfn.IFS(H22&gt;=$U$1,"kostka",I22&gt;=$U$1*$R$3,"orzech",J22&gt;=$U$1*$R$4,"miał",1=1,"NIC")</f>
        <v>orzech</v>
      </c>
      <c r="L22">
        <f t="shared" si="2"/>
        <v>193</v>
      </c>
      <c r="M22">
        <f t="shared" si="3"/>
        <v>214</v>
      </c>
      <c r="N22">
        <f t="shared" si="4"/>
        <v>481</v>
      </c>
      <c r="P22" s="4" t="s">
        <v>23</v>
      </c>
      <c r="Q22" s="11">
        <v>2579</v>
      </c>
      <c r="R22" s="11">
        <v>2651</v>
      </c>
      <c r="S22" s="11">
        <v>1252</v>
      </c>
    </row>
    <row r="23" spans="1:19" x14ac:dyDescent="0.25">
      <c r="A23" s="1">
        <v>41948</v>
      </c>
      <c r="B23">
        <f t="shared" si="1"/>
        <v>193</v>
      </c>
      <c r="C23">
        <f t="shared" si="1"/>
        <v>214</v>
      </c>
      <c r="D23">
        <f t="shared" si="1"/>
        <v>481</v>
      </c>
      <c r="E23">
        <v>57</v>
      </c>
      <c r="F23">
        <v>109</v>
      </c>
      <c r="G23">
        <v>93</v>
      </c>
      <c r="H23">
        <f t="shared" si="0"/>
        <v>250</v>
      </c>
      <c r="I23">
        <f t="shared" si="0"/>
        <v>323</v>
      </c>
      <c r="J23">
        <f t="shared" si="0"/>
        <v>574</v>
      </c>
      <c r="K23" t="str" cm="1">
        <f t="array" ref="K23">_xlfn.IFS(H23&gt;=$U$1,"kostka",I23&gt;=$U$1*$R$3,"orzech",J23&gt;=$U$1*$R$4,"miał",1=1,"NIC")</f>
        <v>kostka</v>
      </c>
      <c r="L23">
        <f t="shared" si="2"/>
        <v>50</v>
      </c>
      <c r="M23">
        <f t="shared" si="3"/>
        <v>323</v>
      </c>
      <c r="N23">
        <f t="shared" si="4"/>
        <v>574</v>
      </c>
      <c r="P23" s="4" t="s">
        <v>24</v>
      </c>
      <c r="Q23" s="11">
        <v>3332</v>
      </c>
      <c r="R23" s="11">
        <v>3026</v>
      </c>
      <c r="S23" s="11">
        <v>1360</v>
      </c>
    </row>
    <row r="24" spans="1:19" x14ac:dyDescent="0.25">
      <c r="A24" s="1">
        <v>41949</v>
      </c>
      <c r="B24">
        <f t="shared" si="1"/>
        <v>50</v>
      </c>
      <c r="C24">
        <f t="shared" si="1"/>
        <v>323</v>
      </c>
      <c r="D24">
        <f t="shared" si="1"/>
        <v>574</v>
      </c>
      <c r="E24">
        <v>62</v>
      </c>
      <c r="F24">
        <v>80</v>
      </c>
      <c r="G24">
        <v>62</v>
      </c>
      <c r="H24">
        <f t="shared" si="0"/>
        <v>112</v>
      </c>
      <c r="I24">
        <f t="shared" si="0"/>
        <v>403</v>
      </c>
      <c r="J24">
        <f t="shared" si="0"/>
        <v>636</v>
      </c>
      <c r="K24" t="str" cm="1">
        <f t="array" ref="K24">_xlfn.IFS(H24&gt;=$U$1,"kostka",I24&gt;=$U$1*$R$3,"orzech",J24&gt;=$U$1*$R$4,"miał",1=1,"NIC")</f>
        <v>orzech</v>
      </c>
      <c r="L24">
        <f t="shared" si="2"/>
        <v>112</v>
      </c>
      <c r="M24">
        <f t="shared" si="3"/>
        <v>143</v>
      </c>
      <c r="N24">
        <f t="shared" si="4"/>
        <v>636</v>
      </c>
      <c r="P24" s="4" t="s">
        <v>25</v>
      </c>
      <c r="Q24" s="11">
        <v>1365</v>
      </c>
      <c r="R24" s="11">
        <v>966</v>
      </c>
      <c r="S24" s="11">
        <v>706</v>
      </c>
    </row>
    <row r="25" spans="1:19" x14ac:dyDescent="0.25">
      <c r="A25" s="1">
        <v>41950</v>
      </c>
      <c r="B25">
        <f t="shared" si="1"/>
        <v>112</v>
      </c>
      <c r="C25">
        <f t="shared" si="1"/>
        <v>143</v>
      </c>
      <c r="D25">
        <f t="shared" si="1"/>
        <v>636</v>
      </c>
      <c r="E25">
        <v>162</v>
      </c>
      <c r="F25">
        <v>62</v>
      </c>
      <c r="G25">
        <v>88</v>
      </c>
      <c r="H25">
        <f t="shared" si="0"/>
        <v>274</v>
      </c>
      <c r="I25">
        <f t="shared" si="0"/>
        <v>205</v>
      </c>
      <c r="J25">
        <f t="shared" si="0"/>
        <v>724</v>
      </c>
      <c r="K25" t="str" cm="1">
        <f t="array" ref="K25">_xlfn.IFS(H25&gt;=$U$1,"kostka",I25&gt;=$U$1*$R$3,"orzech",J25&gt;=$U$1*$R$4,"miał",1=1,"NIC")</f>
        <v>kostka</v>
      </c>
      <c r="L25">
        <f t="shared" si="2"/>
        <v>74</v>
      </c>
      <c r="M25">
        <f t="shared" si="3"/>
        <v>205</v>
      </c>
      <c r="N25">
        <f t="shared" si="4"/>
        <v>724</v>
      </c>
    </row>
    <row r="26" spans="1:19" x14ac:dyDescent="0.25">
      <c r="A26" s="1">
        <v>41951</v>
      </c>
      <c r="B26">
        <f t="shared" si="1"/>
        <v>74</v>
      </c>
      <c r="C26">
        <f t="shared" si="1"/>
        <v>205</v>
      </c>
      <c r="D26">
        <f t="shared" si="1"/>
        <v>724</v>
      </c>
      <c r="E26">
        <v>142</v>
      </c>
      <c r="F26">
        <v>79</v>
      </c>
      <c r="G26">
        <v>76</v>
      </c>
      <c r="H26">
        <f t="shared" si="0"/>
        <v>216</v>
      </c>
      <c r="I26">
        <f t="shared" si="0"/>
        <v>284</v>
      </c>
      <c r="J26">
        <f t="shared" si="0"/>
        <v>800</v>
      </c>
      <c r="K26" t="str" cm="1">
        <f t="array" ref="K26">_xlfn.IFS(H26&gt;=$U$1,"kostka",I26&gt;=$U$1*$R$3,"orzech",J26&gt;=$U$1*$R$4,"miał",1=1,"NIC")</f>
        <v>kostka</v>
      </c>
      <c r="L26">
        <f t="shared" si="2"/>
        <v>16</v>
      </c>
      <c r="M26">
        <f t="shared" si="3"/>
        <v>284</v>
      </c>
      <c r="N26">
        <f t="shared" si="4"/>
        <v>800</v>
      </c>
    </row>
    <row r="27" spans="1:19" x14ac:dyDescent="0.25">
      <c r="A27" s="1">
        <v>41952</v>
      </c>
      <c r="B27">
        <f t="shared" si="1"/>
        <v>16</v>
      </c>
      <c r="C27">
        <f t="shared" si="1"/>
        <v>284</v>
      </c>
      <c r="D27">
        <f t="shared" si="1"/>
        <v>800</v>
      </c>
      <c r="E27">
        <v>7</v>
      </c>
      <c r="F27">
        <v>30</v>
      </c>
      <c r="G27">
        <v>68</v>
      </c>
      <c r="H27">
        <f t="shared" si="0"/>
        <v>23</v>
      </c>
      <c r="I27">
        <f t="shared" si="0"/>
        <v>314</v>
      </c>
      <c r="J27">
        <f t="shared" si="0"/>
        <v>868</v>
      </c>
      <c r="K27" t="str" cm="1">
        <f t="array" ref="K27">_xlfn.IFS(H27&gt;=$U$1,"kostka",I27&gt;=$U$1*$R$3,"orzech",J27&gt;=$U$1*$R$4,"miał",1=1,"NIC")</f>
        <v>orzech</v>
      </c>
      <c r="L27">
        <f t="shared" si="2"/>
        <v>23</v>
      </c>
      <c r="M27">
        <f t="shared" si="3"/>
        <v>54</v>
      </c>
      <c r="N27">
        <f t="shared" si="4"/>
        <v>868</v>
      </c>
    </row>
    <row r="28" spans="1:19" x14ac:dyDescent="0.25">
      <c r="A28" s="1">
        <v>41953</v>
      </c>
      <c r="B28">
        <f t="shared" si="1"/>
        <v>23</v>
      </c>
      <c r="C28">
        <f t="shared" si="1"/>
        <v>54</v>
      </c>
      <c r="D28">
        <f t="shared" si="1"/>
        <v>868</v>
      </c>
      <c r="E28">
        <v>116</v>
      </c>
      <c r="F28">
        <v>6</v>
      </c>
      <c r="G28">
        <v>88</v>
      </c>
      <c r="H28">
        <f t="shared" si="0"/>
        <v>139</v>
      </c>
      <c r="I28">
        <f t="shared" si="0"/>
        <v>60</v>
      </c>
      <c r="J28">
        <f t="shared" si="0"/>
        <v>956</v>
      </c>
      <c r="K28" t="str" cm="1">
        <f t="array" ref="K28">_xlfn.IFS(H28&gt;=$U$1,"kostka",I28&gt;=$U$1*$R$3,"orzech",J28&gt;=$U$1*$R$4,"miał",1=1,"NIC")</f>
        <v>miał</v>
      </c>
      <c r="L28">
        <f t="shared" si="2"/>
        <v>139</v>
      </c>
      <c r="M28">
        <f t="shared" si="3"/>
        <v>60</v>
      </c>
      <c r="N28">
        <f t="shared" si="4"/>
        <v>636</v>
      </c>
    </row>
    <row r="29" spans="1:19" x14ac:dyDescent="0.25">
      <c r="A29" s="1">
        <v>41954</v>
      </c>
      <c r="B29">
        <f t="shared" si="1"/>
        <v>139</v>
      </c>
      <c r="C29">
        <f t="shared" si="1"/>
        <v>60</v>
      </c>
      <c r="D29">
        <f t="shared" si="1"/>
        <v>636</v>
      </c>
      <c r="E29">
        <v>0</v>
      </c>
      <c r="F29">
        <v>1</v>
      </c>
      <c r="G29">
        <v>47</v>
      </c>
      <c r="H29">
        <f t="shared" si="0"/>
        <v>139</v>
      </c>
      <c r="I29">
        <f t="shared" si="0"/>
        <v>61</v>
      </c>
      <c r="J29">
        <f t="shared" si="0"/>
        <v>683</v>
      </c>
      <c r="K29" t="str" cm="1">
        <f t="array" ref="K29">_xlfn.IFS(H29&gt;=$U$1,"kostka",I29&gt;=$U$1*$R$3,"orzech",J29&gt;=$U$1*$R$4,"miał",1=1,"NIC")</f>
        <v>miał</v>
      </c>
      <c r="L29">
        <f t="shared" si="2"/>
        <v>139</v>
      </c>
      <c r="M29">
        <f t="shared" si="3"/>
        <v>61</v>
      </c>
      <c r="N29">
        <f t="shared" si="4"/>
        <v>363</v>
      </c>
    </row>
    <row r="30" spans="1:19" x14ac:dyDescent="0.25">
      <c r="A30" s="1">
        <v>41955</v>
      </c>
      <c r="B30">
        <f t="shared" si="1"/>
        <v>139</v>
      </c>
      <c r="C30">
        <f t="shared" si="1"/>
        <v>61</v>
      </c>
      <c r="D30">
        <f t="shared" si="1"/>
        <v>363</v>
      </c>
      <c r="E30">
        <v>78</v>
      </c>
      <c r="F30">
        <v>84</v>
      </c>
      <c r="G30">
        <v>16</v>
      </c>
      <c r="H30">
        <f t="shared" si="0"/>
        <v>217</v>
      </c>
      <c r="I30">
        <f t="shared" si="0"/>
        <v>145</v>
      </c>
      <c r="J30">
        <f t="shared" si="0"/>
        <v>379</v>
      </c>
      <c r="K30" t="str" cm="1">
        <f t="array" ref="K30">_xlfn.IFS(H30&gt;=$U$1,"kostka",I30&gt;=$U$1*$R$3,"orzech",J30&gt;=$U$1*$R$4,"miał",1=1,"NIC")</f>
        <v>kostka</v>
      </c>
      <c r="L30">
        <f t="shared" si="2"/>
        <v>17</v>
      </c>
      <c r="M30">
        <f t="shared" si="3"/>
        <v>145</v>
      </c>
      <c r="N30">
        <f t="shared" si="4"/>
        <v>379</v>
      </c>
    </row>
    <row r="31" spans="1:19" x14ac:dyDescent="0.25">
      <c r="A31" s="1">
        <v>41956</v>
      </c>
      <c r="B31">
        <f t="shared" si="1"/>
        <v>17</v>
      </c>
      <c r="C31">
        <f t="shared" si="1"/>
        <v>145</v>
      </c>
      <c r="D31">
        <f t="shared" si="1"/>
        <v>379</v>
      </c>
      <c r="E31">
        <v>112</v>
      </c>
      <c r="F31">
        <v>140</v>
      </c>
      <c r="G31">
        <v>97</v>
      </c>
      <c r="H31">
        <f t="shared" si="0"/>
        <v>129</v>
      </c>
      <c r="I31">
        <f t="shared" si="0"/>
        <v>285</v>
      </c>
      <c r="J31">
        <f t="shared" si="0"/>
        <v>476</v>
      </c>
      <c r="K31" t="str" cm="1">
        <f t="array" ref="K31">_xlfn.IFS(H31&gt;=$U$1,"kostka",I31&gt;=$U$1*$R$3,"orzech",J31&gt;=$U$1*$R$4,"miał",1=1,"NIC")</f>
        <v>orzech</v>
      </c>
      <c r="L31">
        <f t="shared" si="2"/>
        <v>129</v>
      </c>
      <c r="M31">
        <f t="shared" si="3"/>
        <v>25</v>
      </c>
      <c r="N31">
        <f t="shared" si="4"/>
        <v>476</v>
      </c>
    </row>
    <row r="32" spans="1:19" x14ac:dyDescent="0.25">
      <c r="A32" s="1">
        <v>41957</v>
      </c>
      <c r="B32">
        <f t="shared" si="1"/>
        <v>129</v>
      </c>
      <c r="C32">
        <f t="shared" si="1"/>
        <v>25</v>
      </c>
      <c r="D32">
        <f t="shared" si="1"/>
        <v>476</v>
      </c>
      <c r="E32">
        <v>109</v>
      </c>
      <c r="F32">
        <v>74</v>
      </c>
      <c r="G32">
        <v>53</v>
      </c>
      <c r="H32">
        <f t="shared" si="0"/>
        <v>238</v>
      </c>
      <c r="I32">
        <f t="shared" si="0"/>
        <v>99</v>
      </c>
      <c r="J32">
        <f t="shared" si="0"/>
        <v>529</v>
      </c>
      <c r="K32" t="str" cm="1">
        <f t="array" ref="K32">_xlfn.IFS(H32&gt;=$U$1,"kostka",I32&gt;=$U$1*$R$3,"orzech",J32&gt;=$U$1*$R$4,"miał",1=1,"NIC")</f>
        <v>kostka</v>
      </c>
      <c r="L32">
        <f t="shared" si="2"/>
        <v>38</v>
      </c>
      <c r="M32">
        <f t="shared" si="3"/>
        <v>99</v>
      </c>
      <c r="N32">
        <f t="shared" si="4"/>
        <v>529</v>
      </c>
    </row>
    <row r="33" spans="1:14" x14ac:dyDescent="0.25">
      <c r="A33" s="1">
        <v>41958</v>
      </c>
      <c r="B33">
        <f t="shared" si="1"/>
        <v>38</v>
      </c>
      <c r="C33">
        <f t="shared" si="1"/>
        <v>99</v>
      </c>
      <c r="D33">
        <f t="shared" si="1"/>
        <v>529</v>
      </c>
      <c r="E33">
        <v>121</v>
      </c>
      <c r="F33">
        <v>77</v>
      </c>
      <c r="G33">
        <v>70</v>
      </c>
      <c r="H33">
        <f t="shared" si="0"/>
        <v>159</v>
      </c>
      <c r="I33">
        <f t="shared" si="0"/>
        <v>176</v>
      </c>
      <c r="J33">
        <f t="shared" si="0"/>
        <v>599</v>
      </c>
      <c r="K33" t="str" cm="1">
        <f t="array" ref="K33">_xlfn.IFS(H33&gt;=$U$1,"kostka",I33&gt;=$U$1*$R$3,"orzech",J33&gt;=$U$1*$R$4,"miał",1=1,"NIC")</f>
        <v>miał</v>
      </c>
      <c r="L33">
        <f t="shared" si="2"/>
        <v>159</v>
      </c>
      <c r="M33">
        <f t="shared" si="3"/>
        <v>176</v>
      </c>
      <c r="N33">
        <f t="shared" si="4"/>
        <v>279</v>
      </c>
    </row>
    <row r="34" spans="1:14" x14ac:dyDescent="0.25">
      <c r="A34" s="1">
        <v>41959</v>
      </c>
      <c r="B34">
        <f t="shared" si="1"/>
        <v>159</v>
      </c>
      <c r="C34">
        <f t="shared" si="1"/>
        <v>176</v>
      </c>
      <c r="D34">
        <f t="shared" si="1"/>
        <v>279</v>
      </c>
      <c r="E34">
        <v>106</v>
      </c>
      <c r="F34">
        <v>89</v>
      </c>
      <c r="G34">
        <v>75</v>
      </c>
      <c r="H34">
        <f t="shared" si="0"/>
        <v>265</v>
      </c>
      <c r="I34">
        <f t="shared" si="0"/>
        <v>265</v>
      </c>
      <c r="J34">
        <f t="shared" si="0"/>
        <v>354</v>
      </c>
      <c r="K34" t="str" cm="1">
        <f t="array" ref="K34">_xlfn.IFS(H34&gt;=$U$1,"kostka",I34&gt;=$U$1*$R$3,"orzech",J34&gt;=$U$1*$R$4,"miał",1=1,"NIC")</f>
        <v>kostka</v>
      </c>
      <c r="L34">
        <f t="shared" si="2"/>
        <v>65</v>
      </c>
      <c r="M34">
        <f t="shared" si="3"/>
        <v>265</v>
      </c>
      <c r="N34">
        <f t="shared" si="4"/>
        <v>354</v>
      </c>
    </row>
    <row r="35" spans="1:14" x14ac:dyDescent="0.25">
      <c r="A35" s="1">
        <v>41960</v>
      </c>
      <c r="B35">
        <f t="shared" si="1"/>
        <v>65</v>
      </c>
      <c r="C35">
        <f t="shared" si="1"/>
        <v>265</v>
      </c>
      <c r="D35">
        <f t="shared" si="1"/>
        <v>354</v>
      </c>
      <c r="E35">
        <v>57</v>
      </c>
      <c r="F35">
        <v>119</v>
      </c>
      <c r="G35">
        <v>64</v>
      </c>
      <c r="H35">
        <f t="shared" si="0"/>
        <v>122</v>
      </c>
      <c r="I35">
        <f t="shared" si="0"/>
        <v>384</v>
      </c>
      <c r="J35">
        <f t="shared" si="0"/>
        <v>418</v>
      </c>
      <c r="K35" t="str" cm="1">
        <f t="array" ref="K35">_xlfn.IFS(H35&gt;=$U$1,"kostka",I35&gt;=$U$1*$R$3,"orzech",J35&gt;=$U$1*$R$4,"miał",1=1,"NIC")</f>
        <v>orzech</v>
      </c>
      <c r="L35">
        <f t="shared" si="2"/>
        <v>122</v>
      </c>
      <c r="M35">
        <f t="shared" si="3"/>
        <v>124</v>
      </c>
      <c r="N35">
        <f t="shared" si="4"/>
        <v>418</v>
      </c>
    </row>
    <row r="36" spans="1:14" x14ac:dyDescent="0.25">
      <c r="A36" s="1">
        <v>41961</v>
      </c>
      <c r="B36">
        <f t="shared" si="1"/>
        <v>122</v>
      </c>
      <c r="C36">
        <f t="shared" si="1"/>
        <v>124</v>
      </c>
      <c r="D36">
        <f t="shared" si="1"/>
        <v>418</v>
      </c>
      <c r="E36">
        <v>26</v>
      </c>
      <c r="F36">
        <v>87</v>
      </c>
      <c r="G36">
        <v>84</v>
      </c>
      <c r="H36">
        <f t="shared" si="0"/>
        <v>148</v>
      </c>
      <c r="I36">
        <f t="shared" si="0"/>
        <v>211</v>
      </c>
      <c r="J36">
        <f t="shared" si="0"/>
        <v>502</v>
      </c>
      <c r="K36" t="str" cm="1">
        <f t="array" ref="K36">_xlfn.IFS(H36&gt;=$U$1,"kostka",I36&gt;=$U$1*$R$3,"orzech",J36&gt;=$U$1*$R$4,"miał",1=1,"NIC")</f>
        <v>miał</v>
      </c>
      <c r="L36">
        <f t="shared" si="2"/>
        <v>148</v>
      </c>
      <c r="M36">
        <f t="shared" si="3"/>
        <v>211</v>
      </c>
      <c r="N36">
        <f t="shared" si="4"/>
        <v>182</v>
      </c>
    </row>
    <row r="37" spans="1:14" x14ac:dyDescent="0.25">
      <c r="A37" s="1">
        <v>41962</v>
      </c>
      <c r="B37">
        <f t="shared" si="1"/>
        <v>148</v>
      </c>
      <c r="C37">
        <f t="shared" si="1"/>
        <v>211</v>
      </c>
      <c r="D37">
        <f t="shared" si="1"/>
        <v>182</v>
      </c>
      <c r="E37">
        <v>79</v>
      </c>
      <c r="F37">
        <v>171</v>
      </c>
      <c r="G37">
        <v>75</v>
      </c>
      <c r="H37">
        <f t="shared" si="0"/>
        <v>227</v>
      </c>
      <c r="I37">
        <f t="shared" si="0"/>
        <v>382</v>
      </c>
      <c r="J37">
        <f t="shared" si="0"/>
        <v>257</v>
      </c>
      <c r="K37" t="str" cm="1">
        <f t="array" ref="K37">_xlfn.IFS(H37&gt;=$U$1,"kostka",I37&gt;=$U$1*$R$3,"orzech",J37&gt;=$U$1*$R$4,"miał",1=1,"NIC")</f>
        <v>kostka</v>
      </c>
      <c r="L37">
        <f t="shared" si="2"/>
        <v>27</v>
      </c>
      <c r="M37">
        <f t="shared" si="3"/>
        <v>382</v>
      </c>
      <c r="N37">
        <f t="shared" si="4"/>
        <v>257</v>
      </c>
    </row>
    <row r="38" spans="1:14" x14ac:dyDescent="0.25">
      <c r="A38" s="1">
        <v>41963</v>
      </c>
      <c r="B38">
        <f t="shared" si="1"/>
        <v>27</v>
      </c>
      <c r="C38">
        <f t="shared" si="1"/>
        <v>382</v>
      </c>
      <c r="D38">
        <f t="shared" si="1"/>
        <v>257</v>
      </c>
      <c r="E38">
        <v>192</v>
      </c>
      <c r="F38">
        <v>151</v>
      </c>
      <c r="G38">
        <v>45</v>
      </c>
      <c r="H38">
        <f t="shared" si="0"/>
        <v>219</v>
      </c>
      <c r="I38">
        <f t="shared" si="0"/>
        <v>533</v>
      </c>
      <c r="J38">
        <f t="shared" si="0"/>
        <v>302</v>
      </c>
      <c r="K38" t="str" cm="1">
        <f t="array" ref="K38">_xlfn.IFS(H38&gt;=$U$1,"kostka",I38&gt;=$U$1*$R$3,"orzech",J38&gt;=$U$1*$R$4,"miał",1=1,"NIC")</f>
        <v>kostka</v>
      </c>
      <c r="L38">
        <f t="shared" si="2"/>
        <v>19</v>
      </c>
      <c r="M38">
        <f t="shared" si="3"/>
        <v>533</v>
      </c>
      <c r="N38">
        <f t="shared" si="4"/>
        <v>302</v>
      </c>
    </row>
    <row r="39" spans="1:14" x14ac:dyDescent="0.25">
      <c r="A39" s="1">
        <v>41964</v>
      </c>
      <c r="B39">
        <f t="shared" si="1"/>
        <v>19</v>
      </c>
      <c r="C39">
        <f t="shared" si="1"/>
        <v>533</v>
      </c>
      <c r="D39">
        <f t="shared" si="1"/>
        <v>302</v>
      </c>
      <c r="E39">
        <v>9</v>
      </c>
      <c r="F39">
        <v>64</v>
      </c>
      <c r="G39">
        <v>22</v>
      </c>
      <c r="H39">
        <f t="shared" si="0"/>
        <v>28</v>
      </c>
      <c r="I39">
        <f t="shared" si="0"/>
        <v>597</v>
      </c>
      <c r="J39">
        <f t="shared" si="0"/>
        <v>324</v>
      </c>
      <c r="K39" t="str" cm="1">
        <f t="array" ref="K39">_xlfn.IFS(H39&gt;=$U$1,"kostka",I39&gt;=$U$1*$R$3,"orzech",J39&gt;=$U$1*$R$4,"miał",1=1,"NIC")</f>
        <v>orzech</v>
      </c>
      <c r="L39">
        <f t="shared" si="2"/>
        <v>28</v>
      </c>
      <c r="M39">
        <f t="shared" si="3"/>
        <v>337</v>
      </c>
      <c r="N39">
        <f t="shared" si="4"/>
        <v>324</v>
      </c>
    </row>
    <row r="40" spans="1:14" x14ac:dyDescent="0.25">
      <c r="A40" s="1">
        <v>41965</v>
      </c>
      <c r="B40">
        <f t="shared" si="1"/>
        <v>28</v>
      </c>
      <c r="C40">
        <f t="shared" si="1"/>
        <v>337</v>
      </c>
      <c r="D40">
        <f t="shared" si="1"/>
        <v>324</v>
      </c>
      <c r="E40">
        <v>123</v>
      </c>
      <c r="F40">
        <v>150</v>
      </c>
      <c r="G40">
        <v>10</v>
      </c>
      <c r="H40">
        <f t="shared" si="0"/>
        <v>151</v>
      </c>
      <c r="I40">
        <f t="shared" si="0"/>
        <v>487</v>
      </c>
      <c r="J40">
        <f t="shared" si="0"/>
        <v>334</v>
      </c>
      <c r="K40" t="str" cm="1">
        <f t="array" ref="K40">_xlfn.IFS(H40&gt;=$U$1,"kostka",I40&gt;=$U$1*$R$3,"orzech",J40&gt;=$U$1*$R$4,"miał",1=1,"NIC")</f>
        <v>orzech</v>
      </c>
      <c r="L40">
        <f t="shared" si="2"/>
        <v>151</v>
      </c>
      <c r="M40">
        <f t="shared" si="3"/>
        <v>227</v>
      </c>
      <c r="N40">
        <f t="shared" si="4"/>
        <v>334</v>
      </c>
    </row>
    <row r="41" spans="1:14" x14ac:dyDescent="0.25">
      <c r="A41" s="1">
        <v>41966</v>
      </c>
      <c r="B41">
        <f t="shared" si="1"/>
        <v>151</v>
      </c>
      <c r="C41">
        <f t="shared" si="1"/>
        <v>227</v>
      </c>
      <c r="D41">
        <f t="shared" si="1"/>
        <v>334</v>
      </c>
      <c r="E41">
        <v>87</v>
      </c>
      <c r="F41">
        <v>123</v>
      </c>
      <c r="G41">
        <v>33</v>
      </c>
      <c r="H41">
        <f t="shared" si="0"/>
        <v>238</v>
      </c>
      <c r="I41">
        <f t="shared" si="0"/>
        <v>350</v>
      </c>
      <c r="J41">
        <f t="shared" si="0"/>
        <v>367</v>
      </c>
      <c r="K41" t="str" cm="1">
        <f t="array" ref="K41">_xlfn.IFS(H41&gt;=$U$1,"kostka",I41&gt;=$U$1*$R$3,"orzech",J41&gt;=$U$1*$R$4,"miał",1=1,"NIC")</f>
        <v>kostka</v>
      </c>
      <c r="L41">
        <f t="shared" si="2"/>
        <v>38</v>
      </c>
      <c r="M41">
        <f t="shared" si="3"/>
        <v>350</v>
      </c>
      <c r="N41">
        <f t="shared" si="4"/>
        <v>367</v>
      </c>
    </row>
    <row r="42" spans="1:14" x14ac:dyDescent="0.25">
      <c r="A42" s="1">
        <v>41967</v>
      </c>
      <c r="B42">
        <f t="shared" si="1"/>
        <v>38</v>
      </c>
      <c r="C42">
        <f t="shared" si="1"/>
        <v>350</v>
      </c>
      <c r="D42">
        <f t="shared" si="1"/>
        <v>367</v>
      </c>
      <c r="E42">
        <v>165</v>
      </c>
      <c r="F42">
        <v>88</v>
      </c>
      <c r="G42">
        <v>13</v>
      </c>
      <c r="H42">
        <f t="shared" si="0"/>
        <v>203</v>
      </c>
      <c r="I42">
        <f t="shared" si="0"/>
        <v>438</v>
      </c>
      <c r="J42">
        <f t="shared" si="0"/>
        <v>380</v>
      </c>
      <c r="K42" t="str" cm="1">
        <f t="array" ref="K42">_xlfn.IFS(H42&gt;=$U$1,"kostka",I42&gt;=$U$1*$R$3,"orzech",J42&gt;=$U$1*$R$4,"miał",1=1,"NIC")</f>
        <v>kostka</v>
      </c>
      <c r="L42">
        <f t="shared" si="2"/>
        <v>3</v>
      </c>
      <c r="M42">
        <f t="shared" si="3"/>
        <v>438</v>
      </c>
      <c r="N42">
        <f t="shared" si="4"/>
        <v>380</v>
      </c>
    </row>
    <row r="43" spans="1:14" x14ac:dyDescent="0.25">
      <c r="A43" s="1">
        <v>41968</v>
      </c>
      <c r="B43">
        <f t="shared" si="1"/>
        <v>3</v>
      </c>
      <c r="C43">
        <f t="shared" si="1"/>
        <v>438</v>
      </c>
      <c r="D43">
        <f t="shared" si="1"/>
        <v>380</v>
      </c>
      <c r="E43">
        <v>144</v>
      </c>
      <c r="F43">
        <v>78</v>
      </c>
      <c r="G43">
        <v>82</v>
      </c>
      <c r="H43">
        <f t="shared" si="0"/>
        <v>147</v>
      </c>
      <c r="I43">
        <f t="shared" si="0"/>
        <v>516</v>
      </c>
      <c r="J43">
        <f t="shared" si="0"/>
        <v>462</v>
      </c>
      <c r="K43" t="str" cm="1">
        <f t="array" ref="K43">_xlfn.IFS(H43&gt;=$U$1,"kostka",I43&gt;=$U$1*$R$3,"orzech",J43&gt;=$U$1*$R$4,"miał",1=1,"NIC")</f>
        <v>orzech</v>
      </c>
      <c r="L43">
        <f t="shared" si="2"/>
        <v>147</v>
      </c>
      <c r="M43">
        <f t="shared" si="3"/>
        <v>256</v>
      </c>
      <c r="N43">
        <f t="shared" si="4"/>
        <v>462</v>
      </c>
    </row>
    <row r="44" spans="1:14" x14ac:dyDescent="0.25">
      <c r="A44" s="1">
        <v>41969</v>
      </c>
      <c r="B44">
        <f t="shared" si="1"/>
        <v>147</v>
      </c>
      <c r="C44">
        <f t="shared" si="1"/>
        <v>256</v>
      </c>
      <c r="D44">
        <f t="shared" si="1"/>
        <v>462</v>
      </c>
      <c r="E44">
        <v>54</v>
      </c>
      <c r="F44">
        <v>38</v>
      </c>
      <c r="G44">
        <v>68</v>
      </c>
      <c r="H44">
        <f t="shared" si="0"/>
        <v>201</v>
      </c>
      <c r="I44">
        <f t="shared" si="0"/>
        <v>294</v>
      </c>
      <c r="J44">
        <f t="shared" si="0"/>
        <v>530</v>
      </c>
      <c r="K44" t="str" cm="1">
        <f t="array" ref="K44">_xlfn.IFS(H44&gt;=$U$1,"kostka",I44&gt;=$U$1*$R$3,"orzech",J44&gt;=$U$1*$R$4,"miał",1=1,"NIC")</f>
        <v>kostka</v>
      </c>
      <c r="L44">
        <f t="shared" si="2"/>
        <v>1</v>
      </c>
      <c r="M44">
        <f t="shared" si="3"/>
        <v>294</v>
      </c>
      <c r="N44">
        <f t="shared" si="4"/>
        <v>530</v>
      </c>
    </row>
    <row r="45" spans="1:14" x14ac:dyDescent="0.25">
      <c r="A45" s="1">
        <v>41970</v>
      </c>
      <c r="B45">
        <f t="shared" si="1"/>
        <v>1</v>
      </c>
      <c r="C45">
        <f t="shared" si="1"/>
        <v>294</v>
      </c>
      <c r="D45">
        <f t="shared" si="1"/>
        <v>530</v>
      </c>
      <c r="E45">
        <v>188</v>
      </c>
      <c r="F45">
        <v>44</v>
      </c>
      <c r="G45">
        <v>86</v>
      </c>
      <c r="H45">
        <f t="shared" si="0"/>
        <v>189</v>
      </c>
      <c r="I45">
        <f t="shared" si="0"/>
        <v>338</v>
      </c>
      <c r="J45">
        <f t="shared" si="0"/>
        <v>616</v>
      </c>
      <c r="K45" t="str" cm="1">
        <f t="array" ref="K45">_xlfn.IFS(H45&gt;=$U$1,"kostka",I45&gt;=$U$1*$R$3,"orzech",J45&gt;=$U$1*$R$4,"miał",1=1,"NIC")</f>
        <v>orzech</v>
      </c>
      <c r="L45">
        <f t="shared" si="2"/>
        <v>189</v>
      </c>
      <c r="M45">
        <f t="shared" si="3"/>
        <v>78</v>
      </c>
      <c r="N45">
        <f t="shared" si="4"/>
        <v>616</v>
      </c>
    </row>
    <row r="46" spans="1:14" x14ac:dyDescent="0.25">
      <c r="A46" s="1">
        <v>41971</v>
      </c>
      <c r="B46">
        <f t="shared" si="1"/>
        <v>189</v>
      </c>
      <c r="C46">
        <f t="shared" si="1"/>
        <v>78</v>
      </c>
      <c r="D46">
        <f t="shared" si="1"/>
        <v>616</v>
      </c>
      <c r="E46">
        <v>165</v>
      </c>
      <c r="F46">
        <v>170</v>
      </c>
      <c r="G46">
        <v>62</v>
      </c>
      <c r="H46">
        <f t="shared" si="0"/>
        <v>354</v>
      </c>
      <c r="I46">
        <f t="shared" si="0"/>
        <v>248</v>
      </c>
      <c r="J46">
        <f t="shared" si="0"/>
        <v>678</v>
      </c>
      <c r="K46" t="str" cm="1">
        <f t="array" ref="K46">_xlfn.IFS(H46&gt;=$U$1,"kostka",I46&gt;=$U$1*$R$3,"orzech",J46&gt;=$U$1*$R$4,"miał",1=1,"NIC")</f>
        <v>kostka</v>
      </c>
      <c r="L46">
        <f t="shared" si="2"/>
        <v>154</v>
      </c>
      <c r="M46">
        <f t="shared" si="3"/>
        <v>248</v>
      </c>
      <c r="N46">
        <f t="shared" si="4"/>
        <v>678</v>
      </c>
    </row>
    <row r="47" spans="1:14" x14ac:dyDescent="0.25">
      <c r="A47" s="1">
        <v>41972</v>
      </c>
      <c r="B47">
        <f t="shared" si="1"/>
        <v>154</v>
      </c>
      <c r="C47">
        <f t="shared" si="1"/>
        <v>248</v>
      </c>
      <c r="D47">
        <f t="shared" si="1"/>
        <v>678</v>
      </c>
      <c r="E47">
        <v>24</v>
      </c>
      <c r="F47">
        <v>94</v>
      </c>
      <c r="G47">
        <v>87</v>
      </c>
      <c r="H47">
        <f t="shared" si="0"/>
        <v>178</v>
      </c>
      <c r="I47">
        <f t="shared" si="0"/>
        <v>342</v>
      </c>
      <c r="J47">
        <f t="shared" si="0"/>
        <v>765</v>
      </c>
      <c r="K47" t="str" cm="1">
        <f t="array" ref="K47">_xlfn.IFS(H47&gt;=$U$1,"kostka",I47&gt;=$U$1*$R$3,"orzech",J47&gt;=$U$1*$R$4,"miał",1=1,"NIC")</f>
        <v>orzech</v>
      </c>
      <c r="L47">
        <f t="shared" si="2"/>
        <v>178</v>
      </c>
      <c r="M47">
        <f t="shared" si="3"/>
        <v>82</v>
      </c>
      <c r="N47">
        <f t="shared" si="4"/>
        <v>765</v>
      </c>
    </row>
    <row r="48" spans="1:14" x14ac:dyDescent="0.25">
      <c r="A48" s="1">
        <v>41973</v>
      </c>
      <c r="B48">
        <f t="shared" si="1"/>
        <v>178</v>
      </c>
      <c r="C48">
        <f t="shared" si="1"/>
        <v>82</v>
      </c>
      <c r="D48">
        <f t="shared" si="1"/>
        <v>765</v>
      </c>
      <c r="E48">
        <v>0</v>
      </c>
      <c r="F48">
        <v>120</v>
      </c>
      <c r="G48">
        <v>60</v>
      </c>
      <c r="H48">
        <f t="shared" si="0"/>
        <v>178</v>
      </c>
      <c r="I48">
        <f t="shared" si="0"/>
        <v>202</v>
      </c>
      <c r="J48">
        <f t="shared" si="0"/>
        <v>825</v>
      </c>
      <c r="K48" t="str" cm="1">
        <f t="array" ref="K48">_xlfn.IFS(H48&gt;=$U$1,"kostka",I48&gt;=$U$1*$R$3,"orzech",J48&gt;=$U$1*$R$4,"miał",1=1,"NIC")</f>
        <v>miał</v>
      </c>
      <c r="L48">
        <f t="shared" si="2"/>
        <v>178</v>
      </c>
      <c r="M48">
        <f t="shared" si="3"/>
        <v>202</v>
      </c>
      <c r="N48">
        <f t="shared" si="4"/>
        <v>505</v>
      </c>
    </row>
    <row r="49" spans="1:14" x14ac:dyDescent="0.25">
      <c r="A49" s="1">
        <v>41974</v>
      </c>
      <c r="B49">
        <f t="shared" si="1"/>
        <v>178</v>
      </c>
      <c r="C49">
        <f t="shared" si="1"/>
        <v>202</v>
      </c>
      <c r="D49">
        <f t="shared" si="1"/>
        <v>505</v>
      </c>
      <c r="E49">
        <v>101</v>
      </c>
      <c r="F49">
        <v>53</v>
      </c>
      <c r="G49">
        <v>62</v>
      </c>
      <c r="H49">
        <f t="shared" si="0"/>
        <v>279</v>
      </c>
      <c r="I49">
        <f t="shared" si="0"/>
        <v>255</v>
      </c>
      <c r="J49">
        <f t="shared" si="0"/>
        <v>567</v>
      </c>
      <c r="K49" t="str" cm="1">
        <f t="array" ref="K49">_xlfn.IFS(H49&gt;=$U$1,"kostka",I49&gt;=$U$1*$R$3,"orzech",J49&gt;=$U$1*$R$4,"miał",1=1,"NIC")</f>
        <v>kostka</v>
      </c>
      <c r="L49">
        <f t="shared" si="2"/>
        <v>79</v>
      </c>
      <c r="M49">
        <f t="shared" si="3"/>
        <v>255</v>
      </c>
      <c r="N49">
        <f t="shared" si="4"/>
        <v>567</v>
      </c>
    </row>
    <row r="50" spans="1:14" x14ac:dyDescent="0.25">
      <c r="A50" s="1">
        <v>41975</v>
      </c>
      <c r="B50">
        <f t="shared" si="1"/>
        <v>79</v>
      </c>
      <c r="C50">
        <f t="shared" si="1"/>
        <v>255</v>
      </c>
      <c r="D50">
        <f t="shared" si="1"/>
        <v>567</v>
      </c>
      <c r="E50">
        <v>67</v>
      </c>
      <c r="F50">
        <v>147</v>
      </c>
      <c r="G50">
        <v>20</v>
      </c>
      <c r="H50">
        <f t="shared" si="0"/>
        <v>146</v>
      </c>
      <c r="I50">
        <f t="shared" si="0"/>
        <v>402</v>
      </c>
      <c r="J50">
        <f t="shared" si="0"/>
        <v>587</v>
      </c>
      <c r="K50" t="str" cm="1">
        <f t="array" ref="K50">_xlfn.IFS(H50&gt;=$U$1,"kostka",I50&gt;=$U$1*$R$3,"orzech",J50&gt;=$U$1*$R$4,"miał",1=1,"NIC")</f>
        <v>orzech</v>
      </c>
      <c r="L50">
        <f t="shared" si="2"/>
        <v>146</v>
      </c>
      <c r="M50">
        <f t="shared" si="3"/>
        <v>142</v>
      </c>
      <c r="N50">
        <f t="shared" si="4"/>
        <v>587</v>
      </c>
    </row>
    <row r="51" spans="1:14" x14ac:dyDescent="0.25">
      <c r="A51" s="1">
        <v>41976</v>
      </c>
      <c r="B51">
        <f t="shared" si="1"/>
        <v>146</v>
      </c>
      <c r="C51">
        <f t="shared" si="1"/>
        <v>142</v>
      </c>
      <c r="D51">
        <f t="shared" si="1"/>
        <v>587</v>
      </c>
      <c r="E51">
        <v>109</v>
      </c>
      <c r="F51">
        <v>99</v>
      </c>
      <c r="G51">
        <v>70</v>
      </c>
      <c r="H51">
        <f t="shared" si="0"/>
        <v>255</v>
      </c>
      <c r="I51">
        <f t="shared" si="0"/>
        <v>241</v>
      </c>
      <c r="J51">
        <f t="shared" si="0"/>
        <v>657</v>
      </c>
      <c r="K51" t="str" cm="1">
        <f t="array" ref="K51">_xlfn.IFS(H51&gt;=$U$1,"kostka",I51&gt;=$U$1*$R$3,"orzech",J51&gt;=$U$1*$R$4,"miał",1=1,"NIC")</f>
        <v>kostka</v>
      </c>
      <c r="L51">
        <f t="shared" si="2"/>
        <v>55</v>
      </c>
      <c r="M51">
        <f t="shared" si="3"/>
        <v>241</v>
      </c>
      <c r="N51">
        <f t="shared" si="4"/>
        <v>657</v>
      </c>
    </row>
    <row r="52" spans="1:14" x14ac:dyDescent="0.25">
      <c r="A52" s="1">
        <v>41977</v>
      </c>
      <c r="B52">
        <f t="shared" si="1"/>
        <v>55</v>
      </c>
      <c r="C52">
        <f t="shared" si="1"/>
        <v>241</v>
      </c>
      <c r="D52">
        <f t="shared" si="1"/>
        <v>657</v>
      </c>
      <c r="E52">
        <v>22</v>
      </c>
      <c r="F52">
        <v>16</v>
      </c>
      <c r="G52">
        <v>59</v>
      </c>
      <c r="H52">
        <f t="shared" si="0"/>
        <v>77</v>
      </c>
      <c r="I52">
        <f t="shared" si="0"/>
        <v>257</v>
      </c>
      <c r="J52">
        <f t="shared" si="0"/>
        <v>716</v>
      </c>
      <c r="K52" t="str" cm="1">
        <f t="array" ref="K52">_xlfn.IFS(H52&gt;=$U$1,"kostka",I52&gt;=$U$1*$R$3,"orzech",J52&gt;=$U$1*$R$4,"miał",1=1,"NIC")</f>
        <v>miał</v>
      </c>
      <c r="L52">
        <f t="shared" si="2"/>
        <v>77</v>
      </c>
      <c r="M52">
        <f t="shared" si="3"/>
        <v>257</v>
      </c>
      <c r="N52">
        <f t="shared" si="4"/>
        <v>396</v>
      </c>
    </row>
    <row r="53" spans="1:14" x14ac:dyDescent="0.25">
      <c r="A53" s="1">
        <v>41978</v>
      </c>
      <c r="B53">
        <f t="shared" si="1"/>
        <v>77</v>
      </c>
      <c r="C53">
        <f t="shared" si="1"/>
        <v>257</v>
      </c>
      <c r="D53">
        <f t="shared" si="1"/>
        <v>396</v>
      </c>
      <c r="E53">
        <v>5</v>
      </c>
      <c r="F53">
        <v>91</v>
      </c>
      <c r="G53">
        <v>73</v>
      </c>
      <c r="H53">
        <f t="shared" si="0"/>
        <v>82</v>
      </c>
      <c r="I53">
        <f t="shared" si="0"/>
        <v>348</v>
      </c>
      <c r="J53">
        <f t="shared" si="0"/>
        <v>469</v>
      </c>
      <c r="K53" t="str" cm="1">
        <f t="array" ref="K53">_xlfn.IFS(H53&gt;=$U$1,"kostka",I53&gt;=$U$1*$R$3,"orzech",J53&gt;=$U$1*$R$4,"miał",1=1,"NIC")</f>
        <v>orzech</v>
      </c>
      <c r="L53">
        <f t="shared" si="2"/>
        <v>82</v>
      </c>
      <c r="M53">
        <f t="shared" si="3"/>
        <v>88</v>
      </c>
      <c r="N53">
        <f t="shared" si="4"/>
        <v>469</v>
      </c>
    </row>
    <row r="54" spans="1:14" x14ac:dyDescent="0.25">
      <c r="A54" s="1">
        <v>41979</v>
      </c>
      <c r="B54">
        <f t="shared" si="1"/>
        <v>82</v>
      </c>
      <c r="C54">
        <f t="shared" si="1"/>
        <v>88</v>
      </c>
      <c r="D54">
        <f t="shared" si="1"/>
        <v>469</v>
      </c>
      <c r="E54">
        <v>105</v>
      </c>
      <c r="F54">
        <v>154</v>
      </c>
      <c r="G54">
        <v>48</v>
      </c>
      <c r="H54">
        <f t="shared" si="0"/>
        <v>187</v>
      </c>
      <c r="I54">
        <f t="shared" si="0"/>
        <v>242</v>
      </c>
      <c r="J54">
        <f t="shared" si="0"/>
        <v>517</v>
      </c>
      <c r="K54" t="str" cm="1">
        <f t="array" ref="K54">_xlfn.IFS(H54&gt;=$U$1,"kostka",I54&gt;=$U$1*$R$3,"orzech",J54&gt;=$U$1*$R$4,"miał",1=1,"NIC")</f>
        <v>miał</v>
      </c>
      <c r="L54">
        <f t="shared" si="2"/>
        <v>187</v>
      </c>
      <c r="M54">
        <f t="shared" si="3"/>
        <v>242</v>
      </c>
      <c r="N54">
        <f t="shared" si="4"/>
        <v>197</v>
      </c>
    </row>
    <row r="55" spans="1:14" x14ac:dyDescent="0.25">
      <c r="A55" s="1">
        <v>41980</v>
      </c>
      <c r="B55">
        <f t="shared" si="1"/>
        <v>187</v>
      </c>
      <c r="C55">
        <f t="shared" si="1"/>
        <v>242</v>
      </c>
      <c r="D55">
        <f t="shared" si="1"/>
        <v>197</v>
      </c>
      <c r="E55">
        <v>108</v>
      </c>
      <c r="F55">
        <v>5</v>
      </c>
      <c r="G55">
        <v>71</v>
      </c>
      <c r="H55">
        <f t="shared" si="0"/>
        <v>295</v>
      </c>
      <c r="I55">
        <f t="shared" si="0"/>
        <v>247</v>
      </c>
      <c r="J55">
        <f t="shared" si="0"/>
        <v>268</v>
      </c>
      <c r="K55" t="str" cm="1">
        <f t="array" ref="K55">_xlfn.IFS(H55&gt;=$U$1,"kostka",I55&gt;=$U$1*$R$3,"orzech",J55&gt;=$U$1*$R$4,"miał",1=1,"NIC")</f>
        <v>kostka</v>
      </c>
      <c r="L55">
        <f t="shared" si="2"/>
        <v>95</v>
      </c>
      <c r="M55">
        <f t="shared" si="3"/>
        <v>247</v>
      </c>
      <c r="N55">
        <f t="shared" si="4"/>
        <v>268</v>
      </c>
    </row>
    <row r="56" spans="1:14" x14ac:dyDescent="0.25">
      <c r="A56" s="1">
        <v>41981</v>
      </c>
      <c r="B56">
        <f t="shared" si="1"/>
        <v>95</v>
      </c>
      <c r="C56">
        <f t="shared" si="1"/>
        <v>247</v>
      </c>
      <c r="D56">
        <f t="shared" si="1"/>
        <v>268</v>
      </c>
      <c r="E56">
        <v>64</v>
      </c>
      <c r="F56">
        <v>37</v>
      </c>
      <c r="G56">
        <v>89</v>
      </c>
      <c r="H56">
        <f t="shared" si="0"/>
        <v>159</v>
      </c>
      <c r="I56">
        <f t="shared" si="0"/>
        <v>284</v>
      </c>
      <c r="J56">
        <f t="shared" si="0"/>
        <v>357</v>
      </c>
      <c r="K56" t="str" cm="1">
        <f t="array" ref="K56">_xlfn.IFS(H56&gt;=$U$1,"kostka",I56&gt;=$U$1*$R$3,"orzech",J56&gt;=$U$1*$R$4,"miał",1=1,"NIC")</f>
        <v>orzech</v>
      </c>
      <c r="L56">
        <f t="shared" si="2"/>
        <v>159</v>
      </c>
      <c r="M56">
        <f t="shared" si="3"/>
        <v>24</v>
      </c>
      <c r="N56">
        <f t="shared" si="4"/>
        <v>357</v>
      </c>
    </row>
    <row r="57" spans="1:14" x14ac:dyDescent="0.25">
      <c r="A57" s="1">
        <v>41982</v>
      </c>
      <c r="B57">
        <f t="shared" si="1"/>
        <v>159</v>
      </c>
      <c r="C57">
        <f t="shared" si="1"/>
        <v>24</v>
      </c>
      <c r="D57">
        <f t="shared" si="1"/>
        <v>357</v>
      </c>
      <c r="E57">
        <v>114</v>
      </c>
      <c r="F57">
        <v>140</v>
      </c>
      <c r="G57">
        <v>36</v>
      </c>
      <c r="H57">
        <f t="shared" si="0"/>
        <v>273</v>
      </c>
      <c r="I57">
        <f t="shared" si="0"/>
        <v>164</v>
      </c>
      <c r="J57">
        <f t="shared" si="0"/>
        <v>393</v>
      </c>
      <c r="K57" t="str" cm="1">
        <f t="array" ref="K57">_xlfn.IFS(H57&gt;=$U$1,"kostka",I57&gt;=$U$1*$R$3,"orzech",J57&gt;=$U$1*$R$4,"miał",1=1,"NIC")</f>
        <v>kostka</v>
      </c>
      <c r="L57">
        <f t="shared" si="2"/>
        <v>73</v>
      </c>
      <c r="M57">
        <f t="shared" si="3"/>
        <v>164</v>
      </c>
      <c r="N57">
        <f t="shared" si="4"/>
        <v>393</v>
      </c>
    </row>
    <row r="58" spans="1:14" x14ac:dyDescent="0.25">
      <c r="A58" s="1">
        <v>41983</v>
      </c>
      <c r="B58">
        <f t="shared" si="1"/>
        <v>73</v>
      </c>
      <c r="C58">
        <f t="shared" si="1"/>
        <v>164</v>
      </c>
      <c r="D58">
        <f t="shared" si="1"/>
        <v>393</v>
      </c>
      <c r="E58">
        <v>147</v>
      </c>
      <c r="F58">
        <v>140</v>
      </c>
      <c r="G58">
        <v>61</v>
      </c>
      <c r="H58">
        <f t="shared" si="0"/>
        <v>220</v>
      </c>
      <c r="I58">
        <f t="shared" si="0"/>
        <v>304</v>
      </c>
      <c r="J58">
        <f t="shared" si="0"/>
        <v>454</v>
      </c>
      <c r="K58" t="str" cm="1">
        <f t="array" ref="K58">_xlfn.IFS(H58&gt;=$U$1,"kostka",I58&gt;=$U$1*$R$3,"orzech",J58&gt;=$U$1*$R$4,"miał",1=1,"NIC")</f>
        <v>kostka</v>
      </c>
      <c r="L58">
        <f t="shared" si="2"/>
        <v>20</v>
      </c>
      <c r="M58">
        <f t="shared" si="3"/>
        <v>304</v>
      </c>
      <c r="N58">
        <f t="shared" si="4"/>
        <v>454</v>
      </c>
    </row>
    <row r="59" spans="1:14" x14ac:dyDescent="0.25">
      <c r="A59" s="1">
        <v>41984</v>
      </c>
      <c r="B59">
        <f t="shared" si="1"/>
        <v>20</v>
      </c>
      <c r="C59">
        <f t="shared" si="1"/>
        <v>304</v>
      </c>
      <c r="D59">
        <f t="shared" si="1"/>
        <v>454</v>
      </c>
      <c r="E59">
        <v>69</v>
      </c>
      <c r="F59">
        <v>120</v>
      </c>
      <c r="G59">
        <v>52</v>
      </c>
      <c r="H59">
        <f t="shared" si="0"/>
        <v>89</v>
      </c>
      <c r="I59">
        <f t="shared" si="0"/>
        <v>424</v>
      </c>
      <c r="J59">
        <f t="shared" si="0"/>
        <v>506</v>
      </c>
      <c r="K59" t="str" cm="1">
        <f t="array" ref="K59">_xlfn.IFS(H59&gt;=$U$1,"kostka",I59&gt;=$U$1*$R$3,"orzech",J59&gt;=$U$1*$R$4,"miał",1=1,"NIC")</f>
        <v>orzech</v>
      </c>
      <c r="L59">
        <f t="shared" si="2"/>
        <v>89</v>
      </c>
      <c r="M59">
        <f t="shared" si="3"/>
        <v>164</v>
      </c>
      <c r="N59">
        <f t="shared" si="4"/>
        <v>506</v>
      </c>
    </row>
    <row r="60" spans="1:14" x14ac:dyDescent="0.25">
      <c r="A60" s="1">
        <v>41985</v>
      </c>
      <c r="B60">
        <f t="shared" si="1"/>
        <v>89</v>
      </c>
      <c r="C60">
        <f t="shared" si="1"/>
        <v>164</v>
      </c>
      <c r="D60">
        <f t="shared" si="1"/>
        <v>506</v>
      </c>
      <c r="E60">
        <v>101</v>
      </c>
      <c r="F60">
        <v>39</v>
      </c>
      <c r="G60">
        <v>10</v>
      </c>
      <c r="H60">
        <f t="shared" si="0"/>
        <v>190</v>
      </c>
      <c r="I60">
        <f t="shared" si="0"/>
        <v>203</v>
      </c>
      <c r="J60">
        <f t="shared" si="0"/>
        <v>516</v>
      </c>
      <c r="K60" t="str" cm="1">
        <f t="array" ref="K60">_xlfn.IFS(H60&gt;=$U$1,"kostka",I60&gt;=$U$1*$R$3,"orzech",J60&gt;=$U$1*$R$4,"miał",1=1,"NIC")</f>
        <v>miał</v>
      </c>
      <c r="L60">
        <f t="shared" si="2"/>
        <v>190</v>
      </c>
      <c r="M60">
        <f t="shared" si="3"/>
        <v>203</v>
      </c>
      <c r="N60">
        <f t="shared" si="4"/>
        <v>196</v>
      </c>
    </row>
    <row r="61" spans="1:14" x14ac:dyDescent="0.25">
      <c r="A61" s="1">
        <v>41986</v>
      </c>
      <c r="B61">
        <f t="shared" si="1"/>
        <v>190</v>
      </c>
      <c r="C61">
        <f t="shared" si="1"/>
        <v>203</v>
      </c>
      <c r="D61">
        <f t="shared" si="1"/>
        <v>196</v>
      </c>
      <c r="E61">
        <v>158</v>
      </c>
      <c r="F61">
        <v>36</v>
      </c>
      <c r="G61">
        <v>79</v>
      </c>
      <c r="H61">
        <f t="shared" si="0"/>
        <v>348</v>
      </c>
      <c r="I61">
        <f t="shared" si="0"/>
        <v>239</v>
      </c>
      <c r="J61">
        <f t="shared" si="0"/>
        <v>275</v>
      </c>
      <c r="K61" t="str" cm="1">
        <f t="array" ref="K61">_xlfn.IFS(H61&gt;=$U$1,"kostka",I61&gt;=$U$1*$R$3,"orzech",J61&gt;=$U$1*$R$4,"miał",1=1,"NIC")</f>
        <v>kostka</v>
      </c>
      <c r="L61">
        <f t="shared" si="2"/>
        <v>148</v>
      </c>
      <c r="M61">
        <f t="shared" si="3"/>
        <v>239</v>
      </c>
      <c r="N61">
        <f t="shared" si="4"/>
        <v>275</v>
      </c>
    </row>
    <row r="62" spans="1:14" x14ac:dyDescent="0.25">
      <c r="A62" s="1">
        <v>41987</v>
      </c>
      <c r="B62">
        <f t="shared" si="1"/>
        <v>148</v>
      </c>
      <c r="C62">
        <f t="shared" si="1"/>
        <v>239</v>
      </c>
      <c r="D62">
        <f t="shared" si="1"/>
        <v>275</v>
      </c>
      <c r="E62">
        <v>79</v>
      </c>
      <c r="F62">
        <v>105</v>
      </c>
      <c r="G62">
        <v>73</v>
      </c>
      <c r="H62">
        <f t="shared" si="0"/>
        <v>227</v>
      </c>
      <c r="I62">
        <f t="shared" si="0"/>
        <v>344</v>
      </c>
      <c r="J62">
        <f t="shared" si="0"/>
        <v>348</v>
      </c>
      <c r="K62" t="str" cm="1">
        <f t="array" ref="K62">_xlfn.IFS(H62&gt;=$U$1,"kostka",I62&gt;=$U$1*$R$3,"orzech",J62&gt;=$U$1*$R$4,"miał",1=1,"NIC")</f>
        <v>kostka</v>
      </c>
      <c r="L62">
        <f t="shared" si="2"/>
        <v>27</v>
      </c>
      <c r="M62">
        <f t="shared" si="3"/>
        <v>344</v>
      </c>
      <c r="N62">
        <f t="shared" si="4"/>
        <v>348</v>
      </c>
    </row>
    <row r="63" spans="1:14" x14ac:dyDescent="0.25">
      <c r="A63" s="1">
        <v>41988</v>
      </c>
      <c r="B63">
        <f t="shared" si="1"/>
        <v>27</v>
      </c>
      <c r="C63">
        <f t="shared" si="1"/>
        <v>344</v>
      </c>
      <c r="D63">
        <f t="shared" si="1"/>
        <v>348</v>
      </c>
      <c r="E63">
        <v>5</v>
      </c>
      <c r="F63">
        <v>24</v>
      </c>
      <c r="G63">
        <v>43</v>
      </c>
      <c r="H63">
        <f t="shared" si="0"/>
        <v>32</v>
      </c>
      <c r="I63">
        <f t="shared" si="0"/>
        <v>368</v>
      </c>
      <c r="J63">
        <f t="shared" si="0"/>
        <v>391</v>
      </c>
      <c r="K63" t="str" cm="1">
        <f t="array" ref="K63">_xlfn.IFS(H63&gt;=$U$1,"kostka",I63&gt;=$U$1*$R$3,"orzech",J63&gt;=$U$1*$R$4,"miał",1=1,"NIC")</f>
        <v>orzech</v>
      </c>
      <c r="L63">
        <f t="shared" si="2"/>
        <v>32</v>
      </c>
      <c r="M63">
        <f t="shared" si="3"/>
        <v>108</v>
      </c>
      <c r="N63">
        <f t="shared" si="4"/>
        <v>391</v>
      </c>
    </row>
    <row r="64" spans="1:14" x14ac:dyDescent="0.25">
      <c r="A64" s="1">
        <v>41989</v>
      </c>
      <c r="B64">
        <f t="shared" si="1"/>
        <v>32</v>
      </c>
      <c r="C64">
        <f t="shared" si="1"/>
        <v>108</v>
      </c>
      <c r="D64">
        <f t="shared" si="1"/>
        <v>391</v>
      </c>
      <c r="E64">
        <v>68</v>
      </c>
      <c r="F64">
        <v>112</v>
      </c>
      <c r="G64">
        <v>25</v>
      </c>
      <c r="H64">
        <f t="shared" si="0"/>
        <v>100</v>
      </c>
      <c r="I64">
        <f t="shared" si="0"/>
        <v>220</v>
      </c>
      <c r="J64">
        <f t="shared" si="0"/>
        <v>416</v>
      </c>
      <c r="K64" t="str" cm="1">
        <f t="array" ref="K64">_xlfn.IFS(H64&gt;=$U$1,"kostka",I64&gt;=$U$1*$R$3,"orzech",J64&gt;=$U$1*$R$4,"miał",1=1,"NIC")</f>
        <v>miał</v>
      </c>
      <c r="L64">
        <f t="shared" si="2"/>
        <v>100</v>
      </c>
      <c r="M64">
        <f t="shared" si="3"/>
        <v>220</v>
      </c>
      <c r="N64">
        <f t="shared" si="4"/>
        <v>96</v>
      </c>
    </row>
    <row r="65" spans="1:14" x14ac:dyDescent="0.25">
      <c r="A65" s="1">
        <v>41990</v>
      </c>
      <c r="B65">
        <f t="shared" si="1"/>
        <v>100</v>
      </c>
      <c r="C65">
        <f t="shared" si="1"/>
        <v>220</v>
      </c>
      <c r="D65">
        <f t="shared" si="1"/>
        <v>96</v>
      </c>
      <c r="E65">
        <v>37</v>
      </c>
      <c r="F65">
        <v>57</v>
      </c>
      <c r="G65">
        <v>81</v>
      </c>
      <c r="H65">
        <f t="shared" si="0"/>
        <v>137</v>
      </c>
      <c r="I65">
        <f t="shared" si="0"/>
        <v>277</v>
      </c>
      <c r="J65">
        <f t="shared" si="0"/>
        <v>177</v>
      </c>
      <c r="K65" t="str" cm="1">
        <f t="array" ref="K65">_xlfn.IFS(H65&gt;=$U$1,"kostka",I65&gt;=$U$1*$R$3,"orzech",J65&gt;=$U$1*$R$4,"miał",1=1,"NIC")</f>
        <v>orzech</v>
      </c>
      <c r="L65">
        <f t="shared" si="2"/>
        <v>137</v>
      </c>
      <c r="M65">
        <f t="shared" si="3"/>
        <v>17</v>
      </c>
      <c r="N65">
        <f t="shared" si="4"/>
        <v>177</v>
      </c>
    </row>
    <row r="66" spans="1:14" x14ac:dyDescent="0.25">
      <c r="A66" s="1">
        <v>41991</v>
      </c>
      <c r="B66">
        <f t="shared" si="1"/>
        <v>137</v>
      </c>
      <c r="C66">
        <f t="shared" si="1"/>
        <v>17</v>
      </c>
      <c r="D66">
        <f t="shared" si="1"/>
        <v>177</v>
      </c>
      <c r="E66">
        <v>188</v>
      </c>
      <c r="F66">
        <v>28</v>
      </c>
      <c r="G66">
        <v>7</v>
      </c>
      <c r="H66">
        <f t="shared" si="0"/>
        <v>325</v>
      </c>
      <c r="I66">
        <f t="shared" si="0"/>
        <v>45</v>
      </c>
      <c r="J66">
        <f t="shared" si="0"/>
        <v>184</v>
      </c>
      <c r="K66" t="str" cm="1">
        <f t="array" ref="K66">_xlfn.IFS(H66&gt;=$U$1,"kostka",I66&gt;=$U$1*$R$3,"orzech",J66&gt;=$U$1*$R$4,"miał",1=1,"NIC")</f>
        <v>kostka</v>
      </c>
      <c r="L66">
        <f t="shared" si="2"/>
        <v>125</v>
      </c>
      <c r="M66">
        <f t="shared" si="3"/>
        <v>45</v>
      </c>
      <c r="N66">
        <f t="shared" si="4"/>
        <v>184</v>
      </c>
    </row>
    <row r="67" spans="1:14" x14ac:dyDescent="0.25">
      <c r="A67" s="1">
        <v>41992</v>
      </c>
      <c r="B67">
        <f t="shared" si="1"/>
        <v>125</v>
      </c>
      <c r="C67">
        <f t="shared" si="1"/>
        <v>45</v>
      </c>
      <c r="D67">
        <f t="shared" si="1"/>
        <v>184</v>
      </c>
      <c r="E67">
        <v>167</v>
      </c>
      <c r="F67">
        <v>41</v>
      </c>
      <c r="G67">
        <v>45</v>
      </c>
      <c r="H67">
        <f t="shared" ref="H67:J130" si="5">B67+E67</f>
        <v>292</v>
      </c>
      <c r="I67">
        <f t="shared" si="5"/>
        <v>86</v>
      </c>
      <c r="J67">
        <f t="shared" si="5"/>
        <v>229</v>
      </c>
      <c r="K67" t="str" cm="1">
        <f t="array" ref="K67">_xlfn.IFS(H67&gt;=$U$1,"kostka",I67&gt;=$U$1*$R$3,"orzech",J67&gt;=$U$1*$R$4,"miał",1=1,"NIC")</f>
        <v>kostka</v>
      </c>
      <c r="L67">
        <f t="shared" si="2"/>
        <v>92</v>
      </c>
      <c r="M67">
        <f t="shared" si="3"/>
        <v>86</v>
      </c>
      <c r="N67">
        <f t="shared" si="4"/>
        <v>229</v>
      </c>
    </row>
    <row r="68" spans="1:14" x14ac:dyDescent="0.25">
      <c r="A68" s="1">
        <v>41993</v>
      </c>
      <c r="B68">
        <f t="shared" ref="B68:D131" si="6">L67</f>
        <v>92</v>
      </c>
      <c r="C68">
        <f t="shared" si="6"/>
        <v>86</v>
      </c>
      <c r="D68">
        <f t="shared" si="6"/>
        <v>229</v>
      </c>
      <c r="E68">
        <v>197</v>
      </c>
      <c r="F68">
        <v>82</v>
      </c>
      <c r="G68">
        <v>43</v>
      </c>
      <c r="H68">
        <f t="shared" si="5"/>
        <v>289</v>
      </c>
      <c r="I68">
        <f t="shared" si="5"/>
        <v>168</v>
      </c>
      <c r="J68">
        <f t="shared" si="5"/>
        <v>272</v>
      </c>
      <c r="K68" t="str" cm="1">
        <f t="array" ref="K68">_xlfn.IFS(H68&gt;=$U$1,"kostka",I68&gt;=$U$1*$R$3,"orzech",J68&gt;=$U$1*$R$4,"miał",1=1,"NIC")</f>
        <v>kostka</v>
      </c>
      <c r="L68">
        <f t="shared" ref="L68:L131" si="7">IF($K68="kostka",H68-$U$1,H68)</f>
        <v>89</v>
      </c>
      <c r="M68">
        <f t="shared" ref="M68:M131" si="8">IF($K68="orzech",I68-$U$1*$R$3,I68)</f>
        <v>168</v>
      </c>
      <c r="N68">
        <f t="shared" ref="N68:N131" si="9">IF($K68="miał",J68-$U$1*$R$4,J68)</f>
        <v>272</v>
      </c>
    </row>
    <row r="69" spans="1:14" x14ac:dyDescent="0.25">
      <c r="A69" s="1">
        <v>41994</v>
      </c>
      <c r="B69">
        <f t="shared" si="6"/>
        <v>89</v>
      </c>
      <c r="C69">
        <f t="shared" si="6"/>
        <v>168</v>
      </c>
      <c r="D69">
        <f t="shared" si="6"/>
        <v>272</v>
      </c>
      <c r="E69">
        <v>54</v>
      </c>
      <c r="F69">
        <v>130</v>
      </c>
      <c r="G69">
        <v>50</v>
      </c>
      <c r="H69">
        <f t="shared" si="5"/>
        <v>143</v>
      </c>
      <c r="I69">
        <f t="shared" si="5"/>
        <v>298</v>
      </c>
      <c r="J69">
        <f t="shared" si="5"/>
        <v>322</v>
      </c>
      <c r="K69" t="str" cm="1">
        <f t="array" ref="K69">_xlfn.IFS(H69&gt;=$U$1,"kostka",I69&gt;=$U$1*$R$3,"orzech",J69&gt;=$U$1*$R$4,"miał",1=1,"NIC")</f>
        <v>orzech</v>
      </c>
      <c r="L69">
        <f t="shared" si="7"/>
        <v>143</v>
      </c>
      <c r="M69">
        <f t="shared" si="8"/>
        <v>38</v>
      </c>
      <c r="N69">
        <f t="shared" si="9"/>
        <v>322</v>
      </c>
    </row>
    <row r="70" spans="1:14" x14ac:dyDescent="0.25">
      <c r="A70" s="1">
        <v>41995</v>
      </c>
      <c r="B70">
        <f t="shared" si="6"/>
        <v>143</v>
      </c>
      <c r="C70">
        <f t="shared" si="6"/>
        <v>38</v>
      </c>
      <c r="D70">
        <f t="shared" si="6"/>
        <v>322</v>
      </c>
      <c r="E70">
        <v>19</v>
      </c>
      <c r="F70">
        <v>153</v>
      </c>
      <c r="G70">
        <v>65</v>
      </c>
      <c r="H70">
        <f t="shared" si="5"/>
        <v>162</v>
      </c>
      <c r="I70">
        <f t="shared" si="5"/>
        <v>191</v>
      </c>
      <c r="J70">
        <f t="shared" si="5"/>
        <v>387</v>
      </c>
      <c r="K70" t="str" cm="1">
        <f t="array" ref="K70">_xlfn.IFS(H70&gt;=$U$1,"kostka",I70&gt;=$U$1*$R$3,"orzech",J70&gt;=$U$1*$R$4,"miał",1=1,"NIC")</f>
        <v>miał</v>
      </c>
      <c r="L70">
        <f t="shared" si="7"/>
        <v>162</v>
      </c>
      <c r="M70">
        <f t="shared" si="8"/>
        <v>191</v>
      </c>
      <c r="N70">
        <f t="shared" si="9"/>
        <v>67</v>
      </c>
    </row>
    <row r="71" spans="1:14" x14ac:dyDescent="0.25">
      <c r="A71" s="1">
        <v>41996</v>
      </c>
      <c r="B71">
        <f t="shared" si="6"/>
        <v>162</v>
      </c>
      <c r="C71">
        <f t="shared" si="6"/>
        <v>191</v>
      </c>
      <c r="D71">
        <f t="shared" si="6"/>
        <v>67</v>
      </c>
      <c r="E71">
        <v>27</v>
      </c>
      <c r="F71">
        <v>160</v>
      </c>
      <c r="G71">
        <v>81</v>
      </c>
      <c r="H71">
        <f t="shared" si="5"/>
        <v>189</v>
      </c>
      <c r="I71">
        <f t="shared" si="5"/>
        <v>351</v>
      </c>
      <c r="J71">
        <f t="shared" si="5"/>
        <v>148</v>
      </c>
      <c r="K71" t="str" cm="1">
        <f t="array" ref="K71">_xlfn.IFS(H71&gt;=$U$1,"kostka",I71&gt;=$U$1*$R$3,"orzech",J71&gt;=$U$1*$R$4,"miał",1=1,"NIC")</f>
        <v>orzech</v>
      </c>
      <c r="L71">
        <f t="shared" si="7"/>
        <v>189</v>
      </c>
      <c r="M71">
        <f t="shared" si="8"/>
        <v>91</v>
      </c>
      <c r="N71">
        <f t="shared" si="9"/>
        <v>148</v>
      </c>
    </row>
    <row r="72" spans="1:14" x14ac:dyDescent="0.25">
      <c r="A72" s="1">
        <v>41997</v>
      </c>
      <c r="B72">
        <f t="shared" si="6"/>
        <v>189</v>
      </c>
      <c r="C72">
        <f t="shared" si="6"/>
        <v>91</v>
      </c>
      <c r="D72">
        <f t="shared" si="6"/>
        <v>148</v>
      </c>
      <c r="E72">
        <v>11</v>
      </c>
      <c r="F72">
        <v>140</v>
      </c>
      <c r="G72">
        <v>77</v>
      </c>
      <c r="H72">
        <f t="shared" si="5"/>
        <v>200</v>
      </c>
      <c r="I72">
        <f t="shared" si="5"/>
        <v>231</v>
      </c>
      <c r="J72">
        <f t="shared" si="5"/>
        <v>225</v>
      </c>
      <c r="K72" t="str" cm="1">
        <f t="array" ref="K72">_xlfn.IFS(H72&gt;=$U$1,"kostka",I72&gt;=$U$1*$R$3,"orzech",J72&gt;=$U$1*$R$4,"miał",1=1,"NIC")</f>
        <v>kostka</v>
      </c>
      <c r="L72">
        <f t="shared" si="7"/>
        <v>0</v>
      </c>
      <c r="M72">
        <f t="shared" si="8"/>
        <v>231</v>
      </c>
      <c r="N72">
        <f t="shared" si="9"/>
        <v>225</v>
      </c>
    </row>
    <row r="73" spans="1:14" x14ac:dyDescent="0.25">
      <c r="A73" s="1">
        <v>41998</v>
      </c>
      <c r="B73">
        <f t="shared" si="6"/>
        <v>0</v>
      </c>
      <c r="C73">
        <f t="shared" si="6"/>
        <v>231</v>
      </c>
      <c r="D73">
        <f t="shared" si="6"/>
        <v>225</v>
      </c>
      <c r="E73">
        <v>182</v>
      </c>
      <c r="F73">
        <v>50</v>
      </c>
      <c r="G73">
        <v>22</v>
      </c>
      <c r="H73">
        <f t="shared" si="5"/>
        <v>182</v>
      </c>
      <c r="I73">
        <f t="shared" si="5"/>
        <v>281</v>
      </c>
      <c r="J73">
        <f t="shared" si="5"/>
        <v>247</v>
      </c>
      <c r="K73" t="str" cm="1">
        <f t="array" ref="K73">_xlfn.IFS(H73&gt;=$U$1,"kostka",I73&gt;=$U$1*$R$3,"orzech",J73&gt;=$U$1*$R$4,"miał",1=1,"NIC")</f>
        <v>orzech</v>
      </c>
      <c r="L73">
        <f t="shared" si="7"/>
        <v>182</v>
      </c>
      <c r="M73">
        <f t="shared" si="8"/>
        <v>21</v>
      </c>
      <c r="N73">
        <f t="shared" si="9"/>
        <v>247</v>
      </c>
    </row>
    <row r="74" spans="1:14" x14ac:dyDescent="0.25">
      <c r="A74" s="1">
        <v>41999</v>
      </c>
      <c r="B74">
        <f t="shared" si="6"/>
        <v>182</v>
      </c>
      <c r="C74">
        <f t="shared" si="6"/>
        <v>21</v>
      </c>
      <c r="D74">
        <f t="shared" si="6"/>
        <v>247</v>
      </c>
      <c r="E74">
        <v>63</v>
      </c>
      <c r="F74">
        <v>83</v>
      </c>
      <c r="G74">
        <v>69</v>
      </c>
      <c r="H74">
        <f t="shared" si="5"/>
        <v>245</v>
      </c>
      <c r="I74">
        <f t="shared" si="5"/>
        <v>104</v>
      </c>
      <c r="J74">
        <f t="shared" si="5"/>
        <v>316</v>
      </c>
      <c r="K74" t="str" cm="1">
        <f t="array" ref="K74">_xlfn.IFS(H74&gt;=$U$1,"kostka",I74&gt;=$U$1*$R$3,"orzech",J74&gt;=$U$1*$R$4,"miał",1=1,"NIC")</f>
        <v>kostka</v>
      </c>
      <c r="L74">
        <f t="shared" si="7"/>
        <v>45</v>
      </c>
      <c r="M74">
        <f t="shared" si="8"/>
        <v>104</v>
      </c>
      <c r="N74">
        <f t="shared" si="9"/>
        <v>316</v>
      </c>
    </row>
    <row r="75" spans="1:14" x14ac:dyDescent="0.25">
      <c r="A75" s="1">
        <v>42000</v>
      </c>
      <c r="B75">
        <f t="shared" si="6"/>
        <v>45</v>
      </c>
      <c r="C75">
        <f t="shared" si="6"/>
        <v>104</v>
      </c>
      <c r="D75">
        <f t="shared" si="6"/>
        <v>316</v>
      </c>
      <c r="E75">
        <v>33</v>
      </c>
      <c r="F75">
        <v>59</v>
      </c>
      <c r="G75">
        <v>46</v>
      </c>
      <c r="H75">
        <f t="shared" si="5"/>
        <v>78</v>
      </c>
      <c r="I75">
        <f t="shared" si="5"/>
        <v>163</v>
      </c>
      <c r="J75">
        <f t="shared" si="5"/>
        <v>362</v>
      </c>
      <c r="K75" t="str" cm="1">
        <f t="array" ref="K75">_xlfn.IFS(H75&gt;=$U$1,"kostka",I75&gt;=$U$1*$R$3,"orzech",J75&gt;=$U$1*$R$4,"miał",1=1,"NIC")</f>
        <v>miał</v>
      </c>
      <c r="L75">
        <f t="shared" si="7"/>
        <v>78</v>
      </c>
      <c r="M75">
        <f t="shared" si="8"/>
        <v>163</v>
      </c>
      <c r="N75">
        <f t="shared" si="9"/>
        <v>42</v>
      </c>
    </row>
    <row r="76" spans="1:14" x14ac:dyDescent="0.25">
      <c r="A76" s="1">
        <v>42001</v>
      </c>
      <c r="B76">
        <f t="shared" si="6"/>
        <v>78</v>
      </c>
      <c r="C76">
        <f t="shared" si="6"/>
        <v>163</v>
      </c>
      <c r="D76">
        <f t="shared" si="6"/>
        <v>42</v>
      </c>
      <c r="E76">
        <v>119</v>
      </c>
      <c r="F76">
        <v>57</v>
      </c>
      <c r="G76">
        <v>67</v>
      </c>
      <c r="H76">
        <f t="shared" si="5"/>
        <v>197</v>
      </c>
      <c r="I76">
        <f t="shared" si="5"/>
        <v>220</v>
      </c>
      <c r="J76">
        <f t="shared" si="5"/>
        <v>109</v>
      </c>
      <c r="K76" t="str" cm="1">
        <f t="array" ref="K76">_xlfn.IFS(H76&gt;=$U$1,"kostka",I76&gt;=$U$1*$R$3,"orzech",J76&gt;=$U$1*$R$4,"miał",1=1,"NIC")</f>
        <v>NIC</v>
      </c>
      <c r="L76">
        <f t="shared" si="7"/>
        <v>197</v>
      </c>
      <c r="M76">
        <f t="shared" si="8"/>
        <v>220</v>
      </c>
      <c r="N76">
        <f t="shared" si="9"/>
        <v>109</v>
      </c>
    </row>
    <row r="77" spans="1:14" x14ac:dyDescent="0.25">
      <c r="A77" s="1">
        <v>42002</v>
      </c>
      <c r="B77">
        <f t="shared" si="6"/>
        <v>197</v>
      </c>
      <c r="C77">
        <f t="shared" si="6"/>
        <v>220</v>
      </c>
      <c r="D77">
        <f t="shared" si="6"/>
        <v>109</v>
      </c>
      <c r="E77">
        <v>58</v>
      </c>
      <c r="F77">
        <v>176</v>
      </c>
      <c r="G77">
        <v>16</v>
      </c>
      <c r="H77">
        <f t="shared" si="5"/>
        <v>255</v>
      </c>
      <c r="I77">
        <f t="shared" si="5"/>
        <v>396</v>
      </c>
      <c r="J77">
        <f t="shared" si="5"/>
        <v>125</v>
      </c>
      <c r="K77" t="str" cm="1">
        <f t="array" ref="K77">_xlfn.IFS(H77&gt;=$U$1,"kostka",I77&gt;=$U$1*$R$3,"orzech",J77&gt;=$U$1*$R$4,"miał",1=1,"NIC")</f>
        <v>kostka</v>
      </c>
      <c r="L77">
        <f t="shared" si="7"/>
        <v>55</v>
      </c>
      <c r="M77">
        <f t="shared" si="8"/>
        <v>396</v>
      </c>
      <c r="N77">
        <f t="shared" si="9"/>
        <v>125</v>
      </c>
    </row>
    <row r="78" spans="1:14" x14ac:dyDescent="0.25">
      <c r="A78" s="1">
        <v>42003</v>
      </c>
      <c r="B78">
        <f t="shared" si="6"/>
        <v>55</v>
      </c>
      <c r="C78">
        <f t="shared" si="6"/>
        <v>396</v>
      </c>
      <c r="D78">
        <f t="shared" si="6"/>
        <v>125</v>
      </c>
      <c r="E78">
        <v>174</v>
      </c>
      <c r="F78">
        <v>61</v>
      </c>
      <c r="G78">
        <v>46</v>
      </c>
      <c r="H78">
        <f t="shared" si="5"/>
        <v>229</v>
      </c>
      <c r="I78">
        <f t="shared" si="5"/>
        <v>457</v>
      </c>
      <c r="J78">
        <f t="shared" si="5"/>
        <v>171</v>
      </c>
      <c r="K78" t="str" cm="1">
        <f t="array" ref="K78">_xlfn.IFS(H78&gt;=$U$1,"kostka",I78&gt;=$U$1*$R$3,"orzech",J78&gt;=$U$1*$R$4,"miał",1=1,"NIC")</f>
        <v>kostka</v>
      </c>
      <c r="L78">
        <f t="shared" si="7"/>
        <v>29</v>
      </c>
      <c r="M78">
        <f t="shared" si="8"/>
        <v>457</v>
      </c>
      <c r="N78">
        <f t="shared" si="9"/>
        <v>171</v>
      </c>
    </row>
    <row r="79" spans="1:14" x14ac:dyDescent="0.25">
      <c r="A79" s="1">
        <v>42004</v>
      </c>
      <c r="B79">
        <f t="shared" si="6"/>
        <v>29</v>
      </c>
      <c r="C79">
        <f t="shared" si="6"/>
        <v>457</v>
      </c>
      <c r="D79">
        <f t="shared" si="6"/>
        <v>171</v>
      </c>
      <c r="E79">
        <v>45</v>
      </c>
      <c r="F79">
        <v>154</v>
      </c>
      <c r="G79">
        <v>0</v>
      </c>
      <c r="H79">
        <f t="shared" si="5"/>
        <v>74</v>
      </c>
      <c r="I79">
        <f t="shared" si="5"/>
        <v>611</v>
      </c>
      <c r="J79">
        <f t="shared" si="5"/>
        <v>171</v>
      </c>
      <c r="K79" t="str" cm="1">
        <f t="array" ref="K79">_xlfn.IFS(H79&gt;=$U$1,"kostka",I79&gt;=$U$1*$R$3,"orzech",J79&gt;=$U$1*$R$4,"miał",1=1,"NIC")</f>
        <v>orzech</v>
      </c>
      <c r="L79">
        <f t="shared" si="7"/>
        <v>74</v>
      </c>
      <c r="M79">
        <f t="shared" si="8"/>
        <v>351</v>
      </c>
      <c r="N79">
        <f t="shared" si="9"/>
        <v>171</v>
      </c>
    </row>
    <row r="80" spans="1:14" x14ac:dyDescent="0.25">
      <c r="A80" s="1">
        <v>42005</v>
      </c>
      <c r="B80">
        <f t="shared" si="6"/>
        <v>74</v>
      </c>
      <c r="C80">
        <f t="shared" si="6"/>
        <v>351</v>
      </c>
      <c r="D80">
        <f t="shared" si="6"/>
        <v>171</v>
      </c>
      <c r="E80">
        <v>94</v>
      </c>
      <c r="F80">
        <v>120</v>
      </c>
      <c r="G80">
        <v>95</v>
      </c>
      <c r="H80">
        <f t="shared" si="5"/>
        <v>168</v>
      </c>
      <c r="I80">
        <f t="shared" si="5"/>
        <v>471</v>
      </c>
      <c r="J80">
        <f t="shared" si="5"/>
        <v>266</v>
      </c>
      <c r="K80" t="str" cm="1">
        <f t="array" ref="K80">_xlfn.IFS(H80&gt;=$U$1,"kostka",I80&gt;=$U$1*$R$3,"orzech",J80&gt;=$U$1*$R$4,"miał",1=1,"NIC")</f>
        <v>orzech</v>
      </c>
      <c r="L80">
        <f t="shared" si="7"/>
        <v>168</v>
      </c>
      <c r="M80">
        <f t="shared" si="8"/>
        <v>211</v>
      </c>
      <c r="N80">
        <f t="shared" si="9"/>
        <v>266</v>
      </c>
    </row>
    <row r="81" spans="1:14" x14ac:dyDescent="0.25">
      <c r="A81" s="1">
        <v>42006</v>
      </c>
      <c r="B81">
        <f t="shared" si="6"/>
        <v>168</v>
      </c>
      <c r="C81">
        <f t="shared" si="6"/>
        <v>211</v>
      </c>
      <c r="D81">
        <f t="shared" si="6"/>
        <v>266</v>
      </c>
      <c r="E81">
        <v>12</v>
      </c>
      <c r="F81">
        <v>5</v>
      </c>
      <c r="G81">
        <v>42</v>
      </c>
      <c r="H81">
        <f t="shared" si="5"/>
        <v>180</v>
      </c>
      <c r="I81">
        <f t="shared" si="5"/>
        <v>216</v>
      </c>
      <c r="J81">
        <f t="shared" si="5"/>
        <v>308</v>
      </c>
      <c r="K81" t="str" cm="1">
        <f t="array" ref="K81">_xlfn.IFS(H81&gt;=$U$1,"kostka",I81&gt;=$U$1*$R$3,"orzech",J81&gt;=$U$1*$R$4,"miał",1=1,"NIC")</f>
        <v>NIC</v>
      </c>
      <c r="L81">
        <f t="shared" si="7"/>
        <v>180</v>
      </c>
      <c r="M81">
        <f t="shared" si="8"/>
        <v>216</v>
      </c>
      <c r="N81">
        <f t="shared" si="9"/>
        <v>308</v>
      </c>
    </row>
    <row r="82" spans="1:14" x14ac:dyDescent="0.25">
      <c r="A82" s="1">
        <v>42007</v>
      </c>
      <c r="B82">
        <f t="shared" si="6"/>
        <v>180</v>
      </c>
      <c r="C82">
        <f t="shared" si="6"/>
        <v>216</v>
      </c>
      <c r="D82">
        <f t="shared" si="6"/>
        <v>308</v>
      </c>
      <c r="E82">
        <v>80</v>
      </c>
      <c r="F82">
        <v>170</v>
      </c>
      <c r="G82">
        <v>96</v>
      </c>
      <c r="H82">
        <f t="shared" si="5"/>
        <v>260</v>
      </c>
      <c r="I82">
        <f t="shared" si="5"/>
        <v>386</v>
      </c>
      <c r="J82">
        <f t="shared" si="5"/>
        <v>404</v>
      </c>
      <c r="K82" t="str" cm="1">
        <f t="array" ref="K82">_xlfn.IFS(H82&gt;=$U$1,"kostka",I82&gt;=$U$1*$R$3,"orzech",J82&gt;=$U$1*$R$4,"miał",1=1,"NIC")</f>
        <v>kostka</v>
      </c>
      <c r="L82">
        <f t="shared" si="7"/>
        <v>60</v>
      </c>
      <c r="M82">
        <f t="shared" si="8"/>
        <v>386</v>
      </c>
      <c r="N82">
        <f t="shared" si="9"/>
        <v>404</v>
      </c>
    </row>
    <row r="83" spans="1:14" x14ac:dyDescent="0.25">
      <c r="A83" s="1">
        <v>42008</v>
      </c>
      <c r="B83">
        <f t="shared" si="6"/>
        <v>60</v>
      </c>
      <c r="C83">
        <f t="shared" si="6"/>
        <v>386</v>
      </c>
      <c r="D83">
        <f t="shared" si="6"/>
        <v>404</v>
      </c>
      <c r="E83">
        <v>80</v>
      </c>
      <c r="F83">
        <v>10</v>
      </c>
      <c r="G83">
        <v>30</v>
      </c>
      <c r="H83">
        <f t="shared" si="5"/>
        <v>140</v>
      </c>
      <c r="I83">
        <f t="shared" si="5"/>
        <v>396</v>
      </c>
      <c r="J83">
        <f t="shared" si="5"/>
        <v>434</v>
      </c>
      <c r="K83" t="str" cm="1">
        <f t="array" ref="K83">_xlfn.IFS(H83&gt;=$U$1,"kostka",I83&gt;=$U$1*$R$3,"orzech",J83&gt;=$U$1*$R$4,"miał",1=1,"NIC")</f>
        <v>orzech</v>
      </c>
      <c r="L83">
        <f t="shared" si="7"/>
        <v>140</v>
      </c>
      <c r="M83">
        <f t="shared" si="8"/>
        <v>136</v>
      </c>
      <c r="N83">
        <f t="shared" si="9"/>
        <v>434</v>
      </c>
    </row>
    <row r="84" spans="1:14" x14ac:dyDescent="0.25">
      <c r="A84" s="1">
        <v>42009</v>
      </c>
      <c r="B84">
        <f t="shared" si="6"/>
        <v>140</v>
      </c>
      <c r="C84">
        <f t="shared" si="6"/>
        <v>136</v>
      </c>
      <c r="D84">
        <f t="shared" si="6"/>
        <v>434</v>
      </c>
      <c r="E84">
        <v>90</v>
      </c>
      <c r="F84">
        <v>80</v>
      </c>
      <c r="G84">
        <v>31</v>
      </c>
      <c r="H84">
        <f t="shared" si="5"/>
        <v>230</v>
      </c>
      <c r="I84">
        <f t="shared" si="5"/>
        <v>216</v>
      </c>
      <c r="J84">
        <f t="shared" si="5"/>
        <v>465</v>
      </c>
      <c r="K84" t="str" cm="1">
        <f t="array" ref="K84">_xlfn.IFS(H84&gt;=$U$1,"kostka",I84&gt;=$U$1*$R$3,"orzech",J84&gt;=$U$1*$R$4,"miał",1=1,"NIC")</f>
        <v>kostka</v>
      </c>
      <c r="L84">
        <f t="shared" si="7"/>
        <v>30</v>
      </c>
      <c r="M84">
        <f t="shared" si="8"/>
        <v>216</v>
      </c>
      <c r="N84">
        <f t="shared" si="9"/>
        <v>465</v>
      </c>
    </row>
    <row r="85" spans="1:14" x14ac:dyDescent="0.25">
      <c r="A85" s="1">
        <v>42010</v>
      </c>
      <c r="B85">
        <f t="shared" si="6"/>
        <v>30</v>
      </c>
      <c r="C85">
        <f t="shared" si="6"/>
        <v>216</v>
      </c>
      <c r="D85">
        <f t="shared" si="6"/>
        <v>465</v>
      </c>
      <c r="E85">
        <v>130</v>
      </c>
      <c r="F85">
        <v>163</v>
      </c>
      <c r="G85">
        <v>92</v>
      </c>
      <c r="H85">
        <f t="shared" si="5"/>
        <v>160</v>
      </c>
      <c r="I85">
        <f t="shared" si="5"/>
        <v>379</v>
      </c>
      <c r="J85">
        <f t="shared" si="5"/>
        <v>557</v>
      </c>
      <c r="K85" t="str" cm="1">
        <f t="array" ref="K85">_xlfn.IFS(H85&gt;=$U$1,"kostka",I85&gt;=$U$1*$R$3,"orzech",J85&gt;=$U$1*$R$4,"miał",1=1,"NIC")</f>
        <v>orzech</v>
      </c>
      <c r="L85">
        <f t="shared" si="7"/>
        <v>160</v>
      </c>
      <c r="M85">
        <f t="shared" si="8"/>
        <v>119</v>
      </c>
      <c r="N85">
        <f t="shared" si="9"/>
        <v>557</v>
      </c>
    </row>
    <row r="86" spans="1:14" x14ac:dyDescent="0.25">
      <c r="A86" s="1">
        <v>42011</v>
      </c>
      <c r="B86">
        <f t="shared" si="6"/>
        <v>160</v>
      </c>
      <c r="C86">
        <f t="shared" si="6"/>
        <v>119</v>
      </c>
      <c r="D86">
        <f t="shared" si="6"/>
        <v>557</v>
      </c>
      <c r="E86">
        <v>54</v>
      </c>
      <c r="F86">
        <v>7</v>
      </c>
      <c r="G86">
        <v>79</v>
      </c>
      <c r="H86">
        <f t="shared" si="5"/>
        <v>214</v>
      </c>
      <c r="I86">
        <f t="shared" si="5"/>
        <v>126</v>
      </c>
      <c r="J86">
        <f t="shared" si="5"/>
        <v>636</v>
      </c>
      <c r="K86" t="str" cm="1">
        <f t="array" ref="K86">_xlfn.IFS(H86&gt;=$U$1,"kostka",I86&gt;=$U$1*$R$3,"orzech",J86&gt;=$U$1*$R$4,"miał",1=1,"NIC")</f>
        <v>kostka</v>
      </c>
      <c r="L86">
        <f t="shared" si="7"/>
        <v>14</v>
      </c>
      <c r="M86">
        <f t="shared" si="8"/>
        <v>126</v>
      </c>
      <c r="N86">
        <f t="shared" si="9"/>
        <v>636</v>
      </c>
    </row>
    <row r="87" spans="1:14" x14ac:dyDescent="0.25">
      <c r="A87" s="1">
        <v>42012</v>
      </c>
      <c r="B87">
        <f t="shared" si="6"/>
        <v>14</v>
      </c>
      <c r="C87">
        <f t="shared" si="6"/>
        <v>126</v>
      </c>
      <c r="D87">
        <f t="shared" si="6"/>
        <v>636</v>
      </c>
      <c r="E87">
        <v>88</v>
      </c>
      <c r="F87">
        <v>125</v>
      </c>
      <c r="G87">
        <v>97</v>
      </c>
      <c r="H87">
        <f t="shared" si="5"/>
        <v>102</v>
      </c>
      <c r="I87">
        <f t="shared" si="5"/>
        <v>251</v>
      </c>
      <c r="J87">
        <f t="shared" si="5"/>
        <v>733</v>
      </c>
      <c r="K87" t="str" cm="1">
        <f t="array" ref="K87">_xlfn.IFS(H87&gt;=$U$1,"kostka",I87&gt;=$U$1*$R$3,"orzech",J87&gt;=$U$1*$R$4,"miał",1=1,"NIC")</f>
        <v>miał</v>
      </c>
      <c r="L87">
        <f t="shared" si="7"/>
        <v>102</v>
      </c>
      <c r="M87">
        <f t="shared" si="8"/>
        <v>251</v>
      </c>
      <c r="N87">
        <f t="shared" si="9"/>
        <v>413</v>
      </c>
    </row>
    <row r="88" spans="1:14" x14ac:dyDescent="0.25">
      <c r="A88" s="1">
        <v>42013</v>
      </c>
      <c r="B88">
        <f t="shared" si="6"/>
        <v>102</v>
      </c>
      <c r="C88">
        <f t="shared" si="6"/>
        <v>251</v>
      </c>
      <c r="D88">
        <f t="shared" si="6"/>
        <v>413</v>
      </c>
      <c r="E88">
        <v>83</v>
      </c>
      <c r="F88">
        <v>85</v>
      </c>
      <c r="G88">
        <v>99</v>
      </c>
      <c r="H88">
        <f t="shared" si="5"/>
        <v>185</v>
      </c>
      <c r="I88">
        <f t="shared" si="5"/>
        <v>336</v>
      </c>
      <c r="J88">
        <f t="shared" si="5"/>
        <v>512</v>
      </c>
      <c r="K88" t="str" cm="1">
        <f t="array" ref="K88">_xlfn.IFS(H88&gt;=$U$1,"kostka",I88&gt;=$U$1*$R$3,"orzech",J88&gt;=$U$1*$R$4,"miał",1=1,"NIC")</f>
        <v>orzech</v>
      </c>
      <c r="L88">
        <f t="shared" si="7"/>
        <v>185</v>
      </c>
      <c r="M88">
        <f t="shared" si="8"/>
        <v>76</v>
      </c>
      <c r="N88">
        <f t="shared" si="9"/>
        <v>512</v>
      </c>
    </row>
    <row r="89" spans="1:14" x14ac:dyDescent="0.25">
      <c r="A89" s="1">
        <v>42014</v>
      </c>
      <c r="B89">
        <f t="shared" si="6"/>
        <v>185</v>
      </c>
      <c r="C89">
        <f t="shared" si="6"/>
        <v>76</v>
      </c>
      <c r="D89">
        <f t="shared" si="6"/>
        <v>512</v>
      </c>
      <c r="E89">
        <v>139</v>
      </c>
      <c r="F89">
        <v>155</v>
      </c>
      <c r="G89">
        <v>11</v>
      </c>
      <c r="H89">
        <f t="shared" si="5"/>
        <v>324</v>
      </c>
      <c r="I89">
        <f t="shared" si="5"/>
        <v>231</v>
      </c>
      <c r="J89">
        <f t="shared" si="5"/>
        <v>523</v>
      </c>
      <c r="K89" t="str" cm="1">
        <f t="array" ref="K89">_xlfn.IFS(H89&gt;=$U$1,"kostka",I89&gt;=$U$1*$R$3,"orzech",J89&gt;=$U$1*$R$4,"miał",1=1,"NIC")</f>
        <v>kostka</v>
      </c>
      <c r="L89">
        <f t="shared" si="7"/>
        <v>124</v>
      </c>
      <c r="M89">
        <f t="shared" si="8"/>
        <v>231</v>
      </c>
      <c r="N89">
        <f t="shared" si="9"/>
        <v>523</v>
      </c>
    </row>
    <row r="90" spans="1:14" x14ac:dyDescent="0.25">
      <c r="A90" s="1">
        <v>42015</v>
      </c>
      <c r="B90">
        <f t="shared" si="6"/>
        <v>124</v>
      </c>
      <c r="C90">
        <f t="shared" si="6"/>
        <v>231</v>
      </c>
      <c r="D90">
        <f t="shared" si="6"/>
        <v>523</v>
      </c>
      <c r="E90">
        <v>82</v>
      </c>
      <c r="F90">
        <v>43</v>
      </c>
      <c r="G90">
        <v>93</v>
      </c>
      <c r="H90">
        <f t="shared" si="5"/>
        <v>206</v>
      </c>
      <c r="I90">
        <f t="shared" si="5"/>
        <v>274</v>
      </c>
      <c r="J90">
        <f t="shared" si="5"/>
        <v>616</v>
      </c>
      <c r="K90" t="str" cm="1">
        <f t="array" ref="K90">_xlfn.IFS(H90&gt;=$U$1,"kostka",I90&gt;=$U$1*$R$3,"orzech",J90&gt;=$U$1*$R$4,"miał",1=1,"NIC")</f>
        <v>kostka</v>
      </c>
      <c r="L90">
        <f t="shared" si="7"/>
        <v>6</v>
      </c>
      <c r="M90">
        <f t="shared" si="8"/>
        <v>274</v>
      </c>
      <c r="N90">
        <f t="shared" si="9"/>
        <v>616</v>
      </c>
    </row>
    <row r="91" spans="1:14" x14ac:dyDescent="0.25">
      <c r="A91" s="1">
        <v>42016</v>
      </c>
      <c r="B91">
        <f t="shared" si="6"/>
        <v>6</v>
      </c>
      <c r="C91">
        <f t="shared" si="6"/>
        <v>274</v>
      </c>
      <c r="D91">
        <f t="shared" si="6"/>
        <v>616</v>
      </c>
      <c r="E91">
        <v>23</v>
      </c>
      <c r="F91">
        <v>40</v>
      </c>
      <c r="G91">
        <v>83</v>
      </c>
      <c r="H91">
        <f t="shared" si="5"/>
        <v>29</v>
      </c>
      <c r="I91">
        <f t="shared" si="5"/>
        <v>314</v>
      </c>
      <c r="J91">
        <f t="shared" si="5"/>
        <v>699</v>
      </c>
      <c r="K91" t="str" cm="1">
        <f t="array" ref="K91">_xlfn.IFS(H91&gt;=$U$1,"kostka",I91&gt;=$U$1*$R$3,"orzech",J91&gt;=$U$1*$R$4,"miał",1=1,"NIC")</f>
        <v>orzech</v>
      </c>
      <c r="L91">
        <f t="shared" si="7"/>
        <v>29</v>
      </c>
      <c r="M91">
        <f t="shared" si="8"/>
        <v>54</v>
      </c>
      <c r="N91">
        <f t="shared" si="9"/>
        <v>699</v>
      </c>
    </row>
    <row r="92" spans="1:14" x14ac:dyDescent="0.25">
      <c r="A92" s="1">
        <v>42017</v>
      </c>
      <c r="B92">
        <f t="shared" si="6"/>
        <v>29</v>
      </c>
      <c r="C92">
        <f t="shared" si="6"/>
        <v>54</v>
      </c>
      <c r="D92">
        <f t="shared" si="6"/>
        <v>699</v>
      </c>
      <c r="E92">
        <v>118</v>
      </c>
      <c r="F92">
        <v>165</v>
      </c>
      <c r="G92">
        <v>56</v>
      </c>
      <c r="H92">
        <f t="shared" si="5"/>
        <v>147</v>
      </c>
      <c r="I92">
        <f t="shared" si="5"/>
        <v>219</v>
      </c>
      <c r="J92">
        <f t="shared" si="5"/>
        <v>755</v>
      </c>
      <c r="K92" t="str" cm="1">
        <f t="array" ref="K92">_xlfn.IFS(H92&gt;=$U$1,"kostka",I92&gt;=$U$1*$R$3,"orzech",J92&gt;=$U$1*$R$4,"miał",1=1,"NIC")</f>
        <v>miał</v>
      </c>
      <c r="L92">
        <f t="shared" si="7"/>
        <v>147</v>
      </c>
      <c r="M92">
        <f t="shared" si="8"/>
        <v>219</v>
      </c>
      <c r="N92">
        <f t="shared" si="9"/>
        <v>435</v>
      </c>
    </row>
    <row r="93" spans="1:14" x14ac:dyDescent="0.25">
      <c r="A93" s="1">
        <v>42018</v>
      </c>
      <c r="B93">
        <f t="shared" si="6"/>
        <v>147</v>
      </c>
      <c r="C93">
        <f t="shared" si="6"/>
        <v>219</v>
      </c>
      <c r="D93">
        <f t="shared" si="6"/>
        <v>435</v>
      </c>
      <c r="E93">
        <v>59</v>
      </c>
      <c r="F93">
        <v>35</v>
      </c>
      <c r="G93">
        <v>17</v>
      </c>
      <c r="H93">
        <f t="shared" si="5"/>
        <v>206</v>
      </c>
      <c r="I93">
        <f t="shared" si="5"/>
        <v>254</v>
      </c>
      <c r="J93">
        <f t="shared" si="5"/>
        <v>452</v>
      </c>
      <c r="K93" t="str" cm="1">
        <f t="array" ref="K93">_xlfn.IFS(H93&gt;=$U$1,"kostka",I93&gt;=$U$1*$R$3,"orzech",J93&gt;=$U$1*$R$4,"miał",1=1,"NIC")</f>
        <v>kostka</v>
      </c>
      <c r="L93">
        <f t="shared" si="7"/>
        <v>6</v>
      </c>
      <c r="M93">
        <f t="shared" si="8"/>
        <v>254</v>
      </c>
      <c r="N93">
        <f t="shared" si="9"/>
        <v>452</v>
      </c>
    </row>
    <row r="94" spans="1:14" x14ac:dyDescent="0.25">
      <c r="A94" s="1">
        <v>42019</v>
      </c>
      <c r="B94">
        <f t="shared" si="6"/>
        <v>6</v>
      </c>
      <c r="C94">
        <f t="shared" si="6"/>
        <v>254</v>
      </c>
      <c r="D94">
        <f t="shared" si="6"/>
        <v>452</v>
      </c>
      <c r="E94">
        <v>127</v>
      </c>
      <c r="F94">
        <v>58</v>
      </c>
      <c r="G94">
        <v>39</v>
      </c>
      <c r="H94">
        <f t="shared" si="5"/>
        <v>133</v>
      </c>
      <c r="I94">
        <f t="shared" si="5"/>
        <v>312</v>
      </c>
      <c r="J94">
        <f t="shared" si="5"/>
        <v>491</v>
      </c>
      <c r="K94" t="str" cm="1">
        <f t="array" ref="K94">_xlfn.IFS(H94&gt;=$U$1,"kostka",I94&gt;=$U$1*$R$3,"orzech",J94&gt;=$U$1*$R$4,"miał",1=1,"NIC")</f>
        <v>orzech</v>
      </c>
      <c r="L94">
        <f t="shared" si="7"/>
        <v>133</v>
      </c>
      <c r="M94">
        <f t="shared" si="8"/>
        <v>52</v>
      </c>
      <c r="N94">
        <f t="shared" si="9"/>
        <v>491</v>
      </c>
    </row>
    <row r="95" spans="1:14" x14ac:dyDescent="0.25">
      <c r="A95" s="1">
        <v>42020</v>
      </c>
      <c r="B95">
        <f t="shared" si="6"/>
        <v>133</v>
      </c>
      <c r="C95">
        <f t="shared" si="6"/>
        <v>52</v>
      </c>
      <c r="D95">
        <f t="shared" si="6"/>
        <v>491</v>
      </c>
      <c r="E95">
        <v>121</v>
      </c>
      <c r="F95">
        <v>175</v>
      </c>
      <c r="G95">
        <v>77</v>
      </c>
      <c r="H95">
        <f t="shared" si="5"/>
        <v>254</v>
      </c>
      <c r="I95">
        <f t="shared" si="5"/>
        <v>227</v>
      </c>
      <c r="J95">
        <f t="shared" si="5"/>
        <v>568</v>
      </c>
      <c r="K95" t="str" cm="1">
        <f t="array" ref="K95">_xlfn.IFS(H95&gt;=$U$1,"kostka",I95&gt;=$U$1*$R$3,"orzech",J95&gt;=$U$1*$R$4,"miał",1=1,"NIC")</f>
        <v>kostka</v>
      </c>
      <c r="L95">
        <f t="shared" si="7"/>
        <v>54</v>
      </c>
      <c r="M95">
        <f t="shared" si="8"/>
        <v>227</v>
      </c>
      <c r="N95">
        <f t="shared" si="9"/>
        <v>568</v>
      </c>
    </row>
    <row r="96" spans="1:14" x14ac:dyDescent="0.25">
      <c r="A96" s="1">
        <v>42021</v>
      </c>
      <c r="B96">
        <f t="shared" si="6"/>
        <v>54</v>
      </c>
      <c r="C96">
        <f t="shared" si="6"/>
        <v>227</v>
      </c>
      <c r="D96">
        <f t="shared" si="6"/>
        <v>568</v>
      </c>
      <c r="E96">
        <v>80</v>
      </c>
      <c r="F96">
        <v>101</v>
      </c>
      <c r="G96">
        <v>3</v>
      </c>
      <c r="H96">
        <f t="shared" si="5"/>
        <v>134</v>
      </c>
      <c r="I96">
        <f t="shared" si="5"/>
        <v>328</v>
      </c>
      <c r="J96">
        <f t="shared" si="5"/>
        <v>571</v>
      </c>
      <c r="K96" t="str" cm="1">
        <f t="array" ref="K96">_xlfn.IFS(H96&gt;=$U$1,"kostka",I96&gt;=$U$1*$R$3,"orzech",J96&gt;=$U$1*$R$4,"miał",1=1,"NIC")</f>
        <v>orzech</v>
      </c>
      <c r="L96">
        <f t="shared" si="7"/>
        <v>134</v>
      </c>
      <c r="M96">
        <f t="shared" si="8"/>
        <v>68</v>
      </c>
      <c r="N96">
        <f t="shared" si="9"/>
        <v>571</v>
      </c>
    </row>
    <row r="97" spans="1:14" x14ac:dyDescent="0.25">
      <c r="A97" s="1">
        <v>42022</v>
      </c>
      <c r="B97">
        <f t="shared" si="6"/>
        <v>134</v>
      </c>
      <c r="C97">
        <f t="shared" si="6"/>
        <v>68</v>
      </c>
      <c r="D97">
        <f t="shared" si="6"/>
        <v>571</v>
      </c>
      <c r="E97">
        <v>189</v>
      </c>
      <c r="F97">
        <v>161</v>
      </c>
      <c r="G97">
        <v>53</v>
      </c>
      <c r="H97">
        <f t="shared" si="5"/>
        <v>323</v>
      </c>
      <c r="I97">
        <f t="shared" si="5"/>
        <v>229</v>
      </c>
      <c r="J97">
        <f t="shared" si="5"/>
        <v>624</v>
      </c>
      <c r="K97" t="str" cm="1">
        <f t="array" ref="K97">_xlfn.IFS(H97&gt;=$U$1,"kostka",I97&gt;=$U$1*$R$3,"orzech",J97&gt;=$U$1*$R$4,"miał",1=1,"NIC")</f>
        <v>kostka</v>
      </c>
      <c r="L97">
        <f t="shared" si="7"/>
        <v>123</v>
      </c>
      <c r="M97">
        <f t="shared" si="8"/>
        <v>229</v>
      </c>
      <c r="N97">
        <f t="shared" si="9"/>
        <v>624</v>
      </c>
    </row>
    <row r="98" spans="1:14" x14ac:dyDescent="0.25">
      <c r="A98" s="1">
        <v>42023</v>
      </c>
      <c r="B98">
        <f t="shared" si="6"/>
        <v>123</v>
      </c>
      <c r="C98">
        <f t="shared" si="6"/>
        <v>229</v>
      </c>
      <c r="D98">
        <f t="shared" si="6"/>
        <v>624</v>
      </c>
      <c r="E98">
        <v>18</v>
      </c>
      <c r="F98">
        <v>61</v>
      </c>
      <c r="G98">
        <v>19</v>
      </c>
      <c r="H98">
        <f t="shared" si="5"/>
        <v>141</v>
      </c>
      <c r="I98">
        <f t="shared" si="5"/>
        <v>290</v>
      </c>
      <c r="J98">
        <f t="shared" si="5"/>
        <v>643</v>
      </c>
      <c r="K98" t="str" cm="1">
        <f t="array" ref="K98">_xlfn.IFS(H98&gt;=$U$1,"kostka",I98&gt;=$U$1*$R$3,"orzech",J98&gt;=$U$1*$R$4,"miał",1=1,"NIC")</f>
        <v>orzech</v>
      </c>
      <c r="L98">
        <f t="shared" si="7"/>
        <v>141</v>
      </c>
      <c r="M98">
        <f t="shared" si="8"/>
        <v>30</v>
      </c>
      <c r="N98">
        <f t="shared" si="9"/>
        <v>643</v>
      </c>
    </row>
    <row r="99" spans="1:14" x14ac:dyDescent="0.25">
      <c r="A99" s="1">
        <v>42024</v>
      </c>
      <c r="B99">
        <f t="shared" si="6"/>
        <v>141</v>
      </c>
      <c r="C99">
        <f t="shared" si="6"/>
        <v>30</v>
      </c>
      <c r="D99">
        <f t="shared" si="6"/>
        <v>643</v>
      </c>
      <c r="E99">
        <v>68</v>
      </c>
      <c r="F99">
        <v>127</v>
      </c>
      <c r="G99">
        <v>3</v>
      </c>
      <c r="H99">
        <f t="shared" si="5"/>
        <v>209</v>
      </c>
      <c r="I99">
        <f t="shared" si="5"/>
        <v>157</v>
      </c>
      <c r="J99">
        <f t="shared" si="5"/>
        <v>646</v>
      </c>
      <c r="K99" t="str" cm="1">
        <f t="array" ref="K99">_xlfn.IFS(H99&gt;=$U$1,"kostka",I99&gt;=$U$1*$R$3,"orzech",J99&gt;=$U$1*$R$4,"miał",1=1,"NIC")</f>
        <v>kostka</v>
      </c>
      <c r="L99">
        <f t="shared" si="7"/>
        <v>9</v>
      </c>
      <c r="M99">
        <f t="shared" si="8"/>
        <v>157</v>
      </c>
      <c r="N99">
        <f t="shared" si="9"/>
        <v>646</v>
      </c>
    </row>
    <row r="100" spans="1:14" x14ac:dyDescent="0.25">
      <c r="A100" s="1">
        <v>42025</v>
      </c>
      <c r="B100">
        <f t="shared" si="6"/>
        <v>9</v>
      </c>
      <c r="C100">
        <f t="shared" si="6"/>
        <v>157</v>
      </c>
      <c r="D100">
        <f t="shared" si="6"/>
        <v>646</v>
      </c>
      <c r="E100">
        <v>37</v>
      </c>
      <c r="F100">
        <v>112</v>
      </c>
      <c r="G100">
        <v>68</v>
      </c>
      <c r="H100">
        <f t="shared" si="5"/>
        <v>46</v>
      </c>
      <c r="I100">
        <f t="shared" si="5"/>
        <v>269</v>
      </c>
      <c r="J100">
        <f t="shared" si="5"/>
        <v>714</v>
      </c>
      <c r="K100" t="str" cm="1">
        <f t="array" ref="K100">_xlfn.IFS(H100&gt;=$U$1,"kostka",I100&gt;=$U$1*$R$3,"orzech",J100&gt;=$U$1*$R$4,"miał",1=1,"NIC")</f>
        <v>orzech</v>
      </c>
      <c r="L100">
        <f t="shared" si="7"/>
        <v>46</v>
      </c>
      <c r="M100">
        <f t="shared" si="8"/>
        <v>9</v>
      </c>
      <c r="N100">
        <f t="shared" si="9"/>
        <v>714</v>
      </c>
    </row>
    <row r="101" spans="1:14" x14ac:dyDescent="0.25">
      <c r="A101" s="1">
        <v>42026</v>
      </c>
      <c r="B101">
        <f t="shared" si="6"/>
        <v>46</v>
      </c>
      <c r="C101">
        <f t="shared" si="6"/>
        <v>9</v>
      </c>
      <c r="D101">
        <f t="shared" si="6"/>
        <v>714</v>
      </c>
      <c r="E101">
        <v>40</v>
      </c>
      <c r="F101">
        <v>140</v>
      </c>
      <c r="G101">
        <v>15</v>
      </c>
      <c r="H101">
        <f t="shared" si="5"/>
        <v>86</v>
      </c>
      <c r="I101">
        <f t="shared" si="5"/>
        <v>149</v>
      </c>
      <c r="J101">
        <f t="shared" si="5"/>
        <v>729</v>
      </c>
      <c r="K101" t="str" cm="1">
        <f t="array" ref="K101">_xlfn.IFS(H101&gt;=$U$1,"kostka",I101&gt;=$U$1*$R$3,"orzech",J101&gt;=$U$1*$R$4,"miał",1=1,"NIC")</f>
        <v>miał</v>
      </c>
      <c r="L101">
        <f t="shared" si="7"/>
        <v>86</v>
      </c>
      <c r="M101">
        <f t="shared" si="8"/>
        <v>149</v>
      </c>
      <c r="N101">
        <f t="shared" si="9"/>
        <v>409</v>
      </c>
    </row>
    <row r="102" spans="1:14" x14ac:dyDescent="0.25">
      <c r="A102" s="1">
        <v>42027</v>
      </c>
      <c r="B102">
        <f t="shared" si="6"/>
        <v>86</v>
      </c>
      <c r="C102">
        <f t="shared" si="6"/>
        <v>149</v>
      </c>
      <c r="D102">
        <f t="shared" si="6"/>
        <v>409</v>
      </c>
      <c r="E102">
        <v>189</v>
      </c>
      <c r="F102">
        <v>87</v>
      </c>
      <c r="G102">
        <v>64</v>
      </c>
      <c r="H102">
        <f t="shared" si="5"/>
        <v>275</v>
      </c>
      <c r="I102">
        <f t="shared" si="5"/>
        <v>236</v>
      </c>
      <c r="J102">
        <f t="shared" si="5"/>
        <v>473</v>
      </c>
      <c r="K102" t="str" cm="1">
        <f t="array" ref="K102">_xlfn.IFS(H102&gt;=$U$1,"kostka",I102&gt;=$U$1*$R$3,"orzech",J102&gt;=$U$1*$R$4,"miał",1=1,"NIC")</f>
        <v>kostka</v>
      </c>
      <c r="L102">
        <f t="shared" si="7"/>
        <v>75</v>
      </c>
      <c r="M102">
        <f t="shared" si="8"/>
        <v>236</v>
      </c>
      <c r="N102">
        <f t="shared" si="9"/>
        <v>473</v>
      </c>
    </row>
    <row r="103" spans="1:14" x14ac:dyDescent="0.25">
      <c r="A103" s="1">
        <v>42028</v>
      </c>
      <c r="B103">
        <f t="shared" si="6"/>
        <v>75</v>
      </c>
      <c r="C103">
        <f t="shared" si="6"/>
        <v>236</v>
      </c>
      <c r="D103">
        <f t="shared" si="6"/>
        <v>473</v>
      </c>
      <c r="E103">
        <v>145</v>
      </c>
      <c r="F103">
        <v>18</v>
      </c>
      <c r="G103">
        <v>1</v>
      </c>
      <c r="H103">
        <f t="shared" si="5"/>
        <v>220</v>
      </c>
      <c r="I103">
        <f t="shared" si="5"/>
        <v>254</v>
      </c>
      <c r="J103">
        <f t="shared" si="5"/>
        <v>474</v>
      </c>
      <c r="K103" t="str" cm="1">
        <f t="array" ref="K103">_xlfn.IFS(H103&gt;=$U$1,"kostka",I103&gt;=$U$1*$R$3,"orzech",J103&gt;=$U$1*$R$4,"miał",1=1,"NIC")</f>
        <v>kostka</v>
      </c>
      <c r="L103">
        <f t="shared" si="7"/>
        <v>20</v>
      </c>
      <c r="M103">
        <f t="shared" si="8"/>
        <v>254</v>
      </c>
      <c r="N103">
        <f t="shared" si="9"/>
        <v>474</v>
      </c>
    </row>
    <row r="104" spans="1:14" x14ac:dyDescent="0.25">
      <c r="A104" s="1">
        <v>42029</v>
      </c>
      <c r="B104">
        <f t="shared" si="6"/>
        <v>20</v>
      </c>
      <c r="C104">
        <f t="shared" si="6"/>
        <v>254</v>
      </c>
      <c r="D104">
        <f t="shared" si="6"/>
        <v>474</v>
      </c>
      <c r="E104">
        <v>148</v>
      </c>
      <c r="F104">
        <v>27</v>
      </c>
      <c r="G104">
        <v>13</v>
      </c>
      <c r="H104">
        <f t="shared" si="5"/>
        <v>168</v>
      </c>
      <c r="I104">
        <f t="shared" si="5"/>
        <v>281</v>
      </c>
      <c r="J104">
        <f t="shared" si="5"/>
        <v>487</v>
      </c>
      <c r="K104" t="str" cm="1">
        <f t="array" ref="K104">_xlfn.IFS(H104&gt;=$U$1,"kostka",I104&gt;=$U$1*$R$3,"orzech",J104&gt;=$U$1*$R$4,"miał",1=1,"NIC")</f>
        <v>orzech</v>
      </c>
      <c r="L104">
        <f t="shared" si="7"/>
        <v>168</v>
      </c>
      <c r="M104">
        <f t="shared" si="8"/>
        <v>21</v>
      </c>
      <c r="N104">
        <f t="shared" si="9"/>
        <v>487</v>
      </c>
    </row>
    <row r="105" spans="1:14" x14ac:dyDescent="0.25">
      <c r="A105" s="1">
        <v>42030</v>
      </c>
      <c r="B105">
        <f t="shared" si="6"/>
        <v>168</v>
      </c>
      <c r="C105">
        <f t="shared" si="6"/>
        <v>21</v>
      </c>
      <c r="D105">
        <f t="shared" si="6"/>
        <v>487</v>
      </c>
      <c r="E105">
        <v>127</v>
      </c>
      <c r="F105">
        <v>161</v>
      </c>
      <c r="G105">
        <v>31</v>
      </c>
      <c r="H105">
        <f t="shared" si="5"/>
        <v>295</v>
      </c>
      <c r="I105">
        <f t="shared" si="5"/>
        <v>182</v>
      </c>
      <c r="J105">
        <f t="shared" si="5"/>
        <v>518</v>
      </c>
      <c r="K105" t="str" cm="1">
        <f t="array" ref="K105">_xlfn.IFS(H105&gt;=$U$1,"kostka",I105&gt;=$U$1*$R$3,"orzech",J105&gt;=$U$1*$R$4,"miał",1=1,"NIC")</f>
        <v>kostka</v>
      </c>
      <c r="L105">
        <f t="shared" si="7"/>
        <v>95</v>
      </c>
      <c r="M105">
        <f t="shared" si="8"/>
        <v>182</v>
      </c>
      <c r="N105">
        <f t="shared" si="9"/>
        <v>518</v>
      </c>
    </row>
    <row r="106" spans="1:14" x14ac:dyDescent="0.25">
      <c r="A106" s="1">
        <v>42031</v>
      </c>
      <c r="B106">
        <f t="shared" si="6"/>
        <v>95</v>
      </c>
      <c r="C106">
        <f t="shared" si="6"/>
        <v>182</v>
      </c>
      <c r="D106">
        <f t="shared" si="6"/>
        <v>518</v>
      </c>
      <c r="E106">
        <v>131</v>
      </c>
      <c r="F106">
        <v>1</v>
      </c>
      <c r="G106">
        <v>98</v>
      </c>
      <c r="H106">
        <f t="shared" si="5"/>
        <v>226</v>
      </c>
      <c r="I106">
        <f t="shared" si="5"/>
        <v>183</v>
      </c>
      <c r="J106">
        <f t="shared" si="5"/>
        <v>616</v>
      </c>
      <c r="K106" t="str" cm="1">
        <f t="array" ref="K106">_xlfn.IFS(H106&gt;=$U$1,"kostka",I106&gt;=$U$1*$R$3,"orzech",J106&gt;=$U$1*$R$4,"miał",1=1,"NIC")</f>
        <v>kostka</v>
      </c>
      <c r="L106">
        <f t="shared" si="7"/>
        <v>26</v>
      </c>
      <c r="M106">
        <f t="shared" si="8"/>
        <v>183</v>
      </c>
      <c r="N106">
        <f t="shared" si="9"/>
        <v>616</v>
      </c>
    </row>
    <row r="107" spans="1:14" x14ac:dyDescent="0.25">
      <c r="A107" s="1">
        <v>42032</v>
      </c>
      <c r="B107">
        <f t="shared" si="6"/>
        <v>26</v>
      </c>
      <c r="C107">
        <f t="shared" si="6"/>
        <v>183</v>
      </c>
      <c r="D107">
        <f t="shared" si="6"/>
        <v>616</v>
      </c>
      <c r="E107">
        <v>142</v>
      </c>
      <c r="F107">
        <v>131</v>
      </c>
      <c r="G107">
        <v>62</v>
      </c>
      <c r="H107">
        <f t="shared" si="5"/>
        <v>168</v>
      </c>
      <c r="I107">
        <f t="shared" si="5"/>
        <v>314</v>
      </c>
      <c r="J107">
        <f t="shared" si="5"/>
        <v>678</v>
      </c>
      <c r="K107" t="str" cm="1">
        <f t="array" ref="K107">_xlfn.IFS(H107&gt;=$U$1,"kostka",I107&gt;=$U$1*$R$3,"orzech",J107&gt;=$U$1*$R$4,"miał",1=1,"NIC")</f>
        <v>orzech</v>
      </c>
      <c r="L107">
        <f t="shared" si="7"/>
        <v>168</v>
      </c>
      <c r="M107">
        <f t="shared" si="8"/>
        <v>54</v>
      </c>
      <c r="N107">
        <f t="shared" si="9"/>
        <v>678</v>
      </c>
    </row>
    <row r="108" spans="1:14" x14ac:dyDescent="0.25">
      <c r="A108" s="1">
        <v>42033</v>
      </c>
      <c r="B108">
        <f t="shared" si="6"/>
        <v>168</v>
      </c>
      <c r="C108">
        <f t="shared" si="6"/>
        <v>54</v>
      </c>
      <c r="D108">
        <f t="shared" si="6"/>
        <v>678</v>
      </c>
      <c r="E108">
        <v>121</v>
      </c>
      <c r="F108">
        <v>150</v>
      </c>
      <c r="G108">
        <v>25</v>
      </c>
      <c r="H108">
        <f t="shared" si="5"/>
        <v>289</v>
      </c>
      <c r="I108">
        <f t="shared" si="5"/>
        <v>204</v>
      </c>
      <c r="J108">
        <f t="shared" si="5"/>
        <v>703</v>
      </c>
      <c r="K108" t="str" cm="1">
        <f t="array" ref="K108">_xlfn.IFS(H108&gt;=$U$1,"kostka",I108&gt;=$U$1*$R$3,"orzech",J108&gt;=$U$1*$R$4,"miał",1=1,"NIC")</f>
        <v>kostka</v>
      </c>
      <c r="L108">
        <f t="shared" si="7"/>
        <v>89</v>
      </c>
      <c r="M108">
        <f t="shared" si="8"/>
        <v>204</v>
      </c>
      <c r="N108">
        <f t="shared" si="9"/>
        <v>703</v>
      </c>
    </row>
    <row r="109" spans="1:14" x14ac:dyDescent="0.25">
      <c r="A109" s="1">
        <v>42034</v>
      </c>
      <c r="B109">
        <f t="shared" si="6"/>
        <v>89</v>
      </c>
      <c r="C109">
        <f t="shared" si="6"/>
        <v>204</v>
      </c>
      <c r="D109">
        <f t="shared" si="6"/>
        <v>703</v>
      </c>
      <c r="E109">
        <v>33</v>
      </c>
      <c r="F109">
        <v>113</v>
      </c>
      <c r="G109">
        <v>62</v>
      </c>
      <c r="H109">
        <f t="shared" si="5"/>
        <v>122</v>
      </c>
      <c r="I109">
        <f t="shared" si="5"/>
        <v>317</v>
      </c>
      <c r="J109">
        <f t="shared" si="5"/>
        <v>765</v>
      </c>
      <c r="K109" t="str" cm="1">
        <f t="array" ref="K109">_xlfn.IFS(H109&gt;=$U$1,"kostka",I109&gt;=$U$1*$R$3,"orzech",J109&gt;=$U$1*$R$4,"miał",1=1,"NIC")</f>
        <v>orzech</v>
      </c>
      <c r="L109">
        <f t="shared" si="7"/>
        <v>122</v>
      </c>
      <c r="M109">
        <f t="shared" si="8"/>
        <v>57</v>
      </c>
      <c r="N109">
        <f t="shared" si="9"/>
        <v>765</v>
      </c>
    </row>
    <row r="110" spans="1:14" x14ac:dyDescent="0.25">
      <c r="A110" s="1">
        <v>42035</v>
      </c>
      <c r="B110">
        <f t="shared" si="6"/>
        <v>122</v>
      </c>
      <c r="C110">
        <f t="shared" si="6"/>
        <v>57</v>
      </c>
      <c r="D110">
        <f t="shared" si="6"/>
        <v>765</v>
      </c>
      <c r="E110">
        <v>142</v>
      </c>
      <c r="F110">
        <v>44</v>
      </c>
      <c r="G110">
        <v>92</v>
      </c>
      <c r="H110">
        <f t="shared" si="5"/>
        <v>264</v>
      </c>
      <c r="I110">
        <f t="shared" si="5"/>
        <v>101</v>
      </c>
      <c r="J110">
        <f t="shared" si="5"/>
        <v>857</v>
      </c>
      <c r="K110" t="str" cm="1">
        <f t="array" ref="K110">_xlfn.IFS(H110&gt;=$U$1,"kostka",I110&gt;=$U$1*$R$3,"orzech",J110&gt;=$U$1*$R$4,"miał",1=1,"NIC")</f>
        <v>kostka</v>
      </c>
      <c r="L110">
        <f t="shared" si="7"/>
        <v>64</v>
      </c>
      <c r="M110">
        <f t="shared" si="8"/>
        <v>101</v>
      </c>
      <c r="N110">
        <f t="shared" si="9"/>
        <v>857</v>
      </c>
    </row>
    <row r="111" spans="1:14" x14ac:dyDescent="0.25">
      <c r="A111" s="1">
        <v>42036</v>
      </c>
      <c r="B111">
        <f t="shared" si="6"/>
        <v>64</v>
      </c>
      <c r="C111">
        <f t="shared" si="6"/>
        <v>101</v>
      </c>
      <c r="D111">
        <f t="shared" si="6"/>
        <v>857</v>
      </c>
      <c r="E111">
        <v>119</v>
      </c>
      <c r="F111">
        <v>167</v>
      </c>
      <c r="G111">
        <v>64</v>
      </c>
      <c r="H111">
        <f t="shared" si="5"/>
        <v>183</v>
      </c>
      <c r="I111">
        <f t="shared" si="5"/>
        <v>268</v>
      </c>
      <c r="J111">
        <f t="shared" si="5"/>
        <v>921</v>
      </c>
      <c r="K111" t="str" cm="1">
        <f t="array" ref="K111">_xlfn.IFS(H111&gt;=$U$1,"kostka",I111&gt;=$U$1*$R$3,"orzech",J111&gt;=$U$1*$R$4,"miał",1=1,"NIC")</f>
        <v>orzech</v>
      </c>
      <c r="L111">
        <f t="shared" si="7"/>
        <v>183</v>
      </c>
      <c r="M111">
        <f t="shared" si="8"/>
        <v>8</v>
      </c>
      <c r="N111">
        <f t="shared" si="9"/>
        <v>921</v>
      </c>
    </row>
    <row r="112" spans="1:14" x14ac:dyDescent="0.25">
      <c r="A112" s="1">
        <v>42037</v>
      </c>
      <c r="B112">
        <f t="shared" si="6"/>
        <v>183</v>
      </c>
      <c r="C112">
        <f t="shared" si="6"/>
        <v>8</v>
      </c>
      <c r="D112">
        <f t="shared" si="6"/>
        <v>921</v>
      </c>
      <c r="E112">
        <v>54</v>
      </c>
      <c r="F112">
        <v>109</v>
      </c>
      <c r="G112">
        <v>65</v>
      </c>
      <c r="H112">
        <f t="shared" si="5"/>
        <v>237</v>
      </c>
      <c r="I112">
        <f t="shared" si="5"/>
        <v>117</v>
      </c>
      <c r="J112">
        <f t="shared" si="5"/>
        <v>986</v>
      </c>
      <c r="K112" t="str" cm="1">
        <f t="array" ref="K112">_xlfn.IFS(H112&gt;=$U$1,"kostka",I112&gt;=$U$1*$R$3,"orzech",J112&gt;=$U$1*$R$4,"miał",1=1,"NIC")</f>
        <v>kostka</v>
      </c>
      <c r="L112">
        <f t="shared" si="7"/>
        <v>37</v>
      </c>
      <c r="M112">
        <f t="shared" si="8"/>
        <v>117</v>
      </c>
      <c r="N112">
        <f t="shared" si="9"/>
        <v>986</v>
      </c>
    </row>
    <row r="113" spans="1:14" x14ac:dyDescent="0.25">
      <c r="A113" s="1">
        <v>42038</v>
      </c>
      <c r="B113">
        <f t="shared" si="6"/>
        <v>37</v>
      </c>
      <c r="C113">
        <f t="shared" si="6"/>
        <v>117</v>
      </c>
      <c r="D113">
        <f t="shared" si="6"/>
        <v>986</v>
      </c>
      <c r="E113">
        <v>53</v>
      </c>
      <c r="F113">
        <v>94</v>
      </c>
      <c r="G113">
        <v>43</v>
      </c>
      <c r="H113">
        <f t="shared" si="5"/>
        <v>90</v>
      </c>
      <c r="I113">
        <f t="shared" si="5"/>
        <v>211</v>
      </c>
      <c r="J113">
        <f t="shared" si="5"/>
        <v>1029</v>
      </c>
      <c r="K113" t="str" cm="1">
        <f t="array" ref="K113">_xlfn.IFS(H113&gt;=$U$1,"kostka",I113&gt;=$U$1*$R$3,"orzech",J113&gt;=$U$1*$R$4,"miał",1=1,"NIC")</f>
        <v>miał</v>
      </c>
      <c r="L113">
        <f t="shared" si="7"/>
        <v>90</v>
      </c>
      <c r="M113">
        <f t="shared" si="8"/>
        <v>211</v>
      </c>
      <c r="N113">
        <f t="shared" si="9"/>
        <v>709</v>
      </c>
    </row>
    <row r="114" spans="1:14" x14ac:dyDescent="0.25">
      <c r="A114" s="1">
        <v>42039</v>
      </c>
      <c r="B114">
        <f t="shared" si="6"/>
        <v>90</v>
      </c>
      <c r="C114">
        <f t="shared" si="6"/>
        <v>211</v>
      </c>
      <c r="D114">
        <f t="shared" si="6"/>
        <v>709</v>
      </c>
      <c r="E114">
        <v>165</v>
      </c>
      <c r="F114">
        <v>101</v>
      </c>
      <c r="G114">
        <v>8</v>
      </c>
      <c r="H114">
        <f t="shared" si="5"/>
        <v>255</v>
      </c>
      <c r="I114">
        <f t="shared" si="5"/>
        <v>312</v>
      </c>
      <c r="J114">
        <f t="shared" si="5"/>
        <v>717</v>
      </c>
      <c r="K114" t="str" cm="1">
        <f t="array" ref="K114">_xlfn.IFS(H114&gt;=$U$1,"kostka",I114&gt;=$U$1*$R$3,"orzech",J114&gt;=$U$1*$R$4,"miał",1=1,"NIC")</f>
        <v>kostka</v>
      </c>
      <c r="L114">
        <f t="shared" si="7"/>
        <v>55</v>
      </c>
      <c r="M114">
        <f t="shared" si="8"/>
        <v>312</v>
      </c>
      <c r="N114">
        <f t="shared" si="9"/>
        <v>717</v>
      </c>
    </row>
    <row r="115" spans="1:14" x14ac:dyDescent="0.25">
      <c r="A115" s="1">
        <v>42040</v>
      </c>
      <c r="B115">
        <f t="shared" si="6"/>
        <v>55</v>
      </c>
      <c r="C115">
        <f t="shared" si="6"/>
        <v>312</v>
      </c>
      <c r="D115">
        <f t="shared" si="6"/>
        <v>717</v>
      </c>
      <c r="E115">
        <v>159</v>
      </c>
      <c r="F115">
        <v>68</v>
      </c>
      <c r="G115">
        <v>96</v>
      </c>
      <c r="H115">
        <f t="shared" si="5"/>
        <v>214</v>
      </c>
      <c r="I115">
        <f t="shared" si="5"/>
        <v>380</v>
      </c>
      <c r="J115">
        <f t="shared" si="5"/>
        <v>813</v>
      </c>
      <c r="K115" t="str" cm="1">
        <f t="array" ref="K115">_xlfn.IFS(H115&gt;=$U$1,"kostka",I115&gt;=$U$1*$R$3,"orzech",J115&gt;=$U$1*$R$4,"miał",1=1,"NIC")</f>
        <v>kostka</v>
      </c>
      <c r="L115">
        <f t="shared" si="7"/>
        <v>14</v>
      </c>
      <c r="M115">
        <f t="shared" si="8"/>
        <v>380</v>
      </c>
      <c r="N115">
        <f t="shared" si="9"/>
        <v>813</v>
      </c>
    </row>
    <row r="116" spans="1:14" x14ac:dyDescent="0.25">
      <c r="A116" s="1">
        <v>42041</v>
      </c>
      <c r="B116">
        <f t="shared" si="6"/>
        <v>14</v>
      </c>
      <c r="C116">
        <f t="shared" si="6"/>
        <v>380</v>
      </c>
      <c r="D116">
        <f t="shared" si="6"/>
        <v>813</v>
      </c>
      <c r="E116">
        <v>79</v>
      </c>
      <c r="F116">
        <v>119</v>
      </c>
      <c r="G116">
        <v>35</v>
      </c>
      <c r="H116">
        <f t="shared" si="5"/>
        <v>93</v>
      </c>
      <c r="I116">
        <f t="shared" si="5"/>
        <v>499</v>
      </c>
      <c r="J116">
        <f t="shared" si="5"/>
        <v>848</v>
      </c>
      <c r="K116" t="str" cm="1">
        <f t="array" ref="K116">_xlfn.IFS(H116&gt;=$U$1,"kostka",I116&gt;=$U$1*$R$3,"orzech",J116&gt;=$U$1*$R$4,"miał",1=1,"NIC")</f>
        <v>orzech</v>
      </c>
      <c r="L116">
        <f t="shared" si="7"/>
        <v>93</v>
      </c>
      <c r="M116">
        <f t="shared" si="8"/>
        <v>239</v>
      </c>
      <c r="N116">
        <f t="shared" si="9"/>
        <v>848</v>
      </c>
    </row>
    <row r="117" spans="1:14" x14ac:dyDescent="0.25">
      <c r="A117" s="1">
        <v>42042</v>
      </c>
      <c r="B117">
        <f t="shared" si="6"/>
        <v>93</v>
      </c>
      <c r="C117">
        <f t="shared" si="6"/>
        <v>239</v>
      </c>
      <c r="D117">
        <f t="shared" si="6"/>
        <v>848</v>
      </c>
      <c r="E117">
        <v>128</v>
      </c>
      <c r="F117">
        <v>148</v>
      </c>
      <c r="G117">
        <v>77</v>
      </c>
      <c r="H117">
        <f t="shared" si="5"/>
        <v>221</v>
      </c>
      <c r="I117">
        <f t="shared" si="5"/>
        <v>387</v>
      </c>
      <c r="J117">
        <f t="shared" si="5"/>
        <v>925</v>
      </c>
      <c r="K117" t="str" cm="1">
        <f t="array" ref="K117">_xlfn.IFS(H117&gt;=$U$1,"kostka",I117&gt;=$U$1*$R$3,"orzech",J117&gt;=$U$1*$R$4,"miał",1=1,"NIC")</f>
        <v>kostka</v>
      </c>
      <c r="L117">
        <f t="shared" si="7"/>
        <v>21</v>
      </c>
      <c r="M117">
        <f t="shared" si="8"/>
        <v>387</v>
      </c>
      <c r="N117">
        <f t="shared" si="9"/>
        <v>925</v>
      </c>
    </row>
    <row r="118" spans="1:14" x14ac:dyDescent="0.25">
      <c r="A118" s="1">
        <v>42043</v>
      </c>
      <c r="B118">
        <f t="shared" si="6"/>
        <v>21</v>
      </c>
      <c r="C118">
        <f t="shared" si="6"/>
        <v>387</v>
      </c>
      <c r="D118">
        <f t="shared" si="6"/>
        <v>925</v>
      </c>
      <c r="E118">
        <v>195</v>
      </c>
      <c r="F118">
        <v>39</v>
      </c>
      <c r="G118">
        <v>77</v>
      </c>
      <c r="H118">
        <f t="shared" si="5"/>
        <v>216</v>
      </c>
      <c r="I118">
        <f t="shared" si="5"/>
        <v>426</v>
      </c>
      <c r="J118">
        <f t="shared" si="5"/>
        <v>1002</v>
      </c>
      <c r="K118" t="str" cm="1">
        <f t="array" ref="K118">_xlfn.IFS(H118&gt;=$U$1,"kostka",I118&gt;=$U$1*$R$3,"orzech",J118&gt;=$U$1*$R$4,"miał",1=1,"NIC")</f>
        <v>kostka</v>
      </c>
      <c r="L118">
        <f t="shared" si="7"/>
        <v>16</v>
      </c>
      <c r="M118">
        <f t="shared" si="8"/>
        <v>426</v>
      </c>
      <c r="N118">
        <f t="shared" si="9"/>
        <v>1002</v>
      </c>
    </row>
    <row r="119" spans="1:14" x14ac:dyDescent="0.25">
      <c r="A119" s="1">
        <v>42044</v>
      </c>
      <c r="B119">
        <f t="shared" si="6"/>
        <v>16</v>
      </c>
      <c r="C119">
        <f t="shared" si="6"/>
        <v>426</v>
      </c>
      <c r="D119">
        <f t="shared" si="6"/>
        <v>1002</v>
      </c>
      <c r="E119">
        <v>87</v>
      </c>
      <c r="F119">
        <v>8</v>
      </c>
      <c r="G119">
        <v>17</v>
      </c>
      <c r="H119">
        <f t="shared" si="5"/>
        <v>103</v>
      </c>
      <c r="I119">
        <f t="shared" si="5"/>
        <v>434</v>
      </c>
      <c r="J119">
        <f t="shared" si="5"/>
        <v>1019</v>
      </c>
      <c r="K119" t="str" cm="1">
        <f t="array" ref="K119">_xlfn.IFS(H119&gt;=$U$1,"kostka",I119&gt;=$U$1*$R$3,"orzech",J119&gt;=$U$1*$R$4,"miał",1=1,"NIC")</f>
        <v>orzech</v>
      </c>
      <c r="L119">
        <f t="shared" si="7"/>
        <v>103</v>
      </c>
      <c r="M119">
        <f t="shared" si="8"/>
        <v>174</v>
      </c>
      <c r="N119">
        <f t="shared" si="9"/>
        <v>1019</v>
      </c>
    </row>
    <row r="120" spans="1:14" x14ac:dyDescent="0.25">
      <c r="A120" s="1">
        <v>42045</v>
      </c>
      <c r="B120">
        <f t="shared" si="6"/>
        <v>103</v>
      </c>
      <c r="C120">
        <f t="shared" si="6"/>
        <v>174</v>
      </c>
      <c r="D120">
        <f t="shared" si="6"/>
        <v>1019</v>
      </c>
      <c r="E120">
        <v>114</v>
      </c>
      <c r="F120">
        <v>124</v>
      </c>
      <c r="G120">
        <v>94</v>
      </c>
      <c r="H120">
        <f t="shared" si="5"/>
        <v>217</v>
      </c>
      <c r="I120">
        <f t="shared" si="5"/>
        <v>298</v>
      </c>
      <c r="J120">
        <f t="shared" si="5"/>
        <v>1113</v>
      </c>
      <c r="K120" t="str" cm="1">
        <f t="array" ref="K120">_xlfn.IFS(H120&gt;=$U$1,"kostka",I120&gt;=$U$1*$R$3,"orzech",J120&gt;=$U$1*$R$4,"miał",1=1,"NIC")</f>
        <v>kostka</v>
      </c>
      <c r="L120">
        <f t="shared" si="7"/>
        <v>17</v>
      </c>
      <c r="M120">
        <f t="shared" si="8"/>
        <v>298</v>
      </c>
      <c r="N120">
        <f t="shared" si="9"/>
        <v>1113</v>
      </c>
    </row>
    <row r="121" spans="1:14" x14ac:dyDescent="0.25">
      <c r="A121" s="1">
        <v>42046</v>
      </c>
      <c r="B121">
        <f t="shared" si="6"/>
        <v>17</v>
      </c>
      <c r="C121">
        <f t="shared" si="6"/>
        <v>298</v>
      </c>
      <c r="D121">
        <f t="shared" si="6"/>
        <v>1113</v>
      </c>
      <c r="E121">
        <v>126</v>
      </c>
      <c r="F121">
        <v>122</v>
      </c>
      <c r="G121">
        <v>39</v>
      </c>
      <c r="H121">
        <f t="shared" si="5"/>
        <v>143</v>
      </c>
      <c r="I121">
        <f t="shared" si="5"/>
        <v>420</v>
      </c>
      <c r="J121">
        <f t="shared" si="5"/>
        <v>1152</v>
      </c>
      <c r="K121" t="str" cm="1">
        <f t="array" ref="K121">_xlfn.IFS(H121&gt;=$U$1,"kostka",I121&gt;=$U$1*$R$3,"orzech",J121&gt;=$U$1*$R$4,"miał",1=1,"NIC")</f>
        <v>orzech</v>
      </c>
      <c r="L121">
        <f t="shared" si="7"/>
        <v>143</v>
      </c>
      <c r="M121">
        <f t="shared" si="8"/>
        <v>160</v>
      </c>
      <c r="N121">
        <f t="shared" si="9"/>
        <v>1152</v>
      </c>
    </row>
    <row r="122" spans="1:14" x14ac:dyDescent="0.25">
      <c r="A122" s="1">
        <v>42047</v>
      </c>
      <c r="B122">
        <f t="shared" si="6"/>
        <v>143</v>
      </c>
      <c r="C122">
        <f t="shared" si="6"/>
        <v>160</v>
      </c>
      <c r="D122">
        <f t="shared" si="6"/>
        <v>1152</v>
      </c>
      <c r="E122">
        <v>96</v>
      </c>
      <c r="F122">
        <v>113</v>
      </c>
      <c r="G122">
        <v>28</v>
      </c>
      <c r="H122">
        <f t="shared" si="5"/>
        <v>239</v>
      </c>
      <c r="I122">
        <f t="shared" si="5"/>
        <v>273</v>
      </c>
      <c r="J122">
        <f t="shared" si="5"/>
        <v>1180</v>
      </c>
      <c r="K122" t="str" cm="1">
        <f t="array" ref="K122">_xlfn.IFS(H122&gt;=$U$1,"kostka",I122&gt;=$U$1*$R$3,"orzech",J122&gt;=$U$1*$R$4,"miał",1=1,"NIC")</f>
        <v>kostka</v>
      </c>
      <c r="L122">
        <f t="shared" si="7"/>
        <v>39</v>
      </c>
      <c r="M122">
        <f t="shared" si="8"/>
        <v>273</v>
      </c>
      <c r="N122">
        <f t="shared" si="9"/>
        <v>1180</v>
      </c>
    </row>
    <row r="123" spans="1:14" x14ac:dyDescent="0.25">
      <c r="A123" s="1">
        <v>42048</v>
      </c>
      <c r="B123">
        <f t="shared" si="6"/>
        <v>39</v>
      </c>
      <c r="C123">
        <f t="shared" si="6"/>
        <v>273</v>
      </c>
      <c r="D123">
        <f t="shared" si="6"/>
        <v>1180</v>
      </c>
      <c r="E123">
        <v>165</v>
      </c>
      <c r="F123">
        <v>4</v>
      </c>
      <c r="G123">
        <v>83</v>
      </c>
      <c r="H123">
        <f t="shared" si="5"/>
        <v>204</v>
      </c>
      <c r="I123">
        <f t="shared" si="5"/>
        <v>277</v>
      </c>
      <c r="J123">
        <f t="shared" si="5"/>
        <v>1263</v>
      </c>
      <c r="K123" t="str" cm="1">
        <f t="array" ref="K123">_xlfn.IFS(H123&gt;=$U$1,"kostka",I123&gt;=$U$1*$R$3,"orzech",J123&gt;=$U$1*$R$4,"miał",1=1,"NIC")</f>
        <v>kostka</v>
      </c>
      <c r="L123">
        <f t="shared" si="7"/>
        <v>4</v>
      </c>
      <c r="M123">
        <f t="shared" si="8"/>
        <v>277</v>
      </c>
      <c r="N123">
        <f t="shared" si="9"/>
        <v>1263</v>
      </c>
    </row>
    <row r="124" spans="1:14" x14ac:dyDescent="0.25">
      <c r="A124" s="1">
        <v>42049</v>
      </c>
      <c r="B124">
        <f t="shared" si="6"/>
        <v>4</v>
      </c>
      <c r="C124">
        <f t="shared" si="6"/>
        <v>277</v>
      </c>
      <c r="D124">
        <f t="shared" si="6"/>
        <v>1263</v>
      </c>
      <c r="E124">
        <v>1</v>
      </c>
      <c r="F124">
        <v>117</v>
      </c>
      <c r="G124">
        <v>76</v>
      </c>
      <c r="H124">
        <f t="shared" si="5"/>
        <v>5</v>
      </c>
      <c r="I124">
        <f t="shared" si="5"/>
        <v>394</v>
      </c>
      <c r="J124">
        <f t="shared" si="5"/>
        <v>1339</v>
      </c>
      <c r="K124" t="str" cm="1">
        <f t="array" ref="K124">_xlfn.IFS(H124&gt;=$U$1,"kostka",I124&gt;=$U$1*$R$3,"orzech",J124&gt;=$U$1*$R$4,"miał",1=1,"NIC")</f>
        <v>orzech</v>
      </c>
      <c r="L124">
        <f t="shared" si="7"/>
        <v>5</v>
      </c>
      <c r="M124">
        <f t="shared" si="8"/>
        <v>134</v>
      </c>
      <c r="N124">
        <f t="shared" si="9"/>
        <v>1339</v>
      </c>
    </row>
    <row r="125" spans="1:14" x14ac:dyDescent="0.25">
      <c r="A125" s="1">
        <v>42050</v>
      </c>
      <c r="B125">
        <f t="shared" si="6"/>
        <v>5</v>
      </c>
      <c r="C125">
        <f t="shared" si="6"/>
        <v>134</v>
      </c>
      <c r="D125">
        <f t="shared" si="6"/>
        <v>1339</v>
      </c>
      <c r="E125">
        <v>107</v>
      </c>
      <c r="F125">
        <v>70</v>
      </c>
      <c r="G125">
        <v>28</v>
      </c>
      <c r="H125">
        <f t="shared" si="5"/>
        <v>112</v>
      </c>
      <c r="I125">
        <f t="shared" si="5"/>
        <v>204</v>
      </c>
      <c r="J125">
        <f t="shared" si="5"/>
        <v>1367</v>
      </c>
      <c r="K125" t="str" cm="1">
        <f t="array" ref="K125">_xlfn.IFS(H125&gt;=$U$1,"kostka",I125&gt;=$U$1*$R$3,"orzech",J125&gt;=$U$1*$R$4,"miał",1=1,"NIC")</f>
        <v>miał</v>
      </c>
      <c r="L125">
        <f t="shared" si="7"/>
        <v>112</v>
      </c>
      <c r="M125">
        <f t="shared" si="8"/>
        <v>204</v>
      </c>
      <c r="N125">
        <f t="shared" si="9"/>
        <v>1047</v>
      </c>
    </row>
    <row r="126" spans="1:14" x14ac:dyDescent="0.25">
      <c r="A126" s="1">
        <v>42051</v>
      </c>
      <c r="B126">
        <f t="shared" si="6"/>
        <v>112</v>
      </c>
      <c r="C126">
        <f t="shared" si="6"/>
        <v>204</v>
      </c>
      <c r="D126">
        <f t="shared" si="6"/>
        <v>1047</v>
      </c>
      <c r="E126">
        <v>83</v>
      </c>
      <c r="F126">
        <v>81</v>
      </c>
      <c r="G126">
        <v>1</v>
      </c>
      <c r="H126">
        <f t="shared" si="5"/>
        <v>195</v>
      </c>
      <c r="I126">
        <f t="shared" si="5"/>
        <v>285</v>
      </c>
      <c r="J126">
        <f t="shared" si="5"/>
        <v>1048</v>
      </c>
      <c r="K126" t="str" cm="1">
        <f t="array" ref="K126">_xlfn.IFS(H126&gt;=$U$1,"kostka",I126&gt;=$U$1*$R$3,"orzech",J126&gt;=$U$1*$R$4,"miał",1=1,"NIC")</f>
        <v>orzech</v>
      </c>
      <c r="L126">
        <f t="shared" si="7"/>
        <v>195</v>
      </c>
      <c r="M126">
        <f t="shared" si="8"/>
        <v>25</v>
      </c>
      <c r="N126">
        <f t="shared" si="9"/>
        <v>1048</v>
      </c>
    </row>
    <row r="127" spans="1:14" x14ac:dyDescent="0.25">
      <c r="A127" s="1">
        <v>42052</v>
      </c>
      <c r="B127">
        <f t="shared" si="6"/>
        <v>195</v>
      </c>
      <c r="C127">
        <f t="shared" si="6"/>
        <v>25</v>
      </c>
      <c r="D127">
        <f t="shared" si="6"/>
        <v>1048</v>
      </c>
      <c r="E127">
        <v>43</v>
      </c>
      <c r="F127">
        <v>109</v>
      </c>
      <c r="G127">
        <v>50</v>
      </c>
      <c r="H127">
        <f t="shared" si="5"/>
        <v>238</v>
      </c>
      <c r="I127">
        <f t="shared" si="5"/>
        <v>134</v>
      </c>
      <c r="J127">
        <f t="shared" si="5"/>
        <v>1098</v>
      </c>
      <c r="K127" t="str" cm="1">
        <f t="array" ref="K127">_xlfn.IFS(H127&gt;=$U$1,"kostka",I127&gt;=$U$1*$R$3,"orzech",J127&gt;=$U$1*$R$4,"miał",1=1,"NIC")</f>
        <v>kostka</v>
      </c>
      <c r="L127">
        <f t="shared" si="7"/>
        <v>38</v>
      </c>
      <c r="M127">
        <f t="shared" si="8"/>
        <v>134</v>
      </c>
      <c r="N127">
        <f t="shared" si="9"/>
        <v>1098</v>
      </c>
    </row>
    <row r="128" spans="1:14" x14ac:dyDescent="0.25">
      <c r="A128" s="1">
        <v>42053</v>
      </c>
      <c r="B128">
        <f t="shared" si="6"/>
        <v>38</v>
      </c>
      <c r="C128">
        <f t="shared" si="6"/>
        <v>134</v>
      </c>
      <c r="D128">
        <f t="shared" si="6"/>
        <v>1098</v>
      </c>
      <c r="E128">
        <v>52</v>
      </c>
      <c r="F128">
        <v>110</v>
      </c>
      <c r="G128">
        <v>19</v>
      </c>
      <c r="H128">
        <f t="shared" si="5"/>
        <v>90</v>
      </c>
      <c r="I128">
        <f t="shared" si="5"/>
        <v>244</v>
      </c>
      <c r="J128">
        <f t="shared" si="5"/>
        <v>1117</v>
      </c>
      <c r="K128" t="str" cm="1">
        <f t="array" ref="K128">_xlfn.IFS(H128&gt;=$U$1,"kostka",I128&gt;=$U$1*$R$3,"orzech",J128&gt;=$U$1*$R$4,"miał",1=1,"NIC")</f>
        <v>miał</v>
      </c>
      <c r="L128">
        <f t="shared" si="7"/>
        <v>90</v>
      </c>
      <c r="M128">
        <f t="shared" si="8"/>
        <v>244</v>
      </c>
      <c r="N128">
        <f t="shared" si="9"/>
        <v>797</v>
      </c>
    </row>
    <row r="129" spans="1:14" x14ac:dyDescent="0.25">
      <c r="A129" s="1">
        <v>42054</v>
      </c>
      <c r="B129">
        <f t="shared" si="6"/>
        <v>90</v>
      </c>
      <c r="C129">
        <f t="shared" si="6"/>
        <v>244</v>
      </c>
      <c r="D129">
        <f t="shared" si="6"/>
        <v>797</v>
      </c>
      <c r="E129">
        <v>104</v>
      </c>
      <c r="F129">
        <v>132</v>
      </c>
      <c r="G129">
        <v>57</v>
      </c>
      <c r="H129">
        <f t="shared" si="5"/>
        <v>194</v>
      </c>
      <c r="I129">
        <f t="shared" si="5"/>
        <v>376</v>
      </c>
      <c r="J129">
        <f t="shared" si="5"/>
        <v>854</v>
      </c>
      <c r="K129" t="str" cm="1">
        <f t="array" ref="K129">_xlfn.IFS(H129&gt;=$U$1,"kostka",I129&gt;=$U$1*$R$3,"orzech",J129&gt;=$U$1*$R$4,"miał",1=1,"NIC")</f>
        <v>orzech</v>
      </c>
      <c r="L129">
        <f t="shared" si="7"/>
        <v>194</v>
      </c>
      <c r="M129">
        <f t="shared" si="8"/>
        <v>116</v>
      </c>
      <c r="N129">
        <f t="shared" si="9"/>
        <v>854</v>
      </c>
    </row>
    <row r="130" spans="1:14" x14ac:dyDescent="0.25">
      <c r="A130" s="1">
        <v>42055</v>
      </c>
      <c r="B130">
        <f t="shared" si="6"/>
        <v>194</v>
      </c>
      <c r="C130">
        <f t="shared" si="6"/>
        <v>116</v>
      </c>
      <c r="D130">
        <f t="shared" si="6"/>
        <v>854</v>
      </c>
      <c r="E130">
        <v>57</v>
      </c>
      <c r="F130">
        <v>150</v>
      </c>
      <c r="G130">
        <v>36</v>
      </c>
      <c r="H130">
        <f t="shared" si="5"/>
        <v>251</v>
      </c>
      <c r="I130">
        <f t="shared" si="5"/>
        <v>266</v>
      </c>
      <c r="J130">
        <f t="shared" si="5"/>
        <v>890</v>
      </c>
      <c r="K130" t="str" cm="1">
        <f t="array" ref="K130">_xlfn.IFS(H130&gt;=$U$1,"kostka",I130&gt;=$U$1*$R$3,"orzech",J130&gt;=$U$1*$R$4,"miał",1=1,"NIC")</f>
        <v>kostka</v>
      </c>
      <c r="L130">
        <f t="shared" si="7"/>
        <v>51</v>
      </c>
      <c r="M130">
        <f t="shared" si="8"/>
        <v>266</v>
      </c>
      <c r="N130">
        <f t="shared" si="9"/>
        <v>890</v>
      </c>
    </row>
    <row r="131" spans="1:14" x14ac:dyDescent="0.25">
      <c r="A131" s="1">
        <v>42056</v>
      </c>
      <c r="B131">
        <f t="shared" si="6"/>
        <v>51</v>
      </c>
      <c r="C131">
        <f t="shared" si="6"/>
        <v>266</v>
      </c>
      <c r="D131">
        <f t="shared" si="6"/>
        <v>890</v>
      </c>
      <c r="E131">
        <v>86</v>
      </c>
      <c r="F131">
        <v>183</v>
      </c>
      <c r="G131">
        <v>0</v>
      </c>
      <c r="H131">
        <f t="shared" ref="H131:J184" si="10">B131+E131</f>
        <v>137</v>
      </c>
      <c r="I131">
        <f t="shared" si="10"/>
        <v>449</v>
      </c>
      <c r="J131">
        <f t="shared" si="10"/>
        <v>890</v>
      </c>
      <c r="K131" t="str" cm="1">
        <f t="array" ref="K131">_xlfn.IFS(H131&gt;=$U$1,"kostka",I131&gt;=$U$1*$R$3,"orzech",J131&gt;=$U$1*$R$4,"miał",1=1,"NIC")</f>
        <v>orzech</v>
      </c>
      <c r="L131">
        <f t="shared" si="7"/>
        <v>137</v>
      </c>
      <c r="M131">
        <f t="shared" si="8"/>
        <v>189</v>
      </c>
      <c r="N131">
        <f t="shared" si="9"/>
        <v>890</v>
      </c>
    </row>
    <row r="132" spans="1:14" x14ac:dyDescent="0.25">
      <c r="A132" s="1">
        <v>42057</v>
      </c>
      <c r="B132">
        <f t="shared" ref="B132:D184" si="11">L131</f>
        <v>137</v>
      </c>
      <c r="C132">
        <f t="shared" si="11"/>
        <v>189</v>
      </c>
      <c r="D132">
        <f t="shared" si="11"/>
        <v>890</v>
      </c>
      <c r="E132">
        <v>108</v>
      </c>
      <c r="F132">
        <v>20</v>
      </c>
      <c r="G132">
        <v>87</v>
      </c>
      <c r="H132">
        <f t="shared" si="10"/>
        <v>245</v>
      </c>
      <c r="I132">
        <f t="shared" si="10"/>
        <v>209</v>
      </c>
      <c r="J132">
        <f t="shared" si="10"/>
        <v>977</v>
      </c>
      <c r="K132" t="str" cm="1">
        <f t="array" ref="K132">_xlfn.IFS(H132&gt;=$U$1,"kostka",I132&gt;=$U$1*$R$3,"orzech",J132&gt;=$U$1*$R$4,"miał",1=1,"NIC")</f>
        <v>kostka</v>
      </c>
      <c r="L132">
        <f t="shared" ref="L132:L184" si="12">IF($K132="kostka",H132-$U$1,H132)</f>
        <v>45</v>
      </c>
      <c r="M132">
        <f t="shared" ref="M132:M184" si="13">IF($K132="orzech",I132-$U$1*$R$3,I132)</f>
        <v>209</v>
      </c>
      <c r="N132">
        <f t="shared" ref="N132:N184" si="14">IF($K132="miał",J132-$U$1*$R$4,J132)</f>
        <v>977</v>
      </c>
    </row>
    <row r="133" spans="1:14" x14ac:dyDescent="0.25">
      <c r="A133" s="1">
        <v>42058</v>
      </c>
      <c r="B133">
        <f t="shared" si="11"/>
        <v>45</v>
      </c>
      <c r="C133">
        <f t="shared" si="11"/>
        <v>209</v>
      </c>
      <c r="D133">
        <f t="shared" si="11"/>
        <v>977</v>
      </c>
      <c r="E133">
        <v>102</v>
      </c>
      <c r="F133">
        <v>142</v>
      </c>
      <c r="G133">
        <v>20</v>
      </c>
      <c r="H133">
        <f t="shared" si="10"/>
        <v>147</v>
      </c>
      <c r="I133">
        <f t="shared" si="10"/>
        <v>351</v>
      </c>
      <c r="J133">
        <f t="shared" si="10"/>
        <v>997</v>
      </c>
      <c r="K133" t="str" cm="1">
        <f t="array" ref="K133">_xlfn.IFS(H133&gt;=$U$1,"kostka",I133&gt;=$U$1*$R$3,"orzech",J133&gt;=$U$1*$R$4,"miał",1=1,"NIC")</f>
        <v>orzech</v>
      </c>
      <c r="L133">
        <f t="shared" si="12"/>
        <v>147</v>
      </c>
      <c r="M133">
        <f t="shared" si="13"/>
        <v>91</v>
      </c>
      <c r="N133">
        <f t="shared" si="14"/>
        <v>997</v>
      </c>
    </row>
    <row r="134" spans="1:14" x14ac:dyDescent="0.25">
      <c r="A134" s="1">
        <v>42059</v>
      </c>
      <c r="B134">
        <f t="shared" si="11"/>
        <v>147</v>
      </c>
      <c r="C134">
        <f t="shared" si="11"/>
        <v>91</v>
      </c>
      <c r="D134">
        <f t="shared" si="11"/>
        <v>997</v>
      </c>
      <c r="E134">
        <v>81</v>
      </c>
      <c r="F134">
        <v>133</v>
      </c>
      <c r="G134">
        <v>25</v>
      </c>
      <c r="H134">
        <f t="shared" si="10"/>
        <v>228</v>
      </c>
      <c r="I134">
        <f t="shared" si="10"/>
        <v>224</v>
      </c>
      <c r="J134">
        <f t="shared" si="10"/>
        <v>1022</v>
      </c>
      <c r="K134" t="str" cm="1">
        <f t="array" ref="K134">_xlfn.IFS(H134&gt;=$U$1,"kostka",I134&gt;=$U$1*$R$3,"orzech",J134&gt;=$U$1*$R$4,"miał",1=1,"NIC")</f>
        <v>kostka</v>
      </c>
      <c r="L134">
        <f t="shared" si="12"/>
        <v>28</v>
      </c>
      <c r="M134">
        <f t="shared" si="13"/>
        <v>224</v>
      </c>
      <c r="N134">
        <f t="shared" si="14"/>
        <v>1022</v>
      </c>
    </row>
    <row r="135" spans="1:14" x14ac:dyDescent="0.25">
      <c r="A135" s="1">
        <v>42060</v>
      </c>
      <c r="B135">
        <f t="shared" si="11"/>
        <v>28</v>
      </c>
      <c r="C135">
        <f t="shared" si="11"/>
        <v>224</v>
      </c>
      <c r="D135">
        <f t="shared" si="11"/>
        <v>1022</v>
      </c>
      <c r="E135">
        <v>59</v>
      </c>
      <c r="F135">
        <v>87</v>
      </c>
      <c r="G135">
        <v>10</v>
      </c>
      <c r="H135">
        <f t="shared" si="10"/>
        <v>87</v>
      </c>
      <c r="I135">
        <f t="shared" si="10"/>
        <v>311</v>
      </c>
      <c r="J135">
        <f t="shared" si="10"/>
        <v>1032</v>
      </c>
      <c r="K135" t="str" cm="1">
        <f t="array" ref="K135">_xlfn.IFS(H135&gt;=$U$1,"kostka",I135&gt;=$U$1*$R$3,"orzech",J135&gt;=$U$1*$R$4,"miał",1=1,"NIC")</f>
        <v>orzech</v>
      </c>
      <c r="L135">
        <f t="shared" si="12"/>
        <v>87</v>
      </c>
      <c r="M135">
        <f t="shared" si="13"/>
        <v>51</v>
      </c>
      <c r="N135">
        <f t="shared" si="14"/>
        <v>1032</v>
      </c>
    </row>
    <row r="136" spans="1:14" x14ac:dyDescent="0.25">
      <c r="A136" s="1">
        <v>42061</v>
      </c>
      <c r="B136">
        <f t="shared" si="11"/>
        <v>87</v>
      </c>
      <c r="C136">
        <f t="shared" si="11"/>
        <v>51</v>
      </c>
      <c r="D136">
        <f t="shared" si="11"/>
        <v>1032</v>
      </c>
      <c r="E136">
        <v>21</v>
      </c>
      <c r="F136">
        <v>75</v>
      </c>
      <c r="G136">
        <v>65</v>
      </c>
      <c r="H136">
        <f t="shared" si="10"/>
        <v>108</v>
      </c>
      <c r="I136">
        <f t="shared" si="10"/>
        <v>126</v>
      </c>
      <c r="J136">
        <f t="shared" si="10"/>
        <v>1097</v>
      </c>
      <c r="K136" t="str" cm="1">
        <f t="array" ref="K136">_xlfn.IFS(H136&gt;=$U$1,"kostka",I136&gt;=$U$1*$R$3,"orzech",J136&gt;=$U$1*$R$4,"miał",1=1,"NIC")</f>
        <v>miał</v>
      </c>
      <c r="L136">
        <f t="shared" si="12"/>
        <v>108</v>
      </c>
      <c r="M136">
        <f t="shared" si="13"/>
        <v>126</v>
      </c>
      <c r="N136">
        <f t="shared" si="14"/>
        <v>777</v>
      </c>
    </row>
    <row r="137" spans="1:14" x14ac:dyDescent="0.25">
      <c r="A137" s="1">
        <v>42062</v>
      </c>
      <c r="B137">
        <f t="shared" si="11"/>
        <v>108</v>
      </c>
      <c r="C137">
        <f t="shared" si="11"/>
        <v>126</v>
      </c>
      <c r="D137">
        <f t="shared" si="11"/>
        <v>777</v>
      </c>
      <c r="E137">
        <v>79</v>
      </c>
      <c r="F137">
        <v>14</v>
      </c>
      <c r="G137">
        <v>27</v>
      </c>
      <c r="H137">
        <f t="shared" si="10"/>
        <v>187</v>
      </c>
      <c r="I137">
        <f t="shared" si="10"/>
        <v>140</v>
      </c>
      <c r="J137">
        <f t="shared" si="10"/>
        <v>804</v>
      </c>
      <c r="K137" t="str" cm="1">
        <f t="array" ref="K137">_xlfn.IFS(H137&gt;=$U$1,"kostka",I137&gt;=$U$1*$R$3,"orzech",J137&gt;=$U$1*$R$4,"miał",1=1,"NIC")</f>
        <v>miał</v>
      </c>
      <c r="L137">
        <f t="shared" si="12"/>
        <v>187</v>
      </c>
      <c r="M137">
        <f t="shared" si="13"/>
        <v>140</v>
      </c>
      <c r="N137">
        <f t="shared" si="14"/>
        <v>484</v>
      </c>
    </row>
    <row r="138" spans="1:14" x14ac:dyDescent="0.25">
      <c r="A138" s="1">
        <v>42063</v>
      </c>
      <c r="B138">
        <f t="shared" si="11"/>
        <v>187</v>
      </c>
      <c r="C138">
        <f t="shared" si="11"/>
        <v>140</v>
      </c>
      <c r="D138">
        <f t="shared" si="11"/>
        <v>484</v>
      </c>
      <c r="E138">
        <v>56</v>
      </c>
      <c r="F138">
        <v>12</v>
      </c>
      <c r="G138">
        <v>25</v>
      </c>
      <c r="H138">
        <f t="shared" si="10"/>
        <v>243</v>
      </c>
      <c r="I138">
        <f t="shared" si="10"/>
        <v>152</v>
      </c>
      <c r="J138">
        <f t="shared" si="10"/>
        <v>509</v>
      </c>
      <c r="K138" t="str" cm="1">
        <f t="array" ref="K138">_xlfn.IFS(H138&gt;=$U$1,"kostka",I138&gt;=$U$1*$R$3,"orzech",J138&gt;=$U$1*$R$4,"miał",1=1,"NIC")</f>
        <v>kostka</v>
      </c>
      <c r="L138">
        <f t="shared" si="12"/>
        <v>43</v>
      </c>
      <c r="M138">
        <f t="shared" si="13"/>
        <v>152</v>
      </c>
      <c r="N138">
        <f t="shared" si="14"/>
        <v>509</v>
      </c>
    </row>
    <row r="139" spans="1:14" x14ac:dyDescent="0.25">
      <c r="A139" s="1">
        <v>42064</v>
      </c>
      <c r="B139">
        <f t="shared" si="11"/>
        <v>43</v>
      </c>
      <c r="C139">
        <f t="shared" si="11"/>
        <v>152</v>
      </c>
      <c r="D139">
        <f t="shared" si="11"/>
        <v>509</v>
      </c>
      <c r="E139">
        <v>195</v>
      </c>
      <c r="F139">
        <v>90</v>
      </c>
      <c r="G139">
        <v>56</v>
      </c>
      <c r="H139">
        <f t="shared" si="10"/>
        <v>238</v>
      </c>
      <c r="I139">
        <f t="shared" si="10"/>
        <v>242</v>
      </c>
      <c r="J139">
        <f t="shared" si="10"/>
        <v>565</v>
      </c>
      <c r="K139" t="str" cm="1">
        <f t="array" ref="K139">_xlfn.IFS(H139&gt;=$U$1,"kostka",I139&gt;=$U$1*$R$3,"orzech",J139&gt;=$U$1*$R$4,"miał",1=1,"NIC")</f>
        <v>kostka</v>
      </c>
      <c r="L139">
        <f t="shared" si="12"/>
        <v>38</v>
      </c>
      <c r="M139">
        <f t="shared" si="13"/>
        <v>242</v>
      </c>
      <c r="N139">
        <f t="shared" si="14"/>
        <v>565</v>
      </c>
    </row>
    <row r="140" spans="1:14" x14ac:dyDescent="0.25">
      <c r="A140" s="1">
        <v>42065</v>
      </c>
      <c r="B140">
        <f t="shared" si="11"/>
        <v>38</v>
      </c>
      <c r="C140">
        <f t="shared" si="11"/>
        <v>242</v>
      </c>
      <c r="D140">
        <f t="shared" si="11"/>
        <v>565</v>
      </c>
      <c r="E140">
        <v>113</v>
      </c>
      <c r="F140">
        <v>90</v>
      </c>
      <c r="G140">
        <v>24</v>
      </c>
      <c r="H140">
        <f t="shared" si="10"/>
        <v>151</v>
      </c>
      <c r="I140">
        <f t="shared" si="10"/>
        <v>332</v>
      </c>
      <c r="J140">
        <f t="shared" si="10"/>
        <v>589</v>
      </c>
      <c r="K140" t="str" cm="1">
        <f t="array" ref="K140">_xlfn.IFS(H140&gt;=$U$1,"kostka",I140&gt;=$U$1*$R$3,"orzech",J140&gt;=$U$1*$R$4,"miał",1=1,"NIC")</f>
        <v>orzech</v>
      </c>
      <c r="L140">
        <f t="shared" si="12"/>
        <v>151</v>
      </c>
      <c r="M140">
        <f t="shared" si="13"/>
        <v>72</v>
      </c>
      <c r="N140">
        <f t="shared" si="14"/>
        <v>589</v>
      </c>
    </row>
    <row r="141" spans="1:14" x14ac:dyDescent="0.25">
      <c r="A141" s="1">
        <v>42066</v>
      </c>
      <c r="B141">
        <f t="shared" si="11"/>
        <v>151</v>
      </c>
      <c r="C141">
        <f t="shared" si="11"/>
        <v>72</v>
      </c>
      <c r="D141">
        <f t="shared" si="11"/>
        <v>589</v>
      </c>
      <c r="E141">
        <v>93</v>
      </c>
      <c r="F141">
        <v>139</v>
      </c>
      <c r="G141">
        <v>47</v>
      </c>
      <c r="H141">
        <f t="shared" si="10"/>
        <v>244</v>
      </c>
      <c r="I141">
        <f t="shared" si="10"/>
        <v>211</v>
      </c>
      <c r="J141">
        <f t="shared" si="10"/>
        <v>636</v>
      </c>
      <c r="K141" t="str" cm="1">
        <f t="array" ref="K141">_xlfn.IFS(H141&gt;=$U$1,"kostka",I141&gt;=$U$1*$R$3,"orzech",J141&gt;=$U$1*$R$4,"miał",1=1,"NIC")</f>
        <v>kostka</v>
      </c>
      <c r="L141">
        <f t="shared" si="12"/>
        <v>44</v>
      </c>
      <c r="M141">
        <f t="shared" si="13"/>
        <v>211</v>
      </c>
      <c r="N141">
        <f t="shared" si="14"/>
        <v>636</v>
      </c>
    </row>
    <row r="142" spans="1:14" x14ac:dyDescent="0.25">
      <c r="A142" s="1">
        <v>42067</v>
      </c>
      <c r="B142">
        <f t="shared" si="11"/>
        <v>44</v>
      </c>
      <c r="C142">
        <f t="shared" si="11"/>
        <v>211</v>
      </c>
      <c r="D142">
        <f t="shared" si="11"/>
        <v>636</v>
      </c>
      <c r="E142">
        <v>93</v>
      </c>
      <c r="F142">
        <v>147</v>
      </c>
      <c r="G142">
        <v>26</v>
      </c>
      <c r="H142">
        <f t="shared" si="10"/>
        <v>137</v>
      </c>
      <c r="I142">
        <f t="shared" si="10"/>
        <v>358</v>
      </c>
      <c r="J142">
        <f t="shared" si="10"/>
        <v>662</v>
      </c>
      <c r="K142" t="str" cm="1">
        <f t="array" ref="K142">_xlfn.IFS(H142&gt;=$U$1,"kostka",I142&gt;=$U$1*$R$3,"orzech",J142&gt;=$U$1*$R$4,"miał",1=1,"NIC")</f>
        <v>orzech</v>
      </c>
      <c r="L142">
        <f t="shared" si="12"/>
        <v>137</v>
      </c>
      <c r="M142">
        <f t="shared" si="13"/>
        <v>98</v>
      </c>
      <c r="N142">
        <f t="shared" si="14"/>
        <v>662</v>
      </c>
    </row>
    <row r="143" spans="1:14" x14ac:dyDescent="0.25">
      <c r="A143" s="1">
        <v>42068</v>
      </c>
      <c r="B143">
        <f t="shared" si="11"/>
        <v>137</v>
      </c>
      <c r="C143">
        <f t="shared" si="11"/>
        <v>98</v>
      </c>
      <c r="D143">
        <f t="shared" si="11"/>
        <v>662</v>
      </c>
      <c r="E143">
        <v>79</v>
      </c>
      <c r="F143">
        <v>145</v>
      </c>
      <c r="G143">
        <v>36</v>
      </c>
      <c r="H143">
        <f t="shared" si="10"/>
        <v>216</v>
      </c>
      <c r="I143">
        <f t="shared" si="10"/>
        <v>243</v>
      </c>
      <c r="J143">
        <f t="shared" si="10"/>
        <v>698</v>
      </c>
      <c r="K143" t="str" cm="1">
        <f t="array" ref="K143">_xlfn.IFS(H143&gt;=$U$1,"kostka",I143&gt;=$U$1*$R$3,"orzech",J143&gt;=$U$1*$R$4,"miał",1=1,"NIC")</f>
        <v>kostka</v>
      </c>
      <c r="L143">
        <f t="shared" si="12"/>
        <v>16</v>
      </c>
      <c r="M143">
        <f t="shared" si="13"/>
        <v>243</v>
      </c>
      <c r="N143">
        <f t="shared" si="14"/>
        <v>698</v>
      </c>
    </row>
    <row r="144" spans="1:14" x14ac:dyDescent="0.25">
      <c r="A144" s="1">
        <v>42069</v>
      </c>
      <c r="B144">
        <f t="shared" si="11"/>
        <v>16</v>
      </c>
      <c r="C144">
        <f t="shared" si="11"/>
        <v>243</v>
      </c>
      <c r="D144">
        <f t="shared" si="11"/>
        <v>698</v>
      </c>
      <c r="E144">
        <v>148</v>
      </c>
      <c r="F144">
        <v>127</v>
      </c>
      <c r="G144">
        <v>27</v>
      </c>
      <c r="H144">
        <f t="shared" si="10"/>
        <v>164</v>
      </c>
      <c r="I144">
        <f t="shared" si="10"/>
        <v>370</v>
      </c>
      <c r="J144">
        <f t="shared" si="10"/>
        <v>725</v>
      </c>
      <c r="K144" t="str" cm="1">
        <f t="array" ref="K144">_xlfn.IFS(H144&gt;=$U$1,"kostka",I144&gt;=$U$1*$R$3,"orzech",J144&gt;=$U$1*$R$4,"miał",1=1,"NIC")</f>
        <v>orzech</v>
      </c>
      <c r="L144">
        <f t="shared" si="12"/>
        <v>164</v>
      </c>
      <c r="M144">
        <f t="shared" si="13"/>
        <v>110</v>
      </c>
      <c r="N144">
        <f t="shared" si="14"/>
        <v>725</v>
      </c>
    </row>
    <row r="145" spans="1:14" x14ac:dyDescent="0.25">
      <c r="A145" s="1">
        <v>42070</v>
      </c>
      <c r="B145">
        <f t="shared" si="11"/>
        <v>164</v>
      </c>
      <c r="C145">
        <f t="shared" si="11"/>
        <v>110</v>
      </c>
      <c r="D145">
        <f t="shared" si="11"/>
        <v>725</v>
      </c>
      <c r="E145">
        <v>132</v>
      </c>
      <c r="F145">
        <v>128</v>
      </c>
      <c r="G145">
        <v>37</v>
      </c>
      <c r="H145">
        <f t="shared" si="10"/>
        <v>296</v>
      </c>
      <c r="I145">
        <f t="shared" si="10"/>
        <v>238</v>
      </c>
      <c r="J145">
        <f t="shared" si="10"/>
        <v>762</v>
      </c>
      <c r="K145" t="str" cm="1">
        <f t="array" ref="K145">_xlfn.IFS(H145&gt;=$U$1,"kostka",I145&gt;=$U$1*$R$3,"orzech",J145&gt;=$U$1*$R$4,"miał",1=1,"NIC")</f>
        <v>kostka</v>
      </c>
      <c r="L145">
        <f t="shared" si="12"/>
        <v>96</v>
      </c>
      <c r="M145">
        <f t="shared" si="13"/>
        <v>238</v>
      </c>
      <c r="N145">
        <f t="shared" si="14"/>
        <v>762</v>
      </c>
    </row>
    <row r="146" spans="1:14" x14ac:dyDescent="0.25">
      <c r="A146" s="1">
        <v>42071</v>
      </c>
      <c r="B146">
        <f t="shared" si="11"/>
        <v>96</v>
      </c>
      <c r="C146">
        <f t="shared" si="11"/>
        <v>238</v>
      </c>
      <c r="D146">
        <f t="shared" si="11"/>
        <v>762</v>
      </c>
      <c r="E146">
        <v>22</v>
      </c>
      <c r="F146">
        <v>115</v>
      </c>
      <c r="G146">
        <v>28</v>
      </c>
      <c r="H146">
        <f t="shared" si="10"/>
        <v>118</v>
      </c>
      <c r="I146">
        <f t="shared" si="10"/>
        <v>353</v>
      </c>
      <c r="J146">
        <f t="shared" si="10"/>
        <v>790</v>
      </c>
      <c r="K146" t="str" cm="1">
        <f t="array" ref="K146">_xlfn.IFS(H146&gt;=$U$1,"kostka",I146&gt;=$U$1*$R$3,"orzech",J146&gt;=$U$1*$R$4,"miał",1=1,"NIC")</f>
        <v>orzech</v>
      </c>
      <c r="L146">
        <f t="shared" si="12"/>
        <v>118</v>
      </c>
      <c r="M146">
        <f t="shared" si="13"/>
        <v>93</v>
      </c>
      <c r="N146">
        <f t="shared" si="14"/>
        <v>790</v>
      </c>
    </row>
    <row r="147" spans="1:14" x14ac:dyDescent="0.25">
      <c r="A147" s="1">
        <v>42072</v>
      </c>
      <c r="B147">
        <f t="shared" si="11"/>
        <v>118</v>
      </c>
      <c r="C147">
        <f t="shared" si="11"/>
        <v>93</v>
      </c>
      <c r="D147">
        <f t="shared" si="11"/>
        <v>790</v>
      </c>
      <c r="E147">
        <v>50</v>
      </c>
      <c r="F147">
        <v>99</v>
      </c>
      <c r="G147">
        <v>78</v>
      </c>
      <c r="H147">
        <f t="shared" si="10"/>
        <v>168</v>
      </c>
      <c r="I147">
        <f t="shared" si="10"/>
        <v>192</v>
      </c>
      <c r="J147">
        <f t="shared" si="10"/>
        <v>868</v>
      </c>
      <c r="K147" t="str" cm="1">
        <f t="array" ref="K147">_xlfn.IFS(H147&gt;=$U$1,"kostka",I147&gt;=$U$1*$R$3,"orzech",J147&gt;=$U$1*$R$4,"miał",1=1,"NIC")</f>
        <v>miał</v>
      </c>
      <c r="L147">
        <f t="shared" si="12"/>
        <v>168</v>
      </c>
      <c r="M147">
        <f t="shared" si="13"/>
        <v>192</v>
      </c>
      <c r="N147">
        <f t="shared" si="14"/>
        <v>548</v>
      </c>
    </row>
    <row r="148" spans="1:14" x14ac:dyDescent="0.25">
      <c r="A148" s="1">
        <v>42073</v>
      </c>
      <c r="B148">
        <f t="shared" si="11"/>
        <v>168</v>
      </c>
      <c r="C148">
        <f t="shared" si="11"/>
        <v>192</v>
      </c>
      <c r="D148">
        <f t="shared" si="11"/>
        <v>548</v>
      </c>
      <c r="E148">
        <v>178</v>
      </c>
      <c r="F148">
        <v>146</v>
      </c>
      <c r="G148">
        <v>75</v>
      </c>
      <c r="H148">
        <f t="shared" si="10"/>
        <v>346</v>
      </c>
      <c r="I148">
        <f t="shared" si="10"/>
        <v>338</v>
      </c>
      <c r="J148">
        <f t="shared" si="10"/>
        <v>623</v>
      </c>
      <c r="K148" t="str" cm="1">
        <f t="array" ref="K148">_xlfn.IFS(H148&gt;=$U$1,"kostka",I148&gt;=$U$1*$R$3,"orzech",J148&gt;=$U$1*$R$4,"miał",1=1,"NIC")</f>
        <v>kostka</v>
      </c>
      <c r="L148">
        <f t="shared" si="12"/>
        <v>146</v>
      </c>
      <c r="M148">
        <f t="shared" si="13"/>
        <v>338</v>
      </c>
      <c r="N148">
        <f t="shared" si="14"/>
        <v>623</v>
      </c>
    </row>
    <row r="149" spans="1:14" x14ac:dyDescent="0.25">
      <c r="A149" s="1">
        <v>42074</v>
      </c>
      <c r="B149">
        <f t="shared" si="11"/>
        <v>146</v>
      </c>
      <c r="C149">
        <f t="shared" si="11"/>
        <v>338</v>
      </c>
      <c r="D149">
        <f t="shared" si="11"/>
        <v>623</v>
      </c>
      <c r="E149">
        <v>97</v>
      </c>
      <c r="F149">
        <v>135</v>
      </c>
      <c r="G149">
        <v>66</v>
      </c>
      <c r="H149">
        <f t="shared" si="10"/>
        <v>243</v>
      </c>
      <c r="I149">
        <f t="shared" si="10"/>
        <v>473</v>
      </c>
      <c r="J149">
        <f t="shared" si="10"/>
        <v>689</v>
      </c>
      <c r="K149" t="str" cm="1">
        <f t="array" ref="K149">_xlfn.IFS(H149&gt;=$U$1,"kostka",I149&gt;=$U$1*$R$3,"orzech",J149&gt;=$U$1*$R$4,"miał",1=1,"NIC")</f>
        <v>kostka</v>
      </c>
      <c r="L149">
        <f t="shared" si="12"/>
        <v>43</v>
      </c>
      <c r="M149">
        <f t="shared" si="13"/>
        <v>473</v>
      </c>
      <c r="N149">
        <f t="shared" si="14"/>
        <v>689</v>
      </c>
    </row>
    <row r="150" spans="1:14" x14ac:dyDescent="0.25">
      <c r="A150" s="1">
        <v>42075</v>
      </c>
      <c r="B150">
        <f t="shared" si="11"/>
        <v>43</v>
      </c>
      <c r="C150">
        <f t="shared" si="11"/>
        <v>473</v>
      </c>
      <c r="D150">
        <f t="shared" si="11"/>
        <v>689</v>
      </c>
      <c r="E150">
        <v>138</v>
      </c>
      <c r="F150">
        <v>160</v>
      </c>
      <c r="G150">
        <v>6</v>
      </c>
      <c r="H150">
        <f t="shared" si="10"/>
        <v>181</v>
      </c>
      <c r="I150">
        <f t="shared" si="10"/>
        <v>633</v>
      </c>
      <c r="J150">
        <f t="shared" si="10"/>
        <v>695</v>
      </c>
      <c r="K150" t="str" cm="1">
        <f t="array" ref="K150">_xlfn.IFS(H150&gt;=$U$1,"kostka",I150&gt;=$U$1*$R$3,"orzech",J150&gt;=$U$1*$R$4,"miał",1=1,"NIC")</f>
        <v>orzech</v>
      </c>
      <c r="L150">
        <f t="shared" si="12"/>
        <v>181</v>
      </c>
      <c r="M150">
        <f t="shared" si="13"/>
        <v>373</v>
      </c>
      <c r="N150">
        <f t="shared" si="14"/>
        <v>695</v>
      </c>
    </row>
    <row r="151" spans="1:14" x14ac:dyDescent="0.25">
      <c r="A151" s="1">
        <v>42076</v>
      </c>
      <c r="B151">
        <f t="shared" si="11"/>
        <v>181</v>
      </c>
      <c r="C151">
        <f t="shared" si="11"/>
        <v>373</v>
      </c>
      <c r="D151">
        <f t="shared" si="11"/>
        <v>695</v>
      </c>
      <c r="E151">
        <v>194</v>
      </c>
      <c r="F151">
        <v>87</v>
      </c>
      <c r="G151">
        <v>60</v>
      </c>
      <c r="H151">
        <f t="shared" si="10"/>
        <v>375</v>
      </c>
      <c r="I151">
        <f t="shared" si="10"/>
        <v>460</v>
      </c>
      <c r="J151">
        <f t="shared" si="10"/>
        <v>755</v>
      </c>
      <c r="K151" t="str" cm="1">
        <f t="array" ref="K151">_xlfn.IFS(H151&gt;=$U$1,"kostka",I151&gt;=$U$1*$R$3,"orzech",J151&gt;=$U$1*$R$4,"miał",1=1,"NIC")</f>
        <v>kostka</v>
      </c>
      <c r="L151">
        <f t="shared" si="12"/>
        <v>175</v>
      </c>
      <c r="M151">
        <f t="shared" si="13"/>
        <v>460</v>
      </c>
      <c r="N151">
        <f t="shared" si="14"/>
        <v>755</v>
      </c>
    </row>
    <row r="152" spans="1:14" x14ac:dyDescent="0.25">
      <c r="A152" s="1">
        <v>42077</v>
      </c>
      <c r="B152">
        <f t="shared" si="11"/>
        <v>175</v>
      </c>
      <c r="C152">
        <f t="shared" si="11"/>
        <v>460</v>
      </c>
      <c r="D152">
        <f t="shared" si="11"/>
        <v>755</v>
      </c>
      <c r="E152">
        <v>86</v>
      </c>
      <c r="F152">
        <v>21</v>
      </c>
      <c r="G152">
        <v>45</v>
      </c>
      <c r="H152">
        <f t="shared" si="10"/>
        <v>261</v>
      </c>
      <c r="I152">
        <f t="shared" si="10"/>
        <v>481</v>
      </c>
      <c r="J152">
        <f t="shared" si="10"/>
        <v>800</v>
      </c>
      <c r="K152" t="str" cm="1">
        <f t="array" ref="K152">_xlfn.IFS(H152&gt;=$U$1,"kostka",I152&gt;=$U$1*$R$3,"orzech",J152&gt;=$U$1*$R$4,"miał",1=1,"NIC")</f>
        <v>kostka</v>
      </c>
      <c r="L152">
        <f t="shared" si="12"/>
        <v>61</v>
      </c>
      <c r="M152">
        <f t="shared" si="13"/>
        <v>481</v>
      </c>
      <c r="N152">
        <f t="shared" si="14"/>
        <v>800</v>
      </c>
    </row>
    <row r="153" spans="1:14" x14ac:dyDescent="0.25">
      <c r="A153" s="1">
        <v>42078</v>
      </c>
      <c r="B153">
        <f t="shared" si="11"/>
        <v>61</v>
      </c>
      <c r="C153">
        <f t="shared" si="11"/>
        <v>481</v>
      </c>
      <c r="D153">
        <f t="shared" si="11"/>
        <v>800</v>
      </c>
      <c r="E153">
        <v>26</v>
      </c>
      <c r="F153">
        <v>60</v>
      </c>
      <c r="G153">
        <v>44</v>
      </c>
      <c r="H153">
        <f t="shared" si="10"/>
        <v>87</v>
      </c>
      <c r="I153">
        <f t="shared" si="10"/>
        <v>541</v>
      </c>
      <c r="J153">
        <f t="shared" si="10"/>
        <v>844</v>
      </c>
      <c r="K153" t="str" cm="1">
        <f t="array" ref="K153">_xlfn.IFS(H153&gt;=$U$1,"kostka",I153&gt;=$U$1*$R$3,"orzech",J153&gt;=$U$1*$R$4,"miał",1=1,"NIC")</f>
        <v>orzech</v>
      </c>
      <c r="L153">
        <f t="shared" si="12"/>
        <v>87</v>
      </c>
      <c r="M153">
        <f t="shared" si="13"/>
        <v>281</v>
      </c>
      <c r="N153">
        <f t="shared" si="14"/>
        <v>844</v>
      </c>
    </row>
    <row r="154" spans="1:14" x14ac:dyDescent="0.25">
      <c r="A154" s="1">
        <v>42079</v>
      </c>
      <c r="B154">
        <f t="shared" si="11"/>
        <v>87</v>
      </c>
      <c r="C154">
        <f t="shared" si="11"/>
        <v>281</v>
      </c>
      <c r="D154">
        <f t="shared" si="11"/>
        <v>844</v>
      </c>
      <c r="E154">
        <v>28</v>
      </c>
      <c r="F154">
        <v>35</v>
      </c>
      <c r="G154">
        <v>96</v>
      </c>
      <c r="H154">
        <f t="shared" si="10"/>
        <v>115</v>
      </c>
      <c r="I154">
        <f t="shared" si="10"/>
        <v>316</v>
      </c>
      <c r="J154">
        <f t="shared" si="10"/>
        <v>940</v>
      </c>
      <c r="K154" t="str" cm="1">
        <f t="array" ref="K154">_xlfn.IFS(H154&gt;=$U$1,"kostka",I154&gt;=$U$1*$R$3,"orzech",J154&gt;=$U$1*$R$4,"miał",1=1,"NIC")</f>
        <v>orzech</v>
      </c>
      <c r="L154">
        <f t="shared" si="12"/>
        <v>115</v>
      </c>
      <c r="M154">
        <f t="shared" si="13"/>
        <v>56</v>
      </c>
      <c r="N154">
        <f t="shared" si="14"/>
        <v>940</v>
      </c>
    </row>
    <row r="155" spans="1:14" x14ac:dyDescent="0.25">
      <c r="A155" s="1">
        <v>42080</v>
      </c>
      <c r="B155">
        <f t="shared" si="11"/>
        <v>115</v>
      </c>
      <c r="C155">
        <f t="shared" si="11"/>
        <v>56</v>
      </c>
      <c r="D155">
        <f t="shared" si="11"/>
        <v>940</v>
      </c>
      <c r="E155">
        <v>53</v>
      </c>
      <c r="F155">
        <v>100</v>
      </c>
      <c r="G155">
        <v>64</v>
      </c>
      <c r="H155">
        <f t="shared" si="10"/>
        <v>168</v>
      </c>
      <c r="I155">
        <f t="shared" si="10"/>
        <v>156</v>
      </c>
      <c r="J155">
        <f t="shared" si="10"/>
        <v>1004</v>
      </c>
      <c r="K155" t="str" cm="1">
        <f t="array" ref="K155">_xlfn.IFS(H155&gt;=$U$1,"kostka",I155&gt;=$U$1*$R$3,"orzech",J155&gt;=$U$1*$R$4,"miał",1=1,"NIC")</f>
        <v>miał</v>
      </c>
      <c r="L155">
        <f t="shared" si="12"/>
        <v>168</v>
      </c>
      <c r="M155">
        <f t="shared" si="13"/>
        <v>156</v>
      </c>
      <c r="N155">
        <f t="shared" si="14"/>
        <v>684</v>
      </c>
    </row>
    <row r="156" spans="1:14" x14ac:dyDescent="0.25">
      <c r="A156" s="1">
        <v>42081</v>
      </c>
      <c r="B156">
        <f t="shared" si="11"/>
        <v>168</v>
      </c>
      <c r="C156">
        <f t="shared" si="11"/>
        <v>156</v>
      </c>
      <c r="D156">
        <f t="shared" si="11"/>
        <v>684</v>
      </c>
      <c r="E156">
        <v>168</v>
      </c>
      <c r="F156">
        <v>64</v>
      </c>
      <c r="G156">
        <v>46</v>
      </c>
      <c r="H156">
        <f t="shared" si="10"/>
        <v>336</v>
      </c>
      <c r="I156">
        <f t="shared" si="10"/>
        <v>220</v>
      </c>
      <c r="J156">
        <f t="shared" si="10"/>
        <v>730</v>
      </c>
      <c r="K156" t="str" cm="1">
        <f t="array" ref="K156">_xlfn.IFS(H156&gt;=$U$1,"kostka",I156&gt;=$U$1*$R$3,"orzech",J156&gt;=$U$1*$R$4,"miał",1=1,"NIC")</f>
        <v>kostka</v>
      </c>
      <c r="L156">
        <f t="shared" si="12"/>
        <v>136</v>
      </c>
      <c r="M156">
        <f t="shared" si="13"/>
        <v>220</v>
      </c>
      <c r="N156">
        <f t="shared" si="14"/>
        <v>730</v>
      </c>
    </row>
    <row r="157" spans="1:14" x14ac:dyDescent="0.25">
      <c r="A157" s="1">
        <v>42082</v>
      </c>
      <c r="B157">
        <f t="shared" si="11"/>
        <v>136</v>
      </c>
      <c r="C157">
        <f t="shared" si="11"/>
        <v>220</v>
      </c>
      <c r="D157">
        <f t="shared" si="11"/>
        <v>730</v>
      </c>
      <c r="E157">
        <v>77</v>
      </c>
      <c r="F157">
        <v>60</v>
      </c>
      <c r="G157">
        <v>35</v>
      </c>
      <c r="H157">
        <f t="shared" si="10"/>
        <v>213</v>
      </c>
      <c r="I157">
        <f t="shared" si="10"/>
        <v>280</v>
      </c>
      <c r="J157">
        <f t="shared" si="10"/>
        <v>765</v>
      </c>
      <c r="K157" t="str" cm="1">
        <f t="array" ref="K157">_xlfn.IFS(H157&gt;=$U$1,"kostka",I157&gt;=$U$1*$R$3,"orzech",J157&gt;=$U$1*$R$4,"miał",1=1,"NIC")</f>
        <v>kostka</v>
      </c>
      <c r="L157">
        <f t="shared" si="12"/>
        <v>13</v>
      </c>
      <c r="M157">
        <f t="shared" si="13"/>
        <v>280</v>
      </c>
      <c r="N157">
        <f t="shared" si="14"/>
        <v>765</v>
      </c>
    </row>
    <row r="158" spans="1:14" x14ac:dyDescent="0.25">
      <c r="A158" s="1">
        <v>42083</v>
      </c>
      <c r="B158">
        <f t="shared" si="11"/>
        <v>13</v>
      </c>
      <c r="C158">
        <f t="shared" si="11"/>
        <v>280</v>
      </c>
      <c r="D158">
        <f t="shared" si="11"/>
        <v>765</v>
      </c>
      <c r="E158">
        <v>17</v>
      </c>
      <c r="F158">
        <v>80</v>
      </c>
      <c r="G158">
        <v>30</v>
      </c>
      <c r="H158">
        <f t="shared" si="10"/>
        <v>30</v>
      </c>
      <c r="I158">
        <f t="shared" si="10"/>
        <v>360</v>
      </c>
      <c r="J158">
        <f t="shared" si="10"/>
        <v>795</v>
      </c>
      <c r="K158" t="str" cm="1">
        <f t="array" ref="K158">_xlfn.IFS(H158&gt;=$U$1,"kostka",I158&gt;=$U$1*$R$3,"orzech",J158&gt;=$U$1*$R$4,"miał",1=1,"NIC")</f>
        <v>orzech</v>
      </c>
      <c r="L158">
        <f t="shared" si="12"/>
        <v>30</v>
      </c>
      <c r="M158">
        <f t="shared" si="13"/>
        <v>100</v>
      </c>
      <c r="N158">
        <f t="shared" si="14"/>
        <v>795</v>
      </c>
    </row>
    <row r="159" spans="1:14" x14ac:dyDescent="0.25">
      <c r="A159" s="1">
        <v>42084</v>
      </c>
      <c r="B159">
        <f t="shared" si="11"/>
        <v>30</v>
      </c>
      <c r="C159">
        <f t="shared" si="11"/>
        <v>100</v>
      </c>
      <c r="D159">
        <f t="shared" si="11"/>
        <v>795</v>
      </c>
      <c r="E159">
        <v>175</v>
      </c>
      <c r="F159">
        <v>47</v>
      </c>
      <c r="G159">
        <v>25</v>
      </c>
      <c r="H159">
        <f t="shared" si="10"/>
        <v>205</v>
      </c>
      <c r="I159">
        <f t="shared" si="10"/>
        <v>147</v>
      </c>
      <c r="J159">
        <f t="shared" si="10"/>
        <v>820</v>
      </c>
      <c r="K159" t="str" cm="1">
        <f t="array" ref="K159">_xlfn.IFS(H159&gt;=$U$1,"kostka",I159&gt;=$U$1*$R$3,"orzech",J159&gt;=$U$1*$R$4,"miał",1=1,"NIC")</f>
        <v>kostka</v>
      </c>
      <c r="L159">
        <f t="shared" si="12"/>
        <v>5</v>
      </c>
      <c r="M159">
        <f t="shared" si="13"/>
        <v>147</v>
      </c>
      <c r="N159">
        <f t="shared" si="14"/>
        <v>820</v>
      </c>
    </row>
    <row r="160" spans="1:14" x14ac:dyDescent="0.25">
      <c r="A160" s="1">
        <v>42085</v>
      </c>
      <c r="B160">
        <f t="shared" si="11"/>
        <v>5</v>
      </c>
      <c r="C160">
        <f t="shared" si="11"/>
        <v>147</v>
      </c>
      <c r="D160">
        <f t="shared" si="11"/>
        <v>820</v>
      </c>
      <c r="E160">
        <v>164</v>
      </c>
      <c r="F160">
        <v>60</v>
      </c>
      <c r="G160">
        <v>22</v>
      </c>
      <c r="H160">
        <f t="shared" si="10"/>
        <v>169</v>
      </c>
      <c r="I160">
        <f t="shared" si="10"/>
        <v>207</v>
      </c>
      <c r="J160">
        <f t="shared" si="10"/>
        <v>842</v>
      </c>
      <c r="K160" t="str" cm="1">
        <f t="array" ref="K160">_xlfn.IFS(H160&gt;=$U$1,"kostka",I160&gt;=$U$1*$R$3,"orzech",J160&gt;=$U$1*$R$4,"miał",1=1,"NIC")</f>
        <v>miał</v>
      </c>
      <c r="L160">
        <f t="shared" si="12"/>
        <v>169</v>
      </c>
      <c r="M160">
        <f t="shared" si="13"/>
        <v>207</v>
      </c>
      <c r="N160">
        <f t="shared" si="14"/>
        <v>522</v>
      </c>
    </row>
    <row r="161" spans="1:14" x14ac:dyDescent="0.25">
      <c r="A161" s="1">
        <v>42086</v>
      </c>
      <c r="B161">
        <f t="shared" si="11"/>
        <v>169</v>
      </c>
      <c r="C161">
        <f t="shared" si="11"/>
        <v>207</v>
      </c>
      <c r="D161">
        <f t="shared" si="11"/>
        <v>522</v>
      </c>
      <c r="E161">
        <v>199</v>
      </c>
      <c r="F161">
        <v>80</v>
      </c>
      <c r="G161">
        <v>45</v>
      </c>
      <c r="H161">
        <f t="shared" si="10"/>
        <v>368</v>
      </c>
      <c r="I161">
        <f t="shared" si="10"/>
        <v>287</v>
      </c>
      <c r="J161">
        <f t="shared" si="10"/>
        <v>567</v>
      </c>
      <c r="K161" t="str" cm="1">
        <f t="array" ref="K161">_xlfn.IFS(H161&gt;=$U$1,"kostka",I161&gt;=$U$1*$R$3,"orzech",J161&gt;=$U$1*$R$4,"miał",1=1,"NIC")</f>
        <v>kostka</v>
      </c>
      <c r="L161">
        <f t="shared" si="12"/>
        <v>168</v>
      </c>
      <c r="M161">
        <f t="shared" si="13"/>
        <v>287</v>
      </c>
      <c r="N161">
        <f t="shared" si="14"/>
        <v>567</v>
      </c>
    </row>
    <row r="162" spans="1:14" x14ac:dyDescent="0.25">
      <c r="A162" s="1">
        <v>42087</v>
      </c>
      <c r="B162">
        <f t="shared" si="11"/>
        <v>168</v>
      </c>
      <c r="C162">
        <f t="shared" si="11"/>
        <v>287</v>
      </c>
      <c r="D162">
        <f t="shared" si="11"/>
        <v>567</v>
      </c>
      <c r="E162">
        <v>111</v>
      </c>
      <c r="F162">
        <v>92</v>
      </c>
      <c r="G162">
        <v>45</v>
      </c>
      <c r="H162">
        <f t="shared" si="10"/>
        <v>279</v>
      </c>
      <c r="I162">
        <f t="shared" si="10"/>
        <v>379</v>
      </c>
      <c r="J162">
        <f t="shared" si="10"/>
        <v>612</v>
      </c>
      <c r="K162" t="str" cm="1">
        <f t="array" ref="K162">_xlfn.IFS(H162&gt;=$U$1,"kostka",I162&gt;=$U$1*$R$3,"orzech",J162&gt;=$U$1*$R$4,"miał",1=1,"NIC")</f>
        <v>kostka</v>
      </c>
      <c r="L162">
        <f t="shared" si="12"/>
        <v>79</v>
      </c>
      <c r="M162">
        <f t="shared" si="13"/>
        <v>379</v>
      </c>
      <c r="N162">
        <f t="shared" si="14"/>
        <v>612</v>
      </c>
    </row>
    <row r="163" spans="1:14" x14ac:dyDescent="0.25">
      <c r="A163" s="1">
        <v>42088</v>
      </c>
      <c r="B163">
        <f t="shared" si="11"/>
        <v>79</v>
      </c>
      <c r="C163">
        <f t="shared" si="11"/>
        <v>379</v>
      </c>
      <c r="D163">
        <f t="shared" si="11"/>
        <v>612</v>
      </c>
      <c r="E163">
        <v>58</v>
      </c>
      <c r="F163">
        <v>90</v>
      </c>
      <c r="G163">
        <v>40</v>
      </c>
      <c r="H163">
        <f t="shared" si="10"/>
        <v>137</v>
      </c>
      <c r="I163">
        <f t="shared" si="10"/>
        <v>469</v>
      </c>
      <c r="J163">
        <f t="shared" si="10"/>
        <v>652</v>
      </c>
      <c r="K163" t="str" cm="1">
        <f t="array" ref="K163">_xlfn.IFS(H163&gt;=$U$1,"kostka",I163&gt;=$U$1*$R$3,"orzech",J163&gt;=$U$1*$R$4,"miał",1=1,"NIC")</f>
        <v>orzech</v>
      </c>
      <c r="L163">
        <f t="shared" si="12"/>
        <v>137</v>
      </c>
      <c r="M163">
        <f t="shared" si="13"/>
        <v>209</v>
      </c>
      <c r="N163">
        <f t="shared" si="14"/>
        <v>652</v>
      </c>
    </row>
    <row r="164" spans="1:14" x14ac:dyDescent="0.25">
      <c r="A164" s="1">
        <v>42089</v>
      </c>
      <c r="B164">
        <f t="shared" si="11"/>
        <v>137</v>
      </c>
      <c r="C164">
        <f t="shared" si="11"/>
        <v>209</v>
      </c>
      <c r="D164">
        <f t="shared" si="11"/>
        <v>652</v>
      </c>
      <c r="E164">
        <v>59</v>
      </c>
      <c r="F164">
        <v>164</v>
      </c>
      <c r="G164">
        <v>47</v>
      </c>
      <c r="H164">
        <f t="shared" si="10"/>
        <v>196</v>
      </c>
      <c r="I164">
        <f t="shared" si="10"/>
        <v>373</v>
      </c>
      <c r="J164">
        <f t="shared" si="10"/>
        <v>699</v>
      </c>
      <c r="K164" t="str" cm="1">
        <f t="array" ref="K164">_xlfn.IFS(H164&gt;=$U$1,"kostka",I164&gt;=$U$1*$R$3,"orzech",J164&gt;=$U$1*$R$4,"miał",1=1,"NIC")</f>
        <v>orzech</v>
      </c>
      <c r="L164">
        <f t="shared" si="12"/>
        <v>196</v>
      </c>
      <c r="M164">
        <f t="shared" si="13"/>
        <v>113</v>
      </c>
      <c r="N164">
        <f t="shared" si="14"/>
        <v>699</v>
      </c>
    </row>
    <row r="165" spans="1:14" x14ac:dyDescent="0.25">
      <c r="A165" s="1">
        <v>42090</v>
      </c>
      <c r="B165">
        <f t="shared" si="11"/>
        <v>196</v>
      </c>
      <c r="C165">
        <f t="shared" si="11"/>
        <v>113</v>
      </c>
      <c r="D165">
        <f t="shared" si="11"/>
        <v>699</v>
      </c>
      <c r="E165">
        <v>158</v>
      </c>
      <c r="F165">
        <v>120</v>
      </c>
      <c r="G165">
        <v>30</v>
      </c>
      <c r="H165">
        <f t="shared" si="10"/>
        <v>354</v>
      </c>
      <c r="I165">
        <f t="shared" si="10"/>
        <v>233</v>
      </c>
      <c r="J165">
        <f t="shared" si="10"/>
        <v>729</v>
      </c>
      <c r="K165" t="str" cm="1">
        <f t="array" ref="K165">_xlfn.IFS(H165&gt;=$U$1,"kostka",I165&gt;=$U$1*$R$3,"orzech",J165&gt;=$U$1*$R$4,"miał",1=1,"NIC")</f>
        <v>kostka</v>
      </c>
      <c r="L165">
        <f t="shared" si="12"/>
        <v>154</v>
      </c>
      <c r="M165">
        <f t="shared" si="13"/>
        <v>233</v>
      </c>
      <c r="N165">
        <f t="shared" si="14"/>
        <v>729</v>
      </c>
    </row>
    <row r="166" spans="1:14" x14ac:dyDescent="0.25">
      <c r="A166" s="1">
        <v>42091</v>
      </c>
      <c r="B166">
        <f t="shared" si="11"/>
        <v>154</v>
      </c>
      <c r="C166">
        <f t="shared" si="11"/>
        <v>233</v>
      </c>
      <c r="D166">
        <f t="shared" si="11"/>
        <v>729</v>
      </c>
      <c r="E166">
        <v>84</v>
      </c>
      <c r="F166">
        <v>90</v>
      </c>
      <c r="G166">
        <v>30</v>
      </c>
      <c r="H166">
        <f t="shared" si="10"/>
        <v>238</v>
      </c>
      <c r="I166">
        <f t="shared" si="10"/>
        <v>323</v>
      </c>
      <c r="J166">
        <f t="shared" si="10"/>
        <v>759</v>
      </c>
      <c r="K166" t="str" cm="1">
        <f t="array" ref="K166">_xlfn.IFS(H166&gt;=$U$1,"kostka",I166&gt;=$U$1*$R$3,"orzech",J166&gt;=$U$1*$R$4,"miał",1=1,"NIC")</f>
        <v>kostka</v>
      </c>
      <c r="L166">
        <f t="shared" si="12"/>
        <v>38</v>
      </c>
      <c r="M166">
        <f t="shared" si="13"/>
        <v>323</v>
      </c>
      <c r="N166">
        <f t="shared" si="14"/>
        <v>759</v>
      </c>
    </row>
    <row r="167" spans="1:14" x14ac:dyDescent="0.25">
      <c r="A167" s="1">
        <v>42092</v>
      </c>
      <c r="B167">
        <f t="shared" si="11"/>
        <v>38</v>
      </c>
      <c r="C167">
        <f t="shared" si="11"/>
        <v>323</v>
      </c>
      <c r="D167">
        <f t="shared" si="11"/>
        <v>759</v>
      </c>
      <c r="E167">
        <v>64</v>
      </c>
      <c r="F167">
        <v>61</v>
      </c>
      <c r="G167">
        <v>60</v>
      </c>
      <c r="H167">
        <f t="shared" si="10"/>
        <v>102</v>
      </c>
      <c r="I167">
        <f t="shared" si="10"/>
        <v>384</v>
      </c>
      <c r="J167">
        <f t="shared" si="10"/>
        <v>819</v>
      </c>
      <c r="K167" t="str" cm="1">
        <f t="array" ref="K167">_xlfn.IFS(H167&gt;=$U$1,"kostka",I167&gt;=$U$1*$R$3,"orzech",J167&gt;=$U$1*$R$4,"miał",1=1,"NIC")</f>
        <v>orzech</v>
      </c>
      <c r="L167">
        <f t="shared" si="12"/>
        <v>102</v>
      </c>
      <c r="M167">
        <f t="shared" si="13"/>
        <v>124</v>
      </c>
      <c r="N167">
        <f t="shared" si="14"/>
        <v>819</v>
      </c>
    </row>
    <row r="168" spans="1:14" x14ac:dyDescent="0.25">
      <c r="A168" s="1">
        <v>42093</v>
      </c>
      <c r="B168">
        <f t="shared" si="11"/>
        <v>102</v>
      </c>
      <c r="C168">
        <f t="shared" si="11"/>
        <v>124</v>
      </c>
      <c r="D168">
        <f t="shared" si="11"/>
        <v>819</v>
      </c>
      <c r="E168">
        <v>125</v>
      </c>
      <c r="F168">
        <v>84</v>
      </c>
      <c r="G168">
        <v>40</v>
      </c>
      <c r="H168">
        <f t="shared" si="10"/>
        <v>227</v>
      </c>
      <c r="I168">
        <f t="shared" si="10"/>
        <v>208</v>
      </c>
      <c r="J168">
        <f t="shared" si="10"/>
        <v>859</v>
      </c>
      <c r="K168" t="str" cm="1">
        <f t="array" ref="K168">_xlfn.IFS(H168&gt;=$U$1,"kostka",I168&gt;=$U$1*$R$3,"orzech",J168&gt;=$U$1*$R$4,"miał",1=1,"NIC")</f>
        <v>kostka</v>
      </c>
      <c r="L168">
        <f t="shared" si="12"/>
        <v>27</v>
      </c>
      <c r="M168">
        <f t="shared" si="13"/>
        <v>208</v>
      </c>
      <c r="N168">
        <f t="shared" si="14"/>
        <v>859</v>
      </c>
    </row>
    <row r="169" spans="1:14" x14ac:dyDescent="0.25">
      <c r="A169" s="1">
        <v>42094</v>
      </c>
      <c r="B169">
        <f t="shared" si="11"/>
        <v>27</v>
      </c>
      <c r="C169">
        <f t="shared" si="11"/>
        <v>208</v>
      </c>
      <c r="D169">
        <f t="shared" si="11"/>
        <v>859</v>
      </c>
      <c r="E169">
        <v>148</v>
      </c>
      <c r="F169">
        <v>110</v>
      </c>
      <c r="G169">
        <v>50</v>
      </c>
      <c r="H169">
        <f t="shared" si="10"/>
        <v>175</v>
      </c>
      <c r="I169">
        <f t="shared" si="10"/>
        <v>318</v>
      </c>
      <c r="J169">
        <f t="shared" si="10"/>
        <v>909</v>
      </c>
      <c r="K169" t="str" cm="1">
        <f t="array" ref="K169">_xlfn.IFS(H169&gt;=$U$1,"kostka",I169&gt;=$U$1*$R$3,"orzech",J169&gt;=$U$1*$R$4,"miał",1=1,"NIC")</f>
        <v>orzech</v>
      </c>
      <c r="L169">
        <f t="shared" si="12"/>
        <v>175</v>
      </c>
      <c r="M169">
        <f t="shared" si="13"/>
        <v>58</v>
      </c>
      <c r="N169">
        <f t="shared" si="14"/>
        <v>909</v>
      </c>
    </row>
    <row r="170" spans="1:14" x14ac:dyDescent="0.25">
      <c r="A170" s="1">
        <v>42095</v>
      </c>
      <c r="B170">
        <f t="shared" si="11"/>
        <v>175</v>
      </c>
      <c r="C170">
        <f t="shared" si="11"/>
        <v>58</v>
      </c>
      <c r="D170">
        <f t="shared" si="11"/>
        <v>909</v>
      </c>
      <c r="E170">
        <v>172</v>
      </c>
      <c r="F170">
        <v>100</v>
      </c>
      <c r="G170">
        <v>30</v>
      </c>
      <c r="H170">
        <f t="shared" si="10"/>
        <v>347</v>
      </c>
      <c r="I170">
        <f t="shared" si="10"/>
        <v>158</v>
      </c>
      <c r="J170">
        <f t="shared" si="10"/>
        <v>939</v>
      </c>
      <c r="K170" t="str" cm="1">
        <f t="array" ref="K170">_xlfn.IFS(H170&gt;=$U$1,"kostka",I170&gt;=$U$1*$R$3,"orzech",J170&gt;=$U$1*$R$4,"miał",1=1,"NIC")</f>
        <v>kostka</v>
      </c>
      <c r="L170">
        <f t="shared" si="12"/>
        <v>147</v>
      </c>
      <c r="M170">
        <f t="shared" si="13"/>
        <v>158</v>
      </c>
      <c r="N170">
        <f t="shared" si="14"/>
        <v>939</v>
      </c>
    </row>
    <row r="171" spans="1:14" x14ac:dyDescent="0.25">
      <c r="A171" s="1">
        <v>42096</v>
      </c>
      <c r="B171">
        <f t="shared" si="11"/>
        <v>147</v>
      </c>
      <c r="C171">
        <f t="shared" si="11"/>
        <v>158</v>
      </c>
      <c r="D171">
        <f t="shared" si="11"/>
        <v>939</v>
      </c>
      <c r="E171">
        <v>103</v>
      </c>
      <c r="F171">
        <v>60</v>
      </c>
      <c r="G171">
        <v>40</v>
      </c>
      <c r="H171">
        <f t="shared" si="10"/>
        <v>250</v>
      </c>
      <c r="I171">
        <f t="shared" si="10"/>
        <v>218</v>
      </c>
      <c r="J171">
        <f t="shared" si="10"/>
        <v>979</v>
      </c>
      <c r="K171" t="str" cm="1">
        <f t="array" ref="K171">_xlfn.IFS(H171&gt;=$U$1,"kostka",I171&gt;=$U$1*$R$3,"orzech",J171&gt;=$U$1*$R$4,"miał",1=1,"NIC")</f>
        <v>kostka</v>
      </c>
      <c r="L171">
        <f t="shared" si="12"/>
        <v>50</v>
      </c>
      <c r="M171">
        <f t="shared" si="13"/>
        <v>218</v>
      </c>
      <c r="N171">
        <f t="shared" si="14"/>
        <v>979</v>
      </c>
    </row>
    <row r="172" spans="1:14" x14ac:dyDescent="0.25">
      <c r="A172" s="1">
        <v>42097</v>
      </c>
      <c r="B172">
        <f t="shared" si="11"/>
        <v>50</v>
      </c>
      <c r="C172">
        <f t="shared" si="11"/>
        <v>218</v>
      </c>
      <c r="D172">
        <f t="shared" si="11"/>
        <v>979</v>
      </c>
      <c r="E172">
        <v>191</v>
      </c>
      <c r="F172">
        <v>41</v>
      </c>
      <c r="G172">
        <v>52</v>
      </c>
      <c r="H172">
        <f t="shared" si="10"/>
        <v>241</v>
      </c>
      <c r="I172">
        <f t="shared" si="10"/>
        <v>259</v>
      </c>
      <c r="J172">
        <f t="shared" si="10"/>
        <v>1031</v>
      </c>
      <c r="K172" t="str" cm="1">
        <f t="array" ref="K172">_xlfn.IFS(H172&gt;=$U$1,"kostka",I172&gt;=$U$1*$R$3,"orzech",J172&gt;=$U$1*$R$4,"miał",1=1,"NIC")</f>
        <v>kostka</v>
      </c>
      <c r="L172">
        <f t="shared" si="12"/>
        <v>41</v>
      </c>
      <c r="M172">
        <f t="shared" si="13"/>
        <v>259</v>
      </c>
      <c r="N172">
        <f t="shared" si="14"/>
        <v>1031</v>
      </c>
    </row>
    <row r="173" spans="1:14" x14ac:dyDescent="0.25">
      <c r="A173" s="1">
        <v>42098</v>
      </c>
      <c r="B173">
        <f t="shared" si="11"/>
        <v>41</v>
      </c>
      <c r="C173">
        <f t="shared" si="11"/>
        <v>259</v>
      </c>
      <c r="D173">
        <f t="shared" si="11"/>
        <v>1031</v>
      </c>
      <c r="E173">
        <v>128</v>
      </c>
      <c r="F173">
        <v>98</v>
      </c>
      <c r="G173">
        <v>40</v>
      </c>
      <c r="H173">
        <f t="shared" si="10"/>
        <v>169</v>
      </c>
      <c r="I173">
        <f t="shared" si="10"/>
        <v>357</v>
      </c>
      <c r="J173">
        <f t="shared" si="10"/>
        <v>1071</v>
      </c>
      <c r="K173" t="str" cm="1">
        <f t="array" ref="K173">_xlfn.IFS(H173&gt;=$U$1,"kostka",I173&gt;=$U$1*$R$3,"orzech",J173&gt;=$U$1*$R$4,"miał",1=1,"NIC")</f>
        <v>orzech</v>
      </c>
      <c r="L173">
        <f t="shared" si="12"/>
        <v>169</v>
      </c>
      <c r="M173">
        <f t="shared" si="13"/>
        <v>97</v>
      </c>
      <c r="N173">
        <f t="shared" si="14"/>
        <v>1071</v>
      </c>
    </row>
    <row r="174" spans="1:14" x14ac:dyDescent="0.25">
      <c r="A174" s="1">
        <v>42099</v>
      </c>
      <c r="B174">
        <f t="shared" si="11"/>
        <v>169</v>
      </c>
      <c r="C174">
        <f t="shared" si="11"/>
        <v>97</v>
      </c>
      <c r="D174">
        <f t="shared" si="11"/>
        <v>1071</v>
      </c>
      <c r="E174">
        <v>75</v>
      </c>
      <c r="F174">
        <v>87</v>
      </c>
      <c r="G174">
        <v>47</v>
      </c>
      <c r="H174">
        <f t="shared" si="10"/>
        <v>244</v>
      </c>
      <c r="I174">
        <f t="shared" si="10"/>
        <v>184</v>
      </c>
      <c r="J174">
        <f t="shared" si="10"/>
        <v>1118</v>
      </c>
      <c r="K174" t="str" cm="1">
        <f t="array" ref="K174">_xlfn.IFS(H174&gt;=$U$1,"kostka",I174&gt;=$U$1*$R$3,"orzech",J174&gt;=$U$1*$R$4,"miał",1=1,"NIC")</f>
        <v>kostka</v>
      </c>
      <c r="L174">
        <f t="shared" si="12"/>
        <v>44</v>
      </c>
      <c r="M174">
        <f t="shared" si="13"/>
        <v>184</v>
      </c>
      <c r="N174">
        <f t="shared" si="14"/>
        <v>1118</v>
      </c>
    </row>
    <row r="175" spans="1:14" x14ac:dyDescent="0.25">
      <c r="A175" s="1">
        <v>42100</v>
      </c>
      <c r="B175">
        <f t="shared" si="11"/>
        <v>44</v>
      </c>
      <c r="C175">
        <f t="shared" si="11"/>
        <v>184</v>
      </c>
      <c r="D175">
        <f t="shared" si="11"/>
        <v>1118</v>
      </c>
      <c r="E175">
        <v>38</v>
      </c>
      <c r="F175">
        <v>100</v>
      </c>
      <c r="G175">
        <v>50</v>
      </c>
      <c r="H175">
        <f t="shared" si="10"/>
        <v>82</v>
      </c>
      <c r="I175">
        <f t="shared" si="10"/>
        <v>284</v>
      </c>
      <c r="J175">
        <f t="shared" si="10"/>
        <v>1168</v>
      </c>
      <c r="K175" t="str" cm="1">
        <f t="array" ref="K175">_xlfn.IFS(H175&gt;=$U$1,"kostka",I175&gt;=$U$1*$R$3,"orzech",J175&gt;=$U$1*$R$4,"miał",1=1,"NIC")</f>
        <v>orzech</v>
      </c>
      <c r="L175">
        <f t="shared" si="12"/>
        <v>82</v>
      </c>
      <c r="M175">
        <f t="shared" si="13"/>
        <v>24</v>
      </c>
      <c r="N175">
        <f t="shared" si="14"/>
        <v>1168</v>
      </c>
    </row>
    <row r="176" spans="1:14" x14ac:dyDescent="0.25">
      <c r="A176" s="1">
        <v>42101</v>
      </c>
      <c r="B176">
        <f t="shared" si="11"/>
        <v>82</v>
      </c>
      <c r="C176">
        <f t="shared" si="11"/>
        <v>24</v>
      </c>
      <c r="D176">
        <f t="shared" si="11"/>
        <v>1168</v>
      </c>
      <c r="E176">
        <v>80</v>
      </c>
      <c r="F176">
        <v>40</v>
      </c>
      <c r="G176">
        <v>30</v>
      </c>
      <c r="H176">
        <f t="shared" si="10"/>
        <v>162</v>
      </c>
      <c r="I176">
        <f t="shared" si="10"/>
        <v>64</v>
      </c>
      <c r="J176">
        <f t="shared" si="10"/>
        <v>1198</v>
      </c>
      <c r="K176" t="str" cm="1">
        <f t="array" ref="K176">_xlfn.IFS(H176&gt;=$U$1,"kostka",I176&gt;=$U$1*$R$3,"orzech",J176&gt;=$U$1*$R$4,"miał",1=1,"NIC")</f>
        <v>miał</v>
      </c>
      <c r="L176">
        <f t="shared" si="12"/>
        <v>162</v>
      </c>
      <c r="M176">
        <f t="shared" si="13"/>
        <v>64</v>
      </c>
      <c r="N176">
        <f t="shared" si="14"/>
        <v>878</v>
      </c>
    </row>
    <row r="177" spans="1:14" x14ac:dyDescent="0.25">
      <c r="A177" s="1">
        <v>42102</v>
      </c>
      <c r="B177">
        <f t="shared" si="11"/>
        <v>162</v>
      </c>
      <c r="C177">
        <f t="shared" si="11"/>
        <v>64</v>
      </c>
      <c r="D177">
        <f t="shared" si="11"/>
        <v>878</v>
      </c>
      <c r="E177">
        <v>55</v>
      </c>
      <c r="F177">
        <v>60</v>
      </c>
      <c r="G177">
        <v>50</v>
      </c>
      <c r="H177">
        <f t="shared" si="10"/>
        <v>217</v>
      </c>
      <c r="I177">
        <f t="shared" si="10"/>
        <v>124</v>
      </c>
      <c r="J177">
        <f t="shared" si="10"/>
        <v>928</v>
      </c>
      <c r="K177" t="str" cm="1">
        <f t="array" ref="K177">_xlfn.IFS(H177&gt;=$U$1,"kostka",I177&gt;=$U$1*$R$3,"orzech",J177&gt;=$U$1*$R$4,"miał",1=1,"NIC")</f>
        <v>kostka</v>
      </c>
      <c r="L177">
        <f t="shared" si="12"/>
        <v>17</v>
      </c>
      <c r="M177">
        <f t="shared" si="13"/>
        <v>124</v>
      </c>
      <c r="N177">
        <f t="shared" si="14"/>
        <v>928</v>
      </c>
    </row>
    <row r="178" spans="1:14" x14ac:dyDescent="0.25">
      <c r="A178" s="1">
        <v>42103</v>
      </c>
      <c r="B178">
        <f t="shared" si="11"/>
        <v>17</v>
      </c>
      <c r="C178">
        <f t="shared" si="11"/>
        <v>124</v>
      </c>
      <c r="D178">
        <f t="shared" si="11"/>
        <v>928</v>
      </c>
      <c r="E178">
        <v>10</v>
      </c>
      <c r="F178">
        <v>80</v>
      </c>
      <c r="G178">
        <v>48</v>
      </c>
      <c r="H178">
        <f t="shared" si="10"/>
        <v>27</v>
      </c>
      <c r="I178">
        <f t="shared" si="10"/>
        <v>204</v>
      </c>
      <c r="J178">
        <f t="shared" si="10"/>
        <v>976</v>
      </c>
      <c r="K178" t="str" cm="1">
        <f t="array" ref="K178">_xlfn.IFS(H178&gt;=$U$1,"kostka",I178&gt;=$U$1*$R$3,"orzech",J178&gt;=$U$1*$R$4,"miał",1=1,"NIC")</f>
        <v>miał</v>
      </c>
      <c r="L178">
        <f t="shared" si="12"/>
        <v>27</v>
      </c>
      <c r="M178">
        <f t="shared" si="13"/>
        <v>204</v>
      </c>
      <c r="N178">
        <f t="shared" si="14"/>
        <v>656</v>
      </c>
    </row>
    <row r="179" spans="1:14" x14ac:dyDescent="0.25">
      <c r="A179" s="1">
        <v>42104</v>
      </c>
      <c r="B179">
        <f t="shared" si="11"/>
        <v>27</v>
      </c>
      <c r="C179">
        <f t="shared" si="11"/>
        <v>204</v>
      </c>
      <c r="D179">
        <f t="shared" si="11"/>
        <v>656</v>
      </c>
      <c r="E179">
        <v>95</v>
      </c>
      <c r="F179">
        <v>60</v>
      </c>
      <c r="G179">
        <v>51</v>
      </c>
      <c r="H179">
        <f t="shared" si="10"/>
        <v>122</v>
      </c>
      <c r="I179">
        <f t="shared" si="10"/>
        <v>264</v>
      </c>
      <c r="J179">
        <f t="shared" si="10"/>
        <v>707</v>
      </c>
      <c r="K179" t="str" cm="1">
        <f t="array" ref="K179">_xlfn.IFS(H179&gt;=$U$1,"kostka",I179&gt;=$U$1*$R$3,"orzech",J179&gt;=$U$1*$R$4,"miał",1=1,"NIC")</f>
        <v>orzech</v>
      </c>
      <c r="L179">
        <f t="shared" si="12"/>
        <v>122</v>
      </c>
      <c r="M179">
        <f t="shared" si="13"/>
        <v>4</v>
      </c>
      <c r="N179">
        <f t="shared" si="14"/>
        <v>707</v>
      </c>
    </row>
    <row r="180" spans="1:14" x14ac:dyDescent="0.25">
      <c r="A180" s="1">
        <v>42105</v>
      </c>
      <c r="B180">
        <f t="shared" si="11"/>
        <v>122</v>
      </c>
      <c r="C180">
        <f t="shared" si="11"/>
        <v>4</v>
      </c>
      <c r="D180">
        <f t="shared" si="11"/>
        <v>707</v>
      </c>
      <c r="E180">
        <v>90</v>
      </c>
      <c r="F180">
        <v>100</v>
      </c>
      <c r="G180">
        <v>50</v>
      </c>
      <c r="H180">
        <f t="shared" si="10"/>
        <v>212</v>
      </c>
      <c r="I180">
        <f t="shared" si="10"/>
        <v>104</v>
      </c>
      <c r="J180">
        <f t="shared" si="10"/>
        <v>757</v>
      </c>
      <c r="K180" t="str" cm="1">
        <f t="array" ref="K180">_xlfn.IFS(H180&gt;=$U$1,"kostka",I180&gt;=$U$1*$R$3,"orzech",J180&gt;=$U$1*$R$4,"miał",1=1,"NIC")</f>
        <v>kostka</v>
      </c>
      <c r="L180">
        <f t="shared" si="12"/>
        <v>12</v>
      </c>
      <c r="M180">
        <f t="shared" si="13"/>
        <v>104</v>
      </c>
      <c r="N180">
        <f t="shared" si="14"/>
        <v>757</v>
      </c>
    </row>
    <row r="181" spans="1:14" x14ac:dyDescent="0.25">
      <c r="A181" s="1">
        <v>42106</v>
      </c>
      <c r="B181">
        <f t="shared" si="11"/>
        <v>12</v>
      </c>
      <c r="C181">
        <f t="shared" si="11"/>
        <v>104</v>
      </c>
      <c r="D181">
        <f t="shared" si="11"/>
        <v>757</v>
      </c>
      <c r="E181">
        <v>186</v>
      </c>
      <c r="F181">
        <v>60</v>
      </c>
      <c r="G181">
        <v>92</v>
      </c>
      <c r="H181">
        <f t="shared" si="10"/>
        <v>198</v>
      </c>
      <c r="I181">
        <f t="shared" si="10"/>
        <v>164</v>
      </c>
      <c r="J181">
        <f t="shared" si="10"/>
        <v>849</v>
      </c>
      <c r="K181" t="str" cm="1">
        <f t="array" ref="K181">_xlfn.IFS(H181&gt;=$U$1,"kostka",I181&gt;=$U$1*$R$3,"orzech",J181&gt;=$U$1*$R$4,"miał",1=1,"NIC")</f>
        <v>miał</v>
      </c>
      <c r="L181">
        <f t="shared" si="12"/>
        <v>198</v>
      </c>
      <c r="M181">
        <f t="shared" si="13"/>
        <v>164</v>
      </c>
      <c r="N181">
        <f t="shared" si="14"/>
        <v>529</v>
      </c>
    </row>
    <row r="182" spans="1:14" x14ac:dyDescent="0.25">
      <c r="A182" s="1">
        <v>42107</v>
      </c>
      <c r="B182">
        <f t="shared" si="11"/>
        <v>198</v>
      </c>
      <c r="C182">
        <f t="shared" si="11"/>
        <v>164</v>
      </c>
      <c r="D182">
        <f t="shared" si="11"/>
        <v>529</v>
      </c>
      <c r="E182">
        <v>2</v>
      </c>
      <c r="F182">
        <v>40</v>
      </c>
      <c r="G182">
        <v>50</v>
      </c>
      <c r="H182">
        <f t="shared" si="10"/>
        <v>200</v>
      </c>
      <c r="I182">
        <f t="shared" si="10"/>
        <v>204</v>
      </c>
      <c r="J182">
        <f t="shared" si="10"/>
        <v>579</v>
      </c>
      <c r="K182" t="str" cm="1">
        <f t="array" ref="K182">_xlfn.IFS(H182&gt;=$U$1,"kostka",I182&gt;=$U$1*$R$3,"orzech",J182&gt;=$U$1*$R$4,"miał",1=1,"NIC")</f>
        <v>kostka</v>
      </c>
      <c r="L182">
        <f t="shared" si="12"/>
        <v>0</v>
      </c>
      <c r="M182">
        <f t="shared" si="13"/>
        <v>204</v>
      </c>
      <c r="N182">
        <f t="shared" si="14"/>
        <v>579</v>
      </c>
    </row>
    <row r="183" spans="1:14" x14ac:dyDescent="0.25">
      <c r="A183" s="1">
        <v>42108</v>
      </c>
      <c r="B183">
        <f t="shared" si="11"/>
        <v>0</v>
      </c>
      <c r="C183">
        <f t="shared" si="11"/>
        <v>204</v>
      </c>
      <c r="D183">
        <f t="shared" si="11"/>
        <v>579</v>
      </c>
      <c r="E183">
        <v>136</v>
      </c>
      <c r="F183">
        <v>20</v>
      </c>
      <c r="G183">
        <v>66</v>
      </c>
      <c r="H183">
        <f t="shared" si="10"/>
        <v>136</v>
      </c>
      <c r="I183">
        <f t="shared" si="10"/>
        <v>224</v>
      </c>
      <c r="J183">
        <f t="shared" si="10"/>
        <v>645</v>
      </c>
      <c r="K183" t="str" cm="1">
        <f t="array" ref="K183">_xlfn.IFS(H183&gt;=$U$1,"kostka",I183&gt;=$U$1*$R$3,"orzech",J183&gt;=$U$1*$R$4,"miał",1=1,"NIC")</f>
        <v>miał</v>
      </c>
      <c r="L183">
        <f t="shared" si="12"/>
        <v>136</v>
      </c>
      <c r="M183">
        <f t="shared" si="13"/>
        <v>224</v>
      </c>
      <c r="N183">
        <f t="shared" si="14"/>
        <v>325</v>
      </c>
    </row>
    <row r="184" spans="1:14" x14ac:dyDescent="0.25">
      <c r="A184" s="1">
        <v>42109</v>
      </c>
      <c r="B184">
        <f t="shared" si="11"/>
        <v>136</v>
      </c>
      <c r="C184">
        <f t="shared" si="11"/>
        <v>224</v>
      </c>
      <c r="D184">
        <f t="shared" si="11"/>
        <v>325</v>
      </c>
      <c r="E184">
        <v>4</v>
      </c>
      <c r="F184">
        <v>20</v>
      </c>
      <c r="G184">
        <v>10</v>
      </c>
      <c r="H184">
        <f t="shared" si="10"/>
        <v>140</v>
      </c>
      <c r="I184">
        <f t="shared" si="10"/>
        <v>244</v>
      </c>
      <c r="J184">
        <f t="shared" si="10"/>
        <v>335</v>
      </c>
      <c r="K184" t="str" cm="1">
        <f t="array" ref="K184">_xlfn.IFS(H184&gt;=$U$1,"kostka",I184&gt;=$U$1*$R$3,"orzech",J184&gt;=$U$1*$R$4,"miał",1=1,"NIC")</f>
        <v>miał</v>
      </c>
      <c r="L184">
        <f t="shared" si="12"/>
        <v>140</v>
      </c>
      <c r="M184">
        <f t="shared" si="13"/>
        <v>244</v>
      </c>
      <c r="N184">
        <f t="shared" si="14"/>
        <v>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5A6F-43FE-424B-A9EF-3FAC9202E8B4}">
  <dimension ref="A1:U184"/>
  <sheetViews>
    <sheetView topLeftCell="K1" workbookViewId="0">
      <selection activeCell="P17" sqref="P17:S24"/>
    </sheetView>
  </sheetViews>
  <sheetFormatPr defaultRowHeight="15" x14ac:dyDescent="0.25"/>
  <cols>
    <col min="1" max="1" width="10.140625" bestFit="1" customWidth="1"/>
    <col min="2" max="2" width="16.140625" bestFit="1" customWidth="1"/>
    <col min="3" max="3" width="18" bestFit="1" customWidth="1"/>
    <col min="4" max="4" width="15.85546875" bestFit="1" customWidth="1"/>
    <col min="5" max="5" width="17" bestFit="1" customWidth="1"/>
    <col min="6" max="6" width="18.85546875" bestFit="1" customWidth="1"/>
    <col min="7" max="7" width="16.7109375" bestFit="1" customWidth="1"/>
    <col min="8" max="8" width="23.85546875" bestFit="1" customWidth="1"/>
    <col min="9" max="9" width="25.7109375" bestFit="1" customWidth="1"/>
    <col min="10" max="10" width="23.5703125" bestFit="1" customWidth="1"/>
    <col min="11" max="11" width="12.42578125" bestFit="1" customWidth="1"/>
    <col min="12" max="12" width="22.42578125" bestFit="1" customWidth="1"/>
    <col min="13" max="13" width="24" bestFit="1" customWidth="1"/>
    <col min="14" max="14" width="22.140625" bestFit="1" customWidth="1"/>
    <col min="16" max="16" width="14.28515625" bestFit="1" customWidth="1"/>
    <col min="17" max="17" width="26.7109375" bestFit="1" customWidth="1"/>
    <col min="18" max="18" width="26.85546875" bestFit="1" customWidth="1"/>
    <col min="19" max="19" width="24.7109375" bestFit="1" customWidth="1"/>
    <col min="20" max="20" width="16.7109375" bestFit="1" customWidth="1"/>
    <col min="21" max="21" width="4" bestFit="1" customWidth="1"/>
  </cols>
  <sheetData>
    <row r="1" spans="1:21" x14ac:dyDescent="0.25">
      <c r="A1" t="s">
        <v>5</v>
      </c>
      <c r="B1" t="s">
        <v>8</v>
      </c>
      <c r="C1" t="s">
        <v>9</v>
      </c>
      <c r="D1" t="s">
        <v>10</v>
      </c>
      <c r="E1" t="s">
        <v>18</v>
      </c>
      <c r="F1" t="s">
        <v>19</v>
      </c>
      <c r="G1" t="s">
        <v>20</v>
      </c>
      <c r="H1" t="s">
        <v>12</v>
      </c>
      <c r="I1" t="s">
        <v>13</v>
      </c>
      <c r="J1" t="s">
        <v>14</v>
      </c>
      <c r="K1" t="s">
        <v>11</v>
      </c>
      <c r="L1" t="s">
        <v>15</v>
      </c>
      <c r="M1" t="s">
        <v>16</v>
      </c>
      <c r="N1" t="s">
        <v>17</v>
      </c>
      <c r="P1" t="s">
        <v>2</v>
      </c>
      <c r="Q1" t="s">
        <v>3</v>
      </c>
      <c r="R1" t="s">
        <v>7</v>
      </c>
      <c r="T1" t="s">
        <v>6</v>
      </c>
      <c r="U1">
        <v>200</v>
      </c>
    </row>
    <row r="2" spans="1:21" x14ac:dyDescent="0.25">
      <c r="A2" s="1">
        <v>41927</v>
      </c>
      <c r="B2">
        <v>80</v>
      </c>
      <c r="C2">
        <v>80</v>
      </c>
      <c r="D2">
        <v>80</v>
      </c>
      <c r="E2">
        <v>200</v>
      </c>
      <c r="F2">
        <v>120</v>
      </c>
      <c r="G2">
        <v>81</v>
      </c>
      <c r="H2">
        <f>B2+E2</f>
        <v>280</v>
      </c>
      <c r="I2">
        <f>C2+F2</f>
        <v>200</v>
      </c>
      <c r="J2">
        <f>D2+G2</f>
        <v>161</v>
      </c>
      <c r="K2" t="str" cm="1">
        <f t="array" ref="K2">_xlfn.IFS(H2&gt;=$U$1,"kostka",I2&gt;=$U$1*$R$3,"orzech",J2&gt;=$U$1*$R$4,"miał",1=1,"NIC")</f>
        <v>kostka</v>
      </c>
      <c r="L2">
        <f>IF($K2="kostka",H2-$U$1,H2)</f>
        <v>80</v>
      </c>
      <c r="M2">
        <f>IF($K2="orzech",I2-$U$1*$R$3,I2)</f>
        <v>200</v>
      </c>
      <c r="N2">
        <f>IF($K2="miał",J2-$U$1*$R$4,J2)</f>
        <v>161</v>
      </c>
      <c r="P2" t="s">
        <v>0</v>
      </c>
      <c r="Q2">
        <v>685</v>
      </c>
      <c r="R2">
        <v>1</v>
      </c>
    </row>
    <row r="3" spans="1:21" x14ac:dyDescent="0.25">
      <c r="A3" s="1">
        <v>41928</v>
      </c>
      <c r="B3">
        <f>L2</f>
        <v>80</v>
      </c>
      <c r="C3">
        <f>M2</f>
        <v>200</v>
      </c>
      <c r="D3">
        <f>N2</f>
        <v>161</v>
      </c>
      <c r="E3">
        <v>100</v>
      </c>
      <c r="F3">
        <v>135</v>
      </c>
      <c r="G3">
        <v>33</v>
      </c>
      <c r="H3">
        <f t="shared" ref="H3:J66" si="0">B3+E3</f>
        <v>180</v>
      </c>
      <c r="I3">
        <f t="shared" si="0"/>
        <v>335</v>
      </c>
      <c r="J3">
        <f t="shared" si="0"/>
        <v>194</v>
      </c>
      <c r="K3" t="str" cm="1">
        <f t="array" ref="K3">_xlfn.IFS(H3&gt;=$U$1,"kostka",I3&gt;=$U$1*$R$3,"orzech",J3&gt;=$U$1*$R$4,"miał",1=1,"NIC")</f>
        <v>orzech</v>
      </c>
      <c r="L3">
        <f>IF($K3="kostka",H3-$U$1,H3)</f>
        <v>180</v>
      </c>
      <c r="M3">
        <f>IF($K3="orzech",I3-$U$1*$R$3,I3)</f>
        <v>75</v>
      </c>
      <c r="N3">
        <f>IF($K3="miał",J3-$U$1*$R$4,J3)</f>
        <v>194</v>
      </c>
      <c r="P3" t="s">
        <v>1</v>
      </c>
      <c r="Q3">
        <v>620</v>
      </c>
      <c r="R3">
        <v>1.3</v>
      </c>
    </row>
    <row r="4" spans="1:21" x14ac:dyDescent="0.25">
      <c r="A4" s="1">
        <v>41929</v>
      </c>
      <c r="B4">
        <f t="shared" ref="B4:D67" si="1">L3</f>
        <v>180</v>
      </c>
      <c r="C4">
        <f t="shared" si="1"/>
        <v>75</v>
      </c>
      <c r="D4">
        <f t="shared" si="1"/>
        <v>194</v>
      </c>
      <c r="E4">
        <v>50</v>
      </c>
      <c r="F4">
        <v>29</v>
      </c>
      <c r="G4">
        <v>85</v>
      </c>
      <c r="H4">
        <f t="shared" si="0"/>
        <v>230</v>
      </c>
      <c r="I4">
        <f t="shared" si="0"/>
        <v>104</v>
      </c>
      <c r="J4">
        <f t="shared" si="0"/>
        <v>279</v>
      </c>
      <c r="K4" t="str" cm="1">
        <f t="array" ref="K4">_xlfn.IFS(H4&gt;=$U$1,"kostka",I4&gt;=$U$1*$R$3,"orzech",J4&gt;=$U$1*$R$4,"miał",1=1,"NIC")</f>
        <v>kostka</v>
      </c>
      <c r="L4">
        <f t="shared" ref="L4:L67" si="2">IF($K4="kostka",H4-$U$1,H4)</f>
        <v>30</v>
      </c>
      <c r="M4">
        <f t="shared" ref="M4:M67" si="3">IF($K4="orzech",I4-$U$1*$R$3,I4)</f>
        <v>104</v>
      </c>
      <c r="N4">
        <f t="shared" ref="N4:N67" si="4">IF($K4="miał",J4-$U$1*$R$4,J4)</f>
        <v>279</v>
      </c>
      <c r="P4" t="s">
        <v>4</v>
      </c>
      <c r="Q4">
        <v>380</v>
      </c>
      <c r="R4">
        <v>1.6</v>
      </c>
    </row>
    <row r="5" spans="1:21" x14ac:dyDescent="0.25">
      <c r="A5" s="1">
        <v>41930</v>
      </c>
      <c r="B5">
        <f t="shared" si="1"/>
        <v>30</v>
      </c>
      <c r="C5">
        <f t="shared" si="1"/>
        <v>104</v>
      </c>
      <c r="D5">
        <f t="shared" si="1"/>
        <v>279</v>
      </c>
      <c r="E5">
        <v>68</v>
      </c>
      <c r="F5">
        <v>107</v>
      </c>
      <c r="G5">
        <v>84</v>
      </c>
      <c r="H5">
        <f t="shared" si="0"/>
        <v>98</v>
      </c>
      <c r="I5">
        <f t="shared" si="0"/>
        <v>211</v>
      </c>
      <c r="J5">
        <f t="shared" si="0"/>
        <v>363</v>
      </c>
      <c r="K5" t="str" cm="1">
        <f t="array" ref="K5">_xlfn.IFS(H5&gt;=$U$1,"kostka",I5&gt;=$U$1*$R$3,"orzech",J5&gt;=$U$1*$R$4,"miał",1=1,"NIC")</f>
        <v>miał</v>
      </c>
      <c r="L5">
        <f t="shared" si="2"/>
        <v>98</v>
      </c>
      <c r="M5">
        <f t="shared" si="3"/>
        <v>211</v>
      </c>
      <c r="N5">
        <f t="shared" si="4"/>
        <v>43</v>
      </c>
    </row>
    <row r="6" spans="1:21" x14ac:dyDescent="0.25">
      <c r="A6" s="1">
        <v>41931</v>
      </c>
      <c r="B6">
        <f t="shared" si="1"/>
        <v>98</v>
      </c>
      <c r="C6">
        <f t="shared" si="1"/>
        <v>211</v>
      </c>
      <c r="D6">
        <f t="shared" si="1"/>
        <v>43</v>
      </c>
      <c r="E6">
        <v>75</v>
      </c>
      <c r="F6">
        <v>49</v>
      </c>
      <c r="G6">
        <v>23</v>
      </c>
      <c r="H6">
        <f t="shared" si="0"/>
        <v>173</v>
      </c>
      <c r="I6">
        <f t="shared" si="0"/>
        <v>260</v>
      </c>
      <c r="J6">
        <f t="shared" si="0"/>
        <v>66</v>
      </c>
      <c r="K6" t="str" cm="1">
        <f t="array" ref="K6">_xlfn.IFS(H6&gt;=$U$1,"kostka",I6&gt;=$U$1*$R$3,"orzech",J6&gt;=$U$1*$R$4,"miał",1=1,"NIC")</f>
        <v>orzech</v>
      </c>
      <c r="L6">
        <f t="shared" si="2"/>
        <v>173</v>
      </c>
      <c r="M6">
        <f t="shared" si="3"/>
        <v>0</v>
      </c>
      <c r="N6">
        <f t="shared" si="4"/>
        <v>66</v>
      </c>
    </row>
    <row r="7" spans="1:21" x14ac:dyDescent="0.25">
      <c r="A7" s="1">
        <v>41932</v>
      </c>
      <c r="B7">
        <f t="shared" si="1"/>
        <v>173</v>
      </c>
      <c r="C7">
        <f t="shared" si="1"/>
        <v>0</v>
      </c>
      <c r="D7">
        <f t="shared" si="1"/>
        <v>66</v>
      </c>
      <c r="E7">
        <v>109</v>
      </c>
      <c r="F7">
        <v>90</v>
      </c>
      <c r="G7">
        <v>48</v>
      </c>
      <c r="H7">
        <f t="shared" si="0"/>
        <v>282</v>
      </c>
      <c r="I7">
        <f t="shared" si="0"/>
        <v>90</v>
      </c>
      <c r="J7">
        <f t="shared" si="0"/>
        <v>114</v>
      </c>
      <c r="K7" t="str" cm="1">
        <f t="array" ref="K7">_xlfn.IFS(H7&gt;=$U$1,"kostka",I7&gt;=$U$1*$R$3,"orzech",J7&gt;=$U$1*$R$4,"miał",1=1,"NIC")</f>
        <v>kostka</v>
      </c>
      <c r="L7">
        <f t="shared" si="2"/>
        <v>82</v>
      </c>
      <c r="M7">
        <f t="shared" si="3"/>
        <v>90</v>
      </c>
      <c r="N7">
        <f t="shared" si="4"/>
        <v>114</v>
      </c>
    </row>
    <row r="8" spans="1:21" x14ac:dyDescent="0.25">
      <c r="A8" s="1">
        <v>41933</v>
      </c>
      <c r="B8">
        <f t="shared" si="1"/>
        <v>82</v>
      </c>
      <c r="C8">
        <f t="shared" si="1"/>
        <v>90</v>
      </c>
      <c r="D8">
        <f t="shared" si="1"/>
        <v>114</v>
      </c>
      <c r="E8">
        <v>161</v>
      </c>
      <c r="F8">
        <v>2</v>
      </c>
      <c r="G8">
        <v>16</v>
      </c>
      <c r="H8">
        <f t="shared" si="0"/>
        <v>243</v>
      </c>
      <c r="I8">
        <f t="shared" si="0"/>
        <v>92</v>
      </c>
      <c r="J8">
        <f t="shared" si="0"/>
        <v>130</v>
      </c>
      <c r="K8" t="str" cm="1">
        <f t="array" ref="K8">_xlfn.IFS(H8&gt;=$U$1,"kostka",I8&gt;=$U$1*$R$3,"orzech",J8&gt;=$U$1*$R$4,"miał",1=1,"NIC")</f>
        <v>kostka</v>
      </c>
      <c r="L8">
        <f t="shared" si="2"/>
        <v>43</v>
      </c>
      <c r="M8">
        <f t="shared" si="3"/>
        <v>92</v>
      </c>
      <c r="N8">
        <f t="shared" si="4"/>
        <v>130</v>
      </c>
      <c r="P8" s="5" t="s">
        <v>29</v>
      </c>
      <c r="Q8" s="5" t="s">
        <v>30</v>
      </c>
      <c r="R8" s="5" t="s">
        <v>31</v>
      </c>
      <c r="S8" s="5" t="s">
        <v>32</v>
      </c>
    </row>
    <row r="9" spans="1:21" x14ac:dyDescent="0.25">
      <c r="A9" s="1">
        <v>41934</v>
      </c>
      <c r="B9">
        <f t="shared" si="1"/>
        <v>43</v>
      </c>
      <c r="C9">
        <f t="shared" si="1"/>
        <v>92</v>
      </c>
      <c r="D9">
        <f t="shared" si="1"/>
        <v>130</v>
      </c>
      <c r="E9">
        <v>97</v>
      </c>
      <c r="F9">
        <v>129</v>
      </c>
      <c r="G9">
        <v>43</v>
      </c>
      <c r="H9">
        <f t="shared" si="0"/>
        <v>140</v>
      </c>
      <c r="I9">
        <f t="shared" si="0"/>
        <v>221</v>
      </c>
      <c r="J9">
        <f t="shared" si="0"/>
        <v>173</v>
      </c>
      <c r="K9" t="str" cm="1">
        <f t="array" ref="K9">_xlfn.IFS(H9&gt;=$U$1,"kostka",I9&gt;=$U$1*$R$3,"orzech",J9&gt;=$U$1*$R$4,"miał",1=1,"NIC")</f>
        <v>NIC</v>
      </c>
      <c r="L9">
        <f t="shared" si="2"/>
        <v>140</v>
      </c>
      <c r="M9">
        <f t="shared" si="3"/>
        <v>221</v>
      </c>
      <c r="N9">
        <f t="shared" si="4"/>
        <v>173</v>
      </c>
      <c r="P9" s="6" t="s">
        <v>22</v>
      </c>
      <c r="Q9" s="14">
        <v>2990</v>
      </c>
      <c r="R9" s="14">
        <v>2870</v>
      </c>
      <c r="S9" s="14">
        <v>1646</v>
      </c>
    </row>
    <row r="10" spans="1:21" x14ac:dyDescent="0.25">
      <c r="A10" s="1">
        <v>41935</v>
      </c>
      <c r="B10">
        <f t="shared" si="1"/>
        <v>140</v>
      </c>
      <c r="C10">
        <f t="shared" si="1"/>
        <v>221</v>
      </c>
      <c r="D10">
        <f t="shared" si="1"/>
        <v>173</v>
      </c>
      <c r="E10">
        <v>25</v>
      </c>
      <c r="F10">
        <v>186</v>
      </c>
      <c r="G10">
        <v>4</v>
      </c>
      <c r="H10">
        <f t="shared" si="0"/>
        <v>165</v>
      </c>
      <c r="I10">
        <f t="shared" si="0"/>
        <v>407</v>
      </c>
      <c r="J10">
        <f t="shared" si="0"/>
        <v>177</v>
      </c>
      <c r="K10" t="str" cm="1">
        <f t="array" ref="K10">_xlfn.IFS(H10&gt;=$U$1,"kostka",I10&gt;=$U$1*$R$3,"orzech",J10&gt;=$U$1*$R$4,"miał",1=1,"NIC")</f>
        <v>orzech</v>
      </c>
      <c r="L10">
        <f t="shared" si="2"/>
        <v>165</v>
      </c>
      <c r="M10">
        <f t="shared" si="3"/>
        <v>147</v>
      </c>
      <c r="N10">
        <f t="shared" si="4"/>
        <v>177</v>
      </c>
      <c r="P10" s="6" t="s">
        <v>23</v>
      </c>
      <c r="Q10" s="14">
        <v>2579</v>
      </c>
      <c r="R10" s="14">
        <v>2651</v>
      </c>
      <c r="S10" s="14">
        <v>1252</v>
      </c>
    </row>
    <row r="11" spans="1:21" x14ac:dyDescent="0.25">
      <c r="A11" s="1">
        <v>41936</v>
      </c>
      <c r="B11">
        <f t="shared" si="1"/>
        <v>165</v>
      </c>
      <c r="C11">
        <f t="shared" si="1"/>
        <v>147</v>
      </c>
      <c r="D11">
        <f t="shared" si="1"/>
        <v>177</v>
      </c>
      <c r="E11">
        <v>113</v>
      </c>
      <c r="F11">
        <v>97</v>
      </c>
      <c r="G11">
        <v>97</v>
      </c>
      <c r="H11">
        <f t="shared" si="0"/>
        <v>278</v>
      </c>
      <c r="I11">
        <f t="shared" si="0"/>
        <v>244</v>
      </c>
      <c r="J11">
        <f t="shared" si="0"/>
        <v>274</v>
      </c>
      <c r="K11" t="str" cm="1">
        <f t="array" ref="K11">_xlfn.IFS(H11&gt;=$U$1,"kostka",I11&gt;=$U$1*$R$3,"orzech",J11&gt;=$U$1*$R$4,"miał",1=1,"NIC")</f>
        <v>kostka</v>
      </c>
      <c r="L11">
        <f t="shared" si="2"/>
        <v>78</v>
      </c>
      <c r="M11">
        <f t="shared" si="3"/>
        <v>244</v>
      </c>
      <c r="N11">
        <f t="shared" si="4"/>
        <v>274</v>
      </c>
      <c r="P11" s="6" t="s">
        <v>24</v>
      </c>
      <c r="Q11" s="14">
        <v>3332</v>
      </c>
      <c r="R11" s="14">
        <v>3026</v>
      </c>
      <c r="S11" s="14">
        <v>1360</v>
      </c>
    </row>
    <row r="12" spans="1:21" x14ac:dyDescent="0.25">
      <c r="A12" s="1">
        <v>41937</v>
      </c>
      <c r="B12">
        <f t="shared" si="1"/>
        <v>78</v>
      </c>
      <c r="C12">
        <f t="shared" si="1"/>
        <v>244</v>
      </c>
      <c r="D12">
        <f t="shared" si="1"/>
        <v>274</v>
      </c>
      <c r="E12">
        <v>70</v>
      </c>
      <c r="F12">
        <v>12</v>
      </c>
      <c r="G12">
        <v>53</v>
      </c>
      <c r="H12">
        <f t="shared" si="0"/>
        <v>148</v>
      </c>
      <c r="I12">
        <f t="shared" si="0"/>
        <v>256</v>
      </c>
      <c r="J12">
        <f t="shared" si="0"/>
        <v>327</v>
      </c>
      <c r="K12" t="str" cm="1">
        <f t="array" ref="K12">_xlfn.IFS(H12&gt;=$U$1,"kostka",I12&gt;=$U$1*$R$3,"orzech",J12&gt;=$U$1*$R$4,"miał",1=1,"NIC")</f>
        <v>miał</v>
      </c>
      <c r="L12">
        <f t="shared" si="2"/>
        <v>148</v>
      </c>
      <c r="M12">
        <f t="shared" si="3"/>
        <v>256</v>
      </c>
      <c r="N12">
        <f t="shared" si="4"/>
        <v>7</v>
      </c>
      <c r="P12" s="6" t="s">
        <v>25</v>
      </c>
      <c r="Q12" s="14">
        <v>1365</v>
      </c>
      <c r="R12" s="14">
        <v>966</v>
      </c>
      <c r="S12" s="14">
        <v>706</v>
      </c>
    </row>
    <row r="13" spans="1:21" x14ac:dyDescent="0.25">
      <c r="A13" s="1">
        <v>41938</v>
      </c>
      <c r="B13">
        <f t="shared" si="1"/>
        <v>148</v>
      </c>
      <c r="C13">
        <f t="shared" si="1"/>
        <v>256</v>
      </c>
      <c r="D13">
        <f t="shared" si="1"/>
        <v>7</v>
      </c>
      <c r="E13">
        <v>117</v>
      </c>
      <c r="F13">
        <v>142</v>
      </c>
      <c r="G13">
        <v>90</v>
      </c>
      <c r="H13">
        <f t="shared" si="0"/>
        <v>265</v>
      </c>
      <c r="I13">
        <f t="shared" si="0"/>
        <v>398</v>
      </c>
      <c r="J13">
        <f t="shared" si="0"/>
        <v>97</v>
      </c>
      <c r="K13" t="str" cm="1">
        <f t="array" ref="K13">_xlfn.IFS(H13&gt;=$U$1,"kostka",I13&gt;=$U$1*$R$3,"orzech",J13&gt;=$U$1*$R$4,"miał",1=1,"NIC")</f>
        <v>kostka</v>
      </c>
      <c r="L13">
        <f t="shared" si="2"/>
        <v>65</v>
      </c>
      <c r="M13">
        <f t="shared" si="3"/>
        <v>398</v>
      </c>
      <c r="N13">
        <f t="shared" si="4"/>
        <v>97</v>
      </c>
      <c r="P13" s="6" t="s">
        <v>26</v>
      </c>
      <c r="Q13" s="14">
        <v>1742</v>
      </c>
      <c r="R13" s="14">
        <v>1658</v>
      </c>
      <c r="S13" s="14">
        <v>915</v>
      </c>
    </row>
    <row r="14" spans="1:21" x14ac:dyDescent="0.25">
      <c r="A14" s="1">
        <v>41939</v>
      </c>
      <c r="B14">
        <f t="shared" si="1"/>
        <v>65</v>
      </c>
      <c r="C14">
        <f t="shared" si="1"/>
        <v>398</v>
      </c>
      <c r="D14">
        <f t="shared" si="1"/>
        <v>97</v>
      </c>
      <c r="E14">
        <v>189</v>
      </c>
      <c r="F14">
        <v>28</v>
      </c>
      <c r="G14">
        <v>43</v>
      </c>
      <c r="H14">
        <f t="shared" si="0"/>
        <v>254</v>
      </c>
      <c r="I14">
        <f t="shared" si="0"/>
        <v>426</v>
      </c>
      <c r="J14">
        <f t="shared" si="0"/>
        <v>140</v>
      </c>
      <c r="K14" t="str" cm="1">
        <f t="array" ref="K14">_xlfn.IFS(H14&gt;=$U$1,"kostka",I14&gt;=$U$1*$R$3,"orzech",J14&gt;=$U$1*$R$4,"miał",1=1,"NIC")</f>
        <v>kostka</v>
      </c>
      <c r="L14">
        <f t="shared" si="2"/>
        <v>54</v>
      </c>
      <c r="M14">
        <f t="shared" si="3"/>
        <v>426</v>
      </c>
      <c r="N14">
        <f t="shared" si="4"/>
        <v>140</v>
      </c>
      <c r="P14" s="6" t="s">
        <v>27</v>
      </c>
      <c r="Q14" s="14">
        <v>2756</v>
      </c>
      <c r="R14" s="14">
        <v>2884</v>
      </c>
      <c r="S14" s="14">
        <v>1750</v>
      </c>
    </row>
    <row r="15" spans="1:21" x14ac:dyDescent="0.25">
      <c r="A15" s="1">
        <v>41940</v>
      </c>
      <c r="B15">
        <f t="shared" si="1"/>
        <v>54</v>
      </c>
      <c r="C15">
        <f t="shared" si="1"/>
        <v>426</v>
      </c>
      <c r="D15">
        <f t="shared" si="1"/>
        <v>140</v>
      </c>
      <c r="E15">
        <v>140</v>
      </c>
      <c r="F15">
        <v>191</v>
      </c>
      <c r="G15">
        <v>40</v>
      </c>
      <c r="H15">
        <f t="shared" si="0"/>
        <v>194</v>
      </c>
      <c r="I15">
        <f t="shared" si="0"/>
        <v>617</v>
      </c>
      <c r="J15">
        <f t="shared" si="0"/>
        <v>180</v>
      </c>
      <c r="K15" t="str" cm="1">
        <f t="array" ref="K15">_xlfn.IFS(H15&gt;=$U$1,"kostka",I15&gt;=$U$1*$R$3,"orzech",J15&gt;=$U$1*$R$4,"miał",1=1,"NIC")</f>
        <v>orzech</v>
      </c>
      <c r="L15">
        <f t="shared" si="2"/>
        <v>194</v>
      </c>
      <c r="M15">
        <f t="shared" si="3"/>
        <v>357</v>
      </c>
      <c r="N15">
        <f t="shared" si="4"/>
        <v>180</v>
      </c>
      <c r="P15" s="6" t="s">
        <v>28</v>
      </c>
      <c r="Q15" s="14">
        <v>2696</v>
      </c>
      <c r="R15" s="14">
        <v>2749</v>
      </c>
      <c r="S15" s="14">
        <v>1586</v>
      </c>
    </row>
    <row r="16" spans="1:21" x14ac:dyDescent="0.25">
      <c r="A16" s="1">
        <v>41941</v>
      </c>
      <c r="B16">
        <f t="shared" si="1"/>
        <v>194</v>
      </c>
      <c r="C16">
        <f t="shared" si="1"/>
        <v>357</v>
      </c>
      <c r="D16">
        <f t="shared" si="1"/>
        <v>180</v>
      </c>
      <c r="E16">
        <v>167</v>
      </c>
      <c r="F16">
        <v>48</v>
      </c>
      <c r="G16">
        <v>30</v>
      </c>
      <c r="H16">
        <f t="shared" si="0"/>
        <v>361</v>
      </c>
      <c r="I16">
        <f t="shared" si="0"/>
        <v>405</v>
      </c>
      <c r="J16">
        <f t="shared" si="0"/>
        <v>210</v>
      </c>
      <c r="K16" t="str" cm="1">
        <f t="array" ref="K16">_xlfn.IFS(H16&gt;=$U$1,"kostka",I16&gt;=$U$1*$R$3,"orzech",J16&gt;=$U$1*$R$4,"miał",1=1,"NIC")</f>
        <v>kostka</v>
      </c>
      <c r="L16">
        <f t="shared" si="2"/>
        <v>161</v>
      </c>
      <c r="M16">
        <f t="shared" si="3"/>
        <v>405</v>
      </c>
      <c r="N16">
        <f t="shared" si="4"/>
        <v>210</v>
      </c>
      <c r="P16" s="2" t="s">
        <v>21</v>
      </c>
      <c r="Q16" s="9">
        <v>17460</v>
      </c>
      <c r="R16" s="9">
        <v>16804</v>
      </c>
      <c r="S16" s="9">
        <v>9215</v>
      </c>
    </row>
    <row r="17" spans="1:19" x14ac:dyDescent="0.25">
      <c r="A17" s="1">
        <v>41942</v>
      </c>
      <c r="B17">
        <f t="shared" si="1"/>
        <v>161</v>
      </c>
      <c r="C17">
        <f t="shared" si="1"/>
        <v>405</v>
      </c>
      <c r="D17">
        <f t="shared" si="1"/>
        <v>210</v>
      </c>
      <c r="E17">
        <v>0</v>
      </c>
      <c r="F17">
        <v>154</v>
      </c>
      <c r="G17">
        <v>68</v>
      </c>
      <c r="H17">
        <f t="shared" si="0"/>
        <v>161</v>
      </c>
      <c r="I17">
        <f t="shared" si="0"/>
        <v>559</v>
      </c>
      <c r="J17">
        <f t="shared" si="0"/>
        <v>278</v>
      </c>
      <c r="K17" t="str" cm="1">
        <f t="array" ref="K17">_xlfn.IFS(H17&gt;=$U$1,"kostka",I17&gt;=$U$1*$R$3,"orzech",J17&gt;=$U$1*$R$4,"miał",1=1,"NIC")</f>
        <v>orzech</v>
      </c>
      <c r="L17">
        <f t="shared" si="2"/>
        <v>161</v>
      </c>
      <c r="M17">
        <f t="shared" si="3"/>
        <v>299</v>
      </c>
      <c r="N17">
        <f t="shared" si="4"/>
        <v>278</v>
      </c>
      <c r="P17" s="13" t="s">
        <v>29</v>
      </c>
      <c r="Q17" s="13" t="s">
        <v>30</v>
      </c>
      <c r="R17" s="13" t="s">
        <v>31</v>
      </c>
      <c r="S17" s="13" t="s">
        <v>32</v>
      </c>
    </row>
    <row r="18" spans="1:19" x14ac:dyDescent="0.25">
      <c r="A18" s="1">
        <v>41943</v>
      </c>
      <c r="B18">
        <f t="shared" si="1"/>
        <v>161</v>
      </c>
      <c r="C18">
        <f t="shared" si="1"/>
        <v>299</v>
      </c>
      <c r="D18">
        <f t="shared" si="1"/>
        <v>278</v>
      </c>
      <c r="E18">
        <v>61</v>
      </c>
      <c r="F18">
        <v>139</v>
      </c>
      <c r="G18">
        <v>77</v>
      </c>
      <c r="H18">
        <f t="shared" si="0"/>
        <v>222</v>
      </c>
      <c r="I18">
        <f t="shared" si="0"/>
        <v>438</v>
      </c>
      <c r="J18">
        <f t="shared" si="0"/>
        <v>355</v>
      </c>
      <c r="K18" t="str" cm="1">
        <f t="array" ref="K18">_xlfn.IFS(H18&gt;=$U$1,"kostka",I18&gt;=$U$1*$R$3,"orzech",J18&gt;=$U$1*$R$4,"miał",1=1,"NIC")</f>
        <v>kostka</v>
      </c>
      <c r="L18">
        <f t="shared" si="2"/>
        <v>22</v>
      </c>
      <c r="M18">
        <f t="shared" si="3"/>
        <v>438</v>
      </c>
      <c r="N18">
        <f t="shared" si="4"/>
        <v>355</v>
      </c>
      <c r="P18" s="4" t="s">
        <v>26</v>
      </c>
      <c r="Q18" s="11">
        <v>1742</v>
      </c>
      <c r="R18" s="11">
        <v>1658</v>
      </c>
      <c r="S18" s="11">
        <v>915</v>
      </c>
    </row>
    <row r="19" spans="1:19" x14ac:dyDescent="0.25">
      <c r="A19" s="1">
        <v>41944</v>
      </c>
      <c r="B19">
        <f t="shared" si="1"/>
        <v>22</v>
      </c>
      <c r="C19">
        <f t="shared" si="1"/>
        <v>438</v>
      </c>
      <c r="D19">
        <f t="shared" si="1"/>
        <v>355</v>
      </c>
      <c r="E19">
        <v>18</v>
      </c>
      <c r="F19">
        <v>163</v>
      </c>
      <c r="G19">
        <v>75</v>
      </c>
      <c r="H19">
        <f t="shared" si="0"/>
        <v>40</v>
      </c>
      <c r="I19">
        <f t="shared" si="0"/>
        <v>601</v>
      </c>
      <c r="J19">
        <f t="shared" si="0"/>
        <v>430</v>
      </c>
      <c r="K19" t="str" cm="1">
        <f t="array" ref="K19">_xlfn.IFS(H19&gt;=$U$1,"kostka",I19&gt;=$U$1*$R$3,"orzech",J19&gt;=$U$1*$R$4,"miał",1=1,"NIC")</f>
        <v>orzech</v>
      </c>
      <c r="L19">
        <f t="shared" si="2"/>
        <v>40</v>
      </c>
      <c r="M19">
        <f t="shared" si="3"/>
        <v>341</v>
      </c>
      <c r="N19">
        <f t="shared" si="4"/>
        <v>430</v>
      </c>
      <c r="P19" s="4" t="s">
        <v>27</v>
      </c>
      <c r="Q19" s="11">
        <v>2756</v>
      </c>
      <c r="R19" s="11">
        <v>2884</v>
      </c>
      <c r="S19" s="11">
        <v>1750</v>
      </c>
    </row>
    <row r="20" spans="1:19" x14ac:dyDescent="0.25">
      <c r="A20" s="1">
        <v>41945</v>
      </c>
      <c r="B20">
        <f t="shared" si="1"/>
        <v>40</v>
      </c>
      <c r="C20">
        <f t="shared" si="1"/>
        <v>341</v>
      </c>
      <c r="D20">
        <f t="shared" si="1"/>
        <v>430</v>
      </c>
      <c r="E20">
        <v>43</v>
      </c>
      <c r="F20">
        <v>169</v>
      </c>
      <c r="G20">
        <v>0</v>
      </c>
      <c r="H20">
        <f t="shared" si="0"/>
        <v>83</v>
      </c>
      <c r="I20">
        <f t="shared" si="0"/>
        <v>510</v>
      </c>
      <c r="J20">
        <f t="shared" si="0"/>
        <v>430</v>
      </c>
      <c r="K20" t="str" cm="1">
        <f t="array" ref="K20">_xlfn.IFS(H20&gt;=$U$1,"kostka",I20&gt;=$U$1*$R$3,"orzech",J20&gt;=$U$1*$R$4,"miał",1=1,"NIC")</f>
        <v>orzech</v>
      </c>
      <c r="L20">
        <f t="shared" si="2"/>
        <v>83</v>
      </c>
      <c r="M20">
        <f t="shared" si="3"/>
        <v>250</v>
      </c>
      <c r="N20">
        <f t="shared" si="4"/>
        <v>430</v>
      </c>
      <c r="P20" s="4" t="s">
        <v>28</v>
      </c>
      <c r="Q20" s="11">
        <v>2696</v>
      </c>
      <c r="R20" s="11">
        <v>2749</v>
      </c>
      <c r="S20" s="11">
        <v>1586</v>
      </c>
    </row>
    <row r="21" spans="1:19" x14ac:dyDescent="0.25">
      <c r="A21" s="1">
        <v>41946</v>
      </c>
      <c r="B21">
        <f t="shared" si="1"/>
        <v>83</v>
      </c>
      <c r="C21">
        <f t="shared" si="1"/>
        <v>250</v>
      </c>
      <c r="D21">
        <f t="shared" si="1"/>
        <v>430</v>
      </c>
      <c r="E21">
        <v>160</v>
      </c>
      <c r="F21">
        <v>135</v>
      </c>
      <c r="G21">
        <v>34</v>
      </c>
      <c r="H21">
        <f t="shared" si="0"/>
        <v>243</v>
      </c>
      <c r="I21">
        <f t="shared" si="0"/>
        <v>385</v>
      </c>
      <c r="J21">
        <f t="shared" si="0"/>
        <v>464</v>
      </c>
      <c r="K21" t="str" cm="1">
        <f t="array" ref="K21">_xlfn.IFS(H21&gt;=$U$1,"kostka",I21&gt;=$U$1*$R$3,"orzech",J21&gt;=$U$1*$R$4,"miał",1=1,"NIC")</f>
        <v>kostka</v>
      </c>
      <c r="L21">
        <f t="shared" si="2"/>
        <v>43</v>
      </c>
      <c r="M21">
        <f t="shared" si="3"/>
        <v>385</v>
      </c>
      <c r="N21">
        <f t="shared" si="4"/>
        <v>464</v>
      </c>
      <c r="P21" s="4" t="s">
        <v>22</v>
      </c>
      <c r="Q21" s="11">
        <v>2990</v>
      </c>
      <c r="R21" s="11">
        <v>2870</v>
      </c>
      <c r="S21" s="11">
        <v>1646</v>
      </c>
    </row>
    <row r="22" spans="1:19" x14ac:dyDescent="0.25">
      <c r="A22" s="1">
        <v>41947</v>
      </c>
      <c r="B22">
        <f t="shared" si="1"/>
        <v>43</v>
      </c>
      <c r="C22">
        <f t="shared" si="1"/>
        <v>385</v>
      </c>
      <c r="D22">
        <f t="shared" si="1"/>
        <v>464</v>
      </c>
      <c r="E22">
        <v>150</v>
      </c>
      <c r="F22">
        <v>89</v>
      </c>
      <c r="G22">
        <v>17</v>
      </c>
      <c r="H22">
        <f t="shared" si="0"/>
        <v>193</v>
      </c>
      <c r="I22">
        <f t="shared" si="0"/>
        <v>474</v>
      </c>
      <c r="J22">
        <f t="shared" si="0"/>
        <v>481</v>
      </c>
      <c r="K22" t="str" cm="1">
        <f t="array" ref="K22">_xlfn.IFS(H22&gt;=$U$1,"kostka",I22&gt;=$U$1*$R$3,"orzech",J22&gt;=$U$1*$R$4,"miał",1=1,"NIC")</f>
        <v>orzech</v>
      </c>
      <c r="L22">
        <f t="shared" si="2"/>
        <v>193</v>
      </c>
      <c r="M22">
        <f t="shared" si="3"/>
        <v>214</v>
      </c>
      <c r="N22">
        <f t="shared" si="4"/>
        <v>481</v>
      </c>
      <c r="P22" s="4" t="s">
        <v>23</v>
      </c>
      <c r="Q22" s="11">
        <v>2579</v>
      </c>
      <c r="R22" s="11">
        <v>2651</v>
      </c>
      <c r="S22" s="11">
        <v>1252</v>
      </c>
    </row>
    <row r="23" spans="1:19" x14ac:dyDescent="0.25">
      <c r="A23" s="1">
        <v>41948</v>
      </c>
      <c r="B23">
        <f t="shared" si="1"/>
        <v>193</v>
      </c>
      <c r="C23">
        <f t="shared" si="1"/>
        <v>214</v>
      </c>
      <c r="D23">
        <f t="shared" si="1"/>
        <v>481</v>
      </c>
      <c r="E23">
        <v>57</v>
      </c>
      <c r="F23">
        <v>109</v>
      </c>
      <c r="G23">
        <v>93</v>
      </c>
      <c r="H23">
        <f t="shared" si="0"/>
        <v>250</v>
      </c>
      <c r="I23">
        <f t="shared" si="0"/>
        <v>323</v>
      </c>
      <c r="J23">
        <f t="shared" si="0"/>
        <v>574</v>
      </c>
      <c r="K23" t="str" cm="1">
        <f t="array" ref="K23">_xlfn.IFS(H23&gt;=$U$1,"kostka",I23&gt;=$U$1*$R$3,"orzech",J23&gt;=$U$1*$R$4,"miał",1=1,"NIC")</f>
        <v>kostka</v>
      </c>
      <c r="L23">
        <f t="shared" si="2"/>
        <v>50</v>
      </c>
      <c r="M23">
        <f t="shared" si="3"/>
        <v>323</v>
      </c>
      <c r="N23">
        <f t="shared" si="4"/>
        <v>574</v>
      </c>
      <c r="P23" s="4" t="s">
        <v>24</v>
      </c>
      <c r="Q23" s="11">
        <v>3332</v>
      </c>
      <c r="R23" s="11">
        <v>3026</v>
      </c>
      <c r="S23" s="11">
        <v>1360</v>
      </c>
    </row>
    <row r="24" spans="1:19" x14ac:dyDescent="0.25">
      <c r="A24" s="1">
        <v>41949</v>
      </c>
      <c r="B24">
        <f t="shared" si="1"/>
        <v>50</v>
      </c>
      <c r="C24">
        <f t="shared" si="1"/>
        <v>323</v>
      </c>
      <c r="D24">
        <f t="shared" si="1"/>
        <v>574</v>
      </c>
      <c r="E24">
        <v>62</v>
      </c>
      <c r="F24">
        <v>80</v>
      </c>
      <c r="G24">
        <v>62</v>
      </c>
      <c r="H24">
        <f t="shared" si="0"/>
        <v>112</v>
      </c>
      <c r="I24">
        <f t="shared" si="0"/>
        <v>403</v>
      </c>
      <c r="J24">
        <f t="shared" si="0"/>
        <v>636</v>
      </c>
      <c r="K24" t="str" cm="1">
        <f t="array" ref="K24">_xlfn.IFS(H24&gt;=$U$1,"kostka",I24&gt;=$U$1*$R$3,"orzech",J24&gt;=$U$1*$R$4,"miał",1=1,"NIC")</f>
        <v>orzech</v>
      </c>
      <c r="L24">
        <f t="shared" si="2"/>
        <v>112</v>
      </c>
      <c r="M24">
        <f t="shared" si="3"/>
        <v>143</v>
      </c>
      <c r="N24">
        <f t="shared" si="4"/>
        <v>636</v>
      </c>
      <c r="P24" s="4" t="s">
        <v>25</v>
      </c>
      <c r="Q24" s="11">
        <v>1365</v>
      </c>
      <c r="R24" s="11">
        <v>966</v>
      </c>
      <c r="S24" s="11">
        <v>706</v>
      </c>
    </row>
    <row r="25" spans="1:19" x14ac:dyDescent="0.25">
      <c r="A25" s="1">
        <v>41950</v>
      </c>
      <c r="B25">
        <f t="shared" si="1"/>
        <v>112</v>
      </c>
      <c r="C25">
        <f t="shared" si="1"/>
        <v>143</v>
      </c>
      <c r="D25">
        <f t="shared" si="1"/>
        <v>636</v>
      </c>
      <c r="E25">
        <v>162</v>
      </c>
      <c r="F25">
        <v>62</v>
      </c>
      <c r="G25">
        <v>88</v>
      </c>
      <c r="H25">
        <f t="shared" si="0"/>
        <v>274</v>
      </c>
      <c r="I25">
        <f t="shared" si="0"/>
        <v>205</v>
      </c>
      <c r="J25">
        <f t="shared" si="0"/>
        <v>724</v>
      </c>
      <c r="K25" t="str" cm="1">
        <f t="array" ref="K25">_xlfn.IFS(H25&gt;=$U$1,"kostka",I25&gt;=$U$1*$R$3,"orzech",J25&gt;=$U$1*$R$4,"miał",1=1,"NIC")</f>
        <v>kostka</v>
      </c>
      <c r="L25">
        <f t="shared" si="2"/>
        <v>74</v>
      </c>
      <c r="M25">
        <f t="shared" si="3"/>
        <v>205</v>
      </c>
      <c r="N25">
        <f t="shared" si="4"/>
        <v>724</v>
      </c>
    </row>
    <row r="26" spans="1:19" x14ac:dyDescent="0.25">
      <c r="A26" s="1">
        <v>41951</v>
      </c>
      <c r="B26">
        <f t="shared" si="1"/>
        <v>74</v>
      </c>
      <c r="C26">
        <f t="shared" si="1"/>
        <v>205</v>
      </c>
      <c r="D26">
        <f t="shared" si="1"/>
        <v>724</v>
      </c>
      <c r="E26">
        <v>142</v>
      </c>
      <c r="F26">
        <v>79</v>
      </c>
      <c r="G26">
        <v>76</v>
      </c>
      <c r="H26">
        <f t="shared" si="0"/>
        <v>216</v>
      </c>
      <c r="I26">
        <f t="shared" si="0"/>
        <v>284</v>
      </c>
      <c r="J26">
        <f t="shared" si="0"/>
        <v>800</v>
      </c>
      <c r="K26" t="str" cm="1">
        <f t="array" ref="K26">_xlfn.IFS(H26&gt;=$U$1,"kostka",I26&gt;=$U$1*$R$3,"orzech",J26&gt;=$U$1*$R$4,"miał",1=1,"NIC")</f>
        <v>kostka</v>
      </c>
      <c r="L26">
        <f t="shared" si="2"/>
        <v>16</v>
      </c>
      <c r="M26">
        <f t="shared" si="3"/>
        <v>284</v>
      </c>
      <c r="N26">
        <f t="shared" si="4"/>
        <v>800</v>
      </c>
    </row>
    <row r="27" spans="1:19" x14ac:dyDescent="0.25">
      <c r="A27" s="1">
        <v>41952</v>
      </c>
      <c r="B27">
        <f t="shared" si="1"/>
        <v>16</v>
      </c>
      <c r="C27">
        <f t="shared" si="1"/>
        <v>284</v>
      </c>
      <c r="D27">
        <f t="shared" si="1"/>
        <v>800</v>
      </c>
      <c r="E27">
        <v>7</v>
      </c>
      <c r="F27">
        <v>30</v>
      </c>
      <c r="G27">
        <v>68</v>
      </c>
      <c r="H27">
        <f t="shared" si="0"/>
        <v>23</v>
      </c>
      <c r="I27">
        <f t="shared" si="0"/>
        <v>314</v>
      </c>
      <c r="J27">
        <f t="shared" si="0"/>
        <v>868</v>
      </c>
      <c r="K27" t="str" cm="1">
        <f t="array" ref="K27">_xlfn.IFS(H27&gt;=$U$1,"kostka",I27&gt;=$U$1*$R$3,"orzech",J27&gt;=$U$1*$R$4,"miał",1=1,"NIC")</f>
        <v>orzech</v>
      </c>
      <c r="L27">
        <f t="shared" si="2"/>
        <v>23</v>
      </c>
      <c r="M27">
        <f t="shared" si="3"/>
        <v>54</v>
      </c>
      <c r="N27">
        <f t="shared" si="4"/>
        <v>868</v>
      </c>
    </row>
    <row r="28" spans="1:19" x14ac:dyDescent="0.25">
      <c r="A28" s="1">
        <v>41953</v>
      </c>
      <c r="B28">
        <f t="shared" si="1"/>
        <v>23</v>
      </c>
      <c r="C28">
        <f t="shared" si="1"/>
        <v>54</v>
      </c>
      <c r="D28">
        <f t="shared" si="1"/>
        <v>868</v>
      </c>
      <c r="E28">
        <v>116</v>
      </c>
      <c r="F28">
        <v>6</v>
      </c>
      <c r="G28">
        <v>88</v>
      </c>
      <c r="H28">
        <f t="shared" si="0"/>
        <v>139</v>
      </c>
      <c r="I28">
        <f t="shared" si="0"/>
        <v>60</v>
      </c>
      <c r="J28">
        <f t="shared" si="0"/>
        <v>956</v>
      </c>
      <c r="K28" t="str" cm="1">
        <f t="array" ref="K28">_xlfn.IFS(H28&gt;=$U$1,"kostka",I28&gt;=$U$1*$R$3,"orzech",J28&gt;=$U$1*$R$4,"miał",1=1,"NIC")</f>
        <v>miał</v>
      </c>
      <c r="L28">
        <f t="shared" si="2"/>
        <v>139</v>
      </c>
      <c r="M28">
        <f t="shared" si="3"/>
        <v>60</v>
      </c>
      <c r="N28">
        <f t="shared" si="4"/>
        <v>636</v>
      </c>
    </row>
    <row r="29" spans="1:19" x14ac:dyDescent="0.25">
      <c r="A29" s="1">
        <v>41954</v>
      </c>
      <c r="B29">
        <f t="shared" si="1"/>
        <v>139</v>
      </c>
      <c r="C29">
        <f t="shared" si="1"/>
        <v>60</v>
      </c>
      <c r="D29">
        <f t="shared" si="1"/>
        <v>636</v>
      </c>
      <c r="E29">
        <v>0</v>
      </c>
      <c r="F29">
        <v>1</v>
      </c>
      <c r="G29">
        <v>47</v>
      </c>
      <c r="H29">
        <f t="shared" si="0"/>
        <v>139</v>
      </c>
      <c r="I29">
        <f t="shared" si="0"/>
        <v>61</v>
      </c>
      <c r="J29">
        <f t="shared" si="0"/>
        <v>683</v>
      </c>
      <c r="K29" t="str" cm="1">
        <f t="array" ref="K29">_xlfn.IFS(H29&gt;=$U$1,"kostka",I29&gt;=$U$1*$R$3,"orzech",J29&gt;=$U$1*$R$4,"miał",1=1,"NIC")</f>
        <v>miał</v>
      </c>
      <c r="L29">
        <f t="shared" si="2"/>
        <v>139</v>
      </c>
      <c r="M29">
        <f t="shared" si="3"/>
        <v>61</v>
      </c>
      <c r="N29">
        <f t="shared" si="4"/>
        <v>363</v>
      </c>
    </row>
    <row r="30" spans="1:19" x14ac:dyDescent="0.25">
      <c r="A30" s="1">
        <v>41955</v>
      </c>
      <c r="B30">
        <f t="shared" si="1"/>
        <v>139</v>
      </c>
      <c r="C30">
        <f t="shared" si="1"/>
        <v>61</v>
      </c>
      <c r="D30">
        <f t="shared" si="1"/>
        <v>363</v>
      </c>
      <c r="E30">
        <v>78</v>
      </c>
      <c r="F30">
        <v>84</v>
      </c>
      <c r="G30">
        <v>16</v>
      </c>
      <c r="H30">
        <f t="shared" si="0"/>
        <v>217</v>
      </c>
      <c r="I30">
        <f t="shared" si="0"/>
        <v>145</v>
      </c>
      <c r="J30">
        <f t="shared" si="0"/>
        <v>379</v>
      </c>
      <c r="K30" t="str" cm="1">
        <f t="array" ref="K30">_xlfn.IFS(H30&gt;=$U$1,"kostka",I30&gt;=$U$1*$R$3,"orzech",J30&gt;=$U$1*$R$4,"miał",1=1,"NIC")</f>
        <v>kostka</v>
      </c>
      <c r="L30">
        <f t="shared" si="2"/>
        <v>17</v>
      </c>
      <c r="M30">
        <f t="shared" si="3"/>
        <v>145</v>
      </c>
      <c r="N30">
        <f t="shared" si="4"/>
        <v>379</v>
      </c>
    </row>
    <row r="31" spans="1:19" x14ac:dyDescent="0.25">
      <c r="A31" s="1">
        <v>41956</v>
      </c>
      <c r="B31">
        <f t="shared" si="1"/>
        <v>17</v>
      </c>
      <c r="C31">
        <f t="shared" si="1"/>
        <v>145</v>
      </c>
      <c r="D31">
        <f t="shared" si="1"/>
        <v>379</v>
      </c>
      <c r="E31">
        <v>112</v>
      </c>
      <c r="F31">
        <v>140</v>
      </c>
      <c r="G31">
        <v>97</v>
      </c>
      <c r="H31">
        <f t="shared" si="0"/>
        <v>129</v>
      </c>
      <c r="I31">
        <f t="shared" si="0"/>
        <v>285</v>
      </c>
      <c r="J31">
        <f t="shared" si="0"/>
        <v>476</v>
      </c>
      <c r="K31" t="str" cm="1">
        <f t="array" ref="K31">_xlfn.IFS(H31&gt;=$U$1,"kostka",I31&gt;=$U$1*$R$3,"orzech",J31&gt;=$U$1*$R$4,"miał",1=1,"NIC")</f>
        <v>orzech</v>
      </c>
      <c r="L31">
        <f t="shared" si="2"/>
        <v>129</v>
      </c>
      <c r="M31">
        <f t="shared" si="3"/>
        <v>25</v>
      </c>
      <c r="N31">
        <f t="shared" si="4"/>
        <v>476</v>
      </c>
    </row>
    <row r="32" spans="1:19" x14ac:dyDescent="0.25">
      <c r="A32" s="1">
        <v>41957</v>
      </c>
      <c r="B32">
        <f t="shared" si="1"/>
        <v>129</v>
      </c>
      <c r="C32">
        <f t="shared" si="1"/>
        <v>25</v>
      </c>
      <c r="D32">
        <f t="shared" si="1"/>
        <v>476</v>
      </c>
      <c r="E32">
        <v>109</v>
      </c>
      <c r="F32">
        <v>74</v>
      </c>
      <c r="G32">
        <v>53</v>
      </c>
      <c r="H32">
        <f t="shared" si="0"/>
        <v>238</v>
      </c>
      <c r="I32">
        <f t="shared" si="0"/>
        <v>99</v>
      </c>
      <c r="J32">
        <f t="shared" si="0"/>
        <v>529</v>
      </c>
      <c r="K32" t="str" cm="1">
        <f t="array" ref="K32">_xlfn.IFS(H32&gt;=$U$1,"kostka",I32&gt;=$U$1*$R$3,"orzech",J32&gt;=$U$1*$R$4,"miał",1=1,"NIC")</f>
        <v>kostka</v>
      </c>
      <c r="L32">
        <f t="shared" si="2"/>
        <v>38</v>
      </c>
      <c r="M32">
        <f t="shared" si="3"/>
        <v>99</v>
      </c>
      <c r="N32">
        <f t="shared" si="4"/>
        <v>529</v>
      </c>
    </row>
    <row r="33" spans="1:14" x14ac:dyDescent="0.25">
      <c r="A33" s="1">
        <v>41958</v>
      </c>
      <c r="B33">
        <f t="shared" si="1"/>
        <v>38</v>
      </c>
      <c r="C33">
        <f t="shared" si="1"/>
        <v>99</v>
      </c>
      <c r="D33">
        <f t="shared" si="1"/>
        <v>529</v>
      </c>
      <c r="E33">
        <v>121</v>
      </c>
      <c r="F33">
        <v>77</v>
      </c>
      <c r="G33">
        <v>70</v>
      </c>
      <c r="H33">
        <f t="shared" si="0"/>
        <v>159</v>
      </c>
      <c r="I33">
        <f t="shared" si="0"/>
        <v>176</v>
      </c>
      <c r="J33">
        <f t="shared" si="0"/>
        <v>599</v>
      </c>
      <c r="K33" t="str" cm="1">
        <f t="array" ref="K33">_xlfn.IFS(H33&gt;=$U$1,"kostka",I33&gt;=$U$1*$R$3,"orzech",J33&gt;=$U$1*$R$4,"miał",1=1,"NIC")</f>
        <v>miał</v>
      </c>
      <c r="L33">
        <f t="shared" si="2"/>
        <v>159</v>
      </c>
      <c r="M33">
        <f t="shared" si="3"/>
        <v>176</v>
      </c>
      <c r="N33">
        <f t="shared" si="4"/>
        <v>279</v>
      </c>
    </row>
    <row r="34" spans="1:14" x14ac:dyDescent="0.25">
      <c r="A34" s="1">
        <v>41959</v>
      </c>
      <c r="B34">
        <f t="shared" si="1"/>
        <v>159</v>
      </c>
      <c r="C34">
        <f t="shared" si="1"/>
        <v>176</v>
      </c>
      <c r="D34">
        <f t="shared" si="1"/>
        <v>279</v>
      </c>
      <c r="E34">
        <v>106</v>
      </c>
      <c r="F34">
        <v>89</v>
      </c>
      <c r="G34">
        <v>75</v>
      </c>
      <c r="H34">
        <f t="shared" si="0"/>
        <v>265</v>
      </c>
      <c r="I34">
        <f t="shared" si="0"/>
        <v>265</v>
      </c>
      <c r="J34">
        <f t="shared" si="0"/>
        <v>354</v>
      </c>
      <c r="K34" t="str" cm="1">
        <f t="array" ref="K34">_xlfn.IFS(H34&gt;=$U$1,"kostka",I34&gt;=$U$1*$R$3,"orzech",J34&gt;=$U$1*$R$4,"miał",1=1,"NIC")</f>
        <v>kostka</v>
      </c>
      <c r="L34">
        <f t="shared" si="2"/>
        <v>65</v>
      </c>
      <c r="M34">
        <f t="shared" si="3"/>
        <v>265</v>
      </c>
      <c r="N34">
        <f t="shared" si="4"/>
        <v>354</v>
      </c>
    </row>
    <row r="35" spans="1:14" x14ac:dyDescent="0.25">
      <c r="A35" s="1">
        <v>41960</v>
      </c>
      <c r="B35">
        <f t="shared" si="1"/>
        <v>65</v>
      </c>
      <c r="C35">
        <f t="shared" si="1"/>
        <v>265</v>
      </c>
      <c r="D35">
        <f t="shared" si="1"/>
        <v>354</v>
      </c>
      <c r="E35">
        <v>57</v>
      </c>
      <c r="F35">
        <v>119</v>
      </c>
      <c r="G35">
        <v>64</v>
      </c>
      <c r="H35">
        <f t="shared" si="0"/>
        <v>122</v>
      </c>
      <c r="I35">
        <f t="shared" si="0"/>
        <v>384</v>
      </c>
      <c r="J35">
        <f t="shared" si="0"/>
        <v>418</v>
      </c>
      <c r="K35" t="str" cm="1">
        <f t="array" ref="K35">_xlfn.IFS(H35&gt;=$U$1,"kostka",I35&gt;=$U$1*$R$3,"orzech",J35&gt;=$U$1*$R$4,"miał",1=1,"NIC")</f>
        <v>orzech</v>
      </c>
      <c r="L35">
        <f t="shared" si="2"/>
        <v>122</v>
      </c>
      <c r="M35">
        <f t="shared" si="3"/>
        <v>124</v>
      </c>
      <c r="N35">
        <f t="shared" si="4"/>
        <v>418</v>
      </c>
    </row>
    <row r="36" spans="1:14" x14ac:dyDescent="0.25">
      <c r="A36" s="1">
        <v>41961</v>
      </c>
      <c r="B36">
        <f t="shared" si="1"/>
        <v>122</v>
      </c>
      <c r="C36">
        <f t="shared" si="1"/>
        <v>124</v>
      </c>
      <c r="D36">
        <f t="shared" si="1"/>
        <v>418</v>
      </c>
      <c r="E36">
        <v>26</v>
      </c>
      <c r="F36">
        <v>87</v>
      </c>
      <c r="G36">
        <v>84</v>
      </c>
      <c r="H36">
        <f t="shared" si="0"/>
        <v>148</v>
      </c>
      <c r="I36">
        <f t="shared" si="0"/>
        <v>211</v>
      </c>
      <c r="J36">
        <f t="shared" si="0"/>
        <v>502</v>
      </c>
      <c r="K36" t="str" cm="1">
        <f t="array" ref="K36">_xlfn.IFS(H36&gt;=$U$1,"kostka",I36&gt;=$U$1*$R$3,"orzech",J36&gt;=$U$1*$R$4,"miał",1=1,"NIC")</f>
        <v>miał</v>
      </c>
      <c r="L36">
        <f t="shared" si="2"/>
        <v>148</v>
      </c>
      <c r="M36">
        <f t="shared" si="3"/>
        <v>211</v>
      </c>
      <c r="N36">
        <f t="shared" si="4"/>
        <v>182</v>
      </c>
    </row>
    <row r="37" spans="1:14" x14ac:dyDescent="0.25">
      <c r="A37" s="1">
        <v>41962</v>
      </c>
      <c r="B37">
        <f t="shared" si="1"/>
        <v>148</v>
      </c>
      <c r="C37">
        <f t="shared" si="1"/>
        <v>211</v>
      </c>
      <c r="D37">
        <f t="shared" si="1"/>
        <v>182</v>
      </c>
      <c r="E37">
        <v>79</v>
      </c>
      <c r="F37">
        <v>171</v>
      </c>
      <c r="G37">
        <v>75</v>
      </c>
      <c r="H37">
        <f t="shared" si="0"/>
        <v>227</v>
      </c>
      <c r="I37">
        <f t="shared" si="0"/>
        <v>382</v>
      </c>
      <c r="J37">
        <f t="shared" si="0"/>
        <v>257</v>
      </c>
      <c r="K37" t="str" cm="1">
        <f t="array" ref="K37">_xlfn.IFS(H37&gt;=$U$1,"kostka",I37&gt;=$U$1*$R$3,"orzech",J37&gt;=$U$1*$R$4,"miał",1=1,"NIC")</f>
        <v>kostka</v>
      </c>
      <c r="L37">
        <f t="shared" si="2"/>
        <v>27</v>
      </c>
      <c r="M37">
        <f t="shared" si="3"/>
        <v>382</v>
      </c>
      <c r="N37">
        <f t="shared" si="4"/>
        <v>257</v>
      </c>
    </row>
    <row r="38" spans="1:14" x14ac:dyDescent="0.25">
      <c r="A38" s="1">
        <v>41963</v>
      </c>
      <c r="B38">
        <f t="shared" si="1"/>
        <v>27</v>
      </c>
      <c r="C38">
        <f t="shared" si="1"/>
        <v>382</v>
      </c>
      <c r="D38">
        <f t="shared" si="1"/>
        <v>257</v>
      </c>
      <c r="E38">
        <v>192</v>
      </c>
      <c r="F38">
        <v>151</v>
      </c>
      <c r="G38">
        <v>45</v>
      </c>
      <c r="H38">
        <f t="shared" si="0"/>
        <v>219</v>
      </c>
      <c r="I38">
        <f t="shared" si="0"/>
        <v>533</v>
      </c>
      <c r="J38">
        <f t="shared" si="0"/>
        <v>302</v>
      </c>
      <c r="K38" t="str" cm="1">
        <f t="array" ref="K38">_xlfn.IFS(H38&gt;=$U$1,"kostka",I38&gt;=$U$1*$R$3,"orzech",J38&gt;=$U$1*$R$4,"miał",1=1,"NIC")</f>
        <v>kostka</v>
      </c>
      <c r="L38">
        <f t="shared" si="2"/>
        <v>19</v>
      </c>
      <c r="M38">
        <f t="shared" si="3"/>
        <v>533</v>
      </c>
      <c r="N38">
        <f t="shared" si="4"/>
        <v>302</v>
      </c>
    </row>
    <row r="39" spans="1:14" x14ac:dyDescent="0.25">
      <c r="A39" s="1">
        <v>41964</v>
      </c>
      <c r="B39">
        <f t="shared" si="1"/>
        <v>19</v>
      </c>
      <c r="C39">
        <f t="shared" si="1"/>
        <v>533</v>
      </c>
      <c r="D39">
        <f t="shared" si="1"/>
        <v>302</v>
      </c>
      <c r="E39">
        <v>9</v>
      </c>
      <c r="F39">
        <v>64</v>
      </c>
      <c r="G39">
        <v>22</v>
      </c>
      <c r="H39">
        <f t="shared" si="0"/>
        <v>28</v>
      </c>
      <c r="I39">
        <f t="shared" si="0"/>
        <v>597</v>
      </c>
      <c r="J39">
        <f t="shared" si="0"/>
        <v>324</v>
      </c>
      <c r="K39" t="str" cm="1">
        <f t="array" ref="K39">_xlfn.IFS(H39&gt;=$U$1,"kostka",I39&gt;=$U$1*$R$3,"orzech",J39&gt;=$U$1*$R$4,"miał",1=1,"NIC")</f>
        <v>orzech</v>
      </c>
      <c r="L39">
        <f t="shared" si="2"/>
        <v>28</v>
      </c>
      <c r="M39">
        <f t="shared" si="3"/>
        <v>337</v>
      </c>
      <c r="N39">
        <f t="shared" si="4"/>
        <v>324</v>
      </c>
    </row>
    <row r="40" spans="1:14" x14ac:dyDescent="0.25">
      <c r="A40" s="1">
        <v>41965</v>
      </c>
      <c r="B40">
        <f t="shared" si="1"/>
        <v>28</v>
      </c>
      <c r="C40">
        <f t="shared" si="1"/>
        <v>337</v>
      </c>
      <c r="D40">
        <f t="shared" si="1"/>
        <v>324</v>
      </c>
      <c r="E40">
        <v>123</v>
      </c>
      <c r="F40">
        <v>150</v>
      </c>
      <c r="G40">
        <v>10</v>
      </c>
      <c r="H40">
        <f t="shared" si="0"/>
        <v>151</v>
      </c>
      <c r="I40">
        <f t="shared" si="0"/>
        <v>487</v>
      </c>
      <c r="J40">
        <f t="shared" si="0"/>
        <v>334</v>
      </c>
      <c r="K40" t="str" cm="1">
        <f t="array" ref="K40">_xlfn.IFS(H40&gt;=$U$1,"kostka",I40&gt;=$U$1*$R$3,"orzech",J40&gt;=$U$1*$R$4,"miał",1=1,"NIC")</f>
        <v>orzech</v>
      </c>
      <c r="L40">
        <f t="shared" si="2"/>
        <v>151</v>
      </c>
      <c r="M40">
        <f t="shared" si="3"/>
        <v>227</v>
      </c>
      <c r="N40">
        <f t="shared" si="4"/>
        <v>334</v>
      </c>
    </row>
    <row r="41" spans="1:14" x14ac:dyDescent="0.25">
      <c r="A41" s="1">
        <v>41966</v>
      </c>
      <c r="B41">
        <f t="shared" si="1"/>
        <v>151</v>
      </c>
      <c r="C41">
        <f t="shared" si="1"/>
        <v>227</v>
      </c>
      <c r="D41">
        <f t="shared" si="1"/>
        <v>334</v>
      </c>
      <c r="E41">
        <v>87</v>
      </c>
      <c r="F41">
        <v>123</v>
      </c>
      <c r="G41">
        <v>33</v>
      </c>
      <c r="H41">
        <f t="shared" si="0"/>
        <v>238</v>
      </c>
      <c r="I41">
        <f t="shared" si="0"/>
        <v>350</v>
      </c>
      <c r="J41">
        <f t="shared" si="0"/>
        <v>367</v>
      </c>
      <c r="K41" t="str" cm="1">
        <f t="array" ref="K41">_xlfn.IFS(H41&gt;=$U$1,"kostka",I41&gt;=$U$1*$R$3,"orzech",J41&gt;=$U$1*$R$4,"miał",1=1,"NIC")</f>
        <v>kostka</v>
      </c>
      <c r="L41">
        <f t="shared" si="2"/>
        <v>38</v>
      </c>
      <c r="M41">
        <f t="shared" si="3"/>
        <v>350</v>
      </c>
      <c r="N41">
        <f t="shared" si="4"/>
        <v>367</v>
      </c>
    </row>
    <row r="42" spans="1:14" x14ac:dyDescent="0.25">
      <c r="A42" s="1">
        <v>41967</v>
      </c>
      <c r="B42">
        <f t="shared" si="1"/>
        <v>38</v>
      </c>
      <c r="C42">
        <f t="shared" si="1"/>
        <v>350</v>
      </c>
      <c r="D42">
        <f t="shared" si="1"/>
        <v>367</v>
      </c>
      <c r="E42">
        <v>165</v>
      </c>
      <c r="F42">
        <v>88</v>
      </c>
      <c r="G42">
        <v>13</v>
      </c>
      <c r="H42">
        <f t="shared" si="0"/>
        <v>203</v>
      </c>
      <c r="I42">
        <f t="shared" si="0"/>
        <v>438</v>
      </c>
      <c r="J42">
        <f t="shared" si="0"/>
        <v>380</v>
      </c>
      <c r="K42" t="str" cm="1">
        <f t="array" ref="K42">_xlfn.IFS(H42&gt;=$U$1,"kostka",I42&gt;=$U$1*$R$3,"orzech",J42&gt;=$U$1*$R$4,"miał",1=1,"NIC")</f>
        <v>kostka</v>
      </c>
      <c r="L42">
        <f t="shared" si="2"/>
        <v>3</v>
      </c>
      <c r="M42">
        <f t="shared" si="3"/>
        <v>438</v>
      </c>
      <c r="N42">
        <f t="shared" si="4"/>
        <v>380</v>
      </c>
    </row>
    <row r="43" spans="1:14" x14ac:dyDescent="0.25">
      <c r="A43" s="1">
        <v>41968</v>
      </c>
      <c r="B43">
        <f t="shared" si="1"/>
        <v>3</v>
      </c>
      <c r="C43">
        <f t="shared" si="1"/>
        <v>438</v>
      </c>
      <c r="D43">
        <f t="shared" si="1"/>
        <v>380</v>
      </c>
      <c r="E43">
        <v>144</v>
      </c>
      <c r="F43">
        <v>78</v>
      </c>
      <c r="G43">
        <v>82</v>
      </c>
      <c r="H43">
        <f t="shared" si="0"/>
        <v>147</v>
      </c>
      <c r="I43">
        <f t="shared" si="0"/>
        <v>516</v>
      </c>
      <c r="J43">
        <f t="shared" si="0"/>
        <v>462</v>
      </c>
      <c r="K43" t="str" cm="1">
        <f t="array" ref="K43">_xlfn.IFS(H43&gt;=$U$1,"kostka",I43&gt;=$U$1*$R$3,"orzech",J43&gt;=$U$1*$R$4,"miał",1=1,"NIC")</f>
        <v>orzech</v>
      </c>
      <c r="L43">
        <f t="shared" si="2"/>
        <v>147</v>
      </c>
      <c r="M43">
        <f t="shared" si="3"/>
        <v>256</v>
      </c>
      <c r="N43">
        <f t="shared" si="4"/>
        <v>462</v>
      </c>
    </row>
    <row r="44" spans="1:14" x14ac:dyDescent="0.25">
      <c r="A44" s="1">
        <v>41969</v>
      </c>
      <c r="B44">
        <f t="shared" si="1"/>
        <v>147</v>
      </c>
      <c r="C44">
        <f t="shared" si="1"/>
        <v>256</v>
      </c>
      <c r="D44">
        <f t="shared" si="1"/>
        <v>462</v>
      </c>
      <c r="E44">
        <v>54</v>
      </c>
      <c r="F44">
        <v>38</v>
      </c>
      <c r="G44">
        <v>68</v>
      </c>
      <c r="H44">
        <f t="shared" si="0"/>
        <v>201</v>
      </c>
      <c r="I44">
        <f t="shared" si="0"/>
        <v>294</v>
      </c>
      <c r="J44">
        <f t="shared" si="0"/>
        <v>530</v>
      </c>
      <c r="K44" t="str" cm="1">
        <f t="array" ref="K44">_xlfn.IFS(H44&gt;=$U$1,"kostka",I44&gt;=$U$1*$R$3,"orzech",J44&gt;=$U$1*$R$4,"miał",1=1,"NIC")</f>
        <v>kostka</v>
      </c>
      <c r="L44">
        <f t="shared" si="2"/>
        <v>1</v>
      </c>
      <c r="M44">
        <f t="shared" si="3"/>
        <v>294</v>
      </c>
      <c r="N44">
        <f t="shared" si="4"/>
        <v>530</v>
      </c>
    </row>
    <row r="45" spans="1:14" x14ac:dyDescent="0.25">
      <c r="A45" s="1">
        <v>41970</v>
      </c>
      <c r="B45">
        <f t="shared" si="1"/>
        <v>1</v>
      </c>
      <c r="C45">
        <f t="shared" si="1"/>
        <v>294</v>
      </c>
      <c r="D45">
        <f t="shared" si="1"/>
        <v>530</v>
      </c>
      <c r="E45">
        <v>188</v>
      </c>
      <c r="F45">
        <v>44</v>
      </c>
      <c r="G45">
        <v>86</v>
      </c>
      <c r="H45">
        <f t="shared" si="0"/>
        <v>189</v>
      </c>
      <c r="I45">
        <f t="shared" si="0"/>
        <v>338</v>
      </c>
      <c r="J45">
        <f t="shared" si="0"/>
        <v>616</v>
      </c>
      <c r="K45" t="str" cm="1">
        <f t="array" ref="K45">_xlfn.IFS(H45&gt;=$U$1,"kostka",I45&gt;=$U$1*$R$3,"orzech",J45&gt;=$U$1*$R$4,"miał",1=1,"NIC")</f>
        <v>orzech</v>
      </c>
      <c r="L45">
        <f t="shared" si="2"/>
        <v>189</v>
      </c>
      <c r="M45">
        <f t="shared" si="3"/>
        <v>78</v>
      </c>
      <c r="N45">
        <f t="shared" si="4"/>
        <v>616</v>
      </c>
    </row>
    <row r="46" spans="1:14" x14ac:dyDescent="0.25">
      <c r="A46" s="1">
        <v>41971</v>
      </c>
      <c r="B46">
        <f t="shared" si="1"/>
        <v>189</v>
      </c>
      <c r="C46">
        <f t="shared" si="1"/>
        <v>78</v>
      </c>
      <c r="D46">
        <f t="shared" si="1"/>
        <v>616</v>
      </c>
      <c r="E46">
        <v>165</v>
      </c>
      <c r="F46">
        <v>170</v>
      </c>
      <c r="G46">
        <v>62</v>
      </c>
      <c r="H46">
        <f t="shared" si="0"/>
        <v>354</v>
      </c>
      <c r="I46">
        <f t="shared" si="0"/>
        <v>248</v>
      </c>
      <c r="J46">
        <f t="shared" si="0"/>
        <v>678</v>
      </c>
      <c r="K46" t="str" cm="1">
        <f t="array" ref="K46">_xlfn.IFS(H46&gt;=$U$1,"kostka",I46&gt;=$U$1*$R$3,"orzech",J46&gt;=$U$1*$R$4,"miał",1=1,"NIC")</f>
        <v>kostka</v>
      </c>
      <c r="L46">
        <f t="shared" si="2"/>
        <v>154</v>
      </c>
      <c r="M46">
        <f t="shared" si="3"/>
        <v>248</v>
      </c>
      <c r="N46">
        <f t="shared" si="4"/>
        <v>678</v>
      </c>
    </row>
    <row r="47" spans="1:14" x14ac:dyDescent="0.25">
      <c r="A47" s="1">
        <v>41972</v>
      </c>
      <c r="B47">
        <f t="shared" si="1"/>
        <v>154</v>
      </c>
      <c r="C47">
        <f t="shared" si="1"/>
        <v>248</v>
      </c>
      <c r="D47">
        <f t="shared" si="1"/>
        <v>678</v>
      </c>
      <c r="E47">
        <v>24</v>
      </c>
      <c r="F47">
        <v>94</v>
      </c>
      <c r="G47">
        <v>87</v>
      </c>
      <c r="H47">
        <f t="shared" si="0"/>
        <v>178</v>
      </c>
      <c r="I47">
        <f t="shared" si="0"/>
        <v>342</v>
      </c>
      <c r="J47">
        <f t="shared" si="0"/>
        <v>765</v>
      </c>
      <c r="K47" t="str" cm="1">
        <f t="array" ref="K47">_xlfn.IFS(H47&gt;=$U$1,"kostka",I47&gt;=$U$1*$R$3,"orzech",J47&gt;=$U$1*$R$4,"miał",1=1,"NIC")</f>
        <v>orzech</v>
      </c>
      <c r="L47">
        <f t="shared" si="2"/>
        <v>178</v>
      </c>
      <c r="M47">
        <f t="shared" si="3"/>
        <v>82</v>
      </c>
      <c r="N47">
        <f t="shared" si="4"/>
        <v>765</v>
      </c>
    </row>
    <row r="48" spans="1:14" x14ac:dyDescent="0.25">
      <c r="A48" s="1">
        <v>41973</v>
      </c>
      <c r="B48">
        <f t="shared" si="1"/>
        <v>178</v>
      </c>
      <c r="C48">
        <f t="shared" si="1"/>
        <v>82</v>
      </c>
      <c r="D48">
        <f t="shared" si="1"/>
        <v>765</v>
      </c>
      <c r="E48">
        <v>0</v>
      </c>
      <c r="F48">
        <v>120</v>
      </c>
      <c r="G48">
        <v>60</v>
      </c>
      <c r="H48">
        <f t="shared" si="0"/>
        <v>178</v>
      </c>
      <c r="I48">
        <f t="shared" si="0"/>
        <v>202</v>
      </c>
      <c r="J48">
        <f t="shared" si="0"/>
        <v>825</v>
      </c>
      <c r="K48" t="str" cm="1">
        <f t="array" ref="K48">_xlfn.IFS(H48&gt;=$U$1,"kostka",I48&gt;=$U$1*$R$3,"orzech",J48&gt;=$U$1*$R$4,"miał",1=1,"NIC")</f>
        <v>miał</v>
      </c>
      <c r="L48">
        <f t="shared" si="2"/>
        <v>178</v>
      </c>
      <c r="M48">
        <f t="shared" si="3"/>
        <v>202</v>
      </c>
      <c r="N48">
        <f t="shared" si="4"/>
        <v>505</v>
      </c>
    </row>
    <row r="49" spans="1:14" x14ac:dyDescent="0.25">
      <c r="A49" s="1">
        <v>41974</v>
      </c>
      <c r="B49">
        <f t="shared" si="1"/>
        <v>178</v>
      </c>
      <c r="C49">
        <f t="shared" si="1"/>
        <v>202</v>
      </c>
      <c r="D49">
        <f t="shared" si="1"/>
        <v>505</v>
      </c>
      <c r="E49">
        <v>101</v>
      </c>
      <c r="F49">
        <v>53</v>
      </c>
      <c r="G49">
        <v>62</v>
      </c>
      <c r="H49">
        <f t="shared" si="0"/>
        <v>279</v>
      </c>
      <c r="I49">
        <f t="shared" si="0"/>
        <v>255</v>
      </c>
      <c r="J49">
        <f t="shared" si="0"/>
        <v>567</v>
      </c>
      <c r="K49" t="str" cm="1">
        <f t="array" ref="K49">_xlfn.IFS(H49&gt;=$U$1,"kostka",I49&gt;=$U$1*$R$3,"orzech",J49&gt;=$U$1*$R$4,"miał",1=1,"NIC")</f>
        <v>kostka</v>
      </c>
      <c r="L49">
        <f t="shared" si="2"/>
        <v>79</v>
      </c>
      <c r="M49">
        <f t="shared" si="3"/>
        <v>255</v>
      </c>
      <c r="N49">
        <f t="shared" si="4"/>
        <v>567</v>
      </c>
    </row>
    <row r="50" spans="1:14" x14ac:dyDescent="0.25">
      <c r="A50" s="1">
        <v>41975</v>
      </c>
      <c r="B50">
        <f t="shared" si="1"/>
        <v>79</v>
      </c>
      <c r="C50">
        <f t="shared" si="1"/>
        <v>255</v>
      </c>
      <c r="D50">
        <f t="shared" si="1"/>
        <v>567</v>
      </c>
      <c r="E50">
        <v>67</v>
      </c>
      <c r="F50">
        <v>147</v>
      </c>
      <c r="G50">
        <v>20</v>
      </c>
      <c r="H50">
        <f t="shared" si="0"/>
        <v>146</v>
      </c>
      <c r="I50">
        <f t="shared" si="0"/>
        <v>402</v>
      </c>
      <c r="J50">
        <f t="shared" si="0"/>
        <v>587</v>
      </c>
      <c r="K50" t="str" cm="1">
        <f t="array" ref="K50">_xlfn.IFS(H50&gt;=$U$1,"kostka",I50&gt;=$U$1*$R$3,"orzech",J50&gt;=$U$1*$R$4,"miał",1=1,"NIC")</f>
        <v>orzech</v>
      </c>
      <c r="L50">
        <f t="shared" si="2"/>
        <v>146</v>
      </c>
      <c r="M50">
        <f t="shared" si="3"/>
        <v>142</v>
      </c>
      <c r="N50">
        <f t="shared" si="4"/>
        <v>587</v>
      </c>
    </row>
    <row r="51" spans="1:14" x14ac:dyDescent="0.25">
      <c r="A51" s="1">
        <v>41976</v>
      </c>
      <c r="B51">
        <f t="shared" si="1"/>
        <v>146</v>
      </c>
      <c r="C51">
        <f t="shared" si="1"/>
        <v>142</v>
      </c>
      <c r="D51">
        <f t="shared" si="1"/>
        <v>587</v>
      </c>
      <c r="E51">
        <v>109</v>
      </c>
      <c r="F51">
        <v>99</v>
      </c>
      <c r="G51">
        <v>70</v>
      </c>
      <c r="H51">
        <f t="shared" si="0"/>
        <v>255</v>
      </c>
      <c r="I51">
        <f t="shared" si="0"/>
        <v>241</v>
      </c>
      <c r="J51">
        <f t="shared" si="0"/>
        <v>657</v>
      </c>
      <c r="K51" t="str" cm="1">
        <f t="array" ref="K51">_xlfn.IFS(H51&gt;=$U$1,"kostka",I51&gt;=$U$1*$R$3,"orzech",J51&gt;=$U$1*$R$4,"miał",1=1,"NIC")</f>
        <v>kostka</v>
      </c>
      <c r="L51">
        <f t="shared" si="2"/>
        <v>55</v>
      </c>
      <c r="M51">
        <f t="shared" si="3"/>
        <v>241</v>
      </c>
      <c r="N51">
        <f t="shared" si="4"/>
        <v>657</v>
      </c>
    </row>
    <row r="52" spans="1:14" x14ac:dyDescent="0.25">
      <c r="A52" s="1">
        <v>41977</v>
      </c>
      <c r="B52">
        <f t="shared" si="1"/>
        <v>55</v>
      </c>
      <c r="C52">
        <f t="shared" si="1"/>
        <v>241</v>
      </c>
      <c r="D52">
        <f t="shared" si="1"/>
        <v>657</v>
      </c>
      <c r="E52">
        <v>22</v>
      </c>
      <c r="F52">
        <v>16</v>
      </c>
      <c r="G52">
        <v>59</v>
      </c>
      <c r="H52">
        <f t="shared" si="0"/>
        <v>77</v>
      </c>
      <c r="I52">
        <f t="shared" si="0"/>
        <v>257</v>
      </c>
      <c r="J52">
        <f t="shared" si="0"/>
        <v>716</v>
      </c>
      <c r="K52" t="str" cm="1">
        <f t="array" ref="K52">_xlfn.IFS(H52&gt;=$U$1,"kostka",I52&gt;=$U$1*$R$3,"orzech",J52&gt;=$U$1*$R$4,"miał",1=1,"NIC")</f>
        <v>miał</v>
      </c>
      <c r="L52">
        <f t="shared" si="2"/>
        <v>77</v>
      </c>
      <c r="M52">
        <f t="shared" si="3"/>
        <v>257</v>
      </c>
      <c r="N52">
        <f t="shared" si="4"/>
        <v>396</v>
      </c>
    </row>
    <row r="53" spans="1:14" x14ac:dyDescent="0.25">
      <c r="A53" s="1">
        <v>41978</v>
      </c>
      <c r="B53">
        <f t="shared" si="1"/>
        <v>77</v>
      </c>
      <c r="C53">
        <f t="shared" si="1"/>
        <v>257</v>
      </c>
      <c r="D53">
        <f t="shared" si="1"/>
        <v>396</v>
      </c>
      <c r="E53">
        <v>5</v>
      </c>
      <c r="F53">
        <v>91</v>
      </c>
      <c r="G53">
        <v>73</v>
      </c>
      <c r="H53">
        <f t="shared" si="0"/>
        <v>82</v>
      </c>
      <c r="I53">
        <f t="shared" si="0"/>
        <v>348</v>
      </c>
      <c r="J53">
        <f t="shared" si="0"/>
        <v>469</v>
      </c>
      <c r="K53" t="str" cm="1">
        <f t="array" ref="K53">_xlfn.IFS(H53&gt;=$U$1,"kostka",I53&gt;=$U$1*$R$3,"orzech",J53&gt;=$U$1*$R$4,"miał",1=1,"NIC")</f>
        <v>orzech</v>
      </c>
      <c r="L53">
        <f t="shared" si="2"/>
        <v>82</v>
      </c>
      <c r="M53">
        <f t="shared" si="3"/>
        <v>88</v>
      </c>
      <c r="N53">
        <f t="shared" si="4"/>
        <v>469</v>
      </c>
    </row>
    <row r="54" spans="1:14" x14ac:dyDescent="0.25">
      <c r="A54" s="1">
        <v>41979</v>
      </c>
      <c r="B54">
        <f t="shared" si="1"/>
        <v>82</v>
      </c>
      <c r="C54">
        <f t="shared" si="1"/>
        <v>88</v>
      </c>
      <c r="D54">
        <f t="shared" si="1"/>
        <v>469</v>
      </c>
      <c r="E54">
        <v>105</v>
      </c>
      <c r="F54">
        <v>154</v>
      </c>
      <c r="G54">
        <v>48</v>
      </c>
      <c r="H54">
        <f t="shared" si="0"/>
        <v>187</v>
      </c>
      <c r="I54">
        <f t="shared" si="0"/>
        <v>242</v>
      </c>
      <c r="J54">
        <f t="shared" si="0"/>
        <v>517</v>
      </c>
      <c r="K54" t="str" cm="1">
        <f t="array" ref="K54">_xlfn.IFS(H54&gt;=$U$1,"kostka",I54&gt;=$U$1*$R$3,"orzech",J54&gt;=$U$1*$R$4,"miał",1=1,"NIC")</f>
        <v>miał</v>
      </c>
      <c r="L54">
        <f t="shared" si="2"/>
        <v>187</v>
      </c>
      <c r="M54">
        <f t="shared" si="3"/>
        <v>242</v>
      </c>
      <c r="N54">
        <f t="shared" si="4"/>
        <v>197</v>
      </c>
    </row>
    <row r="55" spans="1:14" x14ac:dyDescent="0.25">
      <c r="A55" s="1">
        <v>41980</v>
      </c>
      <c r="B55">
        <f t="shared" si="1"/>
        <v>187</v>
      </c>
      <c r="C55">
        <f t="shared" si="1"/>
        <v>242</v>
      </c>
      <c r="D55">
        <f t="shared" si="1"/>
        <v>197</v>
      </c>
      <c r="E55">
        <v>108</v>
      </c>
      <c r="F55">
        <v>5</v>
      </c>
      <c r="G55">
        <v>71</v>
      </c>
      <c r="H55">
        <f t="shared" si="0"/>
        <v>295</v>
      </c>
      <c r="I55">
        <f t="shared" si="0"/>
        <v>247</v>
      </c>
      <c r="J55">
        <f t="shared" si="0"/>
        <v>268</v>
      </c>
      <c r="K55" t="str" cm="1">
        <f t="array" ref="K55">_xlfn.IFS(H55&gt;=$U$1,"kostka",I55&gt;=$U$1*$R$3,"orzech",J55&gt;=$U$1*$R$4,"miał",1=1,"NIC")</f>
        <v>kostka</v>
      </c>
      <c r="L55">
        <f t="shared" si="2"/>
        <v>95</v>
      </c>
      <c r="M55">
        <f t="shared" si="3"/>
        <v>247</v>
      </c>
      <c r="N55">
        <f t="shared" si="4"/>
        <v>268</v>
      </c>
    </row>
    <row r="56" spans="1:14" x14ac:dyDescent="0.25">
      <c r="A56" s="1">
        <v>41981</v>
      </c>
      <c r="B56">
        <f t="shared" si="1"/>
        <v>95</v>
      </c>
      <c r="C56">
        <f t="shared" si="1"/>
        <v>247</v>
      </c>
      <c r="D56">
        <f t="shared" si="1"/>
        <v>268</v>
      </c>
      <c r="E56">
        <v>64</v>
      </c>
      <c r="F56">
        <v>37</v>
      </c>
      <c r="G56">
        <v>89</v>
      </c>
      <c r="H56">
        <f t="shared" si="0"/>
        <v>159</v>
      </c>
      <c r="I56">
        <f t="shared" si="0"/>
        <v>284</v>
      </c>
      <c r="J56">
        <f t="shared" si="0"/>
        <v>357</v>
      </c>
      <c r="K56" t="str" cm="1">
        <f t="array" ref="K56">_xlfn.IFS(H56&gt;=$U$1,"kostka",I56&gt;=$U$1*$R$3,"orzech",J56&gt;=$U$1*$R$4,"miał",1=1,"NIC")</f>
        <v>orzech</v>
      </c>
      <c r="L56">
        <f t="shared" si="2"/>
        <v>159</v>
      </c>
      <c r="M56">
        <f t="shared" si="3"/>
        <v>24</v>
      </c>
      <c r="N56">
        <f t="shared" si="4"/>
        <v>357</v>
      </c>
    </row>
    <row r="57" spans="1:14" x14ac:dyDescent="0.25">
      <c r="A57" s="1">
        <v>41982</v>
      </c>
      <c r="B57">
        <f t="shared" si="1"/>
        <v>159</v>
      </c>
      <c r="C57">
        <f t="shared" si="1"/>
        <v>24</v>
      </c>
      <c r="D57">
        <f t="shared" si="1"/>
        <v>357</v>
      </c>
      <c r="E57">
        <v>114</v>
      </c>
      <c r="F57">
        <v>140</v>
      </c>
      <c r="G57">
        <v>36</v>
      </c>
      <c r="H57">
        <f t="shared" si="0"/>
        <v>273</v>
      </c>
      <c r="I57">
        <f t="shared" si="0"/>
        <v>164</v>
      </c>
      <c r="J57">
        <f t="shared" si="0"/>
        <v>393</v>
      </c>
      <c r="K57" t="str" cm="1">
        <f t="array" ref="K57">_xlfn.IFS(H57&gt;=$U$1,"kostka",I57&gt;=$U$1*$R$3,"orzech",J57&gt;=$U$1*$R$4,"miał",1=1,"NIC")</f>
        <v>kostka</v>
      </c>
      <c r="L57">
        <f t="shared" si="2"/>
        <v>73</v>
      </c>
      <c r="M57">
        <f t="shared" si="3"/>
        <v>164</v>
      </c>
      <c r="N57">
        <f t="shared" si="4"/>
        <v>393</v>
      </c>
    </row>
    <row r="58" spans="1:14" x14ac:dyDescent="0.25">
      <c r="A58" s="1">
        <v>41983</v>
      </c>
      <c r="B58">
        <f t="shared" si="1"/>
        <v>73</v>
      </c>
      <c r="C58">
        <f t="shared" si="1"/>
        <v>164</v>
      </c>
      <c r="D58">
        <f t="shared" si="1"/>
        <v>393</v>
      </c>
      <c r="E58">
        <v>147</v>
      </c>
      <c r="F58">
        <v>140</v>
      </c>
      <c r="G58">
        <v>61</v>
      </c>
      <c r="H58">
        <f t="shared" si="0"/>
        <v>220</v>
      </c>
      <c r="I58">
        <f t="shared" si="0"/>
        <v>304</v>
      </c>
      <c r="J58">
        <f t="shared" si="0"/>
        <v>454</v>
      </c>
      <c r="K58" t="str" cm="1">
        <f t="array" ref="K58">_xlfn.IFS(H58&gt;=$U$1,"kostka",I58&gt;=$U$1*$R$3,"orzech",J58&gt;=$U$1*$R$4,"miał",1=1,"NIC")</f>
        <v>kostka</v>
      </c>
      <c r="L58">
        <f t="shared" si="2"/>
        <v>20</v>
      </c>
      <c r="M58">
        <f t="shared" si="3"/>
        <v>304</v>
      </c>
      <c r="N58">
        <f t="shared" si="4"/>
        <v>454</v>
      </c>
    </row>
    <row r="59" spans="1:14" x14ac:dyDescent="0.25">
      <c r="A59" s="1">
        <v>41984</v>
      </c>
      <c r="B59">
        <f t="shared" si="1"/>
        <v>20</v>
      </c>
      <c r="C59">
        <f t="shared" si="1"/>
        <v>304</v>
      </c>
      <c r="D59">
        <f t="shared" si="1"/>
        <v>454</v>
      </c>
      <c r="E59">
        <v>69</v>
      </c>
      <c r="F59">
        <v>120</v>
      </c>
      <c r="G59">
        <v>52</v>
      </c>
      <c r="H59">
        <f t="shared" si="0"/>
        <v>89</v>
      </c>
      <c r="I59">
        <f t="shared" si="0"/>
        <v>424</v>
      </c>
      <c r="J59">
        <f t="shared" si="0"/>
        <v>506</v>
      </c>
      <c r="K59" t="str" cm="1">
        <f t="array" ref="K59">_xlfn.IFS(H59&gt;=$U$1,"kostka",I59&gt;=$U$1*$R$3,"orzech",J59&gt;=$U$1*$R$4,"miał",1=1,"NIC")</f>
        <v>orzech</v>
      </c>
      <c r="L59">
        <f t="shared" si="2"/>
        <v>89</v>
      </c>
      <c r="M59">
        <f t="shared" si="3"/>
        <v>164</v>
      </c>
      <c r="N59">
        <f t="shared" si="4"/>
        <v>506</v>
      </c>
    </row>
    <row r="60" spans="1:14" x14ac:dyDescent="0.25">
      <c r="A60" s="1">
        <v>41985</v>
      </c>
      <c r="B60">
        <f t="shared" si="1"/>
        <v>89</v>
      </c>
      <c r="C60">
        <f t="shared" si="1"/>
        <v>164</v>
      </c>
      <c r="D60">
        <f t="shared" si="1"/>
        <v>506</v>
      </c>
      <c r="E60">
        <v>101</v>
      </c>
      <c r="F60">
        <v>39</v>
      </c>
      <c r="G60">
        <v>10</v>
      </c>
      <c r="H60">
        <f t="shared" si="0"/>
        <v>190</v>
      </c>
      <c r="I60">
        <f t="shared" si="0"/>
        <v>203</v>
      </c>
      <c r="J60">
        <f t="shared" si="0"/>
        <v>516</v>
      </c>
      <c r="K60" t="str" cm="1">
        <f t="array" ref="K60">_xlfn.IFS(H60&gt;=$U$1,"kostka",I60&gt;=$U$1*$R$3,"orzech",J60&gt;=$U$1*$R$4,"miał",1=1,"NIC")</f>
        <v>miał</v>
      </c>
      <c r="L60">
        <f t="shared" si="2"/>
        <v>190</v>
      </c>
      <c r="M60">
        <f t="shared" si="3"/>
        <v>203</v>
      </c>
      <c r="N60">
        <f t="shared" si="4"/>
        <v>196</v>
      </c>
    </row>
    <row r="61" spans="1:14" x14ac:dyDescent="0.25">
      <c r="A61" s="1">
        <v>41986</v>
      </c>
      <c r="B61">
        <f t="shared" si="1"/>
        <v>190</v>
      </c>
      <c r="C61">
        <f t="shared" si="1"/>
        <v>203</v>
      </c>
      <c r="D61">
        <f t="shared" si="1"/>
        <v>196</v>
      </c>
      <c r="E61">
        <v>158</v>
      </c>
      <c r="F61">
        <v>36</v>
      </c>
      <c r="G61">
        <v>79</v>
      </c>
      <c r="H61">
        <f t="shared" si="0"/>
        <v>348</v>
      </c>
      <c r="I61">
        <f t="shared" si="0"/>
        <v>239</v>
      </c>
      <c r="J61">
        <f t="shared" si="0"/>
        <v>275</v>
      </c>
      <c r="K61" t="str" cm="1">
        <f t="array" ref="K61">_xlfn.IFS(H61&gt;=$U$1,"kostka",I61&gt;=$U$1*$R$3,"orzech",J61&gt;=$U$1*$R$4,"miał",1=1,"NIC")</f>
        <v>kostka</v>
      </c>
      <c r="L61">
        <f t="shared" si="2"/>
        <v>148</v>
      </c>
      <c r="M61">
        <f t="shared" si="3"/>
        <v>239</v>
      </c>
      <c r="N61">
        <f t="shared" si="4"/>
        <v>275</v>
      </c>
    </row>
    <row r="62" spans="1:14" x14ac:dyDescent="0.25">
      <c r="A62" s="1">
        <v>41987</v>
      </c>
      <c r="B62">
        <f t="shared" si="1"/>
        <v>148</v>
      </c>
      <c r="C62">
        <f t="shared" si="1"/>
        <v>239</v>
      </c>
      <c r="D62">
        <f t="shared" si="1"/>
        <v>275</v>
      </c>
      <c r="E62">
        <v>79</v>
      </c>
      <c r="F62">
        <v>105</v>
      </c>
      <c r="G62">
        <v>73</v>
      </c>
      <c r="H62">
        <f t="shared" si="0"/>
        <v>227</v>
      </c>
      <c r="I62">
        <f t="shared" si="0"/>
        <v>344</v>
      </c>
      <c r="J62">
        <f t="shared" si="0"/>
        <v>348</v>
      </c>
      <c r="K62" t="str" cm="1">
        <f t="array" ref="K62">_xlfn.IFS(H62&gt;=$U$1,"kostka",I62&gt;=$U$1*$R$3,"orzech",J62&gt;=$U$1*$R$4,"miał",1=1,"NIC")</f>
        <v>kostka</v>
      </c>
      <c r="L62">
        <f t="shared" si="2"/>
        <v>27</v>
      </c>
      <c r="M62">
        <f t="shared" si="3"/>
        <v>344</v>
      </c>
      <c r="N62">
        <f t="shared" si="4"/>
        <v>348</v>
      </c>
    </row>
    <row r="63" spans="1:14" x14ac:dyDescent="0.25">
      <c r="A63" s="1">
        <v>41988</v>
      </c>
      <c r="B63">
        <f t="shared" si="1"/>
        <v>27</v>
      </c>
      <c r="C63">
        <f t="shared" si="1"/>
        <v>344</v>
      </c>
      <c r="D63">
        <f t="shared" si="1"/>
        <v>348</v>
      </c>
      <c r="E63">
        <v>5</v>
      </c>
      <c r="F63">
        <v>24</v>
      </c>
      <c r="G63">
        <v>43</v>
      </c>
      <c r="H63">
        <f t="shared" si="0"/>
        <v>32</v>
      </c>
      <c r="I63">
        <f t="shared" si="0"/>
        <v>368</v>
      </c>
      <c r="J63">
        <f t="shared" si="0"/>
        <v>391</v>
      </c>
      <c r="K63" t="str" cm="1">
        <f t="array" ref="K63">_xlfn.IFS(H63&gt;=$U$1,"kostka",I63&gt;=$U$1*$R$3,"orzech",J63&gt;=$U$1*$R$4,"miał",1=1,"NIC")</f>
        <v>orzech</v>
      </c>
      <c r="L63">
        <f t="shared" si="2"/>
        <v>32</v>
      </c>
      <c r="M63">
        <f t="shared" si="3"/>
        <v>108</v>
      </c>
      <c r="N63">
        <f t="shared" si="4"/>
        <v>391</v>
      </c>
    </row>
    <row r="64" spans="1:14" x14ac:dyDescent="0.25">
      <c r="A64" s="1">
        <v>41989</v>
      </c>
      <c r="B64">
        <f t="shared" si="1"/>
        <v>32</v>
      </c>
      <c r="C64">
        <f t="shared" si="1"/>
        <v>108</v>
      </c>
      <c r="D64">
        <f t="shared" si="1"/>
        <v>391</v>
      </c>
      <c r="E64">
        <v>68</v>
      </c>
      <c r="F64">
        <v>112</v>
      </c>
      <c r="G64">
        <v>25</v>
      </c>
      <c r="H64">
        <f t="shared" si="0"/>
        <v>100</v>
      </c>
      <c r="I64">
        <f t="shared" si="0"/>
        <v>220</v>
      </c>
      <c r="J64">
        <f t="shared" si="0"/>
        <v>416</v>
      </c>
      <c r="K64" t="str" cm="1">
        <f t="array" ref="K64">_xlfn.IFS(H64&gt;=$U$1,"kostka",I64&gt;=$U$1*$R$3,"orzech",J64&gt;=$U$1*$R$4,"miał",1=1,"NIC")</f>
        <v>miał</v>
      </c>
      <c r="L64">
        <f t="shared" si="2"/>
        <v>100</v>
      </c>
      <c r="M64">
        <f t="shared" si="3"/>
        <v>220</v>
      </c>
      <c r="N64">
        <f t="shared" si="4"/>
        <v>96</v>
      </c>
    </row>
    <row r="65" spans="1:14" x14ac:dyDescent="0.25">
      <c r="A65" s="1">
        <v>41990</v>
      </c>
      <c r="B65">
        <f t="shared" si="1"/>
        <v>100</v>
      </c>
      <c r="C65">
        <f t="shared" si="1"/>
        <v>220</v>
      </c>
      <c r="D65">
        <f t="shared" si="1"/>
        <v>96</v>
      </c>
      <c r="E65">
        <v>37</v>
      </c>
      <c r="F65">
        <v>57</v>
      </c>
      <c r="G65">
        <v>81</v>
      </c>
      <c r="H65">
        <f t="shared" si="0"/>
        <v>137</v>
      </c>
      <c r="I65">
        <f t="shared" si="0"/>
        <v>277</v>
      </c>
      <c r="J65">
        <f t="shared" si="0"/>
        <v>177</v>
      </c>
      <c r="K65" t="str" cm="1">
        <f t="array" ref="K65">_xlfn.IFS(H65&gt;=$U$1,"kostka",I65&gt;=$U$1*$R$3,"orzech",J65&gt;=$U$1*$R$4,"miał",1=1,"NIC")</f>
        <v>orzech</v>
      </c>
      <c r="L65">
        <f t="shared" si="2"/>
        <v>137</v>
      </c>
      <c r="M65">
        <f t="shared" si="3"/>
        <v>17</v>
      </c>
      <c r="N65">
        <f t="shared" si="4"/>
        <v>177</v>
      </c>
    </row>
    <row r="66" spans="1:14" x14ac:dyDescent="0.25">
      <c r="A66" s="1">
        <v>41991</v>
      </c>
      <c r="B66">
        <f t="shared" si="1"/>
        <v>137</v>
      </c>
      <c r="C66">
        <f t="shared" si="1"/>
        <v>17</v>
      </c>
      <c r="D66">
        <f t="shared" si="1"/>
        <v>177</v>
      </c>
      <c r="E66">
        <v>188</v>
      </c>
      <c r="F66">
        <v>28</v>
      </c>
      <c r="G66">
        <v>7</v>
      </c>
      <c r="H66">
        <f t="shared" si="0"/>
        <v>325</v>
      </c>
      <c r="I66">
        <f t="shared" si="0"/>
        <v>45</v>
      </c>
      <c r="J66">
        <f t="shared" si="0"/>
        <v>184</v>
      </c>
      <c r="K66" t="str" cm="1">
        <f t="array" ref="K66">_xlfn.IFS(H66&gt;=$U$1,"kostka",I66&gt;=$U$1*$R$3,"orzech",J66&gt;=$U$1*$R$4,"miał",1=1,"NIC")</f>
        <v>kostka</v>
      </c>
      <c r="L66">
        <f t="shared" si="2"/>
        <v>125</v>
      </c>
      <c r="M66">
        <f t="shared" si="3"/>
        <v>45</v>
      </c>
      <c r="N66">
        <f t="shared" si="4"/>
        <v>184</v>
      </c>
    </row>
    <row r="67" spans="1:14" x14ac:dyDescent="0.25">
      <c r="A67" s="1">
        <v>41992</v>
      </c>
      <c r="B67">
        <f t="shared" si="1"/>
        <v>125</v>
      </c>
      <c r="C67">
        <f t="shared" si="1"/>
        <v>45</v>
      </c>
      <c r="D67">
        <f t="shared" si="1"/>
        <v>184</v>
      </c>
      <c r="E67">
        <v>167</v>
      </c>
      <c r="F67">
        <v>41</v>
      </c>
      <c r="G67">
        <v>45</v>
      </c>
      <c r="H67">
        <f t="shared" ref="H67:J130" si="5">B67+E67</f>
        <v>292</v>
      </c>
      <c r="I67">
        <f t="shared" si="5"/>
        <v>86</v>
      </c>
      <c r="J67">
        <f t="shared" si="5"/>
        <v>229</v>
      </c>
      <c r="K67" t="str" cm="1">
        <f t="array" ref="K67">_xlfn.IFS(H67&gt;=$U$1,"kostka",I67&gt;=$U$1*$R$3,"orzech",J67&gt;=$U$1*$R$4,"miał",1=1,"NIC")</f>
        <v>kostka</v>
      </c>
      <c r="L67">
        <f t="shared" si="2"/>
        <v>92</v>
      </c>
      <c r="M67">
        <f t="shared" si="3"/>
        <v>86</v>
      </c>
      <c r="N67">
        <f t="shared" si="4"/>
        <v>229</v>
      </c>
    </row>
    <row r="68" spans="1:14" x14ac:dyDescent="0.25">
      <c r="A68" s="1">
        <v>41993</v>
      </c>
      <c r="B68">
        <f t="shared" ref="B68:D131" si="6">L67</f>
        <v>92</v>
      </c>
      <c r="C68">
        <f t="shared" si="6"/>
        <v>86</v>
      </c>
      <c r="D68">
        <f t="shared" si="6"/>
        <v>229</v>
      </c>
      <c r="E68">
        <v>197</v>
      </c>
      <c r="F68">
        <v>82</v>
      </c>
      <c r="G68">
        <v>43</v>
      </c>
      <c r="H68">
        <f t="shared" si="5"/>
        <v>289</v>
      </c>
      <c r="I68">
        <f t="shared" si="5"/>
        <v>168</v>
      </c>
      <c r="J68">
        <f t="shared" si="5"/>
        <v>272</v>
      </c>
      <c r="K68" t="str" cm="1">
        <f t="array" ref="K68">_xlfn.IFS(H68&gt;=$U$1,"kostka",I68&gt;=$U$1*$R$3,"orzech",J68&gt;=$U$1*$R$4,"miał",1=1,"NIC")</f>
        <v>kostka</v>
      </c>
      <c r="L68">
        <f t="shared" ref="L68:L131" si="7">IF($K68="kostka",H68-$U$1,H68)</f>
        <v>89</v>
      </c>
      <c r="M68">
        <f t="shared" ref="M68:M131" si="8">IF($K68="orzech",I68-$U$1*$R$3,I68)</f>
        <v>168</v>
      </c>
      <c r="N68">
        <f t="shared" ref="N68:N131" si="9">IF($K68="miał",J68-$U$1*$R$4,J68)</f>
        <v>272</v>
      </c>
    </row>
    <row r="69" spans="1:14" x14ac:dyDescent="0.25">
      <c r="A69" s="1">
        <v>41994</v>
      </c>
      <c r="B69">
        <f t="shared" si="6"/>
        <v>89</v>
      </c>
      <c r="C69">
        <f t="shared" si="6"/>
        <v>168</v>
      </c>
      <c r="D69">
        <f t="shared" si="6"/>
        <v>272</v>
      </c>
      <c r="E69">
        <v>54</v>
      </c>
      <c r="F69">
        <v>130</v>
      </c>
      <c r="G69">
        <v>50</v>
      </c>
      <c r="H69">
        <f t="shared" si="5"/>
        <v>143</v>
      </c>
      <c r="I69">
        <f t="shared" si="5"/>
        <v>298</v>
      </c>
      <c r="J69">
        <f t="shared" si="5"/>
        <v>322</v>
      </c>
      <c r="K69" t="str" cm="1">
        <f t="array" ref="K69">_xlfn.IFS(H69&gt;=$U$1,"kostka",I69&gt;=$U$1*$R$3,"orzech",J69&gt;=$U$1*$R$4,"miał",1=1,"NIC")</f>
        <v>orzech</v>
      </c>
      <c r="L69">
        <f t="shared" si="7"/>
        <v>143</v>
      </c>
      <c r="M69">
        <f t="shared" si="8"/>
        <v>38</v>
      </c>
      <c r="N69">
        <f t="shared" si="9"/>
        <v>322</v>
      </c>
    </row>
    <row r="70" spans="1:14" x14ac:dyDescent="0.25">
      <c r="A70" s="1">
        <v>41995</v>
      </c>
      <c r="B70">
        <f t="shared" si="6"/>
        <v>143</v>
      </c>
      <c r="C70">
        <f t="shared" si="6"/>
        <v>38</v>
      </c>
      <c r="D70">
        <f t="shared" si="6"/>
        <v>322</v>
      </c>
      <c r="E70">
        <v>19</v>
      </c>
      <c r="F70">
        <v>153</v>
      </c>
      <c r="G70">
        <v>65</v>
      </c>
      <c r="H70">
        <f t="shared" si="5"/>
        <v>162</v>
      </c>
      <c r="I70">
        <f t="shared" si="5"/>
        <v>191</v>
      </c>
      <c r="J70">
        <f t="shared" si="5"/>
        <v>387</v>
      </c>
      <c r="K70" t="str" cm="1">
        <f t="array" ref="K70">_xlfn.IFS(H70&gt;=$U$1,"kostka",I70&gt;=$U$1*$R$3,"orzech",J70&gt;=$U$1*$R$4,"miał",1=1,"NIC")</f>
        <v>miał</v>
      </c>
      <c r="L70">
        <f t="shared" si="7"/>
        <v>162</v>
      </c>
      <c r="M70">
        <f t="shared" si="8"/>
        <v>191</v>
      </c>
      <c r="N70">
        <f t="shared" si="9"/>
        <v>67</v>
      </c>
    </row>
    <row r="71" spans="1:14" x14ac:dyDescent="0.25">
      <c r="A71" s="1">
        <v>41996</v>
      </c>
      <c r="B71">
        <f t="shared" si="6"/>
        <v>162</v>
      </c>
      <c r="C71">
        <f t="shared" si="6"/>
        <v>191</v>
      </c>
      <c r="D71">
        <f t="shared" si="6"/>
        <v>67</v>
      </c>
      <c r="E71">
        <v>27</v>
      </c>
      <c r="F71">
        <v>160</v>
      </c>
      <c r="G71">
        <v>81</v>
      </c>
      <c r="H71">
        <f t="shared" si="5"/>
        <v>189</v>
      </c>
      <c r="I71">
        <f t="shared" si="5"/>
        <v>351</v>
      </c>
      <c r="J71">
        <f t="shared" si="5"/>
        <v>148</v>
      </c>
      <c r="K71" t="str" cm="1">
        <f t="array" ref="K71">_xlfn.IFS(H71&gt;=$U$1,"kostka",I71&gt;=$U$1*$R$3,"orzech",J71&gt;=$U$1*$R$4,"miał",1=1,"NIC")</f>
        <v>orzech</v>
      </c>
      <c r="L71">
        <f t="shared" si="7"/>
        <v>189</v>
      </c>
      <c r="M71">
        <f t="shared" si="8"/>
        <v>91</v>
      </c>
      <c r="N71">
        <f t="shared" si="9"/>
        <v>148</v>
      </c>
    </row>
    <row r="72" spans="1:14" x14ac:dyDescent="0.25">
      <c r="A72" s="1">
        <v>41997</v>
      </c>
      <c r="B72">
        <f t="shared" si="6"/>
        <v>189</v>
      </c>
      <c r="C72">
        <f t="shared" si="6"/>
        <v>91</v>
      </c>
      <c r="D72">
        <f t="shared" si="6"/>
        <v>148</v>
      </c>
      <c r="E72">
        <v>11</v>
      </c>
      <c r="F72">
        <v>140</v>
      </c>
      <c r="G72">
        <v>77</v>
      </c>
      <c r="H72">
        <f t="shared" si="5"/>
        <v>200</v>
      </c>
      <c r="I72">
        <f t="shared" si="5"/>
        <v>231</v>
      </c>
      <c r="J72">
        <f t="shared" si="5"/>
        <v>225</v>
      </c>
      <c r="K72" t="str" cm="1">
        <f t="array" ref="K72">_xlfn.IFS(H72&gt;=$U$1,"kostka",I72&gt;=$U$1*$R$3,"orzech",J72&gt;=$U$1*$R$4,"miał",1=1,"NIC")</f>
        <v>kostka</v>
      </c>
      <c r="L72">
        <f t="shared" si="7"/>
        <v>0</v>
      </c>
      <c r="M72">
        <f t="shared" si="8"/>
        <v>231</v>
      </c>
      <c r="N72">
        <f t="shared" si="9"/>
        <v>225</v>
      </c>
    </row>
    <row r="73" spans="1:14" x14ac:dyDescent="0.25">
      <c r="A73" s="1">
        <v>41998</v>
      </c>
      <c r="B73">
        <f t="shared" si="6"/>
        <v>0</v>
      </c>
      <c r="C73">
        <f t="shared" si="6"/>
        <v>231</v>
      </c>
      <c r="D73">
        <f t="shared" si="6"/>
        <v>225</v>
      </c>
      <c r="E73">
        <v>182</v>
      </c>
      <c r="F73">
        <v>50</v>
      </c>
      <c r="G73">
        <v>22</v>
      </c>
      <c r="H73">
        <f t="shared" si="5"/>
        <v>182</v>
      </c>
      <c r="I73">
        <f t="shared" si="5"/>
        <v>281</v>
      </c>
      <c r="J73">
        <f t="shared" si="5"/>
        <v>247</v>
      </c>
      <c r="K73" t="str" cm="1">
        <f t="array" ref="K73">_xlfn.IFS(H73&gt;=$U$1,"kostka",I73&gt;=$U$1*$R$3,"orzech",J73&gt;=$U$1*$R$4,"miał",1=1,"NIC")</f>
        <v>orzech</v>
      </c>
      <c r="L73">
        <f t="shared" si="7"/>
        <v>182</v>
      </c>
      <c r="M73">
        <f t="shared" si="8"/>
        <v>21</v>
      </c>
      <c r="N73">
        <f t="shared" si="9"/>
        <v>247</v>
      </c>
    </row>
    <row r="74" spans="1:14" x14ac:dyDescent="0.25">
      <c r="A74" s="1">
        <v>41999</v>
      </c>
      <c r="B74">
        <f t="shared" si="6"/>
        <v>182</v>
      </c>
      <c r="C74">
        <f t="shared" si="6"/>
        <v>21</v>
      </c>
      <c r="D74">
        <f t="shared" si="6"/>
        <v>247</v>
      </c>
      <c r="E74">
        <v>63</v>
      </c>
      <c r="F74">
        <v>83</v>
      </c>
      <c r="G74">
        <v>69</v>
      </c>
      <c r="H74">
        <f t="shared" si="5"/>
        <v>245</v>
      </c>
      <c r="I74">
        <f t="shared" si="5"/>
        <v>104</v>
      </c>
      <c r="J74">
        <f t="shared" si="5"/>
        <v>316</v>
      </c>
      <c r="K74" t="str" cm="1">
        <f t="array" ref="K74">_xlfn.IFS(H74&gt;=$U$1,"kostka",I74&gt;=$U$1*$R$3,"orzech",J74&gt;=$U$1*$R$4,"miał",1=1,"NIC")</f>
        <v>kostka</v>
      </c>
      <c r="L74">
        <f t="shared" si="7"/>
        <v>45</v>
      </c>
      <c r="M74">
        <f t="shared" si="8"/>
        <v>104</v>
      </c>
      <c r="N74">
        <f t="shared" si="9"/>
        <v>316</v>
      </c>
    </row>
    <row r="75" spans="1:14" x14ac:dyDescent="0.25">
      <c r="A75" s="1">
        <v>42000</v>
      </c>
      <c r="B75">
        <f t="shared" si="6"/>
        <v>45</v>
      </c>
      <c r="C75">
        <f t="shared" si="6"/>
        <v>104</v>
      </c>
      <c r="D75">
        <f t="shared" si="6"/>
        <v>316</v>
      </c>
      <c r="E75">
        <v>33</v>
      </c>
      <c r="F75">
        <v>59</v>
      </c>
      <c r="G75">
        <v>46</v>
      </c>
      <c r="H75">
        <f t="shared" si="5"/>
        <v>78</v>
      </c>
      <c r="I75">
        <f t="shared" si="5"/>
        <v>163</v>
      </c>
      <c r="J75">
        <f t="shared" si="5"/>
        <v>362</v>
      </c>
      <c r="K75" t="str" cm="1">
        <f t="array" ref="K75">_xlfn.IFS(H75&gt;=$U$1,"kostka",I75&gt;=$U$1*$R$3,"orzech",J75&gt;=$U$1*$R$4,"miał",1=1,"NIC")</f>
        <v>miał</v>
      </c>
      <c r="L75">
        <f t="shared" si="7"/>
        <v>78</v>
      </c>
      <c r="M75">
        <f t="shared" si="8"/>
        <v>163</v>
      </c>
      <c r="N75">
        <f t="shared" si="9"/>
        <v>42</v>
      </c>
    </row>
    <row r="76" spans="1:14" x14ac:dyDescent="0.25">
      <c r="A76" s="1">
        <v>42001</v>
      </c>
      <c r="B76">
        <f t="shared" si="6"/>
        <v>78</v>
      </c>
      <c r="C76">
        <f t="shared" si="6"/>
        <v>163</v>
      </c>
      <c r="D76">
        <f t="shared" si="6"/>
        <v>42</v>
      </c>
      <c r="E76">
        <v>119</v>
      </c>
      <c r="F76">
        <v>57</v>
      </c>
      <c r="G76">
        <v>67</v>
      </c>
      <c r="H76">
        <f t="shared" si="5"/>
        <v>197</v>
      </c>
      <c r="I76">
        <f t="shared" si="5"/>
        <v>220</v>
      </c>
      <c r="J76">
        <f t="shared" si="5"/>
        <v>109</v>
      </c>
      <c r="K76" t="str" cm="1">
        <f t="array" ref="K76">_xlfn.IFS(H76&gt;=$U$1,"kostka",I76&gt;=$U$1*$R$3,"orzech",J76&gt;=$U$1*$R$4,"miał",1=1,"NIC")</f>
        <v>NIC</v>
      </c>
      <c r="L76">
        <f t="shared" si="7"/>
        <v>197</v>
      </c>
      <c r="M76">
        <f t="shared" si="8"/>
        <v>220</v>
      </c>
      <c r="N76">
        <f t="shared" si="9"/>
        <v>109</v>
      </c>
    </row>
    <row r="77" spans="1:14" x14ac:dyDescent="0.25">
      <c r="A77" s="1">
        <v>42002</v>
      </c>
      <c r="B77">
        <f t="shared" si="6"/>
        <v>197</v>
      </c>
      <c r="C77">
        <f t="shared" si="6"/>
        <v>220</v>
      </c>
      <c r="D77">
        <f t="shared" si="6"/>
        <v>109</v>
      </c>
      <c r="E77">
        <v>58</v>
      </c>
      <c r="F77">
        <v>176</v>
      </c>
      <c r="G77">
        <v>16</v>
      </c>
      <c r="H77">
        <f t="shared" si="5"/>
        <v>255</v>
      </c>
      <c r="I77">
        <f t="shared" si="5"/>
        <v>396</v>
      </c>
      <c r="J77">
        <f t="shared" si="5"/>
        <v>125</v>
      </c>
      <c r="K77" t="str" cm="1">
        <f t="array" ref="K77">_xlfn.IFS(H77&gt;=$U$1,"kostka",I77&gt;=$U$1*$R$3,"orzech",J77&gt;=$U$1*$R$4,"miał",1=1,"NIC")</f>
        <v>kostka</v>
      </c>
      <c r="L77">
        <f t="shared" si="7"/>
        <v>55</v>
      </c>
      <c r="M77">
        <f t="shared" si="8"/>
        <v>396</v>
      </c>
      <c r="N77">
        <f t="shared" si="9"/>
        <v>125</v>
      </c>
    </row>
    <row r="78" spans="1:14" x14ac:dyDescent="0.25">
      <c r="A78" s="1">
        <v>42003</v>
      </c>
      <c r="B78">
        <f t="shared" si="6"/>
        <v>55</v>
      </c>
      <c r="C78">
        <f t="shared" si="6"/>
        <v>396</v>
      </c>
      <c r="D78">
        <f t="shared" si="6"/>
        <v>125</v>
      </c>
      <c r="E78">
        <v>174</v>
      </c>
      <c r="F78">
        <v>61</v>
      </c>
      <c r="G78">
        <v>46</v>
      </c>
      <c r="H78">
        <f t="shared" si="5"/>
        <v>229</v>
      </c>
      <c r="I78">
        <f t="shared" si="5"/>
        <v>457</v>
      </c>
      <c r="J78">
        <f t="shared" si="5"/>
        <v>171</v>
      </c>
      <c r="K78" t="str" cm="1">
        <f t="array" ref="K78">_xlfn.IFS(H78&gt;=$U$1,"kostka",I78&gt;=$U$1*$R$3,"orzech",J78&gt;=$U$1*$R$4,"miał",1=1,"NIC")</f>
        <v>kostka</v>
      </c>
      <c r="L78">
        <f t="shared" si="7"/>
        <v>29</v>
      </c>
      <c r="M78">
        <f t="shared" si="8"/>
        <v>457</v>
      </c>
      <c r="N78">
        <f t="shared" si="9"/>
        <v>171</v>
      </c>
    </row>
    <row r="79" spans="1:14" x14ac:dyDescent="0.25">
      <c r="A79" s="1">
        <v>42004</v>
      </c>
      <c r="B79">
        <f t="shared" si="6"/>
        <v>29</v>
      </c>
      <c r="C79">
        <f t="shared" si="6"/>
        <v>457</v>
      </c>
      <c r="D79">
        <f t="shared" si="6"/>
        <v>171</v>
      </c>
      <c r="E79">
        <v>45</v>
      </c>
      <c r="F79">
        <v>154</v>
      </c>
      <c r="G79">
        <v>0</v>
      </c>
      <c r="H79">
        <f t="shared" si="5"/>
        <v>74</v>
      </c>
      <c r="I79">
        <f t="shared" si="5"/>
        <v>611</v>
      </c>
      <c r="J79">
        <f t="shared" si="5"/>
        <v>171</v>
      </c>
      <c r="K79" t="str" cm="1">
        <f t="array" ref="K79">_xlfn.IFS(H79&gt;=$U$1,"kostka",I79&gt;=$U$1*$R$3,"orzech",J79&gt;=$U$1*$R$4,"miał",1=1,"NIC")</f>
        <v>orzech</v>
      </c>
      <c r="L79">
        <f t="shared" si="7"/>
        <v>74</v>
      </c>
      <c r="M79">
        <f t="shared" si="8"/>
        <v>351</v>
      </c>
      <c r="N79">
        <f t="shared" si="9"/>
        <v>171</v>
      </c>
    </row>
    <row r="80" spans="1:14" x14ac:dyDescent="0.25">
      <c r="A80" s="1">
        <v>42005</v>
      </c>
      <c r="B80">
        <f t="shared" si="6"/>
        <v>74</v>
      </c>
      <c r="C80">
        <f t="shared" si="6"/>
        <v>351</v>
      </c>
      <c r="D80">
        <f t="shared" si="6"/>
        <v>171</v>
      </c>
      <c r="E80">
        <v>94</v>
      </c>
      <c r="F80">
        <v>120</v>
      </c>
      <c r="G80">
        <v>95</v>
      </c>
      <c r="H80">
        <f t="shared" si="5"/>
        <v>168</v>
      </c>
      <c r="I80">
        <f t="shared" si="5"/>
        <v>471</v>
      </c>
      <c r="J80">
        <f t="shared" si="5"/>
        <v>266</v>
      </c>
      <c r="K80" t="str" cm="1">
        <f t="array" ref="K80">_xlfn.IFS(H80&gt;=$U$1,"kostka",I80&gt;=$U$1*$R$3,"orzech",J80&gt;=$U$1*$R$4,"miał",1=1,"NIC")</f>
        <v>orzech</v>
      </c>
      <c r="L80">
        <f t="shared" si="7"/>
        <v>168</v>
      </c>
      <c r="M80">
        <f t="shared" si="8"/>
        <v>211</v>
      </c>
      <c r="N80">
        <f t="shared" si="9"/>
        <v>266</v>
      </c>
    </row>
    <row r="81" spans="1:14" x14ac:dyDescent="0.25">
      <c r="A81" s="1">
        <v>42006</v>
      </c>
      <c r="B81">
        <f t="shared" si="6"/>
        <v>168</v>
      </c>
      <c r="C81">
        <f t="shared" si="6"/>
        <v>211</v>
      </c>
      <c r="D81">
        <f t="shared" si="6"/>
        <v>266</v>
      </c>
      <c r="E81">
        <v>12</v>
      </c>
      <c r="F81">
        <v>5</v>
      </c>
      <c r="G81">
        <v>42</v>
      </c>
      <c r="H81">
        <f t="shared" si="5"/>
        <v>180</v>
      </c>
      <c r="I81">
        <f t="shared" si="5"/>
        <v>216</v>
      </c>
      <c r="J81">
        <f t="shared" si="5"/>
        <v>308</v>
      </c>
      <c r="K81" t="str" cm="1">
        <f t="array" ref="K81">_xlfn.IFS(H81&gt;=$U$1,"kostka",I81&gt;=$U$1*$R$3,"orzech",J81&gt;=$U$1*$R$4,"miał",1=1,"NIC")</f>
        <v>NIC</v>
      </c>
      <c r="L81">
        <f t="shared" si="7"/>
        <v>180</v>
      </c>
      <c r="M81">
        <f t="shared" si="8"/>
        <v>216</v>
      </c>
      <c r="N81">
        <f t="shared" si="9"/>
        <v>308</v>
      </c>
    </row>
    <row r="82" spans="1:14" x14ac:dyDescent="0.25">
      <c r="A82" s="1">
        <v>42007</v>
      </c>
      <c r="B82">
        <f t="shared" si="6"/>
        <v>180</v>
      </c>
      <c r="C82">
        <f t="shared" si="6"/>
        <v>216</v>
      </c>
      <c r="D82">
        <f t="shared" si="6"/>
        <v>308</v>
      </c>
      <c r="E82">
        <v>80</v>
      </c>
      <c r="F82">
        <v>170</v>
      </c>
      <c r="G82">
        <v>96</v>
      </c>
      <c r="H82">
        <f t="shared" si="5"/>
        <v>260</v>
      </c>
      <c r="I82">
        <f t="shared" si="5"/>
        <v>386</v>
      </c>
      <c r="J82">
        <f t="shared" si="5"/>
        <v>404</v>
      </c>
      <c r="K82" t="str" cm="1">
        <f t="array" ref="K82">_xlfn.IFS(H82&gt;=$U$1,"kostka",I82&gt;=$U$1*$R$3,"orzech",J82&gt;=$U$1*$R$4,"miał",1=1,"NIC")</f>
        <v>kostka</v>
      </c>
      <c r="L82">
        <f t="shared" si="7"/>
        <v>60</v>
      </c>
      <c r="M82">
        <f t="shared" si="8"/>
        <v>386</v>
      </c>
      <c r="N82">
        <f t="shared" si="9"/>
        <v>404</v>
      </c>
    </row>
    <row r="83" spans="1:14" x14ac:dyDescent="0.25">
      <c r="A83" s="1">
        <v>42008</v>
      </c>
      <c r="B83">
        <f t="shared" si="6"/>
        <v>60</v>
      </c>
      <c r="C83">
        <f t="shared" si="6"/>
        <v>386</v>
      </c>
      <c r="D83">
        <f t="shared" si="6"/>
        <v>404</v>
      </c>
      <c r="E83">
        <v>80</v>
      </c>
      <c r="F83">
        <v>10</v>
      </c>
      <c r="G83">
        <v>30</v>
      </c>
      <c r="H83">
        <f t="shared" si="5"/>
        <v>140</v>
      </c>
      <c r="I83">
        <f t="shared" si="5"/>
        <v>396</v>
      </c>
      <c r="J83">
        <f t="shared" si="5"/>
        <v>434</v>
      </c>
      <c r="K83" t="str" cm="1">
        <f t="array" ref="K83">_xlfn.IFS(H83&gt;=$U$1,"kostka",I83&gt;=$U$1*$R$3,"orzech",J83&gt;=$U$1*$R$4,"miał",1=1,"NIC")</f>
        <v>orzech</v>
      </c>
      <c r="L83">
        <f t="shared" si="7"/>
        <v>140</v>
      </c>
      <c r="M83">
        <f t="shared" si="8"/>
        <v>136</v>
      </c>
      <c r="N83">
        <f t="shared" si="9"/>
        <v>434</v>
      </c>
    </row>
    <row r="84" spans="1:14" x14ac:dyDescent="0.25">
      <c r="A84" s="1">
        <v>42009</v>
      </c>
      <c r="B84">
        <f t="shared" si="6"/>
        <v>140</v>
      </c>
      <c r="C84">
        <f t="shared" si="6"/>
        <v>136</v>
      </c>
      <c r="D84">
        <f t="shared" si="6"/>
        <v>434</v>
      </c>
      <c r="E84">
        <v>90</v>
      </c>
      <c r="F84">
        <v>80</v>
      </c>
      <c r="G84">
        <v>31</v>
      </c>
      <c r="H84">
        <f t="shared" si="5"/>
        <v>230</v>
      </c>
      <c r="I84">
        <f t="shared" si="5"/>
        <v>216</v>
      </c>
      <c r="J84">
        <f t="shared" si="5"/>
        <v>465</v>
      </c>
      <c r="K84" t="str" cm="1">
        <f t="array" ref="K84">_xlfn.IFS(H84&gt;=$U$1,"kostka",I84&gt;=$U$1*$R$3,"orzech",J84&gt;=$U$1*$R$4,"miał",1=1,"NIC")</f>
        <v>kostka</v>
      </c>
      <c r="L84">
        <f t="shared" si="7"/>
        <v>30</v>
      </c>
      <c r="M84">
        <f t="shared" si="8"/>
        <v>216</v>
      </c>
      <c r="N84">
        <f t="shared" si="9"/>
        <v>465</v>
      </c>
    </row>
    <row r="85" spans="1:14" x14ac:dyDescent="0.25">
      <c r="A85" s="1">
        <v>42010</v>
      </c>
      <c r="B85">
        <f t="shared" si="6"/>
        <v>30</v>
      </c>
      <c r="C85">
        <f t="shared" si="6"/>
        <v>216</v>
      </c>
      <c r="D85">
        <f t="shared" si="6"/>
        <v>465</v>
      </c>
      <c r="E85">
        <v>130</v>
      </c>
      <c r="F85">
        <v>163</v>
      </c>
      <c r="G85">
        <v>92</v>
      </c>
      <c r="H85">
        <f t="shared" si="5"/>
        <v>160</v>
      </c>
      <c r="I85">
        <f t="shared" si="5"/>
        <v>379</v>
      </c>
      <c r="J85">
        <f t="shared" si="5"/>
        <v>557</v>
      </c>
      <c r="K85" t="str" cm="1">
        <f t="array" ref="K85">_xlfn.IFS(H85&gt;=$U$1,"kostka",I85&gt;=$U$1*$R$3,"orzech",J85&gt;=$U$1*$R$4,"miał",1=1,"NIC")</f>
        <v>orzech</v>
      </c>
      <c r="L85">
        <f t="shared" si="7"/>
        <v>160</v>
      </c>
      <c r="M85">
        <f t="shared" si="8"/>
        <v>119</v>
      </c>
      <c r="N85">
        <f t="shared" si="9"/>
        <v>557</v>
      </c>
    </row>
    <row r="86" spans="1:14" x14ac:dyDescent="0.25">
      <c r="A86" s="1">
        <v>42011</v>
      </c>
      <c r="B86">
        <f t="shared" si="6"/>
        <v>160</v>
      </c>
      <c r="C86">
        <f t="shared" si="6"/>
        <v>119</v>
      </c>
      <c r="D86">
        <f t="shared" si="6"/>
        <v>557</v>
      </c>
      <c r="E86">
        <v>54</v>
      </c>
      <c r="F86">
        <v>7</v>
      </c>
      <c r="G86">
        <v>79</v>
      </c>
      <c r="H86">
        <f t="shared" si="5"/>
        <v>214</v>
      </c>
      <c r="I86">
        <f t="shared" si="5"/>
        <v>126</v>
      </c>
      <c r="J86">
        <f t="shared" si="5"/>
        <v>636</v>
      </c>
      <c r="K86" t="str" cm="1">
        <f t="array" ref="K86">_xlfn.IFS(H86&gt;=$U$1,"kostka",I86&gt;=$U$1*$R$3,"orzech",J86&gt;=$U$1*$R$4,"miał",1=1,"NIC")</f>
        <v>kostka</v>
      </c>
      <c r="L86">
        <f t="shared" si="7"/>
        <v>14</v>
      </c>
      <c r="M86">
        <f t="shared" si="8"/>
        <v>126</v>
      </c>
      <c r="N86">
        <f t="shared" si="9"/>
        <v>636</v>
      </c>
    </row>
    <row r="87" spans="1:14" x14ac:dyDescent="0.25">
      <c r="A87" s="1">
        <v>42012</v>
      </c>
      <c r="B87">
        <f t="shared" si="6"/>
        <v>14</v>
      </c>
      <c r="C87">
        <f t="shared" si="6"/>
        <v>126</v>
      </c>
      <c r="D87">
        <f t="shared" si="6"/>
        <v>636</v>
      </c>
      <c r="E87">
        <v>88</v>
      </c>
      <c r="F87">
        <v>125</v>
      </c>
      <c r="G87">
        <v>97</v>
      </c>
      <c r="H87">
        <f t="shared" si="5"/>
        <v>102</v>
      </c>
      <c r="I87">
        <f t="shared" si="5"/>
        <v>251</v>
      </c>
      <c r="J87">
        <f t="shared" si="5"/>
        <v>733</v>
      </c>
      <c r="K87" t="str" cm="1">
        <f t="array" ref="K87">_xlfn.IFS(H87&gt;=$U$1,"kostka",I87&gt;=$U$1*$R$3,"orzech",J87&gt;=$U$1*$R$4,"miał",1=1,"NIC")</f>
        <v>miał</v>
      </c>
      <c r="L87">
        <f t="shared" si="7"/>
        <v>102</v>
      </c>
      <c r="M87">
        <f t="shared" si="8"/>
        <v>251</v>
      </c>
      <c r="N87">
        <f t="shared" si="9"/>
        <v>413</v>
      </c>
    </row>
    <row r="88" spans="1:14" x14ac:dyDescent="0.25">
      <c r="A88" s="1">
        <v>42013</v>
      </c>
      <c r="B88">
        <f t="shared" si="6"/>
        <v>102</v>
      </c>
      <c r="C88">
        <f t="shared" si="6"/>
        <v>251</v>
      </c>
      <c r="D88">
        <f t="shared" si="6"/>
        <v>413</v>
      </c>
      <c r="E88">
        <v>83</v>
      </c>
      <c r="F88">
        <v>85</v>
      </c>
      <c r="G88">
        <v>99</v>
      </c>
      <c r="H88">
        <f t="shared" si="5"/>
        <v>185</v>
      </c>
      <c r="I88">
        <f t="shared" si="5"/>
        <v>336</v>
      </c>
      <c r="J88">
        <f t="shared" si="5"/>
        <v>512</v>
      </c>
      <c r="K88" t="str" cm="1">
        <f t="array" ref="K88">_xlfn.IFS(H88&gt;=$U$1,"kostka",I88&gt;=$U$1*$R$3,"orzech",J88&gt;=$U$1*$R$4,"miał",1=1,"NIC")</f>
        <v>orzech</v>
      </c>
      <c r="L88">
        <f t="shared" si="7"/>
        <v>185</v>
      </c>
      <c r="M88">
        <f t="shared" si="8"/>
        <v>76</v>
      </c>
      <c r="N88">
        <f t="shared" si="9"/>
        <v>512</v>
      </c>
    </row>
    <row r="89" spans="1:14" x14ac:dyDescent="0.25">
      <c r="A89" s="1">
        <v>42014</v>
      </c>
      <c r="B89">
        <f t="shared" si="6"/>
        <v>185</v>
      </c>
      <c r="C89">
        <f t="shared" si="6"/>
        <v>76</v>
      </c>
      <c r="D89">
        <f t="shared" si="6"/>
        <v>512</v>
      </c>
      <c r="E89">
        <v>139</v>
      </c>
      <c r="F89">
        <v>155</v>
      </c>
      <c r="G89">
        <v>11</v>
      </c>
      <c r="H89">
        <f t="shared" si="5"/>
        <v>324</v>
      </c>
      <c r="I89">
        <f t="shared" si="5"/>
        <v>231</v>
      </c>
      <c r="J89">
        <f t="shared" si="5"/>
        <v>523</v>
      </c>
      <c r="K89" t="str" cm="1">
        <f t="array" ref="K89">_xlfn.IFS(H89&gt;=$U$1,"kostka",I89&gt;=$U$1*$R$3,"orzech",J89&gt;=$U$1*$R$4,"miał",1=1,"NIC")</f>
        <v>kostka</v>
      </c>
      <c r="L89">
        <f t="shared" si="7"/>
        <v>124</v>
      </c>
      <c r="M89">
        <f t="shared" si="8"/>
        <v>231</v>
      </c>
      <c r="N89">
        <f t="shared" si="9"/>
        <v>523</v>
      </c>
    </row>
    <row r="90" spans="1:14" x14ac:dyDescent="0.25">
      <c r="A90" s="1">
        <v>42015</v>
      </c>
      <c r="B90">
        <f t="shared" si="6"/>
        <v>124</v>
      </c>
      <c r="C90">
        <f t="shared" si="6"/>
        <v>231</v>
      </c>
      <c r="D90">
        <f t="shared" si="6"/>
        <v>523</v>
      </c>
      <c r="E90">
        <v>82</v>
      </c>
      <c r="F90">
        <v>43</v>
      </c>
      <c r="G90">
        <v>93</v>
      </c>
      <c r="H90">
        <f t="shared" si="5"/>
        <v>206</v>
      </c>
      <c r="I90">
        <f t="shared" si="5"/>
        <v>274</v>
      </c>
      <c r="J90">
        <f t="shared" si="5"/>
        <v>616</v>
      </c>
      <c r="K90" t="str" cm="1">
        <f t="array" ref="K90">_xlfn.IFS(H90&gt;=$U$1,"kostka",I90&gt;=$U$1*$R$3,"orzech",J90&gt;=$U$1*$R$4,"miał",1=1,"NIC")</f>
        <v>kostka</v>
      </c>
      <c r="L90">
        <f t="shared" si="7"/>
        <v>6</v>
      </c>
      <c r="M90">
        <f t="shared" si="8"/>
        <v>274</v>
      </c>
      <c r="N90">
        <f t="shared" si="9"/>
        <v>616</v>
      </c>
    </row>
    <row r="91" spans="1:14" x14ac:dyDescent="0.25">
      <c r="A91" s="1">
        <v>42016</v>
      </c>
      <c r="B91">
        <f t="shared" si="6"/>
        <v>6</v>
      </c>
      <c r="C91">
        <f t="shared" si="6"/>
        <v>274</v>
      </c>
      <c r="D91">
        <f t="shared" si="6"/>
        <v>616</v>
      </c>
      <c r="E91">
        <v>23</v>
      </c>
      <c r="F91">
        <v>40</v>
      </c>
      <c r="G91">
        <v>83</v>
      </c>
      <c r="H91">
        <f t="shared" si="5"/>
        <v>29</v>
      </c>
      <c r="I91">
        <f t="shared" si="5"/>
        <v>314</v>
      </c>
      <c r="J91">
        <f t="shared" si="5"/>
        <v>699</v>
      </c>
      <c r="K91" t="str" cm="1">
        <f t="array" ref="K91">_xlfn.IFS(H91&gt;=$U$1,"kostka",I91&gt;=$U$1*$R$3,"orzech",J91&gt;=$U$1*$R$4,"miał",1=1,"NIC")</f>
        <v>orzech</v>
      </c>
      <c r="L91">
        <f t="shared" si="7"/>
        <v>29</v>
      </c>
      <c r="M91">
        <f t="shared" si="8"/>
        <v>54</v>
      </c>
      <c r="N91">
        <f t="shared" si="9"/>
        <v>699</v>
      </c>
    </row>
    <row r="92" spans="1:14" x14ac:dyDescent="0.25">
      <c r="A92" s="1">
        <v>42017</v>
      </c>
      <c r="B92">
        <f t="shared" si="6"/>
        <v>29</v>
      </c>
      <c r="C92">
        <f t="shared" si="6"/>
        <v>54</v>
      </c>
      <c r="D92">
        <f t="shared" si="6"/>
        <v>699</v>
      </c>
      <c r="E92">
        <v>118</v>
      </c>
      <c r="F92">
        <v>165</v>
      </c>
      <c r="G92">
        <v>56</v>
      </c>
      <c r="H92">
        <f t="shared" si="5"/>
        <v>147</v>
      </c>
      <c r="I92">
        <f t="shared" si="5"/>
        <v>219</v>
      </c>
      <c r="J92">
        <f t="shared" si="5"/>
        <v>755</v>
      </c>
      <c r="K92" t="str" cm="1">
        <f t="array" ref="K92">_xlfn.IFS(H92&gt;=$U$1,"kostka",I92&gt;=$U$1*$R$3,"orzech",J92&gt;=$U$1*$R$4,"miał",1=1,"NIC")</f>
        <v>miał</v>
      </c>
      <c r="L92">
        <f t="shared" si="7"/>
        <v>147</v>
      </c>
      <c r="M92">
        <f t="shared" si="8"/>
        <v>219</v>
      </c>
      <c r="N92">
        <f t="shared" si="9"/>
        <v>435</v>
      </c>
    </row>
    <row r="93" spans="1:14" x14ac:dyDescent="0.25">
      <c r="A93" s="1">
        <v>42018</v>
      </c>
      <c r="B93">
        <f t="shared" si="6"/>
        <v>147</v>
      </c>
      <c r="C93">
        <f t="shared" si="6"/>
        <v>219</v>
      </c>
      <c r="D93">
        <f t="shared" si="6"/>
        <v>435</v>
      </c>
      <c r="E93">
        <v>59</v>
      </c>
      <c r="F93">
        <v>35</v>
      </c>
      <c r="G93">
        <v>17</v>
      </c>
      <c r="H93">
        <f t="shared" si="5"/>
        <v>206</v>
      </c>
      <c r="I93">
        <f t="shared" si="5"/>
        <v>254</v>
      </c>
      <c r="J93">
        <f t="shared" si="5"/>
        <v>452</v>
      </c>
      <c r="K93" t="str" cm="1">
        <f t="array" ref="K93">_xlfn.IFS(H93&gt;=$U$1,"kostka",I93&gt;=$U$1*$R$3,"orzech",J93&gt;=$U$1*$R$4,"miał",1=1,"NIC")</f>
        <v>kostka</v>
      </c>
      <c r="L93">
        <f t="shared" si="7"/>
        <v>6</v>
      </c>
      <c r="M93">
        <f t="shared" si="8"/>
        <v>254</v>
      </c>
      <c r="N93">
        <f t="shared" si="9"/>
        <v>452</v>
      </c>
    </row>
    <row r="94" spans="1:14" x14ac:dyDescent="0.25">
      <c r="A94" s="1">
        <v>42019</v>
      </c>
      <c r="B94">
        <f t="shared" si="6"/>
        <v>6</v>
      </c>
      <c r="C94">
        <f t="shared" si="6"/>
        <v>254</v>
      </c>
      <c r="D94">
        <f t="shared" si="6"/>
        <v>452</v>
      </c>
      <c r="E94">
        <v>127</v>
      </c>
      <c r="F94">
        <v>58</v>
      </c>
      <c r="G94">
        <v>39</v>
      </c>
      <c r="H94">
        <f t="shared" si="5"/>
        <v>133</v>
      </c>
      <c r="I94">
        <f t="shared" si="5"/>
        <v>312</v>
      </c>
      <c r="J94">
        <f t="shared" si="5"/>
        <v>491</v>
      </c>
      <c r="K94" t="str" cm="1">
        <f t="array" ref="K94">_xlfn.IFS(H94&gt;=$U$1,"kostka",I94&gt;=$U$1*$R$3,"orzech",J94&gt;=$U$1*$R$4,"miał",1=1,"NIC")</f>
        <v>orzech</v>
      </c>
      <c r="L94">
        <f t="shared" si="7"/>
        <v>133</v>
      </c>
      <c r="M94">
        <f t="shared" si="8"/>
        <v>52</v>
      </c>
      <c r="N94">
        <f t="shared" si="9"/>
        <v>491</v>
      </c>
    </row>
    <row r="95" spans="1:14" x14ac:dyDescent="0.25">
      <c r="A95" s="1">
        <v>42020</v>
      </c>
      <c r="B95">
        <f t="shared" si="6"/>
        <v>133</v>
      </c>
      <c r="C95">
        <f t="shared" si="6"/>
        <v>52</v>
      </c>
      <c r="D95">
        <f t="shared" si="6"/>
        <v>491</v>
      </c>
      <c r="E95">
        <v>121</v>
      </c>
      <c r="F95">
        <v>175</v>
      </c>
      <c r="G95">
        <v>77</v>
      </c>
      <c r="H95">
        <f t="shared" si="5"/>
        <v>254</v>
      </c>
      <c r="I95">
        <f t="shared" si="5"/>
        <v>227</v>
      </c>
      <c r="J95">
        <f t="shared" si="5"/>
        <v>568</v>
      </c>
      <c r="K95" t="str" cm="1">
        <f t="array" ref="K95">_xlfn.IFS(H95&gt;=$U$1,"kostka",I95&gt;=$U$1*$R$3,"orzech",J95&gt;=$U$1*$R$4,"miał",1=1,"NIC")</f>
        <v>kostka</v>
      </c>
      <c r="L95">
        <f t="shared" si="7"/>
        <v>54</v>
      </c>
      <c r="M95">
        <f t="shared" si="8"/>
        <v>227</v>
      </c>
      <c r="N95">
        <f t="shared" si="9"/>
        <v>568</v>
      </c>
    </row>
    <row r="96" spans="1:14" x14ac:dyDescent="0.25">
      <c r="A96" s="1">
        <v>42021</v>
      </c>
      <c r="B96">
        <f t="shared" si="6"/>
        <v>54</v>
      </c>
      <c r="C96">
        <f t="shared" si="6"/>
        <v>227</v>
      </c>
      <c r="D96">
        <f t="shared" si="6"/>
        <v>568</v>
      </c>
      <c r="E96">
        <v>80</v>
      </c>
      <c r="F96">
        <v>101</v>
      </c>
      <c r="G96">
        <v>3</v>
      </c>
      <c r="H96">
        <f t="shared" si="5"/>
        <v>134</v>
      </c>
      <c r="I96">
        <f t="shared" si="5"/>
        <v>328</v>
      </c>
      <c r="J96">
        <f t="shared" si="5"/>
        <v>571</v>
      </c>
      <c r="K96" t="str" cm="1">
        <f t="array" ref="K96">_xlfn.IFS(H96&gt;=$U$1,"kostka",I96&gt;=$U$1*$R$3,"orzech",J96&gt;=$U$1*$R$4,"miał",1=1,"NIC")</f>
        <v>orzech</v>
      </c>
      <c r="L96">
        <f t="shared" si="7"/>
        <v>134</v>
      </c>
      <c r="M96">
        <f t="shared" si="8"/>
        <v>68</v>
      </c>
      <c r="N96">
        <f t="shared" si="9"/>
        <v>571</v>
      </c>
    </row>
    <row r="97" spans="1:14" x14ac:dyDescent="0.25">
      <c r="A97" s="1">
        <v>42022</v>
      </c>
      <c r="B97">
        <f t="shared" si="6"/>
        <v>134</v>
      </c>
      <c r="C97">
        <f t="shared" si="6"/>
        <v>68</v>
      </c>
      <c r="D97">
        <f t="shared" si="6"/>
        <v>571</v>
      </c>
      <c r="E97">
        <v>189</v>
      </c>
      <c r="F97">
        <v>161</v>
      </c>
      <c r="G97">
        <v>53</v>
      </c>
      <c r="H97">
        <f t="shared" si="5"/>
        <v>323</v>
      </c>
      <c r="I97">
        <f t="shared" si="5"/>
        <v>229</v>
      </c>
      <c r="J97">
        <f t="shared" si="5"/>
        <v>624</v>
      </c>
      <c r="K97" t="str" cm="1">
        <f t="array" ref="K97">_xlfn.IFS(H97&gt;=$U$1,"kostka",I97&gt;=$U$1*$R$3,"orzech",J97&gt;=$U$1*$R$4,"miał",1=1,"NIC")</f>
        <v>kostka</v>
      </c>
      <c r="L97">
        <f t="shared" si="7"/>
        <v>123</v>
      </c>
      <c r="M97">
        <f t="shared" si="8"/>
        <v>229</v>
      </c>
      <c r="N97">
        <f t="shared" si="9"/>
        <v>624</v>
      </c>
    </row>
    <row r="98" spans="1:14" x14ac:dyDescent="0.25">
      <c r="A98" s="1">
        <v>42023</v>
      </c>
      <c r="B98">
        <f t="shared" si="6"/>
        <v>123</v>
      </c>
      <c r="C98">
        <f t="shared" si="6"/>
        <v>229</v>
      </c>
      <c r="D98">
        <f t="shared" si="6"/>
        <v>624</v>
      </c>
      <c r="E98">
        <v>18</v>
      </c>
      <c r="F98">
        <v>61</v>
      </c>
      <c r="G98">
        <v>19</v>
      </c>
      <c r="H98">
        <f t="shared" si="5"/>
        <v>141</v>
      </c>
      <c r="I98">
        <f t="shared" si="5"/>
        <v>290</v>
      </c>
      <c r="J98">
        <f t="shared" si="5"/>
        <v>643</v>
      </c>
      <c r="K98" t="str" cm="1">
        <f t="array" ref="K98">_xlfn.IFS(H98&gt;=$U$1,"kostka",I98&gt;=$U$1*$R$3,"orzech",J98&gt;=$U$1*$R$4,"miał",1=1,"NIC")</f>
        <v>orzech</v>
      </c>
      <c r="L98">
        <f t="shared" si="7"/>
        <v>141</v>
      </c>
      <c r="M98">
        <f t="shared" si="8"/>
        <v>30</v>
      </c>
      <c r="N98">
        <f t="shared" si="9"/>
        <v>643</v>
      </c>
    </row>
    <row r="99" spans="1:14" x14ac:dyDescent="0.25">
      <c r="A99" s="1">
        <v>42024</v>
      </c>
      <c r="B99">
        <f t="shared" si="6"/>
        <v>141</v>
      </c>
      <c r="C99">
        <f t="shared" si="6"/>
        <v>30</v>
      </c>
      <c r="D99">
        <f t="shared" si="6"/>
        <v>643</v>
      </c>
      <c r="E99">
        <v>68</v>
      </c>
      <c r="F99">
        <v>127</v>
      </c>
      <c r="G99">
        <v>3</v>
      </c>
      <c r="H99">
        <f t="shared" si="5"/>
        <v>209</v>
      </c>
      <c r="I99">
        <f t="shared" si="5"/>
        <v>157</v>
      </c>
      <c r="J99">
        <f t="shared" si="5"/>
        <v>646</v>
      </c>
      <c r="K99" t="str" cm="1">
        <f t="array" ref="K99">_xlfn.IFS(H99&gt;=$U$1,"kostka",I99&gt;=$U$1*$R$3,"orzech",J99&gt;=$U$1*$R$4,"miał",1=1,"NIC")</f>
        <v>kostka</v>
      </c>
      <c r="L99">
        <f t="shared" si="7"/>
        <v>9</v>
      </c>
      <c r="M99">
        <f t="shared" si="8"/>
        <v>157</v>
      </c>
      <c r="N99">
        <f t="shared" si="9"/>
        <v>646</v>
      </c>
    </row>
    <row r="100" spans="1:14" x14ac:dyDescent="0.25">
      <c r="A100" s="1">
        <v>42025</v>
      </c>
      <c r="B100">
        <f t="shared" si="6"/>
        <v>9</v>
      </c>
      <c r="C100">
        <f t="shared" si="6"/>
        <v>157</v>
      </c>
      <c r="D100">
        <f t="shared" si="6"/>
        <v>646</v>
      </c>
      <c r="E100">
        <v>37</v>
      </c>
      <c r="F100">
        <v>112</v>
      </c>
      <c r="G100">
        <v>68</v>
      </c>
      <c r="H100">
        <f t="shared" si="5"/>
        <v>46</v>
      </c>
      <c r="I100">
        <f t="shared" si="5"/>
        <v>269</v>
      </c>
      <c r="J100">
        <f t="shared" si="5"/>
        <v>714</v>
      </c>
      <c r="K100" t="str" cm="1">
        <f t="array" ref="K100">_xlfn.IFS(H100&gt;=$U$1,"kostka",I100&gt;=$U$1*$R$3,"orzech",J100&gt;=$U$1*$R$4,"miał",1=1,"NIC")</f>
        <v>orzech</v>
      </c>
      <c r="L100">
        <f t="shared" si="7"/>
        <v>46</v>
      </c>
      <c r="M100">
        <f t="shared" si="8"/>
        <v>9</v>
      </c>
      <c r="N100">
        <f t="shared" si="9"/>
        <v>714</v>
      </c>
    </row>
    <row r="101" spans="1:14" x14ac:dyDescent="0.25">
      <c r="A101" s="1">
        <v>42026</v>
      </c>
      <c r="B101">
        <f t="shared" si="6"/>
        <v>46</v>
      </c>
      <c r="C101">
        <f t="shared" si="6"/>
        <v>9</v>
      </c>
      <c r="D101">
        <f t="shared" si="6"/>
        <v>714</v>
      </c>
      <c r="E101">
        <v>40</v>
      </c>
      <c r="F101">
        <v>140</v>
      </c>
      <c r="G101">
        <v>15</v>
      </c>
      <c r="H101">
        <f t="shared" si="5"/>
        <v>86</v>
      </c>
      <c r="I101">
        <f t="shared" si="5"/>
        <v>149</v>
      </c>
      <c r="J101">
        <f t="shared" si="5"/>
        <v>729</v>
      </c>
      <c r="K101" t="str" cm="1">
        <f t="array" ref="K101">_xlfn.IFS(H101&gt;=$U$1,"kostka",I101&gt;=$U$1*$R$3,"orzech",J101&gt;=$U$1*$R$4,"miał",1=1,"NIC")</f>
        <v>miał</v>
      </c>
      <c r="L101">
        <f t="shared" si="7"/>
        <v>86</v>
      </c>
      <c r="M101">
        <f t="shared" si="8"/>
        <v>149</v>
      </c>
      <c r="N101">
        <f t="shared" si="9"/>
        <v>409</v>
      </c>
    </row>
    <row r="102" spans="1:14" x14ac:dyDescent="0.25">
      <c r="A102" s="1">
        <v>42027</v>
      </c>
      <c r="B102">
        <f t="shared" si="6"/>
        <v>86</v>
      </c>
      <c r="C102">
        <f t="shared" si="6"/>
        <v>149</v>
      </c>
      <c r="D102">
        <f t="shared" si="6"/>
        <v>409</v>
      </c>
      <c r="E102">
        <v>189</v>
      </c>
      <c r="F102">
        <v>87</v>
      </c>
      <c r="G102">
        <v>64</v>
      </c>
      <c r="H102">
        <f t="shared" si="5"/>
        <v>275</v>
      </c>
      <c r="I102">
        <f t="shared" si="5"/>
        <v>236</v>
      </c>
      <c r="J102">
        <f t="shared" si="5"/>
        <v>473</v>
      </c>
      <c r="K102" t="str" cm="1">
        <f t="array" ref="K102">_xlfn.IFS(H102&gt;=$U$1,"kostka",I102&gt;=$U$1*$R$3,"orzech",J102&gt;=$U$1*$R$4,"miał",1=1,"NIC")</f>
        <v>kostka</v>
      </c>
      <c r="L102">
        <f t="shared" si="7"/>
        <v>75</v>
      </c>
      <c r="M102">
        <f t="shared" si="8"/>
        <v>236</v>
      </c>
      <c r="N102">
        <f t="shared" si="9"/>
        <v>473</v>
      </c>
    </row>
    <row r="103" spans="1:14" x14ac:dyDescent="0.25">
      <c r="A103" s="1">
        <v>42028</v>
      </c>
      <c r="B103">
        <f t="shared" si="6"/>
        <v>75</v>
      </c>
      <c r="C103">
        <f t="shared" si="6"/>
        <v>236</v>
      </c>
      <c r="D103">
        <f t="shared" si="6"/>
        <v>473</v>
      </c>
      <c r="E103">
        <v>145</v>
      </c>
      <c r="F103">
        <v>18</v>
      </c>
      <c r="G103">
        <v>1</v>
      </c>
      <c r="H103">
        <f t="shared" si="5"/>
        <v>220</v>
      </c>
      <c r="I103">
        <f t="shared" si="5"/>
        <v>254</v>
      </c>
      <c r="J103">
        <f t="shared" si="5"/>
        <v>474</v>
      </c>
      <c r="K103" t="str" cm="1">
        <f t="array" ref="K103">_xlfn.IFS(H103&gt;=$U$1,"kostka",I103&gt;=$U$1*$R$3,"orzech",J103&gt;=$U$1*$R$4,"miał",1=1,"NIC")</f>
        <v>kostka</v>
      </c>
      <c r="L103">
        <f t="shared" si="7"/>
        <v>20</v>
      </c>
      <c r="M103">
        <f t="shared" si="8"/>
        <v>254</v>
      </c>
      <c r="N103">
        <f t="shared" si="9"/>
        <v>474</v>
      </c>
    </row>
    <row r="104" spans="1:14" x14ac:dyDescent="0.25">
      <c r="A104" s="1">
        <v>42029</v>
      </c>
      <c r="B104">
        <f t="shared" si="6"/>
        <v>20</v>
      </c>
      <c r="C104">
        <f t="shared" si="6"/>
        <v>254</v>
      </c>
      <c r="D104">
        <f t="shared" si="6"/>
        <v>474</v>
      </c>
      <c r="E104">
        <v>148</v>
      </c>
      <c r="F104">
        <v>27</v>
      </c>
      <c r="G104">
        <v>13</v>
      </c>
      <c r="H104">
        <f t="shared" si="5"/>
        <v>168</v>
      </c>
      <c r="I104">
        <f t="shared" si="5"/>
        <v>281</v>
      </c>
      <c r="J104">
        <f t="shared" si="5"/>
        <v>487</v>
      </c>
      <c r="K104" t="str" cm="1">
        <f t="array" ref="K104">_xlfn.IFS(H104&gt;=$U$1,"kostka",I104&gt;=$U$1*$R$3,"orzech",J104&gt;=$U$1*$R$4,"miał",1=1,"NIC")</f>
        <v>orzech</v>
      </c>
      <c r="L104">
        <f t="shared" si="7"/>
        <v>168</v>
      </c>
      <c r="M104">
        <f t="shared" si="8"/>
        <v>21</v>
      </c>
      <c r="N104">
        <f t="shared" si="9"/>
        <v>487</v>
      </c>
    </row>
    <row r="105" spans="1:14" x14ac:dyDescent="0.25">
      <c r="A105" s="1">
        <v>42030</v>
      </c>
      <c r="B105">
        <f t="shared" si="6"/>
        <v>168</v>
      </c>
      <c r="C105">
        <f t="shared" si="6"/>
        <v>21</v>
      </c>
      <c r="D105">
        <f t="shared" si="6"/>
        <v>487</v>
      </c>
      <c r="E105">
        <v>127</v>
      </c>
      <c r="F105">
        <v>161</v>
      </c>
      <c r="G105">
        <v>31</v>
      </c>
      <c r="H105">
        <f t="shared" si="5"/>
        <v>295</v>
      </c>
      <c r="I105">
        <f t="shared" si="5"/>
        <v>182</v>
      </c>
      <c r="J105">
        <f t="shared" si="5"/>
        <v>518</v>
      </c>
      <c r="K105" t="str" cm="1">
        <f t="array" ref="K105">_xlfn.IFS(H105&gt;=$U$1,"kostka",I105&gt;=$U$1*$R$3,"orzech",J105&gt;=$U$1*$R$4,"miał",1=1,"NIC")</f>
        <v>kostka</v>
      </c>
      <c r="L105">
        <f t="shared" si="7"/>
        <v>95</v>
      </c>
      <c r="M105">
        <f t="shared" si="8"/>
        <v>182</v>
      </c>
      <c r="N105">
        <f t="shared" si="9"/>
        <v>518</v>
      </c>
    </row>
    <row r="106" spans="1:14" x14ac:dyDescent="0.25">
      <c r="A106" s="1">
        <v>42031</v>
      </c>
      <c r="B106">
        <f t="shared" si="6"/>
        <v>95</v>
      </c>
      <c r="C106">
        <f t="shared" si="6"/>
        <v>182</v>
      </c>
      <c r="D106">
        <f t="shared" si="6"/>
        <v>518</v>
      </c>
      <c r="E106">
        <v>131</v>
      </c>
      <c r="F106">
        <v>1</v>
      </c>
      <c r="G106">
        <v>98</v>
      </c>
      <c r="H106">
        <f t="shared" si="5"/>
        <v>226</v>
      </c>
      <c r="I106">
        <f t="shared" si="5"/>
        <v>183</v>
      </c>
      <c r="J106">
        <f t="shared" si="5"/>
        <v>616</v>
      </c>
      <c r="K106" t="str" cm="1">
        <f t="array" ref="K106">_xlfn.IFS(H106&gt;=$U$1,"kostka",I106&gt;=$U$1*$R$3,"orzech",J106&gt;=$U$1*$R$4,"miał",1=1,"NIC")</f>
        <v>kostka</v>
      </c>
      <c r="L106">
        <f t="shared" si="7"/>
        <v>26</v>
      </c>
      <c r="M106">
        <f t="shared" si="8"/>
        <v>183</v>
      </c>
      <c r="N106">
        <f t="shared" si="9"/>
        <v>616</v>
      </c>
    </row>
    <row r="107" spans="1:14" x14ac:dyDescent="0.25">
      <c r="A107" s="1">
        <v>42032</v>
      </c>
      <c r="B107">
        <f t="shared" si="6"/>
        <v>26</v>
      </c>
      <c r="C107">
        <f t="shared" si="6"/>
        <v>183</v>
      </c>
      <c r="D107">
        <f t="shared" si="6"/>
        <v>616</v>
      </c>
      <c r="E107">
        <v>142</v>
      </c>
      <c r="F107">
        <v>131</v>
      </c>
      <c r="G107">
        <v>62</v>
      </c>
      <c r="H107">
        <f t="shared" si="5"/>
        <v>168</v>
      </c>
      <c r="I107">
        <f t="shared" si="5"/>
        <v>314</v>
      </c>
      <c r="J107">
        <f t="shared" si="5"/>
        <v>678</v>
      </c>
      <c r="K107" t="str" cm="1">
        <f t="array" ref="K107">_xlfn.IFS(H107&gt;=$U$1,"kostka",I107&gt;=$U$1*$R$3,"orzech",J107&gt;=$U$1*$R$4,"miał",1=1,"NIC")</f>
        <v>orzech</v>
      </c>
      <c r="L107">
        <f t="shared" si="7"/>
        <v>168</v>
      </c>
      <c r="M107">
        <f t="shared" si="8"/>
        <v>54</v>
      </c>
      <c r="N107">
        <f t="shared" si="9"/>
        <v>678</v>
      </c>
    </row>
    <row r="108" spans="1:14" x14ac:dyDescent="0.25">
      <c r="A108" s="1">
        <v>42033</v>
      </c>
      <c r="B108">
        <f t="shared" si="6"/>
        <v>168</v>
      </c>
      <c r="C108">
        <f t="shared" si="6"/>
        <v>54</v>
      </c>
      <c r="D108">
        <f t="shared" si="6"/>
        <v>678</v>
      </c>
      <c r="E108">
        <v>121</v>
      </c>
      <c r="F108">
        <v>150</v>
      </c>
      <c r="G108">
        <v>25</v>
      </c>
      <c r="H108">
        <f t="shared" si="5"/>
        <v>289</v>
      </c>
      <c r="I108">
        <f t="shared" si="5"/>
        <v>204</v>
      </c>
      <c r="J108">
        <f t="shared" si="5"/>
        <v>703</v>
      </c>
      <c r="K108" t="str" cm="1">
        <f t="array" ref="K108">_xlfn.IFS(H108&gt;=$U$1,"kostka",I108&gt;=$U$1*$R$3,"orzech",J108&gt;=$U$1*$R$4,"miał",1=1,"NIC")</f>
        <v>kostka</v>
      </c>
      <c r="L108">
        <f t="shared" si="7"/>
        <v>89</v>
      </c>
      <c r="M108">
        <f t="shared" si="8"/>
        <v>204</v>
      </c>
      <c r="N108">
        <f t="shared" si="9"/>
        <v>703</v>
      </c>
    </row>
    <row r="109" spans="1:14" x14ac:dyDescent="0.25">
      <c r="A109" s="1">
        <v>42034</v>
      </c>
      <c r="B109">
        <f t="shared" si="6"/>
        <v>89</v>
      </c>
      <c r="C109">
        <f t="shared" si="6"/>
        <v>204</v>
      </c>
      <c r="D109">
        <f t="shared" si="6"/>
        <v>703</v>
      </c>
      <c r="E109">
        <v>33</v>
      </c>
      <c r="F109">
        <v>113</v>
      </c>
      <c r="G109">
        <v>62</v>
      </c>
      <c r="H109">
        <f t="shared" si="5"/>
        <v>122</v>
      </c>
      <c r="I109">
        <f t="shared" si="5"/>
        <v>317</v>
      </c>
      <c r="J109">
        <f t="shared" si="5"/>
        <v>765</v>
      </c>
      <c r="K109" t="str" cm="1">
        <f t="array" ref="K109">_xlfn.IFS(H109&gt;=$U$1,"kostka",I109&gt;=$U$1*$R$3,"orzech",J109&gt;=$U$1*$R$4,"miał",1=1,"NIC")</f>
        <v>orzech</v>
      </c>
      <c r="L109">
        <f t="shared" si="7"/>
        <v>122</v>
      </c>
      <c r="M109">
        <f t="shared" si="8"/>
        <v>57</v>
      </c>
      <c r="N109">
        <f t="shared" si="9"/>
        <v>765</v>
      </c>
    </row>
    <row r="110" spans="1:14" x14ac:dyDescent="0.25">
      <c r="A110" s="1">
        <v>42035</v>
      </c>
      <c r="B110">
        <f t="shared" si="6"/>
        <v>122</v>
      </c>
      <c r="C110">
        <f t="shared" si="6"/>
        <v>57</v>
      </c>
      <c r="D110">
        <f t="shared" si="6"/>
        <v>765</v>
      </c>
      <c r="E110">
        <v>142</v>
      </c>
      <c r="F110">
        <v>44</v>
      </c>
      <c r="G110">
        <v>92</v>
      </c>
      <c r="H110">
        <f t="shared" si="5"/>
        <v>264</v>
      </c>
      <c r="I110">
        <f t="shared" si="5"/>
        <v>101</v>
      </c>
      <c r="J110">
        <f t="shared" si="5"/>
        <v>857</v>
      </c>
      <c r="K110" t="str" cm="1">
        <f t="array" ref="K110">_xlfn.IFS(H110&gt;=$U$1,"kostka",I110&gt;=$U$1*$R$3,"orzech",J110&gt;=$U$1*$R$4,"miał",1=1,"NIC")</f>
        <v>kostka</v>
      </c>
      <c r="L110">
        <f t="shared" si="7"/>
        <v>64</v>
      </c>
      <c r="M110">
        <f t="shared" si="8"/>
        <v>101</v>
      </c>
      <c r="N110">
        <f t="shared" si="9"/>
        <v>857</v>
      </c>
    </row>
    <row r="111" spans="1:14" x14ac:dyDescent="0.25">
      <c r="A111" s="1">
        <v>42036</v>
      </c>
      <c r="B111">
        <f t="shared" si="6"/>
        <v>64</v>
      </c>
      <c r="C111">
        <f t="shared" si="6"/>
        <v>101</v>
      </c>
      <c r="D111">
        <f t="shared" si="6"/>
        <v>857</v>
      </c>
      <c r="E111">
        <v>119</v>
      </c>
      <c r="F111">
        <v>167</v>
      </c>
      <c r="G111">
        <v>64</v>
      </c>
      <c r="H111">
        <f t="shared" si="5"/>
        <v>183</v>
      </c>
      <c r="I111">
        <f t="shared" si="5"/>
        <v>268</v>
      </c>
      <c r="J111">
        <f t="shared" si="5"/>
        <v>921</v>
      </c>
      <c r="K111" t="str" cm="1">
        <f t="array" ref="K111">_xlfn.IFS(H111&gt;=$U$1,"kostka",I111&gt;=$U$1*$R$3,"orzech",J111&gt;=$U$1*$R$4,"miał",1=1,"NIC")</f>
        <v>orzech</v>
      </c>
      <c r="L111">
        <f t="shared" si="7"/>
        <v>183</v>
      </c>
      <c r="M111">
        <f t="shared" si="8"/>
        <v>8</v>
      </c>
      <c r="N111">
        <f t="shared" si="9"/>
        <v>921</v>
      </c>
    </row>
    <row r="112" spans="1:14" x14ac:dyDescent="0.25">
      <c r="A112" s="1">
        <v>42037</v>
      </c>
      <c r="B112">
        <f t="shared" si="6"/>
        <v>183</v>
      </c>
      <c r="C112">
        <f t="shared" si="6"/>
        <v>8</v>
      </c>
      <c r="D112">
        <f t="shared" si="6"/>
        <v>921</v>
      </c>
      <c r="E112">
        <v>54</v>
      </c>
      <c r="F112">
        <v>109</v>
      </c>
      <c r="G112">
        <v>65</v>
      </c>
      <c r="H112">
        <f t="shared" si="5"/>
        <v>237</v>
      </c>
      <c r="I112">
        <f t="shared" si="5"/>
        <v>117</v>
      </c>
      <c r="J112">
        <f t="shared" si="5"/>
        <v>986</v>
      </c>
      <c r="K112" t="str" cm="1">
        <f t="array" ref="K112">_xlfn.IFS(H112&gt;=$U$1,"kostka",I112&gt;=$U$1*$R$3,"orzech",J112&gt;=$U$1*$R$4,"miał",1=1,"NIC")</f>
        <v>kostka</v>
      </c>
      <c r="L112">
        <f t="shared" si="7"/>
        <v>37</v>
      </c>
      <c r="M112">
        <f t="shared" si="8"/>
        <v>117</v>
      </c>
      <c r="N112">
        <f t="shared" si="9"/>
        <v>986</v>
      </c>
    </row>
    <row r="113" spans="1:14" x14ac:dyDescent="0.25">
      <c r="A113" s="1">
        <v>42038</v>
      </c>
      <c r="B113">
        <f t="shared" si="6"/>
        <v>37</v>
      </c>
      <c r="C113">
        <f t="shared" si="6"/>
        <v>117</v>
      </c>
      <c r="D113">
        <f t="shared" si="6"/>
        <v>986</v>
      </c>
      <c r="E113">
        <v>53</v>
      </c>
      <c r="F113">
        <v>94</v>
      </c>
      <c r="G113">
        <v>43</v>
      </c>
      <c r="H113">
        <f t="shared" si="5"/>
        <v>90</v>
      </c>
      <c r="I113">
        <f t="shared" si="5"/>
        <v>211</v>
      </c>
      <c r="J113">
        <f t="shared" si="5"/>
        <v>1029</v>
      </c>
      <c r="K113" t="str" cm="1">
        <f t="array" ref="K113">_xlfn.IFS(H113&gt;=$U$1,"kostka",I113&gt;=$U$1*$R$3,"orzech",J113&gt;=$U$1*$R$4,"miał",1=1,"NIC")</f>
        <v>miał</v>
      </c>
      <c r="L113">
        <f t="shared" si="7"/>
        <v>90</v>
      </c>
      <c r="M113">
        <f t="shared" si="8"/>
        <v>211</v>
      </c>
      <c r="N113">
        <f t="shared" si="9"/>
        <v>709</v>
      </c>
    </row>
    <row r="114" spans="1:14" x14ac:dyDescent="0.25">
      <c r="A114" s="1">
        <v>42039</v>
      </c>
      <c r="B114">
        <f t="shared" si="6"/>
        <v>90</v>
      </c>
      <c r="C114">
        <f t="shared" si="6"/>
        <v>211</v>
      </c>
      <c r="D114">
        <f t="shared" si="6"/>
        <v>709</v>
      </c>
      <c r="E114">
        <v>165</v>
      </c>
      <c r="F114">
        <v>101</v>
      </c>
      <c r="G114">
        <v>8</v>
      </c>
      <c r="H114">
        <f t="shared" si="5"/>
        <v>255</v>
      </c>
      <c r="I114">
        <f t="shared" si="5"/>
        <v>312</v>
      </c>
      <c r="J114">
        <f t="shared" si="5"/>
        <v>717</v>
      </c>
      <c r="K114" t="str" cm="1">
        <f t="array" ref="K114">_xlfn.IFS(H114&gt;=$U$1,"kostka",I114&gt;=$U$1*$R$3,"orzech",J114&gt;=$U$1*$R$4,"miał",1=1,"NIC")</f>
        <v>kostka</v>
      </c>
      <c r="L114">
        <f t="shared" si="7"/>
        <v>55</v>
      </c>
      <c r="M114">
        <f t="shared" si="8"/>
        <v>312</v>
      </c>
      <c r="N114">
        <f t="shared" si="9"/>
        <v>717</v>
      </c>
    </row>
    <row r="115" spans="1:14" x14ac:dyDescent="0.25">
      <c r="A115" s="1">
        <v>42040</v>
      </c>
      <c r="B115">
        <f t="shared" si="6"/>
        <v>55</v>
      </c>
      <c r="C115">
        <f t="shared" si="6"/>
        <v>312</v>
      </c>
      <c r="D115">
        <f t="shared" si="6"/>
        <v>717</v>
      </c>
      <c r="E115">
        <v>159</v>
      </c>
      <c r="F115">
        <v>68</v>
      </c>
      <c r="G115">
        <v>96</v>
      </c>
      <c r="H115">
        <f t="shared" si="5"/>
        <v>214</v>
      </c>
      <c r="I115">
        <f t="shared" si="5"/>
        <v>380</v>
      </c>
      <c r="J115">
        <f t="shared" si="5"/>
        <v>813</v>
      </c>
      <c r="K115" t="str" cm="1">
        <f t="array" ref="K115">_xlfn.IFS(H115&gt;=$U$1,"kostka",I115&gt;=$U$1*$R$3,"orzech",J115&gt;=$U$1*$R$4,"miał",1=1,"NIC")</f>
        <v>kostka</v>
      </c>
      <c r="L115">
        <f t="shared" si="7"/>
        <v>14</v>
      </c>
      <c r="M115">
        <f t="shared" si="8"/>
        <v>380</v>
      </c>
      <c r="N115">
        <f t="shared" si="9"/>
        <v>813</v>
      </c>
    </row>
    <row r="116" spans="1:14" x14ac:dyDescent="0.25">
      <c r="A116" s="1">
        <v>42041</v>
      </c>
      <c r="B116">
        <f t="shared" si="6"/>
        <v>14</v>
      </c>
      <c r="C116">
        <f t="shared" si="6"/>
        <v>380</v>
      </c>
      <c r="D116">
        <f t="shared" si="6"/>
        <v>813</v>
      </c>
      <c r="E116">
        <v>79</v>
      </c>
      <c r="F116">
        <v>119</v>
      </c>
      <c r="G116">
        <v>35</v>
      </c>
      <c r="H116">
        <f t="shared" si="5"/>
        <v>93</v>
      </c>
      <c r="I116">
        <f t="shared" si="5"/>
        <v>499</v>
      </c>
      <c r="J116">
        <f t="shared" si="5"/>
        <v>848</v>
      </c>
      <c r="K116" t="str" cm="1">
        <f t="array" ref="K116">_xlfn.IFS(H116&gt;=$U$1,"kostka",I116&gt;=$U$1*$R$3,"orzech",J116&gt;=$U$1*$R$4,"miał",1=1,"NIC")</f>
        <v>orzech</v>
      </c>
      <c r="L116">
        <f t="shared" si="7"/>
        <v>93</v>
      </c>
      <c r="M116">
        <f t="shared" si="8"/>
        <v>239</v>
      </c>
      <c r="N116">
        <f t="shared" si="9"/>
        <v>848</v>
      </c>
    </row>
    <row r="117" spans="1:14" x14ac:dyDescent="0.25">
      <c r="A117" s="1">
        <v>42042</v>
      </c>
      <c r="B117">
        <f t="shared" si="6"/>
        <v>93</v>
      </c>
      <c r="C117">
        <f t="shared" si="6"/>
        <v>239</v>
      </c>
      <c r="D117">
        <f t="shared" si="6"/>
        <v>848</v>
      </c>
      <c r="E117">
        <v>128</v>
      </c>
      <c r="F117">
        <v>148</v>
      </c>
      <c r="G117">
        <v>77</v>
      </c>
      <c r="H117">
        <f t="shared" si="5"/>
        <v>221</v>
      </c>
      <c r="I117">
        <f t="shared" si="5"/>
        <v>387</v>
      </c>
      <c r="J117">
        <f t="shared" si="5"/>
        <v>925</v>
      </c>
      <c r="K117" t="str" cm="1">
        <f t="array" ref="K117">_xlfn.IFS(H117&gt;=$U$1,"kostka",I117&gt;=$U$1*$R$3,"orzech",J117&gt;=$U$1*$R$4,"miał",1=1,"NIC")</f>
        <v>kostka</v>
      </c>
      <c r="L117">
        <f t="shared" si="7"/>
        <v>21</v>
      </c>
      <c r="M117">
        <f t="shared" si="8"/>
        <v>387</v>
      </c>
      <c r="N117">
        <f t="shared" si="9"/>
        <v>925</v>
      </c>
    </row>
    <row r="118" spans="1:14" x14ac:dyDescent="0.25">
      <c r="A118" s="1">
        <v>42043</v>
      </c>
      <c r="B118">
        <f t="shared" si="6"/>
        <v>21</v>
      </c>
      <c r="C118">
        <f t="shared" si="6"/>
        <v>387</v>
      </c>
      <c r="D118">
        <f t="shared" si="6"/>
        <v>925</v>
      </c>
      <c r="E118">
        <v>195</v>
      </c>
      <c r="F118">
        <v>39</v>
      </c>
      <c r="G118">
        <v>77</v>
      </c>
      <c r="H118">
        <f t="shared" si="5"/>
        <v>216</v>
      </c>
      <c r="I118">
        <f t="shared" si="5"/>
        <v>426</v>
      </c>
      <c r="J118">
        <f t="shared" si="5"/>
        <v>1002</v>
      </c>
      <c r="K118" t="str" cm="1">
        <f t="array" ref="K118">_xlfn.IFS(H118&gt;=$U$1,"kostka",I118&gt;=$U$1*$R$3,"orzech",J118&gt;=$U$1*$R$4,"miał",1=1,"NIC")</f>
        <v>kostka</v>
      </c>
      <c r="L118">
        <f t="shared" si="7"/>
        <v>16</v>
      </c>
      <c r="M118">
        <f t="shared" si="8"/>
        <v>426</v>
      </c>
      <c r="N118">
        <f t="shared" si="9"/>
        <v>1002</v>
      </c>
    </row>
    <row r="119" spans="1:14" x14ac:dyDescent="0.25">
      <c r="A119" s="1">
        <v>42044</v>
      </c>
      <c r="B119">
        <f t="shared" si="6"/>
        <v>16</v>
      </c>
      <c r="C119">
        <f t="shared" si="6"/>
        <v>426</v>
      </c>
      <c r="D119">
        <f t="shared" si="6"/>
        <v>1002</v>
      </c>
      <c r="E119">
        <v>87</v>
      </c>
      <c r="F119">
        <v>8</v>
      </c>
      <c r="G119">
        <v>17</v>
      </c>
      <c r="H119">
        <f t="shared" si="5"/>
        <v>103</v>
      </c>
      <c r="I119">
        <f t="shared" si="5"/>
        <v>434</v>
      </c>
      <c r="J119">
        <f t="shared" si="5"/>
        <v>1019</v>
      </c>
      <c r="K119" t="str" cm="1">
        <f t="array" ref="K119">_xlfn.IFS(H119&gt;=$U$1,"kostka",I119&gt;=$U$1*$R$3,"orzech",J119&gt;=$U$1*$R$4,"miał",1=1,"NIC")</f>
        <v>orzech</v>
      </c>
      <c r="L119">
        <f t="shared" si="7"/>
        <v>103</v>
      </c>
      <c r="M119">
        <f t="shared" si="8"/>
        <v>174</v>
      </c>
      <c r="N119">
        <f t="shared" si="9"/>
        <v>1019</v>
      </c>
    </row>
    <row r="120" spans="1:14" x14ac:dyDescent="0.25">
      <c r="A120" s="1">
        <v>42045</v>
      </c>
      <c r="B120">
        <f t="shared" si="6"/>
        <v>103</v>
      </c>
      <c r="C120">
        <f t="shared" si="6"/>
        <v>174</v>
      </c>
      <c r="D120">
        <f t="shared" si="6"/>
        <v>1019</v>
      </c>
      <c r="E120">
        <v>114</v>
      </c>
      <c r="F120">
        <v>124</v>
      </c>
      <c r="G120">
        <v>94</v>
      </c>
      <c r="H120">
        <f t="shared" si="5"/>
        <v>217</v>
      </c>
      <c r="I120">
        <f t="shared" si="5"/>
        <v>298</v>
      </c>
      <c r="J120">
        <f t="shared" si="5"/>
        <v>1113</v>
      </c>
      <c r="K120" t="str" cm="1">
        <f t="array" ref="K120">_xlfn.IFS(H120&gt;=$U$1,"kostka",I120&gt;=$U$1*$R$3,"orzech",J120&gt;=$U$1*$R$4,"miał",1=1,"NIC")</f>
        <v>kostka</v>
      </c>
      <c r="L120">
        <f t="shared" si="7"/>
        <v>17</v>
      </c>
      <c r="M120">
        <f t="shared" si="8"/>
        <v>298</v>
      </c>
      <c r="N120">
        <f t="shared" si="9"/>
        <v>1113</v>
      </c>
    </row>
    <row r="121" spans="1:14" x14ac:dyDescent="0.25">
      <c r="A121" s="1">
        <v>42046</v>
      </c>
      <c r="B121">
        <f t="shared" si="6"/>
        <v>17</v>
      </c>
      <c r="C121">
        <f t="shared" si="6"/>
        <v>298</v>
      </c>
      <c r="D121">
        <f t="shared" si="6"/>
        <v>1113</v>
      </c>
      <c r="E121">
        <v>126</v>
      </c>
      <c r="F121">
        <v>122</v>
      </c>
      <c r="G121">
        <v>39</v>
      </c>
      <c r="H121">
        <f t="shared" si="5"/>
        <v>143</v>
      </c>
      <c r="I121">
        <f t="shared" si="5"/>
        <v>420</v>
      </c>
      <c r="J121">
        <f t="shared" si="5"/>
        <v>1152</v>
      </c>
      <c r="K121" t="str" cm="1">
        <f t="array" ref="K121">_xlfn.IFS(H121&gt;=$U$1,"kostka",I121&gt;=$U$1*$R$3,"orzech",J121&gt;=$U$1*$R$4,"miał",1=1,"NIC")</f>
        <v>orzech</v>
      </c>
      <c r="L121">
        <f t="shared" si="7"/>
        <v>143</v>
      </c>
      <c r="M121">
        <f t="shared" si="8"/>
        <v>160</v>
      </c>
      <c r="N121">
        <f t="shared" si="9"/>
        <v>1152</v>
      </c>
    </row>
    <row r="122" spans="1:14" x14ac:dyDescent="0.25">
      <c r="A122" s="1">
        <v>42047</v>
      </c>
      <c r="B122">
        <f t="shared" si="6"/>
        <v>143</v>
      </c>
      <c r="C122">
        <f t="shared" si="6"/>
        <v>160</v>
      </c>
      <c r="D122">
        <f t="shared" si="6"/>
        <v>1152</v>
      </c>
      <c r="E122">
        <v>96</v>
      </c>
      <c r="F122">
        <v>113</v>
      </c>
      <c r="G122">
        <v>28</v>
      </c>
      <c r="H122">
        <f t="shared" si="5"/>
        <v>239</v>
      </c>
      <c r="I122">
        <f t="shared" si="5"/>
        <v>273</v>
      </c>
      <c r="J122">
        <f t="shared" si="5"/>
        <v>1180</v>
      </c>
      <c r="K122" t="str" cm="1">
        <f t="array" ref="K122">_xlfn.IFS(H122&gt;=$U$1,"kostka",I122&gt;=$U$1*$R$3,"orzech",J122&gt;=$U$1*$R$4,"miał",1=1,"NIC")</f>
        <v>kostka</v>
      </c>
      <c r="L122">
        <f t="shared" si="7"/>
        <v>39</v>
      </c>
      <c r="M122">
        <f t="shared" si="8"/>
        <v>273</v>
      </c>
      <c r="N122">
        <f t="shared" si="9"/>
        <v>1180</v>
      </c>
    </row>
    <row r="123" spans="1:14" x14ac:dyDescent="0.25">
      <c r="A123" s="1">
        <v>42048</v>
      </c>
      <c r="B123">
        <f t="shared" si="6"/>
        <v>39</v>
      </c>
      <c r="C123">
        <f t="shared" si="6"/>
        <v>273</v>
      </c>
      <c r="D123">
        <f t="shared" si="6"/>
        <v>1180</v>
      </c>
      <c r="E123">
        <v>165</v>
      </c>
      <c r="F123">
        <v>4</v>
      </c>
      <c r="G123">
        <v>83</v>
      </c>
      <c r="H123">
        <f t="shared" si="5"/>
        <v>204</v>
      </c>
      <c r="I123">
        <f t="shared" si="5"/>
        <v>277</v>
      </c>
      <c r="J123">
        <f t="shared" si="5"/>
        <v>1263</v>
      </c>
      <c r="K123" t="str" cm="1">
        <f t="array" ref="K123">_xlfn.IFS(H123&gt;=$U$1,"kostka",I123&gt;=$U$1*$R$3,"orzech",J123&gt;=$U$1*$R$4,"miał",1=1,"NIC")</f>
        <v>kostka</v>
      </c>
      <c r="L123">
        <f t="shared" si="7"/>
        <v>4</v>
      </c>
      <c r="M123">
        <f t="shared" si="8"/>
        <v>277</v>
      </c>
      <c r="N123">
        <f t="shared" si="9"/>
        <v>1263</v>
      </c>
    </row>
    <row r="124" spans="1:14" x14ac:dyDescent="0.25">
      <c r="A124" s="1">
        <v>42049</v>
      </c>
      <c r="B124">
        <f t="shared" si="6"/>
        <v>4</v>
      </c>
      <c r="C124">
        <f t="shared" si="6"/>
        <v>277</v>
      </c>
      <c r="D124">
        <f t="shared" si="6"/>
        <v>1263</v>
      </c>
      <c r="E124">
        <v>1</v>
      </c>
      <c r="F124">
        <v>117</v>
      </c>
      <c r="G124">
        <v>76</v>
      </c>
      <c r="H124">
        <f t="shared" si="5"/>
        <v>5</v>
      </c>
      <c r="I124">
        <f t="shared" si="5"/>
        <v>394</v>
      </c>
      <c r="J124">
        <f t="shared" si="5"/>
        <v>1339</v>
      </c>
      <c r="K124" t="str" cm="1">
        <f t="array" ref="K124">_xlfn.IFS(H124&gt;=$U$1,"kostka",I124&gt;=$U$1*$R$3,"orzech",J124&gt;=$U$1*$R$4,"miał",1=1,"NIC")</f>
        <v>orzech</v>
      </c>
      <c r="L124">
        <f t="shared" si="7"/>
        <v>5</v>
      </c>
      <c r="M124">
        <f t="shared" si="8"/>
        <v>134</v>
      </c>
      <c r="N124">
        <f t="shared" si="9"/>
        <v>1339</v>
      </c>
    </row>
    <row r="125" spans="1:14" x14ac:dyDescent="0.25">
      <c r="A125" s="1">
        <v>42050</v>
      </c>
      <c r="B125">
        <f t="shared" si="6"/>
        <v>5</v>
      </c>
      <c r="C125">
        <f t="shared" si="6"/>
        <v>134</v>
      </c>
      <c r="D125">
        <f t="shared" si="6"/>
        <v>1339</v>
      </c>
      <c r="E125">
        <v>107</v>
      </c>
      <c r="F125">
        <v>70</v>
      </c>
      <c r="G125">
        <v>28</v>
      </c>
      <c r="H125">
        <f t="shared" si="5"/>
        <v>112</v>
      </c>
      <c r="I125">
        <f t="shared" si="5"/>
        <v>204</v>
      </c>
      <c r="J125">
        <f t="shared" si="5"/>
        <v>1367</v>
      </c>
      <c r="K125" t="str" cm="1">
        <f t="array" ref="K125">_xlfn.IFS(H125&gt;=$U$1,"kostka",I125&gt;=$U$1*$R$3,"orzech",J125&gt;=$U$1*$R$4,"miał",1=1,"NIC")</f>
        <v>miał</v>
      </c>
      <c r="L125">
        <f t="shared" si="7"/>
        <v>112</v>
      </c>
      <c r="M125">
        <f t="shared" si="8"/>
        <v>204</v>
      </c>
      <c r="N125">
        <f t="shared" si="9"/>
        <v>1047</v>
      </c>
    </row>
    <row r="126" spans="1:14" x14ac:dyDescent="0.25">
      <c r="A126" s="1">
        <v>42051</v>
      </c>
      <c r="B126">
        <f t="shared" si="6"/>
        <v>112</v>
      </c>
      <c r="C126">
        <f t="shared" si="6"/>
        <v>204</v>
      </c>
      <c r="D126">
        <f t="shared" si="6"/>
        <v>1047</v>
      </c>
      <c r="E126">
        <v>83</v>
      </c>
      <c r="F126">
        <v>81</v>
      </c>
      <c r="G126">
        <v>1</v>
      </c>
      <c r="H126">
        <f t="shared" si="5"/>
        <v>195</v>
      </c>
      <c r="I126">
        <f t="shared" si="5"/>
        <v>285</v>
      </c>
      <c r="J126">
        <f t="shared" si="5"/>
        <v>1048</v>
      </c>
      <c r="K126" t="str" cm="1">
        <f t="array" ref="K126">_xlfn.IFS(H126&gt;=$U$1,"kostka",I126&gt;=$U$1*$R$3,"orzech",J126&gt;=$U$1*$R$4,"miał",1=1,"NIC")</f>
        <v>orzech</v>
      </c>
      <c r="L126">
        <f t="shared" si="7"/>
        <v>195</v>
      </c>
      <c r="M126">
        <f t="shared" si="8"/>
        <v>25</v>
      </c>
      <c r="N126">
        <f t="shared" si="9"/>
        <v>1048</v>
      </c>
    </row>
    <row r="127" spans="1:14" x14ac:dyDescent="0.25">
      <c r="A127" s="1">
        <v>42052</v>
      </c>
      <c r="B127">
        <f t="shared" si="6"/>
        <v>195</v>
      </c>
      <c r="C127">
        <f t="shared" si="6"/>
        <v>25</v>
      </c>
      <c r="D127">
        <f t="shared" si="6"/>
        <v>1048</v>
      </c>
      <c r="E127">
        <v>43</v>
      </c>
      <c r="F127">
        <v>109</v>
      </c>
      <c r="G127">
        <v>50</v>
      </c>
      <c r="H127">
        <f t="shared" si="5"/>
        <v>238</v>
      </c>
      <c r="I127">
        <f t="shared" si="5"/>
        <v>134</v>
      </c>
      <c r="J127">
        <f t="shared" si="5"/>
        <v>1098</v>
      </c>
      <c r="K127" t="str" cm="1">
        <f t="array" ref="K127">_xlfn.IFS(H127&gt;=$U$1,"kostka",I127&gt;=$U$1*$R$3,"orzech",J127&gt;=$U$1*$R$4,"miał",1=1,"NIC")</f>
        <v>kostka</v>
      </c>
      <c r="L127">
        <f t="shared" si="7"/>
        <v>38</v>
      </c>
      <c r="M127">
        <f t="shared" si="8"/>
        <v>134</v>
      </c>
      <c r="N127">
        <f t="shared" si="9"/>
        <v>1098</v>
      </c>
    </row>
    <row r="128" spans="1:14" x14ac:dyDescent="0.25">
      <c r="A128" s="1">
        <v>42053</v>
      </c>
      <c r="B128">
        <f t="shared" si="6"/>
        <v>38</v>
      </c>
      <c r="C128">
        <f t="shared" si="6"/>
        <v>134</v>
      </c>
      <c r="D128">
        <f t="shared" si="6"/>
        <v>1098</v>
      </c>
      <c r="E128">
        <v>52</v>
      </c>
      <c r="F128">
        <v>110</v>
      </c>
      <c r="G128">
        <v>19</v>
      </c>
      <c r="H128">
        <f t="shared" si="5"/>
        <v>90</v>
      </c>
      <c r="I128">
        <f t="shared" si="5"/>
        <v>244</v>
      </c>
      <c r="J128">
        <f t="shared" si="5"/>
        <v>1117</v>
      </c>
      <c r="K128" t="str" cm="1">
        <f t="array" ref="K128">_xlfn.IFS(H128&gt;=$U$1,"kostka",I128&gt;=$U$1*$R$3,"orzech",J128&gt;=$U$1*$R$4,"miał",1=1,"NIC")</f>
        <v>miał</v>
      </c>
      <c r="L128">
        <f t="shared" si="7"/>
        <v>90</v>
      </c>
      <c r="M128">
        <f t="shared" si="8"/>
        <v>244</v>
      </c>
      <c r="N128">
        <f t="shared" si="9"/>
        <v>797</v>
      </c>
    </row>
    <row r="129" spans="1:14" x14ac:dyDescent="0.25">
      <c r="A129" s="1">
        <v>42054</v>
      </c>
      <c r="B129">
        <f t="shared" si="6"/>
        <v>90</v>
      </c>
      <c r="C129">
        <f t="shared" si="6"/>
        <v>244</v>
      </c>
      <c r="D129">
        <f t="shared" si="6"/>
        <v>797</v>
      </c>
      <c r="E129">
        <v>104</v>
      </c>
      <c r="F129">
        <v>132</v>
      </c>
      <c r="G129">
        <v>57</v>
      </c>
      <c r="H129">
        <f t="shared" si="5"/>
        <v>194</v>
      </c>
      <c r="I129">
        <f t="shared" si="5"/>
        <v>376</v>
      </c>
      <c r="J129">
        <f t="shared" si="5"/>
        <v>854</v>
      </c>
      <c r="K129" t="str" cm="1">
        <f t="array" ref="K129">_xlfn.IFS(H129&gt;=$U$1,"kostka",I129&gt;=$U$1*$R$3,"orzech",J129&gt;=$U$1*$R$4,"miał",1=1,"NIC")</f>
        <v>orzech</v>
      </c>
      <c r="L129">
        <f t="shared" si="7"/>
        <v>194</v>
      </c>
      <c r="M129">
        <f t="shared" si="8"/>
        <v>116</v>
      </c>
      <c r="N129">
        <f t="shared" si="9"/>
        <v>854</v>
      </c>
    </row>
    <row r="130" spans="1:14" x14ac:dyDescent="0.25">
      <c r="A130" s="1">
        <v>42055</v>
      </c>
      <c r="B130">
        <f t="shared" si="6"/>
        <v>194</v>
      </c>
      <c r="C130">
        <f t="shared" si="6"/>
        <v>116</v>
      </c>
      <c r="D130">
        <f t="shared" si="6"/>
        <v>854</v>
      </c>
      <c r="E130">
        <v>57</v>
      </c>
      <c r="F130">
        <v>150</v>
      </c>
      <c r="G130">
        <v>36</v>
      </c>
      <c r="H130">
        <f t="shared" si="5"/>
        <v>251</v>
      </c>
      <c r="I130">
        <f t="shared" si="5"/>
        <v>266</v>
      </c>
      <c r="J130">
        <f t="shared" si="5"/>
        <v>890</v>
      </c>
      <c r="K130" t="str" cm="1">
        <f t="array" ref="K130">_xlfn.IFS(H130&gt;=$U$1,"kostka",I130&gt;=$U$1*$R$3,"orzech",J130&gt;=$U$1*$R$4,"miał",1=1,"NIC")</f>
        <v>kostka</v>
      </c>
      <c r="L130">
        <f t="shared" si="7"/>
        <v>51</v>
      </c>
      <c r="M130">
        <f t="shared" si="8"/>
        <v>266</v>
      </c>
      <c r="N130">
        <f t="shared" si="9"/>
        <v>890</v>
      </c>
    </row>
    <row r="131" spans="1:14" x14ac:dyDescent="0.25">
      <c r="A131" s="1">
        <v>42056</v>
      </c>
      <c r="B131">
        <f t="shared" si="6"/>
        <v>51</v>
      </c>
      <c r="C131">
        <f t="shared" si="6"/>
        <v>266</v>
      </c>
      <c r="D131">
        <f t="shared" si="6"/>
        <v>890</v>
      </c>
      <c r="E131">
        <v>86</v>
      </c>
      <c r="F131">
        <v>183</v>
      </c>
      <c r="G131">
        <v>0</v>
      </c>
      <c r="H131">
        <f t="shared" ref="H131:J184" si="10">B131+E131</f>
        <v>137</v>
      </c>
      <c r="I131">
        <f t="shared" si="10"/>
        <v>449</v>
      </c>
      <c r="J131">
        <f t="shared" si="10"/>
        <v>890</v>
      </c>
      <c r="K131" t="str" cm="1">
        <f t="array" ref="K131">_xlfn.IFS(H131&gt;=$U$1,"kostka",I131&gt;=$U$1*$R$3,"orzech",J131&gt;=$U$1*$R$4,"miał",1=1,"NIC")</f>
        <v>orzech</v>
      </c>
      <c r="L131">
        <f t="shared" si="7"/>
        <v>137</v>
      </c>
      <c r="M131">
        <f t="shared" si="8"/>
        <v>189</v>
      </c>
      <c r="N131">
        <f t="shared" si="9"/>
        <v>890</v>
      </c>
    </row>
    <row r="132" spans="1:14" x14ac:dyDescent="0.25">
      <c r="A132" s="1">
        <v>42057</v>
      </c>
      <c r="B132">
        <f t="shared" ref="B132:D184" si="11">L131</f>
        <v>137</v>
      </c>
      <c r="C132">
        <f t="shared" si="11"/>
        <v>189</v>
      </c>
      <c r="D132">
        <f t="shared" si="11"/>
        <v>890</v>
      </c>
      <c r="E132">
        <v>108</v>
      </c>
      <c r="F132">
        <v>20</v>
      </c>
      <c r="G132">
        <v>87</v>
      </c>
      <c r="H132">
        <f t="shared" si="10"/>
        <v>245</v>
      </c>
      <c r="I132">
        <f t="shared" si="10"/>
        <v>209</v>
      </c>
      <c r="J132">
        <f t="shared" si="10"/>
        <v>977</v>
      </c>
      <c r="K132" t="str" cm="1">
        <f t="array" ref="K132">_xlfn.IFS(H132&gt;=$U$1,"kostka",I132&gt;=$U$1*$R$3,"orzech",J132&gt;=$U$1*$R$4,"miał",1=1,"NIC")</f>
        <v>kostka</v>
      </c>
      <c r="L132">
        <f t="shared" ref="L132:L184" si="12">IF($K132="kostka",H132-$U$1,H132)</f>
        <v>45</v>
      </c>
      <c r="M132">
        <f t="shared" ref="M132:M184" si="13">IF($K132="orzech",I132-$U$1*$R$3,I132)</f>
        <v>209</v>
      </c>
      <c r="N132">
        <f t="shared" ref="N132:N184" si="14">IF($K132="miał",J132-$U$1*$R$4,J132)</f>
        <v>977</v>
      </c>
    </row>
    <row r="133" spans="1:14" x14ac:dyDescent="0.25">
      <c r="A133" s="1">
        <v>42058</v>
      </c>
      <c r="B133">
        <f t="shared" si="11"/>
        <v>45</v>
      </c>
      <c r="C133">
        <f t="shared" si="11"/>
        <v>209</v>
      </c>
      <c r="D133">
        <f t="shared" si="11"/>
        <v>977</v>
      </c>
      <c r="E133">
        <v>102</v>
      </c>
      <c r="F133">
        <v>142</v>
      </c>
      <c r="G133">
        <v>20</v>
      </c>
      <c r="H133">
        <f t="shared" si="10"/>
        <v>147</v>
      </c>
      <c r="I133">
        <f t="shared" si="10"/>
        <v>351</v>
      </c>
      <c r="J133">
        <f t="shared" si="10"/>
        <v>997</v>
      </c>
      <c r="K133" t="str" cm="1">
        <f t="array" ref="K133">_xlfn.IFS(H133&gt;=$U$1,"kostka",I133&gt;=$U$1*$R$3,"orzech",J133&gt;=$U$1*$R$4,"miał",1=1,"NIC")</f>
        <v>orzech</v>
      </c>
      <c r="L133">
        <f t="shared" si="12"/>
        <v>147</v>
      </c>
      <c r="M133">
        <f t="shared" si="13"/>
        <v>91</v>
      </c>
      <c r="N133">
        <f t="shared" si="14"/>
        <v>997</v>
      </c>
    </row>
    <row r="134" spans="1:14" x14ac:dyDescent="0.25">
      <c r="A134" s="1">
        <v>42059</v>
      </c>
      <c r="B134">
        <f t="shared" si="11"/>
        <v>147</v>
      </c>
      <c r="C134">
        <f t="shared" si="11"/>
        <v>91</v>
      </c>
      <c r="D134">
        <f t="shared" si="11"/>
        <v>997</v>
      </c>
      <c r="E134">
        <v>81</v>
      </c>
      <c r="F134">
        <v>133</v>
      </c>
      <c r="G134">
        <v>25</v>
      </c>
      <c r="H134">
        <f t="shared" si="10"/>
        <v>228</v>
      </c>
      <c r="I134">
        <f t="shared" si="10"/>
        <v>224</v>
      </c>
      <c r="J134">
        <f t="shared" si="10"/>
        <v>1022</v>
      </c>
      <c r="K134" t="str" cm="1">
        <f t="array" ref="K134">_xlfn.IFS(H134&gt;=$U$1,"kostka",I134&gt;=$U$1*$R$3,"orzech",J134&gt;=$U$1*$R$4,"miał",1=1,"NIC")</f>
        <v>kostka</v>
      </c>
      <c r="L134">
        <f t="shared" si="12"/>
        <v>28</v>
      </c>
      <c r="M134">
        <f t="shared" si="13"/>
        <v>224</v>
      </c>
      <c r="N134">
        <f t="shared" si="14"/>
        <v>1022</v>
      </c>
    </row>
    <row r="135" spans="1:14" x14ac:dyDescent="0.25">
      <c r="A135" s="1">
        <v>42060</v>
      </c>
      <c r="B135">
        <f t="shared" si="11"/>
        <v>28</v>
      </c>
      <c r="C135">
        <f t="shared" si="11"/>
        <v>224</v>
      </c>
      <c r="D135">
        <f t="shared" si="11"/>
        <v>1022</v>
      </c>
      <c r="E135">
        <v>59</v>
      </c>
      <c r="F135">
        <v>87</v>
      </c>
      <c r="G135">
        <v>10</v>
      </c>
      <c r="H135">
        <f t="shared" si="10"/>
        <v>87</v>
      </c>
      <c r="I135">
        <f t="shared" si="10"/>
        <v>311</v>
      </c>
      <c r="J135">
        <f t="shared" si="10"/>
        <v>1032</v>
      </c>
      <c r="K135" t="str" cm="1">
        <f t="array" ref="K135">_xlfn.IFS(H135&gt;=$U$1,"kostka",I135&gt;=$U$1*$R$3,"orzech",J135&gt;=$U$1*$R$4,"miał",1=1,"NIC")</f>
        <v>orzech</v>
      </c>
      <c r="L135">
        <f t="shared" si="12"/>
        <v>87</v>
      </c>
      <c r="M135">
        <f t="shared" si="13"/>
        <v>51</v>
      </c>
      <c r="N135">
        <f t="shared" si="14"/>
        <v>1032</v>
      </c>
    </row>
    <row r="136" spans="1:14" x14ac:dyDescent="0.25">
      <c r="A136" s="1">
        <v>42061</v>
      </c>
      <c r="B136">
        <f t="shared" si="11"/>
        <v>87</v>
      </c>
      <c r="C136">
        <f t="shared" si="11"/>
        <v>51</v>
      </c>
      <c r="D136">
        <f t="shared" si="11"/>
        <v>1032</v>
      </c>
      <c r="E136">
        <v>21</v>
      </c>
      <c r="F136">
        <v>75</v>
      </c>
      <c r="G136">
        <v>65</v>
      </c>
      <c r="H136">
        <f t="shared" si="10"/>
        <v>108</v>
      </c>
      <c r="I136">
        <f t="shared" si="10"/>
        <v>126</v>
      </c>
      <c r="J136">
        <f t="shared" si="10"/>
        <v>1097</v>
      </c>
      <c r="K136" t="str" cm="1">
        <f t="array" ref="K136">_xlfn.IFS(H136&gt;=$U$1,"kostka",I136&gt;=$U$1*$R$3,"orzech",J136&gt;=$U$1*$R$4,"miał",1=1,"NIC")</f>
        <v>miał</v>
      </c>
      <c r="L136">
        <f t="shared" si="12"/>
        <v>108</v>
      </c>
      <c r="M136">
        <f t="shared" si="13"/>
        <v>126</v>
      </c>
      <c r="N136">
        <f t="shared" si="14"/>
        <v>777</v>
      </c>
    </row>
    <row r="137" spans="1:14" x14ac:dyDescent="0.25">
      <c r="A137" s="1">
        <v>42062</v>
      </c>
      <c r="B137">
        <f t="shared" si="11"/>
        <v>108</v>
      </c>
      <c r="C137">
        <f t="shared" si="11"/>
        <v>126</v>
      </c>
      <c r="D137">
        <f t="shared" si="11"/>
        <v>777</v>
      </c>
      <c r="E137">
        <v>79</v>
      </c>
      <c r="F137">
        <v>14</v>
      </c>
      <c r="G137">
        <v>27</v>
      </c>
      <c r="H137">
        <f t="shared" si="10"/>
        <v>187</v>
      </c>
      <c r="I137">
        <f t="shared" si="10"/>
        <v>140</v>
      </c>
      <c r="J137">
        <f t="shared" si="10"/>
        <v>804</v>
      </c>
      <c r="K137" t="str" cm="1">
        <f t="array" ref="K137">_xlfn.IFS(H137&gt;=$U$1,"kostka",I137&gt;=$U$1*$R$3,"orzech",J137&gt;=$U$1*$R$4,"miał",1=1,"NIC")</f>
        <v>miał</v>
      </c>
      <c r="L137">
        <f t="shared" si="12"/>
        <v>187</v>
      </c>
      <c r="M137">
        <f t="shared" si="13"/>
        <v>140</v>
      </c>
      <c r="N137">
        <f t="shared" si="14"/>
        <v>484</v>
      </c>
    </row>
    <row r="138" spans="1:14" x14ac:dyDescent="0.25">
      <c r="A138" s="1">
        <v>42063</v>
      </c>
      <c r="B138">
        <f t="shared" si="11"/>
        <v>187</v>
      </c>
      <c r="C138">
        <f t="shared" si="11"/>
        <v>140</v>
      </c>
      <c r="D138">
        <f t="shared" si="11"/>
        <v>484</v>
      </c>
      <c r="E138">
        <v>56</v>
      </c>
      <c r="F138">
        <v>12</v>
      </c>
      <c r="G138">
        <v>25</v>
      </c>
      <c r="H138">
        <f t="shared" si="10"/>
        <v>243</v>
      </c>
      <c r="I138">
        <f t="shared" si="10"/>
        <v>152</v>
      </c>
      <c r="J138">
        <f t="shared" si="10"/>
        <v>509</v>
      </c>
      <c r="K138" t="str" cm="1">
        <f t="array" ref="K138">_xlfn.IFS(H138&gt;=$U$1,"kostka",I138&gt;=$U$1*$R$3,"orzech",J138&gt;=$U$1*$R$4,"miał",1=1,"NIC")</f>
        <v>kostka</v>
      </c>
      <c r="L138">
        <f t="shared" si="12"/>
        <v>43</v>
      </c>
      <c r="M138">
        <f t="shared" si="13"/>
        <v>152</v>
      </c>
      <c r="N138">
        <f t="shared" si="14"/>
        <v>509</v>
      </c>
    </row>
    <row r="139" spans="1:14" x14ac:dyDescent="0.25">
      <c r="A139" s="1">
        <v>42064</v>
      </c>
      <c r="B139">
        <f t="shared" si="11"/>
        <v>43</v>
      </c>
      <c r="C139">
        <f t="shared" si="11"/>
        <v>152</v>
      </c>
      <c r="D139">
        <f t="shared" si="11"/>
        <v>509</v>
      </c>
      <c r="E139">
        <v>195</v>
      </c>
      <c r="F139">
        <v>90</v>
      </c>
      <c r="G139">
        <v>56</v>
      </c>
      <c r="H139">
        <f t="shared" si="10"/>
        <v>238</v>
      </c>
      <c r="I139">
        <f t="shared" si="10"/>
        <v>242</v>
      </c>
      <c r="J139">
        <f t="shared" si="10"/>
        <v>565</v>
      </c>
      <c r="K139" t="str" cm="1">
        <f t="array" ref="K139">_xlfn.IFS(H139&gt;=$U$1,"kostka",I139&gt;=$U$1*$R$3,"orzech",J139&gt;=$U$1*$R$4,"miał",1=1,"NIC")</f>
        <v>kostka</v>
      </c>
      <c r="L139">
        <f t="shared" si="12"/>
        <v>38</v>
      </c>
      <c r="M139">
        <f t="shared" si="13"/>
        <v>242</v>
      </c>
      <c r="N139">
        <f t="shared" si="14"/>
        <v>565</v>
      </c>
    </row>
    <row r="140" spans="1:14" x14ac:dyDescent="0.25">
      <c r="A140" s="1">
        <v>42065</v>
      </c>
      <c r="B140">
        <f t="shared" si="11"/>
        <v>38</v>
      </c>
      <c r="C140">
        <f t="shared" si="11"/>
        <v>242</v>
      </c>
      <c r="D140">
        <f t="shared" si="11"/>
        <v>565</v>
      </c>
      <c r="E140">
        <v>113</v>
      </c>
      <c r="F140">
        <v>90</v>
      </c>
      <c r="G140">
        <v>24</v>
      </c>
      <c r="H140">
        <f t="shared" si="10"/>
        <v>151</v>
      </c>
      <c r="I140">
        <f t="shared" si="10"/>
        <v>332</v>
      </c>
      <c r="J140">
        <f t="shared" si="10"/>
        <v>589</v>
      </c>
      <c r="K140" t="str" cm="1">
        <f t="array" ref="K140">_xlfn.IFS(H140&gt;=$U$1,"kostka",I140&gt;=$U$1*$R$3,"orzech",J140&gt;=$U$1*$R$4,"miał",1=1,"NIC")</f>
        <v>orzech</v>
      </c>
      <c r="L140">
        <f t="shared" si="12"/>
        <v>151</v>
      </c>
      <c r="M140">
        <f t="shared" si="13"/>
        <v>72</v>
      </c>
      <c r="N140">
        <f t="shared" si="14"/>
        <v>589</v>
      </c>
    </row>
    <row r="141" spans="1:14" x14ac:dyDescent="0.25">
      <c r="A141" s="1">
        <v>42066</v>
      </c>
      <c r="B141">
        <f t="shared" si="11"/>
        <v>151</v>
      </c>
      <c r="C141">
        <f t="shared" si="11"/>
        <v>72</v>
      </c>
      <c r="D141">
        <f t="shared" si="11"/>
        <v>589</v>
      </c>
      <c r="E141">
        <v>93</v>
      </c>
      <c r="F141">
        <v>139</v>
      </c>
      <c r="G141">
        <v>47</v>
      </c>
      <c r="H141">
        <f t="shared" si="10"/>
        <v>244</v>
      </c>
      <c r="I141">
        <f t="shared" si="10"/>
        <v>211</v>
      </c>
      <c r="J141">
        <f t="shared" si="10"/>
        <v>636</v>
      </c>
      <c r="K141" t="str" cm="1">
        <f t="array" ref="K141">_xlfn.IFS(H141&gt;=$U$1,"kostka",I141&gt;=$U$1*$R$3,"orzech",J141&gt;=$U$1*$R$4,"miał",1=1,"NIC")</f>
        <v>kostka</v>
      </c>
      <c r="L141">
        <f t="shared" si="12"/>
        <v>44</v>
      </c>
      <c r="M141">
        <f t="shared" si="13"/>
        <v>211</v>
      </c>
      <c r="N141">
        <f t="shared" si="14"/>
        <v>636</v>
      </c>
    </row>
    <row r="142" spans="1:14" x14ac:dyDescent="0.25">
      <c r="A142" s="1">
        <v>42067</v>
      </c>
      <c r="B142">
        <f t="shared" si="11"/>
        <v>44</v>
      </c>
      <c r="C142">
        <f t="shared" si="11"/>
        <v>211</v>
      </c>
      <c r="D142">
        <f t="shared" si="11"/>
        <v>636</v>
      </c>
      <c r="E142">
        <v>93</v>
      </c>
      <c r="F142">
        <v>147</v>
      </c>
      <c r="G142">
        <v>26</v>
      </c>
      <c r="H142">
        <f t="shared" si="10"/>
        <v>137</v>
      </c>
      <c r="I142">
        <f t="shared" si="10"/>
        <v>358</v>
      </c>
      <c r="J142">
        <f t="shared" si="10"/>
        <v>662</v>
      </c>
      <c r="K142" t="str" cm="1">
        <f t="array" ref="K142">_xlfn.IFS(H142&gt;=$U$1,"kostka",I142&gt;=$U$1*$R$3,"orzech",J142&gt;=$U$1*$R$4,"miał",1=1,"NIC")</f>
        <v>orzech</v>
      </c>
      <c r="L142">
        <f t="shared" si="12"/>
        <v>137</v>
      </c>
      <c r="M142">
        <f t="shared" si="13"/>
        <v>98</v>
      </c>
      <c r="N142">
        <f t="shared" si="14"/>
        <v>662</v>
      </c>
    </row>
    <row r="143" spans="1:14" x14ac:dyDescent="0.25">
      <c r="A143" s="1">
        <v>42068</v>
      </c>
      <c r="B143">
        <f t="shared" si="11"/>
        <v>137</v>
      </c>
      <c r="C143">
        <f t="shared" si="11"/>
        <v>98</v>
      </c>
      <c r="D143">
        <f t="shared" si="11"/>
        <v>662</v>
      </c>
      <c r="E143">
        <v>79</v>
      </c>
      <c r="F143">
        <v>145</v>
      </c>
      <c r="G143">
        <v>36</v>
      </c>
      <c r="H143">
        <f t="shared" si="10"/>
        <v>216</v>
      </c>
      <c r="I143">
        <f t="shared" si="10"/>
        <v>243</v>
      </c>
      <c r="J143">
        <f t="shared" si="10"/>
        <v>698</v>
      </c>
      <c r="K143" t="str" cm="1">
        <f t="array" ref="K143">_xlfn.IFS(H143&gt;=$U$1,"kostka",I143&gt;=$U$1*$R$3,"orzech",J143&gt;=$U$1*$R$4,"miał",1=1,"NIC")</f>
        <v>kostka</v>
      </c>
      <c r="L143">
        <f t="shared" si="12"/>
        <v>16</v>
      </c>
      <c r="M143">
        <f t="shared" si="13"/>
        <v>243</v>
      </c>
      <c r="N143">
        <f t="shared" si="14"/>
        <v>698</v>
      </c>
    </row>
    <row r="144" spans="1:14" x14ac:dyDescent="0.25">
      <c r="A144" s="1">
        <v>42069</v>
      </c>
      <c r="B144">
        <f t="shared" si="11"/>
        <v>16</v>
      </c>
      <c r="C144">
        <f t="shared" si="11"/>
        <v>243</v>
      </c>
      <c r="D144">
        <f t="shared" si="11"/>
        <v>698</v>
      </c>
      <c r="E144">
        <v>148</v>
      </c>
      <c r="F144">
        <v>127</v>
      </c>
      <c r="G144">
        <v>27</v>
      </c>
      <c r="H144">
        <f t="shared" si="10"/>
        <v>164</v>
      </c>
      <c r="I144">
        <f t="shared" si="10"/>
        <v>370</v>
      </c>
      <c r="J144">
        <f t="shared" si="10"/>
        <v>725</v>
      </c>
      <c r="K144" t="str" cm="1">
        <f t="array" ref="K144">_xlfn.IFS(H144&gt;=$U$1,"kostka",I144&gt;=$U$1*$R$3,"orzech",J144&gt;=$U$1*$R$4,"miał",1=1,"NIC")</f>
        <v>orzech</v>
      </c>
      <c r="L144">
        <f t="shared" si="12"/>
        <v>164</v>
      </c>
      <c r="M144">
        <f t="shared" si="13"/>
        <v>110</v>
      </c>
      <c r="N144">
        <f t="shared" si="14"/>
        <v>725</v>
      </c>
    </row>
    <row r="145" spans="1:14" x14ac:dyDescent="0.25">
      <c r="A145" s="1">
        <v>42070</v>
      </c>
      <c r="B145">
        <f t="shared" si="11"/>
        <v>164</v>
      </c>
      <c r="C145">
        <f t="shared" si="11"/>
        <v>110</v>
      </c>
      <c r="D145">
        <f t="shared" si="11"/>
        <v>725</v>
      </c>
      <c r="E145">
        <v>132</v>
      </c>
      <c r="F145">
        <v>128</v>
      </c>
      <c r="G145">
        <v>37</v>
      </c>
      <c r="H145">
        <f t="shared" si="10"/>
        <v>296</v>
      </c>
      <c r="I145">
        <f t="shared" si="10"/>
        <v>238</v>
      </c>
      <c r="J145">
        <f t="shared" si="10"/>
        <v>762</v>
      </c>
      <c r="K145" t="str" cm="1">
        <f t="array" ref="K145">_xlfn.IFS(H145&gt;=$U$1,"kostka",I145&gt;=$U$1*$R$3,"orzech",J145&gt;=$U$1*$R$4,"miał",1=1,"NIC")</f>
        <v>kostka</v>
      </c>
      <c r="L145">
        <f t="shared" si="12"/>
        <v>96</v>
      </c>
      <c r="M145">
        <f t="shared" si="13"/>
        <v>238</v>
      </c>
      <c r="N145">
        <f t="shared" si="14"/>
        <v>762</v>
      </c>
    </row>
    <row r="146" spans="1:14" x14ac:dyDescent="0.25">
      <c r="A146" s="1">
        <v>42071</v>
      </c>
      <c r="B146">
        <f t="shared" si="11"/>
        <v>96</v>
      </c>
      <c r="C146">
        <f t="shared" si="11"/>
        <v>238</v>
      </c>
      <c r="D146">
        <f t="shared" si="11"/>
        <v>762</v>
      </c>
      <c r="E146">
        <v>22</v>
      </c>
      <c r="F146">
        <v>115</v>
      </c>
      <c r="G146">
        <v>28</v>
      </c>
      <c r="H146">
        <f t="shared" si="10"/>
        <v>118</v>
      </c>
      <c r="I146">
        <f t="shared" si="10"/>
        <v>353</v>
      </c>
      <c r="J146">
        <f t="shared" si="10"/>
        <v>790</v>
      </c>
      <c r="K146" t="str" cm="1">
        <f t="array" ref="K146">_xlfn.IFS(H146&gt;=$U$1,"kostka",I146&gt;=$U$1*$R$3,"orzech",J146&gt;=$U$1*$R$4,"miał",1=1,"NIC")</f>
        <v>orzech</v>
      </c>
      <c r="L146">
        <f t="shared" si="12"/>
        <v>118</v>
      </c>
      <c r="M146">
        <f t="shared" si="13"/>
        <v>93</v>
      </c>
      <c r="N146">
        <f t="shared" si="14"/>
        <v>790</v>
      </c>
    </row>
    <row r="147" spans="1:14" x14ac:dyDescent="0.25">
      <c r="A147" s="1">
        <v>42072</v>
      </c>
      <c r="B147">
        <f t="shared" si="11"/>
        <v>118</v>
      </c>
      <c r="C147">
        <f t="shared" si="11"/>
        <v>93</v>
      </c>
      <c r="D147">
        <f t="shared" si="11"/>
        <v>790</v>
      </c>
      <c r="E147">
        <v>50</v>
      </c>
      <c r="F147">
        <v>99</v>
      </c>
      <c r="G147">
        <v>78</v>
      </c>
      <c r="H147">
        <f t="shared" si="10"/>
        <v>168</v>
      </c>
      <c r="I147">
        <f t="shared" si="10"/>
        <v>192</v>
      </c>
      <c r="J147">
        <f t="shared" si="10"/>
        <v>868</v>
      </c>
      <c r="K147" t="str" cm="1">
        <f t="array" ref="K147">_xlfn.IFS(H147&gt;=$U$1,"kostka",I147&gt;=$U$1*$R$3,"orzech",J147&gt;=$U$1*$R$4,"miał",1=1,"NIC")</f>
        <v>miał</v>
      </c>
      <c r="L147">
        <f t="shared" si="12"/>
        <v>168</v>
      </c>
      <c r="M147">
        <f t="shared" si="13"/>
        <v>192</v>
      </c>
      <c r="N147">
        <f t="shared" si="14"/>
        <v>548</v>
      </c>
    </row>
    <row r="148" spans="1:14" x14ac:dyDescent="0.25">
      <c r="A148" s="1">
        <v>42073</v>
      </c>
      <c r="B148">
        <f t="shared" si="11"/>
        <v>168</v>
      </c>
      <c r="C148">
        <f t="shared" si="11"/>
        <v>192</v>
      </c>
      <c r="D148">
        <f t="shared" si="11"/>
        <v>548</v>
      </c>
      <c r="E148">
        <v>178</v>
      </c>
      <c r="F148">
        <v>146</v>
      </c>
      <c r="G148">
        <v>75</v>
      </c>
      <c r="H148">
        <f t="shared" si="10"/>
        <v>346</v>
      </c>
      <c r="I148">
        <f t="shared" si="10"/>
        <v>338</v>
      </c>
      <c r="J148">
        <f t="shared" si="10"/>
        <v>623</v>
      </c>
      <c r="K148" t="str" cm="1">
        <f t="array" ref="K148">_xlfn.IFS(H148&gt;=$U$1,"kostka",I148&gt;=$U$1*$R$3,"orzech",J148&gt;=$U$1*$R$4,"miał",1=1,"NIC")</f>
        <v>kostka</v>
      </c>
      <c r="L148">
        <f t="shared" si="12"/>
        <v>146</v>
      </c>
      <c r="M148">
        <f t="shared" si="13"/>
        <v>338</v>
      </c>
      <c r="N148">
        <f t="shared" si="14"/>
        <v>623</v>
      </c>
    </row>
    <row r="149" spans="1:14" x14ac:dyDescent="0.25">
      <c r="A149" s="1">
        <v>42074</v>
      </c>
      <c r="B149">
        <f t="shared" si="11"/>
        <v>146</v>
      </c>
      <c r="C149">
        <f t="shared" si="11"/>
        <v>338</v>
      </c>
      <c r="D149">
        <f t="shared" si="11"/>
        <v>623</v>
      </c>
      <c r="E149">
        <v>97</v>
      </c>
      <c r="F149">
        <v>135</v>
      </c>
      <c r="G149">
        <v>66</v>
      </c>
      <c r="H149">
        <f t="shared" si="10"/>
        <v>243</v>
      </c>
      <c r="I149">
        <f t="shared" si="10"/>
        <v>473</v>
      </c>
      <c r="J149">
        <f t="shared" si="10"/>
        <v>689</v>
      </c>
      <c r="K149" t="str" cm="1">
        <f t="array" ref="K149">_xlfn.IFS(H149&gt;=$U$1,"kostka",I149&gt;=$U$1*$R$3,"orzech",J149&gt;=$U$1*$R$4,"miał",1=1,"NIC")</f>
        <v>kostka</v>
      </c>
      <c r="L149">
        <f t="shared" si="12"/>
        <v>43</v>
      </c>
      <c r="M149">
        <f t="shared" si="13"/>
        <v>473</v>
      </c>
      <c r="N149">
        <f t="shared" si="14"/>
        <v>689</v>
      </c>
    </row>
    <row r="150" spans="1:14" x14ac:dyDescent="0.25">
      <c r="A150" s="1">
        <v>42075</v>
      </c>
      <c r="B150">
        <f t="shared" si="11"/>
        <v>43</v>
      </c>
      <c r="C150">
        <f t="shared" si="11"/>
        <v>473</v>
      </c>
      <c r="D150">
        <f t="shared" si="11"/>
        <v>689</v>
      </c>
      <c r="E150">
        <v>138</v>
      </c>
      <c r="F150">
        <v>160</v>
      </c>
      <c r="G150">
        <v>6</v>
      </c>
      <c r="H150">
        <f t="shared" si="10"/>
        <v>181</v>
      </c>
      <c r="I150">
        <f t="shared" si="10"/>
        <v>633</v>
      </c>
      <c r="J150">
        <f t="shared" si="10"/>
        <v>695</v>
      </c>
      <c r="K150" t="str" cm="1">
        <f t="array" ref="K150">_xlfn.IFS(H150&gt;=$U$1,"kostka",I150&gt;=$U$1*$R$3,"orzech",J150&gt;=$U$1*$R$4,"miał",1=1,"NIC")</f>
        <v>orzech</v>
      </c>
      <c r="L150">
        <f t="shared" si="12"/>
        <v>181</v>
      </c>
      <c r="M150">
        <f t="shared" si="13"/>
        <v>373</v>
      </c>
      <c r="N150">
        <f t="shared" si="14"/>
        <v>695</v>
      </c>
    </row>
    <row r="151" spans="1:14" x14ac:dyDescent="0.25">
      <c r="A151" s="1">
        <v>42076</v>
      </c>
      <c r="B151">
        <f t="shared" si="11"/>
        <v>181</v>
      </c>
      <c r="C151">
        <f t="shared" si="11"/>
        <v>373</v>
      </c>
      <c r="D151">
        <f t="shared" si="11"/>
        <v>695</v>
      </c>
      <c r="E151">
        <v>194</v>
      </c>
      <c r="F151">
        <v>87</v>
      </c>
      <c r="G151">
        <v>60</v>
      </c>
      <c r="H151">
        <f t="shared" si="10"/>
        <v>375</v>
      </c>
      <c r="I151">
        <f t="shared" si="10"/>
        <v>460</v>
      </c>
      <c r="J151">
        <f t="shared" si="10"/>
        <v>755</v>
      </c>
      <c r="K151" t="str" cm="1">
        <f t="array" ref="K151">_xlfn.IFS(H151&gt;=$U$1,"kostka",I151&gt;=$U$1*$R$3,"orzech",J151&gt;=$U$1*$R$4,"miał",1=1,"NIC")</f>
        <v>kostka</v>
      </c>
      <c r="L151">
        <f t="shared" si="12"/>
        <v>175</v>
      </c>
      <c r="M151">
        <f t="shared" si="13"/>
        <v>460</v>
      </c>
      <c r="N151">
        <f t="shared" si="14"/>
        <v>755</v>
      </c>
    </row>
    <row r="152" spans="1:14" x14ac:dyDescent="0.25">
      <c r="A152" s="1">
        <v>42077</v>
      </c>
      <c r="B152">
        <f t="shared" si="11"/>
        <v>175</v>
      </c>
      <c r="C152">
        <f t="shared" si="11"/>
        <v>460</v>
      </c>
      <c r="D152">
        <f t="shared" si="11"/>
        <v>755</v>
      </c>
      <c r="E152">
        <v>86</v>
      </c>
      <c r="F152">
        <v>21</v>
      </c>
      <c r="G152">
        <v>45</v>
      </c>
      <c r="H152">
        <f t="shared" si="10"/>
        <v>261</v>
      </c>
      <c r="I152">
        <f t="shared" si="10"/>
        <v>481</v>
      </c>
      <c r="J152">
        <f t="shared" si="10"/>
        <v>800</v>
      </c>
      <c r="K152" t="str" cm="1">
        <f t="array" ref="K152">_xlfn.IFS(H152&gt;=$U$1,"kostka",I152&gt;=$U$1*$R$3,"orzech",J152&gt;=$U$1*$R$4,"miał",1=1,"NIC")</f>
        <v>kostka</v>
      </c>
      <c r="L152">
        <f t="shared" si="12"/>
        <v>61</v>
      </c>
      <c r="M152">
        <f t="shared" si="13"/>
        <v>481</v>
      </c>
      <c r="N152">
        <f t="shared" si="14"/>
        <v>800</v>
      </c>
    </row>
    <row r="153" spans="1:14" x14ac:dyDescent="0.25">
      <c r="A153" s="1">
        <v>42078</v>
      </c>
      <c r="B153">
        <f t="shared" si="11"/>
        <v>61</v>
      </c>
      <c r="C153">
        <f t="shared" si="11"/>
        <v>481</v>
      </c>
      <c r="D153">
        <f t="shared" si="11"/>
        <v>800</v>
      </c>
      <c r="E153">
        <v>26</v>
      </c>
      <c r="F153">
        <v>60</v>
      </c>
      <c r="G153">
        <v>44</v>
      </c>
      <c r="H153">
        <f t="shared" si="10"/>
        <v>87</v>
      </c>
      <c r="I153">
        <f t="shared" si="10"/>
        <v>541</v>
      </c>
      <c r="J153">
        <f t="shared" si="10"/>
        <v>844</v>
      </c>
      <c r="K153" t="str" cm="1">
        <f t="array" ref="K153">_xlfn.IFS(H153&gt;=$U$1,"kostka",I153&gt;=$U$1*$R$3,"orzech",J153&gt;=$U$1*$R$4,"miał",1=1,"NIC")</f>
        <v>orzech</v>
      </c>
      <c r="L153">
        <f t="shared" si="12"/>
        <v>87</v>
      </c>
      <c r="M153">
        <f t="shared" si="13"/>
        <v>281</v>
      </c>
      <c r="N153">
        <f t="shared" si="14"/>
        <v>844</v>
      </c>
    </row>
    <row r="154" spans="1:14" x14ac:dyDescent="0.25">
      <c r="A154" s="1">
        <v>42079</v>
      </c>
      <c r="B154">
        <f t="shared" si="11"/>
        <v>87</v>
      </c>
      <c r="C154">
        <f t="shared" si="11"/>
        <v>281</v>
      </c>
      <c r="D154">
        <f t="shared" si="11"/>
        <v>844</v>
      </c>
      <c r="E154">
        <v>28</v>
      </c>
      <c r="F154">
        <v>35</v>
      </c>
      <c r="G154">
        <v>96</v>
      </c>
      <c r="H154">
        <f t="shared" si="10"/>
        <v>115</v>
      </c>
      <c r="I154">
        <f t="shared" si="10"/>
        <v>316</v>
      </c>
      <c r="J154">
        <f t="shared" si="10"/>
        <v>940</v>
      </c>
      <c r="K154" t="str" cm="1">
        <f t="array" ref="K154">_xlfn.IFS(H154&gt;=$U$1,"kostka",I154&gt;=$U$1*$R$3,"orzech",J154&gt;=$U$1*$R$4,"miał",1=1,"NIC")</f>
        <v>orzech</v>
      </c>
      <c r="L154">
        <f t="shared" si="12"/>
        <v>115</v>
      </c>
      <c r="M154">
        <f t="shared" si="13"/>
        <v>56</v>
      </c>
      <c r="N154">
        <f t="shared" si="14"/>
        <v>940</v>
      </c>
    </row>
    <row r="155" spans="1:14" x14ac:dyDescent="0.25">
      <c r="A155" s="1">
        <v>42080</v>
      </c>
      <c r="B155">
        <f t="shared" si="11"/>
        <v>115</v>
      </c>
      <c r="C155">
        <f t="shared" si="11"/>
        <v>56</v>
      </c>
      <c r="D155">
        <f t="shared" si="11"/>
        <v>940</v>
      </c>
      <c r="E155">
        <v>53</v>
      </c>
      <c r="F155">
        <v>100</v>
      </c>
      <c r="G155">
        <v>64</v>
      </c>
      <c r="H155">
        <f t="shared" si="10"/>
        <v>168</v>
      </c>
      <c r="I155">
        <f t="shared" si="10"/>
        <v>156</v>
      </c>
      <c r="J155">
        <f t="shared" si="10"/>
        <v>1004</v>
      </c>
      <c r="K155" t="str" cm="1">
        <f t="array" ref="K155">_xlfn.IFS(H155&gt;=$U$1,"kostka",I155&gt;=$U$1*$R$3,"orzech",J155&gt;=$U$1*$R$4,"miał",1=1,"NIC")</f>
        <v>miał</v>
      </c>
      <c r="L155">
        <f t="shared" si="12"/>
        <v>168</v>
      </c>
      <c r="M155">
        <f t="shared" si="13"/>
        <v>156</v>
      </c>
      <c r="N155">
        <f t="shared" si="14"/>
        <v>684</v>
      </c>
    </row>
    <row r="156" spans="1:14" x14ac:dyDescent="0.25">
      <c r="A156" s="1">
        <v>42081</v>
      </c>
      <c r="B156">
        <f t="shared" si="11"/>
        <v>168</v>
      </c>
      <c r="C156">
        <f t="shared" si="11"/>
        <v>156</v>
      </c>
      <c r="D156">
        <f t="shared" si="11"/>
        <v>684</v>
      </c>
      <c r="E156">
        <v>168</v>
      </c>
      <c r="F156">
        <v>64</v>
      </c>
      <c r="G156">
        <v>46</v>
      </c>
      <c r="H156">
        <f t="shared" si="10"/>
        <v>336</v>
      </c>
      <c r="I156">
        <f t="shared" si="10"/>
        <v>220</v>
      </c>
      <c r="J156">
        <f t="shared" si="10"/>
        <v>730</v>
      </c>
      <c r="K156" t="str" cm="1">
        <f t="array" ref="K156">_xlfn.IFS(H156&gt;=$U$1,"kostka",I156&gt;=$U$1*$R$3,"orzech",J156&gt;=$U$1*$R$4,"miał",1=1,"NIC")</f>
        <v>kostka</v>
      </c>
      <c r="L156">
        <f t="shared" si="12"/>
        <v>136</v>
      </c>
      <c r="M156">
        <f t="shared" si="13"/>
        <v>220</v>
      </c>
      <c r="N156">
        <f t="shared" si="14"/>
        <v>730</v>
      </c>
    </row>
    <row r="157" spans="1:14" x14ac:dyDescent="0.25">
      <c r="A157" s="1">
        <v>42082</v>
      </c>
      <c r="B157">
        <f t="shared" si="11"/>
        <v>136</v>
      </c>
      <c r="C157">
        <f t="shared" si="11"/>
        <v>220</v>
      </c>
      <c r="D157">
        <f t="shared" si="11"/>
        <v>730</v>
      </c>
      <c r="E157">
        <v>77</v>
      </c>
      <c r="F157">
        <v>60</v>
      </c>
      <c r="G157">
        <v>35</v>
      </c>
      <c r="H157">
        <f t="shared" si="10"/>
        <v>213</v>
      </c>
      <c r="I157">
        <f t="shared" si="10"/>
        <v>280</v>
      </c>
      <c r="J157">
        <f t="shared" si="10"/>
        <v>765</v>
      </c>
      <c r="K157" t="str" cm="1">
        <f t="array" ref="K157">_xlfn.IFS(H157&gt;=$U$1,"kostka",I157&gt;=$U$1*$R$3,"orzech",J157&gt;=$U$1*$R$4,"miał",1=1,"NIC")</f>
        <v>kostka</v>
      </c>
      <c r="L157">
        <f t="shared" si="12"/>
        <v>13</v>
      </c>
      <c r="M157">
        <f t="shared" si="13"/>
        <v>280</v>
      </c>
      <c r="N157">
        <f t="shared" si="14"/>
        <v>765</v>
      </c>
    </row>
    <row r="158" spans="1:14" x14ac:dyDescent="0.25">
      <c r="A158" s="1">
        <v>42083</v>
      </c>
      <c r="B158">
        <f t="shared" si="11"/>
        <v>13</v>
      </c>
      <c r="C158">
        <f t="shared" si="11"/>
        <v>280</v>
      </c>
      <c r="D158">
        <f t="shared" si="11"/>
        <v>765</v>
      </c>
      <c r="E158">
        <v>17</v>
      </c>
      <c r="F158">
        <v>80</v>
      </c>
      <c r="G158">
        <v>30</v>
      </c>
      <c r="H158">
        <f t="shared" si="10"/>
        <v>30</v>
      </c>
      <c r="I158">
        <f t="shared" si="10"/>
        <v>360</v>
      </c>
      <c r="J158">
        <f t="shared" si="10"/>
        <v>795</v>
      </c>
      <c r="K158" t="str" cm="1">
        <f t="array" ref="K158">_xlfn.IFS(H158&gt;=$U$1,"kostka",I158&gt;=$U$1*$R$3,"orzech",J158&gt;=$U$1*$R$4,"miał",1=1,"NIC")</f>
        <v>orzech</v>
      </c>
      <c r="L158">
        <f t="shared" si="12"/>
        <v>30</v>
      </c>
      <c r="M158">
        <f t="shared" si="13"/>
        <v>100</v>
      </c>
      <c r="N158">
        <f t="shared" si="14"/>
        <v>795</v>
      </c>
    </row>
    <row r="159" spans="1:14" x14ac:dyDescent="0.25">
      <c r="A159" s="1">
        <v>42084</v>
      </c>
      <c r="B159">
        <f t="shared" si="11"/>
        <v>30</v>
      </c>
      <c r="C159">
        <f t="shared" si="11"/>
        <v>100</v>
      </c>
      <c r="D159">
        <f t="shared" si="11"/>
        <v>795</v>
      </c>
      <c r="E159">
        <v>175</v>
      </c>
      <c r="F159">
        <v>47</v>
      </c>
      <c r="G159">
        <v>25</v>
      </c>
      <c r="H159">
        <f t="shared" si="10"/>
        <v>205</v>
      </c>
      <c r="I159">
        <f t="shared" si="10"/>
        <v>147</v>
      </c>
      <c r="J159">
        <f t="shared" si="10"/>
        <v>820</v>
      </c>
      <c r="K159" t="str" cm="1">
        <f t="array" ref="K159">_xlfn.IFS(H159&gt;=$U$1,"kostka",I159&gt;=$U$1*$R$3,"orzech",J159&gt;=$U$1*$R$4,"miał",1=1,"NIC")</f>
        <v>kostka</v>
      </c>
      <c r="L159">
        <f t="shared" si="12"/>
        <v>5</v>
      </c>
      <c r="M159">
        <f t="shared" si="13"/>
        <v>147</v>
      </c>
      <c r="N159">
        <f t="shared" si="14"/>
        <v>820</v>
      </c>
    </row>
    <row r="160" spans="1:14" x14ac:dyDescent="0.25">
      <c r="A160" s="1">
        <v>42085</v>
      </c>
      <c r="B160">
        <f t="shared" si="11"/>
        <v>5</v>
      </c>
      <c r="C160">
        <f t="shared" si="11"/>
        <v>147</v>
      </c>
      <c r="D160">
        <f t="shared" si="11"/>
        <v>820</v>
      </c>
      <c r="E160">
        <v>164</v>
      </c>
      <c r="F160">
        <v>60</v>
      </c>
      <c r="G160">
        <v>22</v>
      </c>
      <c r="H160">
        <f t="shared" si="10"/>
        <v>169</v>
      </c>
      <c r="I160">
        <f t="shared" si="10"/>
        <v>207</v>
      </c>
      <c r="J160">
        <f t="shared" si="10"/>
        <v>842</v>
      </c>
      <c r="K160" t="str" cm="1">
        <f t="array" ref="K160">_xlfn.IFS(H160&gt;=$U$1,"kostka",I160&gt;=$U$1*$R$3,"orzech",J160&gt;=$U$1*$R$4,"miał",1=1,"NIC")</f>
        <v>miał</v>
      </c>
      <c r="L160">
        <f t="shared" si="12"/>
        <v>169</v>
      </c>
      <c r="M160">
        <f t="shared" si="13"/>
        <v>207</v>
      </c>
      <c r="N160">
        <f t="shared" si="14"/>
        <v>522</v>
      </c>
    </row>
    <row r="161" spans="1:14" x14ac:dyDescent="0.25">
      <c r="A161" s="1">
        <v>42086</v>
      </c>
      <c r="B161">
        <f t="shared" si="11"/>
        <v>169</v>
      </c>
      <c r="C161">
        <f t="shared" si="11"/>
        <v>207</v>
      </c>
      <c r="D161">
        <f t="shared" si="11"/>
        <v>522</v>
      </c>
      <c r="E161">
        <v>199</v>
      </c>
      <c r="F161">
        <v>80</v>
      </c>
      <c r="G161">
        <v>45</v>
      </c>
      <c r="H161">
        <f t="shared" si="10"/>
        <v>368</v>
      </c>
      <c r="I161">
        <f t="shared" si="10"/>
        <v>287</v>
      </c>
      <c r="J161">
        <f t="shared" si="10"/>
        <v>567</v>
      </c>
      <c r="K161" t="str" cm="1">
        <f t="array" ref="K161">_xlfn.IFS(H161&gt;=$U$1,"kostka",I161&gt;=$U$1*$R$3,"orzech",J161&gt;=$U$1*$R$4,"miał",1=1,"NIC")</f>
        <v>kostka</v>
      </c>
      <c r="L161">
        <f t="shared" si="12"/>
        <v>168</v>
      </c>
      <c r="M161">
        <f t="shared" si="13"/>
        <v>287</v>
      </c>
      <c r="N161">
        <f t="shared" si="14"/>
        <v>567</v>
      </c>
    </row>
    <row r="162" spans="1:14" x14ac:dyDescent="0.25">
      <c r="A162" s="1">
        <v>42087</v>
      </c>
      <c r="B162">
        <f t="shared" si="11"/>
        <v>168</v>
      </c>
      <c r="C162">
        <f t="shared" si="11"/>
        <v>287</v>
      </c>
      <c r="D162">
        <f t="shared" si="11"/>
        <v>567</v>
      </c>
      <c r="E162">
        <v>111</v>
      </c>
      <c r="F162">
        <v>92</v>
      </c>
      <c r="G162">
        <v>45</v>
      </c>
      <c r="H162">
        <f t="shared" si="10"/>
        <v>279</v>
      </c>
      <c r="I162">
        <f t="shared" si="10"/>
        <v>379</v>
      </c>
      <c r="J162">
        <f t="shared" si="10"/>
        <v>612</v>
      </c>
      <c r="K162" t="str" cm="1">
        <f t="array" ref="K162">_xlfn.IFS(H162&gt;=$U$1,"kostka",I162&gt;=$U$1*$R$3,"orzech",J162&gt;=$U$1*$R$4,"miał",1=1,"NIC")</f>
        <v>kostka</v>
      </c>
      <c r="L162">
        <f t="shared" si="12"/>
        <v>79</v>
      </c>
      <c r="M162">
        <f t="shared" si="13"/>
        <v>379</v>
      </c>
      <c r="N162">
        <f t="shared" si="14"/>
        <v>612</v>
      </c>
    </row>
    <row r="163" spans="1:14" x14ac:dyDescent="0.25">
      <c r="A163" s="1">
        <v>42088</v>
      </c>
      <c r="B163">
        <f t="shared" si="11"/>
        <v>79</v>
      </c>
      <c r="C163">
        <f t="shared" si="11"/>
        <v>379</v>
      </c>
      <c r="D163">
        <f t="shared" si="11"/>
        <v>612</v>
      </c>
      <c r="E163">
        <v>58</v>
      </c>
      <c r="F163">
        <v>90</v>
      </c>
      <c r="G163">
        <v>40</v>
      </c>
      <c r="H163">
        <f t="shared" si="10"/>
        <v>137</v>
      </c>
      <c r="I163">
        <f t="shared" si="10"/>
        <v>469</v>
      </c>
      <c r="J163">
        <f t="shared" si="10"/>
        <v>652</v>
      </c>
      <c r="K163" t="str" cm="1">
        <f t="array" ref="K163">_xlfn.IFS(H163&gt;=$U$1,"kostka",I163&gt;=$U$1*$R$3,"orzech",J163&gt;=$U$1*$R$4,"miał",1=1,"NIC")</f>
        <v>orzech</v>
      </c>
      <c r="L163">
        <f t="shared" si="12"/>
        <v>137</v>
      </c>
      <c r="M163">
        <f t="shared" si="13"/>
        <v>209</v>
      </c>
      <c r="N163">
        <f t="shared" si="14"/>
        <v>652</v>
      </c>
    </row>
    <row r="164" spans="1:14" x14ac:dyDescent="0.25">
      <c r="A164" s="1">
        <v>42089</v>
      </c>
      <c r="B164">
        <f t="shared" si="11"/>
        <v>137</v>
      </c>
      <c r="C164">
        <f t="shared" si="11"/>
        <v>209</v>
      </c>
      <c r="D164">
        <f t="shared" si="11"/>
        <v>652</v>
      </c>
      <c r="E164">
        <v>59</v>
      </c>
      <c r="F164">
        <v>164</v>
      </c>
      <c r="G164">
        <v>47</v>
      </c>
      <c r="H164">
        <f t="shared" si="10"/>
        <v>196</v>
      </c>
      <c r="I164">
        <f t="shared" si="10"/>
        <v>373</v>
      </c>
      <c r="J164">
        <f t="shared" si="10"/>
        <v>699</v>
      </c>
      <c r="K164" t="str" cm="1">
        <f t="array" ref="K164">_xlfn.IFS(H164&gt;=$U$1,"kostka",I164&gt;=$U$1*$R$3,"orzech",J164&gt;=$U$1*$R$4,"miał",1=1,"NIC")</f>
        <v>orzech</v>
      </c>
      <c r="L164">
        <f t="shared" si="12"/>
        <v>196</v>
      </c>
      <c r="M164">
        <f t="shared" si="13"/>
        <v>113</v>
      </c>
      <c r="N164">
        <f t="shared" si="14"/>
        <v>699</v>
      </c>
    </row>
    <row r="165" spans="1:14" x14ac:dyDescent="0.25">
      <c r="A165" s="1">
        <v>42090</v>
      </c>
      <c r="B165">
        <f t="shared" si="11"/>
        <v>196</v>
      </c>
      <c r="C165">
        <f t="shared" si="11"/>
        <v>113</v>
      </c>
      <c r="D165">
        <f t="shared" si="11"/>
        <v>699</v>
      </c>
      <c r="E165">
        <v>158</v>
      </c>
      <c r="F165">
        <v>120</v>
      </c>
      <c r="G165">
        <v>30</v>
      </c>
      <c r="H165">
        <f t="shared" si="10"/>
        <v>354</v>
      </c>
      <c r="I165">
        <f t="shared" si="10"/>
        <v>233</v>
      </c>
      <c r="J165">
        <f t="shared" si="10"/>
        <v>729</v>
      </c>
      <c r="K165" t="str" cm="1">
        <f t="array" ref="K165">_xlfn.IFS(H165&gt;=$U$1,"kostka",I165&gt;=$U$1*$R$3,"orzech",J165&gt;=$U$1*$R$4,"miał",1=1,"NIC")</f>
        <v>kostka</v>
      </c>
      <c r="L165">
        <f t="shared" si="12"/>
        <v>154</v>
      </c>
      <c r="M165">
        <f t="shared" si="13"/>
        <v>233</v>
      </c>
      <c r="N165">
        <f t="shared" si="14"/>
        <v>729</v>
      </c>
    </row>
    <row r="166" spans="1:14" x14ac:dyDescent="0.25">
      <c r="A166" s="1">
        <v>42091</v>
      </c>
      <c r="B166">
        <f t="shared" si="11"/>
        <v>154</v>
      </c>
      <c r="C166">
        <f t="shared" si="11"/>
        <v>233</v>
      </c>
      <c r="D166">
        <f t="shared" si="11"/>
        <v>729</v>
      </c>
      <c r="E166">
        <v>84</v>
      </c>
      <c r="F166">
        <v>90</v>
      </c>
      <c r="G166">
        <v>30</v>
      </c>
      <c r="H166">
        <f t="shared" si="10"/>
        <v>238</v>
      </c>
      <c r="I166">
        <f t="shared" si="10"/>
        <v>323</v>
      </c>
      <c r="J166">
        <f t="shared" si="10"/>
        <v>759</v>
      </c>
      <c r="K166" t="str" cm="1">
        <f t="array" ref="K166">_xlfn.IFS(H166&gt;=$U$1,"kostka",I166&gt;=$U$1*$R$3,"orzech",J166&gt;=$U$1*$R$4,"miał",1=1,"NIC")</f>
        <v>kostka</v>
      </c>
      <c r="L166">
        <f t="shared" si="12"/>
        <v>38</v>
      </c>
      <c r="M166">
        <f t="shared" si="13"/>
        <v>323</v>
      </c>
      <c r="N166">
        <f t="shared" si="14"/>
        <v>759</v>
      </c>
    </row>
    <row r="167" spans="1:14" x14ac:dyDescent="0.25">
      <c r="A167" s="1">
        <v>42092</v>
      </c>
      <c r="B167">
        <f t="shared" si="11"/>
        <v>38</v>
      </c>
      <c r="C167">
        <f t="shared" si="11"/>
        <v>323</v>
      </c>
      <c r="D167">
        <f t="shared" si="11"/>
        <v>759</v>
      </c>
      <c r="E167">
        <v>64</v>
      </c>
      <c r="F167">
        <v>61</v>
      </c>
      <c r="G167">
        <v>60</v>
      </c>
      <c r="H167">
        <f t="shared" si="10"/>
        <v>102</v>
      </c>
      <c r="I167">
        <f t="shared" si="10"/>
        <v>384</v>
      </c>
      <c r="J167">
        <f t="shared" si="10"/>
        <v>819</v>
      </c>
      <c r="K167" t="str" cm="1">
        <f t="array" ref="K167">_xlfn.IFS(H167&gt;=$U$1,"kostka",I167&gt;=$U$1*$R$3,"orzech",J167&gt;=$U$1*$R$4,"miał",1=1,"NIC")</f>
        <v>orzech</v>
      </c>
      <c r="L167">
        <f t="shared" si="12"/>
        <v>102</v>
      </c>
      <c r="M167">
        <f t="shared" si="13"/>
        <v>124</v>
      </c>
      <c r="N167">
        <f t="shared" si="14"/>
        <v>819</v>
      </c>
    </row>
    <row r="168" spans="1:14" x14ac:dyDescent="0.25">
      <c r="A168" s="1">
        <v>42093</v>
      </c>
      <c r="B168">
        <f t="shared" si="11"/>
        <v>102</v>
      </c>
      <c r="C168">
        <f t="shared" si="11"/>
        <v>124</v>
      </c>
      <c r="D168">
        <f t="shared" si="11"/>
        <v>819</v>
      </c>
      <c r="E168">
        <v>125</v>
      </c>
      <c r="F168">
        <v>84</v>
      </c>
      <c r="G168">
        <v>40</v>
      </c>
      <c r="H168">
        <f t="shared" si="10"/>
        <v>227</v>
      </c>
      <c r="I168">
        <f t="shared" si="10"/>
        <v>208</v>
      </c>
      <c r="J168">
        <f t="shared" si="10"/>
        <v>859</v>
      </c>
      <c r="K168" t="str" cm="1">
        <f t="array" ref="K168">_xlfn.IFS(H168&gt;=$U$1,"kostka",I168&gt;=$U$1*$R$3,"orzech",J168&gt;=$U$1*$R$4,"miał",1=1,"NIC")</f>
        <v>kostka</v>
      </c>
      <c r="L168">
        <f t="shared" si="12"/>
        <v>27</v>
      </c>
      <c r="M168">
        <f t="shared" si="13"/>
        <v>208</v>
      </c>
      <c r="N168">
        <f t="shared" si="14"/>
        <v>859</v>
      </c>
    </row>
    <row r="169" spans="1:14" x14ac:dyDescent="0.25">
      <c r="A169" s="1">
        <v>42094</v>
      </c>
      <c r="B169">
        <f t="shared" si="11"/>
        <v>27</v>
      </c>
      <c r="C169">
        <f t="shared" si="11"/>
        <v>208</v>
      </c>
      <c r="D169">
        <f t="shared" si="11"/>
        <v>859</v>
      </c>
      <c r="E169">
        <v>148</v>
      </c>
      <c r="F169">
        <v>110</v>
      </c>
      <c r="G169">
        <v>50</v>
      </c>
      <c r="H169">
        <f t="shared" si="10"/>
        <v>175</v>
      </c>
      <c r="I169">
        <f t="shared" si="10"/>
        <v>318</v>
      </c>
      <c r="J169">
        <f t="shared" si="10"/>
        <v>909</v>
      </c>
      <c r="K169" t="str" cm="1">
        <f t="array" ref="K169">_xlfn.IFS(H169&gt;=$U$1,"kostka",I169&gt;=$U$1*$R$3,"orzech",J169&gt;=$U$1*$R$4,"miał",1=1,"NIC")</f>
        <v>orzech</v>
      </c>
      <c r="L169">
        <f t="shared" si="12"/>
        <v>175</v>
      </c>
      <c r="M169">
        <f t="shared" si="13"/>
        <v>58</v>
      </c>
      <c r="N169">
        <f t="shared" si="14"/>
        <v>909</v>
      </c>
    </row>
    <row r="170" spans="1:14" x14ac:dyDescent="0.25">
      <c r="A170" s="1">
        <v>42095</v>
      </c>
      <c r="B170">
        <f t="shared" si="11"/>
        <v>175</v>
      </c>
      <c r="C170">
        <f t="shared" si="11"/>
        <v>58</v>
      </c>
      <c r="D170">
        <f t="shared" si="11"/>
        <v>909</v>
      </c>
      <c r="E170">
        <v>172</v>
      </c>
      <c r="F170">
        <v>100</v>
      </c>
      <c r="G170">
        <v>30</v>
      </c>
      <c r="H170">
        <f t="shared" si="10"/>
        <v>347</v>
      </c>
      <c r="I170">
        <f t="shared" si="10"/>
        <v>158</v>
      </c>
      <c r="J170">
        <f t="shared" si="10"/>
        <v>939</v>
      </c>
      <c r="K170" t="str" cm="1">
        <f t="array" ref="K170">_xlfn.IFS(H170&gt;=$U$1,"kostka",I170&gt;=$U$1*$R$3,"orzech",J170&gt;=$U$1*$R$4,"miał",1=1,"NIC")</f>
        <v>kostka</v>
      </c>
      <c r="L170">
        <f t="shared" si="12"/>
        <v>147</v>
      </c>
      <c r="M170">
        <f t="shared" si="13"/>
        <v>158</v>
      </c>
      <c r="N170">
        <f t="shared" si="14"/>
        <v>939</v>
      </c>
    </row>
    <row r="171" spans="1:14" x14ac:dyDescent="0.25">
      <c r="A171" s="1">
        <v>42096</v>
      </c>
      <c r="B171">
        <f t="shared" si="11"/>
        <v>147</v>
      </c>
      <c r="C171">
        <f t="shared" si="11"/>
        <v>158</v>
      </c>
      <c r="D171">
        <f t="shared" si="11"/>
        <v>939</v>
      </c>
      <c r="E171">
        <v>103</v>
      </c>
      <c r="F171">
        <v>60</v>
      </c>
      <c r="G171">
        <v>40</v>
      </c>
      <c r="H171">
        <f t="shared" si="10"/>
        <v>250</v>
      </c>
      <c r="I171">
        <f t="shared" si="10"/>
        <v>218</v>
      </c>
      <c r="J171">
        <f t="shared" si="10"/>
        <v>979</v>
      </c>
      <c r="K171" t="str" cm="1">
        <f t="array" ref="K171">_xlfn.IFS(H171&gt;=$U$1,"kostka",I171&gt;=$U$1*$R$3,"orzech",J171&gt;=$U$1*$R$4,"miał",1=1,"NIC")</f>
        <v>kostka</v>
      </c>
      <c r="L171">
        <f t="shared" si="12"/>
        <v>50</v>
      </c>
      <c r="M171">
        <f t="shared" si="13"/>
        <v>218</v>
      </c>
      <c r="N171">
        <f t="shared" si="14"/>
        <v>979</v>
      </c>
    </row>
    <row r="172" spans="1:14" x14ac:dyDescent="0.25">
      <c r="A172" s="1">
        <v>42097</v>
      </c>
      <c r="B172">
        <f t="shared" si="11"/>
        <v>50</v>
      </c>
      <c r="C172">
        <f t="shared" si="11"/>
        <v>218</v>
      </c>
      <c r="D172">
        <f t="shared" si="11"/>
        <v>979</v>
      </c>
      <c r="E172">
        <v>191</v>
      </c>
      <c r="F172">
        <v>41</v>
      </c>
      <c r="G172">
        <v>52</v>
      </c>
      <c r="H172">
        <f t="shared" si="10"/>
        <v>241</v>
      </c>
      <c r="I172">
        <f t="shared" si="10"/>
        <v>259</v>
      </c>
      <c r="J172">
        <f t="shared" si="10"/>
        <v>1031</v>
      </c>
      <c r="K172" t="str" cm="1">
        <f t="array" ref="K172">_xlfn.IFS(H172&gt;=$U$1,"kostka",I172&gt;=$U$1*$R$3,"orzech",J172&gt;=$U$1*$R$4,"miał",1=1,"NIC")</f>
        <v>kostka</v>
      </c>
      <c r="L172">
        <f t="shared" si="12"/>
        <v>41</v>
      </c>
      <c r="M172">
        <f t="shared" si="13"/>
        <v>259</v>
      </c>
      <c r="N172">
        <f t="shared" si="14"/>
        <v>1031</v>
      </c>
    </row>
    <row r="173" spans="1:14" x14ac:dyDescent="0.25">
      <c r="A173" s="1">
        <v>42098</v>
      </c>
      <c r="B173">
        <f t="shared" si="11"/>
        <v>41</v>
      </c>
      <c r="C173">
        <f t="shared" si="11"/>
        <v>259</v>
      </c>
      <c r="D173">
        <f t="shared" si="11"/>
        <v>1031</v>
      </c>
      <c r="E173">
        <v>128</v>
      </c>
      <c r="F173">
        <v>98</v>
      </c>
      <c r="G173">
        <v>40</v>
      </c>
      <c r="H173">
        <f t="shared" si="10"/>
        <v>169</v>
      </c>
      <c r="I173">
        <f t="shared" si="10"/>
        <v>357</v>
      </c>
      <c r="J173">
        <f t="shared" si="10"/>
        <v>1071</v>
      </c>
      <c r="K173" t="str" cm="1">
        <f t="array" ref="K173">_xlfn.IFS(H173&gt;=$U$1,"kostka",I173&gt;=$U$1*$R$3,"orzech",J173&gt;=$U$1*$R$4,"miał",1=1,"NIC")</f>
        <v>orzech</v>
      </c>
      <c r="L173">
        <f t="shared" si="12"/>
        <v>169</v>
      </c>
      <c r="M173">
        <f t="shared" si="13"/>
        <v>97</v>
      </c>
      <c r="N173">
        <f t="shared" si="14"/>
        <v>1071</v>
      </c>
    </row>
    <row r="174" spans="1:14" x14ac:dyDescent="0.25">
      <c r="A174" s="1">
        <v>42099</v>
      </c>
      <c r="B174">
        <f t="shared" si="11"/>
        <v>169</v>
      </c>
      <c r="C174">
        <f t="shared" si="11"/>
        <v>97</v>
      </c>
      <c r="D174">
        <f t="shared" si="11"/>
        <v>1071</v>
      </c>
      <c r="E174">
        <v>75</v>
      </c>
      <c r="F174">
        <v>87</v>
      </c>
      <c r="G174">
        <v>47</v>
      </c>
      <c r="H174">
        <f t="shared" si="10"/>
        <v>244</v>
      </c>
      <c r="I174">
        <f t="shared" si="10"/>
        <v>184</v>
      </c>
      <c r="J174">
        <f t="shared" si="10"/>
        <v>1118</v>
      </c>
      <c r="K174" t="str" cm="1">
        <f t="array" ref="K174">_xlfn.IFS(H174&gt;=$U$1,"kostka",I174&gt;=$U$1*$R$3,"orzech",J174&gt;=$U$1*$R$4,"miał",1=1,"NIC")</f>
        <v>kostka</v>
      </c>
      <c r="L174">
        <f t="shared" si="12"/>
        <v>44</v>
      </c>
      <c r="M174">
        <f t="shared" si="13"/>
        <v>184</v>
      </c>
      <c r="N174">
        <f t="shared" si="14"/>
        <v>1118</v>
      </c>
    </row>
    <row r="175" spans="1:14" x14ac:dyDescent="0.25">
      <c r="A175" s="1">
        <v>42100</v>
      </c>
      <c r="B175">
        <f t="shared" si="11"/>
        <v>44</v>
      </c>
      <c r="C175">
        <f t="shared" si="11"/>
        <v>184</v>
      </c>
      <c r="D175">
        <f t="shared" si="11"/>
        <v>1118</v>
      </c>
      <c r="E175">
        <v>38</v>
      </c>
      <c r="F175">
        <v>100</v>
      </c>
      <c r="G175">
        <v>50</v>
      </c>
      <c r="H175">
        <f t="shared" si="10"/>
        <v>82</v>
      </c>
      <c r="I175">
        <f t="shared" si="10"/>
        <v>284</v>
      </c>
      <c r="J175">
        <f t="shared" si="10"/>
        <v>1168</v>
      </c>
      <c r="K175" t="str" cm="1">
        <f t="array" ref="K175">_xlfn.IFS(H175&gt;=$U$1,"kostka",I175&gt;=$U$1*$R$3,"orzech",J175&gt;=$U$1*$R$4,"miał",1=1,"NIC")</f>
        <v>orzech</v>
      </c>
      <c r="L175">
        <f t="shared" si="12"/>
        <v>82</v>
      </c>
      <c r="M175">
        <f t="shared" si="13"/>
        <v>24</v>
      </c>
      <c r="N175">
        <f t="shared" si="14"/>
        <v>1168</v>
      </c>
    </row>
    <row r="176" spans="1:14" x14ac:dyDescent="0.25">
      <c r="A176" s="1">
        <v>42101</v>
      </c>
      <c r="B176">
        <f t="shared" si="11"/>
        <v>82</v>
      </c>
      <c r="C176">
        <f t="shared" si="11"/>
        <v>24</v>
      </c>
      <c r="D176">
        <f t="shared" si="11"/>
        <v>1168</v>
      </c>
      <c r="E176">
        <v>80</v>
      </c>
      <c r="F176">
        <v>40</v>
      </c>
      <c r="G176">
        <v>30</v>
      </c>
      <c r="H176">
        <f t="shared" si="10"/>
        <v>162</v>
      </c>
      <c r="I176">
        <f t="shared" si="10"/>
        <v>64</v>
      </c>
      <c r="J176">
        <f t="shared" si="10"/>
        <v>1198</v>
      </c>
      <c r="K176" t="str" cm="1">
        <f t="array" ref="K176">_xlfn.IFS(H176&gt;=$U$1,"kostka",I176&gt;=$U$1*$R$3,"orzech",J176&gt;=$U$1*$R$4,"miał",1=1,"NIC")</f>
        <v>miał</v>
      </c>
      <c r="L176">
        <f t="shared" si="12"/>
        <v>162</v>
      </c>
      <c r="M176">
        <f t="shared" si="13"/>
        <v>64</v>
      </c>
      <c r="N176">
        <f t="shared" si="14"/>
        <v>878</v>
      </c>
    </row>
    <row r="177" spans="1:14" x14ac:dyDescent="0.25">
      <c r="A177" s="1">
        <v>42102</v>
      </c>
      <c r="B177">
        <f t="shared" si="11"/>
        <v>162</v>
      </c>
      <c r="C177">
        <f t="shared" si="11"/>
        <v>64</v>
      </c>
      <c r="D177">
        <f t="shared" si="11"/>
        <v>878</v>
      </c>
      <c r="E177">
        <v>55</v>
      </c>
      <c r="F177">
        <v>60</v>
      </c>
      <c r="G177">
        <v>50</v>
      </c>
      <c r="H177">
        <f t="shared" si="10"/>
        <v>217</v>
      </c>
      <c r="I177">
        <f t="shared" si="10"/>
        <v>124</v>
      </c>
      <c r="J177">
        <f t="shared" si="10"/>
        <v>928</v>
      </c>
      <c r="K177" t="str" cm="1">
        <f t="array" ref="K177">_xlfn.IFS(H177&gt;=$U$1,"kostka",I177&gt;=$U$1*$R$3,"orzech",J177&gt;=$U$1*$R$4,"miał",1=1,"NIC")</f>
        <v>kostka</v>
      </c>
      <c r="L177">
        <f t="shared" si="12"/>
        <v>17</v>
      </c>
      <c r="M177">
        <f t="shared" si="13"/>
        <v>124</v>
      </c>
      <c r="N177">
        <f t="shared" si="14"/>
        <v>928</v>
      </c>
    </row>
    <row r="178" spans="1:14" x14ac:dyDescent="0.25">
      <c r="A178" s="1">
        <v>42103</v>
      </c>
      <c r="B178">
        <f t="shared" si="11"/>
        <v>17</v>
      </c>
      <c r="C178">
        <f t="shared" si="11"/>
        <v>124</v>
      </c>
      <c r="D178">
        <f t="shared" si="11"/>
        <v>928</v>
      </c>
      <c r="E178">
        <v>10</v>
      </c>
      <c r="F178">
        <v>80</v>
      </c>
      <c r="G178">
        <v>48</v>
      </c>
      <c r="H178">
        <f t="shared" si="10"/>
        <v>27</v>
      </c>
      <c r="I178">
        <f t="shared" si="10"/>
        <v>204</v>
      </c>
      <c r="J178">
        <f t="shared" si="10"/>
        <v>976</v>
      </c>
      <c r="K178" t="str" cm="1">
        <f t="array" ref="K178">_xlfn.IFS(H178&gt;=$U$1,"kostka",I178&gt;=$U$1*$R$3,"orzech",J178&gt;=$U$1*$R$4,"miał",1=1,"NIC")</f>
        <v>miał</v>
      </c>
      <c r="L178">
        <f t="shared" si="12"/>
        <v>27</v>
      </c>
      <c r="M178">
        <f t="shared" si="13"/>
        <v>204</v>
      </c>
      <c r="N178">
        <f t="shared" si="14"/>
        <v>656</v>
      </c>
    </row>
    <row r="179" spans="1:14" x14ac:dyDescent="0.25">
      <c r="A179" s="1">
        <v>42104</v>
      </c>
      <c r="B179">
        <f t="shared" si="11"/>
        <v>27</v>
      </c>
      <c r="C179">
        <f t="shared" si="11"/>
        <v>204</v>
      </c>
      <c r="D179">
        <f t="shared" si="11"/>
        <v>656</v>
      </c>
      <c r="E179">
        <v>95</v>
      </c>
      <c r="F179">
        <v>60</v>
      </c>
      <c r="G179">
        <v>51</v>
      </c>
      <c r="H179">
        <f t="shared" si="10"/>
        <v>122</v>
      </c>
      <c r="I179">
        <f t="shared" si="10"/>
        <v>264</v>
      </c>
      <c r="J179">
        <f t="shared" si="10"/>
        <v>707</v>
      </c>
      <c r="K179" t="str" cm="1">
        <f t="array" ref="K179">_xlfn.IFS(H179&gt;=$U$1,"kostka",I179&gt;=$U$1*$R$3,"orzech",J179&gt;=$U$1*$R$4,"miał",1=1,"NIC")</f>
        <v>orzech</v>
      </c>
      <c r="L179">
        <f t="shared" si="12"/>
        <v>122</v>
      </c>
      <c r="M179">
        <f t="shared" si="13"/>
        <v>4</v>
      </c>
      <c r="N179">
        <f t="shared" si="14"/>
        <v>707</v>
      </c>
    </row>
    <row r="180" spans="1:14" x14ac:dyDescent="0.25">
      <c r="A180" s="1">
        <v>42105</v>
      </c>
      <c r="B180">
        <f t="shared" si="11"/>
        <v>122</v>
      </c>
      <c r="C180">
        <f t="shared" si="11"/>
        <v>4</v>
      </c>
      <c r="D180">
        <f t="shared" si="11"/>
        <v>707</v>
      </c>
      <c r="E180">
        <v>90</v>
      </c>
      <c r="F180">
        <v>100</v>
      </c>
      <c r="G180">
        <v>50</v>
      </c>
      <c r="H180">
        <f t="shared" si="10"/>
        <v>212</v>
      </c>
      <c r="I180">
        <f t="shared" si="10"/>
        <v>104</v>
      </c>
      <c r="J180">
        <f t="shared" si="10"/>
        <v>757</v>
      </c>
      <c r="K180" t="str" cm="1">
        <f t="array" ref="K180">_xlfn.IFS(H180&gt;=$U$1,"kostka",I180&gt;=$U$1*$R$3,"orzech",J180&gt;=$U$1*$R$4,"miał",1=1,"NIC")</f>
        <v>kostka</v>
      </c>
      <c r="L180">
        <f t="shared" si="12"/>
        <v>12</v>
      </c>
      <c r="M180">
        <f t="shared" si="13"/>
        <v>104</v>
      </c>
      <c r="N180">
        <f t="shared" si="14"/>
        <v>757</v>
      </c>
    </row>
    <row r="181" spans="1:14" x14ac:dyDescent="0.25">
      <c r="A181" s="1">
        <v>42106</v>
      </c>
      <c r="B181">
        <f t="shared" si="11"/>
        <v>12</v>
      </c>
      <c r="C181">
        <f t="shared" si="11"/>
        <v>104</v>
      </c>
      <c r="D181">
        <f t="shared" si="11"/>
        <v>757</v>
      </c>
      <c r="E181">
        <v>186</v>
      </c>
      <c r="F181">
        <v>60</v>
      </c>
      <c r="G181">
        <v>92</v>
      </c>
      <c r="H181">
        <f t="shared" si="10"/>
        <v>198</v>
      </c>
      <c r="I181">
        <f t="shared" si="10"/>
        <v>164</v>
      </c>
      <c r="J181">
        <f t="shared" si="10"/>
        <v>849</v>
      </c>
      <c r="K181" t="str" cm="1">
        <f t="array" ref="K181">_xlfn.IFS(H181&gt;=$U$1,"kostka",I181&gt;=$U$1*$R$3,"orzech",J181&gt;=$U$1*$R$4,"miał",1=1,"NIC")</f>
        <v>miał</v>
      </c>
      <c r="L181">
        <f t="shared" si="12"/>
        <v>198</v>
      </c>
      <c r="M181">
        <f t="shared" si="13"/>
        <v>164</v>
      </c>
      <c r="N181">
        <f t="shared" si="14"/>
        <v>529</v>
      </c>
    </row>
    <row r="182" spans="1:14" x14ac:dyDescent="0.25">
      <c r="A182" s="1">
        <v>42107</v>
      </c>
      <c r="B182">
        <f t="shared" si="11"/>
        <v>198</v>
      </c>
      <c r="C182">
        <f t="shared" si="11"/>
        <v>164</v>
      </c>
      <c r="D182">
        <f t="shared" si="11"/>
        <v>529</v>
      </c>
      <c r="E182">
        <v>2</v>
      </c>
      <c r="F182">
        <v>40</v>
      </c>
      <c r="G182">
        <v>50</v>
      </c>
      <c r="H182">
        <f t="shared" si="10"/>
        <v>200</v>
      </c>
      <c r="I182">
        <f t="shared" si="10"/>
        <v>204</v>
      </c>
      <c r="J182">
        <f t="shared" si="10"/>
        <v>579</v>
      </c>
      <c r="K182" t="str" cm="1">
        <f t="array" ref="K182">_xlfn.IFS(H182&gt;=$U$1,"kostka",I182&gt;=$U$1*$R$3,"orzech",J182&gt;=$U$1*$R$4,"miał",1=1,"NIC")</f>
        <v>kostka</v>
      </c>
      <c r="L182">
        <f t="shared" si="12"/>
        <v>0</v>
      </c>
      <c r="M182">
        <f t="shared" si="13"/>
        <v>204</v>
      </c>
      <c r="N182">
        <f t="shared" si="14"/>
        <v>579</v>
      </c>
    </row>
    <row r="183" spans="1:14" x14ac:dyDescent="0.25">
      <c r="A183" s="1">
        <v>42108</v>
      </c>
      <c r="B183">
        <f t="shared" si="11"/>
        <v>0</v>
      </c>
      <c r="C183">
        <f t="shared" si="11"/>
        <v>204</v>
      </c>
      <c r="D183">
        <f t="shared" si="11"/>
        <v>579</v>
      </c>
      <c r="E183">
        <v>136</v>
      </c>
      <c r="F183">
        <v>20</v>
      </c>
      <c r="G183">
        <v>66</v>
      </c>
      <c r="H183">
        <f t="shared" si="10"/>
        <v>136</v>
      </c>
      <c r="I183">
        <f t="shared" si="10"/>
        <v>224</v>
      </c>
      <c r="J183">
        <f t="shared" si="10"/>
        <v>645</v>
      </c>
      <c r="K183" t="str" cm="1">
        <f t="array" ref="K183">_xlfn.IFS(H183&gt;=$U$1,"kostka",I183&gt;=$U$1*$R$3,"orzech",J183&gt;=$U$1*$R$4,"miał",1=1,"NIC")</f>
        <v>miał</v>
      </c>
      <c r="L183">
        <f t="shared" si="12"/>
        <v>136</v>
      </c>
      <c r="M183">
        <f t="shared" si="13"/>
        <v>224</v>
      </c>
      <c r="N183">
        <f t="shared" si="14"/>
        <v>325</v>
      </c>
    </row>
    <row r="184" spans="1:14" x14ac:dyDescent="0.25">
      <c r="A184" s="1">
        <v>42109</v>
      </c>
      <c r="B184">
        <f t="shared" si="11"/>
        <v>136</v>
      </c>
      <c r="C184">
        <f t="shared" si="11"/>
        <v>224</v>
      </c>
      <c r="D184">
        <f t="shared" si="11"/>
        <v>325</v>
      </c>
      <c r="E184">
        <v>4</v>
      </c>
      <c r="F184">
        <v>20</v>
      </c>
      <c r="G184">
        <v>10</v>
      </c>
      <c r="H184">
        <f t="shared" si="10"/>
        <v>140</v>
      </c>
      <c r="I184">
        <f t="shared" si="10"/>
        <v>244</v>
      </c>
      <c r="J184">
        <f t="shared" si="10"/>
        <v>335</v>
      </c>
      <c r="K184" t="str" cm="1">
        <f t="array" ref="K184">_xlfn.IFS(H184&gt;=$U$1,"kostka",I184&gt;=$U$1*$R$3,"orzech",J184&gt;=$U$1*$R$4,"miał",1=1,"NIC")</f>
        <v>miał</v>
      </c>
      <c r="L184">
        <f t="shared" si="12"/>
        <v>140</v>
      </c>
      <c r="M184">
        <f t="shared" si="13"/>
        <v>244</v>
      </c>
      <c r="N184">
        <f t="shared" si="14"/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97E0-C85D-40C1-AC1F-94D52D6ECAB2}">
  <dimension ref="A1:U184"/>
  <sheetViews>
    <sheetView topLeftCell="I1" workbookViewId="0">
      <selection activeCell="P25" sqref="P25"/>
    </sheetView>
  </sheetViews>
  <sheetFormatPr defaultRowHeight="15" x14ac:dyDescent="0.25"/>
  <cols>
    <col min="1" max="1" width="10.140625" bestFit="1" customWidth="1"/>
    <col min="2" max="2" width="16.140625" bestFit="1" customWidth="1"/>
    <col min="3" max="3" width="18" bestFit="1" customWidth="1"/>
    <col min="4" max="4" width="15.85546875" bestFit="1" customWidth="1"/>
    <col min="5" max="5" width="17" bestFit="1" customWidth="1"/>
    <col min="6" max="6" width="18.85546875" bestFit="1" customWidth="1"/>
    <col min="7" max="7" width="16.7109375" bestFit="1" customWidth="1"/>
    <col min="8" max="8" width="23.85546875" bestFit="1" customWidth="1"/>
    <col min="9" max="9" width="25.7109375" bestFit="1" customWidth="1"/>
    <col min="10" max="10" width="23.5703125" bestFit="1" customWidth="1"/>
    <col min="11" max="11" width="12.42578125" bestFit="1" customWidth="1"/>
    <col min="12" max="12" width="22.42578125" bestFit="1" customWidth="1"/>
    <col min="13" max="13" width="24" bestFit="1" customWidth="1"/>
    <col min="14" max="14" width="22.140625" bestFit="1" customWidth="1"/>
    <col min="16" max="16" width="14.42578125" bestFit="1" customWidth="1"/>
    <col min="17" max="17" width="9.28515625" bestFit="1" customWidth="1"/>
    <col min="18" max="18" width="8.42578125" bestFit="1" customWidth="1"/>
    <col min="20" max="20" width="16.7109375" bestFit="1" customWidth="1"/>
    <col min="21" max="21" width="4" bestFit="1" customWidth="1"/>
  </cols>
  <sheetData>
    <row r="1" spans="1:21" x14ac:dyDescent="0.25">
      <c r="A1" t="s">
        <v>5</v>
      </c>
      <c r="B1" t="s">
        <v>8</v>
      </c>
      <c r="C1" t="s">
        <v>9</v>
      </c>
      <c r="D1" t="s">
        <v>10</v>
      </c>
      <c r="E1" t="s">
        <v>18</v>
      </c>
      <c r="F1" t="s">
        <v>19</v>
      </c>
      <c r="G1" t="s">
        <v>20</v>
      </c>
      <c r="H1" t="s">
        <v>12</v>
      </c>
      <c r="I1" t="s">
        <v>13</v>
      </c>
      <c r="J1" t="s">
        <v>14</v>
      </c>
      <c r="K1" t="s">
        <v>11</v>
      </c>
      <c r="L1" t="s">
        <v>15</v>
      </c>
      <c r="M1" t="s">
        <v>16</v>
      </c>
      <c r="N1" t="s">
        <v>17</v>
      </c>
      <c r="P1" t="s">
        <v>2</v>
      </c>
      <c r="Q1" t="s">
        <v>3</v>
      </c>
      <c r="R1" t="s">
        <v>7</v>
      </c>
      <c r="T1" t="s">
        <v>6</v>
      </c>
      <c r="U1">
        <v>200</v>
      </c>
    </row>
    <row r="2" spans="1:21" x14ac:dyDescent="0.25">
      <c r="A2" s="1">
        <v>41927</v>
      </c>
      <c r="B2">
        <v>80</v>
      </c>
      <c r="C2">
        <v>80</v>
      </c>
      <c r="D2">
        <v>80</v>
      </c>
      <c r="E2">
        <v>200</v>
      </c>
      <c r="F2">
        <v>120</v>
      </c>
      <c r="G2">
        <v>81</v>
      </c>
      <c r="H2">
        <f>B2+E2</f>
        <v>280</v>
      </c>
      <c r="I2">
        <f>C2+F2</f>
        <v>200</v>
      </c>
      <c r="J2">
        <f>D2+G2</f>
        <v>161</v>
      </c>
      <c r="K2" t="str" cm="1">
        <f t="array" ref="K2">_xlfn.IFS(H2&gt;=$U$1,"kostka",I2&gt;=$U$1*$R$3,"orzech",J2&gt;=$U$1*$R$4,"miał",1=1,"NIC")</f>
        <v>kostka</v>
      </c>
      <c r="L2">
        <f>IF($K2="kostka",H2-$U$1,H2)</f>
        <v>80</v>
      </c>
      <c r="M2">
        <f>IF($K2="orzech",I2-$U$1*$R$3,I2)</f>
        <v>200</v>
      </c>
      <c r="N2">
        <f>IF($K2="miał",J2-$U$1*$R$4,J2)</f>
        <v>161</v>
      </c>
      <c r="P2" t="s">
        <v>0</v>
      </c>
      <c r="Q2">
        <v>685</v>
      </c>
      <c r="R2">
        <v>1</v>
      </c>
    </row>
    <row r="3" spans="1:21" x14ac:dyDescent="0.25">
      <c r="A3" s="1">
        <v>41928</v>
      </c>
      <c r="B3">
        <f>L2</f>
        <v>80</v>
      </c>
      <c r="C3">
        <f>M2</f>
        <v>200</v>
      </c>
      <c r="D3">
        <f>N2</f>
        <v>161</v>
      </c>
      <c r="E3">
        <v>100</v>
      </c>
      <c r="F3">
        <v>135</v>
      </c>
      <c r="G3">
        <v>33</v>
      </c>
      <c r="H3">
        <f t="shared" ref="H3:J66" si="0">B3+E3</f>
        <v>180</v>
      </c>
      <c r="I3">
        <f t="shared" si="0"/>
        <v>335</v>
      </c>
      <c r="J3">
        <f t="shared" si="0"/>
        <v>194</v>
      </c>
      <c r="K3" t="str" cm="1">
        <f t="array" ref="K3">_xlfn.IFS(H3&gt;=$U$1,"kostka",I3&gt;=$U$1*$R$3,"orzech",J3&gt;=$U$1*$R$4,"miał",1=1,"NIC")</f>
        <v>orzech</v>
      </c>
      <c r="L3">
        <f>IF($K3="kostka",H3-$U$1,H3)</f>
        <v>180</v>
      </c>
      <c r="M3">
        <f>IF($K3="orzech",I3-$U$1*$R$3,I3)</f>
        <v>75</v>
      </c>
      <c r="N3">
        <f>IF($K3="miał",J3-$U$1*$R$4,J3)</f>
        <v>194</v>
      </c>
      <c r="P3" t="s">
        <v>1</v>
      </c>
      <c r="Q3">
        <v>620</v>
      </c>
      <c r="R3">
        <v>1.3</v>
      </c>
    </row>
    <row r="4" spans="1:21" x14ac:dyDescent="0.25">
      <c r="A4" s="1">
        <v>41929</v>
      </c>
      <c r="B4">
        <f t="shared" ref="B4:D67" si="1">L3</f>
        <v>180</v>
      </c>
      <c r="C4">
        <f t="shared" si="1"/>
        <v>75</v>
      </c>
      <c r="D4">
        <f t="shared" si="1"/>
        <v>194</v>
      </c>
      <c r="E4">
        <v>50</v>
      </c>
      <c r="F4">
        <v>29</v>
      </c>
      <c r="G4">
        <v>85</v>
      </c>
      <c r="H4">
        <f t="shared" si="0"/>
        <v>230</v>
      </c>
      <c r="I4">
        <f t="shared" si="0"/>
        <v>104</v>
      </c>
      <c r="J4">
        <f t="shared" si="0"/>
        <v>279</v>
      </c>
      <c r="K4" t="str" cm="1">
        <f t="array" ref="K4">_xlfn.IFS(H4&gt;=$U$1,"kostka",I4&gt;=$U$1*$R$3,"orzech",J4&gt;=$U$1*$R$4,"miał",1=1,"NIC")</f>
        <v>kostka</v>
      </c>
      <c r="L4">
        <f t="shared" ref="L4:L67" si="2">IF($K4="kostka",H4-$U$1,H4)</f>
        <v>30</v>
      </c>
      <c r="M4">
        <f t="shared" ref="M4:M67" si="3">IF($K4="orzech",I4-$U$1*$R$3,I4)</f>
        <v>104</v>
      </c>
      <c r="N4">
        <f t="shared" ref="N4:N67" si="4">IF($K4="miał",J4-$U$1*$R$4,J4)</f>
        <v>279</v>
      </c>
      <c r="P4" t="s">
        <v>4</v>
      </c>
      <c r="Q4">
        <v>380</v>
      </c>
      <c r="R4">
        <v>1.6</v>
      </c>
    </row>
    <row r="5" spans="1:21" x14ac:dyDescent="0.25">
      <c r="A5" s="1">
        <v>41930</v>
      </c>
      <c r="B5">
        <f t="shared" si="1"/>
        <v>30</v>
      </c>
      <c r="C5">
        <f t="shared" si="1"/>
        <v>104</v>
      </c>
      <c r="D5">
        <f t="shared" si="1"/>
        <v>279</v>
      </c>
      <c r="E5">
        <v>68</v>
      </c>
      <c r="F5">
        <v>107</v>
      </c>
      <c r="G5">
        <v>84</v>
      </c>
      <c r="H5">
        <f t="shared" si="0"/>
        <v>98</v>
      </c>
      <c r="I5">
        <f t="shared" si="0"/>
        <v>211</v>
      </c>
      <c r="J5">
        <f t="shared" si="0"/>
        <v>363</v>
      </c>
      <c r="K5" t="str" cm="1">
        <f t="array" ref="K5">_xlfn.IFS(H5&gt;=$U$1,"kostka",I5&gt;=$U$1*$R$3,"orzech",J5&gt;=$U$1*$R$4,"miał",1=1,"NIC")</f>
        <v>miał</v>
      </c>
      <c r="L5">
        <f t="shared" si="2"/>
        <v>98</v>
      </c>
      <c r="M5">
        <f t="shared" si="3"/>
        <v>211</v>
      </c>
      <c r="N5">
        <f t="shared" si="4"/>
        <v>43</v>
      </c>
    </row>
    <row r="6" spans="1:21" x14ac:dyDescent="0.25">
      <c r="A6" s="1">
        <v>41931</v>
      </c>
      <c r="B6">
        <f t="shared" si="1"/>
        <v>98</v>
      </c>
      <c r="C6">
        <f t="shared" si="1"/>
        <v>211</v>
      </c>
      <c r="D6">
        <f t="shared" si="1"/>
        <v>43</v>
      </c>
      <c r="E6">
        <v>75</v>
      </c>
      <c r="F6">
        <v>49</v>
      </c>
      <c r="G6">
        <v>23</v>
      </c>
      <c r="H6">
        <f t="shared" si="0"/>
        <v>173</v>
      </c>
      <c r="I6">
        <f t="shared" si="0"/>
        <v>260</v>
      </c>
      <c r="J6">
        <f t="shared" si="0"/>
        <v>66</v>
      </c>
      <c r="K6" t="str" cm="1">
        <f t="array" ref="K6">_xlfn.IFS(H6&gt;=$U$1,"kostka",I6&gt;=$U$1*$R$3,"orzech",J6&gt;=$U$1*$R$4,"miał",1=1,"NIC")</f>
        <v>orzech</v>
      </c>
      <c r="L6">
        <f t="shared" si="2"/>
        <v>173</v>
      </c>
      <c r="M6">
        <f t="shared" si="3"/>
        <v>0</v>
      </c>
      <c r="N6">
        <f t="shared" si="4"/>
        <v>66</v>
      </c>
    </row>
    <row r="7" spans="1:21" x14ac:dyDescent="0.25">
      <c r="A7" s="1">
        <v>41932</v>
      </c>
      <c r="B7">
        <f t="shared" si="1"/>
        <v>173</v>
      </c>
      <c r="C7">
        <f t="shared" si="1"/>
        <v>0</v>
      </c>
      <c r="D7">
        <f t="shared" si="1"/>
        <v>66</v>
      </c>
      <c r="E7">
        <v>109</v>
      </c>
      <c r="F7">
        <v>90</v>
      </c>
      <c r="G7">
        <v>48</v>
      </c>
      <c r="H7">
        <f t="shared" si="0"/>
        <v>282</v>
      </c>
      <c r="I7">
        <f t="shared" si="0"/>
        <v>90</v>
      </c>
      <c r="J7">
        <f t="shared" si="0"/>
        <v>114</v>
      </c>
      <c r="K7" t="str" cm="1">
        <f t="array" ref="K7">_xlfn.IFS(H7&gt;=$U$1,"kostka",I7&gt;=$U$1*$R$3,"orzech",J7&gt;=$U$1*$R$4,"miał",1=1,"NIC")</f>
        <v>kostka</v>
      </c>
      <c r="L7">
        <f t="shared" si="2"/>
        <v>82</v>
      </c>
      <c r="M7">
        <f t="shared" si="3"/>
        <v>90</v>
      </c>
      <c r="N7">
        <f t="shared" si="4"/>
        <v>114</v>
      </c>
    </row>
    <row r="8" spans="1:21" x14ac:dyDescent="0.25">
      <c r="A8" s="1">
        <v>41933</v>
      </c>
      <c r="B8">
        <f t="shared" si="1"/>
        <v>82</v>
      </c>
      <c r="C8">
        <f t="shared" si="1"/>
        <v>90</v>
      </c>
      <c r="D8">
        <f t="shared" si="1"/>
        <v>114</v>
      </c>
      <c r="E8">
        <v>161</v>
      </c>
      <c r="F8">
        <v>2</v>
      </c>
      <c r="G8">
        <v>16</v>
      </c>
      <c r="H8">
        <f t="shared" si="0"/>
        <v>243</v>
      </c>
      <c r="I8">
        <f t="shared" si="0"/>
        <v>92</v>
      </c>
      <c r="J8">
        <f t="shared" si="0"/>
        <v>130</v>
      </c>
      <c r="K8" t="str" cm="1">
        <f t="array" ref="K8">_xlfn.IFS(H8&gt;=$U$1,"kostka",I8&gt;=$U$1*$R$3,"orzech",J8&gt;=$U$1*$R$4,"miał",1=1,"NIC")</f>
        <v>kostka</v>
      </c>
      <c r="L8">
        <f t="shared" si="2"/>
        <v>43</v>
      </c>
      <c r="M8">
        <f t="shared" si="3"/>
        <v>92</v>
      </c>
      <c r="N8">
        <f t="shared" si="4"/>
        <v>130</v>
      </c>
    </row>
    <row r="9" spans="1:21" x14ac:dyDescent="0.25">
      <c r="A9" s="1">
        <v>41934</v>
      </c>
      <c r="B9">
        <f t="shared" si="1"/>
        <v>43</v>
      </c>
      <c r="C9">
        <f t="shared" si="1"/>
        <v>92</v>
      </c>
      <c r="D9">
        <f t="shared" si="1"/>
        <v>130</v>
      </c>
      <c r="E9">
        <v>97</v>
      </c>
      <c r="F9">
        <v>129</v>
      </c>
      <c r="G9">
        <v>43</v>
      </c>
      <c r="H9">
        <f t="shared" si="0"/>
        <v>140</v>
      </c>
      <c r="I9">
        <f t="shared" si="0"/>
        <v>221</v>
      </c>
      <c r="J9">
        <f t="shared" si="0"/>
        <v>173</v>
      </c>
      <c r="K9" t="str" cm="1">
        <f t="array" ref="K9">_xlfn.IFS(H9&gt;=$U$1,"kostka",I9&gt;=$U$1*$R$3,"orzech",J9&gt;=$U$1*$R$4,"miał",1=1,"NIC")</f>
        <v>NIC</v>
      </c>
      <c r="L9">
        <f t="shared" si="2"/>
        <v>140</v>
      </c>
      <c r="M9">
        <f t="shared" si="3"/>
        <v>221</v>
      </c>
      <c r="N9">
        <f t="shared" si="4"/>
        <v>173</v>
      </c>
    </row>
    <row r="10" spans="1:21" x14ac:dyDescent="0.25">
      <c r="A10" s="1">
        <v>41935</v>
      </c>
      <c r="B10">
        <f t="shared" si="1"/>
        <v>140</v>
      </c>
      <c r="C10">
        <f t="shared" si="1"/>
        <v>221</v>
      </c>
      <c r="D10">
        <f t="shared" si="1"/>
        <v>173</v>
      </c>
      <c r="E10">
        <v>25</v>
      </c>
      <c r="F10">
        <v>186</v>
      </c>
      <c r="G10">
        <v>4</v>
      </c>
      <c r="H10">
        <f t="shared" si="0"/>
        <v>165</v>
      </c>
      <c r="I10">
        <f t="shared" si="0"/>
        <v>407</v>
      </c>
      <c r="J10">
        <f t="shared" si="0"/>
        <v>177</v>
      </c>
      <c r="K10" t="str" cm="1">
        <f t="array" ref="K10">_xlfn.IFS(H10&gt;=$U$1,"kostka",I10&gt;=$U$1*$R$3,"orzech",J10&gt;=$U$1*$R$4,"miał",1=1,"NIC")</f>
        <v>orzech</v>
      </c>
      <c r="L10">
        <f t="shared" si="2"/>
        <v>165</v>
      </c>
      <c r="M10">
        <f t="shared" si="3"/>
        <v>147</v>
      </c>
      <c r="N10">
        <f t="shared" si="4"/>
        <v>177</v>
      </c>
    </row>
    <row r="11" spans="1:21" x14ac:dyDescent="0.25">
      <c r="A11" s="1">
        <v>41936</v>
      </c>
      <c r="B11">
        <f t="shared" si="1"/>
        <v>165</v>
      </c>
      <c r="C11">
        <f t="shared" si="1"/>
        <v>147</v>
      </c>
      <c r="D11">
        <f t="shared" si="1"/>
        <v>177</v>
      </c>
      <c r="E11">
        <v>113</v>
      </c>
      <c r="F11">
        <v>97</v>
      </c>
      <c r="G11">
        <v>97</v>
      </c>
      <c r="H11">
        <f t="shared" si="0"/>
        <v>278</v>
      </c>
      <c r="I11">
        <f t="shared" si="0"/>
        <v>244</v>
      </c>
      <c r="J11">
        <f t="shared" si="0"/>
        <v>274</v>
      </c>
      <c r="K11" t="str" cm="1">
        <f t="array" ref="K11">_xlfn.IFS(H11&gt;=$U$1,"kostka",I11&gt;=$U$1*$R$3,"orzech",J11&gt;=$U$1*$R$4,"miał",1=1,"NIC")</f>
        <v>kostka</v>
      </c>
      <c r="L11">
        <f t="shared" si="2"/>
        <v>78</v>
      </c>
      <c r="M11">
        <f t="shared" si="3"/>
        <v>244</v>
      </c>
      <c r="N11">
        <f t="shared" si="4"/>
        <v>274</v>
      </c>
    </row>
    <row r="12" spans="1:21" x14ac:dyDescent="0.25">
      <c r="A12" s="1">
        <v>41937</v>
      </c>
      <c r="B12">
        <f t="shared" si="1"/>
        <v>78</v>
      </c>
      <c r="C12">
        <f t="shared" si="1"/>
        <v>244</v>
      </c>
      <c r="D12">
        <f t="shared" si="1"/>
        <v>274</v>
      </c>
      <c r="E12">
        <v>70</v>
      </c>
      <c r="F12">
        <v>12</v>
      </c>
      <c r="G12">
        <v>53</v>
      </c>
      <c r="H12">
        <f t="shared" si="0"/>
        <v>148</v>
      </c>
      <c r="I12">
        <f t="shared" si="0"/>
        <v>256</v>
      </c>
      <c r="J12">
        <f t="shared" si="0"/>
        <v>327</v>
      </c>
      <c r="K12" t="str" cm="1">
        <f t="array" ref="K12">_xlfn.IFS(H12&gt;=$U$1,"kostka",I12&gt;=$U$1*$R$3,"orzech",J12&gt;=$U$1*$R$4,"miał",1=1,"NIC")</f>
        <v>miał</v>
      </c>
      <c r="L12">
        <f t="shared" si="2"/>
        <v>148</v>
      </c>
      <c r="M12">
        <f t="shared" si="3"/>
        <v>256</v>
      </c>
      <c r="N12">
        <f t="shared" si="4"/>
        <v>7</v>
      </c>
    </row>
    <row r="13" spans="1:21" x14ac:dyDescent="0.25">
      <c r="A13" s="1">
        <v>41938</v>
      </c>
      <c r="B13">
        <f t="shared" si="1"/>
        <v>148</v>
      </c>
      <c r="C13">
        <f t="shared" si="1"/>
        <v>256</v>
      </c>
      <c r="D13">
        <f t="shared" si="1"/>
        <v>7</v>
      </c>
      <c r="E13">
        <v>117</v>
      </c>
      <c r="F13">
        <v>142</v>
      </c>
      <c r="G13">
        <v>90</v>
      </c>
      <c r="H13">
        <f t="shared" si="0"/>
        <v>265</v>
      </c>
      <c r="I13">
        <f t="shared" si="0"/>
        <v>398</v>
      </c>
      <c r="J13">
        <f t="shared" si="0"/>
        <v>97</v>
      </c>
      <c r="K13" t="str" cm="1">
        <f t="array" ref="K13">_xlfn.IFS(H13&gt;=$U$1,"kostka",I13&gt;=$U$1*$R$3,"orzech",J13&gt;=$U$1*$R$4,"miał",1=1,"NIC")</f>
        <v>kostka</v>
      </c>
      <c r="L13">
        <f t="shared" si="2"/>
        <v>65</v>
      </c>
      <c r="M13">
        <f t="shared" si="3"/>
        <v>398</v>
      </c>
      <c r="N13">
        <f t="shared" si="4"/>
        <v>97</v>
      </c>
      <c r="P13" s="8" t="s">
        <v>35</v>
      </c>
      <c r="Q13" t="s">
        <v>36</v>
      </c>
    </row>
    <row r="14" spans="1:21" x14ac:dyDescent="0.25">
      <c r="A14" s="1">
        <v>41939</v>
      </c>
      <c r="B14">
        <f t="shared" si="1"/>
        <v>65</v>
      </c>
      <c r="C14">
        <f t="shared" si="1"/>
        <v>398</v>
      </c>
      <c r="D14">
        <f t="shared" si="1"/>
        <v>97</v>
      </c>
      <c r="E14">
        <v>189</v>
      </c>
      <c r="F14">
        <v>28</v>
      </c>
      <c r="G14">
        <v>43</v>
      </c>
      <c r="H14">
        <f t="shared" si="0"/>
        <v>254</v>
      </c>
      <c r="I14">
        <f t="shared" si="0"/>
        <v>426</v>
      </c>
      <c r="J14">
        <f t="shared" si="0"/>
        <v>140</v>
      </c>
      <c r="K14" t="str" cm="1">
        <f t="array" ref="K14">_xlfn.IFS(H14&gt;=$U$1,"kostka",I14&gt;=$U$1*$R$3,"orzech",J14&gt;=$U$1*$R$4,"miał",1=1,"NIC")</f>
        <v>kostka</v>
      </c>
      <c r="L14">
        <f t="shared" si="2"/>
        <v>54</v>
      </c>
      <c r="M14">
        <f t="shared" si="3"/>
        <v>426</v>
      </c>
      <c r="N14">
        <f t="shared" si="4"/>
        <v>140</v>
      </c>
      <c r="P14" s="2" t="s">
        <v>0</v>
      </c>
      <c r="Q14" s="9">
        <v>87</v>
      </c>
    </row>
    <row r="15" spans="1:21" x14ac:dyDescent="0.25">
      <c r="A15" s="1">
        <v>41940</v>
      </c>
      <c r="B15">
        <f t="shared" si="1"/>
        <v>54</v>
      </c>
      <c r="C15">
        <f t="shared" si="1"/>
        <v>426</v>
      </c>
      <c r="D15">
        <f t="shared" si="1"/>
        <v>140</v>
      </c>
      <c r="E15">
        <v>140</v>
      </c>
      <c r="F15">
        <v>191</v>
      </c>
      <c r="G15">
        <v>40</v>
      </c>
      <c r="H15">
        <f t="shared" si="0"/>
        <v>194</v>
      </c>
      <c r="I15">
        <f t="shared" si="0"/>
        <v>617</v>
      </c>
      <c r="J15">
        <f t="shared" si="0"/>
        <v>180</v>
      </c>
      <c r="K15" t="str" cm="1">
        <f t="array" ref="K15">_xlfn.IFS(H15&gt;=$U$1,"kostka",I15&gt;=$U$1*$R$3,"orzech",J15&gt;=$U$1*$R$4,"miał",1=1,"NIC")</f>
        <v>orzech</v>
      </c>
      <c r="L15">
        <f t="shared" si="2"/>
        <v>194</v>
      </c>
      <c r="M15">
        <f t="shared" si="3"/>
        <v>357</v>
      </c>
      <c r="N15">
        <f t="shared" si="4"/>
        <v>180</v>
      </c>
      <c r="P15" s="2" t="s">
        <v>4</v>
      </c>
      <c r="Q15" s="9">
        <v>29</v>
      </c>
    </row>
    <row r="16" spans="1:21" x14ac:dyDescent="0.25">
      <c r="A16" s="1">
        <v>41941</v>
      </c>
      <c r="B16">
        <f t="shared" si="1"/>
        <v>194</v>
      </c>
      <c r="C16">
        <f t="shared" si="1"/>
        <v>357</v>
      </c>
      <c r="D16">
        <f t="shared" si="1"/>
        <v>180</v>
      </c>
      <c r="E16">
        <v>167</v>
      </c>
      <c r="F16">
        <v>48</v>
      </c>
      <c r="G16">
        <v>30</v>
      </c>
      <c r="H16">
        <f t="shared" si="0"/>
        <v>361</v>
      </c>
      <c r="I16">
        <f t="shared" si="0"/>
        <v>405</v>
      </c>
      <c r="J16">
        <f t="shared" si="0"/>
        <v>210</v>
      </c>
      <c r="K16" t="str" cm="1">
        <f t="array" ref="K16">_xlfn.IFS(H16&gt;=$U$1,"kostka",I16&gt;=$U$1*$R$3,"orzech",J16&gt;=$U$1*$R$4,"miał",1=1,"NIC")</f>
        <v>kostka</v>
      </c>
      <c r="L16">
        <f t="shared" si="2"/>
        <v>161</v>
      </c>
      <c r="M16">
        <f t="shared" si="3"/>
        <v>405</v>
      </c>
      <c r="N16">
        <f t="shared" si="4"/>
        <v>210</v>
      </c>
      <c r="P16" s="2" t="s">
        <v>1</v>
      </c>
      <c r="Q16" s="9">
        <v>64</v>
      </c>
    </row>
    <row r="17" spans="1:17" x14ac:dyDescent="0.25">
      <c r="A17" s="1">
        <v>41942</v>
      </c>
      <c r="B17">
        <f t="shared" si="1"/>
        <v>161</v>
      </c>
      <c r="C17">
        <f t="shared" si="1"/>
        <v>405</v>
      </c>
      <c r="D17">
        <f t="shared" si="1"/>
        <v>210</v>
      </c>
      <c r="E17">
        <v>0</v>
      </c>
      <c r="F17">
        <v>154</v>
      </c>
      <c r="G17">
        <v>68</v>
      </c>
      <c r="H17">
        <f t="shared" si="0"/>
        <v>161</v>
      </c>
      <c r="I17">
        <f t="shared" si="0"/>
        <v>559</v>
      </c>
      <c r="J17">
        <f t="shared" si="0"/>
        <v>278</v>
      </c>
      <c r="K17" t="str" cm="1">
        <f t="array" ref="K17">_xlfn.IFS(H17&gt;=$U$1,"kostka",I17&gt;=$U$1*$R$3,"orzech",J17&gt;=$U$1*$R$4,"miał",1=1,"NIC")</f>
        <v>orzech</v>
      </c>
      <c r="L17">
        <f t="shared" si="2"/>
        <v>161</v>
      </c>
      <c r="M17">
        <f t="shared" si="3"/>
        <v>299</v>
      </c>
      <c r="N17">
        <f t="shared" si="4"/>
        <v>278</v>
      </c>
      <c r="P17" s="2" t="s">
        <v>21</v>
      </c>
      <c r="Q17" s="9">
        <v>180</v>
      </c>
    </row>
    <row r="18" spans="1:17" x14ac:dyDescent="0.25">
      <c r="A18" s="1">
        <v>41943</v>
      </c>
      <c r="B18">
        <f t="shared" si="1"/>
        <v>161</v>
      </c>
      <c r="C18">
        <f t="shared" si="1"/>
        <v>299</v>
      </c>
      <c r="D18">
        <f t="shared" si="1"/>
        <v>278</v>
      </c>
      <c r="E18">
        <v>61</v>
      </c>
      <c r="F18">
        <v>139</v>
      </c>
      <c r="G18">
        <v>77</v>
      </c>
      <c r="H18">
        <f t="shared" si="0"/>
        <v>222</v>
      </c>
      <c r="I18">
        <f t="shared" si="0"/>
        <v>438</v>
      </c>
      <c r="J18">
        <f t="shared" si="0"/>
        <v>355</v>
      </c>
      <c r="K18" t="str" cm="1">
        <f t="array" ref="K18">_xlfn.IFS(H18&gt;=$U$1,"kostka",I18&gt;=$U$1*$R$3,"orzech",J18&gt;=$U$1*$R$4,"miał",1=1,"NIC")</f>
        <v>kostka</v>
      </c>
      <c r="L18">
        <f t="shared" si="2"/>
        <v>22</v>
      </c>
      <c r="M18">
        <f t="shared" si="3"/>
        <v>438</v>
      </c>
      <c r="N18">
        <f t="shared" si="4"/>
        <v>355</v>
      </c>
    </row>
    <row r="19" spans="1:17" x14ac:dyDescent="0.25">
      <c r="A19" s="1">
        <v>41944</v>
      </c>
      <c r="B19">
        <f t="shared" si="1"/>
        <v>22</v>
      </c>
      <c r="C19">
        <f t="shared" si="1"/>
        <v>438</v>
      </c>
      <c r="D19">
        <f t="shared" si="1"/>
        <v>355</v>
      </c>
      <c r="E19">
        <v>18</v>
      </c>
      <c r="F19">
        <v>163</v>
      </c>
      <c r="G19">
        <v>75</v>
      </c>
      <c r="H19">
        <f t="shared" si="0"/>
        <v>40</v>
      </c>
      <c r="I19">
        <f t="shared" si="0"/>
        <v>601</v>
      </c>
      <c r="J19">
        <f t="shared" si="0"/>
        <v>430</v>
      </c>
      <c r="K19" t="str" cm="1">
        <f t="array" ref="K19">_xlfn.IFS(H19&gt;=$U$1,"kostka",I19&gt;=$U$1*$R$3,"orzech",J19&gt;=$U$1*$R$4,"miał",1=1,"NIC")</f>
        <v>orzech</v>
      </c>
      <c r="L19">
        <f t="shared" si="2"/>
        <v>40</v>
      </c>
      <c r="M19">
        <f t="shared" si="3"/>
        <v>341</v>
      </c>
      <c r="N19">
        <f t="shared" si="4"/>
        <v>430</v>
      </c>
    </row>
    <row r="20" spans="1:17" x14ac:dyDescent="0.25">
      <c r="A20" s="1">
        <v>41945</v>
      </c>
      <c r="B20">
        <f t="shared" si="1"/>
        <v>40</v>
      </c>
      <c r="C20">
        <f t="shared" si="1"/>
        <v>341</v>
      </c>
      <c r="D20">
        <f t="shared" si="1"/>
        <v>430</v>
      </c>
      <c r="E20">
        <v>43</v>
      </c>
      <c r="F20">
        <v>169</v>
      </c>
      <c r="G20">
        <v>0</v>
      </c>
      <c r="H20">
        <f t="shared" si="0"/>
        <v>83</v>
      </c>
      <c r="I20">
        <f t="shared" si="0"/>
        <v>510</v>
      </c>
      <c r="J20">
        <f t="shared" si="0"/>
        <v>430</v>
      </c>
      <c r="K20" t="str" cm="1">
        <f t="array" ref="K20">_xlfn.IFS(H20&gt;=$U$1,"kostka",I20&gt;=$U$1*$R$3,"orzech",J20&gt;=$U$1*$R$4,"miał",1=1,"NIC")</f>
        <v>orzech</v>
      </c>
      <c r="L20">
        <f t="shared" si="2"/>
        <v>83</v>
      </c>
      <c r="M20">
        <f t="shared" si="3"/>
        <v>250</v>
      </c>
      <c r="N20">
        <f t="shared" si="4"/>
        <v>430</v>
      </c>
      <c r="P20" s="10" t="s">
        <v>35</v>
      </c>
      <c r="Q20" s="10" t="s">
        <v>36</v>
      </c>
    </row>
    <row r="21" spans="1:17" x14ac:dyDescent="0.25">
      <c r="A21" s="1">
        <v>41946</v>
      </c>
      <c r="B21">
        <f t="shared" si="1"/>
        <v>83</v>
      </c>
      <c r="C21">
        <f t="shared" si="1"/>
        <v>250</v>
      </c>
      <c r="D21">
        <f t="shared" si="1"/>
        <v>430</v>
      </c>
      <c r="E21">
        <v>160</v>
      </c>
      <c r="F21">
        <v>135</v>
      </c>
      <c r="G21">
        <v>34</v>
      </c>
      <c r="H21">
        <f t="shared" si="0"/>
        <v>243</v>
      </c>
      <c r="I21">
        <f t="shared" si="0"/>
        <v>385</v>
      </c>
      <c r="J21">
        <f t="shared" si="0"/>
        <v>464</v>
      </c>
      <c r="K21" t="str" cm="1">
        <f t="array" ref="K21">_xlfn.IFS(H21&gt;=$U$1,"kostka",I21&gt;=$U$1*$R$3,"orzech",J21&gt;=$U$1*$R$4,"miał",1=1,"NIC")</f>
        <v>kostka</v>
      </c>
      <c r="L21">
        <f t="shared" si="2"/>
        <v>43</v>
      </c>
      <c r="M21">
        <f t="shared" si="3"/>
        <v>385</v>
      </c>
      <c r="N21">
        <f t="shared" si="4"/>
        <v>464</v>
      </c>
      <c r="P21" s="4" t="s">
        <v>0</v>
      </c>
      <c r="Q21" s="11">
        <v>87</v>
      </c>
    </row>
    <row r="22" spans="1:17" x14ac:dyDescent="0.25">
      <c r="A22" s="1">
        <v>41947</v>
      </c>
      <c r="B22">
        <f t="shared" si="1"/>
        <v>43</v>
      </c>
      <c r="C22">
        <f t="shared" si="1"/>
        <v>385</v>
      </c>
      <c r="D22">
        <f t="shared" si="1"/>
        <v>464</v>
      </c>
      <c r="E22">
        <v>150</v>
      </c>
      <c r="F22">
        <v>89</v>
      </c>
      <c r="G22">
        <v>17</v>
      </c>
      <c r="H22">
        <f t="shared" si="0"/>
        <v>193</v>
      </c>
      <c r="I22">
        <f t="shared" si="0"/>
        <v>474</v>
      </c>
      <c r="J22">
        <f t="shared" si="0"/>
        <v>481</v>
      </c>
      <c r="K22" t="str" cm="1">
        <f t="array" ref="K22">_xlfn.IFS(H22&gt;=$U$1,"kostka",I22&gt;=$U$1*$R$3,"orzech",J22&gt;=$U$1*$R$4,"miał",1=1,"NIC")</f>
        <v>orzech</v>
      </c>
      <c r="L22">
        <f t="shared" si="2"/>
        <v>193</v>
      </c>
      <c r="M22">
        <f t="shared" si="3"/>
        <v>214</v>
      </c>
      <c r="N22">
        <f t="shared" si="4"/>
        <v>481</v>
      </c>
      <c r="P22" s="4" t="s">
        <v>1</v>
      </c>
      <c r="Q22" s="11">
        <v>64</v>
      </c>
    </row>
    <row r="23" spans="1:17" x14ac:dyDescent="0.25">
      <c r="A23" s="1">
        <v>41948</v>
      </c>
      <c r="B23">
        <f t="shared" si="1"/>
        <v>193</v>
      </c>
      <c r="C23">
        <f t="shared" si="1"/>
        <v>214</v>
      </c>
      <c r="D23">
        <f t="shared" si="1"/>
        <v>481</v>
      </c>
      <c r="E23">
        <v>57</v>
      </c>
      <c r="F23">
        <v>109</v>
      </c>
      <c r="G23">
        <v>93</v>
      </c>
      <c r="H23">
        <f t="shared" si="0"/>
        <v>250</v>
      </c>
      <c r="I23">
        <f t="shared" si="0"/>
        <v>323</v>
      </c>
      <c r="J23">
        <f t="shared" si="0"/>
        <v>574</v>
      </c>
      <c r="K23" t="str" cm="1">
        <f t="array" ref="K23">_xlfn.IFS(H23&gt;=$U$1,"kostka",I23&gt;=$U$1*$R$3,"orzech",J23&gt;=$U$1*$R$4,"miał",1=1,"NIC")</f>
        <v>kostka</v>
      </c>
      <c r="L23">
        <f t="shared" si="2"/>
        <v>50</v>
      </c>
      <c r="M23">
        <f t="shared" si="3"/>
        <v>323</v>
      </c>
      <c r="N23">
        <f t="shared" si="4"/>
        <v>574</v>
      </c>
      <c r="P23" s="4" t="s">
        <v>4</v>
      </c>
      <c r="Q23" s="11">
        <v>29</v>
      </c>
    </row>
    <row r="24" spans="1:17" x14ac:dyDescent="0.25">
      <c r="A24" s="1">
        <v>41949</v>
      </c>
      <c r="B24">
        <f t="shared" si="1"/>
        <v>50</v>
      </c>
      <c r="C24">
        <f t="shared" si="1"/>
        <v>323</v>
      </c>
      <c r="D24">
        <f t="shared" si="1"/>
        <v>574</v>
      </c>
      <c r="E24">
        <v>62</v>
      </c>
      <c r="F24">
        <v>80</v>
      </c>
      <c r="G24">
        <v>62</v>
      </c>
      <c r="H24">
        <f t="shared" si="0"/>
        <v>112</v>
      </c>
      <c r="I24">
        <f t="shared" si="0"/>
        <v>403</v>
      </c>
      <c r="J24">
        <f t="shared" si="0"/>
        <v>636</v>
      </c>
      <c r="K24" t="str" cm="1">
        <f t="array" ref="K24">_xlfn.IFS(H24&gt;=$U$1,"kostka",I24&gt;=$U$1*$R$3,"orzech",J24&gt;=$U$1*$R$4,"miał",1=1,"NIC")</f>
        <v>orzech</v>
      </c>
      <c r="L24">
        <f t="shared" si="2"/>
        <v>112</v>
      </c>
      <c r="M24">
        <f t="shared" si="3"/>
        <v>143</v>
      </c>
      <c r="N24">
        <f t="shared" si="4"/>
        <v>636</v>
      </c>
    </row>
    <row r="25" spans="1:17" x14ac:dyDescent="0.25">
      <c r="A25" s="1">
        <v>41950</v>
      </c>
      <c r="B25">
        <f t="shared" si="1"/>
        <v>112</v>
      </c>
      <c r="C25">
        <f t="shared" si="1"/>
        <v>143</v>
      </c>
      <c r="D25">
        <f t="shared" si="1"/>
        <v>636</v>
      </c>
      <c r="E25">
        <v>162</v>
      </c>
      <c r="F25">
        <v>62</v>
      </c>
      <c r="G25">
        <v>88</v>
      </c>
      <c r="H25">
        <f t="shared" si="0"/>
        <v>274</v>
      </c>
      <c r="I25">
        <f t="shared" si="0"/>
        <v>205</v>
      </c>
      <c r="J25">
        <f t="shared" si="0"/>
        <v>724</v>
      </c>
      <c r="K25" t="str" cm="1">
        <f t="array" ref="K25">_xlfn.IFS(H25&gt;=$U$1,"kostka",I25&gt;=$U$1*$R$3,"orzech",J25&gt;=$U$1*$R$4,"miał",1=1,"NIC")</f>
        <v>kostka</v>
      </c>
      <c r="L25">
        <f t="shared" si="2"/>
        <v>74</v>
      </c>
      <c r="M25">
        <f t="shared" si="3"/>
        <v>205</v>
      </c>
      <c r="N25">
        <f t="shared" si="4"/>
        <v>724</v>
      </c>
    </row>
    <row r="26" spans="1:17" x14ac:dyDescent="0.25">
      <c r="A26" s="1">
        <v>41951</v>
      </c>
      <c r="B26">
        <f t="shared" si="1"/>
        <v>74</v>
      </c>
      <c r="C26">
        <f t="shared" si="1"/>
        <v>205</v>
      </c>
      <c r="D26">
        <f t="shared" si="1"/>
        <v>724</v>
      </c>
      <c r="E26">
        <v>142</v>
      </c>
      <c r="F26">
        <v>79</v>
      </c>
      <c r="G26">
        <v>76</v>
      </c>
      <c r="H26">
        <f t="shared" si="0"/>
        <v>216</v>
      </c>
      <c r="I26">
        <f t="shared" si="0"/>
        <v>284</v>
      </c>
      <c r="J26">
        <f t="shared" si="0"/>
        <v>800</v>
      </c>
      <c r="K26" t="str" cm="1">
        <f t="array" ref="K26">_xlfn.IFS(H26&gt;=$U$1,"kostka",I26&gt;=$U$1*$R$3,"orzech",J26&gt;=$U$1*$R$4,"miał",1=1,"NIC")</f>
        <v>kostka</v>
      </c>
      <c r="L26">
        <f t="shared" si="2"/>
        <v>16</v>
      </c>
      <c r="M26">
        <f t="shared" si="3"/>
        <v>284</v>
      </c>
      <c r="N26">
        <f t="shared" si="4"/>
        <v>800</v>
      </c>
    </row>
    <row r="27" spans="1:17" x14ac:dyDescent="0.25">
      <c r="A27" s="1">
        <v>41952</v>
      </c>
      <c r="B27">
        <f t="shared" si="1"/>
        <v>16</v>
      </c>
      <c r="C27">
        <f t="shared" si="1"/>
        <v>284</v>
      </c>
      <c r="D27">
        <f t="shared" si="1"/>
        <v>800</v>
      </c>
      <c r="E27">
        <v>7</v>
      </c>
      <c r="F27">
        <v>30</v>
      </c>
      <c r="G27">
        <v>68</v>
      </c>
      <c r="H27">
        <f t="shared" si="0"/>
        <v>23</v>
      </c>
      <c r="I27">
        <f t="shared" si="0"/>
        <v>314</v>
      </c>
      <c r="J27">
        <f t="shared" si="0"/>
        <v>868</v>
      </c>
      <c r="K27" t="str" cm="1">
        <f t="array" ref="K27">_xlfn.IFS(H27&gt;=$U$1,"kostka",I27&gt;=$U$1*$R$3,"orzech",J27&gt;=$U$1*$R$4,"miał",1=1,"NIC")</f>
        <v>orzech</v>
      </c>
      <c r="L27">
        <f t="shared" si="2"/>
        <v>23</v>
      </c>
      <c r="M27">
        <f t="shared" si="3"/>
        <v>54</v>
      </c>
      <c r="N27">
        <f t="shared" si="4"/>
        <v>868</v>
      </c>
    </row>
    <row r="28" spans="1:17" x14ac:dyDescent="0.25">
      <c r="A28" s="1">
        <v>41953</v>
      </c>
      <c r="B28">
        <f t="shared" si="1"/>
        <v>23</v>
      </c>
      <c r="C28">
        <f t="shared" si="1"/>
        <v>54</v>
      </c>
      <c r="D28">
        <f t="shared" si="1"/>
        <v>868</v>
      </c>
      <c r="E28">
        <v>116</v>
      </c>
      <c r="F28">
        <v>6</v>
      </c>
      <c r="G28">
        <v>88</v>
      </c>
      <c r="H28">
        <f t="shared" si="0"/>
        <v>139</v>
      </c>
      <c r="I28">
        <f t="shared" si="0"/>
        <v>60</v>
      </c>
      <c r="J28">
        <f t="shared" si="0"/>
        <v>956</v>
      </c>
      <c r="K28" t="str" cm="1">
        <f t="array" ref="K28">_xlfn.IFS(H28&gt;=$U$1,"kostka",I28&gt;=$U$1*$R$3,"orzech",J28&gt;=$U$1*$R$4,"miał",1=1,"NIC")</f>
        <v>miał</v>
      </c>
      <c r="L28">
        <f t="shared" si="2"/>
        <v>139</v>
      </c>
      <c r="M28">
        <f t="shared" si="3"/>
        <v>60</v>
      </c>
      <c r="N28">
        <f t="shared" si="4"/>
        <v>636</v>
      </c>
    </row>
    <row r="29" spans="1:17" x14ac:dyDescent="0.25">
      <c r="A29" s="1">
        <v>41954</v>
      </c>
      <c r="B29">
        <f t="shared" si="1"/>
        <v>139</v>
      </c>
      <c r="C29">
        <f t="shared" si="1"/>
        <v>60</v>
      </c>
      <c r="D29">
        <f t="shared" si="1"/>
        <v>636</v>
      </c>
      <c r="E29">
        <v>0</v>
      </c>
      <c r="F29">
        <v>1</v>
      </c>
      <c r="G29">
        <v>47</v>
      </c>
      <c r="H29">
        <f t="shared" si="0"/>
        <v>139</v>
      </c>
      <c r="I29">
        <f t="shared" si="0"/>
        <v>61</v>
      </c>
      <c r="J29">
        <f t="shared" si="0"/>
        <v>683</v>
      </c>
      <c r="K29" t="str" cm="1">
        <f t="array" ref="K29">_xlfn.IFS(H29&gt;=$U$1,"kostka",I29&gt;=$U$1*$R$3,"orzech",J29&gt;=$U$1*$R$4,"miał",1=1,"NIC")</f>
        <v>miał</v>
      </c>
      <c r="L29">
        <f t="shared" si="2"/>
        <v>139</v>
      </c>
      <c r="M29">
        <f t="shared" si="3"/>
        <v>61</v>
      </c>
      <c r="N29">
        <f t="shared" si="4"/>
        <v>363</v>
      </c>
    </row>
    <row r="30" spans="1:17" x14ac:dyDescent="0.25">
      <c r="A30" s="1">
        <v>41955</v>
      </c>
      <c r="B30">
        <f t="shared" si="1"/>
        <v>139</v>
      </c>
      <c r="C30">
        <f t="shared" si="1"/>
        <v>61</v>
      </c>
      <c r="D30">
        <f t="shared" si="1"/>
        <v>363</v>
      </c>
      <c r="E30">
        <v>78</v>
      </c>
      <c r="F30">
        <v>84</v>
      </c>
      <c r="G30">
        <v>16</v>
      </c>
      <c r="H30">
        <f t="shared" si="0"/>
        <v>217</v>
      </c>
      <c r="I30">
        <f t="shared" si="0"/>
        <v>145</v>
      </c>
      <c r="J30">
        <f t="shared" si="0"/>
        <v>379</v>
      </c>
      <c r="K30" t="str" cm="1">
        <f t="array" ref="K30">_xlfn.IFS(H30&gt;=$U$1,"kostka",I30&gt;=$U$1*$R$3,"orzech",J30&gt;=$U$1*$R$4,"miał",1=1,"NIC")</f>
        <v>kostka</v>
      </c>
      <c r="L30">
        <f t="shared" si="2"/>
        <v>17</v>
      </c>
      <c r="M30">
        <f t="shared" si="3"/>
        <v>145</v>
      </c>
      <c r="N30">
        <f t="shared" si="4"/>
        <v>379</v>
      </c>
    </row>
    <row r="31" spans="1:17" x14ac:dyDescent="0.25">
      <c r="A31" s="1">
        <v>41956</v>
      </c>
      <c r="B31">
        <f t="shared" si="1"/>
        <v>17</v>
      </c>
      <c r="C31">
        <f t="shared" si="1"/>
        <v>145</v>
      </c>
      <c r="D31">
        <f t="shared" si="1"/>
        <v>379</v>
      </c>
      <c r="E31">
        <v>112</v>
      </c>
      <c r="F31">
        <v>140</v>
      </c>
      <c r="G31">
        <v>97</v>
      </c>
      <c r="H31">
        <f t="shared" si="0"/>
        <v>129</v>
      </c>
      <c r="I31">
        <f t="shared" si="0"/>
        <v>285</v>
      </c>
      <c r="J31">
        <f t="shared" si="0"/>
        <v>476</v>
      </c>
      <c r="K31" t="str" cm="1">
        <f t="array" ref="K31">_xlfn.IFS(H31&gt;=$U$1,"kostka",I31&gt;=$U$1*$R$3,"orzech",J31&gt;=$U$1*$R$4,"miał",1=1,"NIC")</f>
        <v>orzech</v>
      </c>
      <c r="L31">
        <f t="shared" si="2"/>
        <v>129</v>
      </c>
      <c r="M31">
        <f t="shared" si="3"/>
        <v>25</v>
      </c>
      <c r="N31">
        <f t="shared" si="4"/>
        <v>476</v>
      </c>
    </row>
    <row r="32" spans="1:17" x14ac:dyDescent="0.25">
      <c r="A32" s="1">
        <v>41957</v>
      </c>
      <c r="B32">
        <f t="shared" si="1"/>
        <v>129</v>
      </c>
      <c r="C32">
        <f t="shared" si="1"/>
        <v>25</v>
      </c>
      <c r="D32">
        <f t="shared" si="1"/>
        <v>476</v>
      </c>
      <c r="E32">
        <v>109</v>
      </c>
      <c r="F32">
        <v>74</v>
      </c>
      <c r="G32">
        <v>53</v>
      </c>
      <c r="H32">
        <f t="shared" si="0"/>
        <v>238</v>
      </c>
      <c r="I32">
        <f t="shared" si="0"/>
        <v>99</v>
      </c>
      <c r="J32">
        <f t="shared" si="0"/>
        <v>529</v>
      </c>
      <c r="K32" t="str" cm="1">
        <f t="array" ref="K32">_xlfn.IFS(H32&gt;=$U$1,"kostka",I32&gt;=$U$1*$R$3,"orzech",J32&gt;=$U$1*$R$4,"miał",1=1,"NIC")</f>
        <v>kostka</v>
      </c>
      <c r="L32">
        <f t="shared" si="2"/>
        <v>38</v>
      </c>
      <c r="M32">
        <f t="shared" si="3"/>
        <v>99</v>
      </c>
      <c r="N32">
        <f t="shared" si="4"/>
        <v>529</v>
      </c>
    </row>
    <row r="33" spans="1:14" x14ac:dyDescent="0.25">
      <c r="A33" s="1">
        <v>41958</v>
      </c>
      <c r="B33">
        <f t="shared" si="1"/>
        <v>38</v>
      </c>
      <c r="C33">
        <f t="shared" si="1"/>
        <v>99</v>
      </c>
      <c r="D33">
        <f t="shared" si="1"/>
        <v>529</v>
      </c>
      <c r="E33">
        <v>121</v>
      </c>
      <c r="F33">
        <v>77</v>
      </c>
      <c r="G33">
        <v>70</v>
      </c>
      <c r="H33">
        <f t="shared" si="0"/>
        <v>159</v>
      </c>
      <c r="I33">
        <f t="shared" si="0"/>
        <v>176</v>
      </c>
      <c r="J33">
        <f t="shared" si="0"/>
        <v>599</v>
      </c>
      <c r="K33" t="str" cm="1">
        <f t="array" ref="K33">_xlfn.IFS(H33&gt;=$U$1,"kostka",I33&gt;=$U$1*$R$3,"orzech",J33&gt;=$U$1*$R$4,"miał",1=1,"NIC")</f>
        <v>miał</v>
      </c>
      <c r="L33">
        <f t="shared" si="2"/>
        <v>159</v>
      </c>
      <c r="M33">
        <f t="shared" si="3"/>
        <v>176</v>
      </c>
      <c r="N33">
        <f t="shared" si="4"/>
        <v>279</v>
      </c>
    </row>
    <row r="34" spans="1:14" x14ac:dyDescent="0.25">
      <c r="A34" s="1">
        <v>41959</v>
      </c>
      <c r="B34">
        <f t="shared" si="1"/>
        <v>159</v>
      </c>
      <c r="C34">
        <f t="shared" si="1"/>
        <v>176</v>
      </c>
      <c r="D34">
        <f t="shared" si="1"/>
        <v>279</v>
      </c>
      <c r="E34">
        <v>106</v>
      </c>
      <c r="F34">
        <v>89</v>
      </c>
      <c r="G34">
        <v>75</v>
      </c>
      <c r="H34">
        <f t="shared" si="0"/>
        <v>265</v>
      </c>
      <c r="I34">
        <f t="shared" si="0"/>
        <v>265</v>
      </c>
      <c r="J34">
        <f t="shared" si="0"/>
        <v>354</v>
      </c>
      <c r="K34" t="str" cm="1">
        <f t="array" ref="K34">_xlfn.IFS(H34&gt;=$U$1,"kostka",I34&gt;=$U$1*$R$3,"orzech",J34&gt;=$U$1*$R$4,"miał",1=1,"NIC")</f>
        <v>kostka</v>
      </c>
      <c r="L34">
        <f t="shared" si="2"/>
        <v>65</v>
      </c>
      <c r="M34">
        <f t="shared" si="3"/>
        <v>265</v>
      </c>
      <c r="N34">
        <f t="shared" si="4"/>
        <v>354</v>
      </c>
    </row>
    <row r="35" spans="1:14" x14ac:dyDescent="0.25">
      <c r="A35" s="1">
        <v>41960</v>
      </c>
      <c r="B35">
        <f t="shared" si="1"/>
        <v>65</v>
      </c>
      <c r="C35">
        <f t="shared" si="1"/>
        <v>265</v>
      </c>
      <c r="D35">
        <f t="shared" si="1"/>
        <v>354</v>
      </c>
      <c r="E35">
        <v>57</v>
      </c>
      <c r="F35">
        <v>119</v>
      </c>
      <c r="G35">
        <v>64</v>
      </c>
      <c r="H35">
        <f t="shared" si="0"/>
        <v>122</v>
      </c>
      <c r="I35">
        <f t="shared" si="0"/>
        <v>384</v>
      </c>
      <c r="J35">
        <f t="shared" si="0"/>
        <v>418</v>
      </c>
      <c r="K35" t="str" cm="1">
        <f t="array" ref="K35">_xlfn.IFS(H35&gt;=$U$1,"kostka",I35&gt;=$U$1*$R$3,"orzech",J35&gt;=$U$1*$R$4,"miał",1=1,"NIC")</f>
        <v>orzech</v>
      </c>
      <c r="L35">
        <f t="shared" si="2"/>
        <v>122</v>
      </c>
      <c r="M35">
        <f t="shared" si="3"/>
        <v>124</v>
      </c>
      <c r="N35">
        <f t="shared" si="4"/>
        <v>418</v>
      </c>
    </row>
    <row r="36" spans="1:14" x14ac:dyDescent="0.25">
      <c r="A36" s="1">
        <v>41961</v>
      </c>
      <c r="B36">
        <f t="shared" si="1"/>
        <v>122</v>
      </c>
      <c r="C36">
        <f t="shared" si="1"/>
        <v>124</v>
      </c>
      <c r="D36">
        <f t="shared" si="1"/>
        <v>418</v>
      </c>
      <c r="E36">
        <v>26</v>
      </c>
      <c r="F36">
        <v>87</v>
      </c>
      <c r="G36">
        <v>84</v>
      </c>
      <c r="H36">
        <f t="shared" si="0"/>
        <v>148</v>
      </c>
      <c r="I36">
        <f t="shared" si="0"/>
        <v>211</v>
      </c>
      <c r="J36">
        <f t="shared" si="0"/>
        <v>502</v>
      </c>
      <c r="K36" t="str" cm="1">
        <f t="array" ref="K36">_xlfn.IFS(H36&gt;=$U$1,"kostka",I36&gt;=$U$1*$R$3,"orzech",J36&gt;=$U$1*$R$4,"miał",1=1,"NIC")</f>
        <v>miał</v>
      </c>
      <c r="L36">
        <f t="shared" si="2"/>
        <v>148</v>
      </c>
      <c r="M36">
        <f t="shared" si="3"/>
        <v>211</v>
      </c>
      <c r="N36">
        <f t="shared" si="4"/>
        <v>182</v>
      </c>
    </row>
    <row r="37" spans="1:14" x14ac:dyDescent="0.25">
      <c r="A37" s="1">
        <v>41962</v>
      </c>
      <c r="B37">
        <f t="shared" si="1"/>
        <v>148</v>
      </c>
      <c r="C37">
        <f t="shared" si="1"/>
        <v>211</v>
      </c>
      <c r="D37">
        <f t="shared" si="1"/>
        <v>182</v>
      </c>
      <c r="E37">
        <v>79</v>
      </c>
      <c r="F37">
        <v>171</v>
      </c>
      <c r="G37">
        <v>75</v>
      </c>
      <c r="H37">
        <f t="shared" si="0"/>
        <v>227</v>
      </c>
      <c r="I37">
        <f t="shared" si="0"/>
        <v>382</v>
      </c>
      <c r="J37">
        <f t="shared" si="0"/>
        <v>257</v>
      </c>
      <c r="K37" t="str" cm="1">
        <f t="array" ref="K37">_xlfn.IFS(H37&gt;=$U$1,"kostka",I37&gt;=$U$1*$R$3,"orzech",J37&gt;=$U$1*$R$4,"miał",1=1,"NIC")</f>
        <v>kostka</v>
      </c>
      <c r="L37">
        <f t="shared" si="2"/>
        <v>27</v>
      </c>
      <c r="M37">
        <f t="shared" si="3"/>
        <v>382</v>
      </c>
      <c r="N37">
        <f t="shared" si="4"/>
        <v>257</v>
      </c>
    </row>
    <row r="38" spans="1:14" x14ac:dyDescent="0.25">
      <c r="A38" s="1">
        <v>41963</v>
      </c>
      <c r="B38">
        <f t="shared" si="1"/>
        <v>27</v>
      </c>
      <c r="C38">
        <f t="shared" si="1"/>
        <v>382</v>
      </c>
      <c r="D38">
        <f t="shared" si="1"/>
        <v>257</v>
      </c>
      <c r="E38">
        <v>192</v>
      </c>
      <c r="F38">
        <v>151</v>
      </c>
      <c r="G38">
        <v>45</v>
      </c>
      <c r="H38">
        <f t="shared" si="0"/>
        <v>219</v>
      </c>
      <c r="I38">
        <f t="shared" si="0"/>
        <v>533</v>
      </c>
      <c r="J38">
        <f t="shared" si="0"/>
        <v>302</v>
      </c>
      <c r="K38" t="str" cm="1">
        <f t="array" ref="K38">_xlfn.IFS(H38&gt;=$U$1,"kostka",I38&gt;=$U$1*$R$3,"orzech",J38&gt;=$U$1*$R$4,"miał",1=1,"NIC")</f>
        <v>kostka</v>
      </c>
      <c r="L38">
        <f t="shared" si="2"/>
        <v>19</v>
      </c>
      <c r="M38">
        <f t="shared" si="3"/>
        <v>533</v>
      </c>
      <c r="N38">
        <f t="shared" si="4"/>
        <v>302</v>
      </c>
    </row>
    <row r="39" spans="1:14" x14ac:dyDescent="0.25">
      <c r="A39" s="1">
        <v>41964</v>
      </c>
      <c r="B39">
        <f t="shared" si="1"/>
        <v>19</v>
      </c>
      <c r="C39">
        <f t="shared" si="1"/>
        <v>533</v>
      </c>
      <c r="D39">
        <f t="shared" si="1"/>
        <v>302</v>
      </c>
      <c r="E39">
        <v>9</v>
      </c>
      <c r="F39">
        <v>64</v>
      </c>
      <c r="G39">
        <v>22</v>
      </c>
      <c r="H39">
        <f t="shared" si="0"/>
        <v>28</v>
      </c>
      <c r="I39">
        <f t="shared" si="0"/>
        <v>597</v>
      </c>
      <c r="J39">
        <f t="shared" si="0"/>
        <v>324</v>
      </c>
      <c r="K39" t="str" cm="1">
        <f t="array" ref="K39">_xlfn.IFS(H39&gt;=$U$1,"kostka",I39&gt;=$U$1*$R$3,"orzech",J39&gt;=$U$1*$R$4,"miał",1=1,"NIC")</f>
        <v>orzech</v>
      </c>
      <c r="L39">
        <f t="shared" si="2"/>
        <v>28</v>
      </c>
      <c r="M39">
        <f t="shared" si="3"/>
        <v>337</v>
      </c>
      <c r="N39">
        <f t="shared" si="4"/>
        <v>324</v>
      </c>
    </row>
    <row r="40" spans="1:14" x14ac:dyDescent="0.25">
      <c r="A40" s="1">
        <v>41965</v>
      </c>
      <c r="B40">
        <f t="shared" si="1"/>
        <v>28</v>
      </c>
      <c r="C40">
        <f t="shared" si="1"/>
        <v>337</v>
      </c>
      <c r="D40">
        <f t="shared" si="1"/>
        <v>324</v>
      </c>
      <c r="E40">
        <v>123</v>
      </c>
      <c r="F40">
        <v>150</v>
      </c>
      <c r="G40">
        <v>10</v>
      </c>
      <c r="H40">
        <f t="shared" si="0"/>
        <v>151</v>
      </c>
      <c r="I40">
        <f t="shared" si="0"/>
        <v>487</v>
      </c>
      <c r="J40">
        <f t="shared" si="0"/>
        <v>334</v>
      </c>
      <c r="K40" t="str" cm="1">
        <f t="array" ref="K40">_xlfn.IFS(H40&gt;=$U$1,"kostka",I40&gt;=$U$1*$R$3,"orzech",J40&gt;=$U$1*$R$4,"miał",1=1,"NIC")</f>
        <v>orzech</v>
      </c>
      <c r="L40">
        <f t="shared" si="2"/>
        <v>151</v>
      </c>
      <c r="M40">
        <f t="shared" si="3"/>
        <v>227</v>
      </c>
      <c r="N40">
        <f t="shared" si="4"/>
        <v>334</v>
      </c>
    </row>
    <row r="41" spans="1:14" x14ac:dyDescent="0.25">
      <c r="A41" s="1">
        <v>41966</v>
      </c>
      <c r="B41">
        <f t="shared" si="1"/>
        <v>151</v>
      </c>
      <c r="C41">
        <f t="shared" si="1"/>
        <v>227</v>
      </c>
      <c r="D41">
        <f t="shared" si="1"/>
        <v>334</v>
      </c>
      <c r="E41">
        <v>87</v>
      </c>
      <c r="F41">
        <v>123</v>
      </c>
      <c r="G41">
        <v>33</v>
      </c>
      <c r="H41">
        <f t="shared" si="0"/>
        <v>238</v>
      </c>
      <c r="I41">
        <f t="shared" si="0"/>
        <v>350</v>
      </c>
      <c r="J41">
        <f t="shared" si="0"/>
        <v>367</v>
      </c>
      <c r="K41" t="str" cm="1">
        <f t="array" ref="K41">_xlfn.IFS(H41&gt;=$U$1,"kostka",I41&gt;=$U$1*$R$3,"orzech",J41&gt;=$U$1*$R$4,"miał",1=1,"NIC")</f>
        <v>kostka</v>
      </c>
      <c r="L41">
        <f t="shared" si="2"/>
        <v>38</v>
      </c>
      <c r="M41">
        <f t="shared" si="3"/>
        <v>350</v>
      </c>
      <c r="N41">
        <f t="shared" si="4"/>
        <v>367</v>
      </c>
    </row>
    <row r="42" spans="1:14" x14ac:dyDescent="0.25">
      <c r="A42" s="1">
        <v>41967</v>
      </c>
      <c r="B42">
        <f t="shared" si="1"/>
        <v>38</v>
      </c>
      <c r="C42">
        <f t="shared" si="1"/>
        <v>350</v>
      </c>
      <c r="D42">
        <f t="shared" si="1"/>
        <v>367</v>
      </c>
      <c r="E42">
        <v>165</v>
      </c>
      <c r="F42">
        <v>88</v>
      </c>
      <c r="G42">
        <v>13</v>
      </c>
      <c r="H42">
        <f t="shared" si="0"/>
        <v>203</v>
      </c>
      <c r="I42">
        <f t="shared" si="0"/>
        <v>438</v>
      </c>
      <c r="J42">
        <f t="shared" si="0"/>
        <v>380</v>
      </c>
      <c r="K42" t="str" cm="1">
        <f t="array" ref="K42">_xlfn.IFS(H42&gt;=$U$1,"kostka",I42&gt;=$U$1*$R$3,"orzech",J42&gt;=$U$1*$R$4,"miał",1=1,"NIC")</f>
        <v>kostka</v>
      </c>
      <c r="L42">
        <f t="shared" si="2"/>
        <v>3</v>
      </c>
      <c r="M42">
        <f t="shared" si="3"/>
        <v>438</v>
      </c>
      <c r="N42">
        <f t="shared" si="4"/>
        <v>380</v>
      </c>
    </row>
    <row r="43" spans="1:14" x14ac:dyDescent="0.25">
      <c r="A43" s="1">
        <v>41968</v>
      </c>
      <c r="B43">
        <f t="shared" si="1"/>
        <v>3</v>
      </c>
      <c r="C43">
        <f t="shared" si="1"/>
        <v>438</v>
      </c>
      <c r="D43">
        <f t="shared" si="1"/>
        <v>380</v>
      </c>
      <c r="E43">
        <v>144</v>
      </c>
      <c r="F43">
        <v>78</v>
      </c>
      <c r="G43">
        <v>82</v>
      </c>
      <c r="H43">
        <f t="shared" si="0"/>
        <v>147</v>
      </c>
      <c r="I43">
        <f t="shared" si="0"/>
        <v>516</v>
      </c>
      <c r="J43">
        <f t="shared" si="0"/>
        <v>462</v>
      </c>
      <c r="K43" t="str" cm="1">
        <f t="array" ref="K43">_xlfn.IFS(H43&gt;=$U$1,"kostka",I43&gt;=$U$1*$R$3,"orzech",J43&gt;=$U$1*$R$4,"miał",1=1,"NIC")</f>
        <v>orzech</v>
      </c>
      <c r="L43">
        <f t="shared" si="2"/>
        <v>147</v>
      </c>
      <c r="M43">
        <f t="shared" si="3"/>
        <v>256</v>
      </c>
      <c r="N43">
        <f t="shared" si="4"/>
        <v>462</v>
      </c>
    </row>
    <row r="44" spans="1:14" x14ac:dyDescent="0.25">
      <c r="A44" s="1">
        <v>41969</v>
      </c>
      <c r="B44">
        <f t="shared" si="1"/>
        <v>147</v>
      </c>
      <c r="C44">
        <f t="shared" si="1"/>
        <v>256</v>
      </c>
      <c r="D44">
        <f t="shared" si="1"/>
        <v>462</v>
      </c>
      <c r="E44">
        <v>54</v>
      </c>
      <c r="F44">
        <v>38</v>
      </c>
      <c r="G44">
        <v>68</v>
      </c>
      <c r="H44">
        <f t="shared" si="0"/>
        <v>201</v>
      </c>
      <c r="I44">
        <f t="shared" si="0"/>
        <v>294</v>
      </c>
      <c r="J44">
        <f t="shared" si="0"/>
        <v>530</v>
      </c>
      <c r="K44" t="str" cm="1">
        <f t="array" ref="K44">_xlfn.IFS(H44&gt;=$U$1,"kostka",I44&gt;=$U$1*$R$3,"orzech",J44&gt;=$U$1*$R$4,"miał",1=1,"NIC")</f>
        <v>kostka</v>
      </c>
      <c r="L44">
        <f t="shared" si="2"/>
        <v>1</v>
      </c>
      <c r="M44">
        <f t="shared" si="3"/>
        <v>294</v>
      </c>
      <c r="N44">
        <f t="shared" si="4"/>
        <v>530</v>
      </c>
    </row>
    <row r="45" spans="1:14" x14ac:dyDescent="0.25">
      <c r="A45" s="1">
        <v>41970</v>
      </c>
      <c r="B45">
        <f t="shared" si="1"/>
        <v>1</v>
      </c>
      <c r="C45">
        <f t="shared" si="1"/>
        <v>294</v>
      </c>
      <c r="D45">
        <f t="shared" si="1"/>
        <v>530</v>
      </c>
      <c r="E45">
        <v>188</v>
      </c>
      <c r="F45">
        <v>44</v>
      </c>
      <c r="G45">
        <v>86</v>
      </c>
      <c r="H45">
        <f t="shared" si="0"/>
        <v>189</v>
      </c>
      <c r="I45">
        <f t="shared" si="0"/>
        <v>338</v>
      </c>
      <c r="J45">
        <f t="shared" si="0"/>
        <v>616</v>
      </c>
      <c r="K45" t="str" cm="1">
        <f t="array" ref="K45">_xlfn.IFS(H45&gt;=$U$1,"kostka",I45&gt;=$U$1*$R$3,"orzech",J45&gt;=$U$1*$R$4,"miał",1=1,"NIC")</f>
        <v>orzech</v>
      </c>
      <c r="L45">
        <f t="shared" si="2"/>
        <v>189</v>
      </c>
      <c r="M45">
        <f t="shared" si="3"/>
        <v>78</v>
      </c>
      <c r="N45">
        <f t="shared" si="4"/>
        <v>616</v>
      </c>
    </row>
    <row r="46" spans="1:14" x14ac:dyDescent="0.25">
      <c r="A46" s="1">
        <v>41971</v>
      </c>
      <c r="B46">
        <f t="shared" si="1"/>
        <v>189</v>
      </c>
      <c r="C46">
        <f t="shared" si="1"/>
        <v>78</v>
      </c>
      <c r="D46">
        <f t="shared" si="1"/>
        <v>616</v>
      </c>
      <c r="E46">
        <v>165</v>
      </c>
      <c r="F46">
        <v>170</v>
      </c>
      <c r="G46">
        <v>62</v>
      </c>
      <c r="H46">
        <f t="shared" si="0"/>
        <v>354</v>
      </c>
      <c r="I46">
        <f t="shared" si="0"/>
        <v>248</v>
      </c>
      <c r="J46">
        <f t="shared" si="0"/>
        <v>678</v>
      </c>
      <c r="K46" t="str" cm="1">
        <f t="array" ref="K46">_xlfn.IFS(H46&gt;=$U$1,"kostka",I46&gt;=$U$1*$R$3,"orzech",J46&gt;=$U$1*$R$4,"miał",1=1,"NIC")</f>
        <v>kostka</v>
      </c>
      <c r="L46">
        <f t="shared" si="2"/>
        <v>154</v>
      </c>
      <c r="M46">
        <f t="shared" si="3"/>
        <v>248</v>
      </c>
      <c r="N46">
        <f t="shared" si="4"/>
        <v>678</v>
      </c>
    </row>
    <row r="47" spans="1:14" x14ac:dyDescent="0.25">
      <c r="A47" s="1">
        <v>41972</v>
      </c>
      <c r="B47">
        <f t="shared" si="1"/>
        <v>154</v>
      </c>
      <c r="C47">
        <f t="shared" si="1"/>
        <v>248</v>
      </c>
      <c r="D47">
        <f t="shared" si="1"/>
        <v>678</v>
      </c>
      <c r="E47">
        <v>24</v>
      </c>
      <c r="F47">
        <v>94</v>
      </c>
      <c r="G47">
        <v>87</v>
      </c>
      <c r="H47">
        <f t="shared" si="0"/>
        <v>178</v>
      </c>
      <c r="I47">
        <f t="shared" si="0"/>
        <v>342</v>
      </c>
      <c r="J47">
        <f t="shared" si="0"/>
        <v>765</v>
      </c>
      <c r="K47" t="str" cm="1">
        <f t="array" ref="K47">_xlfn.IFS(H47&gt;=$U$1,"kostka",I47&gt;=$U$1*$R$3,"orzech",J47&gt;=$U$1*$R$4,"miał",1=1,"NIC")</f>
        <v>orzech</v>
      </c>
      <c r="L47">
        <f t="shared" si="2"/>
        <v>178</v>
      </c>
      <c r="M47">
        <f t="shared" si="3"/>
        <v>82</v>
      </c>
      <c r="N47">
        <f t="shared" si="4"/>
        <v>765</v>
      </c>
    </row>
    <row r="48" spans="1:14" x14ac:dyDescent="0.25">
      <c r="A48" s="1">
        <v>41973</v>
      </c>
      <c r="B48">
        <f t="shared" si="1"/>
        <v>178</v>
      </c>
      <c r="C48">
        <f t="shared" si="1"/>
        <v>82</v>
      </c>
      <c r="D48">
        <f t="shared" si="1"/>
        <v>765</v>
      </c>
      <c r="E48">
        <v>0</v>
      </c>
      <c r="F48">
        <v>120</v>
      </c>
      <c r="G48">
        <v>60</v>
      </c>
      <c r="H48">
        <f t="shared" si="0"/>
        <v>178</v>
      </c>
      <c r="I48">
        <f t="shared" si="0"/>
        <v>202</v>
      </c>
      <c r="J48">
        <f t="shared" si="0"/>
        <v>825</v>
      </c>
      <c r="K48" t="str" cm="1">
        <f t="array" ref="K48">_xlfn.IFS(H48&gt;=$U$1,"kostka",I48&gt;=$U$1*$R$3,"orzech",J48&gt;=$U$1*$R$4,"miał",1=1,"NIC")</f>
        <v>miał</v>
      </c>
      <c r="L48">
        <f t="shared" si="2"/>
        <v>178</v>
      </c>
      <c r="M48">
        <f t="shared" si="3"/>
        <v>202</v>
      </c>
      <c r="N48">
        <f t="shared" si="4"/>
        <v>505</v>
      </c>
    </row>
    <row r="49" spans="1:14" x14ac:dyDescent="0.25">
      <c r="A49" s="1">
        <v>41974</v>
      </c>
      <c r="B49">
        <f t="shared" si="1"/>
        <v>178</v>
      </c>
      <c r="C49">
        <f t="shared" si="1"/>
        <v>202</v>
      </c>
      <c r="D49">
        <f t="shared" si="1"/>
        <v>505</v>
      </c>
      <c r="E49">
        <v>101</v>
      </c>
      <c r="F49">
        <v>53</v>
      </c>
      <c r="G49">
        <v>62</v>
      </c>
      <c r="H49">
        <f t="shared" si="0"/>
        <v>279</v>
      </c>
      <c r="I49">
        <f t="shared" si="0"/>
        <v>255</v>
      </c>
      <c r="J49">
        <f t="shared" si="0"/>
        <v>567</v>
      </c>
      <c r="K49" t="str" cm="1">
        <f t="array" ref="K49">_xlfn.IFS(H49&gt;=$U$1,"kostka",I49&gt;=$U$1*$R$3,"orzech",J49&gt;=$U$1*$R$4,"miał",1=1,"NIC")</f>
        <v>kostka</v>
      </c>
      <c r="L49">
        <f t="shared" si="2"/>
        <v>79</v>
      </c>
      <c r="M49">
        <f t="shared" si="3"/>
        <v>255</v>
      </c>
      <c r="N49">
        <f t="shared" si="4"/>
        <v>567</v>
      </c>
    </row>
    <row r="50" spans="1:14" x14ac:dyDescent="0.25">
      <c r="A50" s="1">
        <v>41975</v>
      </c>
      <c r="B50">
        <f t="shared" si="1"/>
        <v>79</v>
      </c>
      <c r="C50">
        <f t="shared" si="1"/>
        <v>255</v>
      </c>
      <c r="D50">
        <f t="shared" si="1"/>
        <v>567</v>
      </c>
      <c r="E50">
        <v>67</v>
      </c>
      <c r="F50">
        <v>147</v>
      </c>
      <c r="G50">
        <v>20</v>
      </c>
      <c r="H50">
        <f t="shared" si="0"/>
        <v>146</v>
      </c>
      <c r="I50">
        <f t="shared" si="0"/>
        <v>402</v>
      </c>
      <c r="J50">
        <f t="shared" si="0"/>
        <v>587</v>
      </c>
      <c r="K50" t="str" cm="1">
        <f t="array" ref="K50">_xlfn.IFS(H50&gt;=$U$1,"kostka",I50&gt;=$U$1*$R$3,"orzech",J50&gt;=$U$1*$R$4,"miał",1=1,"NIC")</f>
        <v>orzech</v>
      </c>
      <c r="L50">
        <f t="shared" si="2"/>
        <v>146</v>
      </c>
      <c r="M50">
        <f t="shared" si="3"/>
        <v>142</v>
      </c>
      <c r="N50">
        <f t="shared" si="4"/>
        <v>587</v>
      </c>
    </row>
    <row r="51" spans="1:14" x14ac:dyDescent="0.25">
      <c r="A51" s="1">
        <v>41976</v>
      </c>
      <c r="B51">
        <f t="shared" si="1"/>
        <v>146</v>
      </c>
      <c r="C51">
        <f t="shared" si="1"/>
        <v>142</v>
      </c>
      <c r="D51">
        <f t="shared" si="1"/>
        <v>587</v>
      </c>
      <c r="E51">
        <v>109</v>
      </c>
      <c r="F51">
        <v>99</v>
      </c>
      <c r="G51">
        <v>70</v>
      </c>
      <c r="H51">
        <f t="shared" si="0"/>
        <v>255</v>
      </c>
      <c r="I51">
        <f t="shared" si="0"/>
        <v>241</v>
      </c>
      <c r="J51">
        <f t="shared" si="0"/>
        <v>657</v>
      </c>
      <c r="K51" t="str" cm="1">
        <f t="array" ref="K51">_xlfn.IFS(H51&gt;=$U$1,"kostka",I51&gt;=$U$1*$R$3,"orzech",J51&gt;=$U$1*$R$4,"miał",1=1,"NIC")</f>
        <v>kostka</v>
      </c>
      <c r="L51">
        <f t="shared" si="2"/>
        <v>55</v>
      </c>
      <c r="M51">
        <f t="shared" si="3"/>
        <v>241</v>
      </c>
      <c r="N51">
        <f t="shared" si="4"/>
        <v>657</v>
      </c>
    </row>
    <row r="52" spans="1:14" x14ac:dyDescent="0.25">
      <c r="A52" s="1">
        <v>41977</v>
      </c>
      <c r="B52">
        <f t="shared" si="1"/>
        <v>55</v>
      </c>
      <c r="C52">
        <f t="shared" si="1"/>
        <v>241</v>
      </c>
      <c r="D52">
        <f t="shared" si="1"/>
        <v>657</v>
      </c>
      <c r="E52">
        <v>22</v>
      </c>
      <c r="F52">
        <v>16</v>
      </c>
      <c r="G52">
        <v>59</v>
      </c>
      <c r="H52">
        <f t="shared" si="0"/>
        <v>77</v>
      </c>
      <c r="I52">
        <f t="shared" si="0"/>
        <v>257</v>
      </c>
      <c r="J52">
        <f t="shared" si="0"/>
        <v>716</v>
      </c>
      <c r="K52" t="str" cm="1">
        <f t="array" ref="K52">_xlfn.IFS(H52&gt;=$U$1,"kostka",I52&gt;=$U$1*$R$3,"orzech",J52&gt;=$U$1*$R$4,"miał",1=1,"NIC")</f>
        <v>miał</v>
      </c>
      <c r="L52">
        <f t="shared" si="2"/>
        <v>77</v>
      </c>
      <c r="M52">
        <f t="shared" si="3"/>
        <v>257</v>
      </c>
      <c r="N52">
        <f t="shared" si="4"/>
        <v>396</v>
      </c>
    </row>
    <row r="53" spans="1:14" x14ac:dyDescent="0.25">
      <c r="A53" s="1">
        <v>41978</v>
      </c>
      <c r="B53">
        <f t="shared" si="1"/>
        <v>77</v>
      </c>
      <c r="C53">
        <f t="shared" si="1"/>
        <v>257</v>
      </c>
      <c r="D53">
        <f t="shared" si="1"/>
        <v>396</v>
      </c>
      <c r="E53">
        <v>5</v>
      </c>
      <c r="F53">
        <v>91</v>
      </c>
      <c r="G53">
        <v>73</v>
      </c>
      <c r="H53">
        <f t="shared" si="0"/>
        <v>82</v>
      </c>
      <c r="I53">
        <f t="shared" si="0"/>
        <v>348</v>
      </c>
      <c r="J53">
        <f t="shared" si="0"/>
        <v>469</v>
      </c>
      <c r="K53" t="str" cm="1">
        <f t="array" ref="K53">_xlfn.IFS(H53&gt;=$U$1,"kostka",I53&gt;=$U$1*$R$3,"orzech",J53&gt;=$U$1*$R$4,"miał",1=1,"NIC")</f>
        <v>orzech</v>
      </c>
      <c r="L53">
        <f t="shared" si="2"/>
        <v>82</v>
      </c>
      <c r="M53">
        <f t="shared" si="3"/>
        <v>88</v>
      </c>
      <c r="N53">
        <f t="shared" si="4"/>
        <v>469</v>
      </c>
    </row>
    <row r="54" spans="1:14" x14ac:dyDescent="0.25">
      <c r="A54" s="1">
        <v>41979</v>
      </c>
      <c r="B54">
        <f t="shared" si="1"/>
        <v>82</v>
      </c>
      <c r="C54">
        <f t="shared" si="1"/>
        <v>88</v>
      </c>
      <c r="D54">
        <f t="shared" si="1"/>
        <v>469</v>
      </c>
      <c r="E54">
        <v>105</v>
      </c>
      <c r="F54">
        <v>154</v>
      </c>
      <c r="G54">
        <v>48</v>
      </c>
      <c r="H54">
        <f t="shared" si="0"/>
        <v>187</v>
      </c>
      <c r="I54">
        <f t="shared" si="0"/>
        <v>242</v>
      </c>
      <c r="J54">
        <f t="shared" si="0"/>
        <v>517</v>
      </c>
      <c r="K54" t="str" cm="1">
        <f t="array" ref="K54">_xlfn.IFS(H54&gt;=$U$1,"kostka",I54&gt;=$U$1*$R$3,"orzech",J54&gt;=$U$1*$R$4,"miał",1=1,"NIC")</f>
        <v>miał</v>
      </c>
      <c r="L54">
        <f t="shared" si="2"/>
        <v>187</v>
      </c>
      <c r="M54">
        <f t="shared" si="3"/>
        <v>242</v>
      </c>
      <c r="N54">
        <f t="shared" si="4"/>
        <v>197</v>
      </c>
    </row>
    <row r="55" spans="1:14" x14ac:dyDescent="0.25">
      <c r="A55" s="1">
        <v>41980</v>
      </c>
      <c r="B55">
        <f t="shared" si="1"/>
        <v>187</v>
      </c>
      <c r="C55">
        <f t="shared" si="1"/>
        <v>242</v>
      </c>
      <c r="D55">
        <f t="shared" si="1"/>
        <v>197</v>
      </c>
      <c r="E55">
        <v>108</v>
      </c>
      <c r="F55">
        <v>5</v>
      </c>
      <c r="G55">
        <v>71</v>
      </c>
      <c r="H55">
        <f t="shared" si="0"/>
        <v>295</v>
      </c>
      <c r="I55">
        <f t="shared" si="0"/>
        <v>247</v>
      </c>
      <c r="J55">
        <f t="shared" si="0"/>
        <v>268</v>
      </c>
      <c r="K55" t="str" cm="1">
        <f t="array" ref="K55">_xlfn.IFS(H55&gt;=$U$1,"kostka",I55&gt;=$U$1*$R$3,"orzech",J55&gt;=$U$1*$R$4,"miał",1=1,"NIC")</f>
        <v>kostka</v>
      </c>
      <c r="L55">
        <f t="shared" si="2"/>
        <v>95</v>
      </c>
      <c r="M55">
        <f t="shared" si="3"/>
        <v>247</v>
      </c>
      <c r="N55">
        <f t="shared" si="4"/>
        <v>268</v>
      </c>
    </row>
    <row r="56" spans="1:14" x14ac:dyDescent="0.25">
      <c r="A56" s="1">
        <v>41981</v>
      </c>
      <c r="B56">
        <f t="shared" si="1"/>
        <v>95</v>
      </c>
      <c r="C56">
        <f t="shared" si="1"/>
        <v>247</v>
      </c>
      <c r="D56">
        <f t="shared" si="1"/>
        <v>268</v>
      </c>
      <c r="E56">
        <v>64</v>
      </c>
      <c r="F56">
        <v>37</v>
      </c>
      <c r="G56">
        <v>89</v>
      </c>
      <c r="H56">
        <f t="shared" si="0"/>
        <v>159</v>
      </c>
      <c r="I56">
        <f t="shared" si="0"/>
        <v>284</v>
      </c>
      <c r="J56">
        <f t="shared" si="0"/>
        <v>357</v>
      </c>
      <c r="K56" t="str" cm="1">
        <f t="array" ref="K56">_xlfn.IFS(H56&gt;=$U$1,"kostka",I56&gt;=$U$1*$R$3,"orzech",J56&gt;=$U$1*$R$4,"miał",1=1,"NIC")</f>
        <v>orzech</v>
      </c>
      <c r="L56">
        <f t="shared" si="2"/>
        <v>159</v>
      </c>
      <c r="M56">
        <f t="shared" si="3"/>
        <v>24</v>
      </c>
      <c r="N56">
        <f t="shared" si="4"/>
        <v>357</v>
      </c>
    </row>
    <row r="57" spans="1:14" x14ac:dyDescent="0.25">
      <c r="A57" s="1">
        <v>41982</v>
      </c>
      <c r="B57">
        <f t="shared" si="1"/>
        <v>159</v>
      </c>
      <c r="C57">
        <f t="shared" si="1"/>
        <v>24</v>
      </c>
      <c r="D57">
        <f t="shared" si="1"/>
        <v>357</v>
      </c>
      <c r="E57">
        <v>114</v>
      </c>
      <c r="F57">
        <v>140</v>
      </c>
      <c r="G57">
        <v>36</v>
      </c>
      <c r="H57">
        <f t="shared" si="0"/>
        <v>273</v>
      </c>
      <c r="I57">
        <f t="shared" si="0"/>
        <v>164</v>
      </c>
      <c r="J57">
        <f t="shared" si="0"/>
        <v>393</v>
      </c>
      <c r="K57" t="str" cm="1">
        <f t="array" ref="K57">_xlfn.IFS(H57&gt;=$U$1,"kostka",I57&gt;=$U$1*$R$3,"orzech",J57&gt;=$U$1*$R$4,"miał",1=1,"NIC")</f>
        <v>kostka</v>
      </c>
      <c r="L57">
        <f t="shared" si="2"/>
        <v>73</v>
      </c>
      <c r="M57">
        <f t="shared" si="3"/>
        <v>164</v>
      </c>
      <c r="N57">
        <f t="shared" si="4"/>
        <v>393</v>
      </c>
    </row>
    <row r="58" spans="1:14" x14ac:dyDescent="0.25">
      <c r="A58" s="1">
        <v>41983</v>
      </c>
      <c r="B58">
        <f t="shared" si="1"/>
        <v>73</v>
      </c>
      <c r="C58">
        <f t="shared" si="1"/>
        <v>164</v>
      </c>
      <c r="D58">
        <f t="shared" si="1"/>
        <v>393</v>
      </c>
      <c r="E58">
        <v>147</v>
      </c>
      <c r="F58">
        <v>140</v>
      </c>
      <c r="G58">
        <v>61</v>
      </c>
      <c r="H58">
        <f t="shared" si="0"/>
        <v>220</v>
      </c>
      <c r="I58">
        <f t="shared" si="0"/>
        <v>304</v>
      </c>
      <c r="J58">
        <f t="shared" si="0"/>
        <v>454</v>
      </c>
      <c r="K58" t="str" cm="1">
        <f t="array" ref="K58">_xlfn.IFS(H58&gt;=$U$1,"kostka",I58&gt;=$U$1*$R$3,"orzech",J58&gt;=$U$1*$R$4,"miał",1=1,"NIC")</f>
        <v>kostka</v>
      </c>
      <c r="L58">
        <f t="shared" si="2"/>
        <v>20</v>
      </c>
      <c r="M58">
        <f t="shared" si="3"/>
        <v>304</v>
      </c>
      <c r="N58">
        <f t="shared" si="4"/>
        <v>454</v>
      </c>
    </row>
    <row r="59" spans="1:14" x14ac:dyDescent="0.25">
      <c r="A59" s="1">
        <v>41984</v>
      </c>
      <c r="B59">
        <f t="shared" si="1"/>
        <v>20</v>
      </c>
      <c r="C59">
        <f t="shared" si="1"/>
        <v>304</v>
      </c>
      <c r="D59">
        <f t="shared" si="1"/>
        <v>454</v>
      </c>
      <c r="E59">
        <v>69</v>
      </c>
      <c r="F59">
        <v>120</v>
      </c>
      <c r="G59">
        <v>52</v>
      </c>
      <c r="H59">
        <f t="shared" si="0"/>
        <v>89</v>
      </c>
      <c r="I59">
        <f t="shared" si="0"/>
        <v>424</v>
      </c>
      <c r="J59">
        <f t="shared" si="0"/>
        <v>506</v>
      </c>
      <c r="K59" t="str" cm="1">
        <f t="array" ref="K59">_xlfn.IFS(H59&gt;=$U$1,"kostka",I59&gt;=$U$1*$R$3,"orzech",J59&gt;=$U$1*$R$4,"miał",1=1,"NIC")</f>
        <v>orzech</v>
      </c>
      <c r="L59">
        <f t="shared" si="2"/>
        <v>89</v>
      </c>
      <c r="M59">
        <f t="shared" si="3"/>
        <v>164</v>
      </c>
      <c r="N59">
        <f t="shared" si="4"/>
        <v>506</v>
      </c>
    </row>
    <row r="60" spans="1:14" x14ac:dyDescent="0.25">
      <c r="A60" s="1">
        <v>41985</v>
      </c>
      <c r="B60">
        <f t="shared" si="1"/>
        <v>89</v>
      </c>
      <c r="C60">
        <f t="shared" si="1"/>
        <v>164</v>
      </c>
      <c r="D60">
        <f t="shared" si="1"/>
        <v>506</v>
      </c>
      <c r="E60">
        <v>101</v>
      </c>
      <c r="F60">
        <v>39</v>
      </c>
      <c r="G60">
        <v>10</v>
      </c>
      <c r="H60">
        <f t="shared" si="0"/>
        <v>190</v>
      </c>
      <c r="I60">
        <f t="shared" si="0"/>
        <v>203</v>
      </c>
      <c r="J60">
        <f t="shared" si="0"/>
        <v>516</v>
      </c>
      <c r="K60" t="str" cm="1">
        <f t="array" ref="K60">_xlfn.IFS(H60&gt;=$U$1,"kostka",I60&gt;=$U$1*$R$3,"orzech",J60&gt;=$U$1*$R$4,"miał",1=1,"NIC")</f>
        <v>miał</v>
      </c>
      <c r="L60">
        <f t="shared" si="2"/>
        <v>190</v>
      </c>
      <c r="M60">
        <f t="shared" si="3"/>
        <v>203</v>
      </c>
      <c r="N60">
        <f t="shared" si="4"/>
        <v>196</v>
      </c>
    </row>
    <row r="61" spans="1:14" x14ac:dyDescent="0.25">
      <c r="A61" s="1">
        <v>41986</v>
      </c>
      <c r="B61">
        <f t="shared" si="1"/>
        <v>190</v>
      </c>
      <c r="C61">
        <f t="shared" si="1"/>
        <v>203</v>
      </c>
      <c r="D61">
        <f t="shared" si="1"/>
        <v>196</v>
      </c>
      <c r="E61">
        <v>158</v>
      </c>
      <c r="F61">
        <v>36</v>
      </c>
      <c r="G61">
        <v>79</v>
      </c>
      <c r="H61">
        <f t="shared" si="0"/>
        <v>348</v>
      </c>
      <c r="I61">
        <f t="shared" si="0"/>
        <v>239</v>
      </c>
      <c r="J61">
        <f t="shared" si="0"/>
        <v>275</v>
      </c>
      <c r="K61" t="str" cm="1">
        <f t="array" ref="K61">_xlfn.IFS(H61&gt;=$U$1,"kostka",I61&gt;=$U$1*$R$3,"orzech",J61&gt;=$U$1*$R$4,"miał",1=1,"NIC")</f>
        <v>kostka</v>
      </c>
      <c r="L61">
        <f t="shared" si="2"/>
        <v>148</v>
      </c>
      <c r="M61">
        <f t="shared" si="3"/>
        <v>239</v>
      </c>
      <c r="N61">
        <f t="shared" si="4"/>
        <v>275</v>
      </c>
    </row>
    <row r="62" spans="1:14" x14ac:dyDescent="0.25">
      <c r="A62" s="1">
        <v>41987</v>
      </c>
      <c r="B62">
        <f t="shared" si="1"/>
        <v>148</v>
      </c>
      <c r="C62">
        <f t="shared" si="1"/>
        <v>239</v>
      </c>
      <c r="D62">
        <f t="shared" si="1"/>
        <v>275</v>
      </c>
      <c r="E62">
        <v>79</v>
      </c>
      <c r="F62">
        <v>105</v>
      </c>
      <c r="G62">
        <v>73</v>
      </c>
      <c r="H62">
        <f t="shared" si="0"/>
        <v>227</v>
      </c>
      <c r="I62">
        <f t="shared" si="0"/>
        <v>344</v>
      </c>
      <c r="J62">
        <f t="shared" si="0"/>
        <v>348</v>
      </c>
      <c r="K62" t="str" cm="1">
        <f t="array" ref="K62">_xlfn.IFS(H62&gt;=$U$1,"kostka",I62&gt;=$U$1*$R$3,"orzech",J62&gt;=$U$1*$R$4,"miał",1=1,"NIC")</f>
        <v>kostka</v>
      </c>
      <c r="L62">
        <f t="shared" si="2"/>
        <v>27</v>
      </c>
      <c r="M62">
        <f t="shared" si="3"/>
        <v>344</v>
      </c>
      <c r="N62">
        <f t="shared" si="4"/>
        <v>348</v>
      </c>
    </row>
    <row r="63" spans="1:14" x14ac:dyDescent="0.25">
      <c r="A63" s="1">
        <v>41988</v>
      </c>
      <c r="B63">
        <f t="shared" si="1"/>
        <v>27</v>
      </c>
      <c r="C63">
        <f t="shared" si="1"/>
        <v>344</v>
      </c>
      <c r="D63">
        <f t="shared" si="1"/>
        <v>348</v>
      </c>
      <c r="E63">
        <v>5</v>
      </c>
      <c r="F63">
        <v>24</v>
      </c>
      <c r="G63">
        <v>43</v>
      </c>
      <c r="H63">
        <f t="shared" si="0"/>
        <v>32</v>
      </c>
      <c r="I63">
        <f t="shared" si="0"/>
        <v>368</v>
      </c>
      <c r="J63">
        <f t="shared" si="0"/>
        <v>391</v>
      </c>
      <c r="K63" t="str" cm="1">
        <f t="array" ref="K63">_xlfn.IFS(H63&gt;=$U$1,"kostka",I63&gt;=$U$1*$R$3,"orzech",J63&gt;=$U$1*$R$4,"miał",1=1,"NIC")</f>
        <v>orzech</v>
      </c>
      <c r="L63">
        <f t="shared" si="2"/>
        <v>32</v>
      </c>
      <c r="M63">
        <f t="shared" si="3"/>
        <v>108</v>
      </c>
      <c r="N63">
        <f t="shared" si="4"/>
        <v>391</v>
      </c>
    </row>
    <row r="64" spans="1:14" x14ac:dyDescent="0.25">
      <c r="A64" s="1">
        <v>41989</v>
      </c>
      <c r="B64">
        <f t="shared" si="1"/>
        <v>32</v>
      </c>
      <c r="C64">
        <f t="shared" si="1"/>
        <v>108</v>
      </c>
      <c r="D64">
        <f t="shared" si="1"/>
        <v>391</v>
      </c>
      <c r="E64">
        <v>68</v>
      </c>
      <c r="F64">
        <v>112</v>
      </c>
      <c r="G64">
        <v>25</v>
      </c>
      <c r="H64">
        <f t="shared" si="0"/>
        <v>100</v>
      </c>
      <c r="I64">
        <f t="shared" si="0"/>
        <v>220</v>
      </c>
      <c r="J64">
        <f t="shared" si="0"/>
        <v>416</v>
      </c>
      <c r="K64" t="str" cm="1">
        <f t="array" ref="K64">_xlfn.IFS(H64&gt;=$U$1,"kostka",I64&gt;=$U$1*$R$3,"orzech",J64&gt;=$U$1*$R$4,"miał",1=1,"NIC")</f>
        <v>miał</v>
      </c>
      <c r="L64">
        <f t="shared" si="2"/>
        <v>100</v>
      </c>
      <c r="M64">
        <f t="shared" si="3"/>
        <v>220</v>
      </c>
      <c r="N64">
        <f t="shared" si="4"/>
        <v>96</v>
      </c>
    </row>
    <row r="65" spans="1:14" x14ac:dyDescent="0.25">
      <c r="A65" s="1">
        <v>41990</v>
      </c>
      <c r="B65">
        <f t="shared" si="1"/>
        <v>100</v>
      </c>
      <c r="C65">
        <f t="shared" si="1"/>
        <v>220</v>
      </c>
      <c r="D65">
        <f t="shared" si="1"/>
        <v>96</v>
      </c>
      <c r="E65">
        <v>37</v>
      </c>
      <c r="F65">
        <v>57</v>
      </c>
      <c r="G65">
        <v>81</v>
      </c>
      <c r="H65">
        <f t="shared" si="0"/>
        <v>137</v>
      </c>
      <c r="I65">
        <f t="shared" si="0"/>
        <v>277</v>
      </c>
      <c r="J65">
        <f t="shared" si="0"/>
        <v>177</v>
      </c>
      <c r="K65" t="str" cm="1">
        <f t="array" ref="K65">_xlfn.IFS(H65&gt;=$U$1,"kostka",I65&gt;=$U$1*$R$3,"orzech",J65&gt;=$U$1*$R$4,"miał",1=1,"NIC")</f>
        <v>orzech</v>
      </c>
      <c r="L65">
        <f t="shared" si="2"/>
        <v>137</v>
      </c>
      <c r="M65">
        <f t="shared" si="3"/>
        <v>17</v>
      </c>
      <c r="N65">
        <f t="shared" si="4"/>
        <v>177</v>
      </c>
    </row>
    <row r="66" spans="1:14" x14ac:dyDescent="0.25">
      <c r="A66" s="1">
        <v>41991</v>
      </c>
      <c r="B66">
        <f t="shared" si="1"/>
        <v>137</v>
      </c>
      <c r="C66">
        <f t="shared" si="1"/>
        <v>17</v>
      </c>
      <c r="D66">
        <f t="shared" si="1"/>
        <v>177</v>
      </c>
      <c r="E66">
        <v>188</v>
      </c>
      <c r="F66">
        <v>28</v>
      </c>
      <c r="G66">
        <v>7</v>
      </c>
      <c r="H66">
        <f t="shared" si="0"/>
        <v>325</v>
      </c>
      <c r="I66">
        <f t="shared" si="0"/>
        <v>45</v>
      </c>
      <c r="J66">
        <f t="shared" si="0"/>
        <v>184</v>
      </c>
      <c r="K66" t="str" cm="1">
        <f t="array" ref="K66">_xlfn.IFS(H66&gt;=$U$1,"kostka",I66&gt;=$U$1*$R$3,"orzech",J66&gt;=$U$1*$R$4,"miał",1=1,"NIC")</f>
        <v>kostka</v>
      </c>
      <c r="L66">
        <f t="shared" si="2"/>
        <v>125</v>
      </c>
      <c r="M66">
        <f t="shared" si="3"/>
        <v>45</v>
      </c>
      <c r="N66">
        <f t="shared" si="4"/>
        <v>184</v>
      </c>
    </row>
    <row r="67" spans="1:14" x14ac:dyDescent="0.25">
      <c r="A67" s="1">
        <v>41992</v>
      </c>
      <c r="B67">
        <f t="shared" si="1"/>
        <v>125</v>
      </c>
      <c r="C67">
        <f t="shared" si="1"/>
        <v>45</v>
      </c>
      <c r="D67">
        <f t="shared" si="1"/>
        <v>184</v>
      </c>
      <c r="E67">
        <v>167</v>
      </c>
      <c r="F67">
        <v>41</v>
      </c>
      <c r="G67">
        <v>45</v>
      </c>
      <c r="H67">
        <f t="shared" ref="H67:J130" si="5">B67+E67</f>
        <v>292</v>
      </c>
      <c r="I67">
        <f t="shared" si="5"/>
        <v>86</v>
      </c>
      <c r="J67">
        <f t="shared" si="5"/>
        <v>229</v>
      </c>
      <c r="K67" t="str" cm="1">
        <f t="array" ref="K67">_xlfn.IFS(H67&gt;=$U$1,"kostka",I67&gt;=$U$1*$R$3,"orzech",J67&gt;=$U$1*$R$4,"miał",1=1,"NIC")</f>
        <v>kostka</v>
      </c>
      <c r="L67">
        <f t="shared" si="2"/>
        <v>92</v>
      </c>
      <c r="M67">
        <f t="shared" si="3"/>
        <v>86</v>
      </c>
      <c r="N67">
        <f t="shared" si="4"/>
        <v>229</v>
      </c>
    </row>
    <row r="68" spans="1:14" x14ac:dyDescent="0.25">
      <c r="A68" s="1">
        <v>41993</v>
      </c>
      <c r="B68">
        <f t="shared" ref="B68:D131" si="6">L67</f>
        <v>92</v>
      </c>
      <c r="C68">
        <f t="shared" si="6"/>
        <v>86</v>
      </c>
      <c r="D68">
        <f t="shared" si="6"/>
        <v>229</v>
      </c>
      <c r="E68">
        <v>197</v>
      </c>
      <c r="F68">
        <v>82</v>
      </c>
      <c r="G68">
        <v>43</v>
      </c>
      <c r="H68">
        <f t="shared" si="5"/>
        <v>289</v>
      </c>
      <c r="I68">
        <f t="shared" si="5"/>
        <v>168</v>
      </c>
      <c r="J68">
        <f t="shared" si="5"/>
        <v>272</v>
      </c>
      <c r="K68" t="str" cm="1">
        <f t="array" ref="K68">_xlfn.IFS(H68&gt;=$U$1,"kostka",I68&gt;=$U$1*$R$3,"orzech",J68&gt;=$U$1*$R$4,"miał",1=1,"NIC")</f>
        <v>kostka</v>
      </c>
      <c r="L68">
        <f t="shared" ref="L68:L131" si="7">IF($K68="kostka",H68-$U$1,H68)</f>
        <v>89</v>
      </c>
      <c r="M68">
        <f t="shared" ref="M68:M131" si="8">IF($K68="orzech",I68-$U$1*$R$3,I68)</f>
        <v>168</v>
      </c>
      <c r="N68">
        <f t="shared" ref="N68:N131" si="9">IF($K68="miał",J68-$U$1*$R$4,J68)</f>
        <v>272</v>
      </c>
    </row>
    <row r="69" spans="1:14" x14ac:dyDescent="0.25">
      <c r="A69" s="1">
        <v>41994</v>
      </c>
      <c r="B69">
        <f t="shared" si="6"/>
        <v>89</v>
      </c>
      <c r="C69">
        <f t="shared" si="6"/>
        <v>168</v>
      </c>
      <c r="D69">
        <f t="shared" si="6"/>
        <v>272</v>
      </c>
      <c r="E69">
        <v>54</v>
      </c>
      <c r="F69">
        <v>130</v>
      </c>
      <c r="G69">
        <v>50</v>
      </c>
      <c r="H69">
        <f t="shared" si="5"/>
        <v>143</v>
      </c>
      <c r="I69">
        <f t="shared" si="5"/>
        <v>298</v>
      </c>
      <c r="J69">
        <f t="shared" si="5"/>
        <v>322</v>
      </c>
      <c r="K69" t="str" cm="1">
        <f t="array" ref="K69">_xlfn.IFS(H69&gt;=$U$1,"kostka",I69&gt;=$U$1*$R$3,"orzech",J69&gt;=$U$1*$R$4,"miał",1=1,"NIC")</f>
        <v>orzech</v>
      </c>
      <c r="L69">
        <f t="shared" si="7"/>
        <v>143</v>
      </c>
      <c r="M69">
        <f t="shared" si="8"/>
        <v>38</v>
      </c>
      <c r="N69">
        <f t="shared" si="9"/>
        <v>322</v>
      </c>
    </row>
    <row r="70" spans="1:14" x14ac:dyDescent="0.25">
      <c r="A70" s="1">
        <v>41995</v>
      </c>
      <c r="B70">
        <f t="shared" si="6"/>
        <v>143</v>
      </c>
      <c r="C70">
        <f t="shared" si="6"/>
        <v>38</v>
      </c>
      <c r="D70">
        <f t="shared" si="6"/>
        <v>322</v>
      </c>
      <c r="E70">
        <v>19</v>
      </c>
      <c r="F70">
        <v>153</v>
      </c>
      <c r="G70">
        <v>65</v>
      </c>
      <c r="H70">
        <f t="shared" si="5"/>
        <v>162</v>
      </c>
      <c r="I70">
        <f t="shared" si="5"/>
        <v>191</v>
      </c>
      <c r="J70">
        <f t="shared" si="5"/>
        <v>387</v>
      </c>
      <c r="K70" t="str" cm="1">
        <f t="array" ref="K70">_xlfn.IFS(H70&gt;=$U$1,"kostka",I70&gt;=$U$1*$R$3,"orzech",J70&gt;=$U$1*$R$4,"miał",1=1,"NIC")</f>
        <v>miał</v>
      </c>
      <c r="L70">
        <f t="shared" si="7"/>
        <v>162</v>
      </c>
      <c r="M70">
        <f t="shared" si="8"/>
        <v>191</v>
      </c>
      <c r="N70">
        <f t="shared" si="9"/>
        <v>67</v>
      </c>
    </row>
    <row r="71" spans="1:14" x14ac:dyDescent="0.25">
      <c r="A71" s="1">
        <v>41996</v>
      </c>
      <c r="B71">
        <f t="shared" si="6"/>
        <v>162</v>
      </c>
      <c r="C71">
        <f t="shared" si="6"/>
        <v>191</v>
      </c>
      <c r="D71">
        <f t="shared" si="6"/>
        <v>67</v>
      </c>
      <c r="E71">
        <v>27</v>
      </c>
      <c r="F71">
        <v>160</v>
      </c>
      <c r="G71">
        <v>81</v>
      </c>
      <c r="H71">
        <f t="shared" si="5"/>
        <v>189</v>
      </c>
      <c r="I71">
        <f t="shared" si="5"/>
        <v>351</v>
      </c>
      <c r="J71">
        <f t="shared" si="5"/>
        <v>148</v>
      </c>
      <c r="K71" t="str" cm="1">
        <f t="array" ref="K71">_xlfn.IFS(H71&gt;=$U$1,"kostka",I71&gt;=$U$1*$R$3,"orzech",J71&gt;=$U$1*$R$4,"miał",1=1,"NIC")</f>
        <v>orzech</v>
      </c>
      <c r="L71">
        <f t="shared" si="7"/>
        <v>189</v>
      </c>
      <c r="M71">
        <f t="shared" si="8"/>
        <v>91</v>
      </c>
      <c r="N71">
        <f t="shared" si="9"/>
        <v>148</v>
      </c>
    </row>
    <row r="72" spans="1:14" x14ac:dyDescent="0.25">
      <c r="A72" s="1">
        <v>41997</v>
      </c>
      <c r="B72">
        <f t="shared" si="6"/>
        <v>189</v>
      </c>
      <c r="C72">
        <f t="shared" si="6"/>
        <v>91</v>
      </c>
      <c r="D72">
        <f t="shared" si="6"/>
        <v>148</v>
      </c>
      <c r="E72">
        <v>11</v>
      </c>
      <c r="F72">
        <v>140</v>
      </c>
      <c r="G72">
        <v>77</v>
      </c>
      <c r="H72">
        <f t="shared" si="5"/>
        <v>200</v>
      </c>
      <c r="I72">
        <f t="shared" si="5"/>
        <v>231</v>
      </c>
      <c r="J72">
        <f t="shared" si="5"/>
        <v>225</v>
      </c>
      <c r="K72" t="str" cm="1">
        <f t="array" ref="K72">_xlfn.IFS(H72&gt;=$U$1,"kostka",I72&gt;=$U$1*$R$3,"orzech",J72&gt;=$U$1*$R$4,"miał",1=1,"NIC")</f>
        <v>kostka</v>
      </c>
      <c r="L72">
        <f t="shared" si="7"/>
        <v>0</v>
      </c>
      <c r="M72">
        <f t="shared" si="8"/>
        <v>231</v>
      </c>
      <c r="N72">
        <f t="shared" si="9"/>
        <v>225</v>
      </c>
    </row>
    <row r="73" spans="1:14" x14ac:dyDescent="0.25">
      <c r="A73" s="1">
        <v>41998</v>
      </c>
      <c r="B73">
        <f t="shared" si="6"/>
        <v>0</v>
      </c>
      <c r="C73">
        <f t="shared" si="6"/>
        <v>231</v>
      </c>
      <c r="D73">
        <f t="shared" si="6"/>
        <v>225</v>
      </c>
      <c r="E73">
        <v>182</v>
      </c>
      <c r="F73">
        <v>50</v>
      </c>
      <c r="G73">
        <v>22</v>
      </c>
      <c r="H73">
        <f t="shared" si="5"/>
        <v>182</v>
      </c>
      <c r="I73">
        <f t="shared" si="5"/>
        <v>281</v>
      </c>
      <c r="J73">
        <f t="shared" si="5"/>
        <v>247</v>
      </c>
      <c r="K73" t="str" cm="1">
        <f t="array" ref="K73">_xlfn.IFS(H73&gt;=$U$1,"kostka",I73&gt;=$U$1*$R$3,"orzech",J73&gt;=$U$1*$R$4,"miał",1=1,"NIC")</f>
        <v>orzech</v>
      </c>
      <c r="L73">
        <f t="shared" si="7"/>
        <v>182</v>
      </c>
      <c r="M73">
        <f t="shared" si="8"/>
        <v>21</v>
      </c>
      <c r="N73">
        <f t="shared" si="9"/>
        <v>247</v>
      </c>
    </row>
    <row r="74" spans="1:14" x14ac:dyDescent="0.25">
      <c r="A74" s="1">
        <v>41999</v>
      </c>
      <c r="B74">
        <f t="shared" si="6"/>
        <v>182</v>
      </c>
      <c r="C74">
        <f t="shared" si="6"/>
        <v>21</v>
      </c>
      <c r="D74">
        <f t="shared" si="6"/>
        <v>247</v>
      </c>
      <c r="E74">
        <v>63</v>
      </c>
      <c r="F74">
        <v>83</v>
      </c>
      <c r="G74">
        <v>69</v>
      </c>
      <c r="H74">
        <f t="shared" si="5"/>
        <v>245</v>
      </c>
      <c r="I74">
        <f t="shared" si="5"/>
        <v>104</v>
      </c>
      <c r="J74">
        <f t="shared" si="5"/>
        <v>316</v>
      </c>
      <c r="K74" t="str" cm="1">
        <f t="array" ref="K74">_xlfn.IFS(H74&gt;=$U$1,"kostka",I74&gt;=$U$1*$R$3,"orzech",J74&gt;=$U$1*$R$4,"miał",1=1,"NIC")</f>
        <v>kostka</v>
      </c>
      <c r="L74">
        <f t="shared" si="7"/>
        <v>45</v>
      </c>
      <c r="M74">
        <f t="shared" si="8"/>
        <v>104</v>
      </c>
      <c r="N74">
        <f t="shared" si="9"/>
        <v>316</v>
      </c>
    </row>
    <row r="75" spans="1:14" x14ac:dyDescent="0.25">
      <c r="A75" s="1">
        <v>42000</v>
      </c>
      <c r="B75">
        <f t="shared" si="6"/>
        <v>45</v>
      </c>
      <c r="C75">
        <f t="shared" si="6"/>
        <v>104</v>
      </c>
      <c r="D75">
        <f t="shared" si="6"/>
        <v>316</v>
      </c>
      <c r="E75">
        <v>33</v>
      </c>
      <c r="F75">
        <v>59</v>
      </c>
      <c r="G75">
        <v>46</v>
      </c>
      <c r="H75">
        <f t="shared" si="5"/>
        <v>78</v>
      </c>
      <c r="I75">
        <f t="shared" si="5"/>
        <v>163</v>
      </c>
      <c r="J75">
        <f t="shared" si="5"/>
        <v>362</v>
      </c>
      <c r="K75" t="str" cm="1">
        <f t="array" ref="K75">_xlfn.IFS(H75&gt;=$U$1,"kostka",I75&gt;=$U$1*$R$3,"orzech",J75&gt;=$U$1*$R$4,"miał",1=1,"NIC")</f>
        <v>miał</v>
      </c>
      <c r="L75">
        <f t="shared" si="7"/>
        <v>78</v>
      </c>
      <c r="M75">
        <f t="shared" si="8"/>
        <v>163</v>
      </c>
      <c r="N75">
        <f t="shared" si="9"/>
        <v>42</v>
      </c>
    </row>
    <row r="76" spans="1:14" x14ac:dyDescent="0.25">
      <c r="A76" s="1">
        <v>42001</v>
      </c>
      <c r="B76">
        <f t="shared" si="6"/>
        <v>78</v>
      </c>
      <c r="C76">
        <f t="shared" si="6"/>
        <v>163</v>
      </c>
      <c r="D76">
        <f t="shared" si="6"/>
        <v>42</v>
      </c>
      <c r="E76">
        <v>119</v>
      </c>
      <c r="F76">
        <v>57</v>
      </c>
      <c r="G76">
        <v>67</v>
      </c>
      <c r="H76">
        <f t="shared" si="5"/>
        <v>197</v>
      </c>
      <c r="I76">
        <f t="shared" si="5"/>
        <v>220</v>
      </c>
      <c r="J76">
        <f t="shared" si="5"/>
        <v>109</v>
      </c>
      <c r="K76" t="str" cm="1">
        <f t="array" ref="K76">_xlfn.IFS(H76&gt;=$U$1,"kostka",I76&gt;=$U$1*$R$3,"orzech",J76&gt;=$U$1*$R$4,"miał",1=1,"NIC")</f>
        <v>NIC</v>
      </c>
      <c r="L76">
        <f t="shared" si="7"/>
        <v>197</v>
      </c>
      <c r="M76">
        <f t="shared" si="8"/>
        <v>220</v>
      </c>
      <c r="N76">
        <f t="shared" si="9"/>
        <v>109</v>
      </c>
    </row>
    <row r="77" spans="1:14" x14ac:dyDescent="0.25">
      <c r="A77" s="1">
        <v>42002</v>
      </c>
      <c r="B77">
        <f t="shared" si="6"/>
        <v>197</v>
      </c>
      <c r="C77">
        <f t="shared" si="6"/>
        <v>220</v>
      </c>
      <c r="D77">
        <f t="shared" si="6"/>
        <v>109</v>
      </c>
      <c r="E77">
        <v>58</v>
      </c>
      <c r="F77">
        <v>176</v>
      </c>
      <c r="G77">
        <v>16</v>
      </c>
      <c r="H77">
        <f t="shared" si="5"/>
        <v>255</v>
      </c>
      <c r="I77">
        <f t="shared" si="5"/>
        <v>396</v>
      </c>
      <c r="J77">
        <f t="shared" si="5"/>
        <v>125</v>
      </c>
      <c r="K77" t="str" cm="1">
        <f t="array" ref="K77">_xlfn.IFS(H77&gt;=$U$1,"kostka",I77&gt;=$U$1*$R$3,"orzech",J77&gt;=$U$1*$R$4,"miał",1=1,"NIC")</f>
        <v>kostka</v>
      </c>
      <c r="L77">
        <f t="shared" si="7"/>
        <v>55</v>
      </c>
      <c r="M77">
        <f t="shared" si="8"/>
        <v>396</v>
      </c>
      <c r="N77">
        <f t="shared" si="9"/>
        <v>125</v>
      </c>
    </row>
    <row r="78" spans="1:14" x14ac:dyDescent="0.25">
      <c r="A78" s="1">
        <v>42003</v>
      </c>
      <c r="B78">
        <f t="shared" si="6"/>
        <v>55</v>
      </c>
      <c r="C78">
        <f t="shared" si="6"/>
        <v>396</v>
      </c>
      <c r="D78">
        <f t="shared" si="6"/>
        <v>125</v>
      </c>
      <c r="E78">
        <v>174</v>
      </c>
      <c r="F78">
        <v>61</v>
      </c>
      <c r="G78">
        <v>46</v>
      </c>
      <c r="H78">
        <f t="shared" si="5"/>
        <v>229</v>
      </c>
      <c r="I78">
        <f t="shared" si="5"/>
        <v>457</v>
      </c>
      <c r="J78">
        <f t="shared" si="5"/>
        <v>171</v>
      </c>
      <c r="K78" t="str" cm="1">
        <f t="array" ref="K78">_xlfn.IFS(H78&gt;=$U$1,"kostka",I78&gt;=$U$1*$R$3,"orzech",J78&gt;=$U$1*$R$4,"miał",1=1,"NIC")</f>
        <v>kostka</v>
      </c>
      <c r="L78">
        <f t="shared" si="7"/>
        <v>29</v>
      </c>
      <c r="M78">
        <f t="shared" si="8"/>
        <v>457</v>
      </c>
      <c r="N78">
        <f t="shared" si="9"/>
        <v>171</v>
      </c>
    </row>
    <row r="79" spans="1:14" x14ac:dyDescent="0.25">
      <c r="A79" s="1">
        <v>42004</v>
      </c>
      <c r="B79">
        <f t="shared" si="6"/>
        <v>29</v>
      </c>
      <c r="C79">
        <f t="shared" si="6"/>
        <v>457</v>
      </c>
      <c r="D79">
        <f t="shared" si="6"/>
        <v>171</v>
      </c>
      <c r="E79">
        <v>45</v>
      </c>
      <c r="F79">
        <v>154</v>
      </c>
      <c r="G79">
        <v>0</v>
      </c>
      <c r="H79">
        <f t="shared" si="5"/>
        <v>74</v>
      </c>
      <c r="I79">
        <f t="shared" si="5"/>
        <v>611</v>
      </c>
      <c r="J79">
        <f t="shared" si="5"/>
        <v>171</v>
      </c>
      <c r="K79" t="str" cm="1">
        <f t="array" ref="K79">_xlfn.IFS(H79&gt;=$U$1,"kostka",I79&gt;=$U$1*$R$3,"orzech",J79&gt;=$U$1*$R$4,"miał",1=1,"NIC")</f>
        <v>orzech</v>
      </c>
      <c r="L79">
        <f t="shared" si="7"/>
        <v>74</v>
      </c>
      <c r="M79">
        <f t="shared" si="8"/>
        <v>351</v>
      </c>
      <c r="N79">
        <f t="shared" si="9"/>
        <v>171</v>
      </c>
    </row>
    <row r="80" spans="1:14" x14ac:dyDescent="0.25">
      <c r="A80" s="1">
        <v>42005</v>
      </c>
      <c r="B80">
        <f t="shared" si="6"/>
        <v>74</v>
      </c>
      <c r="C80">
        <f t="shared" si="6"/>
        <v>351</v>
      </c>
      <c r="D80">
        <f t="shared" si="6"/>
        <v>171</v>
      </c>
      <c r="E80">
        <v>94</v>
      </c>
      <c r="F80">
        <v>120</v>
      </c>
      <c r="G80">
        <v>95</v>
      </c>
      <c r="H80">
        <f t="shared" si="5"/>
        <v>168</v>
      </c>
      <c r="I80">
        <f t="shared" si="5"/>
        <v>471</v>
      </c>
      <c r="J80">
        <f t="shared" si="5"/>
        <v>266</v>
      </c>
      <c r="K80" t="str" cm="1">
        <f t="array" ref="K80">_xlfn.IFS(H80&gt;=$U$1,"kostka",I80&gt;=$U$1*$R$3,"orzech",J80&gt;=$U$1*$R$4,"miał",1=1,"NIC")</f>
        <v>orzech</v>
      </c>
      <c r="L80">
        <f t="shared" si="7"/>
        <v>168</v>
      </c>
      <c r="M80">
        <f t="shared" si="8"/>
        <v>211</v>
      </c>
      <c r="N80">
        <f t="shared" si="9"/>
        <v>266</v>
      </c>
    </row>
    <row r="81" spans="1:14" x14ac:dyDescent="0.25">
      <c r="A81" s="1">
        <v>42006</v>
      </c>
      <c r="B81">
        <f t="shared" si="6"/>
        <v>168</v>
      </c>
      <c r="C81">
        <f t="shared" si="6"/>
        <v>211</v>
      </c>
      <c r="D81">
        <f t="shared" si="6"/>
        <v>266</v>
      </c>
      <c r="E81">
        <v>12</v>
      </c>
      <c r="F81">
        <v>5</v>
      </c>
      <c r="G81">
        <v>42</v>
      </c>
      <c r="H81">
        <f t="shared" si="5"/>
        <v>180</v>
      </c>
      <c r="I81">
        <f t="shared" si="5"/>
        <v>216</v>
      </c>
      <c r="J81">
        <f t="shared" si="5"/>
        <v>308</v>
      </c>
      <c r="K81" t="str" cm="1">
        <f t="array" ref="K81">_xlfn.IFS(H81&gt;=$U$1,"kostka",I81&gt;=$U$1*$R$3,"orzech",J81&gt;=$U$1*$R$4,"miał",1=1,"NIC")</f>
        <v>NIC</v>
      </c>
      <c r="L81">
        <f t="shared" si="7"/>
        <v>180</v>
      </c>
      <c r="M81">
        <f t="shared" si="8"/>
        <v>216</v>
      </c>
      <c r="N81">
        <f t="shared" si="9"/>
        <v>308</v>
      </c>
    </row>
    <row r="82" spans="1:14" x14ac:dyDescent="0.25">
      <c r="A82" s="1">
        <v>42007</v>
      </c>
      <c r="B82">
        <f t="shared" si="6"/>
        <v>180</v>
      </c>
      <c r="C82">
        <f t="shared" si="6"/>
        <v>216</v>
      </c>
      <c r="D82">
        <f t="shared" si="6"/>
        <v>308</v>
      </c>
      <c r="E82">
        <v>80</v>
      </c>
      <c r="F82">
        <v>170</v>
      </c>
      <c r="G82">
        <v>96</v>
      </c>
      <c r="H82">
        <f t="shared" si="5"/>
        <v>260</v>
      </c>
      <c r="I82">
        <f t="shared" si="5"/>
        <v>386</v>
      </c>
      <c r="J82">
        <f t="shared" si="5"/>
        <v>404</v>
      </c>
      <c r="K82" t="str" cm="1">
        <f t="array" ref="K82">_xlfn.IFS(H82&gt;=$U$1,"kostka",I82&gt;=$U$1*$R$3,"orzech",J82&gt;=$U$1*$R$4,"miał",1=1,"NIC")</f>
        <v>kostka</v>
      </c>
      <c r="L82">
        <f t="shared" si="7"/>
        <v>60</v>
      </c>
      <c r="M82">
        <f t="shared" si="8"/>
        <v>386</v>
      </c>
      <c r="N82">
        <f t="shared" si="9"/>
        <v>404</v>
      </c>
    </row>
    <row r="83" spans="1:14" x14ac:dyDescent="0.25">
      <c r="A83" s="1">
        <v>42008</v>
      </c>
      <c r="B83">
        <f t="shared" si="6"/>
        <v>60</v>
      </c>
      <c r="C83">
        <f t="shared" si="6"/>
        <v>386</v>
      </c>
      <c r="D83">
        <f t="shared" si="6"/>
        <v>404</v>
      </c>
      <c r="E83">
        <v>80</v>
      </c>
      <c r="F83">
        <v>10</v>
      </c>
      <c r="G83">
        <v>30</v>
      </c>
      <c r="H83">
        <f t="shared" si="5"/>
        <v>140</v>
      </c>
      <c r="I83">
        <f t="shared" si="5"/>
        <v>396</v>
      </c>
      <c r="J83">
        <f t="shared" si="5"/>
        <v>434</v>
      </c>
      <c r="K83" t="str" cm="1">
        <f t="array" ref="K83">_xlfn.IFS(H83&gt;=$U$1,"kostka",I83&gt;=$U$1*$R$3,"orzech",J83&gt;=$U$1*$R$4,"miał",1=1,"NIC")</f>
        <v>orzech</v>
      </c>
      <c r="L83">
        <f t="shared" si="7"/>
        <v>140</v>
      </c>
      <c r="M83">
        <f t="shared" si="8"/>
        <v>136</v>
      </c>
      <c r="N83">
        <f t="shared" si="9"/>
        <v>434</v>
      </c>
    </row>
    <row r="84" spans="1:14" x14ac:dyDescent="0.25">
      <c r="A84" s="1">
        <v>42009</v>
      </c>
      <c r="B84">
        <f t="shared" si="6"/>
        <v>140</v>
      </c>
      <c r="C84">
        <f t="shared" si="6"/>
        <v>136</v>
      </c>
      <c r="D84">
        <f t="shared" si="6"/>
        <v>434</v>
      </c>
      <c r="E84">
        <v>90</v>
      </c>
      <c r="F84">
        <v>80</v>
      </c>
      <c r="G84">
        <v>31</v>
      </c>
      <c r="H84">
        <f t="shared" si="5"/>
        <v>230</v>
      </c>
      <c r="I84">
        <f t="shared" si="5"/>
        <v>216</v>
      </c>
      <c r="J84">
        <f t="shared" si="5"/>
        <v>465</v>
      </c>
      <c r="K84" t="str" cm="1">
        <f t="array" ref="K84">_xlfn.IFS(H84&gt;=$U$1,"kostka",I84&gt;=$U$1*$R$3,"orzech",J84&gt;=$U$1*$R$4,"miał",1=1,"NIC")</f>
        <v>kostka</v>
      </c>
      <c r="L84">
        <f t="shared" si="7"/>
        <v>30</v>
      </c>
      <c r="M84">
        <f t="shared" si="8"/>
        <v>216</v>
      </c>
      <c r="N84">
        <f t="shared" si="9"/>
        <v>465</v>
      </c>
    </row>
    <row r="85" spans="1:14" x14ac:dyDescent="0.25">
      <c r="A85" s="1">
        <v>42010</v>
      </c>
      <c r="B85">
        <f t="shared" si="6"/>
        <v>30</v>
      </c>
      <c r="C85">
        <f t="shared" si="6"/>
        <v>216</v>
      </c>
      <c r="D85">
        <f t="shared" si="6"/>
        <v>465</v>
      </c>
      <c r="E85">
        <v>130</v>
      </c>
      <c r="F85">
        <v>163</v>
      </c>
      <c r="G85">
        <v>92</v>
      </c>
      <c r="H85">
        <f t="shared" si="5"/>
        <v>160</v>
      </c>
      <c r="I85">
        <f t="shared" si="5"/>
        <v>379</v>
      </c>
      <c r="J85">
        <f t="shared" si="5"/>
        <v>557</v>
      </c>
      <c r="K85" t="str" cm="1">
        <f t="array" ref="K85">_xlfn.IFS(H85&gt;=$U$1,"kostka",I85&gt;=$U$1*$R$3,"orzech",J85&gt;=$U$1*$R$4,"miał",1=1,"NIC")</f>
        <v>orzech</v>
      </c>
      <c r="L85">
        <f t="shared" si="7"/>
        <v>160</v>
      </c>
      <c r="M85">
        <f t="shared" si="8"/>
        <v>119</v>
      </c>
      <c r="N85">
        <f t="shared" si="9"/>
        <v>557</v>
      </c>
    </row>
    <row r="86" spans="1:14" x14ac:dyDescent="0.25">
      <c r="A86" s="1">
        <v>42011</v>
      </c>
      <c r="B86">
        <f t="shared" si="6"/>
        <v>160</v>
      </c>
      <c r="C86">
        <f t="shared" si="6"/>
        <v>119</v>
      </c>
      <c r="D86">
        <f t="shared" si="6"/>
        <v>557</v>
      </c>
      <c r="E86">
        <v>54</v>
      </c>
      <c r="F86">
        <v>7</v>
      </c>
      <c r="G86">
        <v>79</v>
      </c>
      <c r="H86">
        <f t="shared" si="5"/>
        <v>214</v>
      </c>
      <c r="I86">
        <f t="shared" si="5"/>
        <v>126</v>
      </c>
      <c r="J86">
        <f t="shared" si="5"/>
        <v>636</v>
      </c>
      <c r="K86" t="str" cm="1">
        <f t="array" ref="K86">_xlfn.IFS(H86&gt;=$U$1,"kostka",I86&gt;=$U$1*$R$3,"orzech",J86&gt;=$U$1*$R$4,"miał",1=1,"NIC")</f>
        <v>kostka</v>
      </c>
      <c r="L86">
        <f t="shared" si="7"/>
        <v>14</v>
      </c>
      <c r="M86">
        <f t="shared" si="8"/>
        <v>126</v>
      </c>
      <c r="N86">
        <f t="shared" si="9"/>
        <v>636</v>
      </c>
    </row>
    <row r="87" spans="1:14" x14ac:dyDescent="0.25">
      <c r="A87" s="1">
        <v>42012</v>
      </c>
      <c r="B87">
        <f t="shared" si="6"/>
        <v>14</v>
      </c>
      <c r="C87">
        <f t="shared" si="6"/>
        <v>126</v>
      </c>
      <c r="D87">
        <f t="shared" si="6"/>
        <v>636</v>
      </c>
      <c r="E87">
        <v>88</v>
      </c>
      <c r="F87">
        <v>125</v>
      </c>
      <c r="G87">
        <v>97</v>
      </c>
      <c r="H87">
        <f t="shared" si="5"/>
        <v>102</v>
      </c>
      <c r="I87">
        <f t="shared" si="5"/>
        <v>251</v>
      </c>
      <c r="J87">
        <f t="shared" si="5"/>
        <v>733</v>
      </c>
      <c r="K87" t="str" cm="1">
        <f t="array" ref="K87">_xlfn.IFS(H87&gt;=$U$1,"kostka",I87&gt;=$U$1*$R$3,"orzech",J87&gt;=$U$1*$R$4,"miał",1=1,"NIC")</f>
        <v>miał</v>
      </c>
      <c r="L87">
        <f t="shared" si="7"/>
        <v>102</v>
      </c>
      <c r="M87">
        <f t="shared" si="8"/>
        <v>251</v>
      </c>
      <c r="N87">
        <f t="shared" si="9"/>
        <v>413</v>
      </c>
    </row>
    <row r="88" spans="1:14" x14ac:dyDescent="0.25">
      <c r="A88" s="1">
        <v>42013</v>
      </c>
      <c r="B88">
        <f t="shared" si="6"/>
        <v>102</v>
      </c>
      <c r="C88">
        <f t="shared" si="6"/>
        <v>251</v>
      </c>
      <c r="D88">
        <f t="shared" si="6"/>
        <v>413</v>
      </c>
      <c r="E88">
        <v>83</v>
      </c>
      <c r="F88">
        <v>85</v>
      </c>
      <c r="G88">
        <v>99</v>
      </c>
      <c r="H88">
        <f t="shared" si="5"/>
        <v>185</v>
      </c>
      <c r="I88">
        <f t="shared" si="5"/>
        <v>336</v>
      </c>
      <c r="J88">
        <f t="shared" si="5"/>
        <v>512</v>
      </c>
      <c r="K88" t="str" cm="1">
        <f t="array" ref="K88">_xlfn.IFS(H88&gt;=$U$1,"kostka",I88&gt;=$U$1*$R$3,"orzech",J88&gt;=$U$1*$R$4,"miał",1=1,"NIC")</f>
        <v>orzech</v>
      </c>
      <c r="L88">
        <f t="shared" si="7"/>
        <v>185</v>
      </c>
      <c r="M88">
        <f t="shared" si="8"/>
        <v>76</v>
      </c>
      <c r="N88">
        <f t="shared" si="9"/>
        <v>512</v>
      </c>
    </row>
    <row r="89" spans="1:14" x14ac:dyDescent="0.25">
      <c r="A89" s="1">
        <v>42014</v>
      </c>
      <c r="B89">
        <f t="shared" si="6"/>
        <v>185</v>
      </c>
      <c r="C89">
        <f t="shared" si="6"/>
        <v>76</v>
      </c>
      <c r="D89">
        <f t="shared" si="6"/>
        <v>512</v>
      </c>
      <c r="E89">
        <v>139</v>
      </c>
      <c r="F89">
        <v>155</v>
      </c>
      <c r="G89">
        <v>11</v>
      </c>
      <c r="H89">
        <f t="shared" si="5"/>
        <v>324</v>
      </c>
      <c r="I89">
        <f t="shared" si="5"/>
        <v>231</v>
      </c>
      <c r="J89">
        <f t="shared" si="5"/>
        <v>523</v>
      </c>
      <c r="K89" t="str" cm="1">
        <f t="array" ref="K89">_xlfn.IFS(H89&gt;=$U$1,"kostka",I89&gt;=$U$1*$R$3,"orzech",J89&gt;=$U$1*$R$4,"miał",1=1,"NIC")</f>
        <v>kostka</v>
      </c>
      <c r="L89">
        <f t="shared" si="7"/>
        <v>124</v>
      </c>
      <c r="M89">
        <f t="shared" si="8"/>
        <v>231</v>
      </c>
      <c r="N89">
        <f t="shared" si="9"/>
        <v>523</v>
      </c>
    </row>
    <row r="90" spans="1:14" x14ac:dyDescent="0.25">
      <c r="A90" s="1">
        <v>42015</v>
      </c>
      <c r="B90">
        <f t="shared" si="6"/>
        <v>124</v>
      </c>
      <c r="C90">
        <f t="shared" si="6"/>
        <v>231</v>
      </c>
      <c r="D90">
        <f t="shared" si="6"/>
        <v>523</v>
      </c>
      <c r="E90">
        <v>82</v>
      </c>
      <c r="F90">
        <v>43</v>
      </c>
      <c r="G90">
        <v>93</v>
      </c>
      <c r="H90">
        <f t="shared" si="5"/>
        <v>206</v>
      </c>
      <c r="I90">
        <f t="shared" si="5"/>
        <v>274</v>
      </c>
      <c r="J90">
        <f t="shared" si="5"/>
        <v>616</v>
      </c>
      <c r="K90" t="str" cm="1">
        <f t="array" ref="K90">_xlfn.IFS(H90&gt;=$U$1,"kostka",I90&gt;=$U$1*$R$3,"orzech",J90&gt;=$U$1*$R$4,"miał",1=1,"NIC")</f>
        <v>kostka</v>
      </c>
      <c r="L90">
        <f t="shared" si="7"/>
        <v>6</v>
      </c>
      <c r="M90">
        <f t="shared" si="8"/>
        <v>274</v>
      </c>
      <c r="N90">
        <f t="shared" si="9"/>
        <v>616</v>
      </c>
    </row>
    <row r="91" spans="1:14" x14ac:dyDescent="0.25">
      <c r="A91" s="1">
        <v>42016</v>
      </c>
      <c r="B91">
        <f t="shared" si="6"/>
        <v>6</v>
      </c>
      <c r="C91">
        <f t="shared" si="6"/>
        <v>274</v>
      </c>
      <c r="D91">
        <f t="shared" si="6"/>
        <v>616</v>
      </c>
      <c r="E91">
        <v>23</v>
      </c>
      <c r="F91">
        <v>40</v>
      </c>
      <c r="G91">
        <v>83</v>
      </c>
      <c r="H91">
        <f t="shared" si="5"/>
        <v>29</v>
      </c>
      <c r="I91">
        <f t="shared" si="5"/>
        <v>314</v>
      </c>
      <c r="J91">
        <f t="shared" si="5"/>
        <v>699</v>
      </c>
      <c r="K91" t="str" cm="1">
        <f t="array" ref="K91">_xlfn.IFS(H91&gt;=$U$1,"kostka",I91&gt;=$U$1*$R$3,"orzech",J91&gt;=$U$1*$R$4,"miał",1=1,"NIC")</f>
        <v>orzech</v>
      </c>
      <c r="L91">
        <f t="shared" si="7"/>
        <v>29</v>
      </c>
      <c r="M91">
        <f t="shared" si="8"/>
        <v>54</v>
      </c>
      <c r="N91">
        <f t="shared" si="9"/>
        <v>699</v>
      </c>
    </row>
    <row r="92" spans="1:14" x14ac:dyDescent="0.25">
      <c r="A92" s="1">
        <v>42017</v>
      </c>
      <c r="B92">
        <f t="shared" si="6"/>
        <v>29</v>
      </c>
      <c r="C92">
        <f t="shared" si="6"/>
        <v>54</v>
      </c>
      <c r="D92">
        <f t="shared" si="6"/>
        <v>699</v>
      </c>
      <c r="E92">
        <v>118</v>
      </c>
      <c r="F92">
        <v>165</v>
      </c>
      <c r="G92">
        <v>56</v>
      </c>
      <c r="H92">
        <f t="shared" si="5"/>
        <v>147</v>
      </c>
      <c r="I92">
        <f t="shared" si="5"/>
        <v>219</v>
      </c>
      <c r="J92">
        <f t="shared" si="5"/>
        <v>755</v>
      </c>
      <c r="K92" t="str" cm="1">
        <f t="array" ref="K92">_xlfn.IFS(H92&gt;=$U$1,"kostka",I92&gt;=$U$1*$R$3,"orzech",J92&gt;=$U$1*$R$4,"miał",1=1,"NIC")</f>
        <v>miał</v>
      </c>
      <c r="L92">
        <f t="shared" si="7"/>
        <v>147</v>
      </c>
      <c r="M92">
        <f t="shared" si="8"/>
        <v>219</v>
      </c>
      <c r="N92">
        <f t="shared" si="9"/>
        <v>435</v>
      </c>
    </row>
    <row r="93" spans="1:14" x14ac:dyDescent="0.25">
      <c r="A93" s="1">
        <v>42018</v>
      </c>
      <c r="B93">
        <f t="shared" si="6"/>
        <v>147</v>
      </c>
      <c r="C93">
        <f t="shared" si="6"/>
        <v>219</v>
      </c>
      <c r="D93">
        <f t="shared" si="6"/>
        <v>435</v>
      </c>
      <c r="E93">
        <v>59</v>
      </c>
      <c r="F93">
        <v>35</v>
      </c>
      <c r="G93">
        <v>17</v>
      </c>
      <c r="H93">
        <f t="shared" si="5"/>
        <v>206</v>
      </c>
      <c r="I93">
        <f t="shared" si="5"/>
        <v>254</v>
      </c>
      <c r="J93">
        <f t="shared" si="5"/>
        <v>452</v>
      </c>
      <c r="K93" t="str" cm="1">
        <f t="array" ref="K93">_xlfn.IFS(H93&gt;=$U$1,"kostka",I93&gt;=$U$1*$R$3,"orzech",J93&gt;=$U$1*$R$4,"miał",1=1,"NIC")</f>
        <v>kostka</v>
      </c>
      <c r="L93">
        <f t="shared" si="7"/>
        <v>6</v>
      </c>
      <c r="M93">
        <f t="shared" si="8"/>
        <v>254</v>
      </c>
      <c r="N93">
        <f t="shared" si="9"/>
        <v>452</v>
      </c>
    </row>
    <row r="94" spans="1:14" x14ac:dyDescent="0.25">
      <c r="A94" s="1">
        <v>42019</v>
      </c>
      <c r="B94">
        <f t="shared" si="6"/>
        <v>6</v>
      </c>
      <c r="C94">
        <f t="shared" si="6"/>
        <v>254</v>
      </c>
      <c r="D94">
        <f t="shared" si="6"/>
        <v>452</v>
      </c>
      <c r="E94">
        <v>127</v>
      </c>
      <c r="F94">
        <v>58</v>
      </c>
      <c r="G94">
        <v>39</v>
      </c>
      <c r="H94">
        <f t="shared" si="5"/>
        <v>133</v>
      </c>
      <c r="I94">
        <f t="shared" si="5"/>
        <v>312</v>
      </c>
      <c r="J94">
        <f t="shared" si="5"/>
        <v>491</v>
      </c>
      <c r="K94" t="str" cm="1">
        <f t="array" ref="K94">_xlfn.IFS(H94&gt;=$U$1,"kostka",I94&gt;=$U$1*$R$3,"orzech",J94&gt;=$U$1*$R$4,"miał",1=1,"NIC")</f>
        <v>orzech</v>
      </c>
      <c r="L94">
        <f t="shared" si="7"/>
        <v>133</v>
      </c>
      <c r="M94">
        <f t="shared" si="8"/>
        <v>52</v>
      </c>
      <c r="N94">
        <f t="shared" si="9"/>
        <v>491</v>
      </c>
    </row>
    <row r="95" spans="1:14" x14ac:dyDescent="0.25">
      <c r="A95" s="1">
        <v>42020</v>
      </c>
      <c r="B95">
        <f t="shared" si="6"/>
        <v>133</v>
      </c>
      <c r="C95">
        <f t="shared" si="6"/>
        <v>52</v>
      </c>
      <c r="D95">
        <f t="shared" si="6"/>
        <v>491</v>
      </c>
      <c r="E95">
        <v>121</v>
      </c>
      <c r="F95">
        <v>175</v>
      </c>
      <c r="G95">
        <v>77</v>
      </c>
      <c r="H95">
        <f t="shared" si="5"/>
        <v>254</v>
      </c>
      <c r="I95">
        <f t="shared" si="5"/>
        <v>227</v>
      </c>
      <c r="J95">
        <f t="shared" si="5"/>
        <v>568</v>
      </c>
      <c r="K95" t="str" cm="1">
        <f t="array" ref="K95">_xlfn.IFS(H95&gt;=$U$1,"kostka",I95&gt;=$U$1*$R$3,"orzech",J95&gt;=$U$1*$R$4,"miał",1=1,"NIC")</f>
        <v>kostka</v>
      </c>
      <c r="L95">
        <f t="shared" si="7"/>
        <v>54</v>
      </c>
      <c r="M95">
        <f t="shared" si="8"/>
        <v>227</v>
      </c>
      <c r="N95">
        <f t="shared" si="9"/>
        <v>568</v>
      </c>
    </row>
    <row r="96" spans="1:14" x14ac:dyDescent="0.25">
      <c r="A96" s="1">
        <v>42021</v>
      </c>
      <c r="B96">
        <f t="shared" si="6"/>
        <v>54</v>
      </c>
      <c r="C96">
        <f t="shared" si="6"/>
        <v>227</v>
      </c>
      <c r="D96">
        <f t="shared" si="6"/>
        <v>568</v>
      </c>
      <c r="E96">
        <v>80</v>
      </c>
      <c r="F96">
        <v>101</v>
      </c>
      <c r="G96">
        <v>3</v>
      </c>
      <c r="H96">
        <f t="shared" si="5"/>
        <v>134</v>
      </c>
      <c r="I96">
        <f t="shared" si="5"/>
        <v>328</v>
      </c>
      <c r="J96">
        <f t="shared" si="5"/>
        <v>571</v>
      </c>
      <c r="K96" t="str" cm="1">
        <f t="array" ref="K96">_xlfn.IFS(H96&gt;=$U$1,"kostka",I96&gt;=$U$1*$R$3,"orzech",J96&gt;=$U$1*$R$4,"miał",1=1,"NIC")</f>
        <v>orzech</v>
      </c>
      <c r="L96">
        <f t="shared" si="7"/>
        <v>134</v>
      </c>
      <c r="M96">
        <f t="shared" si="8"/>
        <v>68</v>
      </c>
      <c r="N96">
        <f t="shared" si="9"/>
        <v>571</v>
      </c>
    </row>
    <row r="97" spans="1:14" x14ac:dyDescent="0.25">
      <c r="A97" s="1">
        <v>42022</v>
      </c>
      <c r="B97">
        <f t="shared" si="6"/>
        <v>134</v>
      </c>
      <c r="C97">
        <f t="shared" si="6"/>
        <v>68</v>
      </c>
      <c r="D97">
        <f t="shared" si="6"/>
        <v>571</v>
      </c>
      <c r="E97">
        <v>189</v>
      </c>
      <c r="F97">
        <v>161</v>
      </c>
      <c r="G97">
        <v>53</v>
      </c>
      <c r="H97">
        <f t="shared" si="5"/>
        <v>323</v>
      </c>
      <c r="I97">
        <f t="shared" si="5"/>
        <v>229</v>
      </c>
      <c r="J97">
        <f t="shared" si="5"/>
        <v>624</v>
      </c>
      <c r="K97" t="str" cm="1">
        <f t="array" ref="K97">_xlfn.IFS(H97&gt;=$U$1,"kostka",I97&gt;=$U$1*$R$3,"orzech",J97&gt;=$U$1*$R$4,"miał",1=1,"NIC")</f>
        <v>kostka</v>
      </c>
      <c r="L97">
        <f t="shared" si="7"/>
        <v>123</v>
      </c>
      <c r="M97">
        <f t="shared" si="8"/>
        <v>229</v>
      </c>
      <c r="N97">
        <f t="shared" si="9"/>
        <v>624</v>
      </c>
    </row>
    <row r="98" spans="1:14" x14ac:dyDescent="0.25">
      <c r="A98" s="1">
        <v>42023</v>
      </c>
      <c r="B98">
        <f t="shared" si="6"/>
        <v>123</v>
      </c>
      <c r="C98">
        <f t="shared" si="6"/>
        <v>229</v>
      </c>
      <c r="D98">
        <f t="shared" si="6"/>
        <v>624</v>
      </c>
      <c r="E98">
        <v>18</v>
      </c>
      <c r="F98">
        <v>61</v>
      </c>
      <c r="G98">
        <v>19</v>
      </c>
      <c r="H98">
        <f t="shared" si="5"/>
        <v>141</v>
      </c>
      <c r="I98">
        <f t="shared" si="5"/>
        <v>290</v>
      </c>
      <c r="J98">
        <f t="shared" si="5"/>
        <v>643</v>
      </c>
      <c r="K98" t="str" cm="1">
        <f t="array" ref="K98">_xlfn.IFS(H98&gt;=$U$1,"kostka",I98&gt;=$U$1*$R$3,"orzech",J98&gt;=$U$1*$R$4,"miał",1=1,"NIC")</f>
        <v>orzech</v>
      </c>
      <c r="L98">
        <f t="shared" si="7"/>
        <v>141</v>
      </c>
      <c r="M98">
        <f t="shared" si="8"/>
        <v>30</v>
      </c>
      <c r="N98">
        <f t="shared" si="9"/>
        <v>643</v>
      </c>
    </row>
    <row r="99" spans="1:14" x14ac:dyDescent="0.25">
      <c r="A99" s="1">
        <v>42024</v>
      </c>
      <c r="B99">
        <f t="shared" si="6"/>
        <v>141</v>
      </c>
      <c r="C99">
        <f t="shared" si="6"/>
        <v>30</v>
      </c>
      <c r="D99">
        <f t="shared" si="6"/>
        <v>643</v>
      </c>
      <c r="E99">
        <v>68</v>
      </c>
      <c r="F99">
        <v>127</v>
      </c>
      <c r="G99">
        <v>3</v>
      </c>
      <c r="H99">
        <f t="shared" si="5"/>
        <v>209</v>
      </c>
      <c r="I99">
        <f t="shared" si="5"/>
        <v>157</v>
      </c>
      <c r="J99">
        <f t="shared" si="5"/>
        <v>646</v>
      </c>
      <c r="K99" t="str" cm="1">
        <f t="array" ref="K99">_xlfn.IFS(H99&gt;=$U$1,"kostka",I99&gt;=$U$1*$R$3,"orzech",J99&gt;=$U$1*$R$4,"miał",1=1,"NIC")</f>
        <v>kostka</v>
      </c>
      <c r="L99">
        <f t="shared" si="7"/>
        <v>9</v>
      </c>
      <c r="M99">
        <f t="shared" si="8"/>
        <v>157</v>
      </c>
      <c r="N99">
        <f t="shared" si="9"/>
        <v>646</v>
      </c>
    </row>
    <row r="100" spans="1:14" x14ac:dyDescent="0.25">
      <c r="A100" s="1">
        <v>42025</v>
      </c>
      <c r="B100">
        <f t="shared" si="6"/>
        <v>9</v>
      </c>
      <c r="C100">
        <f t="shared" si="6"/>
        <v>157</v>
      </c>
      <c r="D100">
        <f t="shared" si="6"/>
        <v>646</v>
      </c>
      <c r="E100">
        <v>37</v>
      </c>
      <c r="F100">
        <v>112</v>
      </c>
      <c r="G100">
        <v>68</v>
      </c>
      <c r="H100">
        <f t="shared" si="5"/>
        <v>46</v>
      </c>
      <c r="I100">
        <f t="shared" si="5"/>
        <v>269</v>
      </c>
      <c r="J100">
        <f t="shared" si="5"/>
        <v>714</v>
      </c>
      <c r="K100" t="str" cm="1">
        <f t="array" ref="K100">_xlfn.IFS(H100&gt;=$U$1,"kostka",I100&gt;=$U$1*$R$3,"orzech",J100&gt;=$U$1*$R$4,"miał",1=1,"NIC")</f>
        <v>orzech</v>
      </c>
      <c r="L100">
        <f t="shared" si="7"/>
        <v>46</v>
      </c>
      <c r="M100">
        <f t="shared" si="8"/>
        <v>9</v>
      </c>
      <c r="N100">
        <f t="shared" si="9"/>
        <v>714</v>
      </c>
    </row>
    <row r="101" spans="1:14" x14ac:dyDescent="0.25">
      <c r="A101" s="1">
        <v>42026</v>
      </c>
      <c r="B101">
        <f t="shared" si="6"/>
        <v>46</v>
      </c>
      <c r="C101">
        <f t="shared" si="6"/>
        <v>9</v>
      </c>
      <c r="D101">
        <f t="shared" si="6"/>
        <v>714</v>
      </c>
      <c r="E101">
        <v>40</v>
      </c>
      <c r="F101">
        <v>140</v>
      </c>
      <c r="G101">
        <v>15</v>
      </c>
      <c r="H101">
        <f t="shared" si="5"/>
        <v>86</v>
      </c>
      <c r="I101">
        <f t="shared" si="5"/>
        <v>149</v>
      </c>
      <c r="J101">
        <f t="shared" si="5"/>
        <v>729</v>
      </c>
      <c r="K101" t="str" cm="1">
        <f t="array" ref="K101">_xlfn.IFS(H101&gt;=$U$1,"kostka",I101&gt;=$U$1*$R$3,"orzech",J101&gt;=$U$1*$R$4,"miał",1=1,"NIC")</f>
        <v>miał</v>
      </c>
      <c r="L101">
        <f t="shared" si="7"/>
        <v>86</v>
      </c>
      <c r="M101">
        <f t="shared" si="8"/>
        <v>149</v>
      </c>
      <c r="N101">
        <f t="shared" si="9"/>
        <v>409</v>
      </c>
    </row>
    <row r="102" spans="1:14" x14ac:dyDescent="0.25">
      <c r="A102" s="1">
        <v>42027</v>
      </c>
      <c r="B102">
        <f t="shared" si="6"/>
        <v>86</v>
      </c>
      <c r="C102">
        <f t="shared" si="6"/>
        <v>149</v>
      </c>
      <c r="D102">
        <f t="shared" si="6"/>
        <v>409</v>
      </c>
      <c r="E102">
        <v>189</v>
      </c>
      <c r="F102">
        <v>87</v>
      </c>
      <c r="G102">
        <v>64</v>
      </c>
      <c r="H102">
        <f t="shared" si="5"/>
        <v>275</v>
      </c>
      <c r="I102">
        <f t="shared" si="5"/>
        <v>236</v>
      </c>
      <c r="J102">
        <f t="shared" si="5"/>
        <v>473</v>
      </c>
      <c r="K102" t="str" cm="1">
        <f t="array" ref="K102">_xlfn.IFS(H102&gt;=$U$1,"kostka",I102&gt;=$U$1*$R$3,"orzech",J102&gt;=$U$1*$R$4,"miał",1=1,"NIC")</f>
        <v>kostka</v>
      </c>
      <c r="L102">
        <f t="shared" si="7"/>
        <v>75</v>
      </c>
      <c r="M102">
        <f t="shared" si="8"/>
        <v>236</v>
      </c>
      <c r="N102">
        <f t="shared" si="9"/>
        <v>473</v>
      </c>
    </row>
    <row r="103" spans="1:14" x14ac:dyDescent="0.25">
      <c r="A103" s="1">
        <v>42028</v>
      </c>
      <c r="B103">
        <f t="shared" si="6"/>
        <v>75</v>
      </c>
      <c r="C103">
        <f t="shared" si="6"/>
        <v>236</v>
      </c>
      <c r="D103">
        <f t="shared" si="6"/>
        <v>473</v>
      </c>
      <c r="E103">
        <v>145</v>
      </c>
      <c r="F103">
        <v>18</v>
      </c>
      <c r="G103">
        <v>1</v>
      </c>
      <c r="H103">
        <f t="shared" si="5"/>
        <v>220</v>
      </c>
      <c r="I103">
        <f t="shared" si="5"/>
        <v>254</v>
      </c>
      <c r="J103">
        <f t="shared" si="5"/>
        <v>474</v>
      </c>
      <c r="K103" t="str" cm="1">
        <f t="array" ref="K103">_xlfn.IFS(H103&gt;=$U$1,"kostka",I103&gt;=$U$1*$R$3,"orzech",J103&gt;=$U$1*$R$4,"miał",1=1,"NIC")</f>
        <v>kostka</v>
      </c>
      <c r="L103">
        <f t="shared" si="7"/>
        <v>20</v>
      </c>
      <c r="M103">
        <f t="shared" si="8"/>
        <v>254</v>
      </c>
      <c r="N103">
        <f t="shared" si="9"/>
        <v>474</v>
      </c>
    </row>
    <row r="104" spans="1:14" x14ac:dyDescent="0.25">
      <c r="A104" s="1">
        <v>42029</v>
      </c>
      <c r="B104">
        <f t="shared" si="6"/>
        <v>20</v>
      </c>
      <c r="C104">
        <f t="shared" si="6"/>
        <v>254</v>
      </c>
      <c r="D104">
        <f t="shared" si="6"/>
        <v>474</v>
      </c>
      <c r="E104">
        <v>148</v>
      </c>
      <c r="F104">
        <v>27</v>
      </c>
      <c r="G104">
        <v>13</v>
      </c>
      <c r="H104">
        <f t="shared" si="5"/>
        <v>168</v>
      </c>
      <c r="I104">
        <f t="shared" si="5"/>
        <v>281</v>
      </c>
      <c r="J104">
        <f t="shared" si="5"/>
        <v>487</v>
      </c>
      <c r="K104" t="str" cm="1">
        <f t="array" ref="K104">_xlfn.IFS(H104&gt;=$U$1,"kostka",I104&gt;=$U$1*$R$3,"orzech",J104&gt;=$U$1*$R$4,"miał",1=1,"NIC")</f>
        <v>orzech</v>
      </c>
      <c r="L104">
        <f t="shared" si="7"/>
        <v>168</v>
      </c>
      <c r="M104">
        <f t="shared" si="8"/>
        <v>21</v>
      </c>
      <c r="N104">
        <f t="shared" si="9"/>
        <v>487</v>
      </c>
    </row>
    <row r="105" spans="1:14" x14ac:dyDescent="0.25">
      <c r="A105" s="1">
        <v>42030</v>
      </c>
      <c r="B105">
        <f t="shared" si="6"/>
        <v>168</v>
      </c>
      <c r="C105">
        <f t="shared" si="6"/>
        <v>21</v>
      </c>
      <c r="D105">
        <f t="shared" si="6"/>
        <v>487</v>
      </c>
      <c r="E105">
        <v>127</v>
      </c>
      <c r="F105">
        <v>161</v>
      </c>
      <c r="G105">
        <v>31</v>
      </c>
      <c r="H105">
        <f t="shared" si="5"/>
        <v>295</v>
      </c>
      <c r="I105">
        <f t="shared" si="5"/>
        <v>182</v>
      </c>
      <c r="J105">
        <f t="shared" si="5"/>
        <v>518</v>
      </c>
      <c r="K105" t="str" cm="1">
        <f t="array" ref="K105">_xlfn.IFS(H105&gt;=$U$1,"kostka",I105&gt;=$U$1*$R$3,"orzech",J105&gt;=$U$1*$R$4,"miał",1=1,"NIC")</f>
        <v>kostka</v>
      </c>
      <c r="L105">
        <f t="shared" si="7"/>
        <v>95</v>
      </c>
      <c r="M105">
        <f t="shared" si="8"/>
        <v>182</v>
      </c>
      <c r="N105">
        <f t="shared" si="9"/>
        <v>518</v>
      </c>
    </row>
    <row r="106" spans="1:14" x14ac:dyDescent="0.25">
      <c r="A106" s="1">
        <v>42031</v>
      </c>
      <c r="B106">
        <f t="shared" si="6"/>
        <v>95</v>
      </c>
      <c r="C106">
        <f t="shared" si="6"/>
        <v>182</v>
      </c>
      <c r="D106">
        <f t="shared" si="6"/>
        <v>518</v>
      </c>
      <c r="E106">
        <v>131</v>
      </c>
      <c r="F106">
        <v>1</v>
      </c>
      <c r="G106">
        <v>98</v>
      </c>
      <c r="H106">
        <f t="shared" si="5"/>
        <v>226</v>
      </c>
      <c r="I106">
        <f t="shared" si="5"/>
        <v>183</v>
      </c>
      <c r="J106">
        <f t="shared" si="5"/>
        <v>616</v>
      </c>
      <c r="K106" t="str" cm="1">
        <f t="array" ref="K106">_xlfn.IFS(H106&gt;=$U$1,"kostka",I106&gt;=$U$1*$R$3,"orzech",J106&gt;=$U$1*$R$4,"miał",1=1,"NIC")</f>
        <v>kostka</v>
      </c>
      <c r="L106">
        <f t="shared" si="7"/>
        <v>26</v>
      </c>
      <c r="M106">
        <f t="shared" si="8"/>
        <v>183</v>
      </c>
      <c r="N106">
        <f t="shared" si="9"/>
        <v>616</v>
      </c>
    </row>
    <row r="107" spans="1:14" x14ac:dyDescent="0.25">
      <c r="A107" s="1">
        <v>42032</v>
      </c>
      <c r="B107">
        <f t="shared" si="6"/>
        <v>26</v>
      </c>
      <c r="C107">
        <f t="shared" si="6"/>
        <v>183</v>
      </c>
      <c r="D107">
        <f t="shared" si="6"/>
        <v>616</v>
      </c>
      <c r="E107">
        <v>142</v>
      </c>
      <c r="F107">
        <v>131</v>
      </c>
      <c r="G107">
        <v>62</v>
      </c>
      <c r="H107">
        <f t="shared" si="5"/>
        <v>168</v>
      </c>
      <c r="I107">
        <f t="shared" si="5"/>
        <v>314</v>
      </c>
      <c r="J107">
        <f t="shared" si="5"/>
        <v>678</v>
      </c>
      <c r="K107" t="str" cm="1">
        <f t="array" ref="K107">_xlfn.IFS(H107&gt;=$U$1,"kostka",I107&gt;=$U$1*$R$3,"orzech",J107&gt;=$U$1*$R$4,"miał",1=1,"NIC")</f>
        <v>orzech</v>
      </c>
      <c r="L107">
        <f t="shared" si="7"/>
        <v>168</v>
      </c>
      <c r="M107">
        <f t="shared" si="8"/>
        <v>54</v>
      </c>
      <c r="N107">
        <f t="shared" si="9"/>
        <v>678</v>
      </c>
    </row>
    <row r="108" spans="1:14" x14ac:dyDescent="0.25">
      <c r="A108" s="1">
        <v>42033</v>
      </c>
      <c r="B108">
        <f t="shared" si="6"/>
        <v>168</v>
      </c>
      <c r="C108">
        <f t="shared" si="6"/>
        <v>54</v>
      </c>
      <c r="D108">
        <f t="shared" si="6"/>
        <v>678</v>
      </c>
      <c r="E108">
        <v>121</v>
      </c>
      <c r="F108">
        <v>150</v>
      </c>
      <c r="G108">
        <v>25</v>
      </c>
      <c r="H108">
        <f t="shared" si="5"/>
        <v>289</v>
      </c>
      <c r="I108">
        <f t="shared" si="5"/>
        <v>204</v>
      </c>
      <c r="J108">
        <f t="shared" si="5"/>
        <v>703</v>
      </c>
      <c r="K108" t="str" cm="1">
        <f t="array" ref="K108">_xlfn.IFS(H108&gt;=$U$1,"kostka",I108&gt;=$U$1*$R$3,"orzech",J108&gt;=$U$1*$R$4,"miał",1=1,"NIC")</f>
        <v>kostka</v>
      </c>
      <c r="L108">
        <f t="shared" si="7"/>
        <v>89</v>
      </c>
      <c r="M108">
        <f t="shared" si="8"/>
        <v>204</v>
      </c>
      <c r="N108">
        <f t="shared" si="9"/>
        <v>703</v>
      </c>
    </row>
    <row r="109" spans="1:14" x14ac:dyDescent="0.25">
      <c r="A109" s="1">
        <v>42034</v>
      </c>
      <c r="B109">
        <f t="shared" si="6"/>
        <v>89</v>
      </c>
      <c r="C109">
        <f t="shared" si="6"/>
        <v>204</v>
      </c>
      <c r="D109">
        <f t="shared" si="6"/>
        <v>703</v>
      </c>
      <c r="E109">
        <v>33</v>
      </c>
      <c r="F109">
        <v>113</v>
      </c>
      <c r="G109">
        <v>62</v>
      </c>
      <c r="H109">
        <f t="shared" si="5"/>
        <v>122</v>
      </c>
      <c r="I109">
        <f t="shared" si="5"/>
        <v>317</v>
      </c>
      <c r="J109">
        <f t="shared" si="5"/>
        <v>765</v>
      </c>
      <c r="K109" t="str" cm="1">
        <f t="array" ref="K109">_xlfn.IFS(H109&gt;=$U$1,"kostka",I109&gt;=$U$1*$R$3,"orzech",J109&gt;=$U$1*$R$4,"miał",1=1,"NIC")</f>
        <v>orzech</v>
      </c>
      <c r="L109">
        <f t="shared" si="7"/>
        <v>122</v>
      </c>
      <c r="M109">
        <f t="shared" si="8"/>
        <v>57</v>
      </c>
      <c r="N109">
        <f t="shared" si="9"/>
        <v>765</v>
      </c>
    </row>
    <row r="110" spans="1:14" x14ac:dyDescent="0.25">
      <c r="A110" s="1">
        <v>42035</v>
      </c>
      <c r="B110">
        <f t="shared" si="6"/>
        <v>122</v>
      </c>
      <c r="C110">
        <f t="shared" si="6"/>
        <v>57</v>
      </c>
      <c r="D110">
        <f t="shared" si="6"/>
        <v>765</v>
      </c>
      <c r="E110">
        <v>142</v>
      </c>
      <c r="F110">
        <v>44</v>
      </c>
      <c r="G110">
        <v>92</v>
      </c>
      <c r="H110">
        <f t="shared" si="5"/>
        <v>264</v>
      </c>
      <c r="I110">
        <f t="shared" si="5"/>
        <v>101</v>
      </c>
      <c r="J110">
        <f t="shared" si="5"/>
        <v>857</v>
      </c>
      <c r="K110" t="str" cm="1">
        <f t="array" ref="K110">_xlfn.IFS(H110&gt;=$U$1,"kostka",I110&gt;=$U$1*$R$3,"orzech",J110&gt;=$U$1*$R$4,"miał",1=1,"NIC")</f>
        <v>kostka</v>
      </c>
      <c r="L110">
        <f t="shared" si="7"/>
        <v>64</v>
      </c>
      <c r="M110">
        <f t="shared" si="8"/>
        <v>101</v>
      </c>
      <c r="N110">
        <f t="shared" si="9"/>
        <v>857</v>
      </c>
    </row>
    <row r="111" spans="1:14" x14ac:dyDescent="0.25">
      <c r="A111" s="1">
        <v>42036</v>
      </c>
      <c r="B111">
        <f t="shared" si="6"/>
        <v>64</v>
      </c>
      <c r="C111">
        <f t="shared" si="6"/>
        <v>101</v>
      </c>
      <c r="D111">
        <f t="shared" si="6"/>
        <v>857</v>
      </c>
      <c r="E111">
        <v>119</v>
      </c>
      <c r="F111">
        <v>167</v>
      </c>
      <c r="G111">
        <v>64</v>
      </c>
      <c r="H111">
        <f t="shared" si="5"/>
        <v>183</v>
      </c>
      <c r="I111">
        <f t="shared" si="5"/>
        <v>268</v>
      </c>
      <c r="J111">
        <f t="shared" si="5"/>
        <v>921</v>
      </c>
      <c r="K111" t="str" cm="1">
        <f t="array" ref="K111">_xlfn.IFS(H111&gt;=$U$1,"kostka",I111&gt;=$U$1*$R$3,"orzech",J111&gt;=$U$1*$R$4,"miał",1=1,"NIC")</f>
        <v>orzech</v>
      </c>
      <c r="L111">
        <f t="shared" si="7"/>
        <v>183</v>
      </c>
      <c r="M111">
        <f t="shared" si="8"/>
        <v>8</v>
      </c>
      <c r="N111">
        <f t="shared" si="9"/>
        <v>921</v>
      </c>
    </row>
    <row r="112" spans="1:14" x14ac:dyDescent="0.25">
      <c r="A112" s="1">
        <v>42037</v>
      </c>
      <c r="B112">
        <f t="shared" si="6"/>
        <v>183</v>
      </c>
      <c r="C112">
        <f t="shared" si="6"/>
        <v>8</v>
      </c>
      <c r="D112">
        <f t="shared" si="6"/>
        <v>921</v>
      </c>
      <c r="E112">
        <v>54</v>
      </c>
      <c r="F112">
        <v>109</v>
      </c>
      <c r="G112">
        <v>65</v>
      </c>
      <c r="H112">
        <f t="shared" si="5"/>
        <v>237</v>
      </c>
      <c r="I112">
        <f t="shared" si="5"/>
        <v>117</v>
      </c>
      <c r="J112">
        <f t="shared" si="5"/>
        <v>986</v>
      </c>
      <c r="K112" t="str" cm="1">
        <f t="array" ref="K112">_xlfn.IFS(H112&gt;=$U$1,"kostka",I112&gt;=$U$1*$R$3,"orzech",J112&gt;=$U$1*$R$4,"miał",1=1,"NIC")</f>
        <v>kostka</v>
      </c>
      <c r="L112">
        <f t="shared" si="7"/>
        <v>37</v>
      </c>
      <c r="M112">
        <f t="shared" si="8"/>
        <v>117</v>
      </c>
      <c r="N112">
        <f t="shared" si="9"/>
        <v>986</v>
      </c>
    </row>
    <row r="113" spans="1:14" x14ac:dyDescent="0.25">
      <c r="A113" s="1">
        <v>42038</v>
      </c>
      <c r="B113">
        <f t="shared" si="6"/>
        <v>37</v>
      </c>
      <c r="C113">
        <f t="shared" si="6"/>
        <v>117</v>
      </c>
      <c r="D113">
        <f t="shared" si="6"/>
        <v>986</v>
      </c>
      <c r="E113">
        <v>53</v>
      </c>
      <c r="F113">
        <v>94</v>
      </c>
      <c r="G113">
        <v>43</v>
      </c>
      <c r="H113">
        <f t="shared" si="5"/>
        <v>90</v>
      </c>
      <c r="I113">
        <f t="shared" si="5"/>
        <v>211</v>
      </c>
      <c r="J113">
        <f t="shared" si="5"/>
        <v>1029</v>
      </c>
      <c r="K113" t="str" cm="1">
        <f t="array" ref="K113">_xlfn.IFS(H113&gt;=$U$1,"kostka",I113&gt;=$U$1*$R$3,"orzech",J113&gt;=$U$1*$R$4,"miał",1=1,"NIC")</f>
        <v>miał</v>
      </c>
      <c r="L113">
        <f t="shared" si="7"/>
        <v>90</v>
      </c>
      <c r="M113">
        <f t="shared" si="8"/>
        <v>211</v>
      </c>
      <c r="N113">
        <f t="shared" si="9"/>
        <v>709</v>
      </c>
    </row>
    <row r="114" spans="1:14" x14ac:dyDescent="0.25">
      <c r="A114" s="1">
        <v>42039</v>
      </c>
      <c r="B114">
        <f t="shared" si="6"/>
        <v>90</v>
      </c>
      <c r="C114">
        <f t="shared" si="6"/>
        <v>211</v>
      </c>
      <c r="D114">
        <f t="shared" si="6"/>
        <v>709</v>
      </c>
      <c r="E114">
        <v>165</v>
      </c>
      <c r="F114">
        <v>101</v>
      </c>
      <c r="G114">
        <v>8</v>
      </c>
      <c r="H114">
        <f t="shared" si="5"/>
        <v>255</v>
      </c>
      <c r="I114">
        <f t="shared" si="5"/>
        <v>312</v>
      </c>
      <c r="J114">
        <f t="shared" si="5"/>
        <v>717</v>
      </c>
      <c r="K114" t="str" cm="1">
        <f t="array" ref="K114">_xlfn.IFS(H114&gt;=$U$1,"kostka",I114&gt;=$U$1*$R$3,"orzech",J114&gt;=$U$1*$R$4,"miał",1=1,"NIC")</f>
        <v>kostka</v>
      </c>
      <c r="L114">
        <f t="shared" si="7"/>
        <v>55</v>
      </c>
      <c r="M114">
        <f t="shared" si="8"/>
        <v>312</v>
      </c>
      <c r="N114">
        <f t="shared" si="9"/>
        <v>717</v>
      </c>
    </row>
    <row r="115" spans="1:14" x14ac:dyDescent="0.25">
      <c r="A115" s="1">
        <v>42040</v>
      </c>
      <c r="B115">
        <f t="shared" si="6"/>
        <v>55</v>
      </c>
      <c r="C115">
        <f t="shared" si="6"/>
        <v>312</v>
      </c>
      <c r="D115">
        <f t="shared" si="6"/>
        <v>717</v>
      </c>
      <c r="E115">
        <v>159</v>
      </c>
      <c r="F115">
        <v>68</v>
      </c>
      <c r="G115">
        <v>96</v>
      </c>
      <c r="H115">
        <f t="shared" si="5"/>
        <v>214</v>
      </c>
      <c r="I115">
        <f t="shared" si="5"/>
        <v>380</v>
      </c>
      <c r="J115">
        <f t="shared" si="5"/>
        <v>813</v>
      </c>
      <c r="K115" t="str" cm="1">
        <f t="array" ref="K115">_xlfn.IFS(H115&gt;=$U$1,"kostka",I115&gt;=$U$1*$R$3,"orzech",J115&gt;=$U$1*$R$4,"miał",1=1,"NIC")</f>
        <v>kostka</v>
      </c>
      <c r="L115">
        <f t="shared" si="7"/>
        <v>14</v>
      </c>
      <c r="M115">
        <f t="shared" si="8"/>
        <v>380</v>
      </c>
      <c r="N115">
        <f t="shared" si="9"/>
        <v>813</v>
      </c>
    </row>
    <row r="116" spans="1:14" x14ac:dyDescent="0.25">
      <c r="A116" s="1">
        <v>42041</v>
      </c>
      <c r="B116">
        <f t="shared" si="6"/>
        <v>14</v>
      </c>
      <c r="C116">
        <f t="shared" si="6"/>
        <v>380</v>
      </c>
      <c r="D116">
        <f t="shared" si="6"/>
        <v>813</v>
      </c>
      <c r="E116">
        <v>79</v>
      </c>
      <c r="F116">
        <v>119</v>
      </c>
      <c r="G116">
        <v>35</v>
      </c>
      <c r="H116">
        <f t="shared" si="5"/>
        <v>93</v>
      </c>
      <c r="I116">
        <f t="shared" si="5"/>
        <v>499</v>
      </c>
      <c r="J116">
        <f t="shared" si="5"/>
        <v>848</v>
      </c>
      <c r="K116" t="str" cm="1">
        <f t="array" ref="K116">_xlfn.IFS(H116&gt;=$U$1,"kostka",I116&gt;=$U$1*$R$3,"orzech",J116&gt;=$U$1*$R$4,"miał",1=1,"NIC")</f>
        <v>orzech</v>
      </c>
      <c r="L116">
        <f t="shared" si="7"/>
        <v>93</v>
      </c>
      <c r="M116">
        <f t="shared" si="8"/>
        <v>239</v>
      </c>
      <c r="N116">
        <f t="shared" si="9"/>
        <v>848</v>
      </c>
    </row>
    <row r="117" spans="1:14" x14ac:dyDescent="0.25">
      <c r="A117" s="1">
        <v>42042</v>
      </c>
      <c r="B117">
        <f t="shared" si="6"/>
        <v>93</v>
      </c>
      <c r="C117">
        <f t="shared" si="6"/>
        <v>239</v>
      </c>
      <c r="D117">
        <f t="shared" si="6"/>
        <v>848</v>
      </c>
      <c r="E117">
        <v>128</v>
      </c>
      <c r="F117">
        <v>148</v>
      </c>
      <c r="G117">
        <v>77</v>
      </c>
      <c r="H117">
        <f t="shared" si="5"/>
        <v>221</v>
      </c>
      <c r="I117">
        <f t="shared" si="5"/>
        <v>387</v>
      </c>
      <c r="J117">
        <f t="shared" si="5"/>
        <v>925</v>
      </c>
      <c r="K117" t="str" cm="1">
        <f t="array" ref="K117">_xlfn.IFS(H117&gt;=$U$1,"kostka",I117&gt;=$U$1*$R$3,"orzech",J117&gt;=$U$1*$R$4,"miał",1=1,"NIC")</f>
        <v>kostka</v>
      </c>
      <c r="L117">
        <f t="shared" si="7"/>
        <v>21</v>
      </c>
      <c r="M117">
        <f t="shared" si="8"/>
        <v>387</v>
      </c>
      <c r="N117">
        <f t="shared" si="9"/>
        <v>925</v>
      </c>
    </row>
    <row r="118" spans="1:14" x14ac:dyDescent="0.25">
      <c r="A118" s="1">
        <v>42043</v>
      </c>
      <c r="B118">
        <f t="shared" si="6"/>
        <v>21</v>
      </c>
      <c r="C118">
        <f t="shared" si="6"/>
        <v>387</v>
      </c>
      <c r="D118">
        <f t="shared" si="6"/>
        <v>925</v>
      </c>
      <c r="E118">
        <v>195</v>
      </c>
      <c r="F118">
        <v>39</v>
      </c>
      <c r="G118">
        <v>77</v>
      </c>
      <c r="H118">
        <f t="shared" si="5"/>
        <v>216</v>
      </c>
      <c r="I118">
        <f t="shared" si="5"/>
        <v>426</v>
      </c>
      <c r="J118">
        <f t="shared" si="5"/>
        <v>1002</v>
      </c>
      <c r="K118" t="str" cm="1">
        <f t="array" ref="K118">_xlfn.IFS(H118&gt;=$U$1,"kostka",I118&gt;=$U$1*$R$3,"orzech",J118&gt;=$U$1*$R$4,"miał",1=1,"NIC")</f>
        <v>kostka</v>
      </c>
      <c r="L118">
        <f t="shared" si="7"/>
        <v>16</v>
      </c>
      <c r="M118">
        <f t="shared" si="8"/>
        <v>426</v>
      </c>
      <c r="N118">
        <f t="shared" si="9"/>
        <v>1002</v>
      </c>
    </row>
    <row r="119" spans="1:14" x14ac:dyDescent="0.25">
      <c r="A119" s="1">
        <v>42044</v>
      </c>
      <c r="B119">
        <f t="shared" si="6"/>
        <v>16</v>
      </c>
      <c r="C119">
        <f t="shared" si="6"/>
        <v>426</v>
      </c>
      <c r="D119">
        <f t="shared" si="6"/>
        <v>1002</v>
      </c>
      <c r="E119">
        <v>87</v>
      </c>
      <c r="F119">
        <v>8</v>
      </c>
      <c r="G119">
        <v>17</v>
      </c>
      <c r="H119">
        <f t="shared" si="5"/>
        <v>103</v>
      </c>
      <c r="I119">
        <f t="shared" si="5"/>
        <v>434</v>
      </c>
      <c r="J119">
        <f t="shared" si="5"/>
        <v>1019</v>
      </c>
      <c r="K119" t="str" cm="1">
        <f t="array" ref="K119">_xlfn.IFS(H119&gt;=$U$1,"kostka",I119&gt;=$U$1*$R$3,"orzech",J119&gt;=$U$1*$R$4,"miał",1=1,"NIC")</f>
        <v>orzech</v>
      </c>
      <c r="L119">
        <f t="shared" si="7"/>
        <v>103</v>
      </c>
      <c r="M119">
        <f t="shared" si="8"/>
        <v>174</v>
      </c>
      <c r="N119">
        <f t="shared" si="9"/>
        <v>1019</v>
      </c>
    </row>
    <row r="120" spans="1:14" x14ac:dyDescent="0.25">
      <c r="A120" s="1">
        <v>42045</v>
      </c>
      <c r="B120">
        <f t="shared" si="6"/>
        <v>103</v>
      </c>
      <c r="C120">
        <f t="shared" si="6"/>
        <v>174</v>
      </c>
      <c r="D120">
        <f t="shared" si="6"/>
        <v>1019</v>
      </c>
      <c r="E120">
        <v>114</v>
      </c>
      <c r="F120">
        <v>124</v>
      </c>
      <c r="G120">
        <v>94</v>
      </c>
      <c r="H120">
        <f t="shared" si="5"/>
        <v>217</v>
      </c>
      <c r="I120">
        <f t="shared" si="5"/>
        <v>298</v>
      </c>
      <c r="J120">
        <f t="shared" si="5"/>
        <v>1113</v>
      </c>
      <c r="K120" t="str" cm="1">
        <f t="array" ref="K120">_xlfn.IFS(H120&gt;=$U$1,"kostka",I120&gt;=$U$1*$R$3,"orzech",J120&gt;=$U$1*$R$4,"miał",1=1,"NIC")</f>
        <v>kostka</v>
      </c>
      <c r="L120">
        <f t="shared" si="7"/>
        <v>17</v>
      </c>
      <c r="M120">
        <f t="shared" si="8"/>
        <v>298</v>
      </c>
      <c r="N120">
        <f t="shared" si="9"/>
        <v>1113</v>
      </c>
    </row>
    <row r="121" spans="1:14" x14ac:dyDescent="0.25">
      <c r="A121" s="1">
        <v>42046</v>
      </c>
      <c r="B121">
        <f t="shared" si="6"/>
        <v>17</v>
      </c>
      <c r="C121">
        <f t="shared" si="6"/>
        <v>298</v>
      </c>
      <c r="D121">
        <f t="shared" si="6"/>
        <v>1113</v>
      </c>
      <c r="E121">
        <v>126</v>
      </c>
      <c r="F121">
        <v>122</v>
      </c>
      <c r="G121">
        <v>39</v>
      </c>
      <c r="H121">
        <f t="shared" si="5"/>
        <v>143</v>
      </c>
      <c r="I121">
        <f t="shared" si="5"/>
        <v>420</v>
      </c>
      <c r="J121">
        <f t="shared" si="5"/>
        <v>1152</v>
      </c>
      <c r="K121" t="str" cm="1">
        <f t="array" ref="K121">_xlfn.IFS(H121&gt;=$U$1,"kostka",I121&gt;=$U$1*$R$3,"orzech",J121&gt;=$U$1*$R$4,"miał",1=1,"NIC")</f>
        <v>orzech</v>
      </c>
      <c r="L121">
        <f t="shared" si="7"/>
        <v>143</v>
      </c>
      <c r="M121">
        <f t="shared" si="8"/>
        <v>160</v>
      </c>
      <c r="N121">
        <f t="shared" si="9"/>
        <v>1152</v>
      </c>
    </row>
    <row r="122" spans="1:14" x14ac:dyDescent="0.25">
      <c r="A122" s="1">
        <v>42047</v>
      </c>
      <c r="B122">
        <f t="shared" si="6"/>
        <v>143</v>
      </c>
      <c r="C122">
        <f t="shared" si="6"/>
        <v>160</v>
      </c>
      <c r="D122">
        <f t="shared" si="6"/>
        <v>1152</v>
      </c>
      <c r="E122">
        <v>96</v>
      </c>
      <c r="F122">
        <v>113</v>
      </c>
      <c r="G122">
        <v>28</v>
      </c>
      <c r="H122">
        <f t="shared" si="5"/>
        <v>239</v>
      </c>
      <c r="I122">
        <f t="shared" si="5"/>
        <v>273</v>
      </c>
      <c r="J122">
        <f t="shared" si="5"/>
        <v>1180</v>
      </c>
      <c r="K122" t="str" cm="1">
        <f t="array" ref="K122">_xlfn.IFS(H122&gt;=$U$1,"kostka",I122&gt;=$U$1*$R$3,"orzech",J122&gt;=$U$1*$R$4,"miał",1=1,"NIC")</f>
        <v>kostka</v>
      </c>
      <c r="L122">
        <f t="shared" si="7"/>
        <v>39</v>
      </c>
      <c r="M122">
        <f t="shared" si="8"/>
        <v>273</v>
      </c>
      <c r="N122">
        <f t="shared" si="9"/>
        <v>1180</v>
      </c>
    </row>
    <row r="123" spans="1:14" x14ac:dyDescent="0.25">
      <c r="A123" s="1">
        <v>42048</v>
      </c>
      <c r="B123">
        <f t="shared" si="6"/>
        <v>39</v>
      </c>
      <c r="C123">
        <f t="shared" si="6"/>
        <v>273</v>
      </c>
      <c r="D123">
        <f t="shared" si="6"/>
        <v>1180</v>
      </c>
      <c r="E123">
        <v>165</v>
      </c>
      <c r="F123">
        <v>4</v>
      </c>
      <c r="G123">
        <v>83</v>
      </c>
      <c r="H123">
        <f t="shared" si="5"/>
        <v>204</v>
      </c>
      <c r="I123">
        <f t="shared" si="5"/>
        <v>277</v>
      </c>
      <c r="J123">
        <f t="shared" si="5"/>
        <v>1263</v>
      </c>
      <c r="K123" t="str" cm="1">
        <f t="array" ref="K123">_xlfn.IFS(H123&gt;=$U$1,"kostka",I123&gt;=$U$1*$R$3,"orzech",J123&gt;=$U$1*$R$4,"miał",1=1,"NIC")</f>
        <v>kostka</v>
      </c>
      <c r="L123">
        <f t="shared" si="7"/>
        <v>4</v>
      </c>
      <c r="M123">
        <f t="shared" si="8"/>
        <v>277</v>
      </c>
      <c r="N123">
        <f t="shared" si="9"/>
        <v>1263</v>
      </c>
    </row>
    <row r="124" spans="1:14" x14ac:dyDescent="0.25">
      <c r="A124" s="1">
        <v>42049</v>
      </c>
      <c r="B124">
        <f t="shared" si="6"/>
        <v>4</v>
      </c>
      <c r="C124">
        <f t="shared" si="6"/>
        <v>277</v>
      </c>
      <c r="D124">
        <f t="shared" si="6"/>
        <v>1263</v>
      </c>
      <c r="E124">
        <v>1</v>
      </c>
      <c r="F124">
        <v>117</v>
      </c>
      <c r="G124">
        <v>76</v>
      </c>
      <c r="H124">
        <f t="shared" si="5"/>
        <v>5</v>
      </c>
      <c r="I124">
        <f t="shared" si="5"/>
        <v>394</v>
      </c>
      <c r="J124">
        <f t="shared" si="5"/>
        <v>1339</v>
      </c>
      <c r="K124" t="str" cm="1">
        <f t="array" ref="K124">_xlfn.IFS(H124&gt;=$U$1,"kostka",I124&gt;=$U$1*$R$3,"orzech",J124&gt;=$U$1*$R$4,"miał",1=1,"NIC")</f>
        <v>orzech</v>
      </c>
      <c r="L124">
        <f t="shared" si="7"/>
        <v>5</v>
      </c>
      <c r="M124">
        <f t="shared" si="8"/>
        <v>134</v>
      </c>
      <c r="N124">
        <f t="shared" si="9"/>
        <v>1339</v>
      </c>
    </row>
    <row r="125" spans="1:14" x14ac:dyDescent="0.25">
      <c r="A125" s="1">
        <v>42050</v>
      </c>
      <c r="B125">
        <f t="shared" si="6"/>
        <v>5</v>
      </c>
      <c r="C125">
        <f t="shared" si="6"/>
        <v>134</v>
      </c>
      <c r="D125">
        <f t="shared" si="6"/>
        <v>1339</v>
      </c>
      <c r="E125">
        <v>107</v>
      </c>
      <c r="F125">
        <v>70</v>
      </c>
      <c r="G125">
        <v>28</v>
      </c>
      <c r="H125">
        <f t="shared" si="5"/>
        <v>112</v>
      </c>
      <c r="I125">
        <f t="shared" si="5"/>
        <v>204</v>
      </c>
      <c r="J125">
        <f t="shared" si="5"/>
        <v>1367</v>
      </c>
      <c r="K125" t="str" cm="1">
        <f t="array" ref="K125">_xlfn.IFS(H125&gt;=$U$1,"kostka",I125&gt;=$U$1*$R$3,"orzech",J125&gt;=$U$1*$R$4,"miał",1=1,"NIC")</f>
        <v>miał</v>
      </c>
      <c r="L125">
        <f t="shared" si="7"/>
        <v>112</v>
      </c>
      <c r="M125">
        <f t="shared" si="8"/>
        <v>204</v>
      </c>
      <c r="N125">
        <f t="shared" si="9"/>
        <v>1047</v>
      </c>
    </row>
    <row r="126" spans="1:14" x14ac:dyDescent="0.25">
      <c r="A126" s="1">
        <v>42051</v>
      </c>
      <c r="B126">
        <f t="shared" si="6"/>
        <v>112</v>
      </c>
      <c r="C126">
        <f t="shared" si="6"/>
        <v>204</v>
      </c>
      <c r="D126">
        <f t="shared" si="6"/>
        <v>1047</v>
      </c>
      <c r="E126">
        <v>83</v>
      </c>
      <c r="F126">
        <v>81</v>
      </c>
      <c r="G126">
        <v>1</v>
      </c>
      <c r="H126">
        <f t="shared" si="5"/>
        <v>195</v>
      </c>
      <c r="I126">
        <f t="shared" si="5"/>
        <v>285</v>
      </c>
      <c r="J126">
        <f t="shared" si="5"/>
        <v>1048</v>
      </c>
      <c r="K126" t="str" cm="1">
        <f t="array" ref="K126">_xlfn.IFS(H126&gt;=$U$1,"kostka",I126&gt;=$U$1*$R$3,"orzech",J126&gt;=$U$1*$R$4,"miał",1=1,"NIC")</f>
        <v>orzech</v>
      </c>
      <c r="L126">
        <f t="shared" si="7"/>
        <v>195</v>
      </c>
      <c r="M126">
        <f t="shared" si="8"/>
        <v>25</v>
      </c>
      <c r="N126">
        <f t="shared" si="9"/>
        <v>1048</v>
      </c>
    </row>
    <row r="127" spans="1:14" x14ac:dyDescent="0.25">
      <c r="A127" s="1">
        <v>42052</v>
      </c>
      <c r="B127">
        <f t="shared" si="6"/>
        <v>195</v>
      </c>
      <c r="C127">
        <f t="shared" si="6"/>
        <v>25</v>
      </c>
      <c r="D127">
        <f t="shared" si="6"/>
        <v>1048</v>
      </c>
      <c r="E127">
        <v>43</v>
      </c>
      <c r="F127">
        <v>109</v>
      </c>
      <c r="G127">
        <v>50</v>
      </c>
      <c r="H127">
        <f t="shared" si="5"/>
        <v>238</v>
      </c>
      <c r="I127">
        <f t="shared" si="5"/>
        <v>134</v>
      </c>
      <c r="J127">
        <f t="shared" si="5"/>
        <v>1098</v>
      </c>
      <c r="K127" t="str" cm="1">
        <f t="array" ref="K127">_xlfn.IFS(H127&gt;=$U$1,"kostka",I127&gt;=$U$1*$R$3,"orzech",J127&gt;=$U$1*$R$4,"miał",1=1,"NIC")</f>
        <v>kostka</v>
      </c>
      <c r="L127">
        <f t="shared" si="7"/>
        <v>38</v>
      </c>
      <c r="M127">
        <f t="shared" si="8"/>
        <v>134</v>
      </c>
      <c r="N127">
        <f t="shared" si="9"/>
        <v>1098</v>
      </c>
    </row>
    <row r="128" spans="1:14" x14ac:dyDescent="0.25">
      <c r="A128" s="1">
        <v>42053</v>
      </c>
      <c r="B128">
        <f t="shared" si="6"/>
        <v>38</v>
      </c>
      <c r="C128">
        <f t="shared" si="6"/>
        <v>134</v>
      </c>
      <c r="D128">
        <f t="shared" si="6"/>
        <v>1098</v>
      </c>
      <c r="E128">
        <v>52</v>
      </c>
      <c r="F128">
        <v>110</v>
      </c>
      <c r="G128">
        <v>19</v>
      </c>
      <c r="H128">
        <f t="shared" si="5"/>
        <v>90</v>
      </c>
      <c r="I128">
        <f t="shared" si="5"/>
        <v>244</v>
      </c>
      <c r="J128">
        <f t="shared" si="5"/>
        <v>1117</v>
      </c>
      <c r="K128" t="str" cm="1">
        <f t="array" ref="K128">_xlfn.IFS(H128&gt;=$U$1,"kostka",I128&gt;=$U$1*$R$3,"orzech",J128&gt;=$U$1*$R$4,"miał",1=1,"NIC")</f>
        <v>miał</v>
      </c>
      <c r="L128">
        <f t="shared" si="7"/>
        <v>90</v>
      </c>
      <c r="M128">
        <f t="shared" si="8"/>
        <v>244</v>
      </c>
      <c r="N128">
        <f t="shared" si="9"/>
        <v>797</v>
      </c>
    </row>
    <row r="129" spans="1:14" x14ac:dyDescent="0.25">
      <c r="A129" s="1">
        <v>42054</v>
      </c>
      <c r="B129">
        <f t="shared" si="6"/>
        <v>90</v>
      </c>
      <c r="C129">
        <f t="shared" si="6"/>
        <v>244</v>
      </c>
      <c r="D129">
        <f t="shared" si="6"/>
        <v>797</v>
      </c>
      <c r="E129">
        <v>104</v>
      </c>
      <c r="F129">
        <v>132</v>
      </c>
      <c r="G129">
        <v>57</v>
      </c>
      <c r="H129">
        <f t="shared" si="5"/>
        <v>194</v>
      </c>
      <c r="I129">
        <f t="shared" si="5"/>
        <v>376</v>
      </c>
      <c r="J129">
        <f t="shared" si="5"/>
        <v>854</v>
      </c>
      <c r="K129" t="str" cm="1">
        <f t="array" ref="K129">_xlfn.IFS(H129&gt;=$U$1,"kostka",I129&gt;=$U$1*$R$3,"orzech",J129&gt;=$U$1*$R$4,"miał",1=1,"NIC")</f>
        <v>orzech</v>
      </c>
      <c r="L129">
        <f t="shared" si="7"/>
        <v>194</v>
      </c>
      <c r="M129">
        <f t="shared" si="8"/>
        <v>116</v>
      </c>
      <c r="N129">
        <f t="shared" si="9"/>
        <v>854</v>
      </c>
    </row>
    <row r="130" spans="1:14" x14ac:dyDescent="0.25">
      <c r="A130" s="1">
        <v>42055</v>
      </c>
      <c r="B130">
        <f t="shared" si="6"/>
        <v>194</v>
      </c>
      <c r="C130">
        <f t="shared" si="6"/>
        <v>116</v>
      </c>
      <c r="D130">
        <f t="shared" si="6"/>
        <v>854</v>
      </c>
      <c r="E130">
        <v>57</v>
      </c>
      <c r="F130">
        <v>150</v>
      </c>
      <c r="G130">
        <v>36</v>
      </c>
      <c r="H130">
        <f t="shared" si="5"/>
        <v>251</v>
      </c>
      <c r="I130">
        <f t="shared" si="5"/>
        <v>266</v>
      </c>
      <c r="J130">
        <f t="shared" si="5"/>
        <v>890</v>
      </c>
      <c r="K130" t="str" cm="1">
        <f t="array" ref="K130">_xlfn.IFS(H130&gt;=$U$1,"kostka",I130&gt;=$U$1*$R$3,"orzech",J130&gt;=$U$1*$R$4,"miał",1=1,"NIC")</f>
        <v>kostka</v>
      </c>
      <c r="L130">
        <f t="shared" si="7"/>
        <v>51</v>
      </c>
      <c r="M130">
        <f t="shared" si="8"/>
        <v>266</v>
      </c>
      <c r="N130">
        <f t="shared" si="9"/>
        <v>890</v>
      </c>
    </row>
    <row r="131" spans="1:14" x14ac:dyDescent="0.25">
      <c r="A131" s="1">
        <v>42056</v>
      </c>
      <c r="B131">
        <f t="shared" si="6"/>
        <v>51</v>
      </c>
      <c r="C131">
        <f t="shared" si="6"/>
        <v>266</v>
      </c>
      <c r="D131">
        <f t="shared" si="6"/>
        <v>890</v>
      </c>
      <c r="E131">
        <v>86</v>
      </c>
      <c r="F131">
        <v>183</v>
      </c>
      <c r="G131">
        <v>0</v>
      </c>
      <c r="H131">
        <f t="shared" ref="H131:J184" si="10">B131+E131</f>
        <v>137</v>
      </c>
      <c r="I131">
        <f t="shared" si="10"/>
        <v>449</v>
      </c>
      <c r="J131">
        <f t="shared" si="10"/>
        <v>890</v>
      </c>
      <c r="K131" t="str" cm="1">
        <f t="array" ref="K131">_xlfn.IFS(H131&gt;=$U$1,"kostka",I131&gt;=$U$1*$R$3,"orzech",J131&gt;=$U$1*$R$4,"miał",1=1,"NIC")</f>
        <v>orzech</v>
      </c>
      <c r="L131">
        <f t="shared" si="7"/>
        <v>137</v>
      </c>
      <c r="M131">
        <f t="shared" si="8"/>
        <v>189</v>
      </c>
      <c r="N131">
        <f t="shared" si="9"/>
        <v>890</v>
      </c>
    </row>
    <row r="132" spans="1:14" x14ac:dyDescent="0.25">
      <c r="A132" s="1">
        <v>42057</v>
      </c>
      <c r="B132">
        <f t="shared" ref="B132:D184" si="11">L131</f>
        <v>137</v>
      </c>
      <c r="C132">
        <f t="shared" si="11"/>
        <v>189</v>
      </c>
      <c r="D132">
        <f t="shared" si="11"/>
        <v>890</v>
      </c>
      <c r="E132">
        <v>108</v>
      </c>
      <c r="F132">
        <v>20</v>
      </c>
      <c r="G132">
        <v>87</v>
      </c>
      <c r="H132">
        <f t="shared" si="10"/>
        <v>245</v>
      </c>
      <c r="I132">
        <f t="shared" si="10"/>
        <v>209</v>
      </c>
      <c r="J132">
        <f t="shared" si="10"/>
        <v>977</v>
      </c>
      <c r="K132" t="str" cm="1">
        <f t="array" ref="K132">_xlfn.IFS(H132&gt;=$U$1,"kostka",I132&gt;=$U$1*$R$3,"orzech",J132&gt;=$U$1*$R$4,"miał",1=1,"NIC")</f>
        <v>kostka</v>
      </c>
      <c r="L132">
        <f t="shared" ref="L132:L184" si="12">IF($K132="kostka",H132-$U$1,H132)</f>
        <v>45</v>
      </c>
      <c r="M132">
        <f t="shared" ref="M132:M184" si="13">IF($K132="orzech",I132-$U$1*$R$3,I132)</f>
        <v>209</v>
      </c>
      <c r="N132">
        <f t="shared" ref="N132:N184" si="14">IF($K132="miał",J132-$U$1*$R$4,J132)</f>
        <v>977</v>
      </c>
    </row>
    <row r="133" spans="1:14" x14ac:dyDescent="0.25">
      <c r="A133" s="1">
        <v>42058</v>
      </c>
      <c r="B133">
        <f t="shared" si="11"/>
        <v>45</v>
      </c>
      <c r="C133">
        <f t="shared" si="11"/>
        <v>209</v>
      </c>
      <c r="D133">
        <f t="shared" si="11"/>
        <v>977</v>
      </c>
      <c r="E133">
        <v>102</v>
      </c>
      <c r="F133">
        <v>142</v>
      </c>
      <c r="G133">
        <v>20</v>
      </c>
      <c r="H133">
        <f t="shared" si="10"/>
        <v>147</v>
      </c>
      <c r="I133">
        <f t="shared" si="10"/>
        <v>351</v>
      </c>
      <c r="J133">
        <f t="shared" si="10"/>
        <v>997</v>
      </c>
      <c r="K133" t="str" cm="1">
        <f t="array" ref="K133">_xlfn.IFS(H133&gt;=$U$1,"kostka",I133&gt;=$U$1*$R$3,"orzech",J133&gt;=$U$1*$R$4,"miał",1=1,"NIC")</f>
        <v>orzech</v>
      </c>
      <c r="L133">
        <f t="shared" si="12"/>
        <v>147</v>
      </c>
      <c r="M133">
        <f t="shared" si="13"/>
        <v>91</v>
      </c>
      <c r="N133">
        <f t="shared" si="14"/>
        <v>997</v>
      </c>
    </row>
    <row r="134" spans="1:14" x14ac:dyDescent="0.25">
      <c r="A134" s="1">
        <v>42059</v>
      </c>
      <c r="B134">
        <f t="shared" si="11"/>
        <v>147</v>
      </c>
      <c r="C134">
        <f t="shared" si="11"/>
        <v>91</v>
      </c>
      <c r="D134">
        <f t="shared" si="11"/>
        <v>997</v>
      </c>
      <c r="E134">
        <v>81</v>
      </c>
      <c r="F134">
        <v>133</v>
      </c>
      <c r="G134">
        <v>25</v>
      </c>
      <c r="H134">
        <f t="shared" si="10"/>
        <v>228</v>
      </c>
      <c r="I134">
        <f t="shared" si="10"/>
        <v>224</v>
      </c>
      <c r="J134">
        <f t="shared" si="10"/>
        <v>1022</v>
      </c>
      <c r="K134" t="str" cm="1">
        <f t="array" ref="K134">_xlfn.IFS(H134&gt;=$U$1,"kostka",I134&gt;=$U$1*$R$3,"orzech",J134&gt;=$U$1*$R$4,"miał",1=1,"NIC")</f>
        <v>kostka</v>
      </c>
      <c r="L134">
        <f t="shared" si="12"/>
        <v>28</v>
      </c>
      <c r="M134">
        <f t="shared" si="13"/>
        <v>224</v>
      </c>
      <c r="N134">
        <f t="shared" si="14"/>
        <v>1022</v>
      </c>
    </row>
    <row r="135" spans="1:14" x14ac:dyDescent="0.25">
      <c r="A135" s="1">
        <v>42060</v>
      </c>
      <c r="B135">
        <f t="shared" si="11"/>
        <v>28</v>
      </c>
      <c r="C135">
        <f t="shared" si="11"/>
        <v>224</v>
      </c>
      <c r="D135">
        <f t="shared" si="11"/>
        <v>1022</v>
      </c>
      <c r="E135">
        <v>59</v>
      </c>
      <c r="F135">
        <v>87</v>
      </c>
      <c r="G135">
        <v>10</v>
      </c>
      <c r="H135">
        <f t="shared" si="10"/>
        <v>87</v>
      </c>
      <c r="I135">
        <f t="shared" si="10"/>
        <v>311</v>
      </c>
      <c r="J135">
        <f t="shared" si="10"/>
        <v>1032</v>
      </c>
      <c r="K135" t="str" cm="1">
        <f t="array" ref="K135">_xlfn.IFS(H135&gt;=$U$1,"kostka",I135&gt;=$U$1*$R$3,"orzech",J135&gt;=$U$1*$R$4,"miał",1=1,"NIC")</f>
        <v>orzech</v>
      </c>
      <c r="L135">
        <f t="shared" si="12"/>
        <v>87</v>
      </c>
      <c r="M135">
        <f t="shared" si="13"/>
        <v>51</v>
      </c>
      <c r="N135">
        <f t="shared" si="14"/>
        <v>1032</v>
      </c>
    </row>
    <row r="136" spans="1:14" x14ac:dyDescent="0.25">
      <c r="A136" s="1">
        <v>42061</v>
      </c>
      <c r="B136">
        <f t="shared" si="11"/>
        <v>87</v>
      </c>
      <c r="C136">
        <f t="shared" si="11"/>
        <v>51</v>
      </c>
      <c r="D136">
        <f t="shared" si="11"/>
        <v>1032</v>
      </c>
      <c r="E136">
        <v>21</v>
      </c>
      <c r="F136">
        <v>75</v>
      </c>
      <c r="G136">
        <v>65</v>
      </c>
      <c r="H136">
        <f t="shared" si="10"/>
        <v>108</v>
      </c>
      <c r="I136">
        <f t="shared" si="10"/>
        <v>126</v>
      </c>
      <c r="J136">
        <f t="shared" si="10"/>
        <v>1097</v>
      </c>
      <c r="K136" t="str" cm="1">
        <f t="array" ref="K136">_xlfn.IFS(H136&gt;=$U$1,"kostka",I136&gt;=$U$1*$R$3,"orzech",J136&gt;=$U$1*$R$4,"miał",1=1,"NIC")</f>
        <v>miał</v>
      </c>
      <c r="L136">
        <f t="shared" si="12"/>
        <v>108</v>
      </c>
      <c r="M136">
        <f t="shared" si="13"/>
        <v>126</v>
      </c>
      <c r="N136">
        <f t="shared" si="14"/>
        <v>777</v>
      </c>
    </row>
    <row r="137" spans="1:14" x14ac:dyDescent="0.25">
      <c r="A137" s="1">
        <v>42062</v>
      </c>
      <c r="B137">
        <f t="shared" si="11"/>
        <v>108</v>
      </c>
      <c r="C137">
        <f t="shared" si="11"/>
        <v>126</v>
      </c>
      <c r="D137">
        <f t="shared" si="11"/>
        <v>777</v>
      </c>
      <c r="E137">
        <v>79</v>
      </c>
      <c r="F137">
        <v>14</v>
      </c>
      <c r="G137">
        <v>27</v>
      </c>
      <c r="H137">
        <f t="shared" si="10"/>
        <v>187</v>
      </c>
      <c r="I137">
        <f t="shared" si="10"/>
        <v>140</v>
      </c>
      <c r="J137">
        <f t="shared" si="10"/>
        <v>804</v>
      </c>
      <c r="K137" t="str" cm="1">
        <f t="array" ref="K137">_xlfn.IFS(H137&gt;=$U$1,"kostka",I137&gt;=$U$1*$R$3,"orzech",J137&gt;=$U$1*$R$4,"miał",1=1,"NIC")</f>
        <v>miał</v>
      </c>
      <c r="L137">
        <f t="shared" si="12"/>
        <v>187</v>
      </c>
      <c r="M137">
        <f t="shared" si="13"/>
        <v>140</v>
      </c>
      <c r="N137">
        <f t="shared" si="14"/>
        <v>484</v>
      </c>
    </row>
    <row r="138" spans="1:14" x14ac:dyDescent="0.25">
      <c r="A138" s="1">
        <v>42063</v>
      </c>
      <c r="B138">
        <f t="shared" si="11"/>
        <v>187</v>
      </c>
      <c r="C138">
        <f t="shared" si="11"/>
        <v>140</v>
      </c>
      <c r="D138">
        <f t="shared" si="11"/>
        <v>484</v>
      </c>
      <c r="E138">
        <v>56</v>
      </c>
      <c r="F138">
        <v>12</v>
      </c>
      <c r="G138">
        <v>25</v>
      </c>
      <c r="H138">
        <f t="shared" si="10"/>
        <v>243</v>
      </c>
      <c r="I138">
        <f t="shared" si="10"/>
        <v>152</v>
      </c>
      <c r="J138">
        <f t="shared" si="10"/>
        <v>509</v>
      </c>
      <c r="K138" t="str" cm="1">
        <f t="array" ref="K138">_xlfn.IFS(H138&gt;=$U$1,"kostka",I138&gt;=$U$1*$R$3,"orzech",J138&gt;=$U$1*$R$4,"miał",1=1,"NIC")</f>
        <v>kostka</v>
      </c>
      <c r="L138">
        <f t="shared" si="12"/>
        <v>43</v>
      </c>
      <c r="M138">
        <f t="shared" si="13"/>
        <v>152</v>
      </c>
      <c r="N138">
        <f t="shared" si="14"/>
        <v>509</v>
      </c>
    </row>
    <row r="139" spans="1:14" x14ac:dyDescent="0.25">
      <c r="A139" s="1">
        <v>42064</v>
      </c>
      <c r="B139">
        <f t="shared" si="11"/>
        <v>43</v>
      </c>
      <c r="C139">
        <f t="shared" si="11"/>
        <v>152</v>
      </c>
      <c r="D139">
        <f t="shared" si="11"/>
        <v>509</v>
      </c>
      <c r="E139">
        <v>195</v>
      </c>
      <c r="F139">
        <v>90</v>
      </c>
      <c r="G139">
        <v>56</v>
      </c>
      <c r="H139">
        <f t="shared" si="10"/>
        <v>238</v>
      </c>
      <c r="I139">
        <f t="shared" si="10"/>
        <v>242</v>
      </c>
      <c r="J139">
        <f t="shared" si="10"/>
        <v>565</v>
      </c>
      <c r="K139" t="str" cm="1">
        <f t="array" ref="K139">_xlfn.IFS(H139&gt;=$U$1,"kostka",I139&gt;=$U$1*$R$3,"orzech",J139&gt;=$U$1*$R$4,"miał",1=1,"NIC")</f>
        <v>kostka</v>
      </c>
      <c r="L139">
        <f t="shared" si="12"/>
        <v>38</v>
      </c>
      <c r="M139">
        <f t="shared" si="13"/>
        <v>242</v>
      </c>
      <c r="N139">
        <f t="shared" si="14"/>
        <v>565</v>
      </c>
    </row>
    <row r="140" spans="1:14" x14ac:dyDescent="0.25">
      <c r="A140" s="1">
        <v>42065</v>
      </c>
      <c r="B140">
        <f t="shared" si="11"/>
        <v>38</v>
      </c>
      <c r="C140">
        <f t="shared" si="11"/>
        <v>242</v>
      </c>
      <c r="D140">
        <f t="shared" si="11"/>
        <v>565</v>
      </c>
      <c r="E140">
        <v>113</v>
      </c>
      <c r="F140">
        <v>90</v>
      </c>
      <c r="G140">
        <v>24</v>
      </c>
      <c r="H140">
        <f t="shared" si="10"/>
        <v>151</v>
      </c>
      <c r="I140">
        <f t="shared" si="10"/>
        <v>332</v>
      </c>
      <c r="J140">
        <f t="shared" si="10"/>
        <v>589</v>
      </c>
      <c r="K140" t="str" cm="1">
        <f t="array" ref="K140">_xlfn.IFS(H140&gt;=$U$1,"kostka",I140&gt;=$U$1*$R$3,"orzech",J140&gt;=$U$1*$R$4,"miał",1=1,"NIC")</f>
        <v>orzech</v>
      </c>
      <c r="L140">
        <f t="shared" si="12"/>
        <v>151</v>
      </c>
      <c r="M140">
        <f t="shared" si="13"/>
        <v>72</v>
      </c>
      <c r="N140">
        <f t="shared" si="14"/>
        <v>589</v>
      </c>
    </row>
    <row r="141" spans="1:14" x14ac:dyDescent="0.25">
      <c r="A141" s="1">
        <v>42066</v>
      </c>
      <c r="B141">
        <f t="shared" si="11"/>
        <v>151</v>
      </c>
      <c r="C141">
        <f t="shared" si="11"/>
        <v>72</v>
      </c>
      <c r="D141">
        <f t="shared" si="11"/>
        <v>589</v>
      </c>
      <c r="E141">
        <v>93</v>
      </c>
      <c r="F141">
        <v>139</v>
      </c>
      <c r="G141">
        <v>47</v>
      </c>
      <c r="H141">
        <f t="shared" si="10"/>
        <v>244</v>
      </c>
      <c r="I141">
        <f t="shared" si="10"/>
        <v>211</v>
      </c>
      <c r="J141">
        <f t="shared" si="10"/>
        <v>636</v>
      </c>
      <c r="K141" t="str" cm="1">
        <f t="array" ref="K141">_xlfn.IFS(H141&gt;=$U$1,"kostka",I141&gt;=$U$1*$R$3,"orzech",J141&gt;=$U$1*$R$4,"miał",1=1,"NIC")</f>
        <v>kostka</v>
      </c>
      <c r="L141">
        <f t="shared" si="12"/>
        <v>44</v>
      </c>
      <c r="M141">
        <f t="shared" si="13"/>
        <v>211</v>
      </c>
      <c r="N141">
        <f t="shared" si="14"/>
        <v>636</v>
      </c>
    </row>
    <row r="142" spans="1:14" x14ac:dyDescent="0.25">
      <c r="A142" s="1">
        <v>42067</v>
      </c>
      <c r="B142">
        <f t="shared" si="11"/>
        <v>44</v>
      </c>
      <c r="C142">
        <f t="shared" si="11"/>
        <v>211</v>
      </c>
      <c r="D142">
        <f t="shared" si="11"/>
        <v>636</v>
      </c>
      <c r="E142">
        <v>93</v>
      </c>
      <c r="F142">
        <v>147</v>
      </c>
      <c r="G142">
        <v>26</v>
      </c>
      <c r="H142">
        <f t="shared" si="10"/>
        <v>137</v>
      </c>
      <c r="I142">
        <f t="shared" si="10"/>
        <v>358</v>
      </c>
      <c r="J142">
        <f t="shared" si="10"/>
        <v>662</v>
      </c>
      <c r="K142" t="str" cm="1">
        <f t="array" ref="K142">_xlfn.IFS(H142&gt;=$U$1,"kostka",I142&gt;=$U$1*$R$3,"orzech",J142&gt;=$U$1*$R$4,"miał",1=1,"NIC")</f>
        <v>orzech</v>
      </c>
      <c r="L142">
        <f t="shared" si="12"/>
        <v>137</v>
      </c>
      <c r="M142">
        <f t="shared" si="13"/>
        <v>98</v>
      </c>
      <c r="N142">
        <f t="shared" si="14"/>
        <v>662</v>
      </c>
    </row>
    <row r="143" spans="1:14" x14ac:dyDescent="0.25">
      <c r="A143" s="1">
        <v>42068</v>
      </c>
      <c r="B143">
        <f t="shared" si="11"/>
        <v>137</v>
      </c>
      <c r="C143">
        <f t="shared" si="11"/>
        <v>98</v>
      </c>
      <c r="D143">
        <f t="shared" si="11"/>
        <v>662</v>
      </c>
      <c r="E143">
        <v>79</v>
      </c>
      <c r="F143">
        <v>145</v>
      </c>
      <c r="G143">
        <v>36</v>
      </c>
      <c r="H143">
        <f t="shared" si="10"/>
        <v>216</v>
      </c>
      <c r="I143">
        <f t="shared" si="10"/>
        <v>243</v>
      </c>
      <c r="J143">
        <f t="shared" si="10"/>
        <v>698</v>
      </c>
      <c r="K143" t="str" cm="1">
        <f t="array" ref="K143">_xlfn.IFS(H143&gt;=$U$1,"kostka",I143&gt;=$U$1*$R$3,"orzech",J143&gt;=$U$1*$R$4,"miał",1=1,"NIC")</f>
        <v>kostka</v>
      </c>
      <c r="L143">
        <f t="shared" si="12"/>
        <v>16</v>
      </c>
      <c r="M143">
        <f t="shared" si="13"/>
        <v>243</v>
      </c>
      <c r="N143">
        <f t="shared" si="14"/>
        <v>698</v>
      </c>
    </row>
    <row r="144" spans="1:14" x14ac:dyDescent="0.25">
      <c r="A144" s="1">
        <v>42069</v>
      </c>
      <c r="B144">
        <f t="shared" si="11"/>
        <v>16</v>
      </c>
      <c r="C144">
        <f t="shared" si="11"/>
        <v>243</v>
      </c>
      <c r="D144">
        <f t="shared" si="11"/>
        <v>698</v>
      </c>
      <c r="E144">
        <v>148</v>
      </c>
      <c r="F144">
        <v>127</v>
      </c>
      <c r="G144">
        <v>27</v>
      </c>
      <c r="H144">
        <f t="shared" si="10"/>
        <v>164</v>
      </c>
      <c r="I144">
        <f t="shared" si="10"/>
        <v>370</v>
      </c>
      <c r="J144">
        <f t="shared" si="10"/>
        <v>725</v>
      </c>
      <c r="K144" t="str" cm="1">
        <f t="array" ref="K144">_xlfn.IFS(H144&gt;=$U$1,"kostka",I144&gt;=$U$1*$R$3,"orzech",J144&gt;=$U$1*$R$4,"miał",1=1,"NIC")</f>
        <v>orzech</v>
      </c>
      <c r="L144">
        <f t="shared" si="12"/>
        <v>164</v>
      </c>
      <c r="M144">
        <f t="shared" si="13"/>
        <v>110</v>
      </c>
      <c r="N144">
        <f t="shared" si="14"/>
        <v>725</v>
      </c>
    </row>
    <row r="145" spans="1:14" x14ac:dyDescent="0.25">
      <c r="A145" s="1">
        <v>42070</v>
      </c>
      <c r="B145">
        <f t="shared" si="11"/>
        <v>164</v>
      </c>
      <c r="C145">
        <f t="shared" si="11"/>
        <v>110</v>
      </c>
      <c r="D145">
        <f t="shared" si="11"/>
        <v>725</v>
      </c>
      <c r="E145">
        <v>132</v>
      </c>
      <c r="F145">
        <v>128</v>
      </c>
      <c r="G145">
        <v>37</v>
      </c>
      <c r="H145">
        <f t="shared" si="10"/>
        <v>296</v>
      </c>
      <c r="I145">
        <f t="shared" si="10"/>
        <v>238</v>
      </c>
      <c r="J145">
        <f t="shared" si="10"/>
        <v>762</v>
      </c>
      <c r="K145" t="str" cm="1">
        <f t="array" ref="K145">_xlfn.IFS(H145&gt;=$U$1,"kostka",I145&gt;=$U$1*$R$3,"orzech",J145&gt;=$U$1*$R$4,"miał",1=1,"NIC")</f>
        <v>kostka</v>
      </c>
      <c r="L145">
        <f t="shared" si="12"/>
        <v>96</v>
      </c>
      <c r="M145">
        <f t="shared" si="13"/>
        <v>238</v>
      </c>
      <c r="N145">
        <f t="shared" si="14"/>
        <v>762</v>
      </c>
    </row>
    <row r="146" spans="1:14" x14ac:dyDescent="0.25">
      <c r="A146" s="1">
        <v>42071</v>
      </c>
      <c r="B146">
        <f t="shared" si="11"/>
        <v>96</v>
      </c>
      <c r="C146">
        <f t="shared" si="11"/>
        <v>238</v>
      </c>
      <c r="D146">
        <f t="shared" si="11"/>
        <v>762</v>
      </c>
      <c r="E146">
        <v>22</v>
      </c>
      <c r="F146">
        <v>115</v>
      </c>
      <c r="G146">
        <v>28</v>
      </c>
      <c r="H146">
        <f t="shared" si="10"/>
        <v>118</v>
      </c>
      <c r="I146">
        <f t="shared" si="10"/>
        <v>353</v>
      </c>
      <c r="J146">
        <f t="shared" si="10"/>
        <v>790</v>
      </c>
      <c r="K146" t="str" cm="1">
        <f t="array" ref="K146">_xlfn.IFS(H146&gt;=$U$1,"kostka",I146&gt;=$U$1*$R$3,"orzech",J146&gt;=$U$1*$R$4,"miał",1=1,"NIC")</f>
        <v>orzech</v>
      </c>
      <c r="L146">
        <f t="shared" si="12"/>
        <v>118</v>
      </c>
      <c r="M146">
        <f t="shared" si="13"/>
        <v>93</v>
      </c>
      <c r="N146">
        <f t="shared" si="14"/>
        <v>790</v>
      </c>
    </row>
    <row r="147" spans="1:14" x14ac:dyDescent="0.25">
      <c r="A147" s="1">
        <v>42072</v>
      </c>
      <c r="B147">
        <f t="shared" si="11"/>
        <v>118</v>
      </c>
      <c r="C147">
        <f t="shared" si="11"/>
        <v>93</v>
      </c>
      <c r="D147">
        <f t="shared" si="11"/>
        <v>790</v>
      </c>
      <c r="E147">
        <v>50</v>
      </c>
      <c r="F147">
        <v>99</v>
      </c>
      <c r="G147">
        <v>78</v>
      </c>
      <c r="H147">
        <f t="shared" si="10"/>
        <v>168</v>
      </c>
      <c r="I147">
        <f t="shared" si="10"/>
        <v>192</v>
      </c>
      <c r="J147">
        <f t="shared" si="10"/>
        <v>868</v>
      </c>
      <c r="K147" t="str" cm="1">
        <f t="array" ref="K147">_xlfn.IFS(H147&gt;=$U$1,"kostka",I147&gt;=$U$1*$R$3,"orzech",J147&gt;=$U$1*$R$4,"miał",1=1,"NIC")</f>
        <v>miał</v>
      </c>
      <c r="L147">
        <f t="shared" si="12"/>
        <v>168</v>
      </c>
      <c r="M147">
        <f t="shared" si="13"/>
        <v>192</v>
      </c>
      <c r="N147">
        <f t="shared" si="14"/>
        <v>548</v>
      </c>
    </row>
    <row r="148" spans="1:14" x14ac:dyDescent="0.25">
      <c r="A148" s="1">
        <v>42073</v>
      </c>
      <c r="B148">
        <f t="shared" si="11"/>
        <v>168</v>
      </c>
      <c r="C148">
        <f t="shared" si="11"/>
        <v>192</v>
      </c>
      <c r="D148">
        <f t="shared" si="11"/>
        <v>548</v>
      </c>
      <c r="E148">
        <v>178</v>
      </c>
      <c r="F148">
        <v>146</v>
      </c>
      <c r="G148">
        <v>75</v>
      </c>
      <c r="H148">
        <f t="shared" si="10"/>
        <v>346</v>
      </c>
      <c r="I148">
        <f t="shared" si="10"/>
        <v>338</v>
      </c>
      <c r="J148">
        <f t="shared" si="10"/>
        <v>623</v>
      </c>
      <c r="K148" t="str" cm="1">
        <f t="array" ref="K148">_xlfn.IFS(H148&gt;=$U$1,"kostka",I148&gt;=$U$1*$R$3,"orzech",J148&gt;=$U$1*$R$4,"miał",1=1,"NIC")</f>
        <v>kostka</v>
      </c>
      <c r="L148">
        <f t="shared" si="12"/>
        <v>146</v>
      </c>
      <c r="M148">
        <f t="shared" si="13"/>
        <v>338</v>
      </c>
      <c r="N148">
        <f t="shared" si="14"/>
        <v>623</v>
      </c>
    </row>
    <row r="149" spans="1:14" x14ac:dyDescent="0.25">
      <c r="A149" s="1">
        <v>42074</v>
      </c>
      <c r="B149">
        <f t="shared" si="11"/>
        <v>146</v>
      </c>
      <c r="C149">
        <f t="shared" si="11"/>
        <v>338</v>
      </c>
      <c r="D149">
        <f t="shared" si="11"/>
        <v>623</v>
      </c>
      <c r="E149">
        <v>97</v>
      </c>
      <c r="F149">
        <v>135</v>
      </c>
      <c r="G149">
        <v>66</v>
      </c>
      <c r="H149">
        <f t="shared" si="10"/>
        <v>243</v>
      </c>
      <c r="I149">
        <f t="shared" si="10"/>
        <v>473</v>
      </c>
      <c r="J149">
        <f t="shared" si="10"/>
        <v>689</v>
      </c>
      <c r="K149" t="str" cm="1">
        <f t="array" ref="K149">_xlfn.IFS(H149&gt;=$U$1,"kostka",I149&gt;=$U$1*$R$3,"orzech",J149&gt;=$U$1*$R$4,"miał",1=1,"NIC")</f>
        <v>kostka</v>
      </c>
      <c r="L149">
        <f t="shared" si="12"/>
        <v>43</v>
      </c>
      <c r="M149">
        <f t="shared" si="13"/>
        <v>473</v>
      </c>
      <c r="N149">
        <f t="shared" si="14"/>
        <v>689</v>
      </c>
    </row>
    <row r="150" spans="1:14" x14ac:dyDescent="0.25">
      <c r="A150" s="1">
        <v>42075</v>
      </c>
      <c r="B150">
        <f t="shared" si="11"/>
        <v>43</v>
      </c>
      <c r="C150">
        <f t="shared" si="11"/>
        <v>473</v>
      </c>
      <c r="D150">
        <f t="shared" si="11"/>
        <v>689</v>
      </c>
      <c r="E150">
        <v>138</v>
      </c>
      <c r="F150">
        <v>160</v>
      </c>
      <c r="G150">
        <v>6</v>
      </c>
      <c r="H150">
        <f t="shared" si="10"/>
        <v>181</v>
      </c>
      <c r="I150">
        <f t="shared" si="10"/>
        <v>633</v>
      </c>
      <c r="J150">
        <f t="shared" si="10"/>
        <v>695</v>
      </c>
      <c r="K150" t="str" cm="1">
        <f t="array" ref="K150">_xlfn.IFS(H150&gt;=$U$1,"kostka",I150&gt;=$U$1*$R$3,"orzech",J150&gt;=$U$1*$R$4,"miał",1=1,"NIC")</f>
        <v>orzech</v>
      </c>
      <c r="L150">
        <f t="shared" si="12"/>
        <v>181</v>
      </c>
      <c r="M150">
        <f t="shared" si="13"/>
        <v>373</v>
      </c>
      <c r="N150">
        <f t="shared" si="14"/>
        <v>695</v>
      </c>
    </row>
    <row r="151" spans="1:14" x14ac:dyDescent="0.25">
      <c r="A151" s="1">
        <v>42076</v>
      </c>
      <c r="B151">
        <f t="shared" si="11"/>
        <v>181</v>
      </c>
      <c r="C151">
        <f t="shared" si="11"/>
        <v>373</v>
      </c>
      <c r="D151">
        <f t="shared" si="11"/>
        <v>695</v>
      </c>
      <c r="E151">
        <v>194</v>
      </c>
      <c r="F151">
        <v>87</v>
      </c>
      <c r="G151">
        <v>60</v>
      </c>
      <c r="H151">
        <f t="shared" si="10"/>
        <v>375</v>
      </c>
      <c r="I151">
        <f t="shared" si="10"/>
        <v>460</v>
      </c>
      <c r="J151">
        <f t="shared" si="10"/>
        <v>755</v>
      </c>
      <c r="K151" t="str" cm="1">
        <f t="array" ref="K151">_xlfn.IFS(H151&gt;=$U$1,"kostka",I151&gt;=$U$1*$R$3,"orzech",J151&gt;=$U$1*$R$4,"miał",1=1,"NIC")</f>
        <v>kostka</v>
      </c>
      <c r="L151">
        <f t="shared" si="12"/>
        <v>175</v>
      </c>
      <c r="M151">
        <f t="shared" si="13"/>
        <v>460</v>
      </c>
      <c r="N151">
        <f t="shared" si="14"/>
        <v>755</v>
      </c>
    </row>
    <row r="152" spans="1:14" x14ac:dyDescent="0.25">
      <c r="A152" s="1">
        <v>42077</v>
      </c>
      <c r="B152">
        <f t="shared" si="11"/>
        <v>175</v>
      </c>
      <c r="C152">
        <f t="shared" si="11"/>
        <v>460</v>
      </c>
      <c r="D152">
        <f t="shared" si="11"/>
        <v>755</v>
      </c>
      <c r="E152">
        <v>86</v>
      </c>
      <c r="F152">
        <v>21</v>
      </c>
      <c r="G152">
        <v>45</v>
      </c>
      <c r="H152">
        <f t="shared" si="10"/>
        <v>261</v>
      </c>
      <c r="I152">
        <f t="shared" si="10"/>
        <v>481</v>
      </c>
      <c r="J152">
        <f t="shared" si="10"/>
        <v>800</v>
      </c>
      <c r="K152" t="str" cm="1">
        <f t="array" ref="K152">_xlfn.IFS(H152&gt;=$U$1,"kostka",I152&gt;=$U$1*$R$3,"orzech",J152&gt;=$U$1*$R$4,"miał",1=1,"NIC")</f>
        <v>kostka</v>
      </c>
      <c r="L152">
        <f t="shared" si="12"/>
        <v>61</v>
      </c>
      <c r="M152">
        <f t="shared" si="13"/>
        <v>481</v>
      </c>
      <c r="N152">
        <f t="shared" si="14"/>
        <v>800</v>
      </c>
    </row>
    <row r="153" spans="1:14" x14ac:dyDescent="0.25">
      <c r="A153" s="1">
        <v>42078</v>
      </c>
      <c r="B153">
        <f t="shared" si="11"/>
        <v>61</v>
      </c>
      <c r="C153">
        <f t="shared" si="11"/>
        <v>481</v>
      </c>
      <c r="D153">
        <f t="shared" si="11"/>
        <v>800</v>
      </c>
      <c r="E153">
        <v>26</v>
      </c>
      <c r="F153">
        <v>60</v>
      </c>
      <c r="G153">
        <v>44</v>
      </c>
      <c r="H153">
        <f t="shared" si="10"/>
        <v>87</v>
      </c>
      <c r="I153">
        <f t="shared" si="10"/>
        <v>541</v>
      </c>
      <c r="J153">
        <f t="shared" si="10"/>
        <v>844</v>
      </c>
      <c r="K153" t="str" cm="1">
        <f t="array" ref="K153">_xlfn.IFS(H153&gt;=$U$1,"kostka",I153&gt;=$U$1*$R$3,"orzech",J153&gt;=$U$1*$R$4,"miał",1=1,"NIC")</f>
        <v>orzech</v>
      </c>
      <c r="L153">
        <f t="shared" si="12"/>
        <v>87</v>
      </c>
      <c r="M153">
        <f t="shared" si="13"/>
        <v>281</v>
      </c>
      <c r="N153">
        <f t="shared" si="14"/>
        <v>844</v>
      </c>
    </row>
    <row r="154" spans="1:14" x14ac:dyDescent="0.25">
      <c r="A154" s="1">
        <v>42079</v>
      </c>
      <c r="B154">
        <f t="shared" si="11"/>
        <v>87</v>
      </c>
      <c r="C154">
        <f t="shared" si="11"/>
        <v>281</v>
      </c>
      <c r="D154">
        <f t="shared" si="11"/>
        <v>844</v>
      </c>
      <c r="E154">
        <v>28</v>
      </c>
      <c r="F154">
        <v>35</v>
      </c>
      <c r="G154">
        <v>96</v>
      </c>
      <c r="H154">
        <f t="shared" si="10"/>
        <v>115</v>
      </c>
      <c r="I154">
        <f t="shared" si="10"/>
        <v>316</v>
      </c>
      <c r="J154">
        <f t="shared" si="10"/>
        <v>940</v>
      </c>
      <c r="K154" t="str" cm="1">
        <f t="array" ref="K154">_xlfn.IFS(H154&gt;=$U$1,"kostka",I154&gt;=$U$1*$R$3,"orzech",J154&gt;=$U$1*$R$4,"miał",1=1,"NIC")</f>
        <v>orzech</v>
      </c>
      <c r="L154">
        <f t="shared" si="12"/>
        <v>115</v>
      </c>
      <c r="M154">
        <f t="shared" si="13"/>
        <v>56</v>
      </c>
      <c r="N154">
        <f t="shared" si="14"/>
        <v>940</v>
      </c>
    </row>
    <row r="155" spans="1:14" x14ac:dyDescent="0.25">
      <c r="A155" s="1">
        <v>42080</v>
      </c>
      <c r="B155">
        <f t="shared" si="11"/>
        <v>115</v>
      </c>
      <c r="C155">
        <f t="shared" si="11"/>
        <v>56</v>
      </c>
      <c r="D155">
        <f t="shared" si="11"/>
        <v>940</v>
      </c>
      <c r="E155">
        <v>53</v>
      </c>
      <c r="F155">
        <v>100</v>
      </c>
      <c r="G155">
        <v>64</v>
      </c>
      <c r="H155">
        <f t="shared" si="10"/>
        <v>168</v>
      </c>
      <c r="I155">
        <f t="shared" si="10"/>
        <v>156</v>
      </c>
      <c r="J155">
        <f t="shared" si="10"/>
        <v>1004</v>
      </c>
      <c r="K155" t="str" cm="1">
        <f t="array" ref="K155">_xlfn.IFS(H155&gt;=$U$1,"kostka",I155&gt;=$U$1*$R$3,"orzech",J155&gt;=$U$1*$R$4,"miał",1=1,"NIC")</f>
        <v>miał</v>
      </c>
      <c r="L155">
        <f t="shared" si="12"/>
        <v>168</v>
      </c>
      <c r="M155">
        <f t="shared" si="13"/>
        <v>156</v>
      </c>
      <c r="N155">
        <f t="shared" si="14"/>
        <v>684</v>
      </c>
    </row>
    <row r="156" spans="1:14" x14ac:dyDescent="0.25">
      <c r="A156" s="1">
        <v>42081</v>
      </c>
      <c r="B156">
        <f t="shared" si="11"/>
        <v>168</v>
      </c>
      <c r="C156">
        <f t="shared" si="11"/>
        <v>156</v>
      </c>
      <c r="D156">
        <f t="shared" si="11"/>
        <v>684</v>
      </c>
      <c r="E156">
        <v>168</v>
      </c>
      <c r="F156">
        <v>64</v>
      </c>
      <c r="G156">
        <v>46</v>
      </c>
      <c r="H156">
        <f t="shared" si="10"/>
        <v>336</v>
      </c>
      <c r="I156">
        <f t="shared" si="10"/>
        <v>220</v>
      </c>
      <c r="J156">
        <f t="shared" si="10"/>
        <v>730</v>
      </c>
      <c r="K156" t="str" cm="1">
        <f t="array" ref="K156">_xlfn.IFS(H156&gt;=$U$1,"kostka",I156&gt;=$U$1*$R$3,"orzech",J156&gt;=$U$1*$R$4,"miał",1=1,"NIC")</f>
        <v>kostka</v>
      </c>
      <c r="L156">
        <f t="shared" si="12"/>
        <v>136</v>
      </c>
      <c r="M156">
        <f t="shared" si="13"/>
        <v>220</v>
      </c>
      <c r="N156">
        <f t="shared" si="14"/>
        <v>730</v>
      </c>
    </row>
    <row r="157" spans="1:14" x14ac:dyDescent="0.25">
      <c r="A157" s="1">
        <v>42082</v>
      </c>
      <c r="B157">
        <f t="shared" si="11"/>
        <v>136</v>
      </c>
      <c r="C157">
        <f t="shared" si="11"/>
        <v>220</v>
      </c>
      <c r="D157">
        <f t="shared" si="11"/>
        <v>730</v>
      </c>
      <c r="E157">
        <v>77</v>
      </c>
      <c r="F157">
        <v>60</v>
      </c>
      <c r="G157">
        <v>35</v>
      </c>
      <c r="H157">
        <f t="shared" si="10"/>
        <v>213</v>
      </c>
      <c r="I157">
        <f t="shared" si="10"/>
        <v>280</v>
      </c>
      <c r="J157">
        <f t="shared" si="10"/>
        <v>765</v>
      </c>
      <c r="K157" t="str" cm="1">
        <f t="array" ref="K157">_xlfn.IFS(H157&gt;=$U$1,"kostka",I157&gt;=$U$1*$R$3,"orzech",J157&gt;=$U$1*$R$4,"miał",1=1,"NIC")</f>
        <v>kostka</v>
      </c>
      <c r="L157">
        <f t="shared" si="12"/>
        <v>13</v>
      </c>
      <c r="M157">
        <f t="shared" si="13"/>
        <v>280</v>
      </c>
      <c r="N157">
        <f t="shared" si="14"/>
        <v>765</v>
      </c>
    </row>
    <row r="158" spans="1:14" x14ac:dyDescent="0.25">
      <c r="A158" s="1">
        <v>42083</v>
      </c>
      <c r="B158">
        <f t="shared" si="11"/>
        <v>13</v>
      </c>
      <c r="C158">
        <f t="shared" si="11"/>
        <v>280</v>
      </c>
      <c r="D158">
        <f t="shared" si="11"/>
        <v>765</v>
      </c>
      <c r="E158">
        <v>17</v>
      </c>
      <c r="F158">
        <v>80</v>
      </c>
      <c r="G158">
        <v>30</v>
      </c>
      <c r="H158">
        <f t="shared" si="10"/>
        <v>30</v>
      </c>
      <c r="I158">
        <f t="shared" si="10"/>
        <v>360</v>
      </c>
      <c r="J158">
        <f t="shared" si="10"/>
        <v>795</v>
      </c>
      <c r="K158" t="str" cm="1">
        <f t="array" ref="K158">_xlfn.IFS(H158&gt;=$U$1,"kostka",I158&gt;=$U$1*$R$3,"orzech",J158&gt;=$U$1*$R$4,"miał",1=1,"NIC")</f>
        <v>orzech</v>
      </c>
      <c r="L158">
        <f t="shared" si="12"/>
        <v>30</v>
      </c>
      <c r="M158">
        <f t="shared" si="13"/>
        <v>100</v>
      </c>
      <c r="N158">
        <f t="shared" si="14"/>
        <v>795</v>
      </c>
    </row>
    <row r="159" spans="1:14" x14ac:dyDescent="0.25">
      <c r="A159" s="1">
        <v>42084</v>
      </c>
      <c r="B159">
        <f t="shared" si="11"/>
        <v>30</v>
      </c>
      <c r="C159">
        <f t="shared" si="11"/>
        <v>100</v>
      </c>
      <c r="D159">
        <f t="shared" si="11"/>
        <v>795</v>
      </c>
      <c r="E159">
        <v>175</v>
      </c>
      <c r="F159">
        <v>47</v>
      </c>
      <c r="G159">
        <v>25</v>
      </c>
      <c r="H159">
        <f t="shared" si="10"/>
        <v>205</v>
      </c>
      <c r="I159">
        <f t="shared" si="10"/>
        <v>147</v>
      </c>
      <c r="J159">
        <f t="shared" si="10"/>
        <v>820</v>
      </c>
      <c r="K159" t="str" cm="1">
        <f t="array" ref="K159">_xlfn.IFS(H159&gt;=$U$1,"kostka",I159&gt;=$U$1*$R$3,"orzech",J159&gt;=$U$1*$R$4,"miał",1=1,"NIC")</f>
        <v>kostka</v>
      </c>
      <c r="L159">
        <f t="shared" si="12"/>
        <v>5</v>
      </c>
      <c r="M159">
        <f t="shared" si="13"/>
        <v>147</v>
      </c>
      <c r="N159">
        <f t="shared" si="14"/>
        <v>820</v>
      </c>
    </row>
    <row r="160" spans="1:14" x14ac:dyDescent="0.25">
      <c r="A160" s="1">
        <v>42085</v>
      </c>
      <c r="B160">
        <f t="shared" si="11"/>
        <v>5</v>
      </c>
      <c r="C160">
        <f t="shared" si="11"/>
        <v>147</v>
      </c>
      <c r="D160">
        <f t="shared" si="11"/>
        <v>820</v>
      </c>
      <c r="E160">
        <v>164</v>
      </c>
      <c r="F160">
        <v>60</v>
      </c>
      <c r="G160">
        <v>22</v>
      </c>
      <c r="H160">
        <f t="shared" si="10"/>
        <v>169</v>
      </c>
      <c r="I160">
        <f t="shared" si="10"/>
        <v>207</v>
      </c>
      <c r="J160">
        <f t="shared" si="10"/>
        <v>842</v>
      </c>
      <c r="K160" t="str" cm="1">
        <f t="array" ref="K160">_xlfn.IFS(H160&gt;=$U$1,"kostka",I160&gt;=$U$1*$R$3,"orzech",J160&gt;=$U$1*$R$4,"miał",1=1,"NIC")</f>
        <v>miał</v>
      </c>
      <c r="L160">
        <f t="shared" si="12"/>
        <v>169</v>
      </c>
      <c r="M160">
        <f t="shared" si="13"/>
        <v>207</v>
      </c>
      <c r="N160">
        <f t="shared" si="14"/>
        <v>522</v>
      </c>
    </row>
    <row r="161" spans="1:14" x14ac:dyDescent="0.25">
      <c r="A161" s="1">
        <v>42086</v>
      </c>
      <c r="B161">
        <f t="shared" si="11"/>
        <v>169</v>
      </c>
      <c r="C161">
        <f t="shared" si="11"/>
        <v>207</v>
      </c>
      <c r="D161">
        <f t="shared" si="11"/>
        <v>522</v>
      </c>
      <c r="E161">
        <v>199</v>
      </c>
      <c r="F161">
        <v>80</v>
      </c>
      <c r="G161">
        <v>45</v>
      </c>
      <c r="H161">
        <f t="shared" si="10"/>
        <v>368</v>
      </c>
      <c r="I161">
        <f t="shared" si="10"/>
        <v>287</v>
      </c>
      <c r="J161">
        <f t="shared" si="10"/>
        <v>567</v>
      </c>
      <c r="K161" t="str" cm="1">
        <f t="array" ref="K161">_xlfn.IFS(H161&gt;=$U$1,"kostka",I161&gt;=$U$1*$R$3,"orzech",J161&gt;=$U$1*$R$4,"miał",1=1,"NIC")</f>
        <v>kostka</v>
      </c>
      <c r="L161">
        <f t="shared" si="12"/>
        <v>168</v>
      </c>
      <c r="M161">
        <f t="shared" si="13"/>
        <v>287</v>
      </c>
      <c r="N161">
        <f t="shared" si="14"/>
        <v>567</v>
      </c>
    </row>
    <row r="162" spans="1:14" x14ac:dyDescent="0.25">
      <c r="A162" s="1">
        <v>42087</v>
      </c>
      <c r="B162">
        <f t="shared" si="11"/>
        <v>168</v>
      </c>
      <c r="C162">
        <f t="shared" si="11"/>
        <v>287</v>
      </c>
      <c r="D162">
        <f t="shared" si="11"/>
        <v>567</v>
      </c>
      <c r="E162">
        <v>111</v>
      </c>
      <c r="F162">
        <v>92</v>
      </c>
      <c r="G162">
        <v>45</v>
      </c>
      <c r="H162">
        <f t="shared" si="10"/>
        <v>279</v>
      </c>
      <c r="I162">
        <f t="shared" si="10"/>
        <v>379</v>
      </c>
      <c r="J162">
        <f t="shared" si="10"/>
        <v>612</v>
      </c>
      <c r="K162" t="str" cm="1">
        <f t="array" ref="K162">_xlfn.IFS(H162&gt;=$U$1,"kostka",I162&gt;=$U$1*$R$3,"orzech",J162&gt;=$U$1*$R$4,"miał",1=1,"NIC")</f>
        <v>kostka</v>
      </c>
      <c r="L162">
        <f t="shared" si="12"/>
        <v>79</v>
      </c>
      <c r="M162">
        <f t="shared" si="13"/>
        <v>379</v>
      </c>
      <c r="N162">
        <f t="shared" si="14"/>
        <v>612</v>
      </c>
    </row>
    <row r="163" spans="1:14" x14ac:dyDescent="0.25">
      <c r="A163" s="1">
        <v>42088</v>
      </c>
      <c r="B163">
        <f t="shared" si="11"/>
        <v>79</v>
      </c>
      <c r="C163">
        <f t="shared" si="11"/>
        <v>379</v>
      </c>
      <c r="D163">
        <f t="shared" si="11"/>
        <v>612</v>
      </c>
      <c r="E163">
        <v>58</v>
      </c>
      <c r="F163">
        <v>90</v>
      </c>
      <c r="G163">
        <v>40</v>
      </c>
      <c r="H163">
        <f t="shared" si="10"/>
        <v>137</v>
      </c>
      <c r="I163">
        <f t="shared" si="10"/>
        <v>469</v>
      </c>
      <c r="J163">
        <f t="shared" si="10"/>
        <v>652</v>
      </c>
      <c r="K163" t="str" cm="1">
        <f t="array" ref="K163">_xlfn.IFS(H163&gt;=$U$1,"kostka",I163&gt;=$U$1*$R$3,"orzech",J163&gt;=$U$1*$R$4,"miał",1=1,"NIC")</f>
        <v>orzech</v>
      </c>
      <c r="L163">
        <f t="shared" si="12"/>
        <v>137</v>
      </c>
      <c r="M163">
        <f t="shared" si="13"/>
        <v>209</v>
      </c>
      <c r="N163">
        <f t="shared" si="14"/>
        <v>652</v>
      </c>
    </row>
    <row r="164" spans="1:14" x14ac:dyDescent="0.25">
      <c r="A164" s="1">
        <v>42089</v>
      </c>
      <c r="B164">
        <f t="shared" si="11"/>
        <v>137</v>
      </c>
      <c r="C164">
        <f t="shared" si="11"/>
        <v>209</v>
      </c>
      <c r="D164">
        <f t="shared" si="11"/>
        <v>652</v>
      </c>
      <c r="E164">
        <v>59</v>
      </c>
      <c r="F164">
        <v>164</v>
      </c>
      <c r="G164">
        <v>47</v>
      </c>
      <c r="H164">
        <f t="shared" si="10"/>
        <v>196</v>
      </c>
      <c r="I164">
        <f t="shared" si="10"/>
        <v>373</v>
      </c>
      <c r="J164">
        <f t="shared" si="10"/>
        <v>699</v>
      </c>
      <c r="K164" t="str" cm="1">
        <f t="array" ref="K164">_xlfn.IFS(H164&gt;=$U$1,"kostka",I164&gt;=$U$1*$R$3,"orzech",J164&gt;=$U$1*$R$4,"miał",1=1,"NIC")</f>
        <v>orzech</v>
      </c>
      <c r="L164">
        <f t="shared" si="12"/>
        <v>196</v>
      </c>
      <c r="M164">
        <f t="shared" si="13"/>
        <v>113</v>
      </c>
      <c r="N164">
        <f t="shared" si="14"/>
        <v>699</v>
      </c>
    </row>
    <row r="165" spans="1:14" x14ac:dyDescent="0.25">
      <c r="A165" s="1">
        <v>42090</v>
      </c>
      <c r="B165">
        <f t="shared" si="11"/>
        <v>196</v>
      </c>
      <c r="C165">
        <f t="shared" si="11"/>
        <v>113</v>
      </c>
      <c r="D165">
        <f t="shared" si="11"/>
        <v>699</v>
      </c>
      <c r="E165">
        <v>158</v>
      </c>
      <c r="F165">
        <v>120</v>
      </c>
      <c r="G165">
        <v>30</v>
      </c>
      <c r="H165">
        <f t="shared" si="10"/>
        <v>354</v>
      </c>
      <c r="I165">
        <f t="shared" si="10"/>
        <v>233</v>
      </c>
      <c r="J165">
        <f t="shared" si="10"/>
        <v>729</v>
      </c>
      <c r="K165" t="str" cm="1">
        <f t="array" ref="K165">_xlfn.IFS(H165&gt;=$U$1,"kostka",I165&gt;=$U$1*$R$3,"orzech",J165&gt;=$U$1*$R$4,"miał",1=1,"NIC")</f>
        <v>kostka</v>
      </c>
      <c r="L165">
        <f t="shared" si="12"/>
        <v>154</v>
      </c>
      <c r="M165">
        <f t="shared" si="13"/>
        <v>233</v>
      </c>
      <c r="N165">
        <f t="shared" si="14"/>
        <v>729</v>
      </c>
    </row>
    <row r="166" spans="1:14" x14ac:dyDescent="0.25">
      <c r="A166" s="1">
        <v>42091</v>
      </c>
      <c r="B166">
        <f t="shared" si="11"/>
        <v>154</v>
      </c>
      <c r="C166">
        <f t="shared" si="11"/>
        <v>233</v>
      </c>
      <c r="D166">
        <f t="shared" si="11"/>
        <v>729</v>
      </c>
      <c r="E166">
        <v>84</v>
      </c>
      <c r="F166">
        <v>90</v>
      </c>
      <c r="G166">
        <v>30</v>
      </c>
      <c r="H166">
        <f t="shared" si="10"/>
        <v>238</v>
      </c>
      <c r="I166">
        <f t="shared" si="10"/>
        <v>323</v>
      </c>
      <c r="J166">
        <f t="shared" si="10"/>
        <v>759</v>
      </c>
      <c r="K166" t="str" cm="1">
        <f t="array" ref="K166">_xlfn.IFS(H166&gt;=$U$1,"kostka",I166&gt;=$U$1*$R$3,"orzech",J166&gt;=$U$1*$R$4,"miał",1=1,"NIC")</f>
        <v>kostka</v>
      </c>
      <c r="L166">
        <f t="shared" si="12"/>
        <v>38</v>
      </c>
      <c r="M166">
        <f t="shared" si="13"/>
        <v>323</v>
      </c>
      <c r="N166">
        <f t="shared" si="14"/>
        <v>759</v>
      </c>
    </row>
    <row r="167" spans="1:14" x14ac:dyDescent="0.25">
      <c r="A167" s="1">
        <v>42092</v>
      </c>
      <c r="B167">
        <f t="shared" si="11"/>
        <v>38</v>
      </c>
      <c r="C167">
        <f t="shared" si="11"/>
        <v>323</v>
      </c>
      <c r="D167">
        <f t="shared" si="11"/>
        <v>759</v>
      </c>
      <c r="E167">
        <v>64</v>
      </c>
      <c r="F167">
        <v>61</v>
      </c>
      <c r="G167">
        <v>60</v>
      </c>
      <c r="H167">
        <f t="shared" si="10"/>
        <v>102</v>
      </c>
      <c r="I167">
        <f t="shared" si="10"/>
        <v>384</v>
      </c>
      <c r="J167">
        <f t="shared" si="10"/>
        <v>819</v>
      </c>
      <c r="K167" t="str" cm="1">
        <f t="array" ref="K167">_xlfn.IFS(H167&gt;=$U$1,"kostka",I167&gt;=$U$1*$R$3,"orzech",J167&gt;=$U$1*$R$4,"miał",1=1,"NIC")</f>
        <v>orzech</v>
      </c>
      <c r="L167">
        <f t="shared" si="12"/>
        <v>102</v>
      </c>
      <c r="M167">
        <f t="shared" si="13"/>
        <v>124</v>
      </c>
      <c r="N167">
        <f t="shared" si="14"/>
        <v>819</v>
      </c>
    </row>
    <row r="168" spans="1:14" x14ac:dyDescent="0.25">
      <c r="A168" s="1">
        <v>42093</v>
      </c>
      <c r="B168">
        <f t="shared" si="11"/>
        <v>102</v>
      </c>
      <c r="C168">
        <f t="shared" si="11"/>
        <v>124</v>
      </c>
      <c r="D168">
        <f t="shared" si="11"/>
        <v>819</v>
      </c>
      <c r="E168">
        <v>125</v>
      </c>
      <c r="F168">
        <v>84</v>
      </c>
      <c r="G168">
        <v>40</v>
      </c>
      <c r="H168">
        <f t="shared" si="10"/>
        <v>227</v>
      </c>
      <c r="I168">
        <f t="shared" si="10"/>
        <v>208</v>
      </c>
      <c r="J168">
        <f t="shared" si="10"/>
        <v>859</v>
      </c>
      <c r="K168" t="str" cm="1">
        <f t="array" ref="K168">_xlfn.IFS(H168&gt;=$U$1,"kostka",I168&gt;=$U$1*$R$3,"orzech",J168&gt;=$U$1*$R$4,"miał",1=1,"NIC")</f>
        <v>kostka</v>
      </c>
      <c r="L168">
        <f t="shared" si="12"/>
        <v>27</v>
      </c>
      <c r="M168">
        <f t="shared" si="13"/>
        <v>208</v>
      </c>
      <c r="N168">
        <f t="shared" si="14"/>
        <v>859</v>
      </c>
    </row>
    <row r="169" spans="1:14" x14ac:dyDescent="0.25">
      <c r="A169" s="1">
        <v>42094</v>
      </c>
      <c r="B169">
        <f t="shared" si="11"/>
        <v>27</v>
      </c>
      <c r="C169">
        <f t="shared" si="11"/>
        <v>208</v>
      </c>
      <c r="D169">
        <f t="shared" si="11"/>
        <v>859</v>
      </c>
      <c r="E169">
        <v>148</v>
      </c>
      <c r="F169">
        <v>110</v>
      </c>
      <c r="G169">
        <v>50</v>
      </c>
      <c r="H169">
        <f t="shared" si="10"/>
        <v>175</v>
      </c>
      <c r="I169">
        <f t="shared" si="10"/>
        <v>318</v>
      </c>
      <c r="J169">
        <f t="shared" si="10"/>
        <v>909</v>
      </c>
      <c r="K169" t="str" cm="1">
        <f t="array" ref="K169">_xlfn.IFS(H169&gt;=$U$1,"kostka",I169&gt;=$U$1*$R$3,"orzech",J169&gt;=$U$1*$R$4,"miał",1=1,"NIC")</f>
        <v>orzech</v>
      </c>
      <c r="L169">
        <f t="shared" si="12"/>
        <v>175</v>
      </c>
      <c r="M169">
        <f t="shared" si="13"/>
        <v>58</v>
      </c>
      <c r="N169">
        <f t="shared" si="14"/>
        <v>909</v>
      </c>
    </row>
    <row r="170" spans="1:14" x14ac:dyDescent="0.25">
      <c r="A170" s="1">
        <v>42095</v>
      </c>
      <c r="B170">
        <f t="shared" si="11"/>
        <v>175</v>
      </c>
      <c r="C170">
        <f t="shared" si="11"/>
        <v>58</v>
      </c>
      <c r="D170">
        <f t="shared" si="11"/>
        <v>909</v>
      </c>
      <c r="E170">
        <v>172</v>
      </c>
      <c r="F170">
        <v>100</v>
      </c>
      <c r="G170">
        <v>30</v>
      </c>
      <c r="H170">
        <f t="shared" si="10"/>
        <v>347</v>
      </c>
      <c r="I170">
        <f t="shared" si="10"/>
        <v>158</v>
      </c>
      <c r="J170">
        <f t="shared" si="10"/>
        <v>939</v>
      </c>
      <c r="K170" t="str" cm="1">
        <f t="array" ref="K170">_xlfn.IFS(H170&gt;=$U$1,"kostka",I170&gt;=$U$1*$R$3,"orzech",J170&gt;=$U$1*$R$4,"miał",1=1,"NIC")</f>
        <v>kostka</v>
      </c>
      <c r="L170">
        <f t="shared" si="12"/>
        <v>147</v>
      </c>
      <c r="M170">
        <f t="shared" si="13"/>
        <v>158</v>
      </c>
      <c r="N170">
        <f t="shared" si="14"/>
        <v>939</v>
      </c>
    </row>
    <row r="171" spans="1:14" x14ac:dyDescent="0.25">
      <c r="A171" s="1">
        <v>42096</v>
      </c>
      <c r="B171">
        <f t="shared" si="11"/>
        <v>147</v>
      </c>
      <c r="C171">
        <f t="shared" si="11"/>
        <v>158</v>
      </c>
      <c r="D171">
        <f t="shared" si="11"/>
        <v>939</v>
      </c>
      <c r="E171">
        <v>103</v>
      </c>
      <c r="F171">
        <v>60</v>
      </c>
      <c r="G171">
        <v>40</v>
      </c>
      <c r="H171">
        <f t="shared" si="10"/>
        <v>250</v>
      </c>
      <c r="I171">
        <f t="shared" si="10"/>
        <v>218</v>
      </c>
      <c r="J171">
        <f t="shared" si="10"/>
        <v>979</v>
      </c>
      <c r="K171" t="str" cm="1">
        <f t="array" ref="K171">_xlfn.IFS(H171&gt;=$U$1,"kostka",I171&gt;=$U$1*$R$3,"orzech",J171&gt;=$U$1*$R$4,"miał",1=1,"NIC")</f>
        <v>kostka</v>
      </c>
      <c r="L171">
        <f t="shared" si="12"/>
        <v>50</v>
      </c>
      <c r="M171">
        <f t="shared" si="13"/>
        <v>218</v>
      </c>
      <c r="N171">
        <f t="shared" si="14"/>
        <v>979</v>
      </c>
    </row>
    <row r="172" spans="1:14" x14ac:dyDescent="0.25">
      <c r="A172" s="1">
        <v>42097</v>
      </c>
      <c r="B172">
        <f t="shared" si="11"/>
        <v>50</v>
      </c>
      <c r="C172">
        <f t="shared" si="11"/>
        <v>218</v>
      </c>
      <c r="D172">
        <f t="shared" si="11"/>
        <v>979</v>
      </c>
      <c r="E172">
        <v>191</v>
      </c>
      <c r="F172">
        <v>41</v>
      </c>
      <c r="G172">
        <v>52</v>
      </c>
      <c r="H172">
        <f t="shared" si="10"/>
        <v>241</v>
      </c>
      <c r="I172">
        <f t="shared" si="10"/>
        <v>259</v>
      </c>
      <c r="J172">
        <f t="shared" si="10"/>
        <v>1031</v>
      </c>
      <c r="K172" t="str" cm="1">
        <f t="array" ref="K172">_xlfn.IFS(H172&gt;=$U$1,"kostka",I172&gt;=$U$1*$R$3,"orzech",J172&gt;=$U$1*$R$4,"miał",1=1,"NIC")</f>
        <v>kostka</v>
      </c>
      <c r="L172">
        <f t="shared" si="12"/>
        <v>41</v>
      </c>
      <c r="M172">
        <f t="shared" si="13"/>
        <v>259</v>
      </c>
      <c r="N172">
        <f t="shared" si="14"/>
        <v>1031</v>
      </c>
    </row>
    <row r="173" spans="1:14" x14ac:dyDescent="0.25">
      <c r="A173" s="1">
        <v>42098</v>
      </c>
      <c r="B173">
        <f t="shared" si="11"/>
        <v>41</v>
      </c>
      <c r="C173">
        <f t="shared" si="11"/>
        <v>259</v>
      </c>
      <c r="D173">
        <f t="shared" si="11"/>
        <v>1031</v>
      </c>
      <c r="E173">
        <v>128</v>
      </c>
      <c r="F173">
        <v>98</v>
      </c>
      <c r="G173">
        <v>40</v>
      </c>
      <c r="H173">
        <f t="shared" si="10"/>
        <v>169</v>
      </c>
      <c r="I173">
        <f t="shared" si="10"/>
        <v>357</v>
      </c>
      <c r="J173">
        <f t="shared" si="10"/>
        <v>1071</v>
      </c>
      <c r="K173" t="str" cm="1">
        <f t="array" ref="K173">_xlfn.IFS(H173&gt;=$U$1,"kostka",I173&gt;=$U$1*$R$3,"orzech",J173&gt;=$U$1*$R$4,"miał",1=1,"NIC")</f>
        <v>orzech</v>
      </c>
      <c r="L173">
        <f t="shared" si="12"/>
        <v>169</v>
      </c>
      <c r="M173">
        <f t="shared" si="13"/>
        <v>97</v>
      </c>
      <c r="N173">
        <f t="shared" si="14"/>
        <v>1071</v>
      </c>
    </row>
    <row r="174" spans="1:14" x14ac:dyDescent="0.25">
      <c r="A174" s="1">
        <v>42099</v>
      </c>
      <c r="B174">
        <f t="shared" si="11"/>
        <v>169</v>
      </c>
      <c r="C174">
        <f t="shared" si="11"/>
        <v>97</v>
      </c>
      <c r="D174">
        <f t="shared" si="11"/>
        <v>1071</v>
      </c>
      <c r="E174">
        <v>75</v>
      </c>
      <c r="F174">
        <v>87</v>
      </c>
      <c r="G174">
        <v>47</v>
      </c>
      <c r="H174">
        <f t="shared" si="10"/>
        <v>244</v>
      </c>
      <c r="I174">
        <f t="shared" si="10"/>
        <v>184</v>
      </c>
      <c r="J174">
        <f t="shared" si="10"/>
        <v>1118</v>
      </c>
      <c r="K174" t="str" cm="1">
        <f t="array" ref="K174">_xlfn.IFS(H174&gt;=$U$1,"kostka",I174&gt;=$U$1*$R$3,"orzech",J174&gt;=$U$1*$R$4,"miał",1=1,"NIC")</f>
        <v>kostka</v>
      </c>
      <c r="L174">
        <f t="shared" si="12"/>
        <v>44</v>
      </c>
      <c r="M174">
        <f t="shared" si="13"/>
        <v>184</v>
      </c>
      <c r="N174">
        <f t="shared" si="14"/>
        <v>1118</v>
      </c>
    </row>
    <row r="175" spans="1:14" x14ac:dyDescent="0.25">
      <c r="A175" s="1">
        <v>42100</v>
      </c>
      <c r="B175">
        <f t="shared" si="11"/>
        <v>44</v>
      </c>
      <c r="C175">
        <f t="shared" si="11"/>
        <v>184</v>
      </c>
      <c r="D175">
        <f t="shared" si="11"/>
        <v>1118</v>
      </c>
      <c r="E175">
        <v>38</v>
      </c>
      <c r="F175">
        <v>100</v>
      </c>
      <c r="G175">
        <v>50</v>
      </c>
      <c r="H175">
        <f t="shared" si="10"/>
        <v>82</v>
      </c>
      <c r="I175">
        <f t="shared" si="10"/>
        <v>284</v>
      </c>
      <c r="J175">
        <f t="shared" si="10"/>
        <v>1168</v>
      </c>
      <c r="K175" t="str" cm="1">
        <f t="array" ref="K175">_xlfn.IFS(H175&gt;=$U$1,"kostka",I175&gt;=$U$1*$R$3,"orzech",J175&gt;=$U$1*$R$4,"miał",1=1,"NIC")</f>
        <v>orzech</v>
      </c>
      <c r="L175">
        <f t="shared" si="12"/>
        <v>82</v>
      </c>
      <c r="M175">
        <f t="shared" si="13"/>
        <v>24</v>
      </c>
      <c r="N175">
        <f t="shared" si="14"/>
        <v>1168</v>
      </c>
    </row>
    <row r="176" spans="1:14" x14ac:dyDescent="0.25">
      <c r="A176" s="1">
        <v>42101</v>
      </c>
      <c r="B176">
        <f t="shared" si="11"/>
        <v>82</v>
      </c>
      <c r="C176">
        <f t="shared" si="11"/>
        <v>24</v>
      </c>
      <c r="D176">
        <f t="shared" si="11"/>
        <v>1168</v>
      </c>
      <c r="E176">
        <v>80</v>
      </c>
      <c r="F176">
        <v>40</v>
      </c>
      <c r="G176">
        <v>30</v>
      </c>
      <c r="H176">
        <f t="shared" si="10"/>
        <v>162</v>
      </c>
      <c r="I176">
        <f t="shared" si="10"/>
        <v>64</v>
      </c>
      <c r="J176">
        <f t="shared" si="10"/>
        <v>1198</v>
      </c>
      <c r="K176" t="str" cm="1">
        <f t="array" ref="K176">_xlfn.IFS(H176&gt;=$U$1,"kostka",I176&gt;=$U$1*$R$3,"orzech",J176&gt;=$U$1*$R$4,"miał",1=1,"NIC")</f>
        <v>miał</v>
      </c>
      <c r="L176">
        <f t="shared" si="12"/>
        <v>162</v>
      </c>
      <c r="M176">
        <f t="shared" si="13"/>
        <v>64</v>
      </c>
      <c r="N176">
        <f t="shared" si="14"/>
        <v>878</v>
      </c>
    </row>
    <row r="177" spans="1:14" x14ac:dyDescent="0.25">
      <c r="A177" s="1">
        <v>42102</v>
      </c>
      <c r="B177">
        <f t="shared" si="11"/>
        <v>162</v>
      </c>
      <c r="C177">
        <f t="shared" si="11"/>
        <v>64</v>
      </c>
      <c r="D177">
        <f t="shared" si="11"/>
        <v>878</v>
      </c>
      <c r="E177">
        <v>55</v>
      </c>
      <c r="F177">
        <v>60</v>
      </c>
      <c r="G177">
        <v>50</v>
      </c>
      <c r="H177">
        <f t="shared" si="10"/>
        <v>217</v>
      </c>
      <c r="I177">
        <f t="shared" si="10"/>
        <v>124</v>
      </c>
      <c r="J177">
        <f t="shared" si="10"/>
        <v>928</v>
      </c>
      <c r="K177" t="str" cm="1">
        <f t="array" ref="K177">_xlfn.IFS(H177&gt;=$U$1,"kostka",I177&gt;=$U$1*$R$3,"orzech",J177&gt;=$U$1*$R$4,"miał",1=1,"NIC")</f>
        <v>kostka</v>
      </c>
      <c r="L177">
        <f t="shared" si="12"/>
        <v>17</v>
      </c>
      <c r="M177">
        <f t="shared" si="13"/>
        <v>124</v>
      </c>
      <c r="N177">
        <f t="shared" si="14"/>
        <v>928</v>
      </c>
    </row>
    <row r="178" spans="1:14" x14ac:dyDescent="0.25">
      <c r="A178" s="1">
        <v>42103</v>
      </c>
      <c r="B178">
        <f t="shared" si="11"/>
        <v>17</v>
      </c>
      <c r="C178">
        <f t="shared" si="11"/>
        <v>124</v>
      </c>
      <c r="D178">
        <f t="shared" si="11"/>
        <v>928</v>
      </c>
      <c r="E178">
        <v>10</v>
      </c>
      <c r="F178">
        <v>80</v>
      </c>
      <c r="G178">
        <v>48</v>
      </c>
      <c r="H178">
        <f t="shared" si="10"/>
        <v>27</v>
      </c>
      <c r="I178">
        <f t="shared" si="10"/>
        <v>204</v>
      </c>
      <c r="J178">
        <f t="shared" si="10"/>
        <v>976</v>
      </c>
      <c r="K178" t="str" cm="1">
        <f t="array" ref="K178">_xlfn.IFS(H178&gt;=$U$1,"kostka",I178&gt;=$U$1*$R$3,"orzech",J178&gt;=$U$1*$R$4,"miał",1=1,"NIC")</f>
        <v>miał</v>
      </c>
      <c r="L178">
        <f t="shared" si="12"/>
        <v>27</v>
      </c>
      <c r="M178">
        <f t="shared" si="13"/>
        <v>204</v>
      </c>
      <c r="N178">
        <f t="shared" si="14"/>
        <v>656</v>
      </c>
    </row>
    <row r="179" spans="1:14" x14ac:dyDescent="0.25">
      <c r="A179" s="1">
        <v>42104</v>
      </c>
      <c r="B179">
        <f t="shared" si="11"/>
        <v>27</v>
      </c>
      <c r="C179">
        <f t="shared" si="11"/>
        <v>204</v>
      </c>
      <c r="D179">
        <f t="shared" si="11"/>
        <v>656</v>
      </c>
      <c r="E179">
        <v>95</v>
      </c>
      <c r="F179">
        <v>60</v>
      </c>
      <c r="G179">
        <v>51</v>
      </c>
      <c r="H179">
        <f t="shared" si="10"/>
        <v>122</v>
      </c>
      <c r="I179">
        <f t="shared" si="10"/>
        <v>264</v>
      </c>
      <c r="J179">
        <f t="shared" si="10"/>
        <v>707</v>
      </c>
      <c r="K179" t="str" cm="1">
        <f t="array" ref="K179">_xlfn.IFS(H179&gt;=$U$1,"kostka",I179&gt;=$U$1*$R$3,"orzech",J179&gt;=$U$1*$R$4,"miał",1=1,"NIC")</f>
        <v>orzech</v>
      </c>
      <c r="L179">
        <f t="shared" si="12"/>
        <v>122</v>
      </c>
      <c r="M179">
        <f t="shared" si="13"/>
        <v>4</v>
      </c>
      <c r="N179">
        <f t="shared" si="14"/>
        <v>707</v>
      </c>
    </row>
    <row r="180" spans="1:14" x14ac:dyDescent="0.25">
      <c r="A180" s="1">
        <v>42105</v>
      </c>
      <c r="B180">
        <f t="shared" si="11"/>
        <v>122</v>
      </c>
      <c r="C180">
        <f t="shared" si="11"/>
        <v>4</v>
      </c>
      <c r="D180">
        <f t="shared" si="11"/>
        <v>707</v>
      </c>
      <c r="E180">
        <v>90</v>
      </c>
      <c r="F180">
        <v>100</v>
      </c>
      <c r="G180">
        <v>50</v>
      </c>
      <c r="H180">
        <f t="shared" si="10"/>
        <v>212</v>
      </c>
      <c r="I180">
        <f t="shared" si="10"/>
        <v>104</v>
      </c>
      <c r="J180">
        <f t="shared" si="10"/>
        <v>757</v>
      </c>
      <c r="K180" t="str" cm="1">
        <f t="array" ref="K180">_xlfn.IFS(H180&gt;=$U$1,"kostka",I180&gt;=$U$1*$R$3,"orzech",J180&gt;=$U$1*$R$4,"miał",1=1,"NIC")</f>
        <v>kostka</v>
      </c>
      <c r="L180">
        <f t="shared" si="12"/>
        <v>12</v>
      </c>
      <c r="M180">
        <f t="shared" si="13"/>
        <v>104</v>
      </c>
      <c r="N180">
        <f t="shared" si="14"/>
        <v>757</v>
      </c>
    </row>
    <row r="181" spans="1:14" x14ac:dyDescent="0.25">
      <c r="A181" s="1">
        <v>42106</v>
      </c>
      <c r="B181">
        <f t="shared" si="11"/>
        <v>12</v>
      </c>
      <c r="C181">
        <f t="shared" si="11"/>
        <v>104</v>
      </c>
      <c r="D181">
        <f t="shared" si="11"/>
        <v>757</v>
      </c>
      <c r="E181">
        <v>186</v>
      </c>
      <c r="F181">
        <v>60</v>
      </c>
      <c r="G181">
        <v>92</v>
      </c>
      <c r="H181">
        <f t="shared" si="10"/>
        <v>198</v>
      </c>
      <c r="I181">
        <f t="shared" si="10"/>
        <v>164</v>
      </c>
      <c r="J181">
        <f t="shared" si="10"/>
        <v>849</v>
      </c>
      <c r="K181" t="str" cm="1">
        <f t="array" ref="K181">_xlfn.IFS(H181&gt;=$U$1,"kostka",I181&gt;=$U$1*$R$3,"orzech",J181&gt;=$U$1*$R$4,"miał",1=1,"NIC")</f>
        <v>miał</v>
      </c>
      <c r="L181">
        <f t="shared" si="12"/>
        <v>198</v>
      </c>
      <c r="M181">
        <f t="shared" si="13"/>
        <v>164</v>
      </c>
      <c r="N181">
        <f t="shared" si="14"/>
        <v>529</v>
      </c>
    </row>
    <row r="182" spans="1:14" x14ac:dyDescent="0.25">
      <c r="A182" s="1">
        <v>42107</v>
      </c>
      <c r="B182">
        <f t="shared" si="11"/>
        <v>198</v>
      </c>
      <c r="C182">
        <f t="shared" si="11"/>
        <v>164</v>
      </c>
      <c r="D182">
        <f t="shared" si="11"/>
        <v>529</v>
      </c>
      <c r="E182">
        <v>2</v>
      </c>
      <c r="F182">
        <v>40</v>
      </c>
      <c r="G182">
        <v>50</v>
      </c>
      <c r="H182">
        <f t="shared" si="10"/>
        <v>200</v>
      </c>
      <c r="I182">
        <f t="shared" si="10"/>
        <v>204</v>
      </c>
      <c r="J182">
        <f t="shared" si="10"/>
        <v>579</v>
      </c>
      <c r="K182" t="str" cm="1">
        <f t="array" ref="K182">_xlfn.IFS(H182&gt;=$U$1,"kostka",I182&gt;=$U$1*$R$3,"orzech",J182&gt;=$U$1*$R$4,"miał",1=1,"NIC")</f>
        <v>kostka</v>
      </c>
      <c r="L182">
        <f t="shared" si="12"/>
        <v>0</v>
      </c>
      <c r="M182">
        <f t="shared" si="13"/>
        <v>204</v>
      </c>
      <c r="N182">
        <f t="shared" si="14"/>
        <v>579</v>
      </c>
    </row>
    <row r="183" spans="1:14" x14ac:dyDescent="0.25">
      <c r="A183" s="1">
        <v>42108</v>
      </c>
      <c r="B183">
        <f t="shared" si="11"/>
        <v>0</v>
      </c>
      <c r="C183">
        <f t="shared" si="11"/>
        <v>204</v>
      </c>
      <c r="D183">
        <f t="shared" si="11"/>
        <v>579</v>
      </c>
      <c r="E183">
        <v>136</v>
      </c>
      <c r="F183">
        <v>20</v>
      </c>
      <c r="G183">
        <v>66</v>
      </c>
      <c r="H183">
        <f t="shared" si="10"/>
        <v>136</v>
      </c>
      <c r="I183">
        <f t="shared" si="10"/>
        <v>224</v>
      </c>
      <c r="J183">
        <f t="shared" si="10"/>
        <v>645</v>
      </c>
      <c r="K183" t="str" cm="1">
        <f t="array" ref="K183">_xlfn.IFS(H183&gt;=$U$1,"kostka",I183&gt;=$U$1*$R$3,"orzech",J183&gt;=$U$1*$R$4,"miał",1=1,"NIC")</f>
        <v>miał</v>
      </c>
      <c r="L183">
        <f t="shared" si="12"/>
        <v>136</v>
      </c>
      <c r="M183">
        <f t="shared" si="13"/>
        <v>224</v>
      </c>
      <c r="N183">
        <f t="shared" si="14"/>
        <v>325</v>
      </c>
    </row>
    <row r="184" spans="1:14" x14ac:dyDescent="0.25">
      <c r="A184" s="1">
        <v>42109</v>
      </c>
      <c r="B184">
        <f t="shared" si="11"/>
        <v>136</v>
      </c>
      <c r="C184">
        <f t="shared" si="11"/>
        <v>224</v>
      </c>
      <c r="D184">
        <f t="shared" si="11"/>
        <v>325</v>
      </c>
      <c r="E184">
        <v>4</v>
      </c>
      <c r="F184">
        <v>20</v>
      </c>
      <c r="G184">
        <v>10</v>
      </c>
      <c r="H184">
        <f t="shared" si="10"/>
        <v>140</v>
      </c>
      <c r="I184">
        <f t="shared" si="10"/>
        <v>244</v>
      </c>
      <c r="J184">
        <f t="shared" si="10"/>
        <v>335</v>
      </c>
      <c r="K184" t="str" cm="1">
        <f t="array" ref="K184">_xlfn.IFS(H184&gt;=$U$1,"kostka",I184&gt;=$U$1*$R$3,"orzech",J184&gt;=$U$1*$R$4,"miał",1=1,"NIC")</f>
        <v>miał</v>
      </c>
      <c r="L184">
        <f t="shared" si="12"/>
        <v>140</v>
      </c>
      <c r="M184">
        <f t="shared" si="13"/>
        <v>244</v>
      </c>
      <c r="N184">
        <f t="shared" si="14"/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41E3-63E6-4CEC-B9E4-5A0661B20410}">
  <dimension ref="A1:U184"/>
  <sheetViews>
    <sheetView workbookViewId="0">
      <selection activeCell="A5" sqref="A5"/>
    </sheetView>
  </sheetViews>
  <sheetFormatPr defaultRowHeight="15" x14ac:dyDescent="0.25"/>
  <cols>
    <col min="1" max="1" width="10.140625" bestFit="1" customWidth="1"/>
    <col min="2" max="2" width="16.140625" bestFit="1" customWidth="1"/>
    <col min="3" max="3" width="18" bestFit="1" customWidth="1"/>
    <col min="4" max="4" width="15.85546875" bestFit="1" customWidth="1"/>
    <col min="5" max="5" width="17" bestFit="1" customWidth="1"/>
    <col min="6" max="6" width="18.85546875" bestFit="1" customWidth="1"/>
    <col min="7" max="7" width="16.7109375" bestFit="1" customWidth="1"/>
    <col min="8" max="8" width="23.85546875" bestFit="1" customWidth="1"/>
    <col min="9" max="9" width="25.7109375" bestFit="1" customWidth="1"/>
    <col min="10" max="10" width="23.5703125" bestFit="1" customWidth="1"/>
    <col min="11" max="11" width="12.42578125" bestFit="1" customWidth="1"/>
    <col min="12" max="12" width="22.42578125" bestFit="1" customWidth="1"/>
    <col min="13" max="13" width="24" bestFit="1" customWidth="1"/>
    <col min="14" max="14" width="22.140625" bestFit="1" customWidth="1"/>
    <col min="16" max="16" width="12.28515625" bestFit="1" customWidth="1"/>
    <col min="17" max="17" width="10" bestFit="1" customWidth="1"/>
    <col min="18" max="18" width="8.42578125" bestFit="1" customWidth="1"/>
    <col min="20" max="20" width="16.7109375" bestFit="1" customWidth="1"/>
    <col min="21" max="21" width="4" bestFit="1" customWidth="1"/>
  </cols>
  <sheetData>
    <row r="1" spans="1:21" x14ac:dyDescent="0.25">
      <c r="A1" t="s">
        <v>5</v>
      </c>
      <c r="B1" t="s">
        <v>8</v>
      </c>
      <c r="C1" t="s">
        <v>9</v>
      </c>
      <c r="D1" t="s">
        <v>10</v>
      </c>
      <c r="E1" t="s">
        <v>18</v>
      </c>
      <c r="F1" t="s">
        <v>19</v>
      </c>
      <c r="G1" t="s">
        <v>20</v>
      </c>
      <c r="H1" t="s">
        <v>12</v>
      </c>
      <c r="I1" t="s">
        <v>13</v>
      </c>
      <c r="J1" t="s">
        <v>14</v>
      </c>
      <c r="K1" t="s">
        <v>11</v>
      </c>
      <c r="L1" t="s">
        <v>15</v>
      </c>
      <c r="M1" t="s">
        <v>16</v>
      </c>
      <c r="N1" t="s">
        <v>17</v>
      </c>
      <c r="P1" t="s">
        <v>2</v>
      </c>
      <c r="Q1" t="s">
        <v>3</v>
      </c>
      <c r="R1" t="s">
        <v>7</v>
      </c>
      <c r="T1" t="s">
        <v>6</v>
      </c>
      <c r="U1">
        <v>200</v>
      </c>
    </row>
    <row r="2" spans="1:21" x14ac:dyDescent="0.25">
      <c r="A2" s="1">
        <v>41927</v>
      </c>
      <c r="B2">
        <v>80</v>
      </c>
      <c r="C2">
        <v>80</v>
      </c>
      <c r="D2">
        <v>80</v>
      </c>
      <c r="E2">
        <v>200</v>
      </c>
      <c r="F2">
        <v>120</v>
      </c>
      <c r="G2">
        <v>81</v>
      </c>
      <c r="H2">
        <f>B2+E2</f>
        <v>280</v>
      </c>
      <c r="I2">
        <f>C2+F2</f>
        <v>200</v>
      </c>
      <c r="J2">
        <f>D2+G2</f>
        <v>161</v>
      </c>
      <c r="K2" t="str" cm="1">
        <f t="array" ref="K2">_xlfn.IFS(H2&gt;=$U$1,"kostka",I2&gt;=$U$1*$R$3,"orzech",J2&gt;=$U$1*$R$4,"miał",1=1,"NIC")</f>
        <v>kostka</v>
      </c>
      <c r="L2">
        <f>IF($K2="kostka",H2-$U$1,H2)</f>
        <v>80</v>
      </c>
      <c r="M2">
        <f>IF($K2="orzech",I2-$U$1*$R$3,I2)</f>
        <v>200</v>
      </c>
      <c r="N2">
        <f>IF($K2="miał",J2-$U$1*$R$4,J2)</f>
        <v>161</v>
      </c>
      <c r="P2" t="s">
        <v>0</v>
      </c>
      <c r="Q2">
        <v>685</v>
      </c>
      <c r="R2">
        <v>1</v>
      </c>
    </row>
    <row r="3" spans="1:21" x14ac:dyDescent="0.25">
      <c r="A3" s="1">
        <v>41928</v>
      </c>
      <c r="B3">
        <f>L2</f>
        <v>80</v>
      </c>
      <c r="C3">
        <f>M2</f>
        <v>200</v>
      </c>
      <c r="D3">
        <f>N2</f>
        <v>161</v>
      </c>
      <c r="E3">
        <v>100</v>
      </c>
      <c r="F3">
        <v>135</v>
      </c>
      <c r="G3">
        <v>33</v>
      </c>
      <c r="H3">
        <f t="shared" ref="H3:J66" si="0">B3+E3</f>
        <v>180</v>
      </c>
      <c r="I3">
        <f t="shared" si="0"/>
        <v>335</v>
      </c>
      <c r="J3">
        <f t="shared" si="0"/>
        <v>194</v>
      </c>
      <c r="K3" t="str" cm="1">
        <f t="array" ref="K3">_xlfn.IFS(H3&gt;=$U$1,"kostka",I3&gt;=$U$1*$R$3,"orzech",J3&gt;=$U$1*$R$4,"miał",1=1,"NIC")</f>
        <v>orzech</v>
      </c>
      <c r="L3">
        <f>IF($K3="kostka",H3-$U$1,H3)</f>
        <v>180</v>
      </c>
      <c r="M3">
        <f>IF($K3="orzech",I3-$U$1*$R$3,I3)</f>
        <v>75</v>
      </c>
      <c r="N3">
        <f>IF($K3="miał",J3-$U$1*$R$4,J3)</f>
        <v>194</v>
      </c>
      <c r="P3" t="s">
        <v>1</v>
      </c>
      <c r="Q3">
        <v>620</v>
      </c>
      <c r="R3">
        <v>1.3</v>
      </c>
    </row>
    <row r="4" spans="1:21" x14ac:dyDescent="0.25">
      <c r="A4" s="1">
        <v>41929</v>
      </c>
      <c r="B4">
        <f t="shared" ref="B4:D67" si="1">L3</f>
        <v>180</v>
      </c>
      <c r="C4">
        <f t="shared" si="1"/>
        <v>75</v>
      </c>
      <c r="D4">
        <f t="shared" si="1"/>
        <v>194</v>
      </c>
      <c r="E4">
        <v>50</v>
      </c>
      <c r="F4">
        <v>29</v>
      </c>
      <c r="G4">
        <v>85</v>
      </c>
      <c r="H4">
        <f t="shared" si="0"/>
        <v>230</v>
      </c>
      <c r="I4">
        <f t="shared" si="0"/>
        <v>104</v>
      </c>
      <c r="J4">
        <f t="shared" si="0"/>
        <v>279</v>
      </c>
      <c r="K4" t="str" cm="1">
        <f t="array" ref="K4">_xlfn.IFS(H4&gt;=$U$1,"kostka",I4&gt;=$U$1*$R$3,"orzech",J4&gt;=$U$1*$R$4,"miał",1=1,"NIC")</f>
        <v>kostka</v>
      </c>
      <c r="L4">
        <f t="shared" ref="L4:L67" si="2">IF($K4="kostka",H4-$U$1,H4)</f>
        <v>30</v>
      </c>
      <c r="M4">
        <f t="shared" ref="M4:M67" si="3">IF($K4="orzech",I4-$U$1*$R$3,I4)</f>
        <v>104</v>
      </c>
      <c r="N4">
        <f t="shared" ref="N4:N67" si="4">IF($K4="miał",J4-$U$1*$R$4,J4)</f>
        <v>279</v>
      </c>
      <c r="P4" t="s">
        <v>4</v>
      </c>
      <c r="Q4">
        <v>380</v>
      </c>
      <c r="R4">
        <v>1.6</v>
      </c>
    </row>
    <row r="5" spans="1:21" x14ac:dyDescent="0.25">
      <c r="A5" s="12">
        <v>41930</v>
      </c>
      <c r="B5">
        <f t="shared" si="1"/>
        <v>30</v>
      </c>
      <c r="C5">
        <f t="shared" si="1"/>
        <v>104</v>
      </c>
      <c r="D5">
        <f t="shared" si="1"/>
        <v>279</v>
      </c>
      <c r="E5">
        <v>68</v>
      </c>
      <c r="F5">
        <v>107</v>
      </c>
      <c r="G5">
        <v>84</v>
      </c>
      <c r="H5">
        <f t="shared" si="0"/>
        <v>98</v>
      </c>
      <c r="I5">
        <f t="shared" si="0"/>
        <v>211</v>
      </c>
      <c r="J5">
        <f t="shared" si="0"/>
        <v>363</v>
      </c>
      <c r="K5" t="str" cm="1">
        <f t="array" ref="K5">_xlfn.IFS(H5&gt;=$U$1,"kostka",I5&gt;=$U$1*$R$3,"orzech",J5&gt;=$U$1*$R$4,"miał",1=1,"NIC")</f>
        <v>miał</v>
      </c>
      <c r="L5">
        <f t="shared" si="2"/>
        <v>98</v>
      </c>
      <c r="M5">
        <f t="shared" si="3"/>
        <v>211</v>
      </c>
      <c r="N5">
        <f t="shared" si="4"/>
        <v>43</v>
      </c>
    </row>
    <row r="6" spans="1:21" x14ac:dyDescent="0.25">
      <c r="A6" s="1">
        <v>41931</v>
      </c>
      <c r="B6">
        <f t="shared" si="1"/>
        <v>98</v>
      </c>
      <c r="C6">
        <f t="shared" si="1"/>
        <v>211</v>
      </c>
      <c r="D6">
        <f t="shared" si="1"/>
        <v>43</v>
      </c>
      <c r="E6">
        <v>75</v>
      </c>
      <c r="F6">
        <v>49</v>
      </c>
      <c r="G6">
        <v>23</v>
      </c>
      <c r="H6">
        <f t="shared" si="0"/>
        <v>173</v>
      </c>
      <c r="I6">
        <f t="shared" si="0"/>
        <v>260</v>
      </c>
      <c r="J6">
        <f t="shared" si="0"/>
        <v>66</v>
      </c>
      <c r="K6" t="str" cm="1">
        <f t="array" ref="K6">_xlfn.IFS(H6&gt;=$U$1,"kostka",I6&gt;=$U$1*$R$3,"orzech",J6&gt;=$U$1*$R$4,"miał",1=1,"NIC")</f>
        <v>orzech</v>
      </c>
      <c r="L6">
        <f t="shared" si="2"/>
        <v>173</v>
      </c>
      <c r="M6">
        <f t="shared" si="3"/>
        <v>0</v>
      </c>
      <c r="N6">
        <f t="shared" si="4"/>
        <v>66</v>
      </c>
    </row>
    <row r="7" spans="1:21" x14ac:dyDescent="0.25">
      <c r="A7" s="1">
        <v>41932</v>
      </c>
      <c r="B7">
        <f t="shared" si="1"/>
        <v>173</v>
      </c>
      <c r="C7">
        <f t="shared" si="1"/>
        <v>0</v>
      </c>
      <c r="D7">
        <f t="shared" si="1"/>
        <v>66</v>
      </c>
      <c r="E7">
        <v>109</v>
      </c>
      <c r="F7">
        <v>90</v>
      </c>
      <c r="G7">
        <v>48</v>
      </c>
      <c r="H7">
        <f t="shared" si="0"/>
        <v>282</v>
      </c>
      <c r="I7">
        <f t="shared" si="0"/>
        <v>90</v>
      </c>
      <c r="J7">
        <f t="shared" si="0"/>
        <v>114</v>
      </c>
      <c r="K7" t="str" cm="1">
        <f t="array" ref="K7">_xlfn.IFS(H7&gt;=$U$1,"kostka",I7&gt;=$U$1*$R$3,"orzech",J7&gt;=$U$1*$R$4,"miał",1=1,"NIC")</f>
        <v>kostka</v>
      </c>
      <c r="L7">
        <f t="shared" si="2"/>
        <v>82</v>
      </c>
      <c r="M7">
        <f t="shared" si="3"/>
        <v>90</v>
      </c>
      <c r="N7">
        <f t="shared" si="4"/>
        <v>114</v>
      </c>
    </row>
    <row r="8" spans="1:21" x14ac:dyDescent="0.25">
      <c r="A8" s="1">
        <v>41933</v>
      </c>
      <c r="B8">
        <f t="shared" si="1"/>
        <v>82</v>
      </c>
      <c r="C8">
        <f t="shared" si="1"/>
        <v>90</v>
      </c>
      <c r="D8">
        <f t="shared" si="1"/>
        <v>114</v>
      </c>
      <c r="E8">
        <v>161</v>
      </c>
      <c r="F8">
        <v>2</v>
      </c>
      <c r="G8">
        <v>16</v>
      </c>
      <c r="H8">
        <f t="shared" si="0"/>
        <v>243</v>
      </c>
      <c r="I8">
        <f t="shared" si="0"/>
        <v>92</v>
      </c>
      <c r="J8">
        <f t="shared" si="0"/>
        <v>130</v>
      </c>
      <c r="K8" t="str" cm="1">
        <f t="array" ref="K8">_xlfn.IFS(H8&gt;=$U$1,"kostka",I8&gt;=$U$1*$R$3,"orzech",J8&gt;=$U$1*$R$4,"miał",1=1,"NIC")</f>
        <v>kostka</v>
      </c>
      <c r="L8">
        <f t="shared" si="2"/>
        <v>43</v>
      </c>
      <c r="M8">
        <f t="shared" si="3"/>
        <v>92</v>
      </c>
      <c r="N8">
        <f t="shared" si="4"/>
        <v>130</v>
      </c>
    </row>
    <row r="9" spans="1:21" x14ac:dyDescent="0.25">
      <c r="A9" s="1">
        <v>41934</v>
      </c>
      <c r="B9">
        <f t="shared" si="1"/>
        <v>43</v>
      </c>
      <c r="C9">
        <f t="shared" si="1"/>
        <v>92</v>
      </c>
      <c r="D9">
        <f t="shared" si="1"/>
        <v>130</v>
      </c>
      <c r="E9">
        <v>97</v>
      </c>
      <c r="F9">
        <v>129</v>
      </c>
      <c r="G9">
        <v>43</v>
      </c>
      <c r="H9">
        <f t="shared" si="0"/>
        <v>140</v>
      </c>
      <c r="I9">
        <f t="shared" si="0"/>
        <v>221</v>
      </c>
      <c r="J9">
        <f t="shared" si="0"/>
        <v>173</v>
      </c>
      <c r="K9" t="str" cm="1">
        <f t="array" ref="K9">_xlfn.IFS(H9&gt;=$U$1,"kostka",I9&gt;=$U$1*$R$3,"orzech",J9&gt;=$U$1*$R$4,"miał",1=1,"NIC")</f>
        <v>NIC</v>
      </c>
      <c r="L9">
        <f t="shared" si="2"/>
        <v>140</v>
      </c>
      <c r="M9">
        <f t="shared" si="3"/>
        <v>221</v>
      </c>
      <c r="N9">
        <f t="shared" si="4"/>
        <v>173</v>
      </c>
    </row>
    <row r="10" spans="1:21" x14ac:dyDescent="0.25">
      <c r="A10" s="1">
        <v>41935</v>
      </c>
      <c r="B10">
        <f t="shared" si="1"/>
        <v>140</v>
      </c>
      <c r="C10">
        <f t="shared" si="1"/>
        <v>221</v>
      </c>
      <c r="D10">
        <f t="shared" si="1"/>
        <v>173</v>
      </c>
      <c r="E10">
        <v>25</v>
      </c>
      <c r="F10">
        <v>186</v>
      </c>
      <c r="G10">
        <v>4</v>
      </c>
      <c r="H10">
        <f t="shared" si="0"/>
        <v>165</v>
      </c>
      <c r="I10">
        <f t="shared" si="0"/>
        <v>407</v>
      </c>
      <c r="J10">
        <f t="shared" si="0"/>
        <v>177</v>
      </c>
      <c r="K10" t="str" cm="1">
        <f t="array" ref="K10">_xlfn.IFS(H10&gt;=$U$1,"kostka",I10&gt;=$U$1*$R$3,"orzech",J10&gt;=$U$1*$R$4,"miał",1=1,"NIC")</f>
        <v>orzech</v>
      </c>
      <c r="L10">
        <f t="shared" si="2"/>
        <v>165</v>
      </c>
      <c r="M10">
        <f t="shared" si="3"/>
        <v>147</v>
      </c>
      <c r="N10">
        <f t="shared" si="4"/>
        <v>177</v>
      </c>
    </row>
    <row r="11" spans="1:21" x14ac:dyDescent="0.25">
      <c r="A11" s="1">
        <v>41936</v>
      </c>
      <c r="B11">
        <f t="shared" si="1"/>
        <v>165</v>
      </c>
      <c r="C11">
        <f t="shared" si="1"/>
        <v>147</v>
      </c>
      <c r="D11">
        <f t="shared" si="1"/>
        <v>177</v>
      </c>
      <c r="E11">
        <v>113</v>
      </c>
      <c r="F11">
        <v>97</v>
      </c>
      <c r="G11">
        <v>97</v>
      </c>
      <c r="H11">
        <f t="shared" si="0"/>
        <v>278</v>
      </c>
      <c r="I11">
        <f t="shared" si="0"/>
        <v>244</v>
      </c>
      <c r="J11">
        <f t="shared" si="0"/>
        <v>274</v>
      </c>
      <c r="K11" t="str" cm="1">
        <f t="array" ref="K11">_xlfn.IFS(H11&gt;=$U$1,"kostka",I11&gt;=$U$1*$R$3,"orzech",J11&gt;=$U$1*$R$4,"miał",1=1,"NIC")</f>
        <v>kostka</v>
      </c>
      <c r="L11">
        <f t="shared" si="2"/>
        <v>78</v>
      </c>
      <c r="M11">
        <f t="shared" si="3"/>
        <v>244</v>
      </c>
      <c r="N11">
        <f t="shared" si="4"/>
        <v>274</v>
      </c>
    </row>
    <row r="12" spans="1:21" x14ac:dyDescent="0.25">
      <c r="A12" s="1">
        <v>41937</v>
      </c>
      <c r="B12">
        <f t="shared" si="1"/>
        <v>78</v>
      </c>
      <c r="C12">
        <f t="shared" si="1"/>
        <v>244</v>
      </c>
      <c r="D12">
        <f t="shared" si="1"/>
        <v>274</v>
      </c>
      <c r="E12">
        <v>70</v>
      </c>
      <c r="F12">
        <v>12</v>
      </c>
      <c r="G12">
        <v>53</v>
      </c>
      <c r="H12">
        <f t="shared" si="0"/>
        <v>148</v>
      </c>
      <c r="I12">
        <f t="shared" si="0"/>
        <v>256</v>
      </c>
      <c r="J12">
        <f t="shared" si="0"/>
        <v>327</v>
      </c>
      <c r="K12" t="str" cm="1">
        <f t="array" ref="K12">_xlfn.IFS(H12&gt;=$U$1,"kostka",I12&gt;=$U$1*$R$3,"orzech",J12&gt;=$U$1*$R$4,"miał",1=1,"NIC")</f>
        <v>miał</v>
      </c>
      <c r="L12">
        <f t="shared" si="2"/>
        <v>148</v>
      </c>
      <c r="M12">
        <f t="shared" si="3"/>
        <v>256</v>
      </c>
      <c r="N12">
        <f t="shared" si="4"/>
        <v>7</v>
      </c>
    </row>
    <row r="13" spans="1:21" x14ac:dyDescent="0.25">
      <c r="A13" s="1">
        <v>41938</v>
      </c>
      <c r="B13">
        <f t="shared" si="1"/>
        <v>148</v>
      </c>
      <c r="C13">
        <f t="shared" si="1"/>
        <v>256</v>
      </c>
      <c r="D13">
        <f t="shared" si="1"/>
        <v>7</v>
      </c>
      <c r="E13">
        <v>117</v>
      </c>
      <c r="F13">
        <v>142</v>
      </c>
      <c r="G13">
        <v>90</v>
      </c>
      <c r="H13">
        <f t="shared" si="0"/>
        <v>265</v>
      </c>
      <c r="I13">
        <f t="shared" si="0"/>
        <v>398</v>
      </c>
      <c r="J13">
        <f t="shared" si="0"/>
        <v>97</v>
      </c>
      <c r="K13" t="str" cm="1">
        <f t="array" ref="K13">_xlfn.IFS(H13&gt;=$U$1,"kostka",I13&gt;=$U$1*$R$3,"orzech",J13&gt;=$U$1*$R$4,"miał",1=1,"NIC")</f>
        <v>kostka</v>
      </c>
      <c r="L13">
        <f t="shared" si="2"/>
        <v>65</v>
      </c>
      <c r="M13">
        <f t="shared" si="3"/>
        <v>398</v>
      </c>
      <c r="N13">
        <f t="shared" si="4"/>
        <v>97</v>
      </c>
    </row>
    <row r="14" spans="1:21" x14ac:dyDescent="0.25">
      <c r="A14" s="1">
        <v>41939</v>
      </c>
      <c r="B14">
        <f t="shared" si="1"/>
        <v>65</v>
      </c>
      <c r="C14">
        <f t="shared" si="1"/>
        <v>398</v>
      </c>
      <c r="D14">
        <f t="shared" si="1"/>
        <v>97</v>
      </c>
      <c r="E14">
        <v>189</v>
      </c>
      <c r="F14">
        <v>28</v>
      </c>
      <c r="G14">
        <v>43</v>
      </c>
      <c r="H14">
        <f t="shared" si="0"/>
        <v>254</v>
      </c>
      <c r="I14">
        <f t="shared" si="0"/>
        <v>426</v>
      </c>
      <c r="J14">
        <f t="shared" si="0"/>
        <v>140</v>
      </c>
      <c r="K14" t="str" cm="1">
        <f t="array" ref="K14">_xlfn.IFS(H14&gt;=$U$1,"kostka",I14&gt;=$U$1*$R$3,"orzech",J14&gt;=$U$1*$R$4,"miał",1=1,"NIC")</f>
        <v>kostka</v>
      </c>
      <c r="L14">
        <f t="shared" si="2"/>
        <v>54</v>
      </c>
      <c r="M14">
        <f t="shared" si="3"/>
        <v>426</v>
      </c>
      <c r="N14">
        <f t="shared" si="4"/>
        <v>140</v>
      </c>
    </row>
    <row r="15" spans="1:21" x14ac:dyDescent="0.25">
      <c r="A15" s="1">
        <v>41940</v>
      </c>
      <c r="B15">
        <f t="shared" si="1"/>
        <v>54</v>
      </c>
      <c r="C15">
        <f t="shared" si="1"/>
        <v>426</v>
      </c>
      <c r="D15">
        <f t="shared" si="1"/>
        <v>140</v>
      </c>
      <c r="E15">
        <v>140</v>
      </c>
      <c r="F15">
        <v>191</v>
      </c>
      <c r="G15">
        <v>40</v>
      </c>
      <c r="H15">
        <f t="shared" si="0"/>
        <v>194</v>
      </c>
      <c r="I15">
        <f t="shared" si="0"/>
        <v>617</v>
      </c>
      <c r="J15">
        <f t="shared" si="0"/>
        <v>180</v>
      </c>
      <c r="K15" t="str" cm="1">
        <f t="array" ref="K15">_xlfn.IFS(H15&gt;=$U$1,"kostka",I15&gt;=$U$1*$R$3,"orzech",J15&gt;=$U$1*$R$4,"miał",1=1,"NIC")</f>
        <v>orzech</v>
      </c>
      <c r="L15">
        <f t="shared" si="2"/>
        <v>194</v>
      </c>
      <c r="M15">
        <f t="shared" si="3"/>
        <v>357</v>
      </c>
      <c r="N15">
        <f t="shared" si="4"/>
        <v>180</v>
      </c>
    </row>
    <row r="16" spans="1:21" x14ac:dyDescent="0.25">
      <c r="A16" s="1">
        <v>41941</v>
      </c>
      <c r="B16">
        <f t="shared" si="1"/>
        <v>194</v>
      </c>
      <c r="C16">
        <f t="shared" si="1"/>
        <v>357</v>
      </c>
      <c r="D16">
        <f t="shared" si="1"/>
        <v>180</v>
      </c>
      <c r="E16">
        <v>167</v>
      </c>
      <c r="F16">
        <v>48</v>
      </c>
      <c r="G16">
        <v>30</v>
      </c>
      <c r="H16">
        <f t="shared" si="0"/>
        <v>361</v>
      </c>
      <c r="I16">
        <f t="shared" si="0"/>
        <v>405</v>
      </c>
      <c r="J16">
        <f t="shared" si="0"/>
        <v>210</v>
      </c>
      <c r="K16" t="str" cm="1">
        <f t="array" ref="K16">_xlfn.IFS(H16&gt;=$U$1,"kostka",I16&gt;=$U$1*$R$3,"orzech",J16&gt;=$U$1*$R$4,"miał",1=1,"NIC")</f>
        <v>kostka</v>
      </c>
      <c r="L16">
        <f t="shared" si="2"/>
        <v>161</v>
      </c>
      <c r="M16">
        <f t="shared" si="3"/>
        <v>405</v>
      </c>
      <c r="N16">
        <f t="shared" si="4"/>
        <v>210</v>
      </c>
    </row>
    <row r="17" spans="1:14" x14ac:dyDescent="0.25">
      <c r="A17" s="1">
        <v>41942</v>
      </c>
      <c r="B17">
        <f t="shared" si="1"/>
        <v>161</v>
      </c>
      <c r="C17">
        <f t="shared" si="1"/>
        <v>405</v>
      </c>
      <c r="D17">
        <f t="shared" si="1"/>
        <v>210</v>
      </c>
      <c r="E17">
        <v>0</v>
      </c>
      <c r="F17">
        <v>154</v>
      </c>
      <c r="G17">
        <v>68</v>
      </c>
      <c r="H17">
        <f t="shared" si="0"/>
        <v>161</v>
      </c>
      <c r="I17">
        <f t="shared" si="0"/>
        <v>559</v>
      </c>
      <c r="J17">
        <f t="shared" si="0"/>
        <v>278</v>
      </c>
      <c r="K17" t="str" cm="1">
        <f t="array" ref="K17">_xlfn.IFS(H17&gt;=$U$1,"kostka",I17&gt;=$U$1*$R$3,"orzech",J17&gt;=$U$1*$R$4,"miał",1=1,"NIC")</f>
        <v>orzech</v>
      </c>
      <c r="L17">
        <f t="shared" si="2"/>
        <v>161</v>
      </c>
      <c r="M17">
        <f t="shared" si="3"/>
        <v>299</v>
      </c>
      <c r="N17">
        <f t="shared" si="4"/>
        <v>278</v>
      </c>
    </row>
    <row r="18" spans="1:14" x14ac:dyDescent="0.25">
      <c r="A18" s="1">
        <v>41943</v>
      </c>
      <c r="B18">
        <f t="shared" si="1"/>
        <v>161</v>
      </c>
      <c r="C18">
        <f t="shared" si="1"/>
        <v>299</v>
      </c>
      <c r="D18">
        <f t="shared" si="1"/>
        <v>278</v>
      </c>
      <c r="E18">
        <v>61</v>
      </c>
      <c r="F18">
        <v>139</v>
      </c>
      <c r="G18">
        <v>77</v>
      </c>
      <c r="H18">
        <f t="shared" si="0"/>
        <v>222</v>
      </c>
      <c r="I18">
        <f t="shared" si="0"/>
        <v>438</v>
      </c>
      <c r="J18">
        <f t="shared" si="0"/>
        <v>355</v>
      </c>
      <c r="K18" t="str" cm="1">
        <f t="array" ref="K18">_xlfn.IFS(H18&gt;=$U$1,"kostka",I18&gt;=$U$1*$R$3,"orzech",J18&gt;=$U$1*$R$4,"miał",1=1,"NIC")</f>
        <v>kostka</v>
      </c>
      <c r="L18">
        <f t="shared" si="2"/>
        <v>22</v>
      </c>
      <c r="M18">
        <f t="shared" si="3"/>
        <v>438</v>
      </c>
      <c r="N18">
        <f t="shared" si="4"/>
        <v>355</v>
      </c>
    </row>
    <row r="19" spans="1:14" x14ac:dyDescent="0.25">
      <c r="A19" s="1">
        <v>41944</v>
      </c>
      <c r="B19">
        <f t="shared" si="1"/>
        <v>22</v>
      </c>
      <c r="C19">
        <f t="shared" si="1"/>
        <v>438</v>
      </c>
      <c r="D19">
        <f t="shared" si="1"/>
        <v>355</v>
      </c>
      <c r="E19">
        <v>18</v>
      </c>
      <c r="F19">
        <v>163</v>
      </c>
      <c r="G19">
        <v>75</v>
      </c>
      <c r="H19">
        <f t="shared" si="0"/>
        <v>40</v>
      </c>
      <c r="I19">
        <f t="shared" si="0"/>
        <v>601</v>
      </c>
      <c r="J19">
        <f t="shared" si="0"/>
        <v>430</v>
      </c>
      <c r="K19" t="str" cm="1">
        <f t="array" ref="K19">_xlfn.IFS(H19&gt;=$U$1,"kostka",I19&gt;=$U$1*$R$3,"orzech",J19&gt;=$U$1*$R$4,"miał",1=1,"NIC")</f>
        <v>orzech</v>
      </c>
      <c r="L19">
        <f t="shared" si="2"/>
        <v>40</v>
      </c>
      <c r="M19">
        <f t="shared" si="3"/>
        <v>341</v>
      </c>
      <c r="N19">
        <f t="shared" si="4"/>
        <v>430</v>
      </c>
    </row>
    <row r="20" spans="1:14" x14ac:dyDescent="0.25">
      <c r="A20" s="1">
        <v>41945</v>
      </c>
      <c r="B20">
        <f t="shared" si="1"/>
        <v>40</v>
      </c>
      <c r="C20">
        <f t="shared" si="1"/>
        <v>341</v>
      </c>
      <c r="D20">
        <f t="shared" si="1"/>
        <v>430</v>
      </c>
      <c r="E20">
        <v>43</v>
      </c>
      <c r="F20">
        <v>169</v>
      </c>
      <c r="G20">
        <v>0</v>
      </c>
      <c r="H20">
        <f t="shared" si="0"/>
        <v>83</v>
      </c>
      <c r="I20">
        <f t="shared" si="0"/>
        <v>510</v>
      </c>
      <c r="J20">
        <f t="shared" si="0"/>
        <v>430</v>
      </c>
      <c r="K20" t="str" cm="1">
        <f t="array" ref="K20">_xlfn.IFS(H20&gt;=$U$1,"kostka",I20&gt;=$U$1*$R$3,"orzech",J20&gt;=$U$1*$R$4,"miał",1=1,"NIC")</f>
        <v>orzech</v>
      </c>
      <c r="L20">
        <f t="shared" si="2"/>
        <v>83</v>
      </c>
      <c r="M20">
        <f t="shared" si="3"/>
        <v>250</v>
      </c>
      <c r="N20">
        <f t="shared" si="4"/>
        <v>430</v>
      </c>
    </row>
    <row r="21" spans="1:14" x14ac:dyDescent="0.25">
      <c r="A21" s="1">
        <v>41946</v>
      </c>
      <c r="B21">
        <f t="shared" si="1"/>
        <v>83</v>
      </c>
      <c r="C21">
        <f t="shared" si="1"/>
        <v>250</v>
      </c>
      <c r="D21">
        <f t="shared" si="1"/>
        <v>430</v>
      </c>
      <c r="E21">
        <v>160</v>
      </c>
      <c r="F21">
        <v>135</v>
      </c>
      <c r="G21">
        <v>34</v>
      </c>
      <c r="H21">
        <f t="shared" si="0"/>
        <v>243</v>
      </c>
      <c r="I21">
        <f t="shared" si="0"/>
        <v>385</v>
      </c>
      <c r="J21">
        <f t="shared" si="0"/>
        <v>464</v>
      </c>
      <c r="K21" t="str" cm="1">
        <f t="array" ref="K21">_xlfn.IFS(H21&gt;=$U$1,"kostka",I21&gt;=$U$1*$R$3,"orzech",J21&gt;=$U$1*$R$4,"miał",1=1,"NIC")</f>
        <v>kostka</v>
      </c>
      <c r="L21">
        <f t="shared" si="2"/>
        <v>43</v>
      </c>
      <c r="M21">
        <f t="shared" si="3"/>
        <v>385</v>
      </c>
      <c r="N21">
        <f t="shared" si="4"/>
        <v>464</v>
      </c>
    </row>
    <row r="22" spans="1:14" x14ac:dyDescent="0.25">
      <c r="A22" s="1">
        <v>41947</v>
      </c>
      <c r="B22">
        <f t="shared" si="1"/>
        <v>43</v>
      </c>
      <c r="C22">
        <f t="shared" si="1"/>
        <v>385</v>
      </c>
      <c r="D22">
        <f t="shared" si="1"/>
        <v>464</v>
      </c>
      <c r="E22">
        <v>150</v>
      </c>
      <c r="F22">
        <v>89</v>
      </c>
      <c r="G22">
        <v>17</v>
      </c>
      <c r="H22">
        <f t="shared" si="0"/>
        <v>193</v>
      </c>
      <c r="I22">
        <f t="shared" si="0"/>
        <v>474</v>
      </c>
      <c r="J22">
        <f t="shared" si="0"/>
        <v>481</v>
      </c>
      <c r="K22" t="str" cm="1">
        <f t="array" ref="K22">_xlfn.IFS(H22&gt;=$U$1,"kostka",I22&gt;=$U$1*$R$3,"orzech",J22&gt;=$U$1*$R$4,"miał",1=1,"NIC")</f>
        <v>orzech</v>
      </c>
      <c r="L22">
        <f t="shared" si="2"/>
        <v>193</v>
      </c>
      <c r="M22">
        <f t="shared" si="3"/>
        <v>214</v>
      </c>
      <c r="N22">
        <f t="shared" si="4"/>
        <v>481</v>
      </c>
    </row>
    <row r="23" spans="1:14" x14ac:dyDescent="0.25">
      <c r="A23" s="1">
        <v>41948</v>
      </c>
      <c r="B23">
        <f t="shared" si="1"/>
        <v>193</v>
      </c>
      <c r="C23">
        <f t="shared" si="1"/>
        <v>214</v>
      </c>
      <c r="D23">
        <f t="shared" si="1"/>
        <v>481</v>
      </c>
      <c r="E23">
        <v>57</v>
      </c>
      <c r="F23">
        <v>109</v>
      </c>
      <c r="G23">
        <v>93</v>
      </c>
      <c r="H23">
        <f t="shared" si="0"/>
        <v>250</v>
      </c>
      <c r="I23">
        <f t="shared" si="0"/>
        <v>323</v>
      </c>
      <c r="J23">
        <f t="shared" si="0"/>
        <v>574</v>
      </c>
      <c r="K23" t="str" cm="1">
        <f t="array" ref="K23">_xlfn.IFS(H23&gt;=$U$1,"kostka",I23&gt;=$U$1*$R$3,"orzech",J23&gt;=$U$1*$R$4,"miał",1=1,"NIC")</f>
        <v>kostka</v>
      </c>
      <c r="L23">
        <f t="shared" si="2"/>
        <v>50</v>
      </c>
      <c r="M23">
        <f t="shared" si="3"/>
        <v>323</v>
      </c>
      <c r="N23">
        <f t="shared" si="4"/>
        <v>574</v>
      </c>
    </row>
    <row r="24" spans="1:14" x14ac:dyDescent="0.25">
      <c r="A24" s="1">
        <v>41949</v>
      </c>
      <c r="B24">
        <f t="shared" si="1"/>
        <v>50</v>
      </c>
      <c r="C24">
        <f t="shared" si="1"/>
        <v>323</v>
      </c>
      <c r="D24">
        <f t="shared" si="1"/>
        <v>574</v>
      </c>
      <c r="E24">
        <v>62</v>
      </c>
      <c r="F24">
        <v>80</v>
      </c>
      <c r="G24">
        <v>62</v>
      </c>
      <c r="H24">
        <f t="shared" si="0"/>
        <v>112</v>
      </c>
      <c r="I24">
        <f t="shared" si="0"/>
        <v>403</v>
      </c>
      <c r="J24">
        <f t="shared" si="0"/>
        <v>636</v>
      </c>
      <c r="K24" t="str" cm="1">
        <f t="array" ref="K24">_xlfn.IFS(H24&gt;=$U$1,"kostka",I24&gt;=$U$1*$R$3,"orzech",J24&gt;=$U$1*$R$4,"miał",1=1,"NIC")</f>
        <v>orzech</v>
      </c>
      <c r="L24">
        <f t="shared" si="2"/>
        <v>112</v>
      </c>
      <c r="M24">
        <f t="shared" si="3"/>
        <v>143</v>
      </c>
      <c r="N24">
        <f t="shared" si="4"/>
        <v>636</v>
      </c>
    </row>
    <row r="25" spans="1:14" x14ac:dyDescent="0.25">
      <c r="A25" s="1">
        <v>41950</v>
      </c>
      <c r="B25">
        <f t="shared" si="1"/>
        <v>112</v>
      </c>
      <c r="C25">
        <f t="shared" si="1"/>
        <v>143</v>
      </c>
      <c r="D25">
        <f t="shared" si="1"/>
        <v>636</v>
      </c>
      <c r="E25">
        <v>162</v>
      </c>
      <c r="F25">
        <v>62</v>
      </c>
      <c r="G25">
        <v>88</v>
      </c>
      <c r="H25">
        <f t="shared" si="0"/>
        <v>274</v>
      </c>
      <c r="I25">
        <f t="shared" si="0"/>
        <v>205</v>
      </c>
      <c r="J25">
        <f t="shared" si="0"/>
        <v>724</v>
      </c>
      <c r="K25" t="str" cm="1">
        <f t="array" ref="K25">_xlfn.IFS(H25&gt;=$U$1,"kostka",I25&gt;=$U$1*$R$3,"orzech",J25&gt;=$U$1*$R$4,"miał",1=1,"NIC")</f>
        <v>kostka</v>
      </c>
      <c r="L25">
        <f t="shared" si="2"/>
        <v>74</v>
      </c>
      <c r="M25">
        <f t="shared" si="3"/>
        <v>205</v>
      </c>
      <c r="N25">
        <f t="shared" si="4"/>
        <v>724</v>
      </c>
    </row>
    <row r="26" spans="1:14" x14ac:dyDescent="0.25">
      <c r="A26" s="1">
        <v>41951</v>
      </c>
      <c r="B26">
        <f t="shared" si="1"/>
        <v>74</v>
      </c>
      <c r="C26">
        <f t="shared" si="1"/>
        <v>205</v>
      </c>
      <c r="D26">
        <f t="shared" si="1"/>
        <v>724</v>
      </c>
      <c r="E26">
        <v>142</v>
      </c>
      <c r="F26">
        <v>79</v>
      </c>
      <c r="G26">
        <v>76</v>
      </c>
      <c r="H26">
        <f t="shared" si="0"/>
        <v>216</v>
      </c>
      <c r="I26">
        <f t="shared" si="0"/>
        <v>284</v>
      </c>
      <c r="J26">
        <f t="shared" si="0"/>
        <v>800</v>
      </c>
      <c r="K26" t="str" cm="1">
        <f t="array" ref="K26">_xlfn.IFS(H26&gt;=$U$1,"kostka",I26&gt;=$U$1*$R$3,"orzech",J26&gt;=$U$1*$R$4,"miał",1=1,"NIC")</f>
        <v>kostka</v>
      </c>
      <c r="L26">
        <f t="shared" si="2"/>
        <v>16</v>
      </c>
      <c r="M26">
        <f t="shared" si="3"/>
        <v>284</v>
      </c>
      <c r="N26">
        <f t="shared" si="4"/>
        <v>800</v>
      </c>
    </row>
    <row r="27" spans="1:14" x14ac:dyDescent="0.25">
      <c r="A27" s="1">
        <v>41952</v>
      </c>
      <c r="B27">
        <f t="shared" si="1"/>
        <v>16</v>
      </c>
      <c r="C27">
        <f t="shared" si="1"/>
        <v>284</v>
      </c>
      <c r="D27">
        <f t="shared" si="1"/>
        <v>800</v>
      </c>
      <c r="E27">
        <v>7</v>
      </c>
      <c r="F27">
        <v>30</v>
      </c>
      <c r="G27">
        <v>68</v>
      </c>
      <c r="H27">
        <f t="shared" si="0"/>
        <v>23</v>
      </c>
      <c r="I27">
        <f t="shared" si="0"/>
        <v>314</v>
      </c>
      <c r="J27">
        <f t="shared" si="0"/>
        <v>868</v>
      </c>
      <c r="K27" t="str" cm="1">
        <f t="array" ref="K27">_xlfn.IFS(H27&gt;=$U$1,"kostka",I27&gt;=$U$1*$R$3,"orzech",J27&gt;=$U$1*$R$4,"miał",1=1,"NIC")</f>
        <v>orzech</v>
      </c>
      <c r="L27">
        <f t="shared" si="2"/>
        <v>23</v>
      </c>
      <c r="M27">
        <f t="shared" si="3"/>
        <v>54</v>
      </c>
      <c r="N27">
        <f t="shared" si="4"/>
        <v>868</v>
      </c>
    </row>
    <row r="28" spans="1:14" x14ac:dyDescent="0.25">
      <c r="A28" s="1">
        <v>41953</v>
      </c>
      <c r="B28">
        <f t="shared" si="1"/>
        <v>23</v>
      </c>
      <c r="C28">
        <f t="shared" si="1"/>
        <v>54</v>
      </c>
      <c r="D28">
        <f t="shared" si="1"/>
        <v>868</v>
      </c>
      <c r="E28">
        <v>116</v>
      </c>
      <c r="F28">
        <v>6</v>
      </c>
      <c r="G28">
        <v>88</v>
      </c>
      <c r="H28">
        <f t="shared" si="0"/>
        <v>139</v>
      </c>
      <c r="I28">
        <f t="shared" si="0"/>
        <v>60</v>
      </c>
      <c r="J28">
        <f t="shared" si="0"/>
        <v>956</v>
      </c>
      <c r="K28" t="str" cm="1">
        <f t="array" ref="K28">_xlfn.IFS(H28&gt;=$U$1,"kostka",I28&gt;=$U$1*$R$3,"orzech",J28&gt;=$U$1*$R$4,"miał",1=1,"NIC")</f>
        <v>miał</v>
      </c>
      <c r="L28">
        <f t="shared" si="2"/>
        <v>139</v>
      </c>
      <c r="M28">
        <f t="shared" si="3"/>
        <v>60</v>
      </c>
      <c r="N28">
        <f t="shared" si="4"/>
        <v>636</v>
      </c>
    </row>
    <row r="29" spans="1:14" x14ac:dyDescent="0.25">
      <c r="A29" s="1">
        <v>41954</v>
      </c>
      <c r="B29">
        <f t="shared" si="1"/>
        <v>139</v>
      </c>
      <c r="C29">
        <f t="shared" si="1"/>
        <v>60</v>
      </c>
      <c r="D29">
        <f t="shared" si="1"/>
        <v>636</v>
      </c>
      <c r="E29">
        <v>0</v>
      </c>
      <c r="F29">
        <v>1</v>
      </c>
      <c r="G29">
        <v>47</v>
      </c>
      <c r="H29">
        <f t="shared" si="0"/>
        <v>139</v>
      </c>
      <c r="I29">
        <f t="shared" si="0"/>
        <v>61</v>
      </c>
      <c r="J29">
        <f t="shared" si="0"/>
        <v>683</v>
      </c>
      <c r="K29" t="str" cm="1">
        <f t="array" ref="K29">_xlfn.IFS(H29&gt;=$U$1,"kostka",I29&gt;=$U$1*$R$3,"orzech",J29&gt;=$U$1*$R$4,"miał",1=1,"NIC")</f>
        <v>miał</v>
      </c>
      <c r="L29">
        <f t="shared" si="2"/>
        <v>139</v>
      </c>
      <c r="M29">
        <f t="shared" si="3"/>
        <v>61</v>
      </c>
      <c r="N29">
        <f t="shared" si="4"/>
        <v>363</v>
      </c>
    </row>
    <row r="30" spans="1:14" x14ac:dyDescent="0.25">
      <c r="A30" s="1">
        <v>41955</v>
      </c>
      <c r="B30">
        <f t="shared" si="1"/>
        <v>139</v>
      </c>
      <c r="C30">
        <f t="shared" si="1"/>
        <v>61</v>
      </c>
      <c r="D30">
        <f t="shared" si="1"/>
        <v>363</v>
      </c>
      <c r="E30">
        <v>78</v>
      </c>
      <c r="F30">
        <v>84</v>
      </c>
      <c r="G30">
        <v>16</v>
      </c>
      <c r="H30">
        <f t="shared" si="0"/>
        <v>217</v>
      </c>
      <c r="I30">
        <f t="shared" si="0"/>
        <v>145</v>
      </c>
      <c r="J30">
        <f t="shared" si="0"/>
        <v>379</v>
      </c>
      <c r="K30" t="str" cm="1">
        <f t="array" ref="K30">_xlfn.IFS(H30&gt;=$U$1,"kostka",I30&gt;=$U$1*$R$3,"orzech",J30&gt;=$U$1*$R$4,"miał",1=1,"NIC")</f>
        <v>kostka</v>
      </c>
      <c r="L30">
        <f t="shared" si="2"/>
        <v>17</v>
      </c>
      <c r="M30">
        <f t="shared" si="3"/>
        <v>145</v>
      </c>
      <c r="N30">
        <f t="shared" si="4"/>
        <v>379</v>
      </c>
    </row>
    <row r="31" spans="1:14" x14ac:dyDescent="0.25">
      <c r="A31" s="1">
        <v>41956</v>
      </c>
      <c r="B31">
        <f t="shared" si="1"/>
        <v>17</v>
      </c>
      <c r="C31">
        <f t="shared" si="1"/>
        <v>145</v>
      </c>
      <c r="D31">
        <f t="shared" si="1"/>
        <v>379</v>
      </c>
      <c r="E31">
        <v>112</v>
      </c>
      <c r="F31">
        <v>140</v>
      </c>
      <c r="G31">
        <v>97</v>
      </c>
      <c r="H31">
        <f t="shared" si="0"/>
        <v>129</v>
      </c>
      <c r="I31">
        <f t="shared" si="0"/>
        <v>285</v>
      </c>
      <c r="J31">
        <f t="shared" si="0"/>
        <v>476</v>
      </c>
      <c r="K31" t="str" cm="1">
        <f t="array" ref="K31">_xlfn.IFS(H31&gt;=$U$1,"kostka",I31&gt;=$U$1*$R$3,"orzech",J31&gt;=$U$1*$R$4,"miał",1=1,"NIC")</f>
        <v>orzech</v>
      </c>
      <c r="L31">
        <f t="shared" si="2"/>
        <v>129</v>
      </c>
      <c r="M31">
        <f t="shared" si="3"/>
        <v>25</v>
      </c>
      <c r="N31">
        <f t="shared" si="4"/>
        <v>476</v>
      </c>
    </row>
    <row r="32" spans="1:14" x14ac:dyDescent="0.25">
      <c r="A32" s="1">
        <v>41957</v>
      </c>
      <c r="B32">
        <f t="shared" si="1"/>
        <v>129</v>
      </c>
      <c r="C32">
        <f t="shared" si="1"/>
        <v>25</v>
      </c>
      <c r="D32">
        <f t="shared" si="1"/>
        <v>476</v>
      </c>
      <c r="E32">
        <v>109</v>
      </c>
      <c r="F32">
        <v>74</v>
      </c>
      <c r="G32">
        <v>53</v>
      </c>
      <c r="H32">
        <f t="shared" si="0"/>
        <v>238</v>
      </c>
      <c r="I32">
        <f t="shared" si="0"/>
        <v>99</v>
      </c>
      <c r="J32">
        <f t="shared" si="0"/>
        <v>529</v>
      </c>
      <c r="K32" t="str" cm="1">
        <f t="array" ref="K32">_xlfn.IFS(H32&gt;=$U$1,"kostka",I32&gt;=$U$1*$R$3,"orzech",J32&gt;=$U$1*$R$4,"miał",1=1,"NIC")</f>
        <v>kostka</v>
      </c>
      <c r="L32">
        <f t="shared" si="2"/>
        <v>38</v>
      </c>
      <c r="M32">
        <f t="shared" si="3"/>
        <v>99</v>
      </c>
      <c r="N32">
        <f t="shared" si="4"/>
        <v>529</v>
      </c>
    </row>
    <row r="33" spans="1:14" x14ac:dyDescent="0.25">
      <c r="A33" s="1">
        <v>41958</v>
      </c>
      <c r="B33">
        <f t="shared" si="1"/>
        <v>38</v>
      </c>
      <c r="C33">
        <f t="shared" si="1"/>
        <v>99</v>
      </c>
      <c r="D33">
        <f t="shared" si="1"/>
        <v>529</v>
      </c>
      <c r="E33">
        <v>121</v>
      </c>
      <c r="F33">
        <v>77</v>
      </c>
      <c r="G33">
        <v>70</v>
      </c>
      <c r="H33">
        <f t="shared" si="0"/>
        <v>159</v>
      </c>
      <c r="I33">
        <f t="shared" si="0"/>
        <v>176</v>
      </c>
      <c r="J33">
        <f t="shared" si="0"/>
        <v>599</v>
      </c>
      <c r="K33" t="str" cm="1">
        <f t="array" ref="K33">_xlfn.IFS(H33&gt;=$U$1,"kostka",I33&gt;=$U$1*$R$3,"orzech",J33&gt;=$U$1*$R$4,"miał",1=1,"NIC")</f>
        <v>miał</v>
      </c>
      <c r="L33">
        <f t="shared" si="2"/>
        <v>159</v>
      </c>
      <c r="M33">
        <f t="shared" si="3"/>
        <v>176</v>
      </c>
      <c r="N33">
        <f t="shared" si="4"/>
        <v>279</v>
      </c>
    </row>
    <row r="34" spans="1:14" x14ac:dyDescent="0.25">
      <c r="A34" s="1">
        <v>41959</v>
      </c>
      <c r="B34">
        <f t="shared" si="1"/>
        <v>159</v>
      </c>
      <c r="C34">
        <f t="shared" si="1"/>
        <v>176</v>
      </c>
      <c r="D34">
        <f t="shared" si="1"/>
        <v>279</v>
      </c>
      <c r="E34">
        <v>106</v>
      </c>
      <c r="F34">
        <v>89</v>
      </c>
      <c r="G34">
        <v>75</v>
      </c>
      <c r="H34">
        <f t="shared" si="0"/>
        <v>265</v>
      </c>
      <c r="I34">
        <f t="shared" si="0"/>
        <v>265</v>
      </c>
      <c r="J34">
        <f t="shared" si="0"/>
        <v>354</v>
      </c>
      <c r="K34" t="str" cm="1">
        <f t="array" ref="K34">_xlfn.IFS(H34&gt;=$U$1,"kostka",I34&gt;=$U$1*$R$3,"orzech",J34&gt;=$U$1*$R$4,"miał",1=1,"NIC")</f>
        <v>kostka</v>
      </c>
      <c r="L34">
        <f t="shared" si="2"/>
        <v>65</v>
      </c>
      <c r="M34">
        <f t="shared" si="3"/>
        <v>265</v>
      </c>
      <c r="N34">
        <f t="shared" si="4"/>
        <v>354</v>
      </c>
    </row>
    <row r="35" spans="1:14" x14ac:dyDescent="0.25">
      <c r="A35" s="1">
        <v>41960</v>
      </c>
      <c r="B35">
        <f t="shared" si="1"/>
        <v>65</v>
      </c>
      <c r="C35">
        <f t="shared" si="1"/>
        <v>265</v>
      </c>
      <c r="D35">
        <f t="shared" si="1"/>
        <v>354</v>
      </c>
      <c r="E35">
        <v>57</v>
      </c>
      <c r="F35">
        <v>119</v>
      </c>
      <c r="G35">
        <v>64</v>
      </c>
      <c r="H35">
        <f t="shared" si="0"/>
        <v>122</v>
      </c>
      <c r="I35">
        <f t="shared" si="0"/>
        <v>384</v>
      </c>
      <c r="J35">
        <f t="shared" si="0"/>
        <v>418</v>
      </c>
      <c r="K35" t="str" cm="1">
        <f t="array" ref="K35">_xlfn.IFS(H35&gt;=$U$1,"kostka",I35&gt;=$U$1*$R$3,"orzech",J35&gt;=$U$1*$R$4,"miał",1=1,"NIC")</f>
        <v>orzech</v>
      </c>
      <c r="L35">
        <f t="shared" si="2"/>
        <v>122</v>
      </c>
      <c r="M35">
        <f t="shared" si="3"/>
        <v>124</v>
      </c>
      <c r="N35">
        <f t="shared" si="4"/>
        <v>418</v>
      </c>
    </row>
    <row r="36" spans="1:14" x14ac:dyDescent="0.25">
      <c r="A36" s="1">
        <v>41961</v>
      </c>
      <c r="B36">
        <f t="shared" si="1"/>
        <v>122</v>
      </c>
      <c r="C36">
        <f t="shared" si="1"/>
        <v>124</v>
      </c>
      <c r="D36">
        <f t="shared" si="1"/>
        <v>418</v>
      </c>
      <c r="E36">
        <v>26</v>
      </c>
      <c r="F36">
        <v>87</v>
      </c>
      <c r="G36">
        <v>84</v>
      </c>
      <c r="H36">
        <f t="shared" si="0"/>
        <v>148</v>
      </c>
      <c r="I36">
        <f t="shared" si="0"/>
        <v>211</v>
      </c>
      <c r="J36">
        <f t="shared" si="0"/>
        <v>502</v>
      </c>
      <c r="K36" t="str" cm="1">
        <f t="array" ref="K36">_xlfn.IFS(H36&gt;=$U$1,"kostka",I36&gt;=$U$1*$R$3,"orzech",J36&gt;=$U$1*$R$4,"miał",1=1,"NIC")</f>
        <v>miał</v>
      </c>
      <c r="L36">
        <f t="shared" si="2"/>
        <v>148</v>
      </c>
      <c r="M36">
        <f t="shared" si="3"/>
        <v>211</v>
      </c>
      <c r="N36">
        <f t="shared" si="4"/>
        <v>182</v>
      </c>
    </row>
    <row r="37" spans="1:14" x14ac:dyDescent="0.25">
      <c r="A37" s="1">
        <v>41962</v>
      </c>
      <c r="B37">
        <f t="shared" si="1"/>
        <v>148</v>
      </c>
      <c r="C37">
        <f t="shared" si="1"/>
        <v>211</v>
      </c>
      <c r="D37">
        <f t="shared" si="1"/>
        <v>182</v>
      </c>
      <c r="E37">
        <v>79</v>
      </c>
      <c r="F37">
        <v>171</v>
      </c>
      <c r="G37">
        <v>75</v>
      </c>
      <c r="H37">
        <f t="shared" si="0"/>
        <v>227</v>
      </c>
      <c r="I37">
        <f t="shared" si="0"/>
        <v>382</v>
      </c>
      <c r="J37">
        <f t="shared" si="0"/>
        <v>257</v>
      </c>
      <c r="K37" t="str" cm="1">
        <f t="array" ref="K37">_xlfn.IFS(H37&gt;=$U$1,"kostka",I37&gt;=$U$1*$R$3,"orzech",J37&gt;=$U$1*$R$4,"miał",1=1,"NIC")</f>
        <v>kostka</v>
      </c>
      <c r="L37">
        <f t="shared" si="2"/>
        <v>27</v>
      </c>
      <c r="M37">
        <f t="shared" si="3"/>
        <v>382</v>
      </c>
      <c r="N37">
        <f t="shared" si="4"/>
        <v>257</v>
      </c>
    </row>
    <row r="38" spans="1:14" x14ac:dyDescent="0.25">
      <c r="A38" s="1">
        <v>41963</v>
      </c>
      <c r="B38">
        <f t="shared" si="1"/>
        <v>27</v>
      </c>
      <c r="C38">
        <f t="shared" si="1"/>
        <v>382</v>
      </c>
      <c r="D38">
        <f t="shared" si="1"/>
        <v>257</v>
      </c>
      <c r="E38">
        <v>192</v>
      </c>
      <c r="F38">
        <v>151</v>
      </c>
      <c r="G38">
        <v>45</v>
      </c>
      <c r="H38">
        <f t="shared" si="0"/>
        <v>219</v>
      </c>
      <c r="I38">
        <f t="shared" si="0"/>
        <v>533</v>
      </c>
      <c r="J38">
        <f t="shared" si="0"/>
        <v>302</v>
      </c>
      <c r="K38" t="str" cm="1">
        <f t="array" ref="K38">_xlfn.IFS(H38&gt;=$U$1,"kostka",I38&gt;=$U$1*$R$3,"orzech",J38&gt;=$U$1*$R$4,"miał",1=1,"NIC")</f>
        <v>kostka</v>
      </c>
      <c r="L38">
        <f t="shared" si="2"/>
        <v>19</v>
      </c>
      <c r="M38">
        <f t="shared" si="3"/>
        <v>533</v>
      </c>
      <c r="N38">
        <f t="shared" si="4"/>
        <v>302</v>
      </c>
    </row>
    <row r="39" spans="1:14" x14ac:dyDescent="0.25">
      <c r="A39" s="1">
        <v>41964</v>
      </c>
      <c r="B39">
        <f t="shared" si="1"/>
        <v>19</v>
      </c>
      <c r="C39">
        <f t="shared" si="1"/>
        <v>533</v>
      </c>
      <c r="D39">
        <f t="shared" si="1"/>
        <v>302</v>
      </c>
      <c r="E39">
        <v>9</v>
      </c>
      <c r="F39">
        <v>64</v>
      </c>
      <c r="G39">
        <v>22</v>
      </c>
      <c r="H39">
        <f t="shared" si="0"/>
        <v>28</v>
      </c>
      <c r="I39">
        <f t="shared" si="0"/>
        <v>597</v>
      </c>
      <c r="J39">
        <f t="shared" si="0"/>
        <v>324</v>
      </c>
      <c r="K39" t="str" cm="1">
        <f t="array" ref="K39">_xlfn.IFS(H39&gt;=$U$1,"kostka",I39&gt;=$U$1*$R$3,"orzech",J39&gt;=$U$1*$R$4,"miał",1=1,"NIC")</f>
        <v>orzech</v>
      </c>
      <c r="L39">
        <f t="shared" si="2"/>
        <v>28</v>
      </c>
      <c r="M39">
        <f t="shared" si="3"/>
        <v>337</v>
      </c>
      <c r="N39">
        <f t="shared" si="4"/>
        <v>324</v>
      </c>
    </row>
    <row r="40" spans="1:14" x14ac:dyDescent="0.25">
      <c r="A40" s="1">
        <v>41965</v>
      </c>
      <c r="B40">
        <f t="shared" si="1"/>
        <v>28</v>
      </c>
      <c r="C40">
        <f t="shared" si="1"/>
        <v>337</v>
      </c>
      <c r="D40">
        <f t="shared" si="1"/>
        <v>324</v>
      </c>
      <c r="E40">
        <v>123</v>
      </c>
      <c r="F40">
        <v>150</v>
      </c>
      <c r="G40">
        <v>10</v>
      </c>
      <c r="H40">
        <f t="shared" si="0"/>
        <v>151</v>
      </c>
      <c r="I40">
        <f t="shared" si="0"/>
        <v>487</v>
      </c>
      <c r="J40">
        <f t="shared" si="0"/>
        <v>334</v>
      </c>
      <c r="K40" t="str" cm="1">
        <f t="array" ref="K40">_xlfn.IFS(H40&gt;=$U$1,"kostka",I40&gt;=$U$1*$R$3,"orzech",J40&gt;=$U$1*$R$4,"miał",1=1,"NIC")</f>
        <v>orzech</v>
      </c>
      <c r="L40">
        <f t="shared" si="2"/>
        <v>151</v>
      </c>
      <c r="M40">
        <f t="shared" si="3"/>
        <v>227</v>
      </c>
      <c r="N40">
        <f t="shared" si="4"/>
        <v>334</v>
      </c>
    </row>
    <row r="41" spans="1:14" x14ac:dyDescent="0.25">
      <c r="A41" s="1">
        <v>41966</v>
      </c>
      <c r="B41">
        <f t="shared" si="1"/>
        <v>151</v>
      </c>
      <c r="C41">
        <f t="shared" si="1"/>
        <v>227</v>
      </c>
      <c r="D41">
        <f t="shared" si="1"/>
        <v>334</v>
      </c>
      <c r="E41">
        <v>87</v>
      </c>
      <c r="F41">
        <v>123</v>
      </c>
      <c r="G41">
        <v>33</v>
      </c>
      <c r="H41">
        <f t="shared" si="0"/>
        <v>238</v>
      </c>
      <c r="I41">
        <f t="shared" si="0"/>
        <v>350</v>
      </c>
      <c r="J41">
        <f t="shared" si="0"/>
        <v>367</v>
      </c>
      <c r="K41" t="str" cm="1">
        <f t="array" ref="K41">_xlfn.IFS(H41&gt;=$U$1,"kostka",I41&gt;=$U$1*$R$3,"orzech",J41&gt;=$U$1*$R$4,"miał",1=1,"NIC")</f>
        <v>kostka</v>
      </c>
      <c r="L41">
        <f t="shared" si="2"/>
        <v>38</v>
      </c>
      <c r="M41">
        <f t="shared" si="3"/>
        <v>350</v>
      </c>
      <c r="N41">
        <f t="shared" si="4"/>
        <v>367</v>
      </c>
    </row>
    <row r="42" spans="1:14" x14ac:dyDescent="0.25">
      <c r="A42" s="1">
        <v>41967</v>
      </c>
      <c r="B42">
        <f t="shared" si="1"/>
        <v>38</v>
      </c>
      <c r="C42">
        <f t="shared" si="1"/>
        <v>350</v>
      </c>
      <c r="D42">
        <f t="shared" si="1"/>
        <v>367</v>
      </c>
      <c r="E42">
        <v>165</v>
      </c>
      <c r="F42">
        <v>88</v>
      </c>
      <c r="G42">
        <v>13</v>
      </c>
      <c r="H42">
        <f t="shared" si="0"/>
        <v>203</v>
      </c>
      <c r="I42">
        <f t="shared" si="0"/>
        <v>438</v>
      </c>
      <c r="J42">
        <f t="shared" si="0"/>
        <v>380</v>
      </c>
      <c r="K42" t="str" cm="1">
        <f t="array" ref="K42">_xlfn.IFS(H42&gt;=$U$1,"kostka",I42&gt;=$U$1*$R$3,"orzech",J42&gt;=$U$1*$R$4,"miał",1=1,"NIC")</f>
        <v>kostka</v>
      </c>
      <c r="L42">
        <f t="shared" si="2"/>
        <v>3</v>
      </c>
      <c r="M42">
        <f t="shared" si="3"/>
        <v>438</v>
      </c>
      <c r="N42">
        <f t="shared" si="4"/>
        <v>380</v>
      </c>
    </row>
    <row r="43" spans="1:14" x14ac:dyDescent="0.25">
      <c r="A43" s="1">
        <v>41968</v>
      </c>
      <c r="B43">
        <f t="shared" si="1"/>
        <v>3</v>
      </c>
      <c r="C43">
        <f t="shared" si="1"/>
        <v>438</v>
      </c>
      <c r="D43">
        <f t="shared" si="1"/>
        <v>380</v>
      </c>
      <c r="E43">
        <v>144</v>
      </c>
      <c r="F43">
        <v>78</v>
      </c>
      <c r="G43">
        <v>82</v>
      </c>
      <c r="H43">
        <f t="shared" si="0"/>
        <v>147</v>
      </c>
      <c r="I43">
        <f t="shared" si="0"/>
        <v>516</v>
      </c>
      <c r="J43">
        <f t="shared" si="0"/>
        <v>462</v>
      </c>
      <c r="K43" t="str" cm="1">
        <f t="array" ref="K43">_xlfn.IFS(H43&gt;=$U$1,"kostka",I43&gt;=$U$1*$R$3,"orzech",J43&gt;=$U$1*$R$4,"miał",1=1,"NIC")</f>
        <v>orzech</v>
      </c>
      <c r="L43">
        <f t="shared" si="2"/>
        <v>147</v>
      </c>
      <c r="M43">
        <f t="shared" si="3"/>
        <v>256</v>
      </c>
      <c r="N43">
        <f t="shared" si="4"/>
        <v>462</v>
      </c>
    </row>
    <row r="44" spans="1:14" x14ac:dyDescent="0.25">
      <c r="A44" s="1">
        <v>41969</v>
      </c>
      <c r="B44">
        <f t="shared" si="1"/>
        <v>147</v>
      </c>
      <c r="C44">
        <f t="shared" si="1"/>
        <v>256</v>
      </c>
      <c r="D44">
        <f t="shared" si="1"/>
        <v>462</v>
      </c>
      <c r="E44">
        <v>54</v>
      </c>
      <c r="F44">
        <v>38</v>
      </c>
      <c r="G44">
        <v>68</v>
      </c>
      <c r="H44">
        <f t="shared" si="0"/>
        <v>201</v>
      </c>
      <c r="I44">
        <f t="shared" si="0"/>
        <v>294</v>
      </c>
      <c r="J44">
        <f t="shared" si="0"/>
        <v>530</v>
      </c>
      <c r="K44" t="str" cm="1">
        <f t="array" ref="K44">_xlfn.IFS(H44&gt;=$U$1,"kostka",I44&gt;=$U$1*$R$3,"orzech",J44&gt;=$U$1*$R$4,"miał",1=1,"NIC")</f>
        <v>kostka</v>
      </c>
      <c r="L44">
        <f t="shared" si="2"/>
        <v>1</v>
      </c>
      <c r="M44">
        <f t="shared" si="3"/>
        <v>294</v>
      </c>
      <c r="N44">
        <f t="shared" si="4"/>
        <v>530</v>
      </c>
    </row>
    <row r="45" spans="1:14" x14ac:dyDescent="0.25">
      <c r="A45" s="1">
        <v>41970</v>
      </c>
      <c r="B45">
        <f t="shared" si="1"/>
        <v>1</v>
      </c>
      <c r="C45">
        <f t="shared" si="1"/>
        <v>294</v>
      </c>
      <c r="D45">
        <f t="shared" si="1"/>
        <v>530</v>
      </c>
      <c r="E45">
        <v>188</v>
      </c>
      <c r="F45">
        <v>44</v>
      </c>
      <c r="G45">
        <v>86</v>
      </c>
      <c r="H45">
        <f t="shared" si="0"/>
        <v>189</v>
      </c>
      <c r="I45">
        <f t="shared" si="0"/>
        <v>338</v>
      </c>
      <c r="J45">
        <f t="shared" si="0"/>
        <v>616</v>
      </c>
      <c r="K45" t="str" cm="1">
        <f t="array" ref="K45">_xlfn.IFS(H45&gt;=$U$1,"kostka",I45&gt;=$U$1*$R$3,"orzech",J45&gt;=$U$1*$R$4,"miał",1=1,"NIC")</f>
        <v>orzech</v>
      </c>
      <c r="L45">
        <f t="shared" si="2"/>
        <v>189</v>
      </c>
      <c r="M45">
        <f t="shared" si="3"/>
        <v>78</v>
      </c>
      <c r="N45">
        <f t="shared" si="4"/>
        <v>616</v>
      </c>
    </row>
    <row r="46" spans="1:14" x14ac:dyDescent="0.25">
      <c r="A46" s="1">
        <v>41971</v>
      </c>
      <c r="B46">
        <f t="shared" si="1"/>
        <v>189</v>
      </c>
      <c r="C46">
        <f t="shared" si="1"/>
        <v>78</v>
      </c>
      <c r="D46">
        <f t="shared" si="1"/>
        <v>616</v>
      </c>
      <c r="E46">
        <v>165</v>
      </c>
      <c r="F46">
        <v>170</v>
      </c>
      <c r="G46">
        <v>62</v>
      </c>
      <c r="H46">
        <f t="shared" si="0"/>
        <v>354</v>
      </c>
      <c r="I46">
        <f t="shared" si="0"/>
        <v>248</v>
      </c>
      <c r="J46">
        <f t="shared" si="0"/>
        <v>678</v>
      </c>
      <c r="K46" t="str" cm="1">
        <f t="array" ref="K46">_xlfn.IFS(H46&gt;=$U$1,"kostka",I46&gt;=$U$1*$R$3,"orzech",J46&gt;=$U$1*$R$4,"miał",1=1,"NIC")</f>
        <v>kostka</v>
      </c>
      <c r="L46">
        <f t="shared" si="2"/>
        <v>154</v>
      </c>
      <c r="M46">
        <f t="shared" si="3"/>
        <v>248</v>
      </c>
      <c r="N46">
        <f t="shared" si="4"/>
        <v>678</v>
      </c>
    </row>
    <row r="47" spans="1:14" x14ac:dyDescent="0.25">
      <c r="A47" s="1">
        <v>41972</v>
      </c>
      <c r="B47">
        <f t="shared" si="1"/>
        <v>154</v>
      </c>
      <c r="C47">
        <f t="shared" si="1"/>
        <v>248</v>
      </c>
      <c r="D47">
        <f t="shared" si="1"/>
        <v>678</v>
      </c>
      <c r="E47">
        <v>24</v>
      </c>
      <c r="F47">
        <v>94</v>
      </c>
      <c r="G47">
        <v>87</v>
      </c>
      <c r="H47">
        <f t="shared" si="0"/>
        <v>178</v>
      </c>
      <c r="I47">
        <f t="shared" si="0"/>
        <v>342</v>
      </c>
      <c r="J47">
        <f t="shared" si="0"/>
        <v>765</v>
      </c>
      <c r="K47" t="str" cm="1">
        <f t="array" ref="K47">_xlfn.IFS(H47&gt;=$U$1,"kostka",I47&gt;=$U$1*$R$3,"orzech",J47&gt;=$U$1*$R$4,"miał",1=1,"NIC")</f>
        <v>orzech</v>
      </c>
      <c r="L47">
        <f t="shared" si="2"/>
        <v>178</v>
      </c>
      <c r="M47">
        <f t="shared" si="3"/>
        <v>82</v>
      </c>
      <c r="N47">
        <f t="shared" si="4"/>
        <v>765</v>
      </c>
    </row>
    <row r="48" spans="1:14" x14ac:dyDescent="0.25">
      <c r="A48" s="1">
        <v>41973</v>
      </c>
      <c r="B48">
        <f t="shared" si="1"/>
        <v>178</v>
      </c>
      <c r="C48">
        <f t="shared" si="1"/>
        <v>82</v>
      </c>
      <c r="D48">
        <f t="shared" si="1"/>
        <v>765</v>
      </c>
      <c r="E48">
        <v>0</v>
      </c>
      <c r="F48">
        <v>120</v>
      </c>
      <c r="G48">
        <v>60</v>
      </c>
      <c r="H48">
        <f t="shared" si="0"/>
        <v>178</v>
      </c>
      <c r="I48">
        <f t="shared" si="0"/>
        <v>202</v>
      </c>
      <c r="J48">
        <f t="shared" si="0"/>
        <v>825</v>
      </c>
      <c r="K48" t="str" cm="1">
        <f t="array" ref="K48">_xlfn.IFS(H48&gt;=$U$1,"kostka",I48&gt;=$U$1*$R$3,"orzech",J48&gt;=$U$1*$R$4,"miał",1=1,"NIC")</f>
        <v>miał</v>
      </c>
      <c r="L48">
        <f t="shared" si="2"/>
        <v>178</v>
      </c>
      <c r="M48">
        <f t="shared" si="3"/>
        <v>202</v>
      </c>
      <c r="N48">
        <f t="shared" si="4"/>
        <v>505</v>
      </c>
    </row>
    <row r="49" spans="1:14" x14ac:dyDescent="0.25">
      <c r="A49" s="1">
        <v>41974</v>
      </c>
      <c r="B49">
        <f t="shared" si="1"/>
        <v>178</v>
      </c>
      <c r="C49">
        <f t="shared" si="1"/>
        <v>202</v>
      </c>
      <c r="D49">
        <f t="shared" si="1"/>
        <v>505</v>
      </c>
      <c r="E49">
        <v>101</v>
      </c>
      <c r="F49">
        <v>53</v>
      </c>
      <c r="G49">
        <v>62</v>
      </c>
      <c r="H49">
        <f t="shared" si="0"/>
        <v>279</v>
      </c>
      <c r="I49">
        <f t="shared" si="0"/>
        <v>255</v>
      </c>
      <c r="J49">
        <f t="shared" si="0"/>
        <v>567</v>
      </c>
      <c r="K49" t="str" cm="1">
        <f t="array" ref="K49">_xlfn.IFS(H49&gt;=$U$1,"kostka",I49&gt;=$U$1*$R$3,"orzech",J49&gt;=$U$1*$R$4,"miał",1=1,"NIC")</f>
        <v>kostka</v>
      </c>
      <c r="L49">
        <f t="shared" si="2"/>
        <v>79</v>
      </c>
      <c r="M49">
        <f t="shared" si="3"/>
        <v>255</v>
      </c>
      <c r="N49">
        <f t="shared" si="4"/>
        <v>567</v>
      </c>
    </row>
    <row r="50" spans="1:14" x14ac:dyDescent="0.25">
      <c r="A50" s="1">
        <v>41975</v>
      </c>
      <c r="B50">
        <f t="shared" si="1"/>
        <v>79</v>
      </c>
      <c r="C50">
        <f t="shared" si="1"/>
        <v>255</v>
      </c>
      <c r="D50">
        <f t="shared" si="1"/>
        <v>567</v>
      </c>
      <c r="E50">
        <v>67</v>
      </c>
      <c r="F50">
        <v>147</v>
      </c>
      <c r="G50">
        <v>20</v>
      </c>
      <c r="H50">
        <f t="shared" si="0"/>
        <v>146</v>
      </c>
      <c r="I50">
        <f t="shared" si="0"/>
        <v>402</v>
      </c>
      <c r="J50">
        <f t="shared" si="0"/>
        <v>587</v>
      </c>
      <c r="K50" t="str" cm="1">
        <f t="array" ref="K50">_xlfn.IFS(H50&gt;=$U$1,"kostka",I50&gt;=$U$1*$R$3,"orzech",J50&gt;=$U$1*$R$4,"miał",1=1,"NIC")</f>
        <v>orzech</v>
      </c>
      <c r="L50">
        <f t="shared" si="2"/>
        <v>146</v>
      </c>
      <c r="M50">
        <f t="shared" si="3"/>
        <v>142</v>
      </c>
      <c r="N50">
        <f t="shared" si="4"/>
        <v>587</v>
      </c>
    </row>
    <row r="51" spans="1:14" x14ac:dyDescent="0.25">
      <c r="A51" s="1">
        <v>41976</v>
      </c>
      <c r="B51">
        <f t="shared" si="1"/>
        <v>146</v>
      </c>
      <c r="C51">
        <f t="shared" si="1"/>
        <v>142</v>
      </c>
      <c r="D51">
        <f t="shared" si="1"/>
        <v>587</v>
      </c>
      <c r="E51">
        <v>109</v>
      </c>
      <c r="F51">
        <v>99</v>
      </c>
      <c r="G51">
        <v>70</v>
      </c>
      <c r="H51">
        <f t="shared" si="0"/>
        <v>255</v>
      </c>
      <c r="I51">
        <f t="shared" si="0"/>
        <v>241</v>
      </c>
      <c r="J51">
        <f t="shared" si="0"/>
        <v>657</v>
      </c>
      <c r="K51" t="str" cm="1">
        <f t="array" ref="K51">_xlfn.IFS(H51&gt;=$U$1,"kostka",I51&gt;=$U$1*$R$3,"orzech",J51&gt;=$U$1*$R$4,"miał",1=1,"NIC")</f>
        <v>kostka</v>
      </c>
      <c r="L51">
        <f t="shared" si="2"/>
        <v>55</v>
      </c>
      <c r="M51">
        <f t="shared" si="3"/>
        <v>241</v>
      </c>
      <c r="N51">
        <f t="shared" si="4"/>
        <v>657</v>
      </c>
    </row>
    <row r="52" spans="1:14" x14ac:dyDescent="0.25">
      <c r="A52" s="1">
        <v>41977</v>
      </c>
      <c r="B52">
        <f t="shared" si="1"/>
        <v>55</v>
      </c>
      <c r="C52">
        <f t="shared" si="1"/>
        <v>241</v>
      </c>
      <c r="D52">
        <f t="shared" si="1"/>
        <v>657</v>
      </c>
      <c r="E52">
        <v>22</v>
      </c>
      <c r="F52">
        <v>16</v>
      </c>
      <c r="G52">
        <v>59</v>
      </c>
      <c r="H52">
        <f t="shared" si="0"/>
        <v>77</v>
      </c>
      <c r="I52">
        <f t="shared" si="0"/>
        <v>257</v>
      </c>
      <c r="J52">
        <f t="shared" si="0"/>
        <v>716</v>
      </c>
      <c r="K52" t="str" cm="1">
        <f t="array" ref="K52">_xlfn.IFS(H52&gt;=$U$1,"kostka",I52&gt;=$U$1*$R$3,"orzech",J52&gt;=$U$1*$R$4,"miał",1=1,"NIC")</f>
        <v>miał</v>
      </c>
      <c r="L52">
        <f t="shared" si="2"/>
        <v>77</v>
      </c>
      <c r="M52">
        <f t="shared" si="3"/>
        <v>257</v>
      </c>
      <c r="N52">
        <f t="shared" si="4"/>
        <v>396</v>
      </c>
    </row>
    <row r="53" spans="1:14" x14ac:dyDescent="0.25">
      <c r="A53" s="1">
        <v>41978</v>
      </c>
      <c r="B53">
        <f t="shared" si="1"/>
        <v>77</v>
      </c>
      <c r="C53">
        <f t="shared" si="1"/>
        <v>257</v>
      </c>
      <c r="D53">
        <f t="shared" si="1"/>
        <v>396</v>
      </c>
      <c r="E53">
        <v>5</v>
      </c>
      <c r="F53">
        <v>91</v>
      </c>
      <c r="G53">
        <v>73</v>
      </c>
      <c r="H53">
        <f t="shared" si="0"/>
        <v>82</v>
      </c>
      <c r="I53">
        <f t="shared" si="0"/>
        <v>348</v>
      </c>
      <c r="J53">
        <f t="shared" si="0"/>
        <v>469</v>
      </c>
      <c r="K53" t="str" cm="1">
        <f t="array" ref="K53">_xlfn.IFS(H53&gt;=$U$1,"kostka",I53&gt;=$U$1*$R$3,"orzech",J53&gt;=$U$1*$R$4,"miał",1=1,"NIC")</f>
        <v>orzech</v>
      </c>
      <c r="L53">
        <f t="shared" si="2"/>
        <v>82</v>
      </c>
      <c r="M53">
        <f t="shared" si="3"/>
        <v>88</v>
      </c>
      <c r="N53">
        <f t="shared" si="4"/>
        <v>469</v>
      </c>
    </row>
    <row r="54" spans="1:14" x14ac:dyDescent="0.25">
      <c r="A54" s="1">
        <v>41979</v>
      </c>
      <c r="B54">
        <f t="shared" si="1"/>
        <v>82</v>
      </c>
      <c r="C54">
        <f t="shared" si="1"/>
        <v>88</v>
      </c>
      <c r="D54">
        <f t="shared" si="1"/>
        <v>469</v>
      </c>
      <c r="E54">
        <v>105</v>
      </c>
      <c r="F54">
        <v>154</v>
      </c>
      <c r="G54">
        <v>48</v>
      </c>
      <c r="H54">
        <f t="shared" si="0"/>
        <v>187</v>
      </c>
      <c r="I54">
        <f t="shared" si="0"/>
        <v>242</v>
      </c>
      <c r="J54">
        <f t="shared" si="0"/>
        <v>517</v>
      </c>
      <c r="K54" t="str" cm="1">
        <f t="array" ref="K54">_xlfn.IFS(H54&gt;=$U$1,"kostka",I54&gt;=$U$1*$R$3,"orzech",J54&gt;=$U$1*$R$4,"miał",1=1,"NIC")</f>
        <v>miał</v>
      </c>
      <c r="L54">
        <f t="shared" si="2"/>
        <v>187</v>
      </c>
      <c r="M54">
        <f t="shared" si="3"/>
        <v>242</v>
      </c>
      <c r="N54">
        <f t="shared" si="4"/>
        <v>197</v>
      </c>
    </row>
    <row r="55" spans="1:14" x14ac:dyDescent="0.25">
      <c r="A55" s="1">
        <v>41980</v>
      </c>
      <c r="B55">
        <f t="shared" si="1"/>
        <v>187</v>
      </c>
      <c r="C55">
        <f t="shared" si="1"/>
        <v>242</v>
      </c>
      <c r="D55">
        <f t="shared" si="1"/>
        <v>197</v>
      </c>
      <c r="E55">
        <v>108</v>
      </c>
      <c r="F55">
        <v>5</v>
      </c>
      <c r="G55">
        <v>71</v>
      </c>
      <c r="H55">
        <f t="shared" si="0"/>
        <v>295</v>
      </c>
      <c r="I55">
        <f t="shared" si="0"/>
        <v>247</v>
      </c>
      <c r="J55">
        <f t="shared" si="0"/>
        <v>268</v>
      </c>
      <c r="K55" t="str" cm="1">
        <f t="array" ref="K55">_xlfn.IFS(H55&gt;=$U$1,"kostka",I55&gt;=$U$1*$R$3,"orzech",J55&gt;=$U$1*$R$4,"miał",1=1,"NIC")</f>
        <v>kostka</v>
      </c>
      <c r="L55">
        <f t="shared" si="2"/>
        <v>95</v>
      </c>
      <c r="M55">
        <f t="shared" si="3"/>
        <v>247</v>
      </c>
      <c r="N55">
        <f t="shared" si="4"/>
        <v>268</v>
      </c>
    </row>
    <row r="56" spans="1:14" x14ac:dyDescent="0.25">
      <c r="A56" s="1">
        <v>41981</v>
      </c>
      <c r="B56">
        <f t="shared" si="1"/>
        <v>95</v>
      </c>
      <c r="C56">
        <f t="shared" si="1"/>
        <v>247</v>
      </c>
      <c r="D56">
        <f t="shared" si="1"/>
        <v>268</v>
      </c>
      <c r="E56">
        <v>64</v>
      </c>
      <c r="F56">
        <v>37</v>
      </c>
      <c r="G56">
        <v>89</v>
      </c>
      <c r="H56">
        <f t="shared" si="0"/>
        <v>159</v>
      </c>
      <c r="I56">
        <f t="shared" si="0"/>
        <v>284</v>
      </c>
      <c r="J56">
        <f t="shared" si="0"/>
        <v>357</v>
      </c>
      <c r="K56" t="str" cm="1">
        <f t="array" ref="K56">_xlfn.IFS(H56&gt;=$U$1,"kostka",I56&gt;=$U$1*$R$3,"orzech",J56&gt;=$U$1*$R$4,"miał",1=1,"NIC")</f>
        <v>orzech</v>
      </c>
      <c r="L56">
        <f t="shared" si="2"/>
        <v>159</v>
      </c>
      <c r="M56">
        <f t="shared" si="3"/>
        <v>24</v>
      </c>
      <c r="N56">
        <f t="shared" si="4"/>
        <v>357</v>
      </c>
    </row>
    <row r="57" spans="1:14" x14ac:dyDescent="0.25">
      <c r="A57" s="1">
        <v>41982</v>
      </c>
      <c r="B57">
        <f t="shared" si="1"/>
        <v>159</v>
      </c>
      <c r="C57">
        <f t="shared" si="1"/>
        <v>24</v>
      </c>
      <c r="D57">
        <f t="shared" si="1"/>
        <v>357</v>
      </c>
      <c r="E57">
        <v>114</v>
      </c>
      <c r="F57">
        <v>140</v>
      </c>
      <c r="G57">
        <v>36</v>
      </c>
      <c r="H57">
        <f t="shared" si="0"/>
        <v>273</v>
      </c>
      <c r="I57">
        <f t="shared" si="0"/>
        <v>164</v>
      </c>
      <c r="J57">
        <f t="shared" si="0"/>
        <v>393</v>
      </c>
      <c r="K57" t="str" cm="1">
        <f t="array" ref="K57">_xlfn.IFS(H57&gt;=$U$1,"kostka",I57&gt;=$U$1*$R$3,"orzech",J57&gt;=$U$1*$R$4,"miał",1=1,"NIC")</f>
        <v>kostka</v>
      </c>
      <c r="L57">
        <f t="shared" si="2"/>
        <v>73</v>
      </c>
      <c r="M57">
        <f t="shared" si="3"/>
        <v>164</v>
      </c>
      <c r="N57">
        <f t="shared" si="4"/>
        <v>393</v>
      </c>
    </row>
    <row r="58" spans="1:14" x14ac:dyDescent="0.25">
      <c r="A58" s="1">
        <v>41983</v>
      </c>
      <c r="B58">
        <f t="shared" si="1"/>
        <v>73</v>
      </c>
      <c r="C58">
        <f t="shared" si="1"/>
        <v>164</v>
      </c>
      <c r="D58">
        <f t="shared" si="1"/>
        <v>393</v>
      </c>
      <c r="E58">
        <v>147</v>
      </c>
      <c r="F58">
        <v>140</v>
      </c>
      <c r="G58">
        <v>61</v>
      </c>
      <c r="H58">
        <f t="shared" si="0"/>
        <v>220</v>
      </c>
      <c r="I58">
        <f t="shared" si="0"/>
        <v>304</v>
      </c>
      <c r="J58">
        <f t="shared" si="0"/>
        <v>454</v>
      </c>
      <c r="K58" t="str" cm="1">
        <f t="array" ref="K58">_xlfn.IFS(H58&gt;=$U$1,"kostka",I58&gt;=$U$1*$R$3,"orzech",J58&gt;=$U$1*$R$4,"miał",1=1,"NIC")</f>
        <v>kostka</v>
      </c>
      <c r="L58">
        <f t="shared" si="2"/>
        <v>20</v>
      </c>
      <c r="M58">
        <f t="shared" si="3"/>
        <v>304</v>
      </c>
      <c r="N58">
        <f t="shared" si="4"/>
        <v>454</v>
      </c>
    </row>
    <row r="59" spans="1:14" x14ac:dyDescent="0.25">
      <c r="A59" s="1">
        <v>41984</v>
      </c>
      <c r="B59">
        <f t="shared" si="1"/>
        <v>20</v>
      </c>
      <c r="C59">
        <f t="shared" si="1"/>
        <v>304</v>
      </c>
      <c r="D59">
        <f t="shared" si="1"/>
        <v>454</v>
      </c>
      <c r="E59">
        <v>69</v>
      </c>
      <c r="F59">
        <v>120</v>
      </c>
      <c r="G59">
        <v>52</v>
      </c>
      <c r="H59">
        <f t="shared" si="0"/>
        <v>89</v>
      </c>
      <c r="I59">
        <f t="shared" si="0"/>
        <v>424</v>
      </c>
      <c r="J59">
        <f t="shared" si="0"/>
        <v>506</v>
      </c>
      <c r="K59" t="str" cm="1">
        <f t="array" ref="K59">_xlfn.IFS(H59&gt;=$U$1,"kostka",I59&gt;=$U$1*$R$3,"orzech",J59&gt;=$U$1*$R$4,"miał",1=1,"NIC")</f>
        <v>orzech</v>
      </c>
      <c r="L59">
        <f t="shared" si="2"/>
        <v>89</v>
      </c>
      <c r="M59">
        <f t="shared" si="3"/>
        <v>164</v>
      </c>
      <c r="N59">
        <f t="shared" si="4"/>
        <v>506</v>
      </c>
    </row>
    <row r="60" spans="1:14" x14ac:dyDescent="0.25">
      <c r="A60" s="1">
        <v>41985</v>
      </c>
      <c r="B60">
        <f t="shared" si="1"/>
        <v>89</v>
      </c>
      <c r="C60">
        <f t="shared" si="1"/>
        <v>164</v>
      </c>
      <c r="D60">
        <f t="shared" si="1"/>
        <v>506</v>
      </c>
      <c r="E60">
        <v>101</v>
      </c>
      <c r="F60">
        <v>39</v>
      </c>
      <c r="G60">
        <v>10</v>
      </c>
      <c r="H60">
        <f t="shared" si="0"/>
        <v>190</v>
      </c>
      <c r="I60">
        <f t="shared" si="0"/>
        <v>203</v>
      </c>
      <c r="J60">
        <f t="shared" si="0"/>
        <v>516</v>
      </c>
      <c r="K60" t="str" cm="1">
        <f t="array" ref="K60">_xlfn.IFS(H60&gt;=$U$1,"kostka",I60&gt;=$U$1*$R$3,"orzech",J60&gt;=$U$1*$R$4,"miał",1=1,"NIC")</f>
        <v>miał</v>
      </c>
      <c r="L60">
        <f t="shared" si="2"/>
        <v>190</v>
      </c>
      <c r="M60">
        <f t="shared" si="3"/>
        <v>203</v>
      </c>
      <c r="N60">
        <f t="shared" si="4"/>
        <v>196</v>
      </c>
    </row>
    <row r="61" spans="1:14" x14ac:dyDescent="0.25">
      <c r="A61" s="1">
        <v>41986</v>
      </c>
      <c r="B61">
        <f t="shared" si="1"/>
        <v>190</v>
      </c>
      <c r="C61">
        <f t="shared" si="1"/>
        <v>203</v>
      </c>
      <c r="D61">
        <f t="shared" si="1"/>
        <v>196</v>
      </c>
      <c r="E61">
        <v>158</v>
      </c>
      <c r="F61">
        <v>36</v>
      </c>
      <c r="G61">
        <v>79</v>
      </c>
      <c r="H61">
        <f t="shared" si="0"/>
        <v>348</v>
      </c>
      <c r="I61">
        <f t="shared" si="0"/>
        <v>239</v>
      </c>
      <c r="J61">
        <f t="shared" si="0"/>
        <v>275</v>
      </c>
      <c r="K61" t="str" cm="1">
        <f t="array" ref="K61">_xlfn.IFS(H61&gt;=$U$1,"kostka",I61&gt;=$U$1*$R$3,"orzech",J61&gt;=$U$1*$R$4,"miał",1=1,"NIC")</f>
        <v>kostka</v>
      </c>
      <c r="L61">
        <f t="shared" si="2"/>
        <v>148</v>
      </c>
      <c r="M61">
        <f t="shared" si="3"/>
        <v>239</v>
      </c>
      <c r="N61">
        <f t="shared" si="4"/>
        <v>275</v>
      </c>
    </row>
    <row r="62" spans="1:14" x14ac:dyDescent="0.25">
      <c r="A62" s="1">
        <v>41987</v>
      </c>
      <c r="B62">
        <f t="shared" si="1"/>
        <v>148</v>
      </c>
      <c r="C62">
        <f t="shared" si="1"/>
        <v>239</v>
      </c>
      <c r="D62">
        <f t="shared" si="1"/>
        <v>275</v>
      </c>
      <c r="E62">
        <v>79</v>
      </c>
      <c r="F62">
        <v>105</v>
      </c>
      <c r="G62">
        <v>73</v>
      </c>
      <c r="H62">
        <f t="shared" si="0"/>
        <v>227</v>
      </c>
      <c r="I62">
        <f t="shared" si="0"/>
        <v>344</v>
      </c>
      <c r="J62">
        <f t="shared" si="0"/>
        <v>348</v>
      </c>
      <c r="K62" t="str" cm="1">
        <f t="array" ref="K62">_xlfn.IFS(H62&gt;=$U$1,"kostka",I62&gt;=$U$1*$R$3,"orzech",J62&gt;=$U$1*$R$4,"miał",1=1,"NIC")</f>
        <v>kostka</v>
      </c>
      <c r="L62">
        <f t="shared" si="2"/>
        <v>27</v>
      </c>
      <c r="M62">
        <f t="shared" si="3"/>
        <v>344</v>
      </c>
      <c r="N62">
        <f t="shared" si="4"/>
        <v>348</v>
      </c>
    </row>
    <row r="63" spans="1:14" x14ac:dyDescent="0.25">
      <c r="A63" s="1">
        <v>41988</v>
      </c>
      <c r="B63">
        <f t="shared" si="1"/>
        <v>27</v>
      </c>
      <c r="C63">
        <f t="shared" si="1"/>
        <v>344</v>
      </c>
      <c r="D63">
        <f t="shared" si="1"/>
        <v>348</v>
      </c>
      <c r="E63">
        <v>5</v>
      </c>
      <c r="F63">
        <v>24</v>
      </c>
      <c r="G63">
        <v>43</v>
      </c>
      <c r="H63">
        <f t="shared" si="0"/>
        <v>32</v>
      </c>
      <c r="I63">
        <f t="shared" si="0"/>
        <v>368</v>
      </c>
      <c r="J63">
        <f t="shared" si="0"/>
        <v>391</v>
      </c>
      <c r="K63" t="str" cm="1">
        <f t="array" ref="K63">_xlfn.IFS(H63&gt;=$U$1,"kostka",I63&gt;=$U$1*$R$3,"orzech",J63&gt;=$U$1*$R$4,"miał",1=1,"NIC")</f>
        <v>orzech</v>
      </c>
      <c r="L63">
        <f t="shared" si="2"/>
        <v>32</v>
      </c>
      <c r="M63">
        <f t="shared" si="3"/>
        <v>108</v>
      </c>
      <c r="N63">
        <f t="shared" si="4"/>
        <v>391</v>
      </c>
    </row>
    <row r="64" spans="1:14" x14ac:dyDescent="0.25">
      <c r="A64" s="1">
        <v>41989</v>
      </c>
      <c r="B64">
        <f t="shared" si="1"/>
        <v>32</v>
      </c>
      <c r="C64">
        <f t="shared" si="1"/>
        <v>108</v>
      </c>
      <c r="D64">
        <f t="shared" si="1"/>
        <v>391</v>
      </c>
      <c r="E64">
        <v>68</v>
      </c>
      <c r="F64">
        <v>112</v>
      </c>
      <c r="G64">
        <v>25</v>
      </c>
      <c r="H64">
        <f t="shared" si="0"/>
        <v>100</v>
      </c>
      <c r="I64">
        <f t="shared" si="0"/>
        <v>220</v>
      </c>
      <c r="J64">
        <f t="shared" si="0"/>
        <v>416</v>
      </c>
      <c r="K64" t="str" cm="1">
        <f t="array" ref="K64">_xlfn.IFS(H64&gt;=$U$1,"kostka",I64&gt;=$U$1*$R$3,"orzech",J64&gt;=$U$1*$R$4,"miał",1=1,"NIC")</f>
        <v>miał</v>
      </c>
      <c r="L64">
        <f t="shared" si="2"/>
        <v>100</v>
      </c>
      <c r="M64">
        <f t="shared" si="3"/>
        <v>220</v>
      </c>
      <c r="N64">
        <f t="shared" si="4"/>
        <v>96</v>
      </c>
    </row>
    <row r="65" spans="1:14" x14ac:dyDescent="0.25">
      <c r="A65" s="1">
        <v>41990</v>
      </c>
      <c r="B65">
        <f t="shared" si="1"/>
        <v>100</v>
      </c>
      <c r="C65">
        <f t="shared" si="1"/>
        <v>220</v>
      </c>
      <c r="D65">
        <f t="shared" si="1"/>
        <v>96</v>
      </c>
      <c r="E65">
        <v>37</v>
      </c>
      <c r="F65">
        <v>57</v>
      </c>
      <c r="G65">
        <v>81</v>
      </c>
      <c r="H65">
        <f t="shared" si="0"/>
        <v>137</v>
      </c>
      <c r="I65">
        <f t="shared" si="0"/>
        <v>277</v>
      </c>
      <c r="J65">
        <f t="shared" si="0"/>
        <v>177</v>
      </c>
      <c r="K65" t="str" cm="1">
        <f t="array" ref="K65">_xlfn.IFS(H65&gt;=$U$1,"kostka",I65&gt;=$U$1*$R$3,"orzech",J65&gt;=$U$1*$R$4,"miał",1=1,"NIC")</f>
        <v>orzech</v>
      </c>
      <c r="L65">
        <f t="shared" si="2"/>
        <v>137</v>
      </c>
      <c r="M65">
        <f t="shared" si="3"/>
        <v>17</v>
      </c>
      <c r="N65">
        <f t="shared" si="4"/>
        <v>177</v>
      </c>
    </row>
    <row r="66" spans="1:14" x14ac:dyDescent="0.25">
      <c r="A66" s="1">
        <v>41991</v>
      </c>
      <c r="B66">
        <f t="shared" si="1"/>
        <v>137</v>
      </c>
      <c r="C66">
        <f t="shared" si="1"/>
        <v>17</v>
      </c>
      <c r="D66">
        <f t="shared" si="1"/>
        <v>177</v>
      </c>
      <c r="E66">
        <v>188</v>
      </c>
      <c r="F66">
        <v>28</v>
      </c>
      <c r="G66">
        <v>7</v>
      </c>
      <c r="H66">
        <f t="shared" si="0"/>
        <v>325</v>
      </c>
      <c r="I66">
        <f t="shared" si="0"/>
        <v>45</v>
      </c>
      <c r="J66">
        <f t="shared" si="0"/>
        <v>184</v>
      </c>
      <c r="K66" t="str" cm="1">
        <f t="array" ref="K66">_xlfn.IFS(H66&gt;=$U$1,"kostka",I66&gt;=$U$1*$R$3,"orzech",J66&gt;=$U$1*$R$4,"miał",1=1,"NIC")</f>
        <v>kostka</v>
      </c>
      <c r="L66">
        <f t="shared" si="2"/>
        <v>125</v>
      </c>
      <c r="M66">
        <f t="shared" si="3"/>
        <v>45</v>
      </c>
      <c r="N66">
        <f t="shared" si="4"/>
        <v>184</v>
      </c>
    </row>
    <row r="67" spans="1:14" x14ac:dyDescent="0.25">
      <c r="A67" s="1">
        <v>41992</v>
      </c>
      <c r="B67">
        <f t="shared" si="1"/>
        <v>125</v>
      </c>
      <c r="C67">
        <f t="shared" si="1"/>
        <v>45</v>
      </c>
      <c r="D67">
        <f t="shared" si="1"/>
        <v>184</v>
      </c>
      <c r="E67">
        <v>167</v>
      </c>
      <c r="F67">
        <v>41</v>
      </c>
      <c r="G67">
        <v>45</v>
      </c>
      <c r="H67">
        <f t="shared" ref="H67:J130" si="5">B67+E67</f>
        <v>292</v>
      </c>
      <c r="I67">
        <f t="shared" si="5"/>
        <v>86</v>
      </c>
      <c r="J67">
        <f t="shared" si="5"/>
        <v>229</v>
      </c>
      <c r="K67" t="str" cm="1">
        <f t="array" ref="K67">_xlfn.IFS(H67&gt;=$U$1,"kostka",I67&gt;=$U$1*$R$3,"orzech",J67&gt;=$U$1*$R$4,"miał",1=1,"NIC")</f>
        <v>kostka</v>
      </c>
      <c r="L67">
        <f t="shared" si="2"/>
        <v>92</v>
      </c>
      <c r="M67">
        <f t="shared" si="3"/>
        <v>86</v>
      </c>
      <c r="N67">
        <f t="shared" si="4"/>
        <v>229</v>
      </c>
    </row>
    <row r="68" spans="1:14" x14ac:dyDescent="0.25">
      <c r="A68" s="1">
        <v>41993</v>
      </c>
      <c r="B68">
        <f t="shared" ref="B68:D131" si="6">L67</f>
        <v>92</v>
      </c>
      <c r="C68">
        <f t="shared" si="6"/>
        <v>86</v>
      </c>
      <c r="D68">
        <f t="shared" si="6"/>
        <v>229</v>
      </c>
      <c r="E68">
        <v>197</v>
      </c>
      <c r="F68">
        <v>82</v>
      </c>
      <c r="G68">
        <v>43</v>
      </c>
      <c r="H68">
        <f t="shared" si="5"/>
        <v>289</v>
      </c>
      <c r="I68">
        <f t="shared" si="5"/>
        <v>168</v>
      </c>
      <c r="J68">
        <f t="shared" si="5"/>
        <v>272</v>
      </c>
      <c r="K68" t="str" cm="1">
        <f t="array" ref="K68">_xlfn.IFS(H68&gt;=$U$1,"kostka",I68&gt;=$U$1*$R$3,"orzech",J68&gt;=$U$1*$R$4,"miał",1=1,"NIC")</f>
        <v>kostka</v>
      </c>
      <c r="L68">
        <f t="shared" ref="L68:L131" si="7">IF($K68="kostka",H68-$U$1,H68)</f>
        <v>89</v>
      </c>
      <c r="M68">
        <f t="shared" ref="M68:M131" si="8">IF($K68="orzech",I68-$U$1*$R$3,I68)</f>
        <v>168</v>
      </c>
      <c r="N68">
        <f t="shared" ref="N68:N131" si="9">IF($K68="miał",J68-$U$1*$R$4,J68)</f>
        <v>272</v>
      </c>
    </row>
    <row r="69" spans="1:14" x14ac:dyDescent="0.25">
      <c r="A69" s="1">
        <v>41994</v>
      </c>
      <c r="B69">
        <f t="shared" si="6"/>
        <v>89</v>
      </c>
      <c r="C69">
        <f t="shared" si="6"/>
        <v>168</v>
      </c>
      <c r="D69">
        <f t="shared" si="6"/>
        <v>272</v>
      </c>
      <c r="E69">
        <v>54</v>
      </c>
      <c r="F69">
        <v>130</v>
      </c>
      <c r="G69">
        <v>50</v>
      </c>
      <c r="H69">
        <f t="shared" si="5"/>
        <v>143</v>
      </c>
      <c r="I69">
        <f t="shared" si="5"/>
        <v>298</v>
      </c>
      <c r="J69">
        <f t="shared" si="5"/>
        <v>322</v>
      </c>
      <c r="K69" t="str" cm="1">
        <f t="array" ref="K69">_xlfn.IFS(H69&gt;=$U$1,"kostka",I69&gt;=$U$1*$R$3,"orzech",J69&gt;=$U$1*$R$4,"miał",1=1,"NIC")</f>
        <v>orzech</v>
      </c>
      <c r="L69">
        <f t="shared" si="7"/>
        <v>143</v>
      </c>
      <c r="M69">
        <f t="shared" si="8"/>
        <v>38</v>
      </c>
      <c r="N69">
        <f t="shared" si="9"/>
        <v>322</v>
      </c>
    </row>
    <row r="70" spans="1:14" x14ac:dyDescent="0.25">
      <c r="A70" s="1">
        <v>41995</v>
      </c>
      <c r="B70">
        <f t="shared" si="6"/>
        <v>143</v>
      </c>
      <c r="C70">
        <f t="shared" si="6"/>
        <v>38</v>
      </c>
      <c r="D70">
        <f t="shared" si="6"/>
        <v>322</v>
      </c>
      <c r="E70">
        <v>19</v>
      </c>
      <c r="F70">
        <v>153</v>
      </c>
      <c r="G70">
        <v>65</v>
      </c>
      <c r="H70">
        <f t="shared" si="5"/>
        <v>162</v>
      </c>
      <c r="I70">
        <f t="shared" si="5"/>
        <v>191</v>
      </c>
      <c r="J70">
        <f t="shared" si="5"/>
        <v>387</v>
      </c>
      <c r="K70" t="str" cm="1">
        <f t="array" ref="K70">_xlfn.IFS(H70&gt;=$U$1,"kostka",I70&gt;=$U$1*$R$3,"orzech",J70&gt;=$U$1*$R$4,"miał",1=1,"NIC")</f>
        <v>miał</v>
      </c>
      <c r="L70">
        <f t="shared" si="7"/>
        <v>162</v>
      </c>
      <c r="M70">
        <f t="shared" si="8"/>
        <v>191</v>
      </c>
      <c r="N70">
        <f t="shared" si="9"/>
        <v>67</v>
      </c>
    </row>
    <row r="71" spans="1:14" x14ac:dyDescent="0.25">
      <c r="A71" s="1">
        <v>41996</v>
      </c>
      <c r="B71">
        <f t="shared" si="6"/>
        <v>162</v>
      </c>
      <c r="C71">
        <f t="shared" si="6"/>
        <v>191</v>
      </c>
      <c r="D71">
        <f t="shared" si="6"/>
        <v>67</v>
      </c>
      <c r="E71">
        <v>27</v>
      </c>
      <c r="F71">
        <v>160</v>
      </c>
      <c r="G71">
        <v>81</v>
      </c>
      <c r="H71">
        <f t="shared" si="5"/>
        <v>189</v>
      </c>
      <c r="I71">
        <f t="shared" si="5"/>
        <v>351</v>
      </c>
      <c r="J71">
        <f t="shared" si="5"/>
        <v>148</v>
      </c>
      <c r="K71" t="str" cm="1">
        <f t="array" ref="K71">_xlfn.IFS(H71&gt;=$U$1,"kostka",I71&gt;=$U$1*$R$3,"orzech",J71&gt;=$U$1*$R$4,"miał",1=1,"NIC")</f>
        <v>orzech</v>
      </c>
      <c r="L71">
        <f t="shared" si="7"/>
        <v>189</v>
      </c>
      <c r="M71">
        <f t="shared" si="8"/>
        <v>91</v>
      </c>
      <c r="N71">
        <f t="shared" si="9"/>
        <v>148</v>
      </c>
    </row>
    <row r="72" spans="1:14" x14ac:dyDescent="0.25">
      <c r="A72" s="1">
        <v>41997</v>
      </c>
      <c r="B72">
        <f t="shared" si="6"/>
        <v>189</v>
      </c>
      <c r="C72">
        <f t="shared" si="6"/>
        <v>91</v>
      </c>
      <c r="D72">
        <f t="shared" si="6"/>
        <v>148</v>
      </c>
      <c r="E72">
        <v>11</v>
      </c>
      <c r="F72">
        <v>140</v>
      </c>
      <c r="G72">
        <v>77</v>
      </c>
      <c r="H72">
        <f t="shared" si="5"/>
        <v>200</v>
      </c>
      <c r="I72">
        <f t="shared" si="5"/>
        <v>231</v>
      </c>
      <c r="J72">
        <f t="shared" si="5"/>
        <v>225</v>
      </c>
      <c r="K72" t="str" cm="1">
        <f t="array" ref="K72">_xlfn.IFS(H72&gt;=$U$1,"kostka",I72&gt;=$U$1*$R$3,"orzech",J72&gt;=$U$1*$R$4,"miał",1=1,"NIC")</f>
        <v>kostka</v>
      </c>
      <c r="L72">
        <f t="shared" si="7"/>
        <v>0</v>
      </c>
      <c r="M72">
        <f t="shared" si="8"/>
        <v>231</v>
      </c>
      <c r="N72">
        <f t="shared" si="9"/>
        <v>225</v>
      </c>
    </row>
    <row r="73" spans="1:14" x14ac:dyDescent="0.25">
      <c r="A73" s="1">
        <v>41998</v>
      </c>
      <c r="B73">
        <f t="shared" si="6"/>
        <v>0</v>
      </c>
      <c r="C73">
        <f t="shared" si="6"/>
        <v>231</v>
      </c>
      <c r="D73">
        <f t="shared" si="6"/>
        <v>225</v>
      </c>
      <c r="E73">
        <v>182</v>
      </c>
      <c r="F73">
        <v>50</v>
      </c>
      <c r="G73">
        <v>22</v>
      </c>
      <c r="H73">
        <f t="shared" si="5"/>
        <v>182</v>
      </c>
      <c r="I73">
        <f t="shared" si="5"/>
        <v>281</v>
      </c>
      <c r="J73">
        <f t="shared" si="5"/>
        <v>247</v>
      </c>
      <c r="K73" t="str" cm="1">
        <f t="array" ref="K73">_xlfn.IFS(H73&gt;=$U$1,"kostka",I73&gt;=$U$1*$R$3,"orzech",J73&gt;=$U$1*$R$4,"miał",1=1,"NIC")</f>
        <v>orzech</v>
      </c>
      <c r="L73">
        <f t="shared" si="7"/>
        <v>182</v>
      </c>
      <c r="M73">
        <f t="shared" si="8"/>
        <v>21</v>
      </c>
      <c r="N73">
        <f t="shared" si="9"/>
        <v>247</v>
      </c>
    </row>
    <row r="74" spans="1:14" x14ac:dyDescent="0.25">
      <c r="A74" s="1">
        <v>41999</v>
      </c>
      <c r="B74">
        <f t="shared" si="6"/>
        <v>182</v>
      </c>
      <c r="C74">
        <f t="shared" si="6"/>
        <v>21</v>
      </c>
      <c r="D74">
        <f t="shared" si="6"/>
        <v>247</v>
      </c>
      <c r="E74">
        <v>63</v>
      </c>
      <c r="F74">
        <v>83</v>
      </c>
      <c r="G74">
        <v>69</v>
      </c>
      <c r="H74">
        <f t="shared" si="5"/>
        <v>245</v>
      </c>
      <c r="I74">
        <f t="shared" si="5"/>
        <v>104</v>
      </c>
      <c r="J74">
        <f t="shared" si="5"/>
        <v>316</v>
      </c>
      <c r="K74" t="str" cm="1">
        <f t="array" ref="K74">_xlfn.IFS(H74&gt;=$U$1,"kostka",I74&gt;=$U$1*$R$3,"orzech",J74&gt;=$U$1*$R$4,"miał",1=1,"NIC")</f>
        <v>kostka</v>
      </c>
      <c r="L74">
        <f t="shared" si="7"/>
        <v>45</v>
      </c>
      <c r="M74">
        <f t="shared" si="8"/>
        <v>104</v>
      </c>
      <c r="N74">
        <f t="shared" si="9"/>
        <v>316</v>
      </c>
    </row>
    <row r="75" spans="1:14" x14ac:dyDescent="0.25">
      <c r="A75" s="1">
        <v>42000</v>
      </c>
      <c r="B75">
        <f t="shared" si="6"/>
        <v>45</v>
      </c>
      <c r="C75">
        <f t="shared" si="6"/>
        <v>104</v>
      </c>
      <c r="D75">
        <f t="shared" si="6"/>
        <v>316</v>
      </c>
      <c r="E75">
        <v>33</v>
      </c>
      <c r="F75">
        <v>59</v>
      </c>
      <c r="G75">
        <v>46</v>
      </c>
      <c r="H75">
        <f t="shared" si="5"/>
        <v>78</v>
      </c>
      <c r="I75">
        <f t="shared" si="5"/>
        <v>163</v>
      </c>
      <c r="J75">
        <f t="shared" si="5"/>
        <v>362</v>
      </c>
      <c r="K75" t="str" cm="1">
        <f t="array" ref="K75">_xlfn.IFS(H75&gt;=$U$1,"kostka",I75&gt;=$U$1*$R$3,"orzech",J75&gt;=$U$1*$R$4,"miał",1=1,"NIC")</f>
        <v>miał</v>
      </c>
      <c r="L75">
        <f t="shared" si="7"/>
        <v>78</v>
      </c>
      <c r="M75">
        <f t="shared" si="8"/>
        <v>163</v>
      </c>
      <c r="N75">
        <f t="shared" si="9"/>
        <v>42</v>
      </c>
    </row>
    <row r="76" spans="1:14" x14ac:dyDescent="0.25">
      <c r="A76" s="1">
        <v>42001</v>
      </c>
      <c r="B76">
        <f t="shared" si="6"/>
        <v>78</v>
      </c>
      <c r="C76">
        <f t="shared" si="6"/>
        <v>163</v>
      </c>
      <c r="D76">
        <f t="shared" si="6"/>
        <v>42</v>
      </c>
      <c r="E76">
        <v>119</v>
      </c>
      <c r="F76">
        <v>57</v>
      </c>
      <c r="G76">
        <v>67</v>
      </c>
      <c r="H76">
        <f t="shared" si="5"/>
        <v>197</v>
      </c>
      <c r="I76">
        <f t="shared" si="5"/>
        <v>220</v>
      </c>
      <c r="J76">
        <f t="shared" si="5"/>
        <v>109</v>
      </c>
      <c r="K76" t="str" cm="1">
        <f t="array" ref="K76">_xlfn.IFS(H76&gt;=$U$1,"kostka",I76&gt;=$U$1*$R$3,"orzech",J76&gt;=$U$1*$R$4,"miał",1=1,"NIC")</f>
        <v>NIC</v>
      </c>
      <c r="L76">
        <f t="shared" si="7"/>
        <v>197</v>
      </c>
      <c r="M76">
        <f t="shared" si="8"/>
        <v>220</v>
      </c>
      <c r="N76">
        <f t="shared" si="9"/>
        <v>109</v>
      </c>
    </row>
    <row r="77" spans="1:14" x14ac:dyDescent="0.25">
      <c r="A77" s="1">
        <v>42002</v>
      </c>
      <c r="B77">
        <f t="shared" si="6"/>
        <v>197</v>
      </c>
      <c r="C77">
        <f t="shared" si="6"/>
        <v>220</v>
      </c>
      <c r="D77">
        <f t="shared" si="6"/>
        <v>109</v>
      </c>
      <c r="E77">
        <v>58</v>
      </c>
      <c r="F77">
        <v>176</v>
      </c>
      <c r="G77">
        <v>16</v>
      </c>
      <c r="H77">
        <f t="shared" si="5"/>
        <v>255</v>
      </c>
      <c r="I77">
        <f t="shared" si="5"/>
        <v>396</v>
      </c>
      <c r="J77">
        <f t="shared" si="5"/>
        <v>125</v>
      </c>
      <c r="K77" t="str" cm="1">
        <f t="array" ref="K77">_xlfn.IFS(H77&gt;=$U$1,"kostka",I77&gt;=$U$1*$R$3,"orzech",J77&gt;=$U$1*$R$4,"miał",1=1,"NIC")</f>
        <v>kostka</v>
      </c>
      <c r="L77">
        <f t="shared" si="7"/>
        <v>55</v>
      </c>
      <c r="M77">
        <f t="shared" si="8"/>
        <v>396</v>
      </c>
      <c r="N77">
        <f t="shared" si="9"/>
        <v>125</v>
      </c>
    </row>
    <row r="78" spans="1:14" x14ac:dyDescent="0.25">
      <c r="A78" s="1">
        <v>42003</v>
      </c>
      <c r="B78">
        <f t="shared" si="6"/>
        <v>55</v>
      </c>
      <c r="C78">
        <f t="shared" si="6"/>
        <v>396</v>
      </c>
      <c r="D78">
        <f t="shared" si="6"/>
        <v>125</v>
      </c>
      <c r="E78">
        <v>174</v>
      </c>
      <c r="F78">
        <v>61</v>
      </c>
      <c r="G78">
        <v>46</v>
      </c>
      <c r="H78">
        <f t="shared" si="5"/>
        <v>229</v>
      </c>
      <c r="I78">
        <f t="shared" si="5"/>
        <v>457</v>
      </c>
      <c r="J78">
        <f t="shared" si="5"/>
        <v>171</v>
      </c>
      <c r="K78" t="str" cm="1">
        <f t="array" ref="K78">_xlfn.IFS(H78&gt;=$U$1,"kostka",I78&gt;=$U$1*$R$3,"orzech",J78&gt;=$U$1*$R$4,"miał",1=1,"NIC")</f>
        <v>kostka</v>
      </c>
      <c r="L78">
        <f t="shared" si="7"/>
        <v>29</v>
      </c>
      <c r="M78">
        <f t="shared" si="8"/>
        <v>457</v>
      </c>
      <c r="N78">
        <f t="shared" si="9"/>
        <v>171</v>
      </c>
    </row>
    <row r="79" spans="1:14" x14ac:dyDescent="0.25">
      <c r="A79" s="1">
        <v>42004</v>
      </c>
      <c r="B79">
        <f t="shared" si="6"/>
        <v>29</v>
      </c>
      <c r="C79">
        <f t="shared" si="6"/>
        <v>457</v>
      </c>
      <c r="D79">
        <f t="shared" si="6"/>
        <v>171</v>
      </c>
      <c r="E79">
        <v>45</v>
      </c>
      <c r="F79">
        <v>154</v>
      </c>
      <c r="G79">
        <v>0</v>
      </c>
      <c r="H79">
        <f t="shared" si="5"/>
        <v>74</v>
      </c>
      <c r="I79">
        <f t="shared" si="5"/>
        <v>611</v>
      </c>
      <c r="J79">
        <f t="shared" si="5"/>
        <v>171</v>
      </c>
      <c r="K79" t="str" cm="1">
        <f t="array" ref="K79">_xlfn.IFS(H79&gt;=$U$1,"kostka",I79&gt;=$U$1*$R$3,"orzech",J79&gt;=$U$1*$R$4,"miał",1=1,"NIC")</f>
        <v>orzech</v>
      </c>
      <c r="L79">
        <f t="shared" si="7"/>
        <v>74</v>
      </c>
      <c r="M79">
        <f t="shared" si="8"/>
        <v>351</v>
      </c>
      <c r="N79">
        <f t="shared" si="9"/>
        <v>171</v>
      </c>
    </row>
    <row r="80" spans="1:14" x14ac:dyDescent="0.25">
      <c r="A80" s="1">
        <v>42005</v>
      </c>
      <c r="B80">
        <f t="shared" si="6"/>
        <v>74</v>
      </c>
      <c r="C80">
        <f t="shared" si="6"/>
        <v>351</v>
      </c>
      <c r="D80">
        <f t="shared" si="6"/>
        <v>171</v>
      </c>
      <c r="E80">
        <v>94</v>
      </c>
      <c r="F80">
        <v>120</v>
      </c>
      <c r="G80">
        <v>95</v>
      </c>
      <c r="H80">
        <f t="shared" si="5"/>
        <v>168</v>
      </c>
      <c r="I80">
        <f t="shared" si="5"/>
        <v>471</v>
      </c>
      <c r="J80">
        <f t="shared" si="5"/>
        <v>266</v>
      </c>
      <c r="K80" t="str" cm="1">
        <f t="array" ref="K80">_xlfn.IFS(H80&gt;=$U$1,"kostka",I80&gt;=$U$1*$R$3,"orzech",J80&gt;=$U$1*$R$4,"miał",1=1,"NIC")</f>
        <v>orzech</v>
      </c>
      <c r="L80">
        <f t="shared" si="7"/>
        <v>168</v>
      </c>
      <c r="M80">
        <f t="shared" si="8"/>
        <v>211</v>
      </c>
      <c r="N80">
        <f t="shared" si="9"/>
        <v>266</v>
      </c>
    </row>
    <row r="81" spans="1:14" x14ac:dyDescent="0.25">
      <c r="A81" s="1">
        <v>42006</v>
      </c>
      <c r="B81">
        <f t="shared" si="6"/>
        <v>168</v>
      </c>
      <c r="C81">
        <f t="shared" si="6"/>
        <v>211</v>
      </c>
      <c r="D81">
        <f t="shared" si="6"/>
        <v>266</v>
      </c>
      <c r="E81">
        <v>12</v>
      </c>
      <c r="F81">
        <v>5</v>
      </c>
      <c r="G81">
        <v>42</v>
      </c>
      <c r="H81">
        <f t="shared" si="5"/>
        <v>180</v>
      </c>
      <c r="I81">
        <f t="shared" si="5"/>
        <v>216</v>
      </c>
      <c r="J81">
        <f t="shared" si="5"/>
        <v>308</v>
      </c>
      <c r="K81" t="str" cm="1">
        <f t="array" ref="K81">_xlfn.IFS(H81&gt;=$U$1,"kostka",I81&gt;=$U$1*$R$3,"orzech",J81&gt;=$U$1*$R$4,"miał",1=1,"NIC")</f>
        <v>NIC</v>
      </c>
      <c r="L81">
        <f t="shared" si="7"/>
        <v>180</v>
      </c>
      <c r="M81">
        <f t="shared" si="8"/>
        <v>216</v>
      </c>
      <c r="N81">
        <f t="shared" si="9"/>
        <v>308</v>
      </c>
    </row>
    <row r="82" spans="1:14" x14ac:dyDescent="0.25">
      <c r="A82" s="1">
        <v>42007</v>
      </c>
      <c r="B82">
        <f t="shared" si="6"/>
        <v>180</v>
      </c>
      <c r="C82">
        <f t="shared" si="6"/>
        <v>216</v>
      </c>
      <c r="D82">
        <f t="shared" si="6"/>
        <v>308</v>
      </c>
      <c r="E82">
        <v>80</v>
      </c>
      <c r="F82">
        <v>170</v>
      </c>
      <c r="G82">
        <v>96</v>
      </c>
      <c r="H82">
        <f t="shared" si="5"/>
        <v>260</v>
      </c>
      <c r="I82">
        <f t="shared" si="5"/>
        <v>386</v>
      </c>
      <c r="J82">
        <f t="shared" si="5"/>
        <v>404</v>
      </c>
      <c r="K82" t="str" cm="1">
        <f t="array" ref="K82">_xlfn.IFS(H82&gt;=$U$1,"kostka",I82&gt;=$U$1*$R$3,"orzech",J82&gt;=$U$1*$R$4,"miał",1=1,"NIC")</f>
        <v>kostka</v>
      </c>
      <c r="L82">
        <f t="shared" si="7"/>
        <v>60</v>
      </c>
      <c r="M82">
        <f t="shared" si="8"/>
        <v>386</v>
      </c>
      <c r="N82">
        <f t="shared" si="9"/>
        <v>404</v>
      </c>
    </row>
    <row r="83" spans="1:14" x14ac:dyDescent="0.25">
      <c r="A83" s="1">
        <v>42008</v>
      </c>
      <c r="B83">
        <f t="shared" si="6"/>
        <v>60</v>
      </c>
      <c r="C83">
        <f t="shared" si="6"/>
        <v>386</v>
      </c>
      <c r="D83">
        <f t="shared" si="6"/>
        <v>404</v>
      </c>
      <c r="E83">
        <v>80</v>
      </c>
      <c r="F83">
        <v>10</v>
      </c>
      <c r="G83">
        <v>30</v>
      </c>
      <c r="H83">
        <f t="shared" si="5"/>
        <v>140</v>
      </c>
      <c r="I83">
        <f t="shared" si="5"/>
        <v>396</v>
      </c>
      <c r="J83">
        <f t="shared" si="5"/>
        <v>434</v>
      </c>
      <c r="K83" t="str" cm="1">
        <f t="array" ref="K83">_xlfn.IFS(H83&gt;=$U$1,"kostka",I83&gt;=$U$1*$R$3,"orzech",J83&gt;=$U$1*$R$4,"miał",1=1,"NIC")</f>
        <v>orzech</v>
      </c>
      <c r="L83">
        <f t="shared" si="7"/>
        <v>140</v>
      </c>
      <c r="M83">
        <f t="shared" si="8"/>
        <v>136</v>
      </c>
      <c r="N83">
        <f t="shared" si="9"/>
        <v>434</v>
      </c>
    </row>
    <row r="84" spans="1:14" x14ac:dyDescent="0.25">
      <c r="A84" s="1">
        <v>42009</v>
      </c>
      <c r="B84">
        <f t="shared" si="6"/>
        <v>140</v>
      </c>
      <c r="C84">
        <f t="shared" si="6"/>
        <v>136</v>
      </c>
      <c r="D84">
        <f t="shared" si="6"/>
        <v>434</v>
      </c>
      <c r="E84">
        <v>90</v>
      </c>
      <c r="F84">
        <v>80</v>
      </c>
      <c r="G84">
        <v>31</v>
      </c>
      <c r="H84">
        <f t="shared" si="5"/>
        <v>230</v>
      </c>
      <c r="I84">
        <f t="shared" si="5"/>
        <v>216</v>
      </c>
      <c r="J84">
        <f t="shared" si="5"/>
        <v>465</v>
      </c>
      <c r="K84" t="str" cm="1">
        <f t="array" ref="K84">_xlfn.IFS(H84&gt;=$U$1,"kostka",I84&gt;=$U$1*$R$3,"orzech",J84&gt;=$U$1*$R$4,"miał",1=1,"NIC")</f>
        <v>kostka</v>
      </c>
      <c r="L84">
        <f t="shared" si="7"/>
        <v>30</v>
      </c>
      <c r="M84">
        <f t="shared" si="8"/>
        <v>216</v>
      </c>
      <c r="N84">
        <f t="shared" si="9"/>
        <v>465</v>
      </c>
    </row>
    <row r="85" spans="1:14" x14ac:dyDescent="0.25">
      <c r="A85" s="1">
        <v>42010</v>
      </c>
      <c r="B85">
        <f t="shared" si="6"/>
        <v>30</v>
      </c>
      <c r="C85">
        <f t="shared" si="6"/>
        <v>216</v>
      </c>
      <c r="D85">
        <f t="shared" si="6"/>
        <v>465</v>
      </c>
      <c r="E85">
        <v>130</v>
      </c>
      <c r="F85">
        <v>163</v>
      </c>
      <c r="G85">
        <v>92</v>
      </c>
      <c r="H85">
        <f t="shared" si="5"/>
        <v>160</v>
      </c>
      <c r="I85">
        <f t="shared" si="5"/>
        <v>379</v>
      </c>
      <c r="J85">
        <f t="shared" si="5"/>
        <v>557</v>
      </c>
      <c r="K85" t="str" cm="1">
        <f t="array" ref="K85">_xlfn.IFS(H85&gt;=$U$1,"kostka",I85&gt;=$U$1*$R$3,"orzech",J85&gt;=$U$1*$R$4,"miał",1=1,"NIC")</f>
        <v>orzech</v>
      </c>
      <c r="L85">
        <f t="shared" si="7"/>
        <v>160</v>
      </c>
      <c r="M85">
        <f t="shared" si="8"/>
        <v>119</v>
      </c>
      <c r="N85">
        <f t="shared" si="9"/>
        <v>557</v>
      </c>
    </row>
    <row r="86" spans="1:14" x14ac:dyDescent="0.25">
      <c r="A86" s="1">
        <v>42011</v>
      </c>
      <c r="B86">
        <f t="shared" si="6"/>
        <v>160</v>
      </c>
      <c r="C86">
        <f t="shared" si="6"/>
        <v>119</v>
      </c>
      <c r="D86">
        <f t="shared" si="6"/>
        <v>557</v>
      </c>
      <c r="E86">
        <v>54</v>
      </c>
      <c r="F86">
        <v>7</v>
      </c>
      <c r="G86">
        <v>79</v>
      </c>
      <c r="H86">
        <f t="shared" si="5"/>
        <v>214</v>
      </c>
      <c r="I86">
        <f t="shared" si="5"/>
        <v>126</v>
      </c>
      <c r="J86">
        <f t="shared" si="5"/>
        <v>636</v>
      </c>
      <c r="K86" t="str" cm="1">
        <f t="array" ref="K86">_xlfn.IFS(H86&gt;=$U$1,"kostka",I86&gt;=$U$1*$R$3,"orzech",J86&gt;=$U$1*$R$4,"miał",1=1,"NIC")</f>
        <v>kostka</v>
      </c>
      <c r="L86">
        <f t="shared" si="7"/>
        <v>14</v>
      </c>
      <c r="M86">
        <f t="shared" si="8"/>
        <v>126</v>
      </c>
      <c r="N86">
        <f t="shared" si="9"/>
        <v>636</v>
      </c>
    </row>
    <row r="87" spans="1:14" x14ac:dyDescent="0.25">
      <c r="A87" s="1">
        <v>42012</v>
      </c>
      <c r="B87">
        <f t="shared" si="6"/>
        <v>14</v>
      </c>
      <c r="C87">
        <f t="shared" si="6"/>
        <v>126</v>
      </c>
      <c r="D87">
        <f t="shared" si="6"/>
        <v>636</v>
      </c>
      <c r="E87">
        <v>88</v>
      </c>
      <c r="F87">
        <v>125</v>
      </c>
      <c r="G87">
        <v>97</v>
      </c>
      <c r="H87">
        <f t="shared" si="5"/>
        <v>102</v>
      </c>
      <c r="I87">
        <f t="shared" si="5"/>
        <v>251</v>
      </c>
      <c r="J87">
        <f t="shared" si="5"/>
        <v>733</v>
      </c>
      <c r="K87" t="str" cm="1">
        <f t="array" ref="K87">_xlfn.IFS(H87&gt;=$U$1,"kostka",I87&gt;=$U$1*$R$3,"orzech",J87&gt;=$U$1*$R$4,"miał",1=1,"NIC")</f>
        <v>miał</v>
      </c>
      <c r="L87">
        <f t="shared" si="7"/>
        <v>102</v>
      </c>
      <c r="M87">
        <f t="shared" si="8"/>
        <v>251</v>
      </c>
      <c r="N87">
        <f t="shared" si="9"/>
        <v>413</v>
      </c>
    </row>
    <row r="88" spans="1:14" x14ac:dyDescent="0.25">
      <c r="A88" s="1">
        <v>42013</v>
      </c>
      <c r="B88">
        <f t="shared" si="6"/>
        <v>102</v>
      </c>
      <c r="C88">
        <f t="shared" si="6"/>
        <v>251</v>
      </c>
      <c r="D88">
        <f t="shared" si="6"/>
        <v>413</v>
      </c>
      <c r="E88">
        <v>83</v>
      </c>
      <c r="F88">
        <v>85</v>
      </c>
      <c r="G88">
        <v>99</v>
      </c>
      <c r="H88">
        <f t="shared" si="5"/>
        <v>185</v>
      </c>
      <c r="I88">
        <f t="shared" si="5"/>
        <v>336</v>
      </c>
      <c r="J88">
        <f t="shared" si="5"/>
        <v>512</v>
      </c>
      <c r="K88" t="str" cm="1">
        <f t="array" ref="K88">_xlfn.IFS(H88&gt;=$U$1,"kostka",I88&gt;=$U$1*$R$3,"orzech",J88&gt;=$U$1*$R$4,"miał",1=1,"NIC")</f>
        <v>orzech</v>
      </c>
      <c r="L88">
        <f t="shared" si="7"/>
        <v>185</v>
      </c>
      <c r="M88">
        <f t="shared" si="8"/>
        <v>76</v>
      </c>
      <c r="N88">
        <f t="shared" si="9"/>
        <v>512</v>
      </c>
    </row>
    <row r="89" spans="1:14" x14ac:dyDescent="0.25">
      <c r="A89" s="1">
        <v>42014</v>
      </c>
      <c r="B89">
        <f t="shared" si="6"/>
        <v>185</v>
      </c>
      <c r="C89">
        <f t="shared" si="6"/>
        <v>76</v>
      </c>
      <c r="D89">
        <f t="shared" si="6"/>
        <v>512</v>
      </c>
      <c r="E89">
        <v>139</v>
      </c>
      <c r="F89">
        <v>155</v>
      </c>
      <c r="G89">
        <v>11</v>
      </c>
      <c r="H89">
        <f t="shared" si="5"/>
        <v>324</v>
      </c>
      <c r="I89">
        <f t="shared" si="5"/>
        <v>231</v>
      </c>
      <c r="J89">
        <f t="shared" si="5"/>
        <v>523</v>
      </c>
      <c r="K89" t="str" cm="1">
        <f t="array" ref="K89">_xlfn.IFS(H89&gt;=$U$1,"kostka",I89&gt;=$U$1*$R$3,"orzech",J89&gt;=$U$1*$R$4,"miał",1=1,"NIC")</f>
        <v>kostka</v>
      </c>
      <c r="L89">
        <f t="shared" si="7"/>
        <v>124</v>
      </c>
      <c r="M89">
        <f t="shared" si="8"/>
        <v>231</v>
      </c>
      <c r="N89">
        <f t="shared" si="9"/>
        <v>523</v>
      </c>
    </row>
    <row r="90" spans="1:14" x14ac:dyDescent="0.25">
      <c r="A90" s="1">
        <v>42015</v>
      </c>
      <c r="B90">
        <f t="shared" si="6"/>
        <v>124</v>
      </c>
      <c r="C90">
        <f t="shared" si="6"/>
        <v>231</v>
      </c>
      <c r="D90">
        <f t="shared" si="6"/>
        <v>523</v>
      </c>
      <c r="E90">
        <v>82</v>
      </c>
      <c r="F90">
        <v>43</v>
      </c>
      <c r="G90">
        <v>93</v>
      </c>
      <c r="H90">
        <f t="shared" si="5"/>
        <v>206</v>
      </c>
      <c r="I90">
        <f t="shared" si="5"/>
        <v>274</v>
      </c>
      <c r="J90">
        <f t="shared" si="5"/>
        <v>616</v>
      </c>
      <c r="K90" t="str" cm="1">
        <f t="array" ref="K90">_xlfn.IFS(H90&gt;=$U$1,"kostka",I90&gt;=$U$1*$R$3,"orzech",J90&gt;=$U$1*$R$4,"miał",1=1,"NIC")</f>
        <v>kostka</v>
      </c>
      <c r="L90">
        <f t="shared" si="7"/>
        <v>6</v>
      </c>
      <c r="M90">
        <f t="shared" si="8"/>
        <v>274</v>
      </c>
      <c r="N90">
        <f t="shared" si="9"/>
        <v>616</v>
      </c>
    </row>
    <row r="91" spans="1:14" x14ac:dyDescent="0.25">
      <c r="A91" s="1">
        <v>42016</v>
      </c>
      <c r="B91">
        <f t="shared" si="6"/>
        <v>6</v>
      </c>
      <c r="C91">
        <f t="shared" si="6"/>
        <v>274</v>
      </c>
      <c r="D91">
        <f t="shared" si="6"/>
        <v>616</v>
      </c>
      <c r="E91">
        <v>23</v>
      </c>
      <c r="F91">
        <v>40</v>
      </c>
      <c r="G91">
        <v>83</v>
      </c>
      <c r="H91">
        <f t="shared" si="5"/>
        <v>29</v>
      </c>
      <c r="I91">
        <f t="shared" si="5"/>
        <v>314</v>
      </c>
      <c r="J91">
        <f t="shared" si="5"/>
        <v>699</v>
      </c>
      <c r="K91" t="str" cm="1">
        <f t="array" ref="K91">_xlfn.IFS(H91&gt;=$U$1,"kostka",I91&gt;=$U$1*$R$3,"orzech",J91&gt;=$U$1*$R$4,"miał",1=1,"NIC")</f>
        <v>orzech</v>
      </c>
      <c r="L91">
        <f t="shared" si="7"/>
        <v>29</v>
      </c>
      <c r="M91">
        <f t="shared" si="8"/>
        <v>54</v>
      </c>
      <c r="N91">
        <f t="shared" si="9"/>
        <v>699</v>
      </c>
    </row>
    <row r="92" spans="1:14" x14ac:dyDescent="0.25">
      <c r="A92" s="1">
        <v>42017</v>
      </c>
      <c r="B92">
        <f t="shared" si="6"/>
        <v>29</v>
      </c>
      <c r="C92">
        <f t="shared" si="6"/>
        <v>54</v>
      </c>
      <c r="D92">
        <f t="shared" si="6"/>
        <v>699</v>
      </c>
      <c r="E92">
        <v>118</v>
      </c>
      <c r="F92">
        <v>165</v>
      </c>
      <c r="G92">
        <v>56</v>
      </c>
      <c r="H92">
        <f t="shared" si="5"/>
        <v>147</v>
      </c>
      <c r="I92">
        <f t="shared" si="5"/>
        <v>219</v>
      </c>
      <c r="J92">
        <f t="shared" si="5"/>
        <v>755</v>
      </c>
      <c r="K92" t="str" cm="1">
        <f t="array" ref="K92">_xlfn.IFS(H92&gt;=$U$1,"kostka",I92&gt;=$U$1*$R$3,"orzech",J92&gt;=$U$1*$R$4,"miał",1=1,"NIC")</f>
        <v>miał</v>
      </c>
      <c r="L92">
        <f t="shared" si="7"/>
        <v>147</v>
      </c>
      <c r="M92">
        <f t="shared" si="8"/>
        <v>219</v>
      </c>
      <c r="N92">
        <f t="shared" si="9"/>
        <v>435</v>
      </c>
    </row>
    <row r="93" spans="1:14" x14ac:dyDescent="0.25">
      <c r="A93" s="1">
        <v>42018</v>
      </c>
      <c r="B93">
        <f t="shared" si="6"/>
        <v>147</v>
      </c>
      <c r="C93">
        <f t="shared" si="6"/>
        <v>219</v>
      </c>
      <c r="D93">
        <f t="shared" si="6"/>
        <v>435</v>
      </c>
      <c r="E93">
        <v>59</v>
      </c>
      <c r="F93">
        <v>35</v>
      </c>
      <c r="G93">
        <v>17</v>
      </c>
      <c r="H93">
        <f t="shared" si="5"/>
        <v>206</v>
      </c>
      <c r="I93">
        <f t="shared" si="5"/>
        <v>254</v>
      </c>
      <c r="J93">
        <f t="shared" si="5"/>
        <v>452</v>
      </c>
      <c r="K93" t="str" cm="1">
        <f t="array" ref="K93">_xlfn.IFS(H93&gt;=$U$1,"kostka",I93&gt;=$U$1*$R$3,"orzech",J93&gt;=$U$1*$R$4,"miał",1=1,"NIC")</f>
        <v>kostka</v>
      </c>
      <c r="L93">
        <f t="shared" si="7"/>
        <v>6</v>
      </c>
      <c r="M93">
        <f t="shared" si="8"/>
        <v>254</v>
      </c>
      <c r="N93">
        <f t="shared" si="9"/>
        <v>452</v>
      </c>
    </row>
    <row r="94" spans="1:14" x14ac:dyDescent="0.25">
      <c r="A94" s="1">
        <v>42019</v>
      </c>
      <c r="B94">
        <f t="shared" si="6"/>
        <v>6</v>
      </c>
      <c r="C94">
        <f t="shared" si="6"/>
        <v>254</v>
      </c>
      <c r="D94">
        <f t="shared" si="6"/>
        <v>452</v>
      </c>
      <c r="E94">
        <v>127</v>
      </c>
      <c r="F94">
        <v>58</v>
      </c>
      <c r="G94">
        <v>39</v>
      </c>
      <c r="H94">
        <f t="shared" si="5"/>
        <v>133</v>
      </c>
      <c r="I94">
        <f t="shared" si="5"/>
        <v>312</v>
      </c>
      <c r="J94">
        <f t="shared" si="5"/>
        <v>491</v>
      </c>
      <c r="K94" t="str" cm="1">
        <f t="array" ref="K94">_xlfn.IFS(H94&gt;=$U$1,"kostka",I94&gt;=$U$1*$R$3,"orzech",J94&gt;=$U$1*$R$4,"miał",1=1,"NIC")</f>
        <v>orzech</v>
      </c>
      <c r="L94">
        <f t="shared" si="7"/>
        <v>133</v>
      </c>
      <c r="M94">
        <f t="shared" si="8"/>
        <v>52</v>
      </c>
      <c r="N94">
        <f t="shared" si="9"/>
        <v>491</v>
      </c>
    </row>
    <row r="95" spans="1:14" x14ac:dyDescent="0.25">
      <c r="A95" s="1">
        <v>42020</v>
      </c>
      <c r="B95">
        <f t="shared" si="6"/>
        <v>133</v>
      </c>
      <c r="C95">
        <f t="shared" si="6"/>
        <v>52</v>
      </c>
      <c r="D95">
        <f t="shared" si="6"/>
        <v>491</v>
      </c>
      <c r="E95">
        <v>121</v>
      </c>
      <c r="F95">
        <v>175</v>
      </c>
      <c r="G95">
        <v>77</v>
      </c>
      <c r="H95">
        <f t="shared" si="5"/>
        <v>254</v>
      </c>
      <c r="I95">
        <f t="shared" si="5"/>
        <v>227</v>
      </c>
      <c r="J95">
        <f t="shared" si="5"/>
        <v>568</v>
      </c>
      <c r="K95" t="str" cm="1">
        <f t="array" ref="K95">_xlfn.IFS(H95&gt;=$U$1,"kostka",I95&gt;=$U$1*$R$3,"orzech",J95&gt;=$U$1*$R$4,"miał",1=1,"NIC")</f>
        <v>kostka</v>
      </c>
      <c r="L95">
        <f t="shared" si="7"/>
        <v>54</v>
      </c>
      <c r="M95">
        <f t="shared" si="8"/>
        <v>227</v>
      </c>
      <c r="N95">
        <f t="shared" si="9"/>
        <v>568</v>
      </c>
    </row>
    <row r="96" spans="1:14" x14ac:dyDescent="0.25">
      <c r="A96" s="1">
        <v>42021</v>
      </c>
      <c r="B96">
        <f t="shared" si="6"/>
        <v>54</v>
      </c>
      <c r="C96">
        <f t="shared" si="6"/>
        <v>227</v>
      </c>
      <c r="D96">
        <f t="shared" si="6"/>
        <v>568</v>
      </c>
      <c r="E96">
        <v>80</v>
      </c>
      <c r="F96">
        <v>101</v>
      </c>
      <c r="G96">
        <v>3</v>
      </c>
      <c r="H96">
        <f t="shared" si="5"/>
        <v>134</v>
      </c>
      <c r="I96">
        <f t="shared" si="5"/>
        <v>328</v>
      </c>
      <c r="J96">
        <f t="shared" si="5"/>
        <v>571</v>
      </c>
      <c r="K96" t="str" cm="1">
        <f t="array" ref="K96">_xlfn.IFS(H96&gt;=$U$1,"kostka",I96&gt;=$U$1*$R$3,"orzech",J96&gt;=$U$1*$R$4,"miał",1=1,"NIC")</f>
        <v>orzech</v>
      </c>
      <c r="L96">
        <f t="shared" si="7"/>
        <v>134</v>
      </c>
      <c r="M96">
        <f t="shared" si="8"/>
        <v>68</v>
      </c>
      <c r="N96">
        <f t="shared" si="9"/>
        <v>571</v>
      </c>
    </row>
    <row r="97" spans="1:14" x14ac:dyDescent="0.25">
      <c r="A97" s="1">
        <v>42022</v>
      </c>
      <c r="B97">
        <f t="shared" si="6"/>
        <v>134</v>
      </c>
      <c r="C97">
        <f t="shared" si="6"/>
        <v>68</v>
      </c>
      <c r="D97">
        <f t="shared" si="6"/>
        <v>571</v>
      </c>
      <c r="E97">
        <v>189</v>
      </c>
      <c r="F97">
        <v>161</v>
      </c>
      <c r="G97">
        <v>53</v>
      </c>
      <c r="H97">
        <f t="shared" si="5"/>
        <v>323</v>
      </c>
      <c r="I97">
        <f t="shared" si="5"/>
        <v>229</v>
      </c>
      <c r="J97">
        <f t="shared" si="5"/>
        <v>624</v>
      </c>
      <c r="K97" t="str" cm="1">
        <f t="array" ref="K97">_xlfn.IFS(H97&gt;=$U$1,"kostka",I97&gt;=$U$1*$R$3,"orzech",J97&gt;=$U$1*$R$4,"miał",1=1,"NIC")</f>
        <v>kostka</v>
      </c>
      <c r="L97">
        <f t="shared" si="7"/>
        <v>123</v>
      </c>
      <c r="M97">
        <f t="shared" si="8"/>
        <v>229</v>
      </c>
      <c r="N97">
        <f t="shared" si="9"/>
        <v>624</v>
      </c>
    </row>
    <row r="98" spans="1:14" x14ac:dyDescent="0.25">
      <c r="A98" s="1">
        <v>42023</v>
      </c>
      <c r="B98">
        <f t="shared" si="6"/>
        <v>123</v>
      </c>
      <c r="C98">
        <f t="shared" si="6"/>
        <v>229</v>
      </c>
      <c r="D98">
        <f t="shared" si="6"/>
        <v>624</v>
      </c>
      <c r="E98">
        <v>18</v>
      </c>
      <c r="F98">
        <v>61</v>
      </c>
      <c r="G98">
        <v>19</v>
      </c>
      <c r="H98">
        <f t="shared" si="5"/>
        <v>141</v>
      </c>
      <c r="I98">
        <f t="shared" si="5"/>
        <v>290</v>
      </c>
      <c r="J98">
        <f t="shared" si="5"/>
        <v>643</v>
      </c>
      <c r="K98" t="str" cm="1">
        <f t="array" ref="K98">_xlfn.IFS(H98&gt;=$U$1,"kostka",I98&gt;=$U$1*$R$3,"orzech",J98&gt;=$U$1*$R$4,"miał",1=1,"NIC")</f>
        <v>orzech</v>
      </c>
      <c r="L98">
        <f t="shared" si="7"/>
        <v>141</v>
      </c>
      <c r="M98">
        <f t="shared" si="8"/>
        <v>30</v>
      </c>
      <c r="N98">
        <f t="shared" si="9"/>
        <v>643</v>
      </c>
    </row>
    <row r="99" spans="1:14" x14ac:dyDescent="0.25">
      <c r="A99" s="1">
        <v>42024</v>
      </c>
      <c r="B99">
        <f t="shared" si="6"/>
        <v>141</v>
      </c>
      <c r="C99">
        <f t="shared" si="6"/>
        <v>30</v>
      </c>
      <c r="D99">
        <f t="shared" si="6"/>
        <v>643</v>
      </c>
      <c r="E99">
        <v>68</v>
      </c>
      <c r="F99">
        <v>127</v>
      </c>
      <c r="G99">
        <v>3</v>
      </c>
      <c r="H99">
        <f t="shared" si="5"/>
        <v>209</v>
      </c>
      <c r="I99">
        <f t="shared" si="5"/>
        <v>157</v>
      </c>
      <c r="J99">
        <f t="shared" si="5"/>
        <v>646</v>
      </c>
      <c r="K99" t="str" cm="1">
        <f t="array" ref="K99">_xlfn.IFS(H99&gt;=$U$1,"kostka",I99&gt;=$U$1*$R$3,"orzech",J99&gt;=$U$1*$R$4,"miał",1=1,"NIC")</f>
        <v>kostka</v>
      </c>
      <c r="L99">
        <f t="shared" si="7"/>
        <v>9</v>
      </c>
      <c r="M99">
        <f t="shared" si="8"/>
        <v>157</v>
      </c>
      <c r="N99">
        <f t="shared" si="9"/>
        <v>646</v>
      </c>
    </row>
    <row r="100" spans="1:14" x14ac:dyDescent="0.25">
      <c r="A100" s="1">
        <v>42025</v>
      </c>
      <c r="B100">
        <f t="shared" si="6"/>
        <v>9</v>
      </c>
      <c r="C100">
        <f t="shared" si="6"/>
        <v>157</v>
      </c>
      <c r="D100">
        <f t="shared" si="6"/>
        <v>646</v>
      </c>
      <c r="E100">
        <v>37</v>
      </c>
      <c r="F100">
        <v>112</v>
      </c>
      <c r="G100">
        <v>68</v>
      </c>
      <c r="H100">
        <f t="shared" si="5"/>
        <v>46</v>
      </c>
      <c r="I100">
        <f t="shared" si="5"/>
        <v>269</v>
      </c>
      <c r="J100">
        <f t="shared" si="5"/>
        <v>714</v>
      </c>
      <c r="K100" t="str" cm="1">
        <f t="array" ref="K100">_xlfn.IFS(H100&gt;=$U$1,"kostka",I100&gt;=$U$1*$R$3,"orzech",J100&gt;=$U$1*$R$4,"miał",1=1,"NIC")</f>
        <v>orzech</v>
      </c>
      <c r="L100">
        <f t="shared" si="7"/>
        <v>46</v>
      </c>
      <c r="M100">
        <f t="shared" si="8"/>
        <v>9</v>
      </c>
      <c r="N100">
        <f t="shared" si="9"/>
        <v>714</v>
      </c>
    </row>
    <row r="101" spans="1:14" x14ac:dyDescent="0.25">
      <c r="A101" s="1">
        <v>42026</v>
      </c>
      <c r="B101">
        <f t="shared" si="6"/>
        <v>46</v>
      </c>
      <c r="C101">
        <f t="shared" si="6"/>
        <v>9</v>
      </c>
      <c r="D101">
        <f t="shared" si="6"/>
        <v>714</v>
      </c>
      <c r="E101">
        <v>40</v>
      </c>
      <c r="F101">
        <v>140</v>
      </c>
      <c r="G101">
        <v>15</v>
      </c>
      <c r="H101">
        <f t="shared" si="5"/>
        <v>86</v>
      </c>
      <c r="I101">
        <f t="shared" si="5"/>
        <v>149</v>
      </c>
      <c r="J101">
        <f t="shared" si="5"/>
        <v>729</v>
      </c>
      <c r="K101" t="str" cm="1">
        <f t="array" ref="K101">_xlfn.IFS(H101&gt;=$U$1,"kostka",I101&gt;=$U$1*$R$3,"orzech",J101&gt;=$U$1*$R$4,"miał",1=1,"NIC")</f>
        <v>miał</v>
      </c>
      <c r="L101">
        <f t="shared" si="7"/>
        <v>86</v>
      </c>
      <c r="M101">
        <f t="shared" si="8"/>
        <v>149</v>
      </c>
      <c r="N101">
        <f t="shared" si="9"/>
        <v>409</v>
      </c>
    </row>
    <row r="102" spans="1:14" x14ac:dyDescent="0.25">
      <c r="A102" s="1">
        <v>42027</v>
      </c>
      <c r="B102">
        <f t="shared" si="6"/>
        <v>86</v>
      </c>
      <c r="C102">
        <f t="shared" si="6"/>
        <v>149</v>
      </c>
      <c r="D102">
        <f t="shared" si="6"/>
        <v>409</v>
      </c>
      <c r="E102">
        <v>189</v>
      </c>
      <c r="F102">
        <v>87</v>
      </c>
      <c r="G102">
        <v>64</v>
      </c>
      <c r="H102">
        <f t="shared" si="5"/>
        <v>275</v>
      </c>
      <c r="I102">
        <f t="shared" si="5"/>
        <v>236</v>
      </c>
      <c r="J102">
        <f t="shared" si="5"/>
        <v>473</v>
      </c>
      <c r="K102" t="str" cm="1">
        <f t="array" ref="K102">_xlfn.IFS(H102&gt;=$U$1,"kostka",I102&gt;=$U$1*$R$3,"orzech",J102&gt;=$U$1*$R$4,"miał",1=1,"NIC")</f>
        <v>kostka</v>
      </c>
      <c r="L102">
        <f t="shared" si="7"/>
        <v>75</v>
      </c>
      <c r="M102">
        <f t="shared" si="8"/>
        <v>236</v>
      </c>
      <c r="N102">
        <f t="shared" si="9"/>
        <v>473</v>
      </c>
    </row>
    <row r="103" spans="1:14" x14ac:dyDescent="0.25">
      <c r="A103" s="1">
        <v>42028</v>
      </c>
      <c r="B103">
        <f t="shared" si="6"/>
        <v>75</v>
      </c>
      <c r="C103">
        <f t="shared" si="6"/>
        <v>236</v>
      </c>
      <c r="D103">
        <f t="shared" si="6"/>
        <v>473</v>
      </c>
      <c r="E103">
        <v>145</v>
      </c>
      <c r="F103">
        <v>18</v>
      </c>
      <c r="G103">
        <v>1</v>
      </c>
      <c r="H103">
        <f t="shared" si="5"/>
        <v>220</v>
      </c>
      <c r="I103">
        <f t="shared" si="5"/>
        <v>254</v>
      </c>
      <c r="J103">
        <f t="shared" si="5"/>
        <v>474</v>
      </c>
      <c r="K103" t="str" cm="1">
        <f t="array" ref="K103">_xlfn.IFS(H103&gt;=$U$1,"kostka",I103&gt;=$U$1*$R$3,"orzech",J103&gt;=$U$1*$R$4,"miał",1=1,"NIC")</f>
        <v>kostka</v>
      </c>
      <c r="L103">
        <f t="shared" si="7"/>
        <v>20</v>
      </c>
      <c r="M103">
        <f t="shared" si="8"/>
        <v>254</v>
      </c>
      <c r="N103">
        <f t="shared" si="9"/>
        <v>474</v>
      </c>
    </row>
    <row r="104" spans="1:14" x14ac:dyDescent="0.25">
      <c r="A104" s="1">
        <v>42029</v>
      </c>
      <c r="B104">
        <f t="shared" si="6"/>
        <v>20</v>
      </c>
      <c r="C104">
        <f t="shared" si="6"/>
        <v>254</v>
      </c>
      <c r="D104">
        <f t="shared" si="6"/>
        <v>474</v>
      </c>
      <c r="E104">
        <v>148</v>
      </c>
      <c r="F104">
        <v>27</v>
      </c>
      <c r="G104">
        <v>13</v>
      </c>
      <c r="H104">
        <f t="shared" si="5"/>
        <v>168</v>
      </c>
      <c r="I104">
        <f t="shared" si="5"/>
        <v>281</v>
      </c>
      <c r="J104">
        <f t="shared" si="5"/>
        <v>487</v>
      </c>
      <c r="K104" t="str" cm="1">
        <f t="array" ref="K104">_xlfn.IFS(H104&gt;=$U$1,"kostka",I104&gt;=$U$1*$R$3,"orzech",J104&gt;=$U$1*$R$4,"miał",1=1,"NIC")</f>
        <v>orzech</v>
      </c>
      <c r="L104">
        <f t="shared" si="7"/>
        <v>168</v>
      </c>
      <c r="M104">
        <f t="shared" si="8"/>
        <v>21</v>
      </c>
      <c r="N104">
        <f t="shared" si="9"/>
        <v>487</v>
      </c>
    </row>
    <row r="105" spans="1:14" x14ac:dyDescent="0.25">
      <c r="A105" s="1">
        <v>42030</v>
      </c>
      <c r="B105">
        <f t="shared" si="6"/>
        <v>168</v>
      </c>
      <c r="C105">
        <f t="shared" si="6"/>
        <v>21</v>
      </c>
      <c r="D105">
        <f t="shared" si="6"/>
        <v>487</v>
      </c>
      <c r="E105">
        <v>127</v>
      </c>
      <c r="F105">
        <v>161</v>
      </c>
      <c r="G105">
        <v>31</v>
      </c>
      <c r="H105">
        <f t="shared" si="5"/>
        <v>295</v>
      </c>
      <c r="I105">
        <f t="shared" si="5"/>
        <v>182</v>
      </c>
      <c r="J105">
        <f t="shared" si="5"/>
        <v>518</v>
      </c>
      <c r="K105" t="str" cm="1">
        <f t="array" ref="K105">_xlfn.IFS(H105&gt;=$U$1,"kostka",I105&gt;=$U$1*$R$3,"orzech",J105&gt;=$U$1*$R$4,"miał",1=1,"NIC")</f>
        <v>kostka</v>
      </c>
      <c r="L105">
        <f t="shared" si="7"/>
        <v>95</v>
      </c>
      <c r="M105">
        <f t="shared" si="8"/>
        <v>182</v>
      </c>
      <c r="N105">
        <f t="shared" si="9"/>
        <v>518</v>
      </c>
    </row>
    <row r="106" spans="1:14" x14ac:dyDescent="0.25">
      <c r="A106" s="1">
        <v>42031</v>
      </c>
      <c r="B106">
        <f t="shared" si="6"/>
        <v>95</v>
      </c>
      <c r="C106">
        <f t="shared" si="6"/>
        <v>182</v>
      </c>
      <c r="D106">
        <f t="shared" si="6"/>
        <v>518</v>
      </c>
      <c r="E106">
        <v>131</v>
      </c>
      <c r="F106">
        <v>1</v>
      </c>
      <c r="G106">
        <v>98</v>
      </c>
      <c r="H106">
        <f t="shared" si="5"/>
        <v>226</v>
      </c>
      <c r="I106">
        <f t="shared" si="5"/>
        <v>183</v>
      </c>
      <c r="J106">
        <f t="shared" si="5"/>
        <v>616</v>
      </c>
      <c r="K106" t="str" cm="1">
        <f t="array" ref="K106">_xlfn.IFS(H106&gt;=$U$1,"kostka",I106&gt;=$U$1*$R$3,"orzech",J106&gt;=$U$1*$R$4,"miał",1=1,"NIC")</f>
        <v>kostka</v>
      </c>
      <c r="L106">
        <f t="shared" si="7"/>
        <v>26</v>
      </c>
      <c r="M106">
        <f t="shared" si="8"/>
        <v>183</v>
      </c>
      <c r="N106">
        <f t="shared" si="9"/>
        <v>616</v>
      </c>
    </row>
    <row r="107" spans="1:14" x14ac:dyDescent="0.25">
      <c r="A107" s="1">
        <v>42032</v>
      </c>
      <c r="B107">
        <f t="shared" si="6"/>
        <v>26</v>
      </c>
      <c r="C107">
        <f t="shared" si="6"/>
        <v>183</v>
      </c>
      <c r="D107">
        <f t="shared" si="6"/>
        <v>616</v>
      </c>
      <c r="E107">
        <v>142</v>
      </c>
      <c r="F107">
        <v>131</v>
      </c>
      <c r="G107">
        <v>62</v>
      </c>
      <c r="H107">
        <f t="shared" si="5"/>
        <v>168</v>
      </c>
      <c r="I107">
        <f t="shared" si="5"/>
        <v>314</v>
      </c>
      <c r="J107">
        <f t="shared" si="5"/>
        <v>678</v>
      </c>
      <c r="K107" t="str" cm="1">
        <f t="array" ref="K107">_xlfn.IFS(H107&gt;=$U$1,"kostka",I107&gt;=$U$1*$R$3,"orzech",J107&gt;=$U$1*$R$4,"miał",1=1,"NIC")</f>
        <v>orzech</v>
      </c>
      <c r="L107">
        <f t="shared" si="7"/>
        <v>168</v>
      </c>
      <c r="M107">
        <f t="shared" si="8"/>
        <v>54</v>
      </c>
      <c r="N107">
        <f t="shared" si="9"/>
        <v>678</v>
      </c>
    </row>
    <row r="108" spans="1:14" x14ac:dyDescent="0.25">
      <c r="A108" s="1">
        <v>42033</v>
      </c>
      <c r="B108">
        <f t="shared" si="6"/>
        <v>168</v>
      </c>
      <c r="C108">
        <f t="shared" si="6"/>
        <v>54</v>
      </c>
      <c r="D108">
        <f t="shared" si="6"/>
        <v>678</v>
      </c>
      <c r="E108">
        <v>121</v>
      </c>
      <c r="F108">
        <v>150</v>
      </c>
      <c r="G108">
        <v>25</v>
      </c>
      <c r="H108">
        <f t="shared" si="5"/>
        <v>289</v>
      </c>
      <c r="I108">
        <f t="shared" si="5"/>
        <v>204</v>
      </c>
      <c r="J108">
        <f t="shared" si="5"/>
        <v>703</v>
      </c>
      <c r="K108" t="str" cm="1">
        <f t="array" ref="K108">_xlfn.IFS(H108&gt;=$U$1,"kostka",I108&gt;=$U$1*$R$3,"orzech",J108&gt;=$U$1*$R$4,"miał",1=1,"NIC")</f>
        <v>kostka</v>
      </c>
      <c r="L108">
        <f t="shared" si="7"/>
        <v>89</v>
      </c>
      <c r="M108">
        <f t="shared" si="8"/>
        <v>204</v>
      </c>
      <c r="N108">
        <f t="shared" si="9"/>
        <v>703</v>
      </c>
    </row>
    <row r="109" spans="1:14" x14ac:dyDescent="0.25">
      <c r="A109" s="1">
        <v>42034</v>
      </c>
      <c r="B109">
        <f t="shared" si="6"/>
        <v>89</v>
      </c>
      <c r="C109">
        <f t="shared" si="6"/>
        <v>204</v>
      </c>
      <c r="D109">
        <f t="shared" si="6"/>
        <v>703</v>
      </c>
      <c r="E109">
        <v>33</v>
      </c>
      <c r="F109">
        <v>113</v>
      </c>
      <c r="G109">
        <v>62</v>
      </c>
      <c r="H109">
        <f t="shared" si="5"/>
        <v>122</v>
      </c>
      <c r="I109">
        <f t="shared" si="5"/>
        <v>317</v>
      </c>
      <c r="J109">
        <f t="shared" si="5"/>
        <v>765</v>
      </c>
      <c r="K109" t="str" cm="1">
        <f t="array" ref="K109">_xlfn.IFS(H109&gt;=$U$1,"kostka",I109&gt;=$U$1*$R$3,"orzech",J109&gt;=$U$1*$R$4,"miał",1=1,"NIC")</f>
        <v>orzech</v>
      </c>
      <c r="L109">
        <f t="shared" si="7"/>
        <v>122</v>
      </c>
      <c r="M109">
        <f t="shared" si="8"/>
        <v>57</v>
      </c>
      <c r="N109">
        <f t="shared" si="9"/>
        <v>765</v>
      </c>
    </row>
    <row r="110" spans="1:14" x14ac:dyDescent="0.25">
      <c r="A110" s="1">
        <v>42035</v>
      </c>
      <c r="B110">
        <f t="shared" si="6"/>
        <v>122</v>
      </c>
      <c r="C110">
        <f t="shared" si="6"/>
        <v>57</v>
      </c>
      <c r="D110">
        <f t="shared" si="6"/>
        <v>765</v>
      </c>
      <c r="E110">
        <v>142</v>
      </c>
      <c r="F110">
        <v>44</v>
      </c>
      <c r="G110">
        <v>92</v>
      </c>
      <c r="H110">
        <f t="shared" si="5"/>
        <v>264</v>
      </c>
      <c r="I110">
        <f t="shared" si="5"/>
        <v>101</v>
      </c>
      <c r="J110">
        <f t="shared" si="5"/>
        <v>857</v>
      </c>
      <c r="K110" t="str" cm="1">
        <f t="array" ref="K110">_xlfn.IFS(H110&gt;=$U$1,"kostka",I110&gt;=$U$1*$R$3,"orzech",J110&gt;=$U$1*$R$4,"miał",1=1,"NIC")</f>
        <v>kostka</v>
      </c>
      <c r="L110">
        <f t="shared" si="7"/>
        <v>64</v>
      </c>
      <c r="M110">
        <f t="shared" si="8"/>
        <v>101</v>
      </c>
      <c r="N110">
        <f t="shared" si="9"/>
        <v>857</v>
      </c>
    </row>
    <row r="111" spans="1:14" x14ac:dyDescent="0.25">
      <c r="A111" s="1">
        <v>42036</v>
      </c>
      <c r="B111">
        <f t="shared" si="6"/>
        <v>64</v>
      </c>
      <c r="C111">
        <f t="shared" si="6"/>
        <v>101</v>
      </c>
      <c r="D111">
        <f t="shared" si="6"/>
        <v>857</v>
      </c>
      <c r="E111">
        <v>119</v>
      </c>
      <c r="F111">
        <v>167</v>
      </c>
      <c r="G111">
        <v>64</v>
      </c>
      <c r="H111">
        <f t="shared" si="5"/>
        <v>183</v>
      </c>
      <c r="I111">
        <f t="shared" si="5"/>
        <v>268</v>
      </c>
      <c r="J111">
        <f t="shared" si="5"/>
        <v>921</v>
      </c>
      <c r="K111" t="str" cm="1">
        <f t="array" ref="K111">_xlfn.IFS(H111&gt;=$U$1,"kostka",I111&gt;=$U$1*$R$3,"orzech",J111&gt;=$U$1*$R$4,"miał",1=1,"NIC")</f>
        <v>orzech</v>
      </c>
      <c r="L111">
        <f t="shared" si="7"/>
        <v>183</v>
      </c>
      <c r="M111">
        <f t="shared" si="8"/>
        <v>8</v>
      </c>
      <c r="N111">
        <f t="shared" si="9"/>
        <v>921</v>
      </c>
    </row>
    <row r="112" spans="1:14" x14ac:dyDescent="0.25">
      <c r="A112" s="1">
        <v>42037</v>
      </c>
      <c r="B112">
        <f t="shared" si="6"/>
        <v>183</v>
      </c>
      <c r="C112">
        <f t="shared" si="6"/>
        <v>8</v>
      </c>
      <c r="D112">
        <f t="shared" si="6"/>
        <v>921</v>
      </c>
      <c r="E112">
        <v>54</v>
      </c>
      <c r="F112">
        <v>109</v>
      </c>
      <c r="G112">
        <v>65</v>
      </c>
      <c r="H112">
        <f t="shared" si="5"/>
        <v>237</v>
      </c>
      <c r="I112">
        <f t="shared" si="5"/>
        <v>117</v>
      </c>
      <c r="J112">
        <f t="shared" si="5"/>
        <v>986</v>
      </c>
      <c r="K112" t="str" cm="1">
        <f t="array" ref="K112">_xlfn.IFS(H112&gt;=$U$1,"kostka",I112&gt;=$U$1*$R$3,"orzech",J112&gt;=$U$1*$R$4,"miał",1=1,"NIC")</f>
        <v>kostka</v>
      </c>
      <c r="L112">
        <f t="shared" si="7"/>
        <v>37</v>
      </c>
      <c r="M112">
        <f t="shared" si="8"/>
        <v>117</v>
      </c>
      <c r="N112">
        <f t="shared" si="9"/>
        <v>986</v>
      </c>
    </row>
    <row r="113" spans="1:14" x14ac:dyDescent="0.25">
      <c r="A113" s="1">
        <v>42038</v>
      </c>
      <c r="B113">
        <f t="shared" si="6"/>
        <v>37</v>
      </c>
      <c r="C113">
        <f t="shared" si="6"/>
        <v>117</v>
      </c>
      <c r="D113">
        <f t="shared" si="6"/>
        <v>986</v>
      </c>
      <c r="E113">
        <v>53</v>
      </c>
      <c r="F113">
        <v>94</v>
      </c>
      <c r="G113">
        <v>43</v>
      </c>
      <c r="H113">
        <f t="shared" si="5"/>
        <v>90</v>
      </c>
      <c r="I113">
        <f t="shared" si="5"/>
        <v>211</v>
      </c>
      <c r="J113">
        <f t="shared" si="5"/>
        <v>1029</v>
      </c>
      <c r="K113" t="str" cm="1">
        <f t="array" ref="K113">_xlfn.IFS(H113&gt;=$U$1,"kostka",I113&gt;=$U$1*$R$3,"orzech",J113&gt;=$U$1*$R$4,"miał",1=1,"NIC")</f>
        <v>miał</v>
      </c>
      <c r="L113">
        <f t="shared" si="7"/>
        <v>90</v>
      </c>
      <c r="M113">
        <f t="shared" si="8"/>
        <v>211</v>
      </c>
      <c r="N113">
        <f t="shared" si="9"/>
        <v>709</v>
      </c>
    </row>
    <row r="114" spans="1:14" x14ac:dyDescent="0.25">
      <c r="A114" s="1">
        <v>42039</v>
      </c>
      <c r="B114">
        <f t="shared" si="6"/>
        <v>90</v>
      </c>
      <c r="C114">
        <f t="shared" si="6"/>
        <v>211</v>
      </c>
      <c r="D114">
        <f t="shared" si="6"/>
        <v>709</v>
      </c>
      <c r="E114">
        <v>165</v>
      </c>
      <c r="F114">
        <v>101</v>
      </c>
      <c r="G114">
        <v>8</v>
      </c>
      <c r="H114">
        <f t="shared" si="5"/>
        <v>255</v>
      </c>
      <c r="I114">
        <f t="shared" si="5"/>
        <v>312</v>
      </c>
      <c r="J114">
        <f t="shared" si="5"/>
        <v>717</v>
      </c>
      <c r="K114" t="str" cm="1">
        <f t="array" ref="K114">_xlfn.IFS(H114&gt;=$U$1,"kostka",I114&gt;=$U$1*$R$3,"orzech",J114&gt;=$U$1*$R$4,"miał",1=1,"NIC")</f>
        <v>kostka</v>
      </c>
      <c r="L114">
        <f t="shared" si="7"/>
        <v>55</v>
      </c>
      <c r="M114">
        <f t="shared" si="8"/>
        <v>312</v>
      </c>
      <c r="N114">
        <f t="shared" si="9"/>
        <v>717</v>
      </c>
    </row>
    <row r="115" spans="1:14" x14ac:dyDescent="0.25">
      <c r="A115" s="1">
        <v>42040</v>
      </c>
      <c r="B115">
        <f t="shared" si="6"/>
        <v>55</v>
      </c>
      <c r="C115">
        <f t="shared" si="6"/>
        <v>312</v>
      </c>
      <c r="D115">
        <f t="shared" si="6"/>
        <v>717</v>
      </c>
      <c r="E115">
        <v>159</v>
      </c>
      <c r="F115">
        <v>68</v>
      </c>
      <c r="G115">
        <v>96</v>
      </c>
      <c r="H115">
        <f t="shared" si="5"/>
        <v>214</v>
      </c>
      <c r="I115">
        <f t="shared" si="5"/>
        <v>380</v>
      </c>
      <c r="J115">
        <f t="shared" si="5"/>
        <v>813</v>
      </c>
      <c r="K115" t="str" cm="1">
        <f t="array" ref="K115">_xlfn.IFS(H115&gt;=$U$1,"kostka",I115&gt;=$U$1*$R$3,"orzech",J115&gt;=$U$1*$R$4,"miał",1=1,"NIC")</f>
        <v>kostka</v>
      </c>
      <c r="L115">
        <f t="shared" si="7"/>
        <v>14</v>
      </c>
      <c r="M115">
        <f t="shared" si="8"/>
        <v>380</v>
      </c>
      <c r="N115">
        <f t="shared" si="9"/>
        <v>813</v>
      </c>
    </row>
    <row r="116" spans="1:14" x14ac:dyDescent="0.25">
      <c r="A116" s="1">
        <v>42041</v>
      </c>
      <c r="B116">
        <f t="shared" si="6"/>
        <v>14</v>
      </c>
      <c r="C116">
        <f t="shared" si="6"/>
        <v>380</v>
      </c>
      <c r="D116">
        <f t="shared" si="6"/>
        <v>813</v>
      </c>
      <c r="E116">
        <v>79</v>
      </c>
      <c r="F116">
        <v>119</v>
      </c>
      <c r="G116">
        <v>35</v>
      </c>
      <c r="H116">
        <f t="shared" si="5"/>
        <v>93</v>
      </c>
      <c r="I116">
        <f t="shared" si="5"/>
        <v>499</v>
      </c>
      <c r="J116">
        <f t="shared" si="5"/>
        <v>848</v>
      </c>
      <c r="K116" t="str" cm="1">
        <f t="array" ref="K116">_xlfn.IFS(H116&gt;=$U$1,"kostka",I116&gt;=$U$1*$R$3,"orzech",J116&gt;=$U$1*$R$4,"miał",1=1,"NIC")</f>
        <v>orzech</v>
      </c>
      <c r="L116">
        <f t="shared" si="7"/>
        <v>93</v>
      </c>
      <c r="M116">
        <f t="shared" si="8"/>
        <v>239</v>
      </c>
      <c r="N116">
        <f t="shared" si="9"/>
        <v>848</v>
      </c>
    </row>
    <row r="117" spans="1:14" x14ac:dyDescent="0.25">
      <c r="A117" s="1">
        <v>42042</v>
      </c>
      <c r="B117">
        <f t="shared" si="6"/>
        <v>93</v>
      </c>
      <c r="C117">
        <f t="shared" si="6"/>
        <v>239</v>
      </c>
      <c r="D117">
        <f t="shared" si="6"/>
        <v>848</v>
      </c>
      <c r="E117">
        <v>128</v>
      </c>
      <c r="F117">
        <v>148</v>
      </c>
      <c r="G117">
        <v>77</v>
      </c>
      <c r="H117">
        <f t="shared" si="5"/>
        <v>221</v>
      </c>
      <c r="I117">
        <f t="shared" si="5"/>
        <v>387</v>
      </c>
      <c r="J117">
        <f t="shared" si="5"/>
        <v>925</v>
      </c>
      <c r="K117" t="str" cm="1">
        <f t="array" ref="K117">_xlfn.IFS(H117&gt;=$U$1,"kostka",I117&gt;=$U$1*$R$3,"orzech",J117&gt;=$U$1*$R$4,"miał",1=1,"NIC")</f>
        <v>kostka</v>
      </c>
      <c r="L117">
        <f t="shared" si="7"/>
        <v>21</v>
      </c>
      <c r="M117">
        <f t="shared" si="8"/>
        <v>387</v>
      </c>
      <c r="N117">
        <f t="shared" si="9"/>
        <v>925</v>
      </c>
    </row>
    <row r="118" spans="1:14" x14ac:dyDescent="0.25">
      <c r="A118" s="1">
        <v>42043</v>
      </c>
      <c r="B118">
        <f t="shared" si="6"/>
        <v>21</v>
      </c>
      <c r="C118">
        <f t="shared" si="6"/>
        <v>387</v>
      </c>
      <c r="D118">
        <f t="shared" si="6"/>
        <v>925</v>
      </c>
      <c r="E118">
        <v>195</v>
      </c>
      <c r="F118">
        <v>39</v>
      </c>
      <c r="G118">
        <v>77</v>
      </c>
      <c r="H118">
        <f t="shared" si="5"/>
        <v>216</v>
      </c>
      <c r="I118">
        <f t="shared" si="5"/>
        <v>426</v>
      </c>
      <c r="J118">
        <f t="shared" si="5"/>
        <v>1002</v>
      </c>
      <c r="K118" t="str" cm="1">
        <f t="array" ref="K118">_xlfn.IFS(H118&gt;=$U$1,"kostka",I118&gt;=$U$1*$R$3,"orzech",J118&gt;=$U$1*$R$4,"miał",1=1,"NIC")</f>
        <v>kostka</v>
      </c>
      <c r="L118">
        <f t="shared" si="7"/>
        <v>16</v>
      </c>
      <c r="M118">
        <f t="shared" si="8"/>
        <v>426</v>
      </c>
      <c r="N118">
        <f t="shared" si="9"/>
        <v>1002</v>
      </c>
    </row>
    <row r="119" spans="1:14" x14ac:dyDescent="0.25">
      <c r="A119" s="1">
        <v>42044</v>
      </c>
      <c r="B119">
        <f t="shared" si="6"/>
        <v>16</v>
      </c>
      <c r="C119">
        <f t="shared" si="6"/>
        <v>426</v>
      </c>
      <c r="D119">
        <f t="shared" si="6"/>
        <v>1002</v>
      </c>
      <c r="E119">
        <v>87</v>
      </c>
      <c r="F119">
        <v>8</v>
      </c>
      <c r="G119">
        <v>17</v>
      </c>
      <c r="H119">
        <f t="shared" si="5"/>
        <v>103</v>
      </c>
      <c r="I119">
        <f t="shared" si="5"/>
        <v>434</v>
      </c>
      <c r="J119">
        <f t="shared" si="5"/>
        <v>1019</v>
      </c>
      <c r="K119" t="str" cm="1">
        <f t="array" ref="K119">_xlfn.IFS(H119&gt;=$U$1,"kostka",I119&gt;=$U$1*$R$3,"orzech",J119&gt;=$U$1*$R$4,"miał",1=1,"NIC")</f>
        <v>orzech</v>
      </c>
      <c r="L119">
        <f t="shared" si="7"/>
        <v>103</v>
      </c>
      <c r="M119">
        <f t="shared" si="8"/>
        <v>174</v>
      </c>
      <c r="N119">
        <f t="shared" si="9"/>
        <v>1019</v>
      </c>
    </row>
    <row r="120" spans="1:14" x14ac:dyDescent="0.25">
      <c r="A120" s="1">
        <v>42045</v>
      </c>
      <c r="B120">
        <f t="shared" si="6"/>
        <v>103</v>
      </c>
      <c r="C120">
        <f t="shared" si="6"/>
        <v>174</v>
      </c>
      <c r="D120">
        <f t="shared" si="6"/>
        <v>1019</v>
      </c>
      <c r="E120">
        <v>114</v>
      </c>
      <c r="F120">
        <v>124</v>
      </c>
      <c r="G120">
        <v>94</v>
      </c>
      <c r="H120">
        <f t="shared" si="5"/>
        <v>217</v>
      </c>
      <c r="I120">
        <f t="shared" si="5"/>
        <v>298</v>
      </c>
      <c r="J120">
        <f t="shared" si="5"/>
        <v>1113</v>
      </c>
      <c r="K120" t="str" cm="1">
        <f t="array" ref="K120">_xlfn.IFS(H120&gt;=$U$1,"kostka",I120&gt;=$U$1*$R$3,"orzech",J120&gt;=$U$1*$R$4,"miał",1=1,"NIC")</f>
        <v>kostka</v>
      </c>
      <c r="L120">
        <f t="shared" si="7"/>
        <v>17</v>
      </c>
      <c r="M120">
        <f t="shared" si="8"/>
        <v>298</v>
      </c>
      <c r="N120">
        <f t="shared" si="9"/>
        <v>1113</v>
      </c>
    </row>
    <row r="121" spans="1:14" x14ac:dyDescent="0.25">
      <c r="A121" s="1">
        <v>42046</v>
      </c>
      <c r="B121">
        <f t="shared" si="6"/>
        <v>17</v>
      </c>
      <c r="C121">
        <f t="shared" si="6"/>
        <v>298</v>
      </c>
      <c r="D121">
        <f t="shared" si="6"/>
        <v>1113</v>
      </c>
      <c r="E121">
        <v>126</v>
      </c>
      <c r="F121">
        <v>122</v>
      </c>
      <c r="G121">
        <v>39</v>
      </c>
      <c r="H121">
        <f t="shared" si="5"/>
        <v>143</v>
      </c>
      <c r="I121">
        <f t="shared" si="5"/>
        <v>420</v>
      </c>
      <c r="J121">
        <f t="shared" si="5"/>
        <v>1152</v>
      </c>
      <c r="K121" t="str" cm="1">
        <f t="array" ref="K121">_xlfn.IFS(H121&gt;=$U$1,"kostka",I121&gt;=$U$1*$R$3,"orzech",J121&gt;=$U$1*$R$4,"miał",1=1,"NIC")</f>
        <v>orzech</v>
      </c>
      <c r="L121">
        <f t="shared" si="7"/>
        <v>143</v>
      </c>
      <c r="M121">
        <f t="shared" si="8"/>
        <v>160</v>
      </c>
      <c r="N121">
        <f t="shared" si="9"/>
        <v>1152</v>
      </c>
    </row>
    <row r="122" spans="1:14" x14ac:dyDescent="0.25">
      <c r="A122" s="1">
        <v>42047</v>
      </c>
      <c r="B122">
        <f t="shared" si="6"/>
        <v>143</v>
      </c>
      <c r="C122">
        <f t="shared" si="6"/>
        <v>160</v>
      </c>
      <c r="D122">
        <f t="shared" si="6"/>
        <v>1152</v>
      </c>
      <c r="E122">
        <v>96</v>
      </c>
      <c r="F122">
        <v>113</v>
      </c>
      <c r="G122">
        <v>28</v>
      </c>
      <c r="H122">
        <f t="shared" si="5"/>
        <v>239</v>
      </c>
      <c r="I122">
        <f t="shared" si="5"/>
        <v>273</v>
      </c>
      <c r="J122">
        <f t="shared" si="5"/>
        <v>1180</v>
      </c>
      <c r="K122" t="str" cm="1">
        <f t="array" ref="K122">_xlfn.IFS(H122&gt;=$U$1,"kostka",I122&gt;=$U$1*$R$3,"orzech",J122&gt;=$U$1*$R$4,"miał",1=1,"NIC")</f>
        <v>kostka</v>
      </c>
      <c r="L122">
        <f t="shared" si="7"/>
        <v>39</v>
      </c>
      <c r="M122">
        <f t="shared" si="8"/>
        <v>273</v>
      </c>
      <c r="N122">
        <f t="shared" si="9"/>
        <v>1180</v>
      </c>
    </row>
    <row r="123" spans="1:14" x14ac:dyDescent="0.25">
      <c r="A123" s="1">
        <v>42048</v>
      </c>
      <c r="B123">
        <f t="shared" si="6"/>
        <v>39</v>
      </c>
      <c r="C123">
        <f t="shared" si="6"/>
        <v>273</v>
      </c>
      <c r="D123">
        <f t="shared" si="6"/>
        <v>1180</v>
      </c>
      <c r="E123">
        <v>165</v>
      </c>
      <c r="F123">
        <v>4</v>
      </c>
      <c r="G123">
        <v>83</v>
      </c>
      <c r="H123">
        <f t="shared" si="5"/>
        <v>204</v>
      </c>
      <c r="I123">
        <f t="shared" si="5"/>
        <v>277</v>
      </c>
      <c r="J123">
        <f t="shared" si="5"/>
        <v>1263</v>
      </c>
      <c r="K123" t="str" cm="1">
        <f t="array" ref="K123">_xlfn.IFS(H123&gt;=$U$1,"kostka",I123&gt;=$U$1*$R$3,"orzech",J123&gt;=$U$1*$R$4,"miał",1=1,"NIC")</f>
        <v>kostka</v>
      </c>
      <c r="L123">
        <f t="shared" si="7"/>
        <v>4</v>
      </c>
      <c r="M123">
        <f t="shared" si="8"/>
        <v>277</v>
      </c>
      <c r="N123">
        <f t="shared" si="9"/>
        <v>1263</v>
      </c>
    </row>
    <row r="124" spans="1:14" x14ac:dyDescent="0.25">
      <c r="A124" s="1">
        <v>42049</v>
      </c>
      <c r="B124">
        <f t="shared" si="6"/>
        <v>4</v>
      </c>
      <c r="C124">
        <f t="shared" si="6"/>
        <v>277</v>
      </c>
      <c r="D124">
        <f t="shared" si="6"/>
        <v>1263</v>
      </c>
      <c r="E124">
        <v>1</v>
      </c>
      <c r="F124">
        <v>117</v>
      </c>
      <c r="G124">
        <v>76</v>
      </c>
      <c r="H124">
        <f t="shared" si="5"/>
        <v>5</v>
      </c>
      <c r="I124">
        <f t="shared" si="5"/>
        <v>394</v>
      </c>
      <c r="J124">
        <f t="shared" si="5"/>
        <v>1339</v>
      </c>
      <c r="K124" t="str" cm="1">
        <f t="array" ref="K124">_xlfn.IFS(H124&gt;=$U$1,"kostka",I124&gt;=$U$1*$R$3,"orzech",J124&gt;=$U$1*$R$4,"miał",1=1,"NIC")</f>
        <v>orzech</v>
      </c>
      <c r="L124">
        <f t="shared" si="7"/>
        <v>5</v>
      </c>
      <c r="M124">
        <f t="shared" si="8"/>
        <v>134</v>
      </c>
      <c r="N124">
        <f t="shared" si="9"/>
        <v>1339</v>
      </c>
    </row>
    <row r="125" spans="1:14" x14ac:dyDescent="0.25">
      <c r="A125" s="1">
        <v>42050</v>
      </c>
      <c r="B125">
        <f t="shared" si="6"/>
        <v>5</v>
      </c>
      <c r="C125">
        <f t="shared" si="6"/>
        <v>134</v>
      </c>
      <c r="D125">
        <f t="shared" si="6"/>
        <v>1339</v>
      </c>
      <c r="E125">
        <v>107</v>
      </c>
      <c r="F125">
        <v>70</v>
      </c>
      <c r="G125">
        <v>28</v>
      </c>
      <c r="H125">
        <f t="shared" si="5"/>
        <v>112</v>
      </c>
      <c r="I125">
        <f t="shared" si="5"/>
        <v>204</v>
      </c>
      <c r="J125">
        <f t="shared" si="5"/>
        <v>1367</v>
      </c>
      <c r="K125" t="str" cm="1">
        <f t="array" ref="K125">_xlfn.IFS(H125&gt;=$U$1,"kostka",I125&gt;=$U$1*$R$3,"orzech",J125&gt;=$U$1*$R$4,"miał",1=1,"NIC")</f>
        <v>miał</v>
      </c>
      <c r="L125">
        <f t="shared" si="7"/>
        <v>112</v>
      </c>
      <c r="M125">
        <f t="shared" si="8"/>
        <v>204</v>
      </c>
      <c r="N125">
        <f t="shared" si="9"/>
        <v>1047</v>
      </c>
    </row>
    <row r="126" spans="1:14" x14ac:dyDescent="0.25">
      <c r="A126" s="1">
        <v>42051</v>
      </c>
      <c r="B126">
        <f t="shared" si="6"/>
        <v>112</v>
      </c>
      <c r="C126">
        <f t="shared" si="6"/>
        <v>204</v>
      </c>
      <c r="D126">
        <f t="shared" si="6"/>
        <v>1047</v>
      </c>
      <c r="E126">
        <v>83</v>
      </c>
      <c r="F126">
        <v>81</v>
      </c>
      <c r="G126">
        <v>1</v>
      </c>
      <c r="H126">
        <f t="shared" si="5"/>
        <v>195</v>
      </c>
      <c r="I126">
        <f t="shared" si="5"/>
        <v>285</v>
      </c>
      <c r="J126">
        <f t="shared" si="5"/>
        <v>1048</v>
      </c>
      <c r="K126" t="str" cm="1">
        <f t="array" ref="K126">_xlfn.IFS(H126&gt;=$U$1,"kostka",I126&gt;=$U$1*$R$3,"orzech",J126&gt;=$U$1*$R$4,"miał",1=1,"NIC")</f>
        <v>orzech</v>
      </c>
      <c r="L126">
        <f t="shared" si="7"/>
        <v>195</v>
      </c>
      <c r="M126">
        <f t="shared" si="8"/>
        <v>25</v>
      </c>
      <c r="N126">
        <f t="shared" si="9"/>
        <v>1048</v>
      </c>
    </row>
    <row r="127" spans="1:14" x14ac:dyDescent="0.25">
      <c r="A127" s="1">
        <v>42052</v>
      </c>
      <c r="B127">
        <f t="shared" si="6"/>
        <v>195</v>
      </c>
      <c r="C127">
        <f t="shared" si="6"/>
        <v>25</v>
      </c>
      <c r="D127">
        <f t="shared" si="6"/>
        <v>1048</v>
      </c>
      <c r="E127">
        <v>43</v>
      </c>
      <c r="F127">
        <v>109</v>
      </c>
      <c r="G127">
        <v>50</v>
      </c>
      <c r="H127">
        <f t="shared" si="5"/>
        <v>238</v>
      </c>
      <c r="I127">
        <f t="shared" si="5"/>
        <v>134</v>
      </c>
      <c r="J127">
        <f t="shared" si="5"/>
        <v>1098</v>
      </c>
      <c r="K127" t="str" cm="1">
        <f t="array" ref="K127">_xlfn.IFS(H127&gt;=$U$1,"kostka",I127&gt;=$U$1*$R$3,"orzech",J127&gt;=$U$1*$R$4,"miał",1=1,"NIC")</f>
        <v>kostka</v>
      </c>
      <c r="L127">
        <f t="shared" si="7"/>
        <v>38</v>
      </c>
      <c r="M127">
        <f t="shared" si="8"/>
        <v>134</v>
      </c>
      <c r="N127">
        <f t="shared" si="9"/>
        <v>1098</v>
      </c>
    </row>
    <row r="128" spans="1:14" x14ac:dyDescent="0.25">
      <c r="A128" s="1">
        <v>42053</v>
      </c>
      <c r="B128">
        <f t="shared" si="6"/>
        <v>38</v>
      </c>
      <c r="C128">
        <f t="shared" si="6"/>
        <v>134</v>
      </c>
      <c r="D128">
        <f t="shared" si="6"/>
        <v>1098</v>
      </c>
      <c r="E128">
        <v>52</v>
      </c>
      <c r="F128">
        <v>110</v>
      </c>
      <c r="G128">
        <v>19</v>
      </c>
      <c r="H128">
        <f t="shared" si="5"/>
        <v>90</v>
      </c>
      <c r="I128">
        <f t="shared" si="5"/>
        <v>244</v>
      </c>
      <c r="J128">
        <f t="shared" si="5"/>
        <v>1117</v>
      </c>
      <c r="K128" t="str" cm="1">
        <f t="array" ref="K128">_xlfn.IFS(H128&gt;=$U$1,"kostka",I128&gt;=$U$1*$R$3,"orzech",J128&gt;=$U$1*$R$4,"miał",1=1,"NIC")</f>
        <v>miał</v>
      </c>
      <c r="L128">
        <f t="shared" si="7"/>
        <v>90</v>
      </c>
      <c r="M128">
        <f t="shared" si="8"/>
        <v>244</v>
      </c>
      <c r="N128">
        <f t="shared" si="9"/>
        <v>797</v>
      </c>
    </row>
    <row r="129" spans="1:14" x14ac:dyDescent="0.25">
      <c r="A129" s="1">
        <v>42054</v>
      </c>
      <c r="B129">
        <f t="shared" si="6"/>
        <v>90</v>
      </c>
      <c r="C129">
        <f t="shared" si="6"/>
        <v>244</v>
      </c>
      <c r="D129">
        <f t="shared" si="6"/>
        <v>797</v>
      </c>
      <c r="E129">
        <v>104</v>
      </c>
      <c r="F129">
        <v>132</v>
      </c>
      <c r="G129">
        <v>57</v>
      </c>
      <c r="H129">
        <f t="shared" si="5"/>
        <v>194</v>
      </c>
      <c r="I129">
        <f t="shared" si="5"/>
        <v>376</v>
      </c>
      <c r="J129">
        <f t="shared" si="5"/>
        <v>854</v>
      </c>
      <c r="K129" t="str" cm="1">
        <f t="array" ref="K129">_xlfn.IFS(H129&gt;=$U$1,"kostka",I129&gt;=$U$1*$R$3,"orzech",J129&gt;=$U$1*$R$4,"miał",1=1,"NIC")</f>
        <v>orzech</v>
      </c>
      <c r="L129">
        <f t="shared" si="7"/>
        <v>194</v>
      </c>
      <c r="M129">
        <f t="shared" si="8"/>
        <v>116</v>
      </c>
      <c r="N129">
        <f t="shared" si="9"/>
        <v>854</v>
      </c>
    </row>
    <row r="130" spans="1:14" x14ac:dyDescent="0.25">
      <c r="A130" s="1">
        <v>42055</v>
      </c>
      <c r="B130">
        <f t="shared" si="6"/>
        <v>194</v>
      </c>
      <c r="C130">
        <f t="shared" si="6"/>
        <v>116</v>
      </c>
      <c r="D130">
        <f t="shared" si="6"/>
        <v>854</v>
      </c>
      <c r="E130">
        <v>57</v>
      </c>
      <c r="F130">
        <v>150</v>
      </c>
      <c r="G130">
        <v>36</v>
      </c>
      <c r="H130">
        <f t="shared" si="5"/>
        <v>251</v>
      </c>
      <c r="I130">
        <f t="shared" si="5"/>
        <v>266</v>
      </c>
      <c r="J130">
        <f t="shared" si="5"/>
        <v>890</v>
      </c>
      <c r="K130" t="str" cm="1">
        <f t="array" ref="K130">_xlfn.IFS(H130&gt;=$U$1,"kostka",I130&gt;=$U$1*$R$3,"orzech",J130&gt;=$U$1*$R$4,"miał",1=1,"NIC")</f>
        <v>kostka</v>
      </c>
      <c r="L130">
        <f t="shared" si="7"/>
        <v>51</v>
      </c>
      <c r="M130">
        <f t="shared" si="8"/>
        <v>266</v>
      </c>
      <c r="N130">
        <f t="shared" si="9"/>
        <v>890</v>
      </c>
    </row>
    <row r="131" spans="1:14" x14ac:dyDescent="0.25">
      <c r="A131" s="1">
        <v>42056</v>
      </c>
      <c r="B131">
        <f t="shared" si="6"/>
        <v>51</v>
      </c>
      <c r="C131">
        <f t="shared" si="6"/>
        <v>266</v>
      </c>
      <c r="D131">
        <f t="shared" si="6"/>
        <v>890</v>
      </c>
      <c r="E131">
        <v>86</v>
      </c>
      <c r="F131">
        <v>183</v>
      </c>
      <c r="G131">
        <v>0</v>
      </c>
      <c r="H131">
        <f t="shared" ref="H131:J184" si="10">B131+E131</f>
        <v>137</v>
      </c>
      <c r="I131">
        <f t="shared" si="10"/>
        <v>449</v>
      </c>
      <c r="J131">
        <f t="shared" si="10"/>
        <v>890</v>
      </c>
      <c r="K131" t="str" cm="1">
        <f t="array" ref="K131">_xlfn.IFS(H131&gt;=$U$1,"kostka",I131&gt;=$U$1*$R$3,"orzech",J131&gt;=$U$1*$R$4,"miał",1=1,"NIC")</f>
        <v>orzech</v>
      </c>
      <c r="L131">
        <f t="shared" si="7"/>
        <v>137</v>
      </c>
      <c r="M131">
        <f t="shared" si="8"/>
        <v>189</v>
      </c>
      <c r="N131">
        <f t="shared" si="9"/>
        <v>890</v>
      </c>
    </row>
    <row r="132" spans="1:14" x14ac:dyDescent="0.25">
      <c r="A132" s="1">
        <v>42057</v>
      </c>
      <c r="B132">
        <f t="shared" ref="B132:D184" si="11">L131</f>
        <v>137</v>
      </c>
      <c r="C132">
        <f t="shared" si="11"/>
        <v>189</v>
      </c>
      <c r="D132">
        <f t="shared" si="11"/>
        <v>890</v>
      </c>
      <c r="E132">
        <v>108</v>
      </c>
      <c r="F132">
        <v>20</v>
      </c>
      <c r="G132">
        <v>87</v>
      </c>
      <c r="H132">
        <f t="shared" si="10"/>
        <v>245</v>
      </c>
      <c r="I132">
        <f t="shared" si="10"/>
        <v>209</v>
      </c>
      <c r="J132">
        <f t="shared" si="10"/>
        <v>977</v>
      </c>
      <c r="K132" t="str" cm="1">
        <f t="array" ref="K132">_xlfn.IFS(H132&gt;=$U$1,"kostka",I132&gt;=$U$1*$R$3,"orzech",J132&gt;=$U$1*$R$4,"miał",1=1,"NIC")</f>
        <v>kostka</v>
      </c>
      <c r="L132">
        <f t="shared" ref="L132:L184" si="12">IF($K132="kostka",H132-$U$1,H132)</f>
        <v>45</v>
      </c>
      <c r="M132">
        <f t="shared" ref="M132:M184" si="13">IF($K132="orzech",I132-$U$1*$R$3,I132)</f>
        <v>209</v>
      </c>
      <c r="N132">
        <f t="shared" ref="N132:N184" si="14">IF($K132="miał",J132-$U$1*$R$4,J132)</f>
        <v>977</v>
      </c>
    </row>
    <row r="133" spans="1:14" x14ac:dyDescent="0.25">
      <c r="A133" s="1">
        <v>42058</v>
      </c>
      <c r="B133">
        <f t="shared" si="11"/>
        <v>45</v>
      </c>
      <c r="C133">
        <f t="shared" si="11"/>
        <v>209</v>
      </c>
      <c r="D133">
        <f t="shared" si="11"/>
        <v>977</v>
      </c>
      <c r="E133">
        <v>102</v>
      </c>
      <c r="F133">
        <v>142</v>
      </c>
      <c r="G133">
        <v>20</v>
      </c>
      <c r="H133">
        <f t="shared" si="10"/>
        <v>147</v>
      </c>
      <c r="I133">
        <f t="shared" si="10"/>
        <v>351</v>
      </c>
      <c r="J133">
        <f t="shared" si="10"/>
        <v>997</v>
      </c>
      <c r="K133" t="str" cm="1">
        <f t="array" ref="K133">_xlfn.IFS(H133&gt;=$U$1,"kostka",I133&gt;=$U$1*$R$3,"orzech",J133&gt;=$U$1*$R$4,"miał",1=1,"NIC")</f>
        <v>orzech</v>
      </c>
      <c r="L133">
        <f t="shared" si="12"/>
        <v>147</v>
      </c>
      <c r="M133">
        <f t="shared" si="13"/>
        <v>91</v>
      </c>
      <c r="N133">
        <f t="shared" si="14"/>
        <v>997</v>
      </c>
    </row>
    <row r="134" spans="1:14" x14ac:dyDescent="0.25">
      <c r="A134" s="1">
        <v>42059</v>
      </c>
      <c r="B134">
        <f t="shared" si="11"/>
        <v>147</v>
      </c>
      <c r="C134">
        <f t="shared" si="11"/>
        <v>91</v>
      </c>
      <c r="D134">
        <f t="shared" si="11"/>
        <v>997</v>
      </c>
      <c r="E134">
        <v>81</v>
      </c>
      <c r="F134">
        <v>133</v>
      </c>
      <c r="G134">
        <v>25</v>
      </c>
      <c r="H134">
        <f t="shared" si="10"/>
        <v>228</v>
      </c>
      <c r="I134">
        <f t="shared" si="10"/>
        <v>224</v>
      </c>
      <c r="J134">
        <f t="shared" si="10"/>
        <v>1022</v>
      </c>
      <c r="K134" t="str" cm="1">
        <f t="array" ref="K134">_xlfn.IFS(H134&gt;=$U$1,"kostka",I134&gt;=$U$1*$R$3,"orzech",J134&gt;=$U$1*$R$4,"miał",1=1,"NIC")</f>
        <v>kostka</v>
      </c>
      <c r="L134">
        <f t="shared" si="12"/>
        <v>28</v>
      </c>
      <c r="M134">
        <f t="shared" si="13"/>
        <v>224</v>
      </c>
      <c r="N134">
        <f t="shared" si="14"/>
        <v>1022</v>
      </c>
    </row>
    <row r="135" spans="1:14" x14ac:dyDescent="0.25">
      <c r="A135" s="1">
        <v>42060</v>
      </c>
      <c r="B135">
        <f t="shared" si="11"/>
        <v>28</v>
      </c>
      <c r="C135">
        <f t="shared" si="11"/>
        <v>224</v>
      </c>
      <c r="D135">
        <f t="shared" si="11"/>
        <v>1022</v>
      </c>
      <c r="E135">
        <v>59</v>
      </c>
      <c r="F135">
        <v>87</v>
      </c>
      <c r="G135">
        <v>10</v>
      </c>
      <c r="H135">
        <f t="shared" si="10"/>
        <v>87</v>
      </c>
      <c r="I135">
        <f t="shared" si="10"/>
        <v>311</v>
      </c>
      <c r="J135">
        <f t="shared" si="10"/>
        <v>1032</v>
      </c>
      <c r="K135" t="str" cm="1">
        <f t="array" ref="K135">_xlfn.IFS(H135&gt;=$U$1,"kostka",I135&gt;=$U$1*$R$3,"orzech",J135&gt;=$U$1*$R$4,"miał",1=1,"NIC")</f>
        <v>orzech</v>
      </c>
      <c r="L135">
        <f t="shared" si="12"/>
        <v>87</v>
      </c>
      <c r="M135">
        <f t="shared" si="13"/>
        <v>51</v>
      </c>
      <c r="N135">
        <f t="shared" si="14"/>
        <v>1032</v>
      </c>
    </row>
    <row r="136" spans="1:14" x14ac:dyDescent="0.25">
      <c r="A136" s="1">
        <v>42061</v>
      </c>
      <c r="B136">
        <f t="shared" si="11"/>
        <v>87</v>
      </c>
      <c r="C136">
        <f t="shared" si="11"/>
        <v>51</v>
      </c>
      <c r="D136">
        <f t="shared" si="11"/>
        <v>1032</v>
      </c>
      <c r="E136">
        <v>21</v>
      </c>
      <c r="F136">
        <v>75</v>
      </c>
      <c r="G136">
        <v>65</v>
      </c>
      <c r="H136">
        <f t="shared" si="10"/>
        <v>108</v>
      </c>
      <c r="I136">
        <f t="shared" si="10"/>
        <v>126</v>
      </c>
      <c r="J136">
        <f t="shared" si="10"/>
        <v>1097</v>
      </c>
      <c r="K136" t="str" cm="1">
        <f t="array" ref="K136">_xlfn.IFS(H136&gt;=$U$1,"kostka",I136&gt;=$U$1*$R$3,"orzech",J136&gt;=$U$1*$R$4,"miał",1=1,"NIC")</f>
        <v>miał</v>
      </c>
      <c r="L136">
        <f t="shared" si="12"/>
        <v>108</v>
      </c>
      <c r="M136">
        <f t="shared" si="13"/>
        <v>126</v>
      </c>
      <c r="N136">
        <f t="shared" si="14"/>
        <v>777</v>
      </c>
    </row>
    <row r="137" spans="1:14" x14ac:dyDescent="0.25">
      <c r="A137" s="1">
        <v>42062</v>
      </c>
      <c r="B137">
        <f t="shared" si="11"/>
        <v>108</v>
      </c>
      <c r="C137">
        <f t="shared" si="11"/>
        <v>126</v>
      </c>
      <c r="D137">
        <f t="shared" si="11"/>
        <v>777</v>
      </c>
      <c r="E137">
        <v>79</v>
      </c>
      <c r="F137">
        <v>14</v>
      </c>
      <c r="G137">
        <v>27</v>
      </c>
      <c r="H137">
        <f t="shared" si="10"/>
        <v>187</v>
      </c>
      <c r="I137">
        <f t="shared" si="10"/>
        <v>140</v>
      </c>
      <c r="J137">
        <f t="shared" si="10"/>
        <v>804</v>
      </c>
      <c r="K137" t="str" cm="1">
        <f t="array" ref="K137">_xlfn.IFS(H137&gt;=$U$1,"kostka",I137&gt;=$U$1*$R$3,"orzech",J137&gt;=$U$1*$R$4,"miał",1=1,"NIC")</f>
        <v>miał</v>
      </c>
      <c r="L137">
        <f t="shared" si="12"/>
        <v>187</v>
      </c>
      <c r="M137">
        <f t="shared" si="13"/>
        <v>140</v>
      </c>
      <c r="N137">
        <f t="shared" si="14"/>
        <v>484</v>
      </c>
    </row>
    <row r="138" spans="1:14" x14ac:dyDescent="0.25">
      <c r="A138" s="1">
        <v>42063</v>
      </c>
      <c r="B138">
        <f t="shared" si="11"/>
        <v>187</v>
      </c>
      <c r="C138">
        <f t="shared" si="11"/>
        <v>140</v>
      </c>
      <c r="D138">
        <f t="shared" si="11"/>
        <v>484</v>
      </c>
      <c r="E138">
        <v>56</v>
      </c>
      <c r="F138">
        <v>12</v>
      </c>
      <c r="G138">
        <v>25</v>
      </c>
      <c r="H138">
        <f t="shared" si="10"/>
        <v>243</v>
      </c>
      <c r="I138">
        <f t="shared" si="10"/>
        <v>152</v>
      </c>
      <c r="J138">
        <f t="shared" si="10"/>
        <v>509</v>
      </c>
      <c r="K138" t="str" cm="1">
        <f t="array" ref="K138">_xlfn.IFS(H138&gt;=$U$1,"kostka",I138&gt;=$U$1*$R$3,"orzech",J138&gt;=$U$1*$R$4,"miał",1=1,"NIC")</f>
        <v>kostka</v>
      </c>
      <c r="L138">
        <f t="shared" si="12"/>
        <v>43</v>
      </c>
      <c r="M138">
        <f t="shared" si="13"/>
        <v>152</v>
      </c>
      <c r="N138">
        <f t="shared" si="14"/>
        <v>509</v>
      </c>
    </row>
    <row r="139" spans="1:14" x14ac:dyDescent="0.25">
      <c r="A139" s="1">
        <v>42064</v>
      </c>
      <c r="B139">
        <f t="shared" si="11"/>
        <v>43</v>
      </c>
      <c r="C139">
        <f t="shared" si="11"/>
        <v>152</v>
      </c>
      <c r="D139">
        <f t="shared" si="11"/>
        <v>509</v>
      </c>
      <c r="E139">
        <v>195</v>
      </c>
      <c r="F139">
        <v>90</v>
      </c>
      <c r="G139">
        <v>56</v>
      </c>
      <c r="H139">
        <f t="shared" si="10"/>
        <v>238</v>
      </c>
      <c r="I139">
        <f t="shared" si="10"/>
        <v>242</v>
      </c>
      <c r="J139">
        <f t="shared" si="10"/>
        <v>565</v>
      </c>
      <c r="K139" t="str" cm="1">
        <f t="array" ref="K139">_xlfn.IFS(H139&gt;=$U$1,"kostka",I139&gt;=$U$1*$R$3,"orzech",J139&gt;=$U$1*$R$4,"miał",1=1,"NIC")</f>
        <v>kostka</v>
      </c>
      <c r="L139">
        <f t="shared" si="12"/>
        <v>38</v>
      </c>
      <c r="M139">
        <f t="shared" si="13"/>
        <v>242</v>
      </c>
      <c r="N139">
        <f t="shared" si="14"/>
        <v>565</v>
      </c>
    </row>
    <row r="140" spans="1:14" x14ac:dyDescent="0.25">
      <c r="A140" s="1">
        <v>42065</v>
      </c>
      <c r="B140">
        <f t="shared" si="11"/>
        <v>38</v>
      </c>
      <c r="C140">
        <f t="shared" si="11"/>
        <v>242</v>
      </c>
      <c r="D140">
        <f t="shared" si="11"/>
        <v>565</v>
      </c>
      <c r="E140">
        <v>113</v>
      </c>
      <c r="F140">
        <v>90</v>
      </c>
      <c r="G140">
        <v>24</v>
      </c>
      <c r="H140">
        <f t="shared" si="10"/>
        <v>151</v>
      </c>
      <c r="I140">
        <f t="shared" si="10"/>
        <v>332</v>
      </c>
      <c r="J140">
        <f t="shared" si="10"/>
        <v>589</v>
      </c>
      <c r="K140" t="str" cm="1">
        <f t="array" ref="K140">_xlfn.IFS(H140&gt;=$U$1,"kostka",I140&gt;=$U$1*$R$3,"orzech",J140&gt;=$U$1*$R$4,"miał",1=1,"NIC")</f>
        <v>orzech</v>
      </c>
      <c r="L140">
        <f t="shared" si="12"/>
        <v>151</v>
      </c>
      <c r="M140">
        <f t="shared" si="13"/>
        <v>72</v>
      </c>
      <c r="N140">
        <f t="shared" si="14"/>
        <v>589</v>
      </c>
    </row>
    <row r="141" spans="1:14" x14ac:dyDescent="0.25">
      <c r="A141" s="1">
        <v>42066</v>
      </c>
      <c r="B141">
        <f t="shared" si="11"/>
        <v>151</v>
      </c>
      <c r="C141">
        <f t="shared" si="11"/>
        <v>72</v>
      </c>
      <c r="D141">
        <f t="shared" si="11"/>
        <v>589</v>
      </c>
      <c r="E141">
        <v>93</v>
      </c>
      <c r="F141">
        <v>139</v>
      </c>
      <c r="G141">
        <v>47</v>
      </c>
      <c r="H141">
        <f t="shared" si="10"/>
        <v>244</v>
      </c>
      <c r="I141">
        <f t="shared" si="10"/>
        <v>211</v>
      </c>
      <c r="J141">
        <f t="shared" si="10"/>
        <v>636</v>
      </c>
      <c r="K141" t="str" cm="1">
        <f t="array" ref="K141">_xlfn.IFS(H141&gt;=$U$1,"kostka",I141&gt;=$U$1*$R$3,"orzech",J141&gt;=$U$1*$R$4,"miał",1=1,"NIC")</f>
        <v>kostka</v>
      </c>
      <c r="L141">
        <f t="shared" si="12"/>
        <v>44</v>
      </c>
      <c r="M141">
        <f t="shared" si="13"/>
        <v>211</v>
      </c>
      <c r="N141">
        <f t="shared" si="14"/>
        <v>636</v>
      </c>
    </row>
    <row r="142" spans="1:14" x14ac:dyDescent="0.25">
      <c r="A142" s="1">
        <v>42067</v>
      </c>
      <c r="B142">
        <f t="shared" si="11"/>
        <v>44</v>
      </c>
      <c r="C142">
        <f t="shared" si="11"/>
        <v>211</v>
      </c>
      <c r="D142">
        <f t="shared" si="11"/>
        <v>636</v>
      </c>
      <c r="E142">
        <v>93</v>
      </c>
      <c r="F142">
        <v>147</v>
      </c>
      <c r="G142">
        <v>26</v>
      </c>
      <c r="H142">
        <f t="shared" si="10"/>
        <v>137</v>
      </c>
      <c r="I142">
        <f t="shared" si="10"/>
        <v>358</v>
      </c>
      <c r="J142">
        <f t="shared" si="10"/>
        <v>662</v>
      </c>
      <c r="K142" t="str" cm="1">
        <f t="array" ref="K142">_xlfn.IFS(H142&gt;=$U$1,"kostka",I142&gt;=$U$1*$R$3,"orzech",J142&gt;=$U$1*$R$4,"miał",1=1,"NIC")</f>
        <v>orzech</v>
      </c>
      <c r="L142">
        <f t="shared" si="12"/>
        <v>137</v>
      </c>
      <c r="M142">
        <f t="shared" si="13"/>
        <v>98</v>
      </c>
      <c r="N142">
        <f t="shared" si="14"/>
        <v>662</v>
      </c>
    </row>
    <row r="143" spans="1:14" x14ac:dyDescent="0.25">
      <c r="A143" s="1">
        <v>42068</v>
      </c>
      <c r="B143">
        <f t="shared" si="11"/>
        <v>137</v>
      </c>
      <c r="C143">
        <f t="shared" si="11"/>
        <v>98</v>
      </c>
      <c r="D143">
        <f t="shared" si="11"/>
        <v>662</v>
      </c>
      <c r="E143">
        <v>79</v>
      </c>
      <c r="F143">
        <v>145</v>
      </c>
      <c r="G143">
        <v>36</v>
      </c>
      <c r="H143">
        <f t="shared" si="10"/>
        <v>216</v>
      </c>
      <c r="I143">
        <f t="shared" si="10"/>
        <v>243</v>
      </c>
      <c r="J143">
        <f t="shared" si="10"/>
        <v>698</v>
      </c>
      <c r="K143" t="str" cm="1">
        <f t="array" ref="K143">_xlfn.IFS(H143&gt;=$U$1,"kostka",I143&gt;=$U$1*$R$3,"orzech",J143&gt;=$U$1*$R$4,"miał",1=1,"NIC")</f>
        <v>kostka</v>
      </c>
      <c r="L143">
        <f t="shared" si="12"/>
        <v>16</v>
      </c>
      <c r="M143">
        <f t="shared" si="13"/>
        <v>243</v>
      </c>
      <c r="N143">
        <f t="shared" si="14"/>
        <v>698</v>
      </c>
    </row>
    <row r="144" spans="1:14" x14ac:dyDescent="0.25">
      <c r="A144" s="1">
        <v>42069</v>
      </c>
      <c r="B144">
        <f t="shared" si="11"/>
        <v>16</v>
      </c>
      <c r="C144">
        <f t="shared" si="11"/>
        <v>243</v>
      </c>
      <c r="D144">
        <f t="shared" si="11"/>
        <v>698</v>
      </c>
      <c r="E144">
        <v>148</v>
      </c>
      <c r="F144">
        <v>127</v>
      </c>
      <c r="G144">
        <v>27</v>
      </c>
      <c r="H144">
        <f t="shared" si="10"/>
        <v>164</v>
      </c>
      <c r="I144">
        <f t="shared" si="10"/>
        <v>370</v>
      </c>
      <c r="J144">
        <f t="shared" si="10"/>
        <v>725</v>
      </c>
      <c r="K144" t="str" cm="1">
        <f t="array" ref="K144">_xlfn.IFS(H144&gt;=$U$1,"kostka",I144&gt;=$U$1*$R$3,"orzech",J144&gt;=$U$1*$R$4,"miał",1=1,"NIC")</f>
        <v>orzech</v>
      </c>
      <c r="L144">
        <f t="shared" si="12"/>
        <v>164</v>
      </c>
      <c r="M144">
        <f t="shared" si="13"/>
        <v>110</v>
      </c>
      <c r="N144">
        <f t="shared" si="14"/>
        <v>725</v>
      </c>
    </row>
    <row r="145" spans="1:14" x14ac:dyDescent="0.25">
      <c r="A145" s="1">
        <v>42070</v>
      </c>
      <c r="B145">
        <f t="shared" si="11"/>
        <v>164</v>
      </c>
      <c r="C145">
        <f t="shared" si="11"/>
        <v>110</v>
      </c>
      <c r="D145">
        <f t="shared" si="11"/>
        <v>725</v>
      </c>
      <c r="E145">
        <v>132</v>
      </c>
      <c r="F145">
        <v>128</v>
      </c>
      <c r="G145">
        <v>37</v>
      </c>
      <c r="H145">
        <f t="shared" si="10"/>
        <v>296</v>
      </c>
      <c r="I145">
        <f t="shared" si="10"/>
        <v>238</v>
      </c>
      <c r="J145">
        <f t="shared" si="10"/>
        <v>762</v>
      </c>
      <c r="K145" t="str" cm="1">
        <f t="array" ref="K145">_xlfn.IFS(H145&gt;=$U$1,"kostka",I145&gt;=$U$1*$R$3,"orzech",J145&gt;=$U$1*$R$4,"miał",1=1,"NIC")</f>
        <v>kostka</v>
      </c>
      <c r="L145">
        <f t="shared" si="12"/>
        <v>96</v>
      </c>
      <c r="M145">
        <f t="shared" si="13"/>
        <v>238</v>
      </c>
      <c r="N145">
        <f t="shared" si="14"/>
        <v>762</v>
      </c>
    </row>
    <row r="146" spans="1:14" x14ac:dyDescent="0.25">
      <c r="A146" s="1">
        <v>42071</v>
      </c>
      <c r="B146">
        <f t="shared" si="11"/>
        <v>96</v>
      </c>
      <c r="C146">
        <f t="shared" si="11"/>
        <v>238</v>
      </c>
      <c r="D146">
        <f t="shared" si="11"/>
        <v>762</v>
      </c>
      <c r="E146">
        <v>22</v>
      </c>
      <c r="F146">
        <v>115</v>
      </c>
      <c r="G146">
        <v>28</v>
      </c>
      <c r="H146">
        <f t="shared" si="10"/>
        <v>118</v>
      </c>
      <c r="I146">
        <f t="shared" si="10"/>
        <v>353</v>
      </c>
      <c r="J146">
        <f t="shared" si="10"/>
        <v>790</v>
      </c>
      <c r="K146" t="str" cm="1">
        <f t="array" ref="K146">_xlfn.IFS(H146&gt;=$U$1,"kostka",I146&gt;=$U$1*$R$3,"orzech",J146&gt;=$U$1*$R$4,"miał",1=1,"NIC")</f>
        <v>orzech</v>
      </c>
      <c r="L146">
        <f t="shared" si="12"/>
        <v>118</v>
      </c>
      <c r="M146">
        <f t="shared" si="13"/>
        <v>93</v>
      </c>
      <c r="N146">
        <f t="shared" si="14"/>
        <v>790</v>
      </c>
    </row>
    <row r="147" spans="1:14" x14ac:dyDescent="0.25">
      <c r="A147" s="1">
        <v>42072</v>
      </c>
      <c r="B147">
        <f t="shared" si="11"/>
        <v>118</v>
      </c>
      <c r="C147">
        <f t="shared" si="11"/>
        <v>93</v>
      </c>
      <c r="D147">
        <f t="shared" si="11"/>
        <v>790</v>
      </c>
      <c r="E147">
        <v>50</v>
      </c>
      <c r="F147">
        <v>99</v>
      </c>
      <c r="G147">
        <v>78</v>
      </c>
      <c r="H147">
        <f t="shared" si="10"/>
        <v>168</v>
      </c>
      <c r="I147">
        <f t="shared" si="10"/>
        <v>192</v>
      </c>
      <c r="J147">
        <f t="shared" si="10"/>
        <v>868</v>
      </c>
      <c r="K147" t="str" cm="1">
        <f t="array" ref="K147">_xlfn.IFS(H147&gt;=$U$1,"kostka",I147&gt;=$U$1*$R$3,"orzech",J147&gt;=$U$1*$R$4,"miał",1=1,"NIC")</f>
        <v>miał</v>
      </c>
      <c r="L147">
        <f t="shared" si="12"/>
        <v>168</v>
      </c>
      <c r="M147">
        <f t="shared" si="13"/>
        <v>192</v>
      </c>
      <c r="N147">
        <f t="shared" si="14"/>
        <v>548</v>
      </c>
    </row>
    <row r="148" spans="1:14" x14ac:dyDescent="0.25">
      <c r="A148" s="1">
        <v>42073</v>
      </c>
      <c r="B148">
        <f t="shared" si="11"/>
        <v>168</v>
      </c>
      <c r="C148">
        <f t="shared" si="11"/>
        <v>192</v>
      </c>
      <c r="D148">
        <f t="shared" si="11"/>
        <v>548</v>
      </c>
      <c r="E148">
        <v>178</v>
      </c>
      <c r="F148">
        <v>146</v>
      </c>
      <c r="G148">
        <v>75</v>
      </c>
      <c r="H148">
        <f t="shared" si="10"/>
        <v>346</v>
      </c>
      <c r="I148">
        <f t="shared" si="10"/>
        <v>338</v>
      </c>
      <c r="J148">
        <f t="shared" si="10"/>
        <v>623</v>
      </c>
      <c r="K148" t="str" cm="1">
        <f t="array" ref="K148">_xlfn.IFS(H148&gt;=$U$1,"kostka",I148&gt;=$U$1*$R$3,"orzech",J148&gt;=$U$1*$R$4,"miał",1=1,"NIC")</f>
        <v>kostka</v>
      </c>
      <c r="L148">
        <f t="shared" si="12"/>
        <v>146</v>
      </c>
      <c r="M148">
        <f t="shared" si="13"/>
        <v>338</v>
      </c>
      <c r="N148">
        <f t="shared" si="14"/>
        <v>623</v>
      </c>
    </row>
    <row r="149" spans="1:14" x14ac:dyDescent="0.25">
      <c r="A149" s="1">
        <v>42074</v>
      </c>
      <c r="B149">
        <f t="shared" si="11"/>
        <v>146</v>
      </c>
      <c r="C149">
        <f t="shared" si="11"/>
        <v>338</v>
      </c>
      <c r="D149">
        <f t="shared" si="11"/>
        <v>623</v>
      </c>
      <c r="E149">
        <v>97</v>
      </c>
      <c r="F149">
        <v>135</v>
      </c>
      <c r="G149">
        <v>66</v>
      </c>
      <c r="H149">
        <f t="shared" si="10"/>
        <v>243</v>
      </c>
      <c r="I149">
        <f t="shared" si="10"/>
        <v>473</v>
      </c>
      <c r="J149">
        <f t="shared" si="10"/>
        <v>689</v>
      </c>
      <c r="K149" t="str" cm="1">
        <f t="array" ref="K149">_xlfn.IFS(H149&gt;=$U$1,"kostka",I149&gt;=$U$1*$R$3,"orzech",J149&gt;=$U$1*$R$4,"miał",1=1,"NIC")</f>
        <v>kostka</v>
      </c>
      <c r="L149">
        <f t="shared" si="12"/>
        <v>43</v>
      </c>
      <c r="M149">
        <f t="shared" si="13"/>
        <v>473</v>
      </c>
      <c r="N149">
        <f t="shared" si="14"/>
        <v>689</v>
      </c>
    </row>
    <row r="150" spans="1:14" x14ac:dyDescent="0.25">
      <c r="A150" s="1">
        <v>42075</v>
      </c>
      <c r="B150">
        <f t="shared" si="11"/>
        <v>43</v>
      </c>
      <c r="C150">
        <f t="shared" si="11"/>
        <v>473</v>
      </c>
      <c r="D150">
        <f t="shared" si="11"/>
        <v>689</v>
      </c>
      <c r="E150">
        <v>138</v>
      </c>
      <c r="F150">
        <v>160</v>
      </c>
      <c r="G150">
        <v>6</v>
      </c>
      <c r="H150">
        <f t="shared" si="10"/>
        <v>181</v>
      </c>
      <c r="I150">
        <f t="shared" si="10"/>
        <v>633</v>
      </c>
      <c r="J150">
        <f t="shared" si="10"/>
        <v>695</v>
      </c>
      <c r="K150" t="str" cm="1">
        <f t="array" ref="K150">_xlfn.IFS(H150&gt;=$U$1,"kostka",I150&gt;=$U$1*$R$3,"orzech",J150&gt;=$U$1*$R$4,"miał",1=1,"NIC")</f>
        <v>orzech</v>
      </c>
      <c r="L150">
        <f t="shared" si="12"/>
        <v>181</v>
      </c>
      <c r="M150">
        <f t="shared" si="13"/>
        <v>373</v>
      </c>
      <c r="N150">
        <f t="shared" si="14"/>
        <v>695</v>
      </c>
    </row>
    <row r="151" spans="1:14" x14ac:dyDescent="0.25">
      <c r="A151" s="1">
        <v>42076</v>
      </c>
      <c r="B151">
        <f t="shared" si="11"/>
        <v>181</v>
      </c>
      <c r="C151">
        <f t="shared" si="11"/>
        <v>373</v>
      </c>
      <c r="D151">
        <f t="shared" si="11"/>
        <v>695</v>
      </c>
      <c r="E151">
        <v>194</v>
      </c>
      <c r="F151">
        <v>87</v>
      </c>
      <c r="G151">
        <v>60</v>
      </c>
      <c r="H151">
        <f t="shared" si="10"/>
        <v>375</v>
      </c>
      <c r="I151">
        <f t="shared" si="10"/>
        <v>460</v>
      </c>
      <c r="J151">
        <f t="shared" si="10"/>
        <v>755</v>
      </c>
      <c r="K151" t="str" cm="1">
        <f t="array" ref="K151">_xlfn.IFS(H151&gt;=$U$1,"kostka",I151&gt;=$U$1*$R$3,"orzech",J151&gt;=$U$1*$R$4,"miał",1=1,"NIC")</f>
        <v>kostka</v>
      </c>
      <c r="L151">
        <f t="shared" si="12"/>
        <v>175</v>
      </c>
      <c r="M151">
        <f t="shared" si="13"/>
        <v>460</v>
      </c>
      <c r="N151">
        <f t="shared" si="14"/>
        <v>755</v>
      </c>
    </row>
    <row r="152" spans="1:14" x14ac:dyDescent="0.25">
      <c r="A152" s="1">
        <v>42077</v>
      </c>
      <c r="B152">
        <f t="shared" si="11"/>
        <v>175</v>
      </c>
      <c r="C152">
        <f t="shared" si="11"/>
        <v>460</v>
      </c>
      <c r="D152">
        <f t="shared" si="11"/>
        <v>755</v>
      </c>
      <c r="E152">
        <v>86</v>
      </c>
      <c r="F152">
        <v>21</v>
      </c>
      <c r="G152">
        <v>45</v>
      </c>
      <c r="H152">
        <f t="shared" si="10"/>
        <v>261</v>
      </c>
      <c r="I152">
        <f t="shared" si="10"/>
        <v>481</v>
      </c>
      <c r="J152">
        <f t="shared" si="10"/>
        <v>800</v>
      </c>
      <c r="K152" t="str" cm="1">
        <f t="array" ref="K152">_xlfn.IFS(H152&gt;=$U$1,"kostka",I152&gt;=$U$1*$R$3,"orzech",J152&gt;=$U$1*$R$4,"miał",1=1,"NIC")</f>
        <v>kostka</v>
      </c>
      <c r="L152">
        <f t="shared" si="12"/>
        <v>61</v>
      </c>
      <c r="M152">
        <f t="shared" si="13"/>
        <v>481</v>
      </c>
      <c r="N152">
        <f t="shared" si="14"/>
        <v>800</v>
      </c>
    </row>
    <row r="153" spans="1:14" x14ac:dyDescent="0.25">
      <c r="A153" s="1">
        <v>42078</v>
      </c>
      <c r="B153">
        <f t="shared" si="11"/>
        <v>61</v>
      </c>
      <c r="C153">
        <f t="shared" si="11"/>
        <v>481</v>
      </c>
      <c r="D153">
        <f t="shared" si="11"/>
        <v>800</v>
      </c>
      <c r="E153">
        <v>26</v>
      </c>
      <c r="F153">
        <v>60</v>
      </c>
      <c r="G153">
        <v>44</v>
      </c>
      <c r="H153">
        <f t="shared" si="10"/>
        <v>87</v>
      </c>
      <c r="I153">
        <f t="shared" si="10"/>
        <v>541</v>
      </c>
      <c r="J153">
        <f t="shared" si="10"/>
        <v>844</v>
      </c>
      <c r="K153" t="str" cm="1">
        <f t="array" ref="K153">_xlfn.IFS(H153&gt;=$U$1,"kostka",I153&gt;=$U$1*$R$3,"orzech",J153&gt;=$U$1*$R$4,"miał",1=1,"NIC")</f>
        <v>orzech</v>
      </c>
      <c r="L153">
        <f t="shared" si="12"/>
        <v>87</v>
      </c>
      <c r="M153">
        <f t="shared" si="13"/>
        <v>281</v>
      </c>
      <c r="N153">
        <f t="shared" si="14"/>
        <v>844</v>
      </c>
    </row>
    <row r="154" spans="1:14" x14ac:dyDescent="0.25">
      <c r="A154" s="1">
        <v>42079</v>
      </c>
      <c r="B154">
        <f t="shared" si="11"/>
        <v>87</v>
      </c>
      <c r="C154">
        <f t="shared" si="11"/>
        <v>281</v>
      </c>
      <c r="D154">
        <f t="shared" si="11"/>
        <v>844</v>
      </c>
      <c r="E154">
        <v>28</v>
      </c>
      <c r="F154">
        <v>35</v>
      </c>
      <c r="G154">
        <v>96</v>
      </c>
      <c r="H154">
        <f t="shared" si="10"/>
        <v>115</v>
      </c>
      <c r="I154">
        <f t="shared" si="10"/>
        <v>316</v>
      </c>
      <c r="J154">
        <f t="shared" si="10"/>
        <v>940</v>
      </c>
      <c r="K154" t="str" cm="1">
        <f t="array" ref="K154">_xlfn.IFS(H154&gt;=$U$1,"kostka",I154&gt;=$U$1*$R$3,"orzech",J154&gt;=$U$1*$R$4,"miał",1=1,"NIC")</f>
        <v>orzech</v>
      </c>
      <c r="L154">
        <f t="shared" si="12"/>
        <v>115</v>
      </c>
      <c r="M154">
        <f t="shared" si="13"/>
        <v>56</v>
      </c>
      <c r="N154">
        <f t="shared" si="14"/>
        <v>940</v>
      </c>
    </row>
    <row r="155" spans="1:14" x14ac:dyDescent="0.25">
      <c r="A155" s="1">
        <v>42080</v>
      </c>
      <c r="B155">
        <f t="shared" si="11"/>
        <v>115</v>
      </c>
      <c r="C155">
        <f t="shared" si="11"/>
        <v>56</v>
      </c>
      <c r="D155">
        <f t="shared" si="11"/>
        <v>940</v>
      </c>
      <c r="E155">
        <v>53</v>
      </c>
      <c r="F155">
        <v>100</v>
      </c>
      <c r="G155">
        <v>64</v>
      </c>
      <c r="H155">
        <f t="shared" si="10"/>
        <v>168</v>
      </c>
      <c r="I155">
        <f t="shared" si="10"/>
        <v>156</v>
      </c>
      <c r="J155">
        <f t="shared" si="10"/>
        <v>1004</v>
      </c>
      <c r="K155" t="str" cm="1">
        <f t="array" ref="K155">_xlfn.IFS(H155&gt;=$U$1,"kostka",I155&gt;=$U$1*$R$3,"orzech",J155&gt;=$U$1*$R$4,"miał",1=1,"NIC")</f>
        <v>miał</v>
      </c>
      <c r="L155">
        <f t="shared" si="12"/>
        <v>168</v>
      </c>
      <c r="M155">
        <f t="shared" si="13"/>
        <v>156</v>
      </c>
      <c r="N155">
        <f t="shared" si="14"/>
        <v>684</v>
      </c>
    </row>
    <row r="156" spans="1:14" x14ac:dyDescent="0.25">
      <c r="A156" s="1">
        <v>42081</v>
      </c>
      <c r="B156">
        <f t="shared" si="11"/>
        <v>168</v>
      </c>
      <c r="C156">
        <f t="shared" si="11"/>
        <v>156</v>
      </c>
      <c r="D156">
        <f t="shared" si="11"/>
        <v>684</v>
      </c>
      <c r="E156">
        <v>168</v>
      </c>
      <c r="F156">
        <v>64</v>
      </c>
      <c r="G156">
        <v>46</v>
      </c>
      <c r="H156">
        <f t="shared" si="10"/>
        <v>336</v>
      </c>
      <c r="I156">
        <f t="shared" si="10"/>
        <v>220</v>
      </c>
      <c r="J156">
        <f t="shared" si="10"/>
        <v>730</v>
      </c>
      <c r="K156" t="str" cm="1">
        <f t="array" ref="K156">_xlfn.IFS(H156&gt;=$U$1,"kostka",I156&gt;=$U$1*$R$3,"orzech",J156&gt;=$U$1*$R$4,"miał",1=1,"NIC")</f>
        <v>kostka</v>
      </c>
      <c r="L156">
        <f t="shared" si="12"/>
        <v>136</v>
      </c>
      <c r="M156">
        <f t="shared" si="13"/>
        <v>220</v>
      </c>
      <c r="N156">
        <f t="shared" si="14"/>
        <v>730</v>
      </c>
    </row>
    <row r="157" spans="1:14" x14ac:dyDescent="0.25">
      <c r="A157" s="1">
        <v>42082</v>
      </c>
      <c r="B157">
        <f t="shared" si="11"/>
        <v>136</v>
      </c>
      <c r="C157">
        <f t="shared" si="11"/>
        <v>220</v>
      </c>
      <c r="D157">
        <f t="shared" si="11"/>
        <v>730</v>
      </c>
      <c r="E157">
        <v>77</v>
      </c>
      <c r="F157">
        <v>60</v>
      </c>
      <c r="G157">
        <v>35</v>
      </c>
      <c r="H157">
        <f t="shared" si="10"/>
        <v>213</v>
      </c>
      <c r="I157">
        <f t="shared" si="10"/>
        <v>280</v>
      </c>
      <c r="J157">
        <f t="shared" si="10"/>
        <v>765</v>
      </c>
      <c r="K157" t="str" cm="1">
        <f t="array" ref="K157">_xlfn.IFS(H157&gt;=$U$1,"kostka",I157&gt;=$U$1*$R$3,"orzech",J157&gt;=$U$1*$R$4,"miał",1=1,"NIC")</f>
        <v>kostka</v>
      </c>
      <c r="L157">
        <f t="shared" si="12"/>
        <v>13</v>
      </c>
      <c r="M157">
        <f t="shared" si="13"/>
        <v>280</v>
      </c>
      <c r="N157">
        <f t="shared" si="14"/>
        <v>765</v>
      </c>
    </row>
    <row r="158" spans="1:14" x14ac:dyDescent="0.25">
      <c r="A158" s="1">
        <v>42083</v>
      </c>
      <c r="B158">
        <f t="shared" si="11"/>
        <v>13</v>
      </c>
      <c r="C158">
        <f t="shared" si="11"/>
        <v>280</v>
      </c>
      <c r="D158">
        <f t="shared" si="11"/>
        <v>765</v>
      </c>
      <c r="E158">
        <v>17</v>
      </c>
      <c r="F158">
        <v>80</v>
      </c>
      <c r="G158">
        <v>30</v>
      </c>
      <c r="H158">
        <f t="shared" si="10"/>
        <v>30</v>
      </c>
      <c r="I158">
        <f t="shared" si="10"/>
        <v>360</v>
      </c>
      <c r="J158">
        <f t="shared" si="10"/>
        <v>795</v>
      </c>
      <c r="K158" t="str" cm="1">
        <f t="array" ref="K158">_xlfn.IFS(H158&gt;=$U$1,"kostka",I158&gt;=$U$1*$R$3,"orzech",J158&gt;=$U$1*$R$4,"miał",1=1,"NIC")</f>
        <v>orzech</v>
      </c>
      <c r="L158">
        <f t="shared" si="12"/>
        <v>30</v>
      </c>
      <c r="M158">
        <f t="shared" si="13"/>
        <v>100</v>
      </c>
      <c r="N158">
        <f t="shared" si="14"/>
        <v>795</v>
      </c>
    </row>
    <row r="159" spans="1:14" x14ac:dyDescent="0.25">
      <c r="A159" s="1">
        <v>42084</v>
      </c>
      <c r="B159">
        <f t="shared" si="11"/>
        <v>30</v>
      </c>
      <c r="C159">
        <f t="shared" si="11"/>
        <v>100</v>
      </c>
      <c r="D159">
        <f t="shared" si="11"/>
        <v>795</v>
      </c>
      <c r="E159">
        <v>175</v>
      </c>
      <c r="F159">
        <v>47</v>
      </c>
      <c r="G159">
        <v>25</v>
      </c>
      <c r="H159">
        <f t="shared" si="10"/>
        <v>205</v>
      </c>
      <c r="I159">
        <f t="shared" si="10"/>
        <v>147</v>
      </c>
      <c r="J159">
        <f t="shared" si="10"/>
        <v>820</v>
      </c>
      <c r="K159" t="str" cm="1">
        <f t="array" ref="K159">_xlfn.IFS(H159&gt;=$U$1,"kostka",I159&gt;=$U$1*$R$3,"orzech",J159&gt;=$U$1*$R$4,"miał",1=1,"NIC")</f>
        <v>kostka</v>
      </c>
      <c r="L159">
        <f t="shared" si="12"/>
        <v>5</v>
      </c>
      <c r="M159">
        <f t="shared" si="13"/>
        <v>147</v>
      </c>
      <c r="N159">
        <f t="shared" si="14"/>
        <v>820</v>
      </c>
    </row>
    <row r="160" spans="1:14" x14ac:dyDescent="0.25">
      <c r="A160" s="1">
        <v>42085</v>
      </c>
      <c r="B160">
        <f t="shared" si="11"/>
        <v>5</v>
      </c>
      <c r="C160">
        <f t="shared" si="11"/>
        <v>147</v>
      </c>
      <c r="D160">
        <f t="shared" si="11"/>
        <v>820</v>
      </c>
      <c r="E160">
        <v>164</v>
      </c>
      <c r="F160">
        <v>60</v>
      </c>
      <c r="G160">
        <v>22</v>
      </c>
      <c r="H160">
        <f t="shared" si="10"/>
        <v>169</v>
      </c>
      <c r="I160">
        <f t="shared" si="10"/>
        <v>207</v>
      </c>
      <c r="J160">
        <f t="shared" si="10"/>
        <v>842</v>
      </c>
      <c r="K160" t="str" cm="1">
        <f t="array" ref="K160">_xlfn.IFS(H160&gt;=$U$1,"kostka",I160&gt;=$U$1*$R$3,"orzech",J160&gt;=$U$1*$R$4,"miał",1=1,"NIC")</f>
        <v>miał</v>
      </c>
      <c r="L160">
        <f t="shared" si="12"/>
        <v>169</v>
      </c>
      <c r="M160">
        <f t="shared" si="13"/>
        <v>207</v>
      </c>
      <c r="N160">
        <f t="shared" si="14"/>
        <v>522</v>
      </c>
    </row>
    <row r="161" spans="1:14" x14ac:dyDescent="0.25">
      <c r="A161" s="1">
        <v>42086</v>
      </c>
      <c r="B161">
        <f t="shared" si="11"/>
        <v>169</v>
      </c>
      <c r="C161">
        <f t="shared" si="11"/>
        <v>207</v>
      </c>
      <c r="D161">
        <f t="shared" si="11"/>
        <v>522</v>
      </c>
      <c r="E161">
        <v>199</v>
      </c>
      <c r="F161">
        <v>80</v>
      </c>
      <c r="G161">
        <v>45</v>
      </c>
      <c r="H161">
        <f t="shared" si="10"/>
        <v>368</v>
      </c>
      <c r="I161">
        <f t="shared" si="10"/>
        <v>287</v>
      </c>
      <c r="J161">
        <f t="shared" si="10"/>
        <v>567</v>
      </c>
      <c r="K161" t="str" cm="1">
        <f t="array" ref="K161">_xlfn.IFS(H161&gt;=$U$1,"kostka",I161&gt;=$U$1*$R$3,"orzech",J161&gt;=$U$1*$R$4,"miał",1=1,"NIC")</f>
        <v>kostka</v>
      </c>
      <c r="L161">
        <f t="shared" si="12"/>
        <v>168</v>
      </c>
      <c r="M161">
        <f t="shared" si="13"/>
        <v>287</v>
      </c>
      <c r="N161">
        <f t="shared" si="14"/>
        <v>567</v>
      </c>
    </row>
    <row r="162" spans="1:14" x14ac:dyDescent="0.25">
      <c r="A162" s="1">
        <v>42087</v>
      </c>
      <c r="B162">
        <f t="shared" si="11"/>
        <v>168</v>
      </c>
      <c r="C162">
        <f t="shared" si="11"/>
        <v>287</v>
      </c>
      <c r="D162">
        <f t="shared" si="11"/>
        <v>567</v>
      </c>
      <c r="E162">
        <v>111</v>
      </c>
      <c r="F162">
        <v>92</v>
      </c>
      <c r="G162">
        <v>45</v>
      </c>
      <c r="H162">
        <f t="shared" si="10"/>
        <v>279</v>
      </c>
      <c r="I162">
        <f t="shared" si="10"/>
        <v>379</v>
      </c>
      <c r="J162">
        <f t="shared" si="10"/>
        <v>612</v>
      </c>
      <c r="K162" t="str" cm="1">
        <f t="array" ref="K162">_xlfn.IFS(H162&gt;=$U$1,"kostka",I162&gt;=$U$1*$R$3,"orzech",J162&gt;=$U$1*$R$4,"miał",1=1,"NIC")</f>
        <v>kostka</v>
      </c>
      <c r="L162">
        <f t="shared" si="12"/>
        <v>79</v>
      </c>
      <c r="M162">
        <f t="shared" si="13"/>
        <v>379</v>
      </c>
      <c r="N162">
        <f t="shared" si="14"/>
        <v>612</v>
      </c>
    </row>
    <row r="163" spans="1:14" x14ac:dyDescent="0.25">
      <c r="A163" s="1">
        <v>42088</v>
      </c>
      <c r="B163">
        <f t="shared" si="11"/>
        <v>79</v>
      </c>
      <c r="C163">
        <f t="shared" si="11"/>
        <v>379</v>
      </c>
      <c r="D163">
        <f t="shared" si="11"/>
        <v>612</v>
      </c>
      <c r="E163">
        <v>58</v>
      </c>
      <c r="F163">
        <v>90</v>
      </c>
      <c r="G163">
        <v>40</v>
      </c>
      <c r="H163">
        <f t="shared" si="10"/>
        <v>137</v>
      </c>
      <c r="I163">
        <f t="shared" si="10"/>
        <v>469</v>
      </c>
      <c r="J163">
        <f t="shared" si="10"/>
        <v>652</v>
      </c>
      <c r="K163" t="str" cm="1">
        <f t="array" ref="K163">_xlfn.IFS(H163&gt;=$U$1,"kostka",I163&gt;=$U$1*$R$3,"orzech",J163&gt;=$U$1*$R$4,"miał",1=1,"NIC")</f>
        <v>orzech</v>
      </c>
      <c r="L163">
        <f t="shared" si="12"/>
        <v>137</v>
      </c>
      <c r="M163">
        <f t="shared" si="13"/>
        <v>209</v>
      </c>
      <c r="N163">
        <f t="shared" si="14"/>
        <v>652</v>
      </c>
    </row>
    <row r="164" spans="1:14" x14ac:dyDescent="0.25">
      <c r="A164" s="1">
        <v>42089</v>
      </c>
      <c r="B164">
        <f t="shared" si="11"/>
        <v>137</v>
      </c>
      <c r="C164">
        <f t="shared" si="11"/>
        <v>209</v>
      </c>
      <c r="D164">
        <f t="shared" si="11"/>
        <v>652</v>
      </c>
      <c r="E164">
        <v>59</v>
      </c>
      <c r="F164">
        <v>164</v>
      </c>
      <c r="G164">
        <v>47</v>
      </c>
      <c r="H164">
        <f t="shared" si="10"/>
        <v>196</v>
      </c>
      <c r="I164">
        <f t="shared" si="10"/>
        <v>373</v>
      </c>
      <c r="J164">
        <f t="shared" si="10"/>
        <v>699</v>
      </c>
      <c r="K164" t="str" cm="1">
        <f t="array" ref="K164">_xlfn.IFS(H164&gt;=$U$1,"kostka",I164&gt;=$U$1*$R$3,"orzech",J164&gt;=$U$1*$R$4,"miał",1=1,"NIC")</f>
        <v>orzech</v>
      </c>
      <c r="L164">
        <f t="shared" si="12"/>
        <v>196</v>
      </c>
      <c r="M164">
        <f t="shared" si="13"/>
        <v>113</v>
      </c>
      <c r="N164">
        <f t="shared" si="14"/>
        <v>699</v>
      </c>
    </row>
    <row r="165" spans="1:14" x14ac:dyDescent="0.25">
      <c r="A165" s="1">
        <v>42090</v>
      </c>
      <c r="B165">
        <f t="shared" si="11"/>
        <v>196</v>
      </c>
      <c r="C165">
        <f t="shared" si="11"/>
        <v>113</v>
      </c>
      <c r="D165">
        <f t="shared" si="11"/>
        <v>699</v>
      </c>
      <c r="E165">
        <v>158</v>
      </c>
      <c r="F165">
        <v>120</v>
      </c>
      <c r="G165">
        <v>30</v>
      </c>
      <c r="H165">
        <f t="shared" si="10"/>
        <v>354</v>
      </c>
      <c r="I165">
        <f t="shared" si="10"/>
        <v>233</v>
      </c>
      <c r="J165">
        <f t="shared" si="10"/>
        <v>729</v>
      </c>
      <c r="K165" t="str" cm="1">
        <f t="array" ref="K165">_xlfn.IFS(H165&gt;=$U$1,"kostka",I165&gt;=$U$1*$R$3,"orzech",J165&gt;=$U$1*$R$4,"miał",1=1,"NIC")</f>
        <v>kostka</v>
      </c>
      <c r="L165">
        <f t="shared" si="12"/>
        <v>154</v>
      </c>
      <c r="M165">
        <f t="shared" si="13"/>
        <v>233</v>
      </c>
      <c r="N165">
        <f t="shared" si="14"/>
        <v>729</v>
      </c>
    </row>
    <row r="166" spans="1:14" x14ac:dyDescent="0.25">
      <c r="A166" s="1">
        <v>42091</v>
      </c>
      <c r="B166">
        <f t="shared" si="11"/>
        <v>154</v>
      </c>
      <c r="C166">
        <f t="shared" si="11"/>
        <v>233</v>
      </c>
      <c r="D166">
        <f t="shared" si="11"/>
        <v>729</v>
      </c>
      <c r="E166">
        <v>84</v>
      </c>
      <c r="F166">
        <v>90</v>
      </c>
      <c r="G166">
        <v>30</v>
      </c>
      <c r="H166">
        <f t="shared" si="10"/>
        <v>238</v>
      </c>
      <c r="I166">
        <f t="shared" si="10"/>
        <v>323</v>
      </c>
      <c r="J166">
        <f t="shared" si="10"/>
        <v>759</v>
      </c>
      <c r="K166" t="str" cm="1">
        <f t="array" ref="K166">_xlfn.IFS(H166&gt;=$U$1,"kostka",I166&gt;=$U$1*$R$3,"orzech",J166&gt;=$U$1*$R$4,"miał",1=1,"NIC")</f>
        <v>kostka</v>
      </c>
      <c r="L166">
        <f t="shared" si="12"/>
        <v>38</v>
      </c>
      <c r="M166">
        <f t="shared" si="13"/>
        <v>323</v>
      </c>
      <c r="N166">
        <f t="shared" si="14"/>
        <v>759</v>
      </c>
    </row>
    <row r="167" spans="1:14" x14ac:dyDescent="0.25">
      <c r="A167" s="1">
        <v>42092</v>
      </c>
      <c r="B167">
        <f t="shared" si="11"/>
        <v>38</v>
      </c>
      <c r="C167">
        <f t="shared" si="11"/>
        <v>323</v>
      </c>
      <c r="D167">
        <f t="shared" si="11"/>
        <v>759</v>
      </c>
      <c r="E167">
        <v>64</v>
      </c>
      <c r="F167">
        <v>61</v>
      </c>
      <c r="G167">
        <v>60</v>
      </c>
      <c r="H167">
        <f t="shared" si="10"/>
        <v>102</v>
      </c>
      <c r="I167">
        <f t="shared" si="10"/>
        <v>384</v>
      </c>
      <c r="J167">
        <f t="shared" si="10"/>
        <v>819</v>
      </c>
      <c r="K167" t="str" cm="1">
        <f t="array" ref="K167">_xlfn.IFS(H167&gt;=$U$1,"kostka",I167&gt;=$U$1*$R$3,"orzech",J167&gt;=$U$1*$R$4,"miał",1=1,"NIC")</f>
        <v>orzech</v>
      </c>
      <c r="L167">
        <f t="shared" si="12"/>
        <v>102</v>
      </c>
      <c r="M167">
        <f t="shared" si="13"/>
        <v>124</v>
      </c>
      <c r="N167">
        <f t="shared" si="14"/>
        <v>819</v>
      </c>
    </row>
    <row r="168" spans="1:14" x14ac:dyDescent="0.25">
      <c r="A168" s="1">
        <v>42093</v>
      </c>
      <c r="B168">
        <f t="shared" si="11"/>
        <v>102</v>
      </c>
      <c r="C168">
        <f t="shared" si="11"/>
        <v>124</v>
      </c>
      <c r="D168">
        <f t="shared" si="11"/>
        <v>819</v>
      </c>
      <c r="E168">
        <v>125</v>
      </c>
      <c r="F168">
        <v>84</v>
      </c>
      <c r="G168">
        <v>40</v>
      </c>
      <c r="H168">
        <f t="shared" si="10"/>
        <v>227</v>
      </c>
      <c r="I168">
        <f t="shared" si="10"/>
        <v>208</v>
      </c>
      <c r="J168">
        <f t="shared" si="10"/>
        <v>859</v>
      </c>
      <c r="K168" t="str" cm="1">
        <f t="array" ref="K168">_xlfn.IFS(H168&gt;=$U$1,"kostka",I168&gt;=$U$1*$R$3,"orzech",J168&gt;=$U$1*$R$4,"miał",1=1,"NIC")</f>
        <v>kostka</v>
      </c>
      <c r="L168">
        <f t="shared" si="12"/>
        <v>27</v>
      </c>
      <c r="M168">
        <f t="shared" si="13"/>
        <v>208</v>
      </c>
      <c r="N168">
        <f t="shared" si="14"/>
        <v>859</v>
      </c>
    </row>
    <row r="169" spans="1:14" x14ac:dyDescent="0.25">
      <c r="A169" s="1">
        <v>42094</v>
      </c>
      <c r="B169">
        <f t="shared" si="11"/>
        <v>27</v>
      </c>
      <c r="C169">
        <f t="shared" si="11"/>
        <v>208</v>
      </c>
      <c r="D169">
        <f t="shared" si="11"/>
        <v>859</v>
      </c>
      <c r="E169">
        <v>148</v>
      </c>
      <c r="F169">
        <v>110</v>
      </c>
      <c r="G169">
        <v>50</v>
      </c>
      <c r="H169">
        <f t="shared" si="10"/>
        <v>175</v>
      </c>
      <c r="I169">
        <f t="shared" si="10"/>
        <v>318</v>
      </c>
      <c r="J169">
        <f t="shared" si="10"/>
        <v>909</v>
      </c>
      <c r="K169" t="str" cm="1">
        <f t="array" ref="K169">_xlfn.IFS(H169&gt;=$U$1,"kostka",I169&gt;=$U$1*$R$3,"orzech",J169&gt;=$U$1*$R$4,"miał",1=1,"NIC")</f>
        <v>orzech</v>
      </c>
      <c r="L169">
        <f t="shared" si="12"/>
        <v>175</v>
      </c>
      <c r="M169">
        <f t="shared" si="13"/>
        <v>58</v>
      </c>
      <c r="N169">
        <f t="shared" si="14"/>
        <v>909</v>
      </c>
    </row>
    <row r="170" spans="1:14" x14ac:dyDescent="0.25">
      <c r="A170" s="1">
        <v>42095</v>
      </c>
      <c r="B170">
        <f t="shared" si="11"/>
        <v>175</v>
      </c>
      <c r="C170">
        <f t="shared" si="11"/>
        <v>58</v>
      </c>
      <c r="D170">
        <f t="shared" si="11"/>
        <v>909</v>
      </c>
      <c r="E170">
        <v>172</v>
      </c>
      <c r="F170">
        <v>100</v>
      </c>
      <c r="G170">
        <v>30</v>
      </c>
      <c r="H170">
        <f t="shared" si="10"/>
        <v>347</v>
      </c>
      <c r="I170">
        <f t="shared" si="10"/>
        <v>158</v>
      </c>
      <c r="J170">
        <f t="shared" si="10"/>
        <v>939</v>
      </c>
      <c r="K170" t="str" cm="1">
        <f t="array" ref="K170">_xlfn.IFS(H170&gt;=$U$1,"kostka",I170&gt;=$U$1*$R$3,"orzech",J170&gt;=$U$1*$R$4,"miał",1=1,"NIC")</f>
        <v>kostka</v>
      </c>
      <c r="L170">
        <f t="shared" si="12"/>
        <v>147</v>
      </c>
      <c r="M170">
        <f t="shared" si="13"/>
        <v>158</v>
      </c>
      <c r="N170">
        <f t="shared" si="14"/>
        <v>939</v>
      </c>
    </row>
    <row r="171" spans="1:14" x14ac:dyDescent="0.25">
      <c r="A171" s="1">
        <v>42096</v>
      </c>
      <c r="B171">
        <f t="shared" si="11"/>
        <v>147</v>
      </c>
      <c r="C171">
        <f t="shared" si="11"/>
        <v>158</v>
      </c>
      <c r="D171">
        <f t="shared" si="11"/>
        <v>939</v>
      </c>
      <c r="E171">
        <v>103</v>
      </c>
      <c r="F171">
        <v>60</v>
      </c>
      <c r="G171">
        <v>40</v>
      </c>
      <c r="H171">
        <f t="shared" si="10"/>
        <v>250</v>
      </c>
      <c r="I171">
        <f t="shared" si="10"/>
        <v>218</v>
      </c>
      <c r="J171">
        <f t="shared" si="10"/>
        <v>979</v>
      </c>
      <c r="K171" t="str" cm="1">
        <f t="array" ref="K171">_xlfn.IFS(H171&gt;=$U$1,"kostka",I171&gt;=$U$1*$R$3,"orzech",J171&gt;=$U$1*$R$4,"miał",1=1,"NIC")</f>
        <v>kostka</v>
      </c>
      <c r="L171">
        <f t="shared" si="12"/>
        <v>50</v>
      </c>
      <c r="M171">
        <f t="shared" si="13"/>
        <v>218</v>
      </c>
      <c r="N171">
        <f t="shared" si="14"/>
        <v>979</v>
      </c>
    </row>
    <row r="172" spans="1:14" x14ac:dyDescent="0.25">
      <c r="A172" s="1">
        <v>42097</v>
      </c>
      <c r="B172">
        <f t="shared" si="11"/>
        <v>50</v>
      </c>
      <c r="C172">
        <f t="shared" si="11"/>
        <v>218</v>
      </c>
      <c r="D172">
        <f t="shared" si="11"/>
        <v>979</v>
      </c>
      <c r="E172">
        <v>191</v>
      </c>
      <c r="F172">
        <v>41</v>
      </c>
      <c r="G172">
        <v>52</v>
      </c>
      <c r="H172">
        <f t="shared" si="10"/>
        <v>241</v>
      </c>
      <c r="I172">
        <f t="shared" si="10"/>
        <v>259</v>
      </c>
      <c r="J172">
        <f t="shared" si="10"/>
        <v>1031</v>
      </c>
      <c r="K172" t="str" cm="1">
        <f t="array" ref="K172">_xlfn.IFS(H172&gt;=$U$1,"kostka",I172&gt;=$U$1*$R$3,"orzech",J172&gt;=$U$1*$R$4,"miał",1=1,"NIC")</f>
        <v>kostka</v>
      </c>
      <c r="L172">
        <f t="shared" si="12"/>
        <v>41</v>
      </c>
      <c r="M172">
        <f t="shared" si="13"/>
        <v>259</v>
      </c>
      <c r="N172">
        <f t="shared" si="14"/>
        <v>1031</v>
      </c>
    </row>
    <row r="173" spans="1:14" x14ac:dyDescent="0.25">
      <c r="A173" s="1">
        <v>42098</v>
      </c>
      <c r="B173">
        <f t="shared" si="11"/>
        <v>41</v>
      </c>
      <c r="C173">
        <f t="shared" si="11"/>
        <v>259</v>
      </c>
      <c r="D173">
        <f t="shared" si="11"/>
        <v>1031</v>
      </c>
      <c r="E173">
        <v>128</v>
      </c>
      <c r="F173">
        <v>98</v>
      </c>
      <c r="G173">
        <v>40</v>
      </c>
      <c r="H173">
        <f t="shared" si="10"/>
        <v>169</v>
      </c>
      <c r="I173">
        <f t="shared" si="10"/>
        <v>357</v>
      </c>
      <c r="J173">
        <f t="shared" si="10"/>
        <v>1071</v>
      </c>
      <c r="K173" t="str" cm="1">
        <f t="array" ref="K173">_xlfn.IFS(H173&gt;=$U$1,"kostka",I173&gt;=$U$1*$R$3,"orzech",J173&gt;=$U$1*$R$4,"miał",1=1,"NIC")</f>
        <v>orzech</v>
      </c>
      <c r="L173">
        <f t="shared" si="12"/>
        <v>169</v>
      </c>
      <c r="M173">
        <f t="shared" si="13"/>
        <v>97</v>
      </c>
      <c r="N173">
        <f t="shared" si="14"/>
        <v>1071</v>
      </c>
    </row>
    <row r="174" spans="1:14" x14ac:dyDescent="0.25">
      <c r="A174" s="1">
        <v>42099</v>
      </c>
      <c r="B174">
        <f t="shared" si="11"/>
        <v>169</v>
      </c>
      <c r="C174">
        <f t="shared" si="11"/>
        <v>97</v>
      </c>
      <c r="D174">
        <f t="shared" si="11"/>
        <v>1071</v>
      </c>
      <c r="E174">
        <v>75</v>
      </c>
      <c r="F174">
        <v>87</v>
      </c>
      <c r="G174">
        <v>47</v>
      </c>
      <c r="H174">
        <f t="shared" si="10"/>
        <v>244</v>
      </c>
      <c r="I174">
        <f t="shared" si="10"/>
        <v>184</v>
      </c>
      <c r="J174">
        <f t="shared" si="10"/>
        <v>1118</v>
      </c>
      <c r="K174" t="str" cm="1">
        <f t="array" ref="K174">_xlfn.IFS(H174&gt;=$U$1,"kostka",I174&gt;=$U$1*$R$3,"orzech",J174&gt;=$U$1*$R$4,"miał",1=1,"NIC")</f>
        <v>kostka</v>
      </c>
      <c r="L174">
        <f t="shared" si="12"/>
        <v>44</v>
      </c>
      <c r="M174">
        <f t="shared" si="13"/>
        <v>184</v>
      </c>
      <c r="N174">
        <f t="shared" si="14"/>
        <v>1118</v>
      </c>
    </row>
    <row r="175" spans="1:14" x14ac:dyDescent="0.25">
      <c r="A175" s="1">
        <v>42100</v>
      </c>
      <c r="B175">
        <f t="shared" si="11"/>
        <v>44</v>
      </c>
      <c r="C175">
        <f t="shared" si="11"/>
        <v>184</v>
      </c>
      <c r="D175">
        <f t="shared" si="11"/>
        <v>1118</v>
      </c>
      <c r="E175">
        <v>38</v>
      </c>
      <c r="F175">
        <v>100</v>
      </c>
      <c r="G175">
        <v>50</v>
      </c>
      <c r="H175">
        <f t="shared" si="10"/>
        <v>82</v>
      </c>
      <c r="I175">
        <f t="shared" si="10"/>
        <v>284</v>
      </c>
      <c r="J175">
        <f t="shared" si="10"/>
        <v>1168</v>
      </c>
      <c r="K175" t="str" cm="1">
        <f t="array" ref="K175">_xlfn.IFS(H175&gt;=$U$1,"kostka",I175&gt;=$U$1*$R$3,"orzech",J175&gt;=$U$1*$R$4,"miał",1=1,"NIC")</f>
        <v>orzech</v>
      </c>
      <c r="L175">
        <f t="shared" si="12"/>
        <v>82</v>
      </c>
      <c r="M175">
        <f t="shared" si="13"/>
        <v>24</v>
      </c>
      <c r="N175">
        <f t="shared" si="14"/>
        <v>1168</v>
      </c>
    </row>
    <row r="176" spans="1:14" x14ac:dyDescent="0.25">
      <c r="A176" s="1">
        <v>42101</v>
      </c>
      <c r="B176">
        <f t="shared" si="11"/>
        <v>82</v>
      </c>
      <c r="C176">
        <f t="shared" si="11"/>
        <v>24</v>
      </c>
      <c r="D176">
        <f t="shared" si="11"/>
        <v>1168</v>
      </c>
      <c r="E176">
        <v>80</v>
      </c>
      <c r="F176">
        <v>40</v>
      </c>
      <c r="G176">
        <v>30</v>
      </c>
      <c r="H176">
        <f t="shared" si="10"/>
        <v>162</v>
      </c>
      <c r="I176">
        <f t="shared" si="10"/>
        <v>64</v>
      </c>
      <c r="J176">
        <f t="shared" si="10"/>
        <v>1198</v>
      </c>
      <c r="K176" t="str" cm="1">
        <f t="array" ref="K176">_xlfn.IFS(H176&gt;=$U$1,"kostka",I176&gt;=$U$1*$R$3,"orzech",J176&gt;=$U$1*$R$4,"miał",1=1,"NIC")</f>
        <v>miał</v>
      </c>
      <c r="L176">
        <f t="shared" si="12"/>
        <v>162</v>
      </c>
      <c r="M176">
        <f t="shared" si="13"/>
        <v>64</v>
      </c>
      <c r="N176">
        <f t="shared" si="14"/>
        <v>878</v>
      </c>
    </row>
    <row r="177" spans="1:14" x14ac:dyDescent="0.25">
      <c r="A177" s="1">
        <v>42102</v>
      </c>
      <c r="B177">
        <f t="shared" si="11"/>
        <v>162</v>
      </c>
      <c r="C177">
        <f t="shared" si="11"/>
        <v>64</v>
      </c>
      <c r="D177">
        <f t="shared" si="11"/>
        <v>878</v>
      </c>
      <c r="E177">
        <v>55</v>
      </c>
      <c r="F177">
        <v>60</v>
      </c>
      <c r="G177">
        <v>50</v>
      </c>
      <c r="H177">
        <f t="shared" si="10"/>
        <v>217</v>
      </c>
      <c r="I177">
        <f t="shared" si="10"/>
        <v>124</v>
      </c>
      <c r="J177">
        <f t="shared" si="10"/>
        <v>928</v>
      </c>
      <c r="K177" t="str" cm="1">
        <f t="array" ref="K177">_xlfn.IFS(H177&gt;=$U$1,"kostka",I177&gt;=$U$1*$R$3,"orzech",J177&gt;=$U$1*$R$4,"miał",1=1,"NIC")</f>
        <v>kostka</v>
      </c>
      <c r="L177">
        <f t="shared" si="12"/>
        <v>17</v>
      </c>
      <c r="M177">
        <f t="shared" si="13"/>
        <v>124</v>
      </c>
      <c r="N177">
        <f t="shared" si="14"/>
        <v>928</v>
      </c>
    </row>
    <row r="178" spans="1:14" x14ac:dyDescent="0.25">
      <c r="A178" s="1">
        <v>42103</v>
      </c>
      <c r="B178">
        <f t="shared" si="11"/>
        <v>17</v>
      </c>
      <c r="C178">
        <f t="shared" si="11"/>
        <v>124</v>
      </c>
      <c r="D178">
        <f t="shared" si="11"/>
        <v>928</v>
      </c>
      <c r="E178">
        <v>10</v>
      </c>
      <c r="F178">
        <v>80</v>
      </c>
      <c r="G178">
        <v>48</v>
      </c>
      <c r="H178">
        <f t="shared" si="10"/>
        <v>27</v>
      </c>
      <c r="I178">
        <f t="shared" si="10"/>
        <v>204</v>
      </c>
      <c r="J178">
        <f t="shared" si="10"/>
        <v>976</v>
      </c>
      <c r="K178" t="str" cm="1">
        <f t="array" ref="K178">_xlfn.IFS(H178&gt;=$U$1,"kostka",I178&gt;=$U$1*$R$3,"orzech",J178&gt;=$U$1*$R$4,"miał",1=1,"NIC")</f>
        <v>miał</v>
      </c>
      <c r="L178">
        <f t="shared" si="12"/>
        <v>27</v>
      </c>
      <c r="M178">
        <f t="shared" si="13"/>
        <v>204</v>
      </c>
      <c r="N178">
        <f t="shared" si="14"/>
        <v>656</v>
      </c>
    </row>
    <row r="179" spans="1:14" x14ac:dyDescent="0.25">
      <c r="A179" s="1">
        <v>42104</v>
      </c>
      <c r="B179">
        <f t="shared" si="11"/>
        <v>27</v>
      </c>
      <c r="C179">
        <f t="shared" si="11"/>
        <v>204</v>
      </c>
      <c r="D179">
        <f t="shared" si="11"/>
        <v>656</v>
      </c>
      <c r="E179">
        <v>95</v>
      </c>
      <c r="F179">
        <v>60</v>
      </c>
      <c r="G179">
        <v>51</v>
      </c>
      <c r="H179">
        <f t="shared" si="10"/>
        <v>122</v>
      </c>
      <c r="I179">
        <f t="shared" si="10"/>
        <v>264</v>
      </c>
      <c r="J179">
        <f t="shared" si="10"/>
        <v>707</v>
      </c>
      <c r="K179" t="str" cm="1">
        <f t="array" ref="K179">_xlfn.IFS(H179&gt;=$U$1,"kostka",I179&gt;=$U$1*$R$3,"orzech",J179&gt;=$U$1*$R$4,"miał",1=1,"NIC")</f>
        <v>orzech</v>
      </c>
      <c r="L179">
        <f t="shared" si="12"/>
        <v>122</v>
      </c>
      <c r="M179">
        <f t="shared" si="13"/>
        <v>4</v>
      </c>
      <c r="N179">
        <f t="shared" si="14"/>
        <v>707</v>
      </c>
    </row>
    <row r="180" spans="1:14" x14ac:dyDescent="0.25">
      <c r="A180" s="1">
        <v>42105</v>
      </c>
      <c r="B180">
        <f t="shared" si="11"/>
        <v>122</v>
      </c>
      <c r="C180">
        <f t="shared" si="11"/>
        <v>4</v>
      </c>
      <c r="D180">
        <f t="shared" si="11"/>
        <v>707</v>
      </c>
      <c r="E180">
        <v>90</v>
      </c>
      <c r="F180">
        <v>100</v>
      </c>
      <c r="G180">
        <v>50</v>
      </c>
      <c r="H180">
        <f t="shared" si="10"/>
        <v>212</v>
      </c>
      <c r="I180">
        <f t="shared" si="10"/>
        <v>104</v>
      </c>
      <c r="J180">
        <f t="shared" si="10"/>
        <v>757</v>
      </c>
      <c r="K180" t="str" cm="1">
        <f t="array" ref="K180">_xlfn.IFS(H180&gt;=$U$1,"kostka",I180&gt;=$U$1*$R$3,"orzech",J180&gt;=$U$1*$R$4,"miał",1=1,"NIC")</f>
        <v>kostka</v>
      </c>
      <c r="L180">
        <f t="shared" si="12"/>
        <v>12</v>
      </c>
      <c r="M180">
        <f t="shared" si="13"/>
        <v>104</v>
      </c>
      <c r="N180">
        <f t="shared" si="14"/>
        <v>757</v>
      </c>
    </row>
    <row r="181" spans="1:14" x14ac:dyDescent="0.25">
      <c r="A181" s="1">
        <v>42106</v>
      </c>
      <c r="B181">
        <f t="shared" si="11"/>
        <v>12</v>
      </c>
      <c r="C181">
        <f t="shared" si="11"/>
        <v>104</v>
      </c>
      <c r="D181">
        <f t="shared" si="11"/>
        <v>757</v>
      </c>
      <c r="E181">
        <v>186</v>
      </c>
      <c r="F181">
        <v>60</v>
      </c>
      <c r="G181">
        <v>92</v>
      </c>
      <c r="H181">
        <f t="shared" si="10"/>
        <v>198</v>
      </c>
      <c r="I181">
        <f t="shared" si="10"/>
        <v>164</v>
      </c>
      <c r="J181">
        <f t="shared" si="10"/>
        <v>849</v>
      </c>
      <c r="K181" t="str" cm="1">
        <f t="array" ref="K181">_xlfn.IFS(H181&gt;=$U$1,"kostka",I181&gt;=$U$1*$R$3,"orzech",J181&gt;=$U$1*$R$4,"miał",1=1,"NIC")</f>
        <v>miał</v>
      </c>
      <c r="L181">
        <f t="shared" si="12"/>
        <v>198</v>
      </c>
      <c r="M181">
        <f t="shared" si="13"/>
        <v>164</v>
      </c>
      <c r="N181">
        <f t="shared" si="14"/>
        <v>529</v>
      </c>
    </row>
    <row r="182" spans="1:14" x14ac:dyDescent="0.25">
      <c r="A182" s="1">
        <v>42107</v>
      </c>
      <c r="B182">
        <f t="shared" si="11"/>
        <v>198</v>
      </c>
      <c r="C182">
        <f t="shared" si="11"/>
        <v>164</v>
      </c>
      <c r="D182">
        <f t="shared" si="11"/>
        <v>529</v>
      </c>
      <c r="E182">
        <v>2</v>
      </c>
      <c r="F182">
        <v>40</v>
      </c>
      <c r="G182">
        <v>50</v>
      </c>
      <c r="H182">
        <f t="shared" si="10"/>
        <v>200</v>
      </c>
      <c r="I182">
        <f t="shared" si="10"/>
        <v>204</v>
      </c>
      <c r="J182">
        <f t="shared" si="10"/>
        <v>579</v>
      </c>
      <c r="K182" t="str" cm="1">
        <f t="array" ref="K182">_xlfn.IFS(H182&gt;=$U$1,"kostka",I182&gt;=$U$1*$R$3,"orzech",J182&gt;=$U$1*$R$4,"miał",1=1,"NIC")</f>
        <v>kostka</v>
      </c>
      <c r="L182">
        <f t="shared" si="12"/>
        <v>0</v>
      </c>
      <c r="M182">
        <f t="shared" si="13"/>
        <v>204</v>
      </c>
      <c r="N182">
        <f t="shared" si="14"/>
        <v>579</v>
      </c>
    </row>
    <row r="183" spans="1:14" x14ac:dyDescent="0.25">
      <c r="A183" s="1">
        <v>42108</v>
      </c>
      <c r="B183">
        <f t="shared" si="11"/>
        <v>0</v>
      </c>
      <c r="C183">
        <f t="shared" si="11"/>
        <v>204</v>
      </c>
      <c r="D183">
        <f t="shared" si="11"/>
        <v>579</v>
      </c>
      <c r="E183">
        <v>136</v>
      </c>
      <c r="F183">
        <v>20</v>
      </c>
      <c r="G183">
        <v>66</v>
      </c>
      <c r="H183">
        <f t="shared" si="10"/>
        <v>136</v>
      </c>
      <c r="I183">
        <f t="shared" si="10"/>
        <v>224</v>
      </c>
      <c r="J183">
        <f t="shared" si="10"/>
        <v>645</v>
      </c>
      <c r="K183" t="str" cm="1">
        <f t="array" ref="K183">_xlfn.IFS(H183&gt;=$U$1,"kostka",I183&gt;=$U$1*$R$3,"orzech",J183&gt;=$U$1*$R$4,"miał",1=1,"NIC")</f>
        <v>miał</v>
      </c>
      <c r="L183">
        <f t="shared" si="12"/>
        <v>136</v>
      </c>
      <c r="M183">
        <f t="shared" si="13"/>
        <v>224</v>
      </c>
      <c r="N183">
        <f t="shared" si="14"/>
        <v>325</v>
      </c>
    </row>
    <row r="184" spans="1:14" x14ac:dyDescent="0.25">
      <c r="A184" s="1">
        <v>42109</v>
      </c>
      <c r="B184">
        <f t="shared" si="11"/>
        <v>136</v>
      </c>
      <c r="C184">
        <f t="shared" si="11"/>
        <v>224</v>
      </c>
      <c r="D184">
        <f t="shared" si="11"/>
        <v>325</v>
      </c>
      <c r="E184">
        <v>4</v>
      </c>
      <c r="F184">
        <v>20</v>
      </c>
      <c r="G184">
        <v>10</v>
      </c>
      <c r="H184">
        <f t="shared" si="10"/>
        <v>140</v>
      </c>
      <c r="I184">
        <f t="shared" si="10"/>
        <v>244</v>
      </c>
      <c r="J184">
        <f t="shared" si="10"/>
        <v>335</v>
      </c>
      <c r="K184" t="str" cm="1">
        <f t="array" ref="K184">_xlfn.IFS(H184&gt;=$U$1,"kostka",I184&gt;=$U$1*$R$3,"orzech",J184&gt;=$U$1*$R$4,"miał",1=1,"NIC")</f>
        <v>miał</v>
      </c>
      <c r="L184">
        <f t="shared" si="12"/>
        <v>140</v>
      </c>
      <c r="M184">
        <f t="shared" si="13"/>
        <v>244</v>
      </c>
      <c r="N184">
        <f t="shared" si="14"/>
        <v>15</v>
      </c>
    </row>
  </sheetData>
  <conditionalFormatting sqref="K1:K1048576">
    <cfRule type="cellIs" dxfId="12" priority="1" operator="equal">
      <formula>"miał"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227F-3F61-4F8B-A01E-54BD7181D283}">
  <dimension ref="A1:U184"/>
  <sheetViews>
    <sheetView topLeftCell="F1" workbookViewId="0">
      <selection activeCell="P8" sqref="P8"/>
    </sheetView>
  </sheetViews>
  <sheetFormatPr defaultRowHeight="15" x14ac:dyDescent="0.25"/>
  <cols>
    <col min="1" max="1" width="10.140625" bestFit="1" customWidth="1"/>
    <col min="2" max="2" width="16.140625" bestFit="1" customWidth="1"/>
    <col min="3" max="3" width="18" bestFit="1" customWidth="1"/>
    <col min="4" max="4" width="15.85546875" bestFit="1" customWidth="1"/>
    <col min="5" max="5" width="17" bestFit="1" customWidth="1"/>
    <col min="6" max="6" width="18.85546875" bestFit="1" customWidth="1"/>
    <col min="7" max="7" width="16.7109375" bestFit="1" customWidth="1"/>
    <col min="8" max="8" width="23.85546875" bestFit="1" customWidth="1"/>
    <col min="9" max="9" width="25.7109375" bestFit="1" customWidth="1"/>
    <col min="10" max="10" width="23.5703125" bestFit="1" customWidth="1"/>
    <col min="11" max="11" width="12.42578125" bestFit="1" customWidth="1"/>
    <col min="12" max="12" width="22.42578125" bestFit="1" customWidth="1"/>
    <col min="13" max="13" width="24" bestFit="1" customWidth="1"/>
    <col min="14" max="14" width="22.140625" bestFit="1" customWidth="1"/>
    <col min="16" max="16" width="33.28515625" bestFit="1" customWidth="1"/>
    <col min="17" max="17" width="10" bestFit="1" customWidth="1"/>
    <col min="18" max="18" width="8.42578125" bestFit="1" customWidth="1"/>
    <col min="20" max="20" width="16.7109375" bestFit="1" customWidth="1"/>
    <col min="21" max="21" width="4" bestFit="1" customWidth="1"/>
  </cols>
  <sheetData>
    <row r="1" spans="1:21" x14ac:dyDescent="0.25">
      <c r="A1" t="s">
        <v>5</v>
      </c>
      <c r="B1" t="s">
        <v>8</v>
      </c>
      <c r="C1" t="s">
        <v>9</v>
      </c>
      <c r="D1" t="s">
        <v>10</v>
      </c>
      <c r="E1" t="s">
        <v>18</v>
      </c>
      <c r="F1" t="s">
        <v>19</v>
      </c>
      <c r="G1" t="s">
        <v>20</v>
      </c>
      <c r="H1" t="s">
        <v>12</v>
      </c>
      <c r="I1" t="s">
        <v>13</v>
      </c>
      <c r="J1" t="s">
        <v>14</v>
      </c>
      <c r="K1" t="s">
        <v>11</v>
      </c>
      <c r="L1" t="s">
        <v>15</v>
      </c>
      <c r="M1" t="s">
        <v>16</v>
      </c>
      <c r="N1" t="s">
        <v>17</v>
      </c>
      <c r="P1" t="s">
        <v>2</v>
      </c>
      <c r="Q1" t="s">
        <v>3</v>
      </c>
      <c r="R1" t="s">
        <v>7</v>
      </c>
      <c r="T1" t="s">
        <v>6</v>
      </c>
      <c r="U1">
        <v>200</v>
      </c>
    </row>
    <row r="2" spans="1:21" x14ac:dyDescent="0.25">
      <c r="A2" s="1">
        <v>41927</v>
      </c>
      <c r="B2">
        <v>80</v>
      </c>
      <c r="C2">
        <v>80</v>
      </c>
      <c r="D2">
        <v>80</v>
      </c>
      <c r="E2">
        <v>200</v>
      </c>
      <c r="F2">
        <v>120</v>
      </c>
      <c r="G2">
        <v>81</v>
      </c>
      <c r="H2">
        <f>B2+E2</f>
        <v>280</v>
      </c>
      <c r="I2">
        <f>C2+F2</f>
        <v>200</v>
      </c>
      <c r="J2">
        <f>D2+G2</f>
        <v>161</v>
      </c>
      <c r="K2" t="str" cm="1">
        <f t="array" ref="K2">_xlfn.IFS(H2&gt;=$U$1,"kostka",I2&gt;=$U$1*$R$3,"orzech",J2&gt;=$U$1*$R$4,"miał",1=1,"NIC")</f>
        <v>kostka</v>
      </c>
      <c r="L2">
        <f>IF($K2="kostka",H2-$U$1,H2)</f>
        <v>80</v>
      </c>
      <c r="M2">
        <f>IF($K2="orzech",I2-$U$1*$R$3,I2)</f>
        <v>200</v>
      </c>
      <c r="N2">
        <f>IF($K2="miał",J2-$U$1*$R$4,J2)</f>
        <v>161</v>
      </c>
      <c r="P2" t="s">
        <v>0</v>
      </c>
      <c r="Q2">
        <v>685</v>
      </c>
      <c r="R2">
        <v>1</v>
      </c>
    </row>
    <row r="3" spans="1:21" x14ac:dyDescent="0.25">
      <c r="A3" s="1">
        <v>41928</v>
      </c>
      <c r="B3">
        <f>L2</f>
        <v>80</v>
      </c>
      <c r="C3">
        <f>M2</f>
        <v>200</v>
      </c>
      <c r="D3">
        <f>N2</f>
        <v>161</v>
      </c>
      <c r="E3">
        <v>100</v>
      </c>
      <c r="F3">
        <v>135</v>
      </c>
      <c r="G3">
        <v>33</v>
      </c>
      <c r="H3">
        <f t="shared" ref="H3:J66" si="0">B3+E3</f>
        <v>180</v>
      </c>
      <c r="I3">
        <f t="shared" si="0"/>
        <v>335</v>
      </c>
      <c r="J3">
        <f t="shared" si="0"/>
        <v>194</v>
      </c>
      <c r="K3" t="str" cm="1">
        <f t="array" ref="K3">_xlfn.IFS(H3&gt;=$U$1,"kostka",I3&gt;=$U$1*$R$3,"orzech",J3&gt;=$U$1*$R$4,"miał",1=1,"NIC")</f>
        <v>orzech</v>
      </c>
      <c r="L3">
        <f>IF($K3="kostka",H3-$U$1,H3)</f>
        <v>180</v>
      </c>
      <c r="M3">
        <f>IF($K3="orzech",I3-$U$1*$R$3,I3)</f>
        <v>75</v>
      </c>
      <c r="N3">
        <f>IF($K3="miał",J3-$U$1*$R$4,J3)</f>
        <v>194</v>
      </c>
      <c r="P3" t="s">
        <v>1</v>
      </c>
      <c r="Q3">
        <v>620</v>
      </c>
      <c r="R3">
        <v>1.3</v>
      </c>
    </row>
    <row r="4" spans="1:21" x14ac:dyDescent="0.25">
      <c r="A4" s="1">
        <v>41929</v>
      </c>
      <c r="B4">
        <f t="shared" ref="B4:D67" si="1">L3</f>
        <v>180</v>
      </c>
      <c r="C4">
        <f t="shared" si="1"/>
        <v>75</v>
      </c>
      <c r="D4">
        <f t="shared" si="1"/>
        <v>194</v>
      </c>
      <c r="E4">
        <v>50</v>
      </c>
      <c r="F4">
        <v>29</v>
      </c>
      <c r="G4">
        <v>85</v>
      </c>
      <c r="H4">
        <f t="shared" si="0"/>
        <v>230</v>
      </c>
      <c r="I4">
        <f t="shared" si="0"/>
        <v>104</v>
      </c>
      <c r="J4">
        <f t="shared" si="0"/>
        <v>279</v>
      </c>
      <c r="K4" t="str" cm="1">
        <f t="array" ref="K4">_xlfn.IFS(H4&gt;=$U$1,"kostka",I4&gt;=$U$1*$R$3,"orzech",J4&gt;=$U$1*$R$4,"miał",1=1,"NIC")</f>
        <v>kostka</v>
      </c>
      <c r="L4">
        <f t="shared" ref="L4:L67" si="2">IF($K4="kostka",H4-$U$1,H4)</f>
        <v>30</v>
      </c>
      <c r="M4">
        <f t="shared" ref="M4:M67" si="3">IF($K4="orzech",I4-$U$1*$R$3,I4)</f>
        <v>104</v>
      </c>
      <c r="N4">
        <f t="shared" ref="N4:N67" si="4">IF($K4="miał",J4-$U$1*$R$4,J4)</f>
        <v>279</v>
      </c>
      <c r="P4" t="s">
        <v>4</v>
      </c>
      <c r="Q4">
        <v>380</v>
      </c>
      <c r="R4">
        <v>1.6</v>
      </c>
    </row>
    <row r="5" spans="1:21" x14ac:dyDescent="0.25">
      <c r="A5" s="1">
        <v>41930</v>
      </c>
      <c r="B5">
        <f t="shared" si="1"/>
        <v>30</v>
      </c>
      <c r="C5">
        <f t="shared" si="1"/>
        <v>104</v>
      </c>
      <c r="D5">
        <f t="shared" si="1"/>
        <v>279</v>
      </c>
      <c r="E5">
        <v>68</v>
      </c>
      <c r="F5">
        <v>107</v>
      </c>
      <c r="G5">
        <v>84</v>
      </c>
      <c r="H5">
        <f t="shared" si="0"/>
        <v>98</v>
      </c>
      <c r="I5">
        <f t="shared" si="0"/>
        <v>211</v>
      </c>
      <c r="J5">
        <f t="shared" si="0"/>
        <v>363</v>
      </c>
      <c r="K5" t="str" cm="1">
        <f t="array" ref="K5">_xlfn.IFS(H5&gt;=$U$1,"kostka",I5&gt;=$U$1*$R$3,"orzech",J5&gt;=$U$1*$R$4,"miał",1=1,"NIC")</f>
        <v>miał</v>
      </c>
      <c r="L5">
        <f t="shared" si="2"/>
        <v>98</v>
      </c>
      <c r="M5">
        <f t="shared" si="3"/>
        <v>211</v>
      </c>
      <c r="N5">
        <f t="shared" si="4"/>
        <v>43</v>
      </c>
    </row>
    <row r="6" spans="1:21" x14ac:dyDescent="0.25">
      <c r="A6" s="1">
        <v>41931</v>
      </c>
      <c r="B6">
        <f t="shared" si="1"/>
        <v>98</v>
      </c>
      <c r="C6">
        <f t="shared" si="1"/>
        <v>211</v>
      </c>
      <c r="D6">
        <f t="shared" si="1"/>
        <v>43</v>
      </c>
      <c r="E6">
        <v>75</v>
      </c>
      <c r="F6">
        <v>49</v>
      </c>
      <c r="G6">
        <v>23</v>
      </c>
      <c r="H6">
        <f t="shared" si="0"/>
        <v>173</v>
      </c>
      <c r="I6">
        <f t="shared" si="0"/>
        <v>260</v>
      </c>
      <c r="J6">
        <f t="shared" si="0"/>
        <v>66</v>
      </c>
      <c r="K6" t="str" cm="1">
        <f t="array" ref="K6">_xlfn.IFS(H6&gt;=$U$1,"kostka",I6&gt;=$U$1*$R$3,"orzech",J6&gt;=$U$1*$R$4,"miał",1=1,"NIC")</f>
        <v>orzech</v>
      </c>
      <c r="L6">
        <f t="shared" si="2"/>
        <v>173</v>
      </c>
      <c r="M6">
        <f t="shared" si="3"/>
        <v>0</v>
      </c>
      <c r="N6">
        <f t="shared" si="4"/>
        <v>66</v>
      </c>
    </row>
    <row r="7" spans="1:21" x14ac:dyDescent="0.25">
      <c r="A7" s="1">
        <v>41932</v>
      </c>
      <c r="B7">
        <f t="shared" si="1"/>
        <v>173</v>
      </c>
      <c r="C7">
        <f t="shared" si="1"/>
        <v>0</v>
      </c>
      <c r="D7">
        <f t="shared" si="1"/>
        <v>66</v>
      </c>
      <c r="E7">
        <v>109</v>
      </c>
      <c r="F7">
        <v>90</v>
      </c>
      <c r="G7">
        <v>48</v>
      </c>
      <c r="H7">
        <f t="shared" si="0"/>
        <v>282</v>
      </c>
      <c r="I7">
        <f t="shared" si="0"/>
        <v>90</v>
      </c>
      <c r="J7">
        <f t="shared" si="0"/>
        <v>114</v>
      </c>
      <c r="K7" t="str" cm="1">
        <f t="array" ref="K7">_xlfn.IFS(H7&gt;=$U$1,"kostka",I7&gt;=$U$1*$R$3,"orzech",J7&gt;=$U$1*$R$4,"miał",1=1,"NIC")</f>
        <v>kostka</v>
      </c>
      <c r="L7">
        <f t="shared" si="2"/>
        <v>82</v>
      </c>
      <c r="M7">
        <f t="shared" si="3"/>
        <v>90</v>
      </c>
      <c r="N7">
        <f t="shared" si="4"/>
        <v>114</v>
      </c>
      <c r="P7" t="s">
        <v>37</v>
      </c>
    </row>
    <row r="8" spans="1:21" x14ac:dyDescent="0.25">
      <c r="A8" s="1">
        <v>41933</v>
      </c>
      <c r="B8">
        <f t="shared" si="1"/>
        <v>82</v>
      </c>
      <c r="C8">
        <f t="shared" si="1"/>
        <v>90</v>
      </c>
      <c r="D8">
        <f t="shared" si="1"/>
        <v>114</v>
      </c>
      <c r="E8">
        <v>161</v>
      </c>
      <c r="F8">
        <v>2</v>
      </c>
      <c r="G8">
        <v>16</v>
      </c>
      <c r="H8">
        <f t="shared" si="0"/>
        <v>243</v>
      </c>
      <c r="I8">
        <f t="shared" si="0"/>
        <v>92</v>
      </c>
      <c r="J8">
        <f t="shared" si="0"/>
        <v>130</v>
      </c>
      <c r="K8" t="str" cm="1">
        <f t="array" ref="K8">_xlfn.IFS(H8&gt;=$U$1,"kostka",I8&gt;=$U$1*$R$3,"orzech",J8&gt;=$U$1*$R$4,"miał",1=1,"NIC")</f>
        <v>kostka</v>
      </c>
      <c r="L8">
        <f t="shared" si="2"/>
        <v>43</v>
      </c>
      <c r="M8">
        <f t="shared" si="3"/>
        <v>92</v>
      </c>
      <c r="N8">
        <f t="shared" si="4"/>
        <v>130</v>
      </c>
      <c r="P8" s="3">
        <f>COUNTIF(K2:K184,"=NIC")</f>
        <v>3</v>
      </c>
    </row>
    <row r="9" spans="1:21" x14ac:dyDescent="0.25">
      <c r="A9" s="1">
        <v>41934</v>
      </c>
      <c r="B9">
        <f t="shared" si="1"/>
        <v>43</v>
      </c>
      <c r="C9">
        <f t="shared" si="1"/>
        <v>92</v>
      </c>
      <c r="D9">
        <f t="shared" si="1"/>
        <v>130</v>
      </c>
      <c r="E9">
        <v>97</v>
      </c>
      <c r="F9">
        <v>129</v>
      </c>
      <c r="G9">
        <v>43</v>
      </c>
      <c r="H9">
        <f t="shared" si="0"/>
        <v>140</v>
      </c>
      <c r="I9">
        <f t="shared" si="0"/>
        <v>221</v>
      </c>
      <c r="J9">
        <f t="shared" si="0"/>
        <v>173</v>
      </c>
      <c r="K9" t="str" cm="1">
        <f t="array" ref="K9">_xlfn.IFS(H9&gt;=$U$1,"kostka",I9&gt;=$U$1*$R$3,"orzech",J9&gt;=$U$1*$R$4,"miał",1=1,"NIC")</f>
        <v>NIC</v>
      </c>
      <c r="L9">
        <f t="shared" si="2"/>
        <v>140</v>
      </c>
      <c r="M9">
        <f t="shared" si="3"/>
        <v>221</v>
      </c>
      <c r="N9">
        <f t="shared" si="4"/>
        <v>173</v>
      </c>
    </row>
    <row r="10" spans="1:21" x14ac:dyDescent="0.25">
      <c r="A10" s="1">
        <v>41935</v>
      </c>
      <c r="B10">
        <f t="shared" si="1"/>
        <v>140</v>
      </c>
      <c r="C10">
        <f t="shared" si="1"/>
        <v>221</v>
      </c>
      <c r="D10">
        <f t="shared" si="1"/>
        <v>173</v>
      </c>
      <c r="E10">
        <v>25</v>
      </c>
      <c r="F10">
        <v>186</v>
      </c>
      <c r="G10">
        <v>4</v>
      </c>
      <c r="H10">
        <f t="shared" si="0"/>
        <v>165</v>
      </c>
      <c r="I10">
        <f t="shared" si="0"/>
        <v>407</v>
      </c>
      <c r="J10">
        <f t="shared" si="0"/>
        <v>177</v>
      </c>
      <c r="K10" t="str" cm="1">
        <f t="array" ref="K10">_xlfn.IFS(H10&gt;=$U$1,"kostka",I10&gt;=$U$1*$R$3,"orzech",J10&gt;=$U$1*$R$4,"miał",1=1,"NIC")</f>
        <v>orzech</v>
      </c>
      <c r="L10">
        <f t="shared" si="2"/>
        <v>165</v>
      </c>
      <c r="M10">
        <f t="shared" si="3"/>
        <v>147</v>
      </c>
      <c r="N10">
        <f t="shared" si="4"/>
        <v>177</v>
      </c>
    </row>
    <row r="11" spans="1:21" x14ac:dyDescent="0.25">
      <c r="A11" s="1">
        <v>41936</v>
      </c>
      <c r="B11">
        <f t="shared" si="1"/>
        <v>165</v>
      </c>
      <c r="C11">
        <f t="shared" si="1"/>
        <v>147</v>
      </c>
      <c r="D11">
        <f t="shared" si="1"/>
        <v>177</v>
      </c>
      <c r="E11">
        <v>113</v>
      </c>
      <c r="F11">
        <v>97</v>
      </c>
      <c r="G11">
        <v>97</v>
      </c>
      <c r="H11">
        <f t="shared" si="0"/>
        <v>278</v>
      </c>
      <c r="I11">
        <f t="shared" si="0"/>
        <v>244</v>
      </c>
      <c r="J11">
        <f t="shared" si="0"/>
        <v>274</v>
      </c>
      <c r="K11" t="str" cm="1">
        <f t="array" ref="K11">_xlfn.IFS(H11&gt;=$U$1,"kostka",I11&gt;=$U$1*$R$3,"orzech",J11&gt;=$U$1*$R$4,"miał",1=1,"NIC")</f>
        <v>kostka</v>
      </c>
      <c r="L11">
        <f t="shared" si="2"/>
        <v>78</v>
      </c>
      <c r="M11">
        <f t="shared" si="3"/>
        <v>244</v>
      </c>
      <c r="N11">
        <f t="shared" si="4"/>
        <v>274</v>
      </c>
    </row>
    <row r="12" spans="1:21" x14ac:dyDescent="0.25">
      <c r="A12" s="1">
        <v>41937</v>
      </c>
      <c r="B12">
        <f t="shared" si="1"/>
        <v>78</v>
      </c>
      <c r="C12">
        <f t="shared" si="1"/>
        <v>244</v>
      </c>
      <c r="D12">
        <f t="shared" si="1"/>
        <v>274</v>
      </c>
      <c r="E12">
        <v>70</v>
      </c>
      <c r="F12">
        <v>12</v>
      </c>
      <c r="G12">
        <v>53</v>
      </c>
      <c r="H12">
        <f t="shared" si="0"/>
        <v>148</v>
      </c>
      <c r="I12">
        <f t="shared" si="0"/>
        <v>256</v>
      </c>
      <c r="J12">
        <f t="shared" si="0"/>
        <v>327</v>
      </c>
      <c r="K12" t="str" cm="1">
        <f t="array" ref="K12">_xlfn.IFS(H12&gt;=$U$1,"kostka",I12&gt;=$U$1*$R$3,"orzech",J12&gt;=$U$1*$R$4,"miał",1=1,"NIC")</f>
        <v>miał</v>
      </c>
      <c r="L12">
        <f t="shared" si="2"/>
        <v>148</v>
      </c>
      <c r="M12">
        <f t="shared" si="3"/>
        <v>256</v>
      </c>
      <c r="N12">
        <f t="shared" si="4"/>
        <v>7</v>
      </c>
    </row>
    <row r="13" spans="1:21" x14ac:dyDescent="0.25">
      <c r="A13" s="1">
        <v>41938</v>
      </c>
      <c r="B13">
        <f t="shared" si="1"/>
        <v>148</v>
      </c>
      <c r="C13">
        <f t="shared" si="1"/>
        <v>256</v>
      </c>
      <c r="D13">
        <f t="shared" si="1"/>
        <v>7</v>
      </c>
      <c r="E13">
        <v>117</v>
      </c>
      <c r="F13">
        <v>142</v>
      </c>
      <c r="G13">
        <v>90</v>
      </c>
      <c r="H13">
        <f t="shared" si="0"/>
        <v>265</v>
      </c>
      <c r="I13">
        <f t="shared" si="0"/>
        <v>398</v>
      </c>
      <c r="J13">
        <f t="shared" si="0"/>
        <v>97</v>
      </c>
      <c r="K13" t="str" cm="1">
        <f t="array" ref="K13">_xlfn.IFS(H13&gt;=$U$1,"kostka",I13&gt;=$U$1*$R$3,"orzech",J13&gt;=$U$1*$R$4,"miał",1=1,"NIC")</f>
        <v>kostka</v>
      </c>
      <c r="L13">
        <f t="shared" si="2"/>
        <v>65</v>
      </c>
      <c r="M13">
        <f t="shared" si="3"/>
        <v>398</v>
      </c>
      <c r="N13">
        <f t="shared" si="4"/>
        <v>97</v>
      </c>
    </row>
    <row r="14" spans="1:21" x14ac:dyDescent="0.25">
      <c r="A14" s="1">
        <v>41939</v>
      </c>
      <c r="B14">
        <f t="shared" si="1"/>
        <v>65</v>
      </c>
      <c r="C14">
        <f t="shared" si="1"/>
        <v>398</v>
      </c>
      <c r="D14">
        <f t="shared" si="1"/>
        <v>97</v>
      </c>
      <c r="E14">
        <v>189</v>
      </c>
      <c r="F14">
        <v>28</v>
      </c>
      <c r="G14">
        <v>43</v>
      </c>
      <c r="H14">
        <f t="shared" si="0"/>
        <v>254</v>
      </c>
      <c r="I14">
        <f t="shared" si="0"/>
        <v>426</v>
      </c>
      <c r="J14">
        <f t="shared" si="0"/>
        <v>140</v>
      </c>
      <c r="K14" t="str" cm="1">
        <f t="array" ref="K14">_xlfn.IFS(H14&gt;=$U$1,"kostka",I14&gt;=$U$1*$R$3,"orzech",J14&gt;=$U$1*$R$4,"miał",1=1,"NIC")</f>
        <v>kostka</v>
      </c>
      <c r="L14">
        <f t="shared" si="2"/>
        <v>54</v>
      </c>
      <c r="M14">
        <f t="shared" si="3"/>
        <v>426</v>
      </c>
      <c r="N14">
        <f t="shared" si="4"/>
        <v>140</v>
      </c>
    </row>
    <row r="15" spans="1:21" x14ac:dyDescent="0.25">
      <c r="A15" s="1">
        <v>41940</v>
      </c>
      <c r="B15">
        <f t="shared" si="1"/>
        <v>54</v>
      </c>
      <c r="C15">
        <f t="shared" si="1"/>
        <v>426</v>
      </c>
      <c r="D15">
        <f t="shared" si="1"/>
        <v>140</v>
      </c>
      <c r="E15">
        <v>140</v>
      </c>
      <c r="F15">
        <v>191</v>
      </c>
      <c r="G15">
        <v>40</v>
      </c>
      <c r="H15">
        <f t="shared" si="0"/>
        <v>194</v>
      </c>
      <c r="I15">
        <f t="shared" si="0"/>
        <v>617</v>
      </c>
      <c r="J15">
        <f t="shared" si="0"/>
        <v>180</v>
      </c>
      <c r="K15" t="str" cm="1">
        <f t="array" ref="K15">_xlfn.IFS(H15&gt;=$U$1,"kostka",I15&gt;=$U$1*$R$3,"orzech",J15&gt;=$U$1*$R$4,"miał",1=1,"NIC")</f>
        <v>orzech</v>
      </c>
      <c r="L15">
        <f t="shared" si="2"/>
        <v>194</v>
      </c>
      <c r="M15">
        <f t="shared" si="3"/>
        <v>357</v>
      </c>
      <c r="N15">
        <f t="shared" si="4"/>
        <v>180</v>
      </c>
    </row>
    <row r="16" spans="1:21" x14ac:dyDescent="0.25">
      <c r="A16" s="1">
        <v>41941</v>
      </c>
      <c r="B16">
        <f t="shared" si="1"/>
        <v>194</v>
      </c>
      <c r="C16">
        <f t="shared" si="1"/>
        <v>357</v>
      </c>
      <c r="D16">
        <f t="shared" si="1"/>
        <v>180</v>
      </c>
      <c r="E16">
        <v>167</v>
      </c>
      <c r="F16">
        <v>48</v>
      </c>
      <c r="G16">
        <v>30</v>
      </c>
      <c r="H16">
        <f t="shared" si="0"/>
        <v>361</v>
      </c>
      <c r="I16">
        <f t="shared" si="0"/>
        <v>405</v>
      </c>
      <c r="J16">
        <f t="shared" si="0"/>
        <v>210</v>
      </c>
      <c r="K16" t="str" cm="1">
        <f t="array" ref="K16">_xlfn.IFS(H16&gt;=$U$1,"kostka",I16&gt;=$U$1*$R$3,"orzech",J16&gt;=$U$1*$R$4,"miał",1=1,"NIC")</f>
        <v>kostka</v>
      </c>
      <c r="L16">
        <f t="shared" si="2"/>
        <v>161</v>
      </c>
      <c r="M16">
        <f t="shared" si="3"/>
        <v>405</v>
      </c>
      <c r="N16">
        <f t="shared" si="4"/>
        <v>210</v>
      </c>
    </row>
    <row r="17" spans="1:14" x14ac:dyDescent="0.25">
      <c r="A17" s="1">
        <v>41942</v>
      </c>
      <c r="B17">
        <f t="shared" si="1"/>
        <v>161</v>
      </c>
      <c r="C17">
        <f t="shared" si="1"/>
        <v>405</v>
      </c>
      <c r="D17">
        <f t="shared" si="1"/>
        <v>210</v>
      </c>
      <c r="E17">
        <v>0</v>
      </c>
      <c r="F17">
        <v>154</v>
      </c>
      <c r="G17">
        <v>68</v>
      </c>
      <c r="H17">
        <f t="shared" si="0"/>
        <v>161</v>
      </c>
      <c r="I17">
        <f t="shared" si="0"/>
        <v>559</v>
      </c>
      <c r="J17">
        <f t="shared" si="0"/>
        <v>278</v>
      </c>
      <c r="K17" t="str" cm="1">
        <f t="array" ref="K17">_xlfn.IFS(H17&gt;=$U$1,"kostka",I17&gt;=$U$1*$R$3,"orzech",J17&gt;=$U$1*$R$4,"miał",1=1,"NIC")</f>
        <v>orzech</v>
      </c>
      <c r="L17">
        <f t="shared" si="2"/>
        <v>161</v>
      </c>
      <c r="M17">
        <f t="shared" si="3"/>
        <v>299</v>
      </c>
      <c r="N17">
        <f t="shared" si="4"/>
        <v>278</v>
      </c>
    </row>
    <row r="18" spans="1:14" x14ac:dyDescent="0.25">
      <c r="A18" s="1">
        <v>41943</v>
      </c>
      <c r="B18">
        <f t="shared" si="1"/>
        <v>161</v>
      </c>
      <c r="C18">
        <f t="shared" si="1"/>
        <v>299</v>
      </c>
      <c r="D18">
        <f t="shared" si="1"/>
        <v>278</v>
      </c>
      <c r="E18">
        <v>61</v>
      </c>
      <c r="F18">
        <v>139</v>
      </c>
      <c r="G18">
        <v>77</v>
      </c>
      <c r="H18">
        <f t="shared" si="0"/>
        <v>222</v>
      </c>
      <c r="I18">
        <f t="shared" si="0"/>
        <v>438</v>
      </c>
      <c r="J18">
        <f t="shared" si="0"/>
        <v>355</v>
      </c>
      <c r="K18" t="str" cm="1">
        <f t="array" ref="K18">_xlfn.IFS(H18&gt;=$U$1,"kostka",I18&gt;=$U$1*$R$3,"orzech",J18&gt;=$U$1*$R$4,"miał",1=1,"NIC")</f>
        <v>kostka</v>
      </c>
      <c r="L18">
        <f t="shared" si="2"/>
        <v>22</v>
      </c>
      <c r="M18">
        <f t="shared" si="3"/>
        <v>438</v>
      </c>
      <c r="N18">
        <f t="shared" si="4"/>
        <v>355</v>
      </c>
    </row>
    <row r="19" spans="1:14" x14ac:dyDescent="0.25">
      <c r="A19" s="1">
        <v>41944</v>
      </c>
      <c r="B19">
        <f t="shared" si="1"/>
        <v>22</v>
      </c>
      <c r="C19">
        <f t="shared" si="1"/>
        <v>438</v>
      </c>
      <c r="D19">
        <f t="shared" si="1"/>
        <v>355</v>
      </c>
      <c r="E19">
        <v>18</v>
      </c>
      <c r="F19">
        <v>163</v>
      </c>
      <c r="G19">
        <v>75</v>
      </c>
      <c r="H19">
        <f t="shared" si="0"/>
        <v>40</v>
      </c>
      <c r="I19">
        <f t="shared" si="0"/>
        <v>601</v>
      </c>
      <c r="J19">
        <f t="shared" si="0"/>
        <v>430</v>
      </c>
      <c r="K19" t="str" cm="1">
        <f t="array" ref="K19">_xlfn.IFS(H19&gt;=$U$1,"kostka",I19&gt;=$U$1*$R$3,"orzech",J19&gt;=$U$1*$R$4,"miał",1=1,"NIC")</f>
        <v>orzech</v>
      </c>
      <c r="L19">
        <f t="shared" si="2"/>
        <v>40</v>
      </c>
      <c r="M19">
        <f t="shared" si="3"/>
        <v>341</v>
      </c>
      <c r="N19">
        <f t="shared" si="4"/>
        <v>430</v>
      </c>
    </row>
    <row r="20" spans="1:14" x14ac:dyDescent="0.25">
      <c r="A20" s="1">
        <v>41945</v>
      </c>
      <c r="B20">
        <f t="shared" si="1"/>
        <v>40</v>
      </c>
      <c r="C20">
        <f t="shared" si="1"/>
        <v>341</v>
      </c>
      <c r="D20">
        <f t="shared" si="1"/>
        <v>430</v>
      </c>
      <c r="E20">
        <v>43</v>
      </c>
      <c r="F20">
        <v>169</v>
      </c>
      <c r="G20">
        <v>0</v>
      </c>
      <c r="H20">
        <f t="shared" si="0"/>
        <v>83</v>
      </c>
      <c r="I20">
        <f t="shared" si="0"/>
        <v>510</v>
      </c>
      <c r="J20">
        <f t="shared" si="0"/>
        <v>430</v>
      </c>
      <c r="K20" t="str" cm="1">
        <f t="array" ref="K20">_xlfn.IFS(H20&gt;=$U$1,"kostka",I20&gt;=$U$1*$R$3,"orzech",J20&gt;=$U$1*$R$4,"miał",1=1,"NIC")</f>
        <v>orzech</v>
      </c>
      <c r="L20">
        <f t="shared" si="2"/>
        <v>83</v>
      </c>
      <c r="M20">
        <f t="shared" si="3"/>
        <v>250</v>
      </c>
      <c r="N20">
        <f t="shared" si="4"/>
        <v>430</v>
      </c>
    </row>
    <row r="21" spans="1:14" x14ac:dyDescent="0.25">
      <c r="A21" s="1">
        <v>41946</v>
      </c>
      <c r="B21">
        <f t="shared" si="1"/>
        <v>83</v>
      </c>
      <c r="C21">
        <f t="shared" si="1"/>
        <v>250</v>
      </c>
      <c r="D21">
        <f t="shared" si="1"/>
        <v>430</v>
      </c>
      <c r="E21">
        <v>160</v>
      </c>
      <c r="F21">
        <v>135</v>
      </c>
      <c r="G21">
        <v>34</v>
      </c>
      <c r="H21">
        <f t="shared" si="0"/>
        <v>243</v>
      </c>
      <c r="I21">
        <f t="shared" si="0"/>
        <v>385</v>
      </c>
      <c r="J21">
        <f t="shared" si="0"/>
        <v>464</v>
      </c>
      <c r="K21" t="str" cm="1">
        <f t="array" ref="K21">_xlfn.IFS(H21&gt;=$U$1,"kostka",I21&gt;=$U$1*$R$3,"orzech",J21&gt;=$U$1*$R$4,"miał",1=1,"NIC")</f>
        <v>kostka</v>
      </c>
      <c r="L21">
        <f t="shared" si="2"/>
        <v>43</v>
      </c>
      <c r="M21">
        <f t="shared" si="3"/>
        <v>385</v>
      </c>
      <c r="N21">
        <f t="shared" si="4"/>
        <v>464</v>
      </c>
    </row>
    <row r="22" spans="1:14" x14ac:dyDescent="0.25">
      <c r="A22" s="1">
        <v>41947</v>
      </c>
      <c r="B22">
        <f t="shared" si="1"/>
        <v>43</v>
      </c>
      <c r="C22">
        <f t="shared" si="1"/>
        <v>385</v>
      </c>
      <c r="D22">
        <f t="shared" si="1"/>
        <v>464</v>
      </c>
      <c r="E22">
        <v>150</v>
      </c>
      <c r="F22">
        <v>89</v>
      </c>
      <c r="G22">
        <v>17</v>
      </c>
      <c r="H22">
        <f t="shared" si="0"/>
        <v>193</v>
      </c>
      <c r="I22">
        <f t="shared" si="0"/>
        <v>474</v>
      </c>
      <c r="J22">
        <f t="shared" si="0"/>
        <v>481</v>
      </c>
      <c r="K22" t="str" cm="1">
        <f t="array" ref="K22">_xlfn.IFS(H22&gt;=$U$1,"kostka",I22&gt;=$U$1*$R$3,"orzech",J22&gt;=$U$1*$R$4,"miał",1=1,"NIC")</f>
        <v>orzech</v>
      </c>
      <c r="L22">
        <f t="shared" si="2"/>
        <v>193</v>
      </c>
      <c r="M22">
        <f t="shared" si="3"/>
        <v>214</v>
      </c>
      <c r="N22">
        <f t="shared" si="4"/>
        <v>481</v>
      </c>
    </row>
    <row r="23" spans="1:14" x14ac:dyDescent="0.25">
      <c r="A23" s="1">
        <v>41948</v>
      </c>
      <c r="B23">
        <f t="shared" si="1"/>
        <v>193</v>
      </c>
      <c r="C23">
        <f t="shared" si="1"/>
        <v>214</v>
      </c>
      <c r="D23">
        <f t="shared" si="1"/>
        <v>481</v>
      </c>
      <c r="E23">
        <v>57</v>
      </c>
      <c r="F23">
        <v>109</v>
      </c>
      <c r="G23">
        <v>93</v>
      </c>
      <c r="H23">
        <f t="shared" si="0"/>
        <v>250</v>
      </c>
      <c r="I23">
        <f t="shared" si="0"/>
        <v>323</v>
      </c>
      <c r="J23">
        <f t="shared" si="0"/>
        <v>574</v>
      </c>
      <c r="K23" t="str" cm="1">
        <f t="array" ref="K23">_xlfn.IFS(H23&gt;=$U$1,"kostka",I23&gt;=$U$1*$R$3,"orzech",J23&gt;=$U$1*$R$4,"miał",1=1,"NIC")</f>
        <v>kostka</v>
      </c>
      <c r="L23">
        <f t="shared" si="2"/>
        <v>50</v>
      </c>
      <c r="M23">
        <f t="shared" si="3"/>
        <v>323</v>
      </c>
      <c r="N23">
        <f t="shared" si="4"/>
        <v>574</v>
      </c>
    </row>
    <row r="24" spans="1:14" x14ac:dyDescent="0.25">
      <c r="A24" s="1">
        <v>41949</v>
      </c>
      <c r="B24">
        <f t="shared" si="1"/>
        <v>50</v>
      </c>
      <c r="C24">
        <f t="shared" si="1"/>
        <v>323</v>
      </c>
      <c r="D24">
        <f t="shared" si="1"/>
        <v>574</v>
      </c>
      <c r="E24">
        <v>62</v>
      </c>
      <c r="F24">
        <v>80</v>
      </c>
      <c r="G24">
        <v>62</v>
      </c>
      <c r="H24">
        <f t="shared" si="0"/>
        <v>112</v>
      </c>
      <c r="I24">
        <f t="shared" si="0"/>
        <v>403</v>
      </c>
      <c r="J24">
        <f t="shared" si="0"/>
        <v>636</v>
      </c>
      <c r="K24" t="str" cm="1">
        <f t="array" ref="K24">_xlfn.IFS(H24&gt;=$U$1,"kostka",I24&gt;=$U$1*$R$3,"orzech",J24&gt;=$U$1*$R$4,"miał",1=1,"NIC")</f>
        <v>orzech</v>
      </c>
      <c r="L24">
        <f t="shared" si="2"/>
        <v>112</v>
      </c>
      <c r="M24">
        <f t="shared" si="3"/>
        <v>143</v>
      </c>
      <c r="N24">
        <f t="shared" si="4"/>
        <v>636</v>
      </c>
    </row>
    <row r="25" spans="1:14" x14ac:dyDescent="0.25">
      <c r="A25" s="1">
        <v>41950</v>
      </c>
      <c r="B25">
        <f t="shared" si="1"/>
        <v>112</v>
      </c>
      <c r="C25">
        <f t="shared" si="1"/>
        <v>143</v>
      </c>
      <c r="D25">
        <f t="shared" si="1"/>
        <v>636</v>
      </c>
      <c r="E25">
        <v>162</v>
      </c>
      <c r="F25">
        <v>62</v>
      </c>
      <c r="G25">
        <v>88</v>
      </c>
      <c r="H25">
        <f t="shared" si="0"/>
        <v>274</v>
      </c>
      <c r="I25">
        <f t="shared" si="0"/>
        <v>205</v>
      </c>
      <c r="J25">
        <f t="shared" si="0"/>
        <v>724</v>
      </c>
      <c r="K25" t="str" cm="1">
        <f t="array" ref="K25">_xlfn.IFS(H25&gt;=$U$1,"kostka",I25&gt;=$U$1*$R$3,"orzech",J25&gt;=$U$1*$R$4,"miał",1=1,"NIC")</f>
        <v>kostka</v>
      </c>
      <c r="L25">
        <f t="shared" si="2"/>
        <v>74</v>
      </c>
      <c r="M25">
        <f t="shared" si="3"/>
        <v>205</v>
      </c>
      <c r="N25">
        <f t="shared" si="4"/>
        <v>724</v>
      </c>
    </row>
    <row r="26" spans="1:14" x14ac:dyDescent="0.25">
      <c r="A26" s="1">
        <v>41951</v>
      </c>
      <c r="B26">
        <f t="shared" si="1"/>
        <v>74</v>
      </c>
      <c r="C26">
        <f t="shared" si="1"/>
        <v>205</v>
      </c>
      <c r="D26">
        <f t="shared" si="1"/>
        <v>724</v>
      </c>
      <c r="E26">
        <v>142</v>
      </c>
      <c r="F26">
        <v>79</v>
      </c>
      <c r="G26">
        <v>76</v>
      </c>
      <c r="H26">
        <f t="shared" si="0"/>
        <v>216</v>
      </c>
      <c r="I26">
        <f t="shared" si="0"/>
        <v>284</v>
      </c>
      <c r="J26">
        <f t="shared" si="0"/>
        <v>800</v>
      </c>
      <c r="K26" t="str" cm="1">
        <f t="array" ref="K26">_xlfn.IFS(H26&gt;=$U$1,"kostka",I26&gt;=$U$1*$R$3,"orzech",J26&gt;=$U$1*$R$4,"miał",1=1,"NIC")</f>
        <v>kostka</v>
      </c>
      <c r="L26">
        <f t="shared" si="2"/>
        <v>16</v>
      </c>
      <c r="M26">
        <f t="shared" si="3"/>
        <v>284</v>
      </c>
      <c r="N26">
        <f t="shared" si="4"/>
        <v>800</v>
      </c>
    </row>
    <row r="27" spans="1:14" x14ac:dyDescent="0.25">
      <c r="A27" s="1">
        <v>41952</v>
      </c>
      <c r="B27">
        <f t="shared" si="1"/>
        <v>16</v>
      </c>
      <c r="C27">
        <f t="shared" si="1"/>
        <v>284</v>
      </c>
      <c r="D27">
        <f t="shared" si="1"/>
        <v>800</v>
      </c>
      <c r="E27">
        <v>7</v>
      </c>
      <c r="F27">
        <v>30</v>
      </c>
      <c r="G27">
        <v>68</v>
      </c>
      <c r="H27">
        <f t="shared" si="0"/>
        <v>23</v>
      </c>
      <c r="I27">
        <f t="shared" si="0"/>
        <v>314</v>
      </c>
      <c r="J27">
        <f t="shared" si="0"/>
        <v>868</v>
      </c>
      <c r="K27" t="str" cm="1">
        <f t="array" ref="K27">_xlfn.IFS(H27&gt;=$U$1,"kostka",I27&gt;=$U$1*$R$3,"orzech",J27&gt;=$U$1*$R$4,"miał",1=1,"NIC")</f>
        <v>orzech</v>
      </c>
      <c r="L27">
        <f t="shared" si="2"/>
        <v>23</v>
      </c>
      <c r="M27">
        <f t="shared" si="3"/>
        <v>54</v>
      </c>
      <c r="N27">
        <f t="shared" si="4"/>
        <v>868</v>
      </c>
    </row>
    <row r="28" spans="1:14" x14ac:dyDescent="0.25">
      <c r="A28" s="1">
        <v>41953</v>
      </c>
      <c r="B28">
        <f t="shared" si="1"/>
        <v>23</v>
      </c>
      <c r="C28">
        <f t="shared" si="1"/>
        <v>54</v>
      </c>
      <c r="D28">
        <f t="shared" si="1"/>
        <v>868</v>
      </c>
      <c r="E28">
        <v>116</v>
      </c>
      <c r="F28">
        <v>6</v>
      </c>
      <c r="G28">
        <v>88</v>
      </c>
      <c r="H28">
        <f t="shared" si="0"/>
        <v>139</v>
      </c>
      <c r="I28">
        <f t="shared" si="0"/>
        <v>60</v>
      </c>
      <c r="J28">
        <f t="shared" si="0"/>
        <v>956</v>
      </c>
      <c r="K28" t="str" cm="1">
        <f t="array" ref="K28">_xlfn.IFS(H28&gt;=$U$1,"kostka",I28&gt;=$U$1*$R$3,"orzech",J28&gt;=$U$1*$R$4,"miał",1=1,"NIC")</f>
        <v>miał</v>
      </c>
      <c r="L28">
        <f t="shared" si="2"/>
        <v>139</v>
      </c>
      <c r="M28">
        <f t="shared" si="3"/>
        <v>60</v>
      </c>
      <c r="N28">
        <f t="shared" si="4"/>
        <v>636</v>
      </c>
    </row>
    <row r="29" spans="1:14" x14ac:dyDescent="0.25">
      <c r="A29" s="1">
        <v>41954</v>
      </c>
      <c r="B29">
        <f t="shared" si="1"/>
        <v>139</v>
      </c>
      <c r="C29">
        <f t="shared" si="1"/>
        <v>60</v>
      </c>
      <c r="D29">
        <f t="shared" si="1"/>
        <v>636</v>
      </c>
      <c r="E29">
        <v>0</v>
      </c>
      <c r="F29">
        <v>1</v>
      </c>
      <c r="G29">
        <v>47</v>
      </c>
      <c r="H29">
        <f t="shared" si="0"/>
        <v>139</v>
      </c>
      <c r="I29">
        <f t="shared" si="0"/>
        <v>61</v>
      </c>
      <c r="J29">
        <f t="shared" si="0"/>
        <v>683</v>
      </c>
      <c r="K29" t="str" cm="1">
        <f t="array" ref="K29">_xlfn.IFS(H29&gt;=$U$1,"kostka",I29&gt;=$U$1*$R$3,"orzech",J29&gt;=$U$1*$R$4,"miał",1=1,"NIC")</f>
        <v>miał</v>
      </c>
      <c r="L29">
        <f t="shared" si="2"/>
        <v>139</v>
      </c>
      <c r="M29">
        <f t="shared" si="3"/>
        <v>61</v>
      </c>
      <c r="N29">
        <f t="shared" si="4"/>
        <v>363</v>
      </c>
    </row>
    <row r="30" spans="1:14" x14ac:dyDescent="0.25">
      <c r="A30" s="1">
        <v>41955</v>
      </c>
      <c r="B30">
        <f t="shared" si="1"/>
        <v>139</v>
      </c>
      <c r="C30">
        <f t="shared" si="1"/>
        <v>61</v>
      </c>
      <c r="D30">
        <f t="shared" si="1"/>
        <v>363</v>
      </c>
      <c r="E30">
        <v>78</v>
      </c>
      <c r="F30">
        <v>84</v>
      </c>
      <c r="G30">
        <v>16</v>
      </c>
      <c r="H30">
        <f t="shared" si="0"/>
        <v>217</v>
      </c>
      <c r="I30">
        <f t="shared" si="0"/>
        <v>145</v>
      </c>
      <c r="J30">
        <f t="shared" si="0"/>
        <v>379</v>
      </c>
      <c r="K30" t="str" cm="1">
        <f t="array" ref="K30">_xlfn.IFS(H30&gt;=$U$1,"kostka",I30&gt;=$U$1*$R$3,"orzech",J30&gt;=$U$1*$R$4,"miał",1=1,"NIC")</f>
        <v>kostka</v>
      </c>
      <c r="L30">
        <f t="shared" si="2"/>
        <v>17</v>
      </c>
      <c r="M30">
        <f t="shared" si="3"/>
        <v>145</v>
      </c>
      <c r="N30">
        <f t="shared" si="4"/>
        <v>379</v>
      </c>
    </row>
    <row r="31" spans="1:14" x14ac:dyDescent="0.25">
      <c r="A31" s="1">
        <v>41956</v>
      </c>
      <c r="B31">
        <f t="shared" si="1"/>
        <v>17</v>
      </c>
      <c r="C31">
        <f t="shared" si="1"/>
        <v>145</v>
      </c>
      <c r="D31">
        <f t="shared" si="1"/>
        <v>379</v>
      </c>
      <c r="E31">
        <v>112</v>
      </c>
      <c r="F31">
        <v>140</v>
      </c>
      <c r="G31">
        <v>97</v>
      </c>
      <c r="H31">
        <f t="shared" si="0"/>
        <v>129</v>
      </c>
      <c r="I31">
        <f t="shared" si="0"/>
        <v>285</v>
      </c>
      <c r="J31">
        <f t="shared" si="0"/>
        <v>476</v>
      </c>
      <c r="K31" t="str" cm="1">
        <f t="array" ref="K31">_xlfn.IFS(H31&gt;=$U$1,"kostka",I31&gt;=$U$1*$R$3,"orzech",J31&gt;=$U$1*$R$4,"miał",1=1,"NIC")</f>
        <v>orzech</v>
      </c>
      <c r="L31">
        <f t="shared" si="2"/>
        <v>129</v>
      </c>
      <c r="M31">
        <f t="shared" si="3"/>
        <v>25</v>
      </c>
      <c r="N31">
        <f t="shared" si="4"/>
        <v>476</v>
      </c>
    </row>
    <row r="32" spans="1:14" x14ac:dyDescent="0.25">
      <c r="A32" s="1">
        <v>41957</v>
      </c>
      <c r="B32">
        <f t="shared" si="1"/>
        <v>129</v>
      </c>
      <c r="C32">
        <f t="shared" si="1"/>
        <v>25</v>
      </c>
      <c r="D32">
        <f t="shared" si="1"/>
        <v>476</v>
      </c>
      <c r="E32">
        <v>109</v>
      </c>
      <c r="F32">
        <v>74</v>
      </c>
      <c r="G32">
        <v>53</v>
      </c>
      <c r="H32">
        <f t="shared" si="0"/>
        <v>238</v>
      </c>
      <c r="I32">
        <f t="shared" si="0"/>
        <v>99</v>
      </c>
      <c r="J32">
        <f t="shared" si="0"/>
        <v>529</v>
      </c>
      <c r="K32" t="str" cm="1">
        <f t="array" ref="K32">_xlfn.IFS(H32&gt;=$U$1,"kostka",I32&gt;=$U$1*$R$3,"orzech",J32&gt;=$U$1*$R$4,"miał",1=1,"NIC")</f>
        <v>kostka</v>
      </c>
      <c r="L32">
        <f t="shared" si="2"/>
        <v>38</v>
      </c>
      <c r="M32">
        <f t="shared" si="3"/>
        <v>99</v>
      </c>
      <c r="N32">
        <f t="shared" si="4"/>
        <v>529</v>
      </c>
    </row>
    <row r="33" spans="1:14" x14ac:dyDescent="0.25">
      <c r="A33" s="1">
        <v>41958</v>
      </c>
      <c r="B33">
        <f t="shared" si="1"/>
        <v>38</v>
      </c>
      <c r="C33">
        <f t="shared" si="1"/>
        <v>99</v>
      </c>
      <c r="D33">
        <f t="shared" si="1"/>
        <v>529</v>
      </c>
      <c r="E33">
        <v>121</v>
      </c>
      <c r="F33">
        <v>77</v>
      </c>
      <c r="G33">
        <v>70</v>
      </c>
      <c r="H33">
        <f t="shared" si="0"/>
        <v>159</v>
      </c>
      <c r="I33">
        <f t="shared" si="0"/>
        <v>176</v>
      </c>
      <c r="J33">
        <f t="shared" si="0"/>
        <v>599</v>
      </c>
      <c r="K33" t="str" cm="1">
        <f t="array" ref="K33">_xlfn.IFS(H33&gt;=$U$1,"kostka",I33&gt;=$U$1*$R$3,"orzech",J33&gt;=$U$1*$R$4,"miał",1=1,"NIC")</f>
        <v>miał</v>
      </c>
      <c r="L33">
        <f t="shared" si="2"/>
        <v>159</v>
      </c>
      <c r="M33">
        <f t="shared" si="3"/>
        <v>176</v>
      </c>
      <c r="N33">
        <f t="shared" si="4"/>
        <v>279</v>
      </c>
    </row>
    <row r="34" spans="1:14" x14ac:dyDescent="0.25">
      <c r="A34" s="1">
        <v>41959</v>
      </c>
      <c r="B34">
        <f t="shared" si="1"/>
        <v>159</v>
      </c>
      <c r="C34">
        <f t="shared" si="1"/>
        <v>176</v>
      </c>
      <c r="D34">
        <f t="shared" si="1"/>
        <v>279</v>
      </c>
      <c r="E34">
        <v>106</v>
      </c>
      <c r="F34">
        <v>89</v>
      </c>
      <c r="G34">
        <v>75</v>
      </c>
      <c r="H34">
        <f t="shared" si="0"/>
        <v>265</v>
      </c>
      <c r="I34">
        <f t="shared" si="0"/>
        <v>265</v>
      </c>
      <c r="J34">
        <f t="shared" si="0"/>
        <v>354</v>
      </c>
      <c r="K34" t="str" cm="1">
        <f t="array" ref="K34">_xlfn.IFS(H34&gt;=$U$1,"kostka",I34&gt;=$U$1*$R$3,"orzech",J34&gt;=$U$1*$R$4,"miał",1=1,"NIC")</f>
        <v>kostka</v>
      </c>
      <c r="L34">
        <f t="shared" si="2"/>
        <v>65</v>
      </c>
      <c r="M34">
        <f t="shared" si="3"/>
        <v>265</v>
      </c>
      <c r="N34">
        <f t="shared" si="4"/>
        <v>354</v>
      </c>
    </row>
    <row r="35" spans="1:14" x14ac:dyDescent="0.25">
      <c r="A35" s="1">
        <v>41960</v>
      </c>
      <c r="B35">
        <f t="shared" si="1"/>
        <v>65</v>
      </c>
      <c r="C35">
        <f t="shared" si="1"/>
        <v>265</v>
      </c>
      <c r="D35">
        <f t="shared" si="1"/>
        <v>354</v>
      </c>
      <c r="E35">
        <v>57</v>
      </c>
      <c r="F35">
        <v>119</v>
      </c>
      <c r="G35">
        <v>64</v>
      </c>
      <c r="H35">
        <f t="shared" si="0"/>
        <v>122</v>
      </c>
      <c r="I35">
        <f t="shared" si="0"/>
        <v>384</v>
      </c>
      <c r="J35">
        <f t="shared" si="0"/>
        <v>418</v>
      </c>
      <c r="K35" t="str" cm="1">
        <f t="array" ref="K35">_xlfn.IFS(H35&gt;=$U$1,"kostka",I35&gt;=$U$1*$R$3,"orzech",J35&gt;=$U$1*$R$4,"miał",1=1,"NIC")</f>
        <v>orzech</v>
      </c>
      <c r="L35">
        <f t="shared" si="2"/>
        <v>122</v>
      </c>
      <c r="M35">
        <f t="shared" si="3"/>
        <v>124</v>
      </c>
      <c r="N35">
        <f t="shared" si="4"/>
        <v>418</v>
      </c>
    </row>
    <row r="36" spans="1:14" x14ac:dyDescent="0.25">
      <c r="A36" s="1">
        <v>41961</v>
      </c>
      <c r="B36">
        <f t="shared" si="1"/>
        <v>122</v>
      </c>
      <c r="C36">
        <f t="shared" si="1"/>
        <v>124</v>
      </c>
      <c r="D36">
        <f t="shared" si="1"/>
        <v>418</v>
      </c>
      <c r="E36">
        <v>26</v>
      </c>
      <c r="F36">
        <v>87</v>
      </c>
      <c r="G36">
        <v>84</v>
      </c>
      <c r="H36">
        <f t="shared" si="0"/>
        <v>148</v>
      </c>
      <c r="I36">
        <f t="shared" si="0"/>
        <v>211</v>
      </c>
      <c r="J36">
        <f t="shared" si="0"/>
        <v>502</v>
      </c>
      <c r="K36" t="str" cm="1">
        <f t="array" ref="K36">_xlfn.IFS(H36&gt;=$U$1,"kostka",I36&gt;=$U$1*$R$3,"orzech",J36&gt;=$U$1*$R$4,"miał",1=1,"NIC")</f>
        <v>miał</v>
      </c>
      <c r="L36">
        <f t="shared" si="2"/>
        <v>148</v>
      </c>
      <c r="M36">
        <f t="shared" si="3"/>
        <v>211</v>
      </c>
      <c r="N36">
        <f t="shared" si="4"/>
        <v>182</v>
      </c>
    </row>
    <row r="37" spans="1:14" x14ac:dyDescent="0.25">
      <c r="A37" s="1">
        <v>41962</v>
      </c>
      <c r="B37">
        <f t="shared" si="1"/>
        <v>148</v>
      </c>
      <c r="C37">
        <f t="shared" si="1"/>
        <v>211</v>
      </c>
      <c r="D37">
        <f t="shared" si="1"/>
        <v>182</v>
      </c>
      <c r="E37">
        <v>79</v>
      </c>
      <c r="F37">
        <v>171</v>
      </c>
      <c r="G37">
        <v>75</v>
      </c>
      <c r="H37">
        <f t="shared" si="0"/>
        <v>227</v>
      </c>
      <c r="I37">
        <f t="shared" si="0"/>
        <v>382</v>
      </c>
      <c r="J37">
        <f t="shared" si="0"/>
        <v>257</v>
      </c>
      <c r="K37" t="str" cm="1">
        <f t="array" ref="K37">_xlfn.IFS(H37&gt;=$U$1,"kostka",I37&gt;=$U$1*$R$3,"orzech",J37&gt;=$U$1*$R$4,"miał",1=1,"NIC")</f>
        <v>kostka</v>
      </c>
      <c r="L37">
        <f t="shared" si="2"/>
        <v>27</v>
      </c>
      <c r="M37">
        <f t="shared" si="3"/>
        <v>382</v>
      </c>
      <c r="N37">
        <f t="shared" si="4"/>
        <v>257</v>
      </c>
    </row>
    <row r="38" spans="1:14" x14ac:dyDescent="0.25">
      <c r="A38" s="1">
        <v>41963</v>
      </c>
      <c r="B38">
        <f t="shared" si="1"/>
        <v>27</v>
      </c>
      <c r="C38">
        <f t="shared" si="1"/>
        <v>382</v>
      </c>
      <c r="D38">
        <f t="shared" si="1"/>
        <v>257</v>
      </c>
      <c r="E38">
        <v>192</v>
      </c>
      <c r="F38">
        <v>151</v>
      </c>
      <c r="G38">
        <v>45</v>
      </c>
      <c r="H38">
        <f t="shared" si="0"/>
        <v>219</v>
      </c>
      <c r="I38">
        <f t="shared" si="0"/>
        <v>533</v>
      </c>
      <c r="J38">
        <f t="shared" si="0"/>
        <v>302</v>
      </c>
      <c r="K38" t="str" cm="1">
        <f t="array" ref="K38">_xlfn.IFS(H38&gt;=$U$1,"kostka",I38&gt;=$U$1*$R$3,"orzech",J38&gt;=$U$1*$R$4,"miał",1=1,"NIC")</f>
        <v>kostka</v>
      </c>
      <c r="L38">
        <f t="shared" si="2"/>
        <v>19</v>
      </c>
      <c r="M38">
        <f t="shared" si="3"/>
        <v>533</v>
      </c>
      <c r="N38">
        <f t="shared" si="4"/>
        <v>302</v>
      </c>
    </row>
    <row r="39" spans="1:14" x14ac:dyDescent="0.25">
      <c r="A39" s="1">
        <v>41964</v>
      </c>
      <c r="B39">
        <f t="shared" si="1"/>
        <v>19</v>
      </c>
      <c r="C39">
        <f t="shared" si="1"/>
        <v>533</v>
      </c>
      <c r="D39">
        <f t="shared" si="1"/>
        <v>302</v>
      </c>
      <c r="E39">
        <v>9</v>
      </c>
      <c r="F39">
        <v>64</v>
      </c>
      <c r="G39">
        <v>22</v>
      </c>
      <c r="H39">
        <f t="shared" si="0"/>
        <v>28</v>
      </c>
      <c r="I39">
        <f t="shared" si="0"/>
        <v>597</v>
      </c>
      <c r="J39">
        <f t="shared" si="0"/>
        <v>324</v>
      </c>
      <c r="K39" t="str" cm="1">
        <f t="array" ref="K39">_xlfn.IFS(H39&gt;=$U$1,"kostka",I39&gt;=$U$1*$R$3,"orzech",J39&gt;=$U$1*$R$4,"miał",1=1,"NIC")</f>
        <v>orzech</v>
      </c>
      <c r="L39">
        <f t="shared" si="2"/>
        <v>28</v>
      </c>
      <c r="M39">
        <f t="shared" si="3"/>
        <v>337</v>
      </c>
      <c r="N39">
        <f t="shared" si="4"/>
        <v>324</v>
      </c>
    </row>
    <row r="40" spans="1:14" x14ac:dyDescent="0.25">
      <c r="A40" s="1">
        <v>41965</v>
      </c>
      <c r="B40">
        <f t="shared" si="1"/>
        <v>28</v>
      </c>
      <c r="C40">
        <f t="shared" si="1"/>
        <v>337</v>
      </c>
      <c r="D40">
        <f t="shared" si="1"/>
        <v>324</v>
      </c>
      <c r="E40">
        <v>123</v>
      </c>
      <c r="F40">
        <v>150</v>
      </c>
      <c r="G40">
        <v>10</v>
      </c>
      <c r="H40">
        <f t="shared" si="0"/>
        <v>151</v>
      </c>
      <c r="I40">
        <f t="shared" si="0"/>
        <v>487</v>
      </c>
      <c r="J40">
        <f t="shared" si="0"/>
        <v>334</v>
      </c>
      <c r="K40" t="str" cm="1">
        <f t="array" ref="K40">_xlfn.IFS(H40&gt;=$U$1,"kostka",I40&gt;=$U$1*$R$3,"orzech",J40&gt;=$U$1*$R$4,"miał",1=1,"NIC")</f>
        <v>orzech</v>
      </c>
      <c r="L40">
        <f t="shared" si="2"/>
        <v>151</v>
      </c>
      <c r="M40">
        <f t="shared" si="3"/>
        <v>227</v>
      </c>
      <c r="N40">
        <f t="shared" si="4"/>
        <v>334</v>
      </c>
    </row>
    <row r="41" spans="1:14" x14ac:dyDescent="0.25">
      <c r="A41" s="1">
        <v>41966</v>
      </c>
      <c r="B41">
        <f t="shared" si="1"/>
        <v>151</v>
      </c>
      <c r="C41">
        <f t="shared" si="1"/>
        <v>227</v>
      </c>
      <c r="D41">
        <f t="shared" si="1"/>
        <v>334</v>
      </c>
      <c r="E41">
        <v>87</v>
      </c>
      <c r="F41">
        <v>123</v>
      </c>
      <c r="G41">
        <v>33</v>
      </c>
      <c r="H41">
        <f t="shared" si="0"/>
        <v>238</v>
      </c>
      <c r="I41">
        <f t="shared" si="0"/>
        <v>350</v>
      </c>
      <c r="J41">
        <f t="shared" si="0"/>
        <v>367</v>
      </c>
      <c r="K41" t="str" cm="1">
        <f t="array" ref="K41">_xlfn.IFS(H41&gt;=$U$1,"kostka",I41&gt;=$U$1*$R$3,"orzech",J41&gt;=$U$1*$R$4,"miał",1=1,"NIC")</f>
        <v>kostka</v>
      </c>
      <c r="L41">
        <f t="shared" si="2"/>
        <v>38</v>
      </c>
      <c r="M41">
        <f t="shared" si="3"/>
        <v>350</v>
      </c>
      <c r="N41">
        <f t="shared" si="4"/>
        <v>367</v>
      </c>
    </row>
    <row r="42" spans="1:14" x14ac:dyDescent="0.25">
      <c r="A42" s="1">
        <v>41967</v>
      </c>
      <c r="B42">
        <f t="shared" si="1"/>
        <v>38</v>
      </c>
      <c r="C42">
        <f t="shared" si="1"/>
        <v>350</v>
      </c>
      <c r="D42">
        <f t="shared" si="1"/>
        <v>367</v>
      </c>
      <c r="E42">
        <v>165</v>
      </c>
      <c r="F42">
        <v>88</v>
      </c>
      <c r="G42">
        <v>13</v>
      </c>
      <c r="H42">
        <f t="shared" si="0"/>
        <v>203</v>
      </c>
      <c r="I42">
        <f t="shared" si="0"/>
        <v>438</v>
      </c>
      <c r="J42">
        <f t="shared" si="0"/>
        <v>380</v>
      </c>
      <c r="K42" t="str" cm="1">
        <f t="array" ref="K42">_xlfn.IFS(H42&gt;=$U$1,"kostka",I42&gt;=$U$1*$R$3,"orzech",J42&gt;=$U$1*$R$4,"miał",1=1,"NIC")</f>
        <v>kostka</v>
      </c>
      <c r="L42">
        <f t="shared" si="2"/>
        <v>3</v>
      </c>
      <c r="M42">
        <f t="shared" si="3"/>
        <v>438</v>
      </c>
      <c r="N42">
        <f t="shared" si="4"/>
        <v>380</v>
      </c>
    </row>
    <row r="43" spans="1:14" x14ac:dyDescent="0.25">
      <c r="A43" s="1">
        <v>41968</v>
      </c>
      <c r="B43">
        <f t="shared" si="1"/>
        <v>3</v>
      </c>
      <c r="C43">
        <f t="shared" si="1"/>
        <v>438</v>
      </c>
      <c r="D43">
        <f t="shared" si="1"/>
        <v>380</v>
      </c>
      <c r="E43">
        <v>144</v>
      </c>
      <c r="F43">
        <v>78</v>
      </c>
      <c r="G43">
        <v>82</v>
      </c>
      <c r="H43">
        <f t="shared" si="0"/>
        <v>147</v>
      </c>
      <c r="I43">
        <f t="shared" si="0"/>
        <v>516</v>
      </c>
      <c r="J43">
        <f t="shared" si="0"/>
        <v>462</v>
      </c>
      <c r="K43" t="str" cm="1">
        <f t="array" ref="K43">_xlfn.IFS(H43&gt;=$U$1,"kostka",I43&gt;=$U$1*$R$3,"orzech",J43&gt;=$U$1*$R$4,"miał",1=1,"NIC")</f>
        <v>orzech</v>
      </c>
      <c r="L43">
        <f t="shared" si="2"/>
        <v>147</v>
      </c>
      <c r="M43">
        <f t="shared" si="3"/>
        <v>256</v>
      </c>
      <c r="N43">
        <f t="shared" si="4"/>
        <v>462</v>
      </c>
    </row>
    <row r="44" spans="1:14" x14ac:dyDescent="0.25">
      <c r="A44" s="1">
        <v>41969</v>
      </c>
      <c r="B44">
        <f t="shared" si="1"/>
        <v>147</v>
      </c>
      <c r="C44">
        <f t="shared" si="1"/>
        <v>256</v>
      </c>
      <c r="D44">
        <f t="shared" si="1"/>
        <v>462</v>
      </c>
      <c r="E44">
        <v>54</v>
      </c>
      <c r="F44">
        <v>38</v>
      </c>
      <c r="G44">
        <v>68</v>
      </c>
      <c r="H44">
        <f t="shared" si="0"/>
        <v>201</v>
      </c>
      <c r="I44">
        <f t="shared" si="0"/>
        <v>294</v>
      </c>
      <c r="J44">
        <f t="shared" si="0"/>
        <v>530</v>
      </c>
      <c r="K44" t="str" cm="1">
        <f t="array" ref="K44">_xlfn.IFS(H44&gt;=$U$1,"kostka",I44&gt;=$U$1*$R$3,"orzech",J44&gt;=$U$1*$R$4,"miał",1=1,"NIC")</f>
        <v>kostka</v>
      </c>
      <c r="L44">
        <f t="shared" si="2"/>
        <v>1</v>
      </c>
      <c r="M44">
        <f t="shared" si="3"/>
        <v>294</v>
      </c>
      <c r="N44">
        <f t="shared" si="4"/>
        <v>530</v>
      </c>
    </row>
    <row r="45" spans="1:14" x14ac:dyDescent="0.25">
      <c r="A45" s="1">
        <v>41970</v>
      </c>
      <c r="B45">
        <f t="shared" si="1"/>
        <v>1</v>
      </c>
      <c r="C45">
        <f t="shared" si="1"/>
        <v>294</v>
      </c>
      <c r="D45">
        <f t="shared" si="1"/>
        <v>530</v>
      </c>
      <c r="E45">
        <v>188</v>
      </c>
      <c r="F45">
        <v>44</v>
      </c>
      <c r="G45">
        <v>86</v>
      </c>
      <c r="H45">
        <f t="shared" si="0"/>
        <v>189</v>
      </c>
      <c r="I45">
        <f t="shared" si="0"/>
        <v>338</v>
      </c>
      <c r="J45">
        <f t="shared" si="0"/>
        <v>616</v>
      </c>
      <c r="K45" t="str" cm="1">
        <f t="array" ref="K45">_xlfn.IFS(H45&gt;=$U$1,"kostka",I45&gt;=$U$1*$R$3,"orzech",J45&gt;=$U$1*$R$4,"miał",1=1,"NIC")</f>
        <v>orzech</v>
      </c>
      <c r="L45">
        <f t="shared" si="2"/>
        <v>189</v>
      </c>
      <c r="M45">
        <f t="shared" si="3"/>
        <v>78</v>
      </c>
      <c r="N45">
        <f t="shared" si="4"/>
        <v>616</v>
      </c>
    </row>
    <row r="46" spans="1:14" x14ac:dyDescent="0.25">
      <c r="A46" s="1">
        <v>41971</v>
      </c>
      <c r="B46">
        <f t="shared" si="1"/>
        <v>189</v>
      </c>
      <c r="C46">
        <f t="shared" si="1"/>
        <v>78</v>
      </c>
      <c r="D46">
        <f t="shared" si="1"/>
        <v>616</v>
      </c>
      <c r="E46">
        <v>165</v>
      </c>
      <c r="F46">
        <v>170</v>
      </c>
      <c r="G46">
        <v>62</v>
      </c>
      <c r="H46">
        <f t="shared" si="0"/>
        <v>354</v>
      </c>
      <c r="I46">
        <f t="shared" si="0"/>
        <v>248</v>
      </c>
      <c r="J46">
        <f t="shared" si="0"/>
        <v>678</v>
      </c>
      <c r="K46" t="str" cm="1">
        <f t="array" ref="K46">_xlfn.IFS(H46&gt;=$U$1,"kostka",I46&gt;=$U$1*$R$3,"orzech",J46&gt;=$U$1*$R$4,"miał",1=1,"NIC")</f>
        <v>kostka</v>
      </c>
      <c r="L46">
        <f t="shared" si="2"/>
        <v>154</v>
      </c>
      <c r="M46">
        <f t="shared" si="3"/>
        <v>248</v>
      </c>
      <c r="N46">
        <f t="shared" si="4"/>
        <v>678</v>
      </c>
    </row>
    <row r="47" spans="1:14" x14ac:dyDescent="0.25">
      <c r="A47" s="1">
        <v>41972</v>
      </c>
      <c r="B47">
        <f t="shared" si="1"/>
        <v>154</v>
      </c>
      <c r="C47">
        <f t="shared" si="1"/>
        <v>248</v>
      </c>
      <c r="D47">
        <f t="shared" si="1"/>
        <v>678</v>
      </c>
      <c r="E47">
        <v>24</v>
      </c>
      <c r="F47">
        <v>94</v>
      </c>
      <c r="G47">
        <v>87</v>
      </c>
      <c r="H47">
        <f t="shared" si="0"/>
        <v>178</v>
      </c>
      <c r="I47">
        <f t="shared" si="0"/>
        <v>342</v>
      </c>
      <c r="J47">
        <f t="shared" si="0"/>
        <v>765</v>
      </c>
      <c r="K47" t="str" cm="1">
        <f t="array" ref="K47">_xlfn.IFS(H47&gt;=$U$1,"kostka",I47&gt;=$U$1*$R$3,"orzech",J47&gt;=$U$1*$R$4,"miał",1=1,"NIC")</f>
        <v>orzech</v>
      </c>
      <c r="L47">
        <f t="shared" si="2"/>
        <v>178</v>
      </c>
      <c r="M47">
        <f t="shared" si="3"/>
        <v>82</v>
      </c>
      <c r="N47">
        <f t="shared" si="4"/>
        <v>765</v>
      </c>
    </row>
    <row r="48" spans="1:14" x14ac:dyDescent="0.25">
      <c r="A48" s="1">
        <v>41973</v>
      </c>
      <c r="B48">
        <f t="shared" si="1"/>
        <v>178</v>
      </c>
      <c r="C48">
        <f t="shared" si="1"/>
        <v>82</v>
      </c>
      <c r="D48">
        <f t="shared" si="1"/>
        <v>765</v>
      </c>
      <c r="E48">
        <v>0</v>
      </c>
      <c r="F48">
        <v>120</v>
      </c>
      <c r="G48">
        <v>60</v>
      </c>
      <c r="H48">
        <f t="shared" si="0"/>
        <v>178</v>
      </c>
      <c r="I48">
        <f t="shared" si="0"/>
        <v>202</v>
      </c>
      <c r="J48">
        <f t="shared" si="0"/>
        <v>825</v>
      </c>
      <c r="K48" t="str" cm="1">
        <f t="array" ref="K48">_xlfn.IFS(H48&gt;=$U$1,"kostka",I48&gt;=$U$1*$R$3,"orzech",J48&gt;=$U$1*$R$4,"miał",1=1,"NIC")</f>
        <v>miał</v>
      </c>
      <c r="L48">
        <f t="shared" si="2"/>
        <v>178</v>
      </c>
      <c r="M48">
        <f t="shared" si="3"/>
        <v>202</v>
      </c>
      <c r="N48">
        <f t="shared" si="4"/>
        <v>505</v>
      </c>
    </row>
    <row r="49" spans="1:14" x14ac:dyDescent="0.25">
      <c r="A49" s="1">
        <v>41974</v>
      </c>
      <c r="B49">
        <f t="shared" si="1"/>
        <v>178</v>
      </c>
      <c r="C49">
        <f t="shared" si="1"/>
        <v>202</v>
      </c>
      <c r="D49">
        <f t="shared" si="1"/>
        <v>505</v>
      </c>
      <c r="E49">
        <v>101</v>
      </c>
      <c r="F49">
        <v>53</v>
      </c>
      <c r="G49">
        <v>62</v>
      </c>
      <c r="H49">
        <f t="shared" si="0"/>
        <v>279</v>
      </c>
      <c r="I49">
        <f t="shared" si="0"/>
        <v>255</v>
      </c>
      <c r="J49">
        <f t="shared" si="0"/>
        <v>567</v>
      </c>
      <c r="K49" t="str" cm="1">
        <f t="array" ref="K49">_xlfn.IFS(H49&gt;=$U$1,"kostka",I49&gt;=$U$1*$R$3,"orzech",J49&gt;=$U$1*$R$4,"miał",1=1,"NIC")</f>
        <v>kostka</v>
      </c>
      <c r="L49">
        <f t="shared" si="2"/>
        <v>79</v>
      </c>
      <c r="M49">
        <f t="shared" si="3"/>
        <v>255</v>
      </c>
      <c r="N49">
        <f t="shared" si="4"/>
        <v>567</v>
      </c>
    </row>
    <row r="50" spans="1:14" x14ac:dyDescent="0.25">
      <c r="A50" s="1">
        <v>41975</v>
      </c>
      <c r="B50">
        <f t="shared" si="1"/>
        <v>79</v>
      </c>
      <c r="C50">
        <f t="shared" si="1"/>
        <v>255</v>
      </c>
      <c r="D50">
        <f t="shared" si="1"/>
        <v>567</v>
      </c>
      <c r="E50">
        <v>67</v>
      </c>
      <c r="F50">
        <v>147</v>
      </c>
      <c r="G50">
        <v>20</v>
      </c>
      <c r="H50">
        <f t="shared" si="0"/>
        <v>146</v>
      </c>
      <c r="I50">
        <f t="shared" si="0"/>
        <v>402</v>
      </c>
      <c r="J50">
        <f t="shared" si="0"/>
        <v>587</v>
      </c>
      <c r="K50" t="str" cm="1">
        <f t="array" ref="K50">_xlfn.IFS(H50&gt;=$U$1,"kostka",I50&gt;=$U$1*$R$3,"orzech",J50&gt;=$U$1*$R$4,"miał",1=1,"NIC")</f>
        <v>orzech</v>
      </c>
      <c r="L50">
        <f t="shared" si="2"/>
        <v>146</v>
      </c>
      <c r="M50">
        <f t="shared" si="3"/>
        <v>142</v>
      </c>
      <c r="N50">
        <f t="shared" si="4"/>
        <v>587</v>
      </c>
    </row>
    <row r="51" spans="1:14" x14ac:dyDescent="0.25">
      <c r="A51" s="1">
        <v>41976</v>
      </c>
      <c r="B51">
        <f t="shared" si="1"/>
        <v>146</v>
      </c>
      <c r="C51">
        <f t="shared" si="1"/>
        <v>142</v>
      </c>
      <c r="D51">
        <f t="shared" si="1"/>
        <v>587</v>
      </c>
      <c r="E51">
        <v>109</v>
      </c>
      <c r="F51">
        <v>99</v>
      </c>
      <c r="G51">
        <v>70</v>
      </c>
      <c r="H51">
        <f t="shared" si="0"/>
        <v>255</v>
      </c>
      <c r="I51">
        <f t="shared" si="0"/>
        <v>241</v>
      </c>
      <c r="J51">
        <f t="shared" si="0"/>
        <v>657</v>
      </c>
      <c r="K51" t="str" cm="1">
        <f t="array" ref="K51">_xlfn.IFS(H51&gt;=$U$1,"kostka",I51&gt;=$U$1*$R$3,"orzech",J51&gt;=$U$1*$R$4,"miał",1=1,"NIC")</f>
        <v>kostka</v>
      </c>
      <c r="L51">
        <f t="shared" si="2"/>
        <v>55</v>
      </c>
      <c r="M51">
        <f t="shared" si="3"/>
        <v>241</v>
      </c>
      <c r="N51">
        <f t="shared" si="4"/>
        <v>657</v>
      </c>
    </row>
    <row r="52" spans="1:14" x14ac:dyDescent="0.25">
      <c r="A52" s="1">
        <v>41977</v>
      </c>
      <c r="B52">
        <f t="shared" si="1"/>
        <v>55</v>
      </c>
      <c r="C52">
        <f t="shared" si="1"/>
        <v>241</v>
      </c>
      <c r="D52">
        <f t="shared" si="1"/>
        <v>657</v>
      </c>
      <c r="E52">
        <v>22</v>
      </c>
      <c r="F52">
        <v>16</v>
      </c>
      <c r="G52">
        <v>59</v>
      </c>
      <c r="H52">
        <f t="shared" si="0"/>
        <v>77</v>
      </c>
      <c r="I52">
        <f t="shared" si="0"/>
        <v>257</v>
      </c>
      <c r="J52">
        <f t="shared" si="0"/>
        <v>716</v>
      </c>
      <c r="K52" t="str" cm="1">
        <f t="array" ref="K52">_xlfn.IFS(H52&gt;=$U$1,"kostka",I52&gt;=$U$1*$R$3,"orzech",J52&gt;=$U$1*$R$4,"miał",1=1,"NIC")</f>
        <v>miał</v>
      </c>
      <c r="L52">
        <f t="shared" si="2"/>
        <v>77</v>
      </c>
      <c r="M52">
        <f t="shared" si="3"/>
        <v>257</v>
      </c>
      <c r="N52">
        <f t="shared" si="4"/>
        <v>396</v>
      </c>
    </row>
    <row r="53" spans="1:14" x14ac:dyDescent="0.25">
      <c r="A53" s="1">
        <v>41978</v>
      </c>
      <c r="B53">
        <f t="shared" si="1"/>
        <v>77</v>
      </c>
      <c r="C53">
        <f t="shared" si="1"/>
        <v>257</v>
      </c>
      <c r="D53">
        <f t="shared" si="1"/>
        <v>396</v>
      </c>
      <c r="E53">
        <v>5</v>
      </c>
      <c r="F53">
        <v>91</v>
      </c>
      <c r="G53">
        <v>73</v>
      </c>
      <c r="H53">
        <f t="shared" si="0"/>
        <v>82</v>
      </c>
      <c r="I53">
        <f t="shared" si="0"/>
        <v>348</v>
      </c>
      <c r="J53">
        <f t="shared" si="0"/>
        <v>469</v>
      </c>
      <c r="K53" t="str" cm="1">
        <f t="array" ref="K53">_xlfn.IFS(H53&gt;=$U$1,"kostka",I53&gt;=$U$1*$R$3,"orzech",J53&gt;=$U$1*$R$4,"miał",1=1,"NIC")</f>
        <v>orzech</v>
      </c>
      <c r="L53">
        <f t="shared" si="2"/>
        <v>82</v>
      </c>
      <c r="M53">
        <f t="shared" si="3"/>
        <v>88</v>
      </c>
      <c r="N53">
        <f t="shared" si="4"/>
        <v>469</v>
      </c>
    </row>
    <row r="54" spans="1:14" x14ac:dyDescent="0.25">
      <c r="A54" s="1">
        <v>41979</v>
      </c>
      <c r="B54">
        <f t="shared" si="1"/>
        <v>82</v>
      </c>
      <c r="C54">
        <f t="shared" si="1"/>
        <v>88</v>
      </c>
      <c r="D54">
        <f t="shared" si="1"/>
        <v>469</v>
      </c>
      <c r="E54">
        <v>105</v>
      </c>
      <c r="F54">
        <v>154</v>
      </c>
      <c r="G54">
        <v>48</v>
      </c>
      <c r="H54">
        <f t="shared" si="0"/>
        <v>187</v>
      </c>
      <c r="I54">
        <f t="shared" si="0"/>
        <v>242</v>
      </c>
      <c r="J54">
        <f t="shared" si="0"/>
        <v>517</v>
      </c>
      <c r="K54" t="str" cm="1">
        <f t="array" ref="K54">_xlfn.IFS(H54&gt;=$U$1,"kostka",I54&gt;=$U$1*$R$3,"orzech",J54&gt;=$U$1*$R$4,"miał",1=1,"NIC")</f>
        <v>miał</v>
      </c>
      <c r="L54">
        <f t="shared" si="2"/>
        <v>187</v>
      </c>
      <c r="M54">
        <f t="shared" si="3"/>
        <v>242</v>
      </c>
      <c r="N54">
        <f t="shared" si="4"/>
        <v>197</v>
      </c>
    </row>
    <row r="55" spans="1:14" x14ac:dyDescent="0.25">
      <c r="A55" s="1">
        <v>41980</v>
      </c>
      <c r="B55">
        <f t="shared" si="1"/>
        <v>187</v>
      </c>
      <c r="C55">
        <f t="shared" si="1"/>
        <v>242</v>
      </c>
      <c r="D55">
        <f t="shared" si="1"/>
        <v>197</v>
      </c>
      <c r="E55">
        <v>108</v>
      </c>
      <c r="F55">
        <v>5</v>
      </c>
      <c r="G55">
        <v>71</v>
      </c>
      <c r="H55">
        <f t="shared" si="0"/>
        <v>295</v>
      </c>
      <c r="I55">
        <f t="shared" si="0"/>
        <v>247</v>
      </c>
      <c r="J55">
        <f t="shared" si="0"/>
        <v>268</v>
      </c>
      <c r="K55" t="str" cm="1">
        <f t="array" ref="K55">_xlfn.IFS(H55&gt;=$U$1,"kostka",I55&gt;=$U$1*$R$3,"orzech",J55&gt;=$U$1*$R$4,"miał",1=1,"NIC")</f>
        <v>kostka</v>
      </c>
      <c r="L55">
        <f t="shared" si="2"/>
        <v>95</v>
      </c>
      <c r="M55">
        <f t="shared" si="3"/>
        <v>247</v>
      </c>
      <c r="N55">
        <f t="shared" si="4"/>
        <v>268</v>
      </c>
    </row>
    <row r="56" spans="1:14" x14ac:dyDescent="0.25">
      <c r="A56" s="1">
        <v>41981</v>
      </c>
      <c r="B56">
        <f t="shared" si="1"/>
        <v>95</v>
      </c>
      <c r="C56">
        <f t="shared" si="1"/>
        <v>247</v>
      </c>
      <c r="D56">
        <f t="shared" si="1"/>
        <v>268</v>
      </c>
      <c r="E56">
        <v>64</v>
      </c>
      <c r="F56">
        <v>37</v>
      </c>
      <c r="G56">
        <v>89</v>
      </c>
      <c r="H56">
        <f t="shared" si="0"/>
        <v>159</v>
      </c>
      <c r="I56">
        <f t="shared" si="0"/>
        <v>284</v>
      </c>
      <c r="J56">
        <f t="shared" si="0"/>
        <v>357</v>
      </c>
      <c r="K56" t="str" cm="1">
        <f t="array" ref="K56">_xlfn.IFS(H56&gt;=$U$1,"kostka",I56&gt;=$U$1*$R$3,"orzech",J56&gt;=$U$1*$R$4,"miał",1=1,"NIC")</f>
        <v>orzech</v>
      </c>
      <c r="L56">
        <f t="shared" si="2"/>
        <v>159</v>
      </c>
      <c r="M56">
        <f t="shared" si="3"/>
        <v>24</v>
      </c>
      <c r="N56">
        <f t="shared" si="4"/>
        <v>357</v>
      </c>
    </row>
    <row r="57" spans="1:14" x14ac:dyDescent="0.25">
      <c r="A57" s="1">
        <v>41982</v>
      </c>
      <c r="B57">
        <f t="shared" si="1"/>
        <v>159</v>
      </c>
      <c r="C57">
        <f t="shared" si="1"/>
        <v>24</v>
      </c>
      <c r="D57">
        <f t="shared" si="1"/>
        <v>357</v>
      </c>
      <c r="E57">
        <v>114</v>
      </c>
      <c r="F57">
        <v>140</v>
      </c>
      <c r="G57">
        <v>36</v>
      </c>
      <c r="H57">
        <f t="shared" si="0"/>
        <v>273</v>
      </c>
      <c r="I57">
        <f t="shared" si="0"/>
        <v>164</v>
      </c>
      <c r="J57">
        <f t="shared" si="0"/>
        <v>393</v>
      </c>
      <c r="K57" t="str" cm="1">
        <f t="array" ref="K57">_xlfn.IFS(H57&gt;=$U$1,"kostka",I57&gt;=$U$1*$R$3,"orzech",J57&gt;=$U$1*$R$4,"miał",1=1,"NIC")</f>
        <v>kostka</v>
      </c>
      <c r="L57">
        <f t="shared" si="2"/>
        <v>73</v>
      </c>
      <c r="M57">
        <f t="shared" si="3"/>
        <v>164</v>
      </c>
      <c r="N57">
        <f t="shared" si="4"/>
        <v>393</v>
      </c>
    </row>
    <row r="58" spans="1:14" x14ac:dyDescent="0.25">
      <c r="A58" s="1">
        <v>41983</v>
      </c>
      <c r="B58">
        <f t="shared" si="1"/>
        <v>73</v>
      </c>
      <c r="C58">
        <f t="shared" si="1"/>
        <v>164</v>
      </c>
      <c r="D58">
        <f t="shared" si="1"/>
        <v>393</v>
      </c>
      <c r="E58">
        <v>147</v>
      </c>
      <c r="F58">
        <v>140</v>
      </c>
      <c r="G58">
        <v>61</v>
      </c>
      <c r="H58">
        <f t="shared" si="0"/>
        <v>220</v>
      </c>
      <c r="I58">
        <f t="shared" si="0"/>
        <v>304</v>
      </c>
      <c r="J58">
        <f t="shared" si="0"/>
        <v>454</v>
      </c>
      <c r="K58" t="str" cm="1">
        <f t="array" ref="K58">_xlfn.IFS(H58&gt;=$U$1,"kostka",I58&gt;=$U$1*$R$3,"orzech",J58&gt;=$U$1*$R$4,"miał",1=1,"NIC")</f>
        <v>kostka</v>
      </c>
      <c r="L58">
        <f t="shared" si="2"/>
        <v>20</v>
      </c>
      <c r="M58">
        <f t="shared" si="3"/>
        <v>304</v>
      </c>
      <c r="N58">
        <f t="shared" si="4"/>
        <v>454</v>
      </c>
    </row>
    <row r="59" spans="1:14" x14ac:dyDescent="0.25">
      <c r="A59" s="1">
        <v>41984</v>
      </c>
      <c r="B59">
        <f t="shared" si="1"/>
        <v>20</v>
      </c>
      <c r="C59">
        <f t="shared" si="1"/>
        <v>304</v>
      </c>
      <c r="D59">
        <f t="shared" si="1"/>
        <v>454</v>
      </c>
      <c r="E59">
        <v>69</v>
      </c>
      <c r="F59">
        <v>120</v>
      </c>
      <c r="G59">
        <v>52</v>
      </c>
      <c r="H59">
        <f t="shared" si="0"/>
        <v>89</v>
      </c>
      <c r="I59">
        <f t="shared" si="0"/>
        <v>424</v>
      </c>
      <c r="J59">
        <f t="shared" si="0"/>
        <v>506</v>
      </c>
      <c r="K59" t="str" cm="1">
        <f t="array" ref="K59">_xlfn.IFS(H59&gt;=$U$1,"kostka",I59&gt;=$U$1*$R$3,"orzech",J59&gt;=$U$1*$R$4,"miał",1=1,"NIC")</f>
        <v>orzech</v>
      </c>
      <c r="L59">
        <f t="shared" si="2"/>
        <v>89</v>
      </c>
      <c r="M59">
        <f t="shared" si="3"/>
        <v>164</v>
      </c>
      <c r="N59">
        <f t="shared" si="4"/>
        <v>506</v>
      </c>
    </row>
    <row r="60" spans="1:14" x14ac:dyDescent="0.25">
      <c r="A60" s="1">
        <v>41985</v>
      </c>
      <c r="B60">
        <f t="shared" si="1"/>
        <v>89</v>
      </c>
      <c r="C60">
        <f t="shared" si="1"/>
        <v>164</v>
      </c>
      <c r="D60">
        <f t="shared" si="1"/>
        <v>506</v>
      </c>
      <c r="E60">
        <v>101</v>
      </c>
      <c r="F60">
        <v>39</v>
      </c>
      <c r="G60">
        <v>10</v>
      </c>
      <c r="H60">
        <f t="shared" si="0"/>
        <v>190</v>
      </c>
      <c r="I60">
        <f t="shared" si="0"/>
        <v>203</v>
      </c>
      <c r="J60">
        <f t="shared" si="0"/>
        <v>516</v>
      </c>
      <c r="K60" t="str" cm="1">
        <f t="array" ref="K60">_xlfn.IFS(H60&gt;=$U$1,"kostka",I60&gt;=$U$1*$R$3,"orzech",J60&gt;=$U$1*$R$4,"miał",1=1,"NIC")</f>
        <v>miał</v>
      </c>
      <c r="L60">
        <f t="shared" si="2"/>
        <v>190</v>
      </c>
      <c r="M60">
        <f t="shared" si="3"/>
        <v>203</v>
      </c>
      <c r="N60">
        <f t="shared" si="4"/>
        <v>196</v>
      </c>
    </row>
    <row r="61" spans="1:14" x14ac:dyDescent="0.25">
      <c r="A61" s="1">
        <v>41986</v>
      </c>
      <c r="B61">
        <f t="shared" si="1"/>
        <v>190</v>
      </c>
      <c r="C61">
        <f t="shared" si="1"/>
        <v>203</v>
      </c>
      <c r="D61">
        <f t="shared" si="1"/>
        <v>196</v>
      </c>
      <c r="E61">
        <v>158</v>
      </c>
      <c r="F61">
        <v>36</v>
      </c>
      <c r="G61">
        <v>79</v>
      </c>
      <c r="H61">
        <f t="shared" si="0"/>
        <v>348</v>
      </c>
      <c r="I61">
        <f t="shared" si="0"/>
        <v>239</v>
      </c>
      <c r="J61">
        <f t="shared" si="0"/>
        <v>275</v>
      </c>
      <c r="K61" t="str" cm="1">
        <f t="array" ref="K61">_xlfn.IFS(H61&gt;=$U$1,"kostka",I61&gt;=$U$1*$R$3,"orzech",J61&gt;=$U$1*$R$4,"miał",1=1,"NIC")</f>
        <v>kostka</v>
      </c>
      <c r="L61">
        <f t="shared" si="2"/>
        <v>148</v>
      </c>
      <c r="M61">
        <f t="shared" si="3"/>
        <v>239</v>
      </c>
      <c r="N61">
        <f t="shared" si="4"/>
        <v>275</v>
      </c>
    </row>
    <row r="62" spans="1:14" x14ac:dyDescent="0.25">
      <c r="A62" s="1">
        <v>41987</v>
      </c>
      <c r="B62">
        <f t="shared" si="1"/>
        <v>148</v>
      </c>
      <c r="C62">
        <f t="shared" si="1"/>
        <v>239</v>
      </c>
      <c r="D62">
        <f t="shared" si="1"/>
        <v>275</v>
      </c>
      <c r="E62">
        <v>79</v>
      </c>
      <c r="F62">
        <v>105</v>
      </c>
      <c r="G62">
        <v>73</v>
      </c>
      <c r="H62">
        <f t="shared" si="0"/>
        <v>227</v>
      </c>
      <c r="I62">
        <f t="shared" si="0"/>
        <v>344</v>
      </c>
      <c r="J62">
        <f t="shared" si="0"/>
        <v>348</v>
      </c>
      <c r="K62" t="str" cm="1">
        <f t="array" ref="K62">_xlfn.IFS(H62&gt;=$U$1,"kostka",I62&gt;=$U$1*$R$3,"orzech",J62&gt;=$U$1*$R$4,"miał",1=1,"NIC")</f>
        <v>kostka</v>
      </c>
      <c r="L62">
        <f t="shared" si="2"/>
        <v>27</v>
      </c>
      <c r="M62">
        <f t="shared" si="3"/>
        <v>344</v>
      </c>
      <c r="N62">
        <f t="shared" si="4"/>
        <v>348</v>
      </c>
    </row>
    <row r="63" spans="1:14" x14ac:dyDescent="0.25">
      <c r="A63" s="1">
        <v>41988</v>
      </c>
      <c r="B63">
        <f t="shared" si="1"/>
        <v>27</v>
      </c>
      <c r="C63">
        <f t="shared" si="1"/>
        <v>344</v>
      </c>
      <c r="D63">
        <f t="shared" si="1"/>
        <v>348</v>
      </c>
      <c r="E63">
        <v>5</v>
      </c>
      <c r="F63">
        <v>24</v>
      </c>
      <c r="G63">
        <v>43</v>
      </c>
      <c r="H63">
        <f t="shared" si="0"/>
        <v>32</v>
      </c>
      <c r="I63">
        <f t="shared" si="0"/>
        <v>368</v>
      </c>
      <c r="J63">
        <f t="shared" si="0"/>
        <v>391</v>
      </c>
      <c r="K63" t="str" cm="1">
        <f t="array" ref="K63">_xlfn.IFS(H63&gt;=$U$1,"kostka",I63&gt;=$U$1*$R$3,"orzech",J63&gt;=$U$1*$R$4,"miał",1=1,"NIC")</f>
        <v>orzech</v>
      </c>
      <c r="L63">
        <f t="shared" si="2"/>
        <v>32</v>
      </c>
      <c r="M63">
        <f t="shared" si="3"/>
        <v>108</v>
      </c>
      <c r="N63">
        <f t="shared" si="4"/>
        <v>391</v>
      </c>
    </row>
    <row r="64" spans="1:14" x14ac:dyDescent="0.25">
      <c r="A64" s="1">
        <v>41989</v>
      </c>
      <c r="B64">
        <f t="shared" si="1"/>
        <v>32</v>
      </c>
      <c r="C64">
        <f t="shared" si="1"/>
        <v>108</v>
      </c>
      <c r="D64">
        <f t="shared" si="1"/>
        <v>391</v>
      </c>
      <c r="E64">
        <v>68</v>
      </c>
      <c r="F64">
        <v>112</v>
      </c>
      <c r="G64">
        <v>25</v>
      </c>
      <c r="H64">
        <f t="shared" si="0"/>
        <v>100</v>
      </c>
      <c r="I64">
        <f t="shared" si="0"/>
        <v>220</v>
      </c>
      <c r="J64">
        <f t="shared" si="0"/>
        <v>416</v>
      </c>
      <c r="K64" t="str" cm="1">
        <f t="array" ref="K64">_xlfn.IFS(H64&gt;=$U$1,"kostka",I64&gt;=$U$1*$R$3,"orzech",J64&gt;=$U$1*$R$4,"miał",1=1,"NIC")</f>
        <v>miał</v>
      </c>
      <c r="L64">
        <f t="shared" si="2"/>
        <v>100</v>
      </c>
      <c r="M64">
        <f t="shared" si="3"/>
        <v>220</v>
      </c>
      <c r="N64">
        <f t="shared" si="4"/>
        <v>96</v>
      </c>
    </row>
    <row r="65" spans="1:14" x14ac:dyDescent="0.25">
      <c r="A65" s="1">
        <v>41990</v>
      </c>
      <c r="B65">
        <f t="shared" si="1"/>
        <v>100</v>
      </c>
      <c r="C65">
        <f t="shared" si="1"/>
        <v>220</v>
      </c>
      <c r="D65">
        <f t="shared" si="1"/>
        <v>96</v>
      </c>
      <c r="E65">
        <v>37</v>
      </c>
      <c r="F65">
        <v>57</v>
      </c>
      <c r="G65">
        <v>81</v>
      </c>
      <c r="H65">
        <f t="shared" si="0"/>
        <v>137</v>
      </c>
      <c r="I65">
        <f t="shared" si="0"/>
        <v>277</v>
      </c>
      <c r="J65">
        <f t="shared" si="0"/>
        <v>177</v>
      </c>
      <c r="K65" t="str" cm="1">
        <f t="array" ref="K65">_xlfn.IFS(H65&gt;=$U$1,"kostka",I65&gt;=$U$1*$R$3,"orzech",J65&gt;=$U$1*$R$4,"miał",1=1,"NIC")</f>
        <v>orzech</v>
      </c>
      <c r="L65">
        <f t="shared" si="2"/>
        <v>137</v>
      </c>
      <c r="M65">
        <f t="shared" si="3"/>
        <v>17</v>
      </c>
      <c r="N65">
        <f t="shared" si="4"/>
        <v>177</v>
      </c>
    </row>
    <row r="66" spans="1:14" x14ac:dyDescent="0.25">
      <c r="A66" s="1">
        <v>41991</v>
      </c>
      <c r="B66">
        <f t="shared" si="1"/>
        <v>137</v>
      </c>
      <c r="C66">
        <f t="shared" si="1"/>
        <v>17</v>
      </c>
      <c r="D66">
        <f t="shared" si="1"/>
        <v>177</v>
      </c>
      <c r="E66">
        <v>188</v>
      </c>
      <c r="F66">
        <v>28</v>
      </c>
      <c r="G66">
        <v>7</v>
      </c>
      <c r="H66">
        <f t="shared" si="0"/>
        <v>325</v>
      </c>
      <c r="I66">
        <f t="shared" si="0"/>
        <v>45</v>
      </c>
      <c r="J66">
        <f t="shared" si="0"/>
        <v>184</v>
      </c>
      <c r="K66" t="str" cm="1">
        <f t="array" ref="K66">_xlfn.IFS(H66&gt;=$U$1,"kostka",I66&gt;=$U$1*$R$3,"orzech",J66&gt;=$U$1*$R$4,"miał",1=1,"NIC")</f>
        <v>kostka</v>
      </c>
      <c r="L66">
        <f t="shared" si="2"/>
        <v>125</v>
      </c>
      <c r="M66">
        <f t="shared" si="3"/>
        <v>45</v>
      </c>
      <c r="N66">
        <f t="shared" si="4"/>
        <v>184</v>
      </c>
    </row>
    <row r="67" spans="1:14" x14ac:dyDescent="0.25">
      <c r="A67" s="1">
        <v>41992</v>
      </c>
      <c r="B67">
        <f t="shared" si="1"/>
        <v>125</v>
      </c>
      <c r="C67">
        <f t="shared" si="1"/>
        <v>45</v>
      </c>
      <c r="D67">
        <f t="shared" si="1"/>
        <v>184</v>
      </c>
      <c r="E67">
        <v>167</v>
      </c>
      <c r="F67">
        <v>41</v>
      </c>
      <c r="G67">
        <v>45</v>
      </c>
      <c r="H67">
        <f t="shared" ref="H67:J130" si="5">B67+E67</f>
        <v>292</v>
      </c>
      <c r="I67">
        <f t="shared" si="5"/>
        <v>86</v>
      </c>
      <c r="J67">
        <f t="shared" si="5"/>
        <v>229</v>
      </c>
      <c r="K67" t="str" cm="1">
        <f t="array" ref="K67">_xlfn.IFS(H67&gt;=$U$1,"kostka",I67&gt;=$U$1*$R$3,"orzech",J67&gt;=$U$1*$R$4,"miał",1=1,"NIC")</f>
        <v>kostka</v>
      </c>
      <c r="L67">
        <f t="shared" si="2"/>
        <v>92</v>
      </c>
      <c r="M67">
        <f t="shared" si="3"/>
        <v>86</v>
      </c>
      <c r="N67">
        <f t="shared" si="4"/>
        <v>229</v>
      </c>
    </row>
    <row r="68" spans="1:14" x14ac:dyDescent="0.25">
      <c r="A68" s="1">
        <v>41993</v>
      </c>
      <c r="B68">
        <f t="shared" ref="B68:D131" si="6">L67</f>
        <v>92</v>
      </c>
      <c r="C68">
        <f t="shared" si="6"/>
        <v>86</v>
      </c>
      <c r="D68">
        <f t="shared" si="6"/>
        <v>229</v>
      </c>
      <c r="E68">
        <v>197</v>
      </c>
      <c r="F68">
        <v>82</v>
      </c>
      <c r="G68">
        <v>43</v>
      </c>
      <c r="H68">
        <f t="shared" si="5"/>
        <v>289</v>
      </c>
      <c r="I68">
        <f t="shared" si="5"/>
        <v>168</v>
      </c>
      <c r="J68">
        <f t="shared" si="5"/>
        <v>272</v>
      </c>
      <c r="K68" t="str" cm="1">
        <f t="array" ref="K68">_xlfn.IFS(H68&gt;=$U$1,"kostka",I68&gt;=$U$1*$R$3,"orzech",J68&gt;=$U$1*$R$4,"miał",1=1,"NIC")</f>
        <v>kostka</v>
      </c>
      <c r="L68">
        <f t="shared" ref="L68:L131" si="7">IF($K68="kostka",H68-$U$1,H68)</f>
        <v>89</v>
      </c>
      <c r="M68">
        <f t="shared" ref="M68:M131" si="8">IF($K68="orzech",I68-$U$1*$R$3,I68)</f>
        <v>168</v>
      </c>
      <c r="N68">
        <f t="shared" ref="N68:N131" si="9">IF($K68="miał",J68-$U$1*$R$4,J68)</f>
        <v>272</v>
      </c>
    </row>
    <row r="69" spans="1:14" x14ac:dyDescent="0.25">
      <c r="A69" s="1">
        <v>41994</v>
      </c>
      <c r="B69">
        <f t="shared" si="6"/>
        <v>89</v>
      </c>
      <c r="C69">
        <f t="shared" si="6"/>
        <v>168</v>
      </c>
      <c r="D69">
        <f t="shared" si="6"/>
        <v>272</v>
      </c>
      <c r="E69">
        <v>54</v>
      </c>
      <c r="F69">
        <v>130</v>
      </c>
      <c r="G69">
        <v>50</v>
      </c>
      <c r="H69">
        <f t="shared" si="5"/>
        <v>143</v>
      </c>
      <c r="I69">
        <f t="shared" si="5"/>
        <v>298</v>
      </c>
      <c r="J69">
        <f t="shared" si="5"/>
        <v>322</v>
      </c>
      <c r="K69" t="str" cm="1">
        <f t="array" ref="K69">_xlfn.IFS(H69&gt;=$U$1,"kostka",I69&gt;=$U$1*$R$3,"orzech",J69&gt;=$U$1*$R$4,"miał",1=1,"NIC")</f>
        <v>orzech</v>
      </c>
      <c r="L69">
        <f t="shared" si="7"/>
        <v>143</v>
      </c>
      <c r="M69">
        <f t="shared" si="8"/>
        <v>38</v>
      </c>
      <c r="N69">
        <f t="shared" si="9"/>
        <v>322</v>
      </c>
    </row>
    <row r="70" spans="1:14" x14ac:dyDescent="0.25">
      <c r="A70" s="1">
        <v>41995</v>
      </c>
      <c r="B70">
        <f t="shared" si="6"/>
        <v>143</v>
      </c>
      <c r="C70">
        <f t="shared" si="6"/>
        <v>38</v>
      </c>
      <c r="D70">
        <f t="shared" si="6"/>
        <v>322</v>
      </c>
      <c r="E70">
        <v>19</v>
      </c>
      <c r="F70">
        <v>153</v>
      </c>
      <c r="G70">
        <v>65</v>
      </c>
      <c r="H70">
        <f t="shared" si="5"/>
        <v>162</v>
      </c>
      <c r="I70">
        <f t="shared" si="5"/>
        <v>191</v>
      </c>
      <c r="J70">
        <f t="shared" si="5"/>
        <v>387</v>
      </c>
      <c r="K70" t="str" cm="1">
        <f t="array" ref="K70">_xlfn.IFS(H70&gt;=$U$1,"kostka",I70&gt;=$U$1*$R$3,"orzech",J70&gt;=$U$1*$R$4,"miał",1=1,"NIC")</f>
        <v>miał</v>
      </c>
      <c r="L70">
        <f t="shared" si="7"/>
        <v>162</v>
      </c>
      <c r="M70">
        <f t="shared" si="8"/>
        <v>191</v>
      </c>
      <c r="N70">
        <f t="shared" si="9"/>
        <v>67</v>
      </c>
    </row>
    <row r="71" spans="1:14" x14ac:dyDescent="0.25">
      <c r="A71" s="1">
        <v>41996</v>
      </c>
      <c r="B71">
        <f t="shared" si="6"/>
        <v>162</v>
      </c>
      <c r="C71">
        <f t="shared" si="6"/>
        <v>191</v>
      </c>
      <c r="D71">
        <f t="shared" si="6"/>
        <v>67</v>
      </c>
      <c r="E71">
        <v>27</v>
      </c>
      <c r="F71">
        <v>160</v>
      </c>
      <c r="G71">
        <v>81</v>
      </c>
      <c r="H71">
        <f t="shared" si="5"/>
        <v>189</v>
      </c>
      <c r="I71">
        <f t="shared" si="5"/>
        <v>351</v>
      </c>
      <c r="J71">
        <f t="shared" si="5"/>
        <v>148</v>
      </c>
      <c r="K71" t="str" cm="1">
        <f t="array" ref="K71">_xlfn.IFS(H71&gt;=$U$1,"kostka",I71&gt;=$U$1*$R$3,"orzech",J71&gt;=$U$1*$R$4,"miał",1=1,"NIC")</f>
        <v>orzech</v>
      </c>
      <c r="L71">
        <f t="shared" si="7"/>
        <v>189</v>
      </c>
      <c r="M71">
        <f t="shared" si="8"/>
        <v>91</v>
      </c>
      <c r="N71">
        <f t="shared" si="9"/>
        <v>148</v>
      </c>
    </row>
    <row r="72" spans="1:14" x14ac:dyDescent="0.25">
      <c r="A72" s="1">
        <v>41997</v>
      </c>
      <c r="B72">
        <f t="shared" si="6"/>
        <v>189</v>
      </c>
      <c r="C72">
        <f t="shared" si="6"/>
        <v>91</v>
      </c>
      <c r="D72">
        <f t="shared" si="6"/>
        <v>148</v>
      </c>
      <c r="E72">
        <v>11</v>
      </c>
      <c r="F72">
        <v>140</v>
      </c>
      <c r="G72">
        <v>77</v>
      </c>
      <c r="H72">
        <f t="shared" si="5"/>
        <v>200</v>
      </c>
      <c r="I72">
        <f t="shared" si="5"/>
        <v>231</v>
      </c>
      <c r="J72">
        <f t="shared" si="5"/>
        <v>225</v>
      </c>
      <c r="K72" t="str" cm="1">
        <f t="array" ref="K72">_xlfn.IFS(H72&gt;=$U$1,"kostka",I72&gt;=$U$1*$R$3,"orzech",J72&gt;=$U$1*$R$4,"miał",1=1,"NIC")</f>
        <v>kostka</v>
      </c>
      <c r="L72">
        <f t="shared" si="7"/>
        <v>0</v>
      </c>
      <c r="M72">
        <f t="shared" si="8"/>
        <v>231</v>
      </c>
      <c r="N72">
        <f t="shared" si="9"/>
        <v>225</v>
      </c>
    </row>
    <row r="73" spans="1:14" x14ac:dyDescent="0.25">
      <c r="A73" s="1">
        <v>41998</v>
      </c>
      <c r="B73">
        <f t="shared" si="6"/>
        <v>0</v>
      </c>
      <c r="C73">
        <f t="shared" si="6"/>
        <v>231</v>
      </c>
      <c r="D73">
        <f t="shared" si="6"/>
        <v>225</v>
      </c>
      <c r="E73">
        <v>182</v>
      </c>
      <c r="F73">
        <v>50</v>
      </c>
      <c r="G73">
        <v>22</v>
      </c>
      <c r="H73">
        <f t="shared" si="5"/>
        <v>182</v>
      </c>
      <c r="I73">
        <f t="shared" si="5"/>
        <v>281</v>
      </c>
      <c r="J73">
        <f t="shared" si="5"/>
        <v>247</v>
      </c>
      <c r="K73" t="str" cm="1">
        <f t="array" ref="K73">_xlfn.IFS(H73&gt;=$U$1,"kostka",I73&gt;=$U$1*$R$3,"orzech",J73&gt;=$U$1*$R$4,"miał",1=1,"NIC")</f>
        <v>orzech</v>
      </c>
      <c r="L73">
        <f t="shared" si="7"/>
        <v>182</v>
      </c>
      <c r="M73">
        <f t="shared" si="8"/>
        <v>21</v>
      </c>
      <c r="N73">
        <f t="shared" si="9"/>
        <v>247</v>
      </c>
    </row>
    <row r="74" spans="1:14" x14ac:dyDescent="0.25">
      <c r="A74" s="1">
        <v>41999</v>
      </c>
      <c r="B74">
        <f t="shared" si="6"/>
        <v>182</v>
      </c>
      <c r="C74">
        <f t="shared" si="6"/>
        <v>21</v>
      </c>
      <c r="D74">
        <f t="shared" si="6"/>
        <v>247</v>
      </c>
      <c r="E74">
        <v>63</v>
      </c>
      <c r="F74">
        <v>83</v>
      </c>
      <c r="G74">
        <v>69</v>
      </c>
      <c r="H74">
        <f t="shared" si="5"/>
        <v>245</v>
      </c>
      <c r="I74">
        <f t="shared" si="5"/>
        <v>104</v>
      </c>
      <c r="J74">
        <f t="shared" si="5"/>
        <v>316</v>
      </c>
      <c r="K74" t="str" cm="1">
        <f t="array" ref="K74">_xlfn.IFS(H74&gt;=$U$1,"kostka",I74&gt;=$U$1*$R$3,"orzech",J74&gt;=$U$1*$R$4,"miał",1=1,"NIC")</f>
        <v>kostka</v>
      </c>
      <c r="L74">
        <f t="shared" si="7"/>
        <v>45</v>
      </c>
      <c r="M74">
        <f t="shared" si="8"/>
        <v>104</v>
      </c>
      <c r="N74">
        <f t="shared" si="9"/>
        <v>316</v>
      </c>
    </row>
    <row r="75" spans="1:14" x14ac:dyDescent="0.25">
      <c r="A75" s="1">
        <v>42000</v>
      </c>
      <c r="B75">
        <f t="shared" si="6"/>
        <v>45</v>
      </c>
      <c r="C75">
        <f t="shared" si="6"/>
        <v>104</v>
      </c>
      <c r="D75">
        <f t="shared" si="6"/>
        <v>316</v>
      </c>
      <c r="E75">
        <v>33</v>
      </c>
      <c r="F75">
        <v>59</v>
      </c>
      <c r="G75">
        <v>46</v>
      </c>
      <c r="H75">
        <f t="shared" si="5"/>
        <v>78</v>
      </c>
      <c r="I75">
        <f t="shared" si="5"/>
        <v>163</v>
      </c>
      <c r="J75">
        <f t="shared" si="5"/>
        <v>362</v>
      </c>
      <c r="K75" t="str" cm="1">
        <f t="array" ref="K75">_xlfn.IFS(H75&gt;=$U$1,"kostka",I75&gt;=$U$1*$R$3,"orzech",J75&gt;=$U$1*$R$4,"miał",1=1,"NIC")</f>
        <v>miał</v>
      </c>
      <c r="L75">
        <f t="shared" si="7"/>
        <v>78</v>
      </c>
      <c r="M75">
        <f t="shared" si="8"/>
        <v>163</v>
      </c>
      <c r="N75">
        <f t="shared" si="9"/>
        <v>42</v>
      </c>
    </row>
    <row r="76" spans="1:14" x14ac:dyDescent="0.25">
      <c r="A76" s="1">
        <v>42001</v>
      </c>
      <c r="B76">
        <f t="shared" si="6"/>
        <v>78</v>
      </c>
      <c r="C76">
        <f t="shared" si="6"/>
        <v>163</v>
      </c>
      <c r="D76">
        <f t="shared" si="6"/>
        <v>42</v>
      </c>
      <c r="E76">
        <v>119</v>
      </c>
      <c r="F76">
        <v>57</v>
      </c>
      <c r="G76">
        <v>67</v>
      </c>
      <c r="H76">
        <f t="shared" si="5"/>
        <v>197</v>
      </c>
      <c r="I76">
        <f t="shared" si="5"/>
        <v>220</v>
      </c>
      <c r="J76">
        <f t="shared" si="5"/>
        <v>109</v>
      </c>
      <c r="K76" t="str" cm="1">
        <f t="array" ref="K76">_xlfn.IFS(H76&gt;=$U$1,"kostka",I76&gt;=$U$1*$R$3,"orzech",J76&gt;=$U$1*$R$4,"miał",1=1,"NIC")</f>
        <v>NIC</v>
      </c>
      <c r="L76">
        <f t="shared" si="7"/>
        <v>197</v>
      </c>
      <c r="M76">
        <f t="shared" si="8"/>
        <v>220</v>
      </c>
      <c r="N76">
        <f t="shared" si="9"/>
        <v>109</v>
      </c>
    </row>
    <row r="77" spans="1:14" x14ac:dyDescent="0.25">
      <c r="A77" s="1">
        <v>42002</v>
      </c>
      <c r="B77">
        <f t="shared" si="6"/>
        <v>197</v>
      </c>
      <c r="C77">
        <f t="shared" si="6"/>
        <v>220</v>
      </c>
      <c r="D77">
        <f t="shared" si="6"/>
        <v>109</v>
      </c>
      <c r="E77">
        <v>58</v>
      </c>
      <c r="F77">
        <v>176</v>
      </c>
      <c r="G77">
        <v>16</v>
      </c>
      <c r="H77">
        <f t="shared" si="5"/>
        <v>255</v>
      </c>
      <c r="I77">
        <f t="shared" si="5"/>
        <v>396</v>
      </c>
      <c r="J77">
        <f t="shared" si="5"/>
        <v>125</v>
      </c>
      <c r="K77" t="str" cm="1">
        <f t="array" ref="K77">_xlfn.IFS(H77&gt;=$U$1,"kostka",I77&gt;=$U$1*$R$3,"orzech",J77&gt;=$U$1*$R$4,"miał",1=1,"NIC")</f>
        <v>kostka</v>
      </c>
      <c r="L77">
        <f t="shared" si="7"/>
        <v>55</v>
      </c>
      <c r="M77">
        <f t="shared" si="8"/>
        <v>396</v>
      </c>
      <c r="N77">
        <f t="shared" si="9"/>
        <v>125</v>
      </c>
    </row>
    <row r="78" spans="1:14" x14ac:dyDescent="0.25">
      <c r="A78" s="1">
        <v>42003</v>
      </c>
      <c r="B78">
        <f t="shared" si="6"/>
        <v>55</v>
      </c>
      <c r="C78">
        <f t="shared" si="6"/>
        <v>396</v>
      </c>
      <c r="D78">
        <f t="shared" si="6"/>
        <v>125</v>
      </c>
      <c r="E78">
        <v>174</v>
      </c>
      <c r="F78">
        <v>61</v>
      </c>
      <c r="G78">
        <v>46</v>
      </c>
      <c r="H78">
        <f t="shared" si="5"/>
        <v>229</v>
      </c>
      <c r="I78">
        <f t="shared" si="5"/>
        <v>457</v>
      </c>
      <c r="J78">
        <f t="shared" si="5"/>
        <v>171</v>
      </c>
      <c r="K78" t="str" cm="1">
        <f t="array" ref="K78">_xlfn.IFS(H78&gt;=$U$1,"kostka",I78&gt;=$U$1*$R$3,"orzech",J78&gt;=$U$1*$R$4,"miał",1=1,"NIC")</f>
        <v>kostka</v>
      </c>
      <c r="L78">
        <f t="shared" si="7"/>
        <v>29</v>
      </c>
      <c r="M78">
        <f t="shared" si="8"/>
        <v>457</v>
      </c>
      <c r="N78">
        <f t="shared" si="9"/>
        <v>171</v>
      </c>
    </row>
    <row r="79" spans="1:14" x14ac:dyDescent="0.25">
      <c r="A79" s="1">
        <v>42004</v>
      </c>
      <c r="B79">
        <f t="shared" si="6"/>
        <v>29</v>
      </c>
      <c r="C79">
        <f t="shared" si="6"/>
        <v>457</v>
      </c>
      <c r="D79">
        <f t="shared" si="6"/>
        <v>171</v>
      </c>
      <c r="E79">
        <v>45</v>
      </c>
      <c r="F79">
        <v>154</v>
      </c>
      <c r="G79">
        <v>0</v>
      </c>
      <c r="H79">
        <f t="shared" si="5"/>
        <v>74</v>
      </c>
      <c r="I79">
        <f t="shared" si="5"/>
        <v>611</v>
      </c>
      <c r="J79">
        <f t="shared" si="5"/>
        <v>171</v>
      </c>
      <c r="K79" t="str" cm="1">
        <f t="array" ref="K79">_xlfn.IFS(H79&gt;=$U$1,"kostka",I79&gt;=$U$1*$R$3,"orzech",J79&gt;=$U$1*$R$4,"miał",1=1,"NIC")</f>
        <v>orzech</v>
      </c>
      <c r="L79">
        <f t="shared" si="7"/>
        <v>74</v>
      </c>
      <c r="M79">
        <f t="shared" si="8"/>
        <v>351</v>
      </c>
      <c r="N79">
        <f t="shared" si="9"/>
        <v>171</v>
      </c>
    </row>
    <row r="80" spans="1:14" x14ac:dyDescent="0.25">
      <c r="A80" s="1">
        <v>42005</v>
      </c>
      <c r="B80">
        <f t="shared" si="6"/>
        <v>74</v>
      </c>
      <c r="C80">
        <f t="shared" si="6"/>
        <v>351</v>
      </c>
      <c r="D80">
        <f t="shared" si="6"/>
        <v>171</v>
      </c>
      <c r="E80">
        <v>94</v>
      </c>
      <c r="F80">
        <v>120</v>
      </c>
      <c r="G80">
        <v>95</v>
      </c>
      <c r="H80">
        <f t="shared" si="5"/>
        <v>168</v>
      </c>
      <c r="I80">
        <f t="shared" si="5"/>
        <v>471</v>
      </c>
      <c r="J80">
        <f t="shared" si="5"/>
        <v>266</v>
      </c>
      <c r="K80" t="str" cm="1">
        <f t="array" ref="K80">_xlfn.IFS(H80&gt;=$U$1,"kostka",I80&gt;=$U$1*$R$3,"orzech",J80&gt;=$U$1*$R$4,"miał",1=1,"NIC")</f>
        <v>orzech</v>
      </c>
      <c r="L80">
        <f t="shared" si="7"/>
        <v>168</v>
      </c>
      <c r="M80">
        <f t="shared" si="8"/>
        <v>211</v>
      </c>
      <c r="N80">
        <f t="shared" si="9"/>
        <v>266</v>
      </c>
    </row>
    <row r="81" spans="1:14" x14ac:dyDescent="0.25">
      <c r="A81" s="1">
        <v>42006</v>
      </c>
      <c r="B81">
        <f t="shared" si="6"/>
        <v>168</v>
      </c>
      <c r="C81">
        <f t="shared" si="6"/>
        <v>211</v>
      </c>
      <c r="D81">
        <f t="shared" si="6"/>
        <v>266</v>
      </c>
      <c r="E81">
        <v>12</v>
      </c>
      <c r="F81">
        <v>5</v>
      </c>
      <c r="G81">
        <v>42</v>
      </c>
      <c r="H81">
        <f t="shared" si="5"/>
        <v>180</v>
      </c>
      <c r="I81">
        <f t="shared" si="5"/>
        <v>216</v>
      </c>
      <c r="J81">
        <f t="shared" si="5"/>
        <v>308</v>
      </c>
      <c r="K81" t="str" cm="1">
        <f t="array" ref="K81">_xlfn.IFS(H81&gt;=$U$1,"kostka",I81&gt;=$U$1*$R$3,"orzech",J81&gt;=$U$1*$R$4,"miał",1=1,"NIC")</f>
        <v>NIC</v>
      </c>
      <c r="L81">
        <f t="shared" si="7"/>
        <v>180</v>
      </c>
      <c r="M81">
        <f t="shared" si="8"/>
        <v>216</v>
      </c>
      <c r="N81">
        <f t="shared" si="9"/>
        <v>308</v>
      </c>
    </row>
    <row r="82" spans="1:14" x14ac:dyDescent="0.25">
      <c r="A82" s="1">
        <v>42007</v>
      </c>
      <c r="B82">
        <f t="shared" si="6"/>
        <v>180</v>
      </c>
      <c r="C82">
        <f t="shared" si="6"/>
        <v>216</v>
      </c>
      <c r="D82">
        <f t="shared" si="6"/>
        <v>308</v>
      </c>
      <c r="E82">
        <v>80</v>
      </c>
      <c r="F82">
        <v>170</v>
      </c>
      <c r="G82">
        <v>96</v>
      </c>
      <c r="H82">
        <f t="shared" si="5"/>
        <v>260</v>
      </c>
      <c r="I82">
        <f t="shared" si="5"/>
        <v>386</v>
      </c>
      <c r="J82">
        <f t="shared" si="5"/>
        <v>404</v>
      </c>
      <c r="K82" t="str" cm="1">
        <f t="array" ref="K82">_xlfn.IFS(H82&gt;=$U$1,"kostka",I82&gt;=$U$1*$R$3,"orzech",J82&gt;=$U$1*$R$4,"miał",1=1,"NIC")</f>
        <v>kostka</v>
      </c>
      <c r="L82">
        <f t="shared" si="7"/>
        <v>60</v>
      </c>
      <c r="M82">
        <f t="shared" si="8"/>
        <v>386</v>
      </c>
      <c r="N82">
        <f t="shared" si="9"/>
        <v>404</v>
      </c>
    </row>
    <row r="83" spans="1:14" x14ac:dyDescent="0.25">
      <c r="A83" s="1">
        <v>42008</v>
      </c>
      <c r="B83">
        <f t="shared" si="6"/>
        <v>60</v>
      </c>
      <c r="C83">
        <f t="shared" si="6"/>
        <v>386</v>
      </c>
      <c r="D83">
        <f t="shared" si="6"/>
        <v>404</v>
      </c>
      <c r="E83">
        <v>80</v>
      </c>
      <c r="F83">
        <v>10</v>
      </c>
      <c r="G83">
        <v>30</v>
      </c>
      <c r="H83">
        <f t="shared" si="5"/>
        <v>140</v>
      </c>
      <c r="I83">
        <f t="shared" si="5"/>
        <v>396</v>
      </c>
      <c r="J83">
        <f t="shared" si="5"/>
        <v>434</v>
      </c>
      <c r="K83" t="str" cm="1">
        <f t="array" ref="K83">_xlfn.IFS(H83&gt;=$U$1,"kostka",I83&gt;=$U$1*$R$3,"orzech",J83&gt;=$U$1*$R$4,"miał",1=1,"NIC")</f>
        <v>orzech</v>
      </c>
      <c r="L83">
        <f t="shared" si="7"/>
        <v>140</v>
      </c>
      <c r="M83">
        <f t="shared" si="8"/>
        <v>136</v>
      </c>
      <c r="N83">
        <f t="shared" si="9"/>
        <v>434</v>
      </c>
    </row>
    <row r="84" spans="1:14" x14ac:dyDescent="0.25">
      <c r="A84" s="1">
        <v>42009</v>
      </c>
      <c r="B84">
        <f t="shared" si="6"/>
        <v>140</v>
      </c>
      <c r="C84">
        <f t="shared" si="6"/>
        <v>136</v>
      </c>
      <c r="D84">
        <f t="shared" si="6"/>
        <v>434</v>
      </c>
      <c r="E84">
        <v>90</v>
      </c>
      <c r="F84">
        <v>80</v>
      </c>
      <c r="G84">
        <v>31</v>
      </c>
      <c r="H84">
        <f t="shared" si="5"/>
        <v>230</v>
      </c>
      <c r="I84">
        <f t="shared" si="5"/>
        <v>216</v>
      </c>
      <c r="J84">
        <f t="shared" si="5"/>
        <v>465</v>
      </c>
      <c r="K84" t="str" cm="1">
        <f t="array" ref="K84">_xlfn.IFS(H84&gt;=$U$1,"kostka",I84&gt;=$U$1*$R$3,"orzech",J84&gt;=$U$1*$R$4,"miał",1=1,"NIC")</f>
        <v>kostka</v>
      </c>
      <c r="L84">
        <f t="shared" si="7"/>
        <v>30</v>
      </c>
      <c r="M84">
        <f t="shared" si="8"/>
        <v>216</v>
      </c>
      <c r="N84">
        <f t="shared" si="9"/>
        <v>465</v>
      </c>
    </row>
    <row r="85" spans="1:14" x14ac:dyDescent="0.25">
      <c r="A85" s="1">
        <v>42010</v>
      </c>
      <c r="B85">
        <f t="shared" si="6"/>
        <v>30</v>
      </c>
      <c r="C85">
        <f t="shared" si="6"/>
        <v>216</v>
      </c>
      <c r="D85">
        <f t="shared" si="6"/>
        <v>465</v>
      </c>
      <c r="E85">
        <v>130</v>
      </c>
      <c r="F85">
        <v>163</v>
      </c>
      <c r="G85">
        <v>92</v>
      </c>
      <c r="H85">
        <f t="shared" si="5"/>
        <v>160</v>
      </c>
      <c r="I85">
        <f t="shared" si="5"/>
        <v>379</v>
      </c>
      <c r="J85">
        <f t="shared" si="5"/>
        <v>557</v>
      </c>
      <c r="K85" t="str" cm="1">
        <f t="array" ref="K85">_xlfn.IFS(H85&gt;=$U$1,"kostka",I85&gt;=$U$1*$R$3,"orzech",J85&gt;=$U$1*$R$4,"miał",1=1,"NIC")</f>
        <v>orzech</v>
      </c>
      <c r="L85">
        <f t="shared" si="7"/>
        <v>160</v>
      </c>
      <c r="M85">
        <f t="shared" si="8"/>
        <v>119</v>
      </c>
      <c r="N85">
        <f t="shared" si="9"/>
        <v>557</v>
      </c>
    </row>
    <row r="86" spans="1:14" x14ac:dyDescent="0.25">
      <c r="A86" s="1">
        <v>42011</v>
      </c>
      <c r="B86">
        <f t="shared" si="6"/>
        <v>160</v>
      </c>
      <c r="C86">
        <f t="shared" si="6"/>
        <v>119</v>
      </c>
      <c r="D86">
        <f t="shared" si="6"/>
        <v>557</v>
      </c>
      <c r="E86">
        <v>54</v>
      </c>
      <c r="F86">
        <v>7</v>
      </c>
      <c r="G86">
        <v>79</v>
      </c>
      <c r="H86">
        <f t="shared" si="5"/>
        <v>214</v>
      </c>
      <c r="I86">
        <f t="shared" si="5"/>
        <v>126</v>
      </c>
      <c r="J86">
        <f t="shared" si="5"/>
        <v>636</v>
      </c>
      <c r="K86" t="str" cm="1">
        <f t="array" ref="K86">_xlfn.IFS(H86&gt;=$U$1,"kostka",I86&gt;=$U$1*$R$3,"orzech",J86&gt;=$U$1*$R$4,"miał",1=1,"NIC")</f>
        <v>kostka</v>
      </c>
      <c r="L86">
        <f t="shared" si="7"/>
        <v>14</v>
      </c>
      <c r="M86">
        <f t="shared" si="8"/>
        <v>126</v>
      </c>
      <c r="N86">
        <f t="shared" si="9"/>
        <v>636</v>
      </c>
    </row>
    <row r="87" spans="1:14" x14ac:dyDescent="0.25">
      <c r="A87" s="1">
        <v>42012</v>
      </c>
      <c r="B87">
        <f t="shared" si="6"/>
        <v>14</v>
      </c>
      <c r="C87">
        <f t="shared" si="6"/>
        <v>126</v>
      </c>
      <c r="D87">
        <f t="shared" si="6"/>
        <v>636</v>
      </c>
      <c r="E87">
        <v>88</v>
      </c>
      <c r="F87">
        <v>125</v>
      </c>
      <c r="G87">
        <v>97</v>
      </c>
      <c r="H87">
        <f t="shared" si="5"/>
        <v>102</v>
      </c>
      <c r="I87">
        <f t="shared" si="5"/>
        <v>251</v>
      </c>
      <c r="J87">
        <f t="shared" si="5"/>
        <v>733</v>
      </c>
      <c r="K87" t="str" cm="1">
        <f t="array" ref="K87">_xlfn.IFS(H87&gt;=$U$1,"kostka",I87&gt;=$U$1*$R$3,"orzech",J87&gt;=$U$1*$R$4,"miał",1=1,"NIC")</f>
        <v>miał</v>
      </c>
      <c r="L87">
        <f t="shared" si="7"/>
        <v>102</v>
      </c>
      <c r="M87">
        <f t="shared" si="8"/>
        <v>251</v>
      </c>
      <c r="N87">
        <f t="shared" si="9"/>
        <v>413</v>
      </c>
    </row>
    <row r="88" spans="1:14" x14ac:dyDescent="0.25">
      <c r="A88" s="1">
        <v>42013</v>
      </c>
      <c r="B88">
        <f t="shared" si="6"/>
        <v>102</v>
      </c>
      <c r="C88">
        <f t="shared" si="6"/>
        <v>251</v>
      </c>
      <c r="D88">
        <f t="shared" si="6"/>
        <v>413</v>
      </c>
      <c r="E88">
        <v>83</v>
      </c>
      <c r="F88">
        <v>85</v>
      </c>
      <c r="G88">
        <v>99</v>
      </c>
      <c r="H88">
        <f t="shared" si="5"/>
        <v>185</v>
      </c>
      <c r="I88">
        <f t="shared" si="5"/>
        <v>336</v>
      </c>
      <c r="J88">
        <f t="shared" si="5"/>
        <v>512</v>
      </c>
      <c r="K88" t="str" cm="1">
        <f t="array" ref="K88">_xlfn.IFS(H88&gt;=$U$1,"kostka",I88&gt;=$U$1*$R$3,"orzech",J88&gt;=$U$1*$R$4,"miał",1=1,"NIC")</f>
        <v>orzech</v>
      </c>
      <c r="L88">
        <f t="shared" si="7"/>
        <v>185</v>
      </c>
      <c r="M88">
        <f t="shared" si="8"/>
        <v>76</v>
      </c>
      <c r="N88">
        <f t="shared" si="9"/>
        <v>512</v>
      </c>
    </row>
    <row r="89" spans="1:14" x14ac:dyDescent="0.25">
      <c r="A89" s="1">
        <v>42014</v>
      </c>
      <c r="B89">
        <f t="shared" si="6"/>
        <v>185</v>
      </c>
      <c r="C89">
        <f t="shared" si="6"/>
        <v>76</v>
      </c>
      <c r="D89">
        <f t="shared" si="6"/>
        <v>512</v>
      </c>
      <c r="E89">
        <v>139</v>
      </c>
      <c r="F89">
        <v>155</v>
      </c>
      <c r="G89">
        <v>11</v>
      </c>
      <c r="H89">
        <f t="shared" si="5"/>
        <v>324</v>
      </c>
      <c r="I89">
        <f t="shared" si="5"/>
        <v>231</v>
      </c>
      <c r="J89">
        <f t="shared" si="5"/>
        <v>523</v>
      </c>
      <c r="K89" t="str" cm="1">
        <f t="array" ref="K89">_xlfn.IFS(H89&gt;=$U$1,"kostka",I89&gt;=$U$1*$R$3,"orzech",J89&gt;=$U$1*$R$4,"miał",1=1,"NIC")</f>
        <v>kostka</v>
      </c>
      <c r="L89">
        <f t="shared" si="7"/>
        <v>124</v>
      </c>
      <c r="M89">
        <f t="shared" si="8"/>
        <v>231</v>
      </c>
      <c r="N89">
        <f t="shared" si="9"/>
        <v>523</v>
      </c>
    </row>
    <row r="90" spans="1:14" x14ac:dyDescent="0.25">
      <c r="A90" s="1">
        <v>42015</v>
      </c>
      <c r="B90">
        <f t="shared" si="6"/>
        <v>124</v>
      </c>
      <c r="C90">
        <f t="shared" si="6"/>
        <v>231</v>
      </c>
      <c r="D90">
        <f t="shared" si="6"/>
        <v>523</v>
      </c>
      <c r="E90">
        <v>82</v>
      </c>
      <c r="F90">
        <v>43</v>
      </c>
      <c r="G90">
        <v>93</v>
      </c>
      <c r="H90">
        <f t="shared" si="5"/>
        <v>206</v>
      </c>
      <c r="I90">
        <f t="shared" si="5"/>
        <v>274</v>
      </c>
      <c r="J90">
        <f t="shared" si="5"/>
        <v>616</v>
      </c>
      <c r="K90" t="str" cm="1">
        <f t="array" ref="K90">_xlfn.IFS(H90&gt;=$U$1,"kostka",I90&gt;=$U$1*$R$3,"orzech",J90&gt;=$U$1*$R$4,"miał",1=1,"NIC")</f>
        <v>kostka</v>
      </c>
      <c r="L90">
        <f t="shared" si="7"/>
        <v>6</v>
      </c>
      <c r="M90">
        <f t="shared" si="8"/>
        <v>274</v>
      </c>
      <c r="N90">
        <f t="shared" si="9"/>
        <v>616</v>
      </c>
    </row>
    <row r="91" spans="1:14" x14ac:dyDescent="0.25">
      <c r="A91" s="1">
        <v>42016</v>
      </c>
      <c r="B91">
        <f t="shared" si="6"/>
        <v>6</v>
      </c>
      <c r="C91">
        <f t="shared" si="6"/>
        <v>274</v>
      </c>
      <c r="D91">
        <f t="shared" si="6"/>
        <v>616</v>
      </c>
      <c r="E91">
        <v>23</v>
      </c>
      <c r="F91">
        <v>40</v>
      </c>
      <c r="G91">
        <v>83</v>
      </c>
      <c r="H91">
        <f t="shared" si="5"/>
        <v>29</v>
      </c>
      <c r="I91">
        <f t="shared" si="5"/>
        <v>314</v>
      </c>
      <c r="J91">
        <f t="shared" si="5"/>
        <v>699</v>
      </c>
      <c r="K91" t="str" cm="1">
        <f t="array" ref="K91">_xlfn.IFS(H91&gt;=$U$1,"kostka",I91&gt;=$U$1*$R$3,"orzech",J91&gt;=$U$1*$R$4,"miał",1=1,"NIC")</f>
        <v>orzech</v>
      </c>
      <c r="L91">
        <f t="shared" si="7"/>
        <v>29</v>
      </c>
      <c r="M91">
        <f t="shared" si="8"/>
        <v>54</v>
      </c>
      <c r="N91">
        <f t="shared" si="9"/>
        <v>699</v>
      </c>
    </row>
    <row r="92" spans="1:14" x14ac:dyDescent="0.25">
      <c r="A92" s="1">
        <v>42017</v>
      </c>
      <c r="B92">
        <f t="shared" si="6"/>
        <v>29</v>
      </c>
      <c r="C92">
        <f t="shared" si="6"/>
        <v>54</v>
      </c>
      <c r="D92">
        <f t="shared" si="6"/>
        <v>699</v>
      </c>
      <c r="E92">
        <v>118</v>
      </c>
      <c r="F92">
        <v>165</v>
      </c>
      <c r="G92">
        <v>56</v>
      </c>
      <c r="H92">
        <f t="shared" si="5"/>
        <v>147</v>
      </c>
      <c r="I92">
        <f t="shared" si="5"/>
        <v>219</v>
      </c>
      <c r="J92">
        <f t="shared" si="5"/>
        <v>755</v>
      </c>
      <c r="K92" t="str" cm="1">
        <f t="array" ref="K92">_xlfn.IFS(H92&gt;=$U$1,"kostka",I92&gt;=$U$1*$R$3,"orzech",J92&gt;=$U$1*$R$4,"miał",1=1,"NIC")</f>
        <v>miał</v>
      </c>
      <c r="L92">
        <f t="shared" si="7"/>
        <v>147</v>
      </c>
      <c r="M92">
        <f t="shared" si="8"/>
        <v>219</v>
      </c>
      <c r="N92">
        <f t="shared" si="9"/>
        <v>435</v>
      </c>
    </row>
    <row r="93" spans="1:14" x14ac:dyDescent="0.25">
      <c r="A93" s="1">
        <v>42018</v>
      </c>
      <c r="B93">
        <f t="shared" si="6"/>
        <v>147</v>
      </c>
      <c r="C93">
        <f t="shared" si="6"/>
        <v>219</v>
      </c>
      <c r="D93">
        <f t="shared" si="6"/>
        <v>435</v>
      </c>
      <c r="E93">
        <v>59</v>
      </c>
      <c r="F93">
        <v>35</v>
      </c>
      <c r="G93">
        <v>17</v>
      </c>
      <c r="H93">
        <f t="shared" si="5"/>
        <v>206</v>
      </c>
      <c r="I93">
        <f t="shared" si="5"/>
        <v>254</v>
      </c>
      <c r="J93">
        <f t="shared" si="5"/>
        <v>452</v>
      </c>
      <c r="K93" t="str" cm="1">
        <f t="array" ref="K93">_xlfn.IFS(H93&gt;=$U$1,"kostka",I93&gt;=$U$1*$R$3,"orzech",J93&gt;=$U$1*$R$4,"miał",1=1,"NIC")</f>
        <v>kostka</v>
      </c>
      <c r="L93">
        <f t="shared" si="7"/>
        <v>6</v>
      </c>
      <c r="M93">
        <f t="shared" si="8"/>
        <v>254</v>
      </c>
      <c r="N93">
        <f t="shared" si="9"/>
        <v>452</v>
      </c>
    </row>
    <row r="94" spans="1:14" x14ac:dyDescent="0.25">
      <c r="A94" s="1">
        <v>42019</v>
      </c>
      <c r="B94">
        <f t="shared" si="6"/>
        <v>6</v>
      </c>
      <c r="C94">
        <f t="shared" si="6"/>
        <v>254</v>
      </c>
      <c r="D94">
        <f t="shared" si="6"/>
        <v>452</v>
      </c>
      <c r="E94">
        <v>127</v>
      </c>
      <c r="F94">
        <v>58</v>
      </c>
      <c r="G94">
        <v>39</v>
      </c>
      <c r="H94">
        <f t="shared" si="5"/>
        <v>133</v>
      </c>
      <c r="I94">
        <f t="shared" si="5"/>
        <v>312</v>
      </c>
      <c r="J94">
        <f t="shared" si="5"/>
        <v>491</v>
      </c>
      <c r="K94" t="str" cm="1">
        <f t="array" ref="K94">_xlfn.IFS(H94&gt;=$U$1,"kostka",I94&gt;=$U$1*$R$3,"orzech",J94&gt;=$U$1*$R$4,"miał",1=1,"NIC")</f>
        <v>orzech</v>
      </c>
      <c r="L94">
        <f t="shared" si="7"/>
        <v>133</v>
      </c>
      <c r="M94">
        <f t="shared" si="8"/>
        <v>52</v>
      </c>
      <c r="N94">
        <f t="shared" si="9"/>
        <v>491</v>
      </c>
    </row>
    <row r="95" spans="1:14" x14ac:dyDescent="0.25">
      <c r="A95" s="1">
        <v>42020</v>
      </c>
      <c r="B95">
        <f t="shared" si="6"/>
        <v>133</v>
      </c>
      <c r="C95">
        <f t="shared" si="6"/>
        <v>52</v>
      </c>
      <c r="D95">
        <f t="shared" si="6"/>
        <v>491</v>
      </c>
      <c r="E95">
        <v>121</v>
      </c>
      <c r="F95">
        <v>175</v>
      </c>
      <c r="G95">
        <v>77</v>
      </c>
      <c r="H95">
        <f t="shared" si="5"/>
        <v>254</v>
      </c>
      <c r="I95">
        <f t="shared" si="5"/>
        <v>227</v>
      </c>
      <c r="J95">
        <f t="shared" si="5"/>
        <v>568</v>
      </c>
      <c r="K95" t="str" cm="1">
        <f t="array" ref="K95">_xlfn.IFS(H95&gt;=$U$1,"kostka",I95&gt;=$U$1*$R$3,"orzech",J95&gt;=$U$1*$R$4,"miał",1=1,"NIC")</f>
        <v>kostka</v>
      </c>
      <c r="L95">
        <f t="shared" si="7"/>
        <v>54</v>
      </c>
      <c r="M95">
        <f t="shared" si="8"/>
        <v>227</v>
      </c>
      <c r="N95">
        <f t="shared" si="9"/>
        <v>568</v>
      </c>
    </row>
    <row r="96" spans="1:14" x14ac:dyDescent="0.25">
      <c r="A96" s="1">
        <v>42021</v>
      </c>
      <c r="B96">
        <f t="shared" si="6"/>
        <v>54</v>
      </c>
      <c r="C96">
        <f t="shared" si="6"/>
        <v>227</v>
      </c>
      <c r="D96">
        <f t="shared" si="6"/>
        <v>568</v>
      </c>
      <c r="E96">
        <v>80</v>
      </c>
      <c r="F96">
        <v>101</v>
      </c>
      <c r="G96">
        <v>3</v>
      </c>
      <c r="H96">
        <f t="shared" si="5"/>
        <v>134</v>
      </c>
      <c r="I96">
        <f t="shared" si="5"/>
        <v>328</v>
      </c>
      <c r="J96">
        <f t="shared" si="5"/>
        <v>571</v>
      </c>
      <c r="K96" t="str" cm="1">
        <f t="array" ref="K96">_xlfn.IFS(H96&gt;=$U$1,"kostka",I96&gt;=$U$1*$R$3,"orzech",J96&gt;=$U$1*$R$4,"miał",1=1,"NIC")</f>
        <v>orzech</v>
      </c>
      <c r="L96">
        <f t="shared" si="7"/>
        <v>134</v>
      </c>
      <c r="M96">
        <f t="shared" si="8"/>
        <v>68</v>
      </c>
      <c r="N96">
        <f t="shared" si="9"/>
        <v>571</v>
      </c>
    </row>
    <row r="97" spans="1:14" x14ac:dyDescent="0.25">
      <c r="A97" s="1">
        <v>42022</v>
      </c>
      <c r="B97">
        <f t="shared" si="6"/>
        <v>134</v>
      </c>
      <c r="C97">
        <f t="shared" si="6"/>
        <v>68</v>
      </c>
      <c r="D97">
        <f t="shared" si="6"/>
        <v>571</v>
      </c>
      <c r="E97">
        <v>189</v>
      </c>
      <c r="F97">
        <v>161</v>
      </c>
      <c r="G97">
        <v>53</v>
      </c>
      <c r="H97">
        <f t="shared" si="5"/>
        <v>323</v>
      </c>
      <c r="I97">
        <f t="shared" si="5"/>
        <v>229</v>
      </c>
      <c r="J97">
        <f t="shared" si="5"/>
        <v>624</v>
      </c>
      <c r="K97" t="str" cm="1">
        <f t="array" ref="K97">_xlfn.IFS(H97&gt;=$U$1,"kostka",I97&gt;=$U$1*$R$3,"orzech",J97&gt;=$U$1*$R$4,"miał",1=1,"NIC")</f>
        <v>kostka</v>
      </c>
      <c r="L97">
        <f t="shared" si="7"/>
        <v>123</v>
      </c>
      <c r="M97">
        <f t="shared" si="8"/>
        <v>229</v>
      </c>
      <c r="N97">
        <f t="shared" si="9"/>
        <v>624</v>
      </c>
    </row>
    <row r="98" spans="1:14" x14ac:dyDescent="0.25">
      <c r="A98" s="1">
        <v>42023</v>
      </c>
      <c r="B98">
        <f t="shared" si="6"/>
        <v>123</v>
      </c>
      <c r="C98">
        <f t="shared" si="6"/>
        <v>229</v>
      </c>
      <c r="D98">
        <f t="shared" si="6"/>
        <v>624</v>
      </c>
      <c r="E98">
        <v>18</v>
      </c>
      <c r="F98">
        <v>61</v>
      </c>
      <c r="G98">
        <v>19</v>
      </c>
      <c r="H98">
        <f t="shared" si="5"/>
        <v>141</v>
      </c>
      <c r="I98">
        <f t="shared" si="5"/>
        <v>290</v>
      </c>
      <c r="J98">
        <f t="shared" si="5"/>
        <v>643</v>
      </c>
      <c r="K98" t="str" cm="1">
        <f t="array" ref="K98">_xlfn.IFS(H98&gt;=$U$1,"kostka",I98&gt;=$U$1*$R$3,"orzech",J98&gt;=$U$1*$R$4,"miał",1=1,"NIC")</f>
        <v>orzech</v>
      </c>
      <c r="L98">
        <f t="shared" si="7"/>
        <v>141</v>
      </c>
      <c r="M98">
        <f t="shared" si="8"/>
        <v>30</v>
      </c>
      <c r="N98">
        <f t="shared" si="9"/>
        <v>643</v>
      </c>
    </row>
    <row r="99" spans="1:14" x14ac:dyDescent="0.25">
      <c r="A99" s="1">
        <v>42024</v>
      </c>
      <c r="B99">
        <f t="shared" si="6"/>
        <v>141</v>
      </c>
      <c r="C99">
        <f t="shared" si="6"/>
        <v>30</v>
      </c>
      <c r="D99">
        <f t="shared" si="6"/>
        <v>643</v>
      </c>
      <c r="E99">
        <v>68</v>
      </c>
      <c r="F99">
        <v>127</v>
      </c>
      <c r="G99">
        <v>3</v>
      </c>
      <c r="H99">
        <f t="shared" si="5"/>
        <v>209</v>
      </c>
      <c r="I99">
        <f t="shared" si="5"/>
        <v>157</v>
      </c>
      <c r="J99">
        <f t="shared" si="5"/>
        <v>646</v>
      </c>
      <c r="K99" t="str" cm="1">
        <f t="array" ref="K99">_xlfn.IFS(H99&gt;=$U$1,"kostka",I99&gt;=$U$1*$R$3,"orzech",J99&gt;=$U$1*$R$4,"miał",1=1,"NIC")</f>
        <v>kostka</v>
      </c>
      <c r="L99">
        <f t="shared" si="7"/>
        <v>9</v>
      </c>
      <c r="M99">
        <f t="shared" si="8"/>
        <v>157</v>
      </c>
      <c r="N99">
        <f t="shared" si="9"/>
        <v>646</v>
      </c>
    </row>
    <row r="100" spans="1:14" x14ac:dyDescent="0.25">
      <c r="A100" s="1">
        <v>42025</v>
      </c>
      <c r="B100">
        <f t="shared" si="6"/>
        <v>9</v>
      </c>
      <c r="C100">
        <f t="shared" si="6"/>
        <v>157</v>
      </c>
      <c r="D100">
        <f t="shared" si="6"/>
        <v>646</v>
      </c>
      <c r="E100">
        <v>37</v>
      </c>
      <c r="F100">
        <v>112</v>
      </c>
      <c r="G100">
        <v>68</v>
      </c>
      <c r="H100">
        <f t="shared" si="5"/>
        <v>46</v>
      </c>
      <c r="I100">
        <f t="shared" si="5"/>
        <v>269</v>
      </c>
      <c r="J100">
        <f t="shared" si="5"/>
        <v>714</v>
      </c>
      <c r="K100" t="str" cm="1">
        <f t="array" ref="K100">_xlfn.IFS(H100&gt;=$U$1,"kostka",I100&gt;=$U$1*$R$3,"orzech",J100&gt;=$U$1*$R$4,"miał",1=1,"NIC")</f>
        <v>orzech</v>
      </c>
      <c r="L100">
        <f t="shared" si="7"/>
        <v>46</v>
      </c>
      <c r="M100">
        <f t="shared" si="8"/>
        <v>9</v>
      </c>
      <c r="N100">
        <f t="shared" si="9"/>
        <v>714</v>
      </c>
    </row>
    <row r="101" spans="1:14" x14ac:dyDescent="0.25">
      <c r="A101" s="1">
        <v>42026</v>
      </c>
      <c r="B101">
        <f t="shared" si="6"/>
        <v>46</v>
      </c>
      <c r="C101">
        <f t="shared" si="6"/>
        <v>9</v>
      </c>
      <c r="D101">
        <f t="shared" si="6"/>
        <v>714</v>
      </c>
      <c r="E101">
        <v>40</v>
      </c>
      <c r="F101">
        <v>140</v>
      </c>
      <c r="G101">
        <v>15</v>
      </c>
      <c r="H101">
        <f t="shared" si="5"/>
        <v>86</v>
      </c>
      <c r="I101">
        <f t="shared" si="5"/>
        <v>149</v>
      </c>
      <c r="J101">
        <f t="shared" si="5"/>
        <v>729</v>
      </c>
      <c r="K101" t="str" cm="1">
        <f t="array" ref="K101">_xlfn.IFS(H101&gt;=$U$1,"kostka",I101&gt;=$U$1*$R$3,"orzech",J101&gt;=$U$1*$R$4,"miał",1=1,"NIC")</f>
        <v>miał</v>
      </c>
      <c r="L101">
        <f t="shared" si="7"/>
        <v>86</v>
      </c>
      <c r="M101">
        <f t="shared" si="8"/>
        <v>149</v>
      </c>
      <c r="N101">
        <f t="shared" si="9"/>
        <v>409</v>
      </c>
    </row>
    <row r="102" spans="1:14" x14ac:dyDescent="0.25">
      <c r="A102" s="1">
        <v>42027</v>
      </c>
      <c r="B102">
        <f t="shared" si="6"/>
        <v>86</v>
      </c>
      <c r="C102">
        <f t="shared" si="6"/>
        <v>149</v>
      </c>
      <c r="D102">
        <f t="shared" si="6"/>
        <v>409</v>
      </c>
      <c r="E102">
        <v>189</v>
      </c>
      <c r="F102">
        <v>87</v>
      </c>
      <c r="G102">
        <v>64</v>
      </c>
      <c r="H102">
        <f t="shared" si="5"/>
        <v>275</v>
      </c>
      <c r="I102">
        <f t="shared" si="5"/>
        <v>236</v>
      </c>
      <c r="J102">
        <f t="shared" si="5"/>
        <v>473</v>
      </c>
      <c r="K102" t="str" cm="1">
        <f t="array" ref="K102">_xlfn.IFS(H102&gt;=$U$1,"kostka",I102&gt;=$U$1*$R$3,"orzech",J102&gt;=$U$1*$R$4,"miał",1=1,"NIC")</f>
        <v>kostka</v>
      </c>
      <c r="L102">
        <f t="shared" si="7"/>
        <v>75</v>
      </c>
      <c r="M102">
        <f t="shared" si="8"/>
        <v>236</v>
      </c>
      <c r="N102">
        <f t="shared" si="9"/>
        <v>473</v>
      </c>
    </row>
    <row r="103" spans="1:14" x14ac:dyDescent="0.25">
      <c r="A103" s="1">
        <v>42028</v>
      </c>
      <c r="B103">
        <f t="shared" si="6"/>
        <v>75</v>
      </c>
      <c r="C103">
        <f t="shared" si="6"/>
        <v>236</v>
      </c>
      <c r="D103">
        <f t="shared" si="6"/>
        <v>473</v>
      </c>
      <c r="E103">
        <v>145</v>
      </c>
      <c r="F103">
        <v>18</v>
      </c>
      <c r="G103">
        <v>1</v>
      </c>
      <c r="H103">
        <f t="shared" si="5"/>
        <v>220</v>
      </c>
      <c r="I103">
        <f t="shared" si="5"/>
        <v>254</v>
      </c>
      <c r="J103">
        <f t="shared" si="5"/>
        <v>474</v>
      </c>
      <c r="K103" t="str" cm="1">
        <f t="array" ref="K103">_xlfn.IFS(H103&gt;=$U$1,"kostka",I103&gt;=$U$1*$R$3,"orzech",J103&gt;=$U$1*$R$4,"miał",1=1,"NIC")</f>
        <v>kostka</v>
      </c>
      <c r="L103">
        <f t="shared" si="7"/>
        <v>20</v>
      </c>
      <c r="M103">
        <f t="shared" si="8"/>
        <v>254</v>
      </c>
      <c r="N103">
        <f t="shared" si="9"/>
        <v>474</v>
      </c>
    </row>
    <row r="104" spans="1:14" x14ac:dyDescent="0.25">
      <c r="A104" s="1">
        <v>42029</v>
      </c>
      <c r="B104">
        <f t="shared" si="6"/>
        <v>20</v>
      </c>
      <c r="C104">
        <f t="shared" si="6"/>
        <v>254</v>
      </c>
      <c r="D104">
        <f t="shared" si="6"/>
        <v>474</v>
      </c>
      <c r="E104">
        <v>148</v>
      </c>
      <c r="F104">
        <v>27</v>
      </c>
      <c r="G104">
        <v>13</v>
      </c>
      <c r="H104">
        <f t="shared" si="5"/>
        <v>168</v>
      </c>
      <c r="I104">
        <f t="shared" si="5"/>
        <v>281</v>
      </c>
      <c r="J104">
        <f t="shared" si="5"/>
        <v>487</v>
      </c>
      <c r="K104" t="str" cm="1">
        <f t="array" ref="K104">_xlfn.IFS(H104&gt;=$U$1,"kostka",I104&gt;=$U$1*$R$3,"orzech",J104&gt;=$U$1*$R$4,"miał",1=1,"NIC")</f>
        <v>orzech</v>
      </c>
      <c r="L104">
        <f t="shared" si="7"/>
        <v>168</v>
      </c>
      <c r="M104">
        <f t="shared" si="8"/>
        <v>21</v>
      </c>
      <c r="N104">
        <f t="shared" si="9"/>
        <v>487</v>
      </c>
    </row>
    <row r="105" spans="1:14" x14ac:dyDescent="0.25">
      <c r="A105" s="1">
        <v>42030</v>
      </c>
      <c r="B105">
        <f t="shared" si="6"/>
        <v>168</v>
      </c>
      <c r="C105">
        <f t="shared" si="6"/>
        <v>21</v>
      </c>
      <c r="D105">
        <f t="shared" si="6"/>
        <v>487</v>
      </c>
      <c r="E105">
        <v>127</v>
      </c>
      <c r="F105">
        <v>161</v>
      </c>
      <c r="G105">
        <v>31</v>
      </c>
      <c r="H105">
        <f t="shared" si="5"/>
        <v>295</v>
      </c>
      <c r="I105">
        <f t="shared" si="5"/>
        <v>182</v>
      </c>
      <c r="J105">
        <f t="shared" si="5"/>
        <v>518</v>
      </c>
      <c r="K105" t="str" cm="1">
        <f t="array" ref="K105">_xlfn.IFS(H105&gt;=$U$1,"kostka",I105&gt;=$U$1*$R$3,"orzech",J105&gt;=$U$1*$R$4,"miał",1=1,"NIC")</f>
        <v>kostka</v>
      </c>
      <c r="L105">
        <f t="shared" si="7"/>
        <v>95</v>
      </c>
      <c r="M105">
        <f t="shared" si="8"/>
        <v>182</v>
      </c>
      <c r="N105">
        <f t="shared" si="9"/>
        <v>518</v>
      </c>
    </row>
    <row r="106" spans="1:14" x14ac:dyDescent="0.25">
      <c r="A106" s="1">
        <v>42031</v>
      </c>
      <c r="B106">
        <f t="shared" si="6"/>
        <v>95</v>
      </c>
      <c r="C106">
        <f t="shared" si="6"/>
        <v>182</v>
      </c>
      <c r="D106">
        <f t="shared" si="6"/>
        <v>518</v>
      </c>
      <c r="E106">
        <v>131</v>
      </c>
      <c r="F106">
        <v>1</v>
      </c>
      <c r="G106">
        <v>98</v>
      </c>
      <c r="H106">
        <f t="shared" si="5"/>
        <v>226</v>
      </c>
      <c r="I106">
        <f t="shared" si="5"/>
        <v>183</v>
      </c>
      <c r="J106">
        <f t="shared" si="5"/>
        <v>616</v>
      </c>
      <c r="K106" t="str" cm="1">
        <f t="array" ref="K106">_xlfn.IFS(H106&gt;=$U$1,"kostka",I106&gt;=$U$1*$R$3,"orzech",J106&gt;=$U$1*$R$4,"miał",1=1,"NIC")</f>
        <v>kostka</v>
      </c>
      <c r="L106">
        <f t="shared" si="7"/>
        <v>26</v>
      </c>
      <c r="M106">
        <f t="shared" si="8"/>
        <v>183</v>
      </c>
      <c r="N106">
        <f t="shared" si="9"/>
        <v>616</v>
      </c>
    </row>
    <row r="107" spans="1:14" x14ac:dyDescent="0.25">
      <c r="A107" s="1">
        <v>42032</v>
      </c>
      <c r="B107">
        <f t="shared" si="6"/>
        <v>26</v>
      </c>
      <c r="C107">
        <f t="shared" si="6"/>
        <v>183</v>
      </c>
      <c r="D107">
        <f t="shared" si="6"/>
        <v>616</v>
      </c>
      <c r="E107">
        <v>142</v>
      </c>
      <c r="F107">
        <v>131</v>
      </c>
      <c r="G107">
        <v>62</v>
      </c>
      <c r="H107">
        <f t="shared" si="5"/>
        <v>168</v>
      </c>
      <c r="I107">
        <f t="shared" si="5"/>
        <v>314</v>
      </c>
      <c r="J107">
        <f t="shared" si="5"/>
        <v>678</v>
      </c>
      <c r="K107" t="str" cm="1">
        <f t="array" ref="K107">_xlfn.IFS(H107&gt;=$U$1,"kostka",I107&gt;=$U$1*$R$3,"orzech",J107&gt;=$U$1*$R$4,"miał",1=1,"NIC")</f>
        <v>orzech</v>
      </c>
      <c r="L107">
        <f t="shared" si="7"/>
        <v>168</v>
      </c>
      <c r="M107">
        <f t="shared" si="8"/>
        <v>54</v>
      </c>
      <c r="N107">
        <f t="shared" si="9"/>
        <v>678</v>
      </c>
    </row>
    <row r="108" spans="1:14" x14ac:dyDescent="0.25">
      <c r="A108" s="1">
        <v>42033</v>
      </c>
      <c r="B108">
        <f t="shared" si="6"/>
        <v>168</v>
      </c>
      <c r="C108">
        <f t="shared" si="6"/>
        <v>54</v>
      </c>
      <c r="D108">
        <f t="shared" si="6"/>
        <v>678</v>
      </c>
      <c r="E108">
        <v>121</v>
      </c>
      <c r="F108">
        <v>150</v>
      </c>
      <c r="G108">
        <v>25</v>
      </c>
      <c r="H108">
        <f t="shared" si="5"/>
        <v>289</v>
      </c>
      <c r="I108">
        <f t="shared" si="5"/>
        <v>204</v>
      </c>
      <c r="J108">
        <f t="shared" si="5"/>
        <v>703</v>
      </c>
      <c r="K108" t="str" cm="1">
        <f t="array" ref="K108">_xlfn.IFS(H108&gt;=$U$1,"kostka",I108&gt;=$U$1*$R$3,"orzech",J108&gt;=$U$1*$R$4,"miał",1=1,"NIC")</f>
        <v>kostka</v>
      </c>
      <c r="L108">
        <f t="shared" si="7"/>
        <v>89</v>
      </c>
      <c r="M108">
        <f t="shared" si="8"/>
        <v>204</v>
      </c>
      <c r="N108">
        <f t="shared" si="9"/>
        <v>703</v>
      </c>
    </row>
    <row r="109" spans="1:14" x14ac:dyDescent="0.25">
      <c r="A109" s="1">
        <v>42034</v>
      </c>
      <c r="B109">
        <f t="shared" si="6"/>
        <v>89</v>
      </c>
      <c r="C109">
        <f t="shared" si="6"/>
        <v>204</v>
      </c>
      <c r="D109">
        <f t="shared" si="6"/>
        <v>703</v>
      </c>
      <c r="E109">
        <v>33</v>
      </c>
      <c r="F109">
        <v>113</v>
      </c>
      <c r="G109">
        <v>62</v>
      </c>
      <c r="H109">
        <f t="shared" si="5"/>
        <v>122</v>
      </c>
      <c r="I109">
        <f t="shared" si="5"/>
        <v>317</v>
      </c>
      <c r="J109">
        <f t="shared" si="5"/>
        <v>765</v>
      </c>
      <c r="K109" t="str" cm="1">
        <f t="array" ref="K109">_xlfn.IFS(H109&gt;=$U$1,"kostka",I109&gt;=$U$1*$R$3,"orzech",J109&gt;=$U$1*$R$4,"miał",1=1,"NIC")</f>
        <v>orzech</v>
      </c>
      <c r="L109">
        <f t="shared" si="7"/>
        <v>122</v>
      </c>
      <c r="M109">
        <f t="shared" si="8"/>
        <v>57</v>
      </c>
      <c r="N109">
        <f t="shared" si="9"/>
        <v>765</v>
      </c>
    </row>
    <row r="110" spans="1:14" x14ac:dyDescent="0.25">
      <c r="A110" s="1">
        <v>42035</v>
      </c>
      <c r="B110">
        <f t="shared" si="6"/>
        <v>122</v>
      </c>
      <c r="C110">
        <f t="shared" si="6"/>
        <v>57</v>
      </c>
      <c r="D110">
        <f t="shared" si="6"/>
        <v>765</v>
      </c>
      <c r="E110">
        <v>142</v>
      </c>
      <c r="F110">
        <v>44</v>
      </c>
      <c r="G110">
        <v>92</v>
      </c>
      <c r="H110">
        <f t="shared" si="5"/>
        <v>264</v>
      </c>
      <c r="I110">
        <f t="shared" si="5"/>
        <v>101</v>
      </c>
      <c r="J110">
        <f t="shared" si="5"/>
        <v>857</v>
      </c>
      <c r="K110" t="str" cm="1">
        <f t="array" ref="K110">_xlfn.IFS(H110&gt;=$U$1,"kostka",I110&gt;=$U$1*$R$3,"orzech",J110&gt;=$U$1*$R$4,"miał",1=1,"NIC")</f>
        <v>kostka</v>
      </c>
      <c r="L110">
        <f t="shared" si="7"/>
        <v>64</v>
      </c>
      <c r="M110">
        <f t="shared" si="8"/>
        <v>101</v>
      </c>
      <c r="N110">
        <f t="shared" si="9"/>
        <v>857</v>
      </c>
    </row>
    <row r="111" spans="1:14" x14ac:dyDescent="0.25">
      <c r="A111" s="1">
        <v>42036</v>
      </c>
      <c r="B111">
        <f t="shared" si="6"/>
        <v>64</v>
      </c>
      <c r="C111">
        <f t="shared" si="6"/>
        <v>101</v>
      </c>
      <c r="D111">
        <f t="shared" si="6"/>
        <v>857</v>
      </c>
      <c r="E111">
        <v>119</v>
      </c>
      <c r="F111">
        <v>167</v>
      </c>
      <c r="G111">
        <v>64</v>
      </c>
      <c r="H111">
        <f t="shared" si="5"/>
        <v>183</v>
      </c>
      <c r="I111">
        <f t="shared" si="5"/>
        <v>268</v>
      </c>
      <c r="J111">
        <f t="shared" si="5"/>
        <v>921</v>
      </c>
      <c r="K111" t="str" cm="1">
        <f t="array" ref="K111">_xlfn.IFS(H111&gt;=$U$1,"kostka",I111&gt;=$U$1*$R$3,"orzech",J111&gt;=$U$1*$R$4,"miał",1=1,"NIC")</f>
        <v>orzech</v>
      </c>
      <c r="L111">
        <f t="shared" si="7"/>
        <v>183</v>
      </c>
      <c r="M111">
        <f t="shared" si="8"/>
        <v>8</v>
      </c>
      <c r="N111">
        <f t="shared" si="9"/>
        <v>921</v>
      </c>
    </row>
    <row r="112" spans="1:14" x14ac:dyDescent="0.25">
      <c r="A112" s="1">
        <v>42037</v>
      </c>
      <c r="B112">
        <f t="shared" si="6"/>
        <v>183</v>
      </c>
      <c r="C112">
        <f t="shared" si="6"/>
        <v>8</v>
      </c>
      <c r="D112">
        <f t="shared" si="6"/>
        <v>921</v>
      </c>
      <c r="E112">
        <v>54</v>
      </c>
      <c r="F112">
        <v>109</v>
      </c>
      <c r="G112">
        <v>65</v>
      </c>
      <c r="H112">
        <f t="shared" si="5"/>
        <v>237</v>
      </c>
      <c r="I112">
        <f t="shared" si="5"/>
        <v>117</v>
      </c>
      <c r="J112">
        <f t="shared" si="5"/>
        <v>986</v>
      </c>
      <c r="K112" t="str" cm="1">
        <f t="array" ref="K112">_xlfn.IFS(H112&gt;=$U$1,"kostka",I112&gt;=$U$1*$R$3,"orzech",J112&gt;=$U$1*$R$4,"miał",1=1,"NIC")</f>
        <v>kostka</v>
      </c>
      <c r="L112">
        <f t="shared" si="7"/>
        <v>37</v>
      </c>
      <c r="M112">
        <f t="shared" si="8"/>
        <v>117</v>
      </c>
      <c r="N112">
        <f t="shared" si="9"/>
        <v>986</v>
      </c>
    </row>
    <row r="113" spans="1:14" x14ac:dyDescent="0.25">
      <c r="A113" s="1">
        <v>42038</v>
      </c>
      <c r="B113">
        <f t="shared" si="6"/>
        <v>37</v>
      </c>
      <c r="C113">
        <f t="shared" si="6"/>
        <v>117</v>
      </c>
      <c r="D113">
        <f t="shared" si="6"/>
        <v>986</v>
      </c>
      <c r="E113">
        <v>53</v>
      </c>
      <c r="F113">
        <v>94</v>
      </c>
      <c r="G113">
        <v>43</v>
      </c>
      <c r="H113">
        <f t="shared" si="5"/>
        <v>90</v>
      </c>
      <c r="I113">
        <f t="shared" si="5"/>
        <v>211</v>
      </c>
      <c r="J113">
        <f t="shared" si="5"/>
        <v>1029</v>
      </c>
      <c r="K113" t="str" cm="1">
        <f t="array" ref="K113">_xlfn.IFS(H113&gt;=$U$1,"kostka",I113&gt;=$U$1*$R$3,"orzech",J113&gt;=$U$1*$R$4,"miał",1=1,"NIC")</f>
        <v>miał</v>
      </c>
      <c r="L113">
        <f t="shared" si="7"/>
        <v>90</v>
      </c>
      <c r="M113">
        <f t="shared" si="8"/>
        <v>211</v>
      </c>
      <c r="N113">
        <f t="shared" si="9"/>
        <v>709</v>
      </c>
    </row>
    <row r="114" spans="1:14" x14ac:dyDescent="0.25">
      <c r="A114" s="1">
        <v>42039</v>
      </c>
      <c r="B114">
        <f t="shared" si="6"/>
        <v>90</v>
      </c>
      <c r="C114">
        <f t="shared" si="6"/>
        <v>211</v>
      </c>
      <c r="D114">
        <f t="shared" si="6"/>
        <v>709</v>
      </c>
      <c r="E114">
        <v>165</v>
      </c>
      <c r="F114">
        <v>101</v>
      </c>
      <c r="G114">
        <v>8</v>
      </c>
      <c r="H114">
        <f t="shared" si="5"/>
        <v>255</v>
      </c>
      <c r="I114">
        <f t="shared" si="5"/>
        <v>312</v>
      </c>
      <c r="J114">
        <f t="shared" si="5"/>
        <v>717</v>
      </c>
      <c r="K114" t="str" cm="1">
        <f t="array" ref="K114">_xlfn.IFS(H114&gt;=$U$1,"kostka",I114&gt;=$U$1*$R$3,"orzech",J114&gt;=$U$1*$R$4,"miał",1=1,"NIC")</f>
        <v>kostka</v>
      </c>
      <c r="L114">
        <f t="shared" si="7"/>
        <v>55</v>
      </c>
      <c r="M114">
        <f t="shared" si="8"/>
        <v>312</v>
      </c>
      <c r="N114">
        <f t="shared" si="9"/>
        <v>717</v>
      </c>
    </row>
    <row r="115" spans="1:14" x14ac:dyDescent="0.25">
      <c r="A115" s="1">
        <v>42040</v>
      </c>
      <c r="B115">
        <f t="shared" si="6"/>
        <v>55</v>
      </c>
      <c r="C115">
        <f t="shared" si="6"/>
        <v>312</v>
      </c>
      <c r="D115">
        <f t="shared" si="6"/>
        <v>717</v>
      </c>
      <c r="E115">
        <v>159</v>
      </c>
      <c r="F115">
        <v>68</v>
      </c>
      <c r="G115">
        <v>96</v>
      </c>
      <c r="H115">
        <f t="shared" si="5"/>
        <v>214</v>
      </c>
      <c r="I115">
        <f t="shared" si="5"/>
        <v>380</v>
      </c>
      <c r="J115">
        <f t="shared" si="5"/>
        <v>813</v>
      </c>
      <c r="K115" t="str" cm="1">
        <f t="array" ref="K115">_xlfn.IFS(H115&gt;=$U$1,"kostka",I115&gt;=$U$1*$R$3,"orzech",J115&gt;=$U$1*$R$4,"miał",1=1,"NIC")</f>
        <v>kostka</v>
      </c>
      <c r="L115">
        <f t="shared" si="7"/>
        <v>14</v>
      </c>
      <c r="M115">
        <f t="shared" si="8"/>
        <v>380</v>
      </c>
      <c r="N115">
        <f t="shared" si="9"/>
        <v>813</v>
      </c>
    </row>
    <row r="116" spans="1:14" x14ac:dyDescent="0.25">
      <c r="A116" s="1">
        <v>42041</v>
      </c>
      <c r="B116">
        <f t="shared" si="6"/>
        <v>14</v>
      </c>
      <c r="C116">
        <f t="shared" si="6"/>
        <v>380</v>
      </c>
      <c r="D116">
        <f t="shared" si="6"/>
        <v>813</v>
      </c>
      <c r="E116">
        <v>79</v>
      </c>
      <c r="F116">
        <v>119</v>
      </c>
      <c r="G116">
        <v>35</v>
      </c>
      <c r="H116">
        <f t="shared" si="5"/>
        <v>93</v>
      </c>
      <c r="I116">
        <f t="shared" si="5"/>
        <v>499</v>
      </c>
      <c r="J116">
        <f t="shared" si="5"/>
        <v>848</v>
      </c>
      <c r="K116" t="str" cm="1">
        <f t="array" ref="K116">_xlfn.IFS(H116&gt;=$U$1,"kostka",I116&gt;=$U$1*$R$3,"orzech",J116&gt;=$U$1*$R$4,"miał",1=1,"NIC")</f>
        <v>orzech</v>
      </c>
      <c r="L116">
        <f t="shared" si="7"/>
        <v>93</v>
      </c>
      <c r="M116">
        <f t="shared" si="8"/>
        <v>239</v>
      </c>
      <c r="N116">
        <f t="shared" si="9"/>
        <v>848</v>
      </c>
    </row>
    <row r="117" spans="1:14" x14ac:dyDescent="0.25">
      <c r="A117" s="1">
        <v>42042</v>
      </c>
      <c r="B117">
        <f t="shared" si="6"/>
        <v>93</v>
      </c>
      <c r="C117">
        <f t="shared" si="6"/>
        <v>239</v>
      </c>
      <c r="D117">
        <f t="shared" si="6"/>
        <v>848</v>
      </c>
      <c r="E117">
        <v>128</v>
      </c>
      <c r="F117">
        <v>148</v>
      </c>
      <c r="G117">
        <v>77</v>
      </c>
      <c r="H117">
        <f t="shared" si="5"/>
        <v>221</v>
      </c>
      <c r="I117">
        <f t="shared" si="5"/>
        <v>387</v>
      </c>
      <c r="J117">
        <f t="shared" si="5"/>
        <v>925</v>
      </c>
      <c r="K117" t="str" cm="1">
        <f t="array" ref="K117">_xlfn.IFS(H117&gt;=$U$1,"kostka",I117&gt;=$U$1*$R$3,"orzech",J117&gt;=$U$1*$R$4,"miał",1=1,"NIC")</f>
        <v>kostka</v>
      </c>
      <c r="L117">
        <f t="shared" si="7"/>
        <v>21</v>
      </c>
      <c r="M117">
        <f t="shared" si="8"/>
        <v>387</v>
      </c>
      <c r="N117">
        <f t="shared" si="9"/>
        <v>925</v>
      </c>
    </row>
    <row r="118" spans="1:14" x14ac:dyDescent="0.25">
      <c r="A118" s="1">
        <v>42043</v>
      </c>
      <c r="B118">
        <f t="shared" si="6"/>
        <v>21</v>
      </c>
      <c r="C118">
        <f t="shared" si="6"/>
        <v>387</v>
      </c>
      <c r="D118">
        <f t="shared" si="6"/>
        <v>925</v>
      </c>
      <c r="E118">
        <v>195</v>
      </c>
      <c r="F118">
        <v>39</v>
      </c>
      <c r="G118">
        <v>77</v>
      </c>
      <c r="H118">
        <f t="shared" si="5"/>
        <v>216</v>
      </c>
      <c r="I118">
        <f t="shared" si="5"/>
        <v>426</v>
      </c>
      <c r="J118">
        <f t="shared" si="5"/>
        <v>1002</v>
      </c>
      <c r="K118" t="str" cm="1">
        <f t="array" ref="K118">_xlfn.IFS(H118&gt;=$U$1,"kostka",I118&gt;=$U$1*$R$3,"orzech",J118&gt;=$U$1*$R$4,"miał",1=1,"NIC")</f>
        <v>kostka</v>
      </c>
      <c r="L118">
        <f t="shared" si="7"/>
        <v>16</v>
      </c>
      <c r="M118">
        <f t="shared" si="8"/>
        <v>426</v>
      </c>
      <c r="N118">
        <f t="shared" si="9"/>
        <v>1002</v>
      </c>
    </row>
    <row r="119" spans="1:14" x14ac:dyDescent="0.25">
      <c r="A119" s="1">
        <v>42044</v>
      </c>
      <c r="B119">
        <f t="shared" si="6"/>
        <v>16</v>
      </c>
      <c r="C119">
        <f t="shared" si="6"/>
        <v>426</v>
      </c>
      <c r="D119">
        <f t="shared" si="6"/>
        <v>1002</v>
      </c>
      <c r="E119">
        <v>87</v>
      </c>
      <c r="F119">
        <v>8</v>
      </c>
      <c r="G119">
        <v>17</v>
      </c>
      <c r="H119">
        <f t="shared" si="5"/>
        <v>103</v>
      </c>
      <c r="I119">
        <f t="shared" si="5"/>
        <v>434</v>
      </c>
      <c r="J119">
        <f t="shared" si="5"/>
        <v>1019</v>
      </c>
      <c r="K119" t="str" cm="1">
        <f t="array" ref="K119">_xlfn.IFS(H119&gt;=$U$1,"kostka",I119&gt;=$U$1*$R$3,"orzech",J119&gt;=$U$1*$R$4,"miał",1=1,"NIC")</f>
        <v>orzech</v>
      </c>
      <c r="L119">
        <f t="shared" si="7"/>
        <v>103</v>
      </c>
      <c r="M119">
        <f t="shared" si="8"/>
        <v>174</v>
      </c>
      <c r="N119">
        <f t="shared" si="9"/>
        <v>1019</v>
      </c>
    </row>
    <row r="120" spans="1:14" x14ac:dyDescent="0.25">
      <c r="A120" s="1">
        <v>42045</v>
      </c>
      <c r="B120">
        <f t="shared" si="6"/>
        <v>103</v>
      </c>
      <c r="C120">
        <f t="shared" si="6"/>
        <v>174</v>
      </c>
      <c r="D120">
        <f t="shared" si="6"/>
        <v>1019</v>
      </c>
      <c r="E120">
        <v>114</v>
      </c>
      <c r="F120">
        <v>124</v>
      </c>
      <c r="G120">
        <v>94</v>
      </c>
      <c r="H120">
        <f t="shared" si="5"/>
        <v>217</v>
      </c>
      <c r="I120">
        <f t="shared" si="5"/>
        <v>298</v>
      </c>
      <c r="J120">
        <f t="shared" si="5"/>
        <v>1113</v>
      </c>
      <c r="K120" t="str" cm="1">
        <f t="array" ref="K120">_xlfn.IFS(H120&gt;=$U$1,"kostka",I120&gt;=$U$1*$R$3,"orzech",J120&gt;=$U$1*$R$4,"miał",1=1,"NIC")</f>
        <v>kostka</v>
      </c>
      <c r="L120">
        <f t="shared" si="7"/>
        <v>17</v>
      </c>
      <c r="M120">
        <f t="shared" si="8"/>
        <v>298</v>
      </c>
      <c r="N120">
        <f t="shared" si="9"/>
        <v>1113</v>
      </c>
    </row>
    <row r="121" spans="1:14" x14ac:dyDescent="0.25">
      <c r="A121" s="1">
        <v>42046</v>
      </c>
      <c r="B121">
        <f t="shared" si="6"/>
        <v>17</v>
      </c>
      <c r="C121">
        <f t="shared" si="6"/>
        <v>298</v>
      </c>
      <c r="D121">
        <f t="shared" si="6"/>
        <v>1113</v>
      </c>
      <c r="E121">
        <v>126</v>
      </c>
      <c r="F121">
        <v>122</v>
      </c>
      <c r="G121">
        <v>39</v>
      </c>
      <c r="H121">
        <f t="shared" si="5"/>
        <v>143</v>
      </c>
      <c r="I121">
        <f t="shared" si="5"/>
        <v>420</v>
      </c>
      <c r="J121">
        <f t="shared" si="5"/>
        <v>1152</v>
      </c>
      <c r="K121" t="str" cm="1">
        <f t="array" ref="K121">_xlfn.IFS(H121&gt;=$U$1,"kostka",I121&gt;=$U$1*$R$3,"orzech",J121&gt;=$U$1*$R$4,"miał",1=1,"NIC")</f>
        <v>orzech</v>
      </c>
      <c r="L121">
        <f t="shared" si="7"/>
        <v>143</v>
      </c>
      <c r="M121">
        <f t="shared" si="8"/>
        <v>160</v>
      </c>
      <c r="N121">
        <f t="shared" si="9"/>
        <v>1152</v>
      </c>
    </row>
    <row r="122" spans="1:14" x14ac:dyDescent="0.25">
      <c r="A122" s="1">
        <v>42047</v>
      </c>
      <c r="B122">
        <f t="shared" si="6"/>
        <v>143</v>
      </c>
      <c r="C122">
        <f t="shared" si="6"/>
        <v>160</v>
      </c>
      <c r="D122">
        <f t="shared" si="6"/>
        <v>1152</v>
      </c>
      <c r="E122">
        <v>96</v>
      </c>
      <c r="F122">
        <v>113</v>
      </c>
      <c r="G122">
        <v>28</v>
      </c>
      <c r="H122">
        <f t="shared" si="5"/>
        <v>239</v>
      </c>
      <c r="I122">
        <f t="shared" si="5"/>
        <v>273</v>
      </c>
      <c r="J122">
        <f t="shared" si="5"/>
        <v>1180</v>
      </c>
      <c r="K122" t="str" cm="1">
        <f t="array" ref="K122">_xlfn.IFS(H122&gt;=$U$1,"kostka",I122&gt;=$U$1*$R$3,"orzech",J122&gt;=$U$1*$R$4,"miał",1=1,"NIC")</f>
        <v>kostka</v>
      </c>
      <c r="L122">
        <f t="shared" si="7"/>
        <v>39</v>
      </c>
      <c r="M122">
        <f t="shared" si="8"/>
        <v>273</v>
      </c>
      <c r="N122">
        <f t="shared" si="9"/>
        <v>1180</v>
      </c>
    </row>
    <row r="123" spans="1:14" x14ac:dyDescent="0.25">
      <c r="A123" s="1">
        <v>42048</v>
      </c>
      <c r="B123">
        <f t="shared" si="6"/>
        <v>39</v>
      </c>
      <c r="C123">
        <f t="shared" si="6"/>
        <v>273</v>
      </c>
      <c r="D123">
        <f t="shared" si="6"/>
        <v>1180</v>
      </c>
      <c r="E123">
        <v>165</v>
      </c>
      <c r="F123">
        <v>4</v>
      </c>
      <c r="G123">
        <v>83</v>
      </c>
      <c r="H123">
        <f t="shared" si="5"/>
        <v>204</v>
      </c>
      <c r="I123">
        <f t="shared" si="5"/>
        <v>277</v>
      </c>
      <c r="J123">
        <f t="shared" si="5"/>
        <v>1263</v>
      </c>
      <c r="K123" t="str" cm="1">
        <f t="array" ref="K123">_xlfn.IFS(H123&gt;=$U$1,"kostka",I123&gt;=$U$1*$R$3,"orzech",J123&gt;=$U$1*$R$4,"miał",1=1,"NIC")</f>
        <v>kostka</v>
      </c>
      <c r="L123">
        <f t="shared" si="7"/>
        <v>4</v>
      </c>
      <c r="M123">
        <f t="shared" si="8"/>
        <v>277</v>
      </c>
      <c r="N123">
        <f t="shared" si="9"/>
        <v>1263</v>
      </c>
    </row>
    <row r="124" spans="1:14" x14ac:dyDescent="0.25">
      <c r="A124" s="1">
        <v>42049</v>
      </c>
      <c r="B124">
        <f t="shared" si="6"/>
        <v>4</v>
      </c>
      <c r="C124">
        <f t="shared" si="6"/>
        <v>277</v>
      </c>
      <c r="D124">
        <f t="shared" si="6"/>
        <v>1263</v>
      </c>
      <c r="E124">
        <v>1</v>
      </c>
      <c r="F124">
        <v>117</v>
      </c>
      <c r="G124">
        <v>76</v>
      </c>
      <c r="H124">
        <f t="shared" si="5"/>
        <v>5</v>
      </c>
      <c r="I124">
        <f t="shared" si="5"/>
        <v>394</v>
      </c>
      <c r="J124">
        <f t="shared" si="5"/>
        <v>1339</v>
      </c>
      <c r="K124" t="str" cm="1">
        <f t="array" ref="K124">_xlfn.IFS(H124&gt;=$U$1,"kostka",I124&gt;=$U$1*$R$3,"orzech",J124&gt;=$U$1*$R$4,"miał",1=1,"NIC")</f>
        <v>orzech</v>
      </c>
      <c r="L124">
        <f t="shared" si="7"/>
        <v>5</v>
      </c>
      <c r="M124">
        <f t="shared" si="8"/>
        <v>134</v>
      </c>
      <c r="N124">
        <f t="shared" si="9"/>
        <v>1339</v>
      </c>
    </row>
    <row r="125" spans="1:14" x14ac:dyDescent="0.25">
      <c r="A125" s="1">
        <v>42050</v>
      </c>
      <c r="B125">
        <f t="shared" si="6"/>
        <v>5</v>
      </c>
      <c r="C125">
        <f t="shared" si="6"/>
        <v>134</v>
      </c>
      <c r="D125">
        <f t="shared" si="6"/>
        <v>1339</v>
      </c>
      <c r="E125">
        <v>107</v>
      </c>
      <c r="F125">
        <v>70</v>
      </c>
      <c r="G125">
        <v>28</v>
      </c>
      <c r="H125">
        <f t="shared" si="5"/>
        <v>112</v>
      </c>
      <c r="I125">
        <f t="shared" si="5"/>
        <v>204</v>
      </c>
      <c r="J125">
        <f t="shared" si="5"/>
        <v>1367</v>
      </c>
      <c r="K125" t="str" cm="1">
        <f t="array" ref="K125">_xlfn.IFS(H125&gt;=$U$1,"kostka",I125&gt;=$U$1*$R$3,"orzech",J125&gt;=$U$1*$R$4,"miał",1=1,"NIC")</f>
        <v>miał</v>
      </c>
      <c r="L125">
        <f t="shared" si="7"/>
        <v>112</v>
      </c>
      <c r="M125">
        <f t="shared" si="8"/>
        <v>204</v>
      </c>
      <c r="N125">
        <f t="shared" si="9"/>
        <v>1047</v>
      </c>
    </row>
    <row r="126" spans="1:14" x14ac:dyDescent="0.25">
      <c r="A126" s="1">
        <v>42051</v>
      </c>
      <c r="B126">
        <f t="shared" si="6"/>
        <v>112</v>
      </c>
      <c r="C126">
        <f t="shared" si="6"/>
        <v>204</v>
      </c>
      <c r="D126">
        <f t="shared" si="6"/>
        <v>1047</v>
      </c>
      <c r="E126">
        <v>83</v>
      </c>
      <c r="F126">
        <v>81</v>
      </c>
      <c r="G126">
        <v>1</v>
      </c>
      <c r="H126">
        <f t="shared" si="5"/>
        <v>195</v>
      </c>
      <c r="I126">
        <f t="shared" si="5"/>
        <v>285</v>
      </c>
      <c r="J126">
        <f t="shared" si="5"/>
        <v>1048</v>
      </c>
      <c r="K126" t="str" cm="1">
        <f t="array" ref="K126">_xlfn.IFS(H126&gt;=$U$1,"kostka",I126&gt;=$U$1*$R$3,"orzech",J126&gt;=$U$1*$R$4,"miał",1=1,"NIC")</f>
        <v>orzech</v>
      </c>
      <c r="L126">
        <f t="shared" si="7"/>
        <v>195</v>
      </c>
      <c r="M126">
        <f t="shared" si="8"/>
        <v>25</v>
      </c>
      <c r="N126">
        <f t="shared" si="9"/>
        <v>1048</v>
      </c>
    </row>
    <row r="127" spans="1:14" x14ac:dyDescent="0.25">
      <c r="A127" s="1">
        <v>42052</v>
      </c>
      <c r="B127">
        <f t="shared" si="6"/>
        <v>195</v>
      </c>
      <c r="C127">
        <f t="shared" si="6"/>
        <v>25</v>
      </c>
      <c r="D127">
        <f t="shared" si="6"/>
        <v>1048</v>
      </c>
      <c r="E127">
        <v>43</v>
      </c>
      <c r="F127">
        <v>109</v>
      </c>
      <c r="G127">
        <v>50</v>
      </c>
      <c r="H127">
        <f t="shared" si="5"/>
        <v>238</v>
      </c>
      <c r="I127">
        <f t="shared" si="5"/>
        <v>134</v>
      </c>
      <c r="J127">
        <f t="shared" si="5"/>
        <v>1098</v>
      </c>
      <c r="K127" t="str" cm="1">
        <f t="array" ref="K127">_xlfn.IFS(H127&gt;=$U$1,"kostka",I127&gt;=$U$1*$R$3,"orzech",J127&gt;=$U$1*$R$4,"miał",1=1,"NIC")</f>
        <v>kostka</v>
      </c>
      <c r="L127">
        <f t="shared" si="7"/>
        <v>38</v>
      </c>
      <c r="M127">
        <f t="shared" si="8"/>
        <v>134</v>
      </c>
      <c r="N127">
        <f t="shared" si="9"/>
        <v>1098</v>
      </c>
    </row>
    <row r="128" spans="1:14" x14ac:dyDescent="0.25">
      <c r="A128" s="1">
        <v>42053</v>
      </c>
      <c r="B128">
        <f t="shared" si="6"/>
        <v>38</v>
      </c>
      <c r="C128">
        <f t="shared" si="6"/>
        <v>134</v>
      </c>
      <c r="D128">
        <f t="shared" si="6"/>
        <v>1098</v>
      </c>
      <c r="E128">
        <v>52</v>
      </c>
      <c r="F128">
        <v>110</v>
      </c>
      <c r="G128">
        <v>19</v>
      </c>
      <c r="H128">
        <f t="shared" si="5"/>
        <v>90</v>
      </c>
      <c r="I128">
        <f t="shared" si="5"/>
        <v>244</v>
      </c>
      <c r="J128">
        <f t="shared" si="5"/>
        <v>1117</v>
      </c>
      <c r="K128" t="str" cm="1">
        <f t="array" ref="K128">_xlfn.IFS(H128&gt;=$U$1,"kostka",I128&gt;=$U$1*$R$3,"orzech",J128&gt;=$U$1*$R$4,"miał",1=1,"NIC")</f>
        <v>miał</v>
      </c>
      <c r="L128">
        <f t="shared" si="7"/>
        <v>90</v>
      </c>
      <c r="M128">
        <f t="shared" si="8"/>
        <v>244</v>
      </c>
      <c r="N128">
        <f t="shared" si="9"/>
        <v>797</v>
      </c>
    </row>
    <row r="129" spans="1:14" x14ac:dyDescent="0.25">
      <c r="A129" s="1">
        <v>42054</v>
      </c>
      <c r="B129">
        <f t="shared" si="6"/>
        <v>90</v>
      </c>
      <c r="C129">
        <f t="shared" si="6"/>
        <v>244</v>
      </c>
      <c r="D129">
        <f t="shared" si="6"/>
        <v>797</v>
      </c>
      <c r="E129">
        <v>104</v>
      </c>
      <c r="F129">
        <v>132</v>
      </c>
      <c r="G129">
        <v>57</v>
      </c>
      <c r="H129">
        <f t="shared" si="5"/>
        <v>194</v>
      </c>
      <c r="I129">
        <f t="shared" si="5"/>
        <v>376</v>
      </c>
      <c r="J129">
        <f t="shared" si="5"/>
        <v>854</v>
      </c>
      <c r="K129" t="str" cm="1">
        <f t="array" ref="K129">_xlfn.IFS(H129&gt;=$U$1,"kostka",I129&gt;=$U$1*$R$3,"orzech",J129&gt;=$U$1*$R$4,"miał",1=1,"NIC")</f>
        <v>orzech</v>
      </c>
      <c r="L129">
        <f t="shared" si="7"/>
        <v>194</v>
      </c>
      <c r="M129">
        <f t="shared" si="8"/>
        <v>116</v>
      </c>
      <c r="N129">
        <f t="shared" si="9"/>
        <v>854</v>
      </c>
    </row>
    <row r="130" spans="1:14" x14ac:dyDescent="0.25">
      <c r="A130" s="1">
        <v>42055</v>
      </c>
      <c r="B130">
        <f t="shared" si="6"/>
        <v>194</v>
      </c>
      <c r="C130">
        <f t="shared" si="6"/>
        <v>116</v>
      </c>
      <c r="D130">
        <f t="shared" si="6"/>
        <v>854</v>
      </c>
      <c r="E130">
        <v>57</v>
      </c>
      <c r="F130">
        <v>150</v>
      </c>
      <c r="G130">
        <v>36</v>
      </c>
      <c r="H130">
        <f t="shared" si="5"/>
        <v>251</v>
      </c>
      <c r="I130">
        <f t="shared" si="5"/>
        <v>266</v>
      </c>
      <c r="J130">
        <f t="shared" si="5"/>
        <v>890</v>
      </c>
      <c r="K130" t="str" cm="1">
        <f t="array" ref="K130">_xlfn.IFS(H130&gt;=$U$1,"kostka",I130&gt;=$U$1*$R$3,"orzech",J130&gt;=$U$1*$R$4,"miał",1=1,"NIC")</f>
        <v>kostka</v>
      </c>
      <c r="L130">
        <f t="shared" si="7"/>
        <v>51</v>
      </c>
      <c r="M130">
        <f t="shared" si="8"/>
        <v>266</v>
      </c>
      <c r="N130">
        <f t="shared" si="9"/>
        <v>890</v>
      </c>
    </row>
    <row r="131" spans="1:14" x14ac:dyDescent="0.25">
      <c r="A131" s="1">
        <v>42056</v>
      </c>
      <c r="B131">
        <f t="shared" si="6"/>
        <v>51</v>
      </c>
      <c r="C131">
        <f t="shared" si="6"/>
        <v>266</v>
      </c>
      <c r="D131">
        <f t="shared" si="6"/>
        <v>890</v>
      </c>
      <c r="E131">
        <v>86</v>
      </c>
      <c r="F131">
        <v>183</v>
      </c>
      <c r="G131">
        <v>0</v>
      </c>
      <c r="H131">
        <f t="shared" ref="H131:J184" si="10">B131+E131</f>
        <v>137</v>
      </c>
      <c r="I131">
        <f t="shared" si="10"/>
        <v>449</v>
      </c>
      <c r="J131">
        <f t="shared" si="10"/>
        <v>890</v>
      </c>
      <c r="K131" t="str" cm="1">
        <f t="array" ref="K131">_xlfn.IFS(H131&gt;=$U$1,"kostka",I131&gt;=$U$1*$R$3,"orzech",J131&gt;=$U$1*$R$4,"miał",1=1,"NIC")</f>
        <v>orzech</v>
      </c>
      <c r="L131">
        <f t="shared" si="7"/>
        <v>137</v>
      </c>
      <c r="M131">
        <f t="shared" si="8"/>
        <v>189</v>
      </c>
      <c r="N131">
        <f t="shared" si="9"/>
        <v>890</v>
      </c>
    </row>
    <row r="132" spans="1:14" x14ac:dyDescent="0.25">
      <c r="A132" s="1">
        <v>42057</v>
      </c>
      <c r="B132">
        <f t="shared" ref="B132:D184" si="11">L131</f>
        <v>137</v>
      </c>
      <c r="C132">
        <f t="shared" si="11"/>
        <v>189</v>
      </c>
      <c r="D132">
        <f t="shared" si="11"/>
        <v>890</v>
      </c>
      <c r="E132">
        <v>108</v>
      </c>
      <c r="F132">
        <v>20</v>
      </c>
      <c r="G132">
        <v>87</v>
      </c>
      <c r="H132">
        <f t="shared" si="10"/>
        <v>245</v>
      </c>
      <c r="I132">
        <f t="shared" si="10"/>
        <v>209</v>
      </c>
      <c r="J132">
        <f t="shared" si="10"/>
        <v>977</v>
      </c>
      <c r="K132" t="str" cm="1">
        <f t="array" ref="K132">_xlfn.IFS(H132&gt;=$U$1,"kostka",I132&gt;=$U$1*$R$3,"orzech",J132&gt;=$U$1*$R$4,"miał",1=1,"NIC")</f>
        <v>kostka</v>
      </c>
      <c r="L132">
        <f t="shared" ref="L132:L184" si="12">IF($K132="kostka",H132-$U$1,H132)</f>
        <v>45</v>
      </c>
      <c r="M132">
        <f t="shared" ref="M132:M184" si="13">IF($K132="orzech",I132-$U$1*$R$3,I132)</f>
        <v>209</v>
      </c>
      <c r="N132">
        <f t="shared" ref="N132:N184" si="14">IF($K132="miał",J132-$U$1*$R$4,J132)</f>
        <v>977</v>
      </c>
    </row>
    <row r="133" spans="1:14" x14ac:dyDescent="0.25">
      <c r="A133" s="1">
        <v>42058</v>
      </c>
      <c r="B133">
        <f t="shared" si="11"/>
        <v>45</v>
      </c>
      <c r="C133">
        <f t="shared" si="11"/>
        <v>209</v>
      </c>
      <c r="D133">
        <f t="shared" si="11"/>
        <v>977</v>
      </c>
      <c r="E133">
        <v>102</v>
      </c>
      <c r="F133">
        <v>142</v>
      </c>
      <c r="G133">
        <v>20</v>
      </c>
      <c r="H133">
        <f t="shared" si="10"/>
        <v>147</v>
      </c>
      <c r="I133">
        <f t="shared" si="10"/>
        <v>351</v>
      </c>
      <c r="J133">
        <f t="shared" si="10"/>
        <v>997</v>
      </c>
      <c r="K133" t="str" cm="1">
        <f t="array" ref="K133">_xlfn.IFS(H133&gt;=$U$1,"kostka",I133&gt;=$U$1*$R$3,"orzech",J133&gt;=$U$1*$R$4,"miał",1=1,"NIC")</f>
        <v>orzech</v>
      </c>
      <c r="L133">
        <f t="shared" si="12"/>
        <v>147</v>
      </c>
      <c r="M133">
        <f t="shared" si="13"/>
        <v>91</v>
      </c>
      <c r="N133">
        <f t="shared" si="14"/>
        <v>997</v>
      </c>
    </row>
    <row r="134" spans="1:14" x14ac:dyDescent="0.25">
      <c r="A134" s="1">
        <v>42059</v>
      </c>
      <c r="B134">
        <f t="shared" si="11"/>
        <v>147</v>
      </c>
      <c r="C134">
        <f t="shared" si="11"/>
        <v>91</v>
      </c>
      <c r="D134">
        <f t="shared" si="11"/>
        <v>997</v>
      </c>
      <c r="E134">
        <v>81</v>
      </c>
      <c r="F134">
        <v>133</v>
      </c>
      <c r="G134">
        <v>25</v>
      </c>
      <c r="H134">
        <f t="shared" si="10"/>
        <v>228</v>
      </c>
      <c r="I134">
        <f t="shared" si="10"/>
        <v>224</v>
      </c>
      <c r="J134">
        <f t="shared" si="10"/>
        <v>1022</v>
      </c>
      <c r="K134" t="str" cm="1">
        <f t="array" ref="K134">_xlfn.IFS(H134&gt;=$U$1,"kostka",I134&gt;=$U$1*$R$3,"orzech",J134&gt;=$U$1*$R$4,"miał",1=1,"NIC")</f>
        <v>kostka</v>
      </c>
      <c r="L134">
        <f t="shared" si="12"/>
        <v>28</v>
      </c>
      <c r="M134">
        <f t="shared" si="13"/>
        <v>224</v>
      </c>
      <c r="N134">
        <f t="shared" si="14"/>
        <v>1022</v>
      </c>
    </row>
    <row r="135" spans="1:14" x14ac:dyDescent="0.25">
      <c r="A135" s="1">
        <v>42060</v>
      </c>
      <c r="B135">
        <f t="shared" si="11"/>
        <v>28</v>
      </c>
      <c r="C135">
        <f t="shared" si="11"/>
        <v>224</v>
      </c>
      <c r="D135">
        <f t="shared" si="11"/>
        <v>1022</v>
      </c>
      <c r="E135">
        <v>59</v>
      </c>
      <c r="F135">
        <v>87</v>
      </c>
      <c r="G135">
        <v>10</v>
      </c>
      <c r="H135">
        <f t="shared" si="10"/>
        <v>87</v>
      </c>
      <c r="I135">
        <f t="shared" si="10"/>
        <v>311</v>
      </c>
      <c r="J135">
        <f t="shared" si="10"/>
        <v>1032</v>
      </c>
      <c r="K135" t="str" cm="1">
        <f t="array" ref="K135">_xlfn.IFS(H135&gt;=$U$1,"kostka",I135&gt;=$U$1*$R$3,"orzech",J135&gt;=$U$1*$R$4,"miał",1=1,"NIC")</f>
        <v>orzech</v>
      </c>
      <c r="L135">
        <f t="shared" si="12"/>
        <v>87</v>
      </c>
      <c r="M135">
        <f t="shared" si="13"/>
        <v>51</v>
      </c>
      <c r="N135">
        <f t="shared" si="14"/>
        <v>1032</v>
      </c>
    </row>
    <row r="136" spans="1:14" x14ac:dyDescent="0.25">
      <c r="A136" s="1">
        <v>42061</v>
      </c>
      <c r="B136">
        <f t="shared" si="11"/>
        <v>87</v>
      </c>
      <c r="C136">
        <f t="shared" si="11"/>
        <v>51</v>
      </c>
      <c r="D136">
        <f t="shared" si="11"/>
        <v>1032</v>
      </c>
      <c r="E136">
        <v>21</v>
      </c>
      <c r="F136">
        <v>75</v>
      </c>
      <c r="G136">
        <v>65</v>
      </c>
      <c r="H136">
        <f t="shared" si="10"/>
        <v>108</v>
      </c>
      <c r="I136">
        <f t="shared" si="10"/>
        <v>126</v>
      </c>
      <c r="J136">
        <f t="shared" si="10"/>
        <v>1097</v>
      </c>
      <c r="K136" t="str" cm="1">
        <f t="array" ref="K136">_xlfn.IFS(H136&gt;=$U$1,"kostka",I136&gt;=$U$1*$R$3,"orzech",J136&gt;=$U$1*$R$4,"miał",1=1,"NIC")</f>
        <v>miał</v>
      </c>
      <c r="L136">
        <f t="shared" si="12"/>
        <v>108</v>
      </c>
      <c r="M136">
        <f t="shared" si="13"/>
        <v>126</v>
      </c>
      <c r="N136">
        <f t="shared" si="14"/>
        <v>777</v>
      </c>
    </row>
    <row r="137" spans="1:14" x14ac:dyDescent="0.25">
      <c r="A137" s="1">
        <v>42062</v>
      </c>
      <c r="B137">
        <f t="shared" si="11"/>
        <v>108</v>
      </c>
      <c r="C137">
        <f t="shared" si="11"/>
        <v>126</v>
      </c>
      <c r="D137">
        <f t="shared" si="11"/>
        <v>777</v>
      </c>
      <c r="E137">
        <v>79</v>
      </c>
      <c r="F137">
        <v>14</v>
      </c>
      <c r="G137">
        <v>27</v>
      </c>
      <c r="H137">
        <f t="shared" si="10"/>
        <v>187</v>
      </c>
      <c r="I137">
        <f t="shared" si="10"/>
        <v>140</v>
      </c>
      <c r="J137">
        <f t="shared" si="10"/>
        <v>804</v>
      </c>
      <c r="K137" t="str" cm="1">
        <f t="array" ref="K137">_xlfn.IFS(H137&gt;=$U$1,"kostka",I137&gt;=$U$1*$R$3,"orzech",J137&gt;=$U$1*$R$4,"miał",1=1,"NIC")</f>
        <v>miał</v>
      </c>
      <c r="L137">
        <f t="shared" si="12"/>
        <v>187</v>
      </c>
      <c r="M137">
        <f t="shared" si="13"/>
        <v>140</v>
      </c>
      <c r="N137">
        <f t="shared" si="14"/>
        <v>484</v>
      </c>
    </row>
    <row r="138" spans="1:14" x14ac:dyDescent="0.25">
      <c r="A138" s="1">
        <v>42063</v>
      </c>
      <c r="B138">
        <f t="shared" si="11"/>
        <v>187</v>
      </c>
      <c r="C138">
        <f t="shared" si="11"/>
        <v>140</v>
      </c>
      <c r="D138">
        <f t="shared" si="11"/>
        <v>484</v>
      </c>
      <c r="E138">
        <v>56</v>
      </c>
      <c r="F138">
        <v>12</v>
      </c>
      <c r="G138">
        <v>25</v>
      </c>
      <c r="H138">
        <f t="shared" si="10"/>
        <v>243</v>
      </c>
      <c r="I138">
        <f t="shared" si="10"/>
        <v>152</v>
      </c>
      <c r="J138">
        <f t="shared" si="10"/>
        <v>509</v>
      </c>
      <c r="K138" t="str" cm="1">
        <f t="array" ref="K138">_xlfn.IFS(H138&gt;=$U$1,"kostka",I138&gt;=$U$1*$R$3,"orzech",J138&gt;=$U$1*$R$4,"miał",1=1,"NIC")</f>
        <v>kostka</v>
      </c>
      <c r="L138">
        <f t="shared" si="12"/>
        <v>43</v>
      </c>
      <c r="M138">
        <f t="shared" si="13"/>
        <v>152</v>
      </c>
      <c r="N138">
        <f t="shared" si="14"/>
        <v>509</v>
      </c>
    </row>
    <row r="139" spans="1:14" x14ac:dyDescent="0.25">
      <c r="A139" s="1">
        <v>42064</v>
      </c>
      <c r="B139">
        <f t="shared" si="11"/>
        <v>43</v>
      </c>
      <c r="C139">
        <f t="shared" si="11"/>
        <v>152</v>
      </c>
      <c r="D139">
        <f t="shared" si="11"/>
        <v>509</v>
      </c>
      <c r="E139">
        <v>195</v>
      </c>
      <c r="F139">
        <v>90</v>
      </c>
      <c r="G139">
        <v>56</v>
      </c>
      <c r="H139">
        <f t="shared" si="10"/>
        <v>238</v>
      </c>
      <c r="I139">
        <f t="shared" si="10"/>
        <v>242</v>
      </c>
      <c r="J139">
        <f t="shared" si="10"/>
        <v>565</v>
      </c>
      <c r="K139" t="str" cm="1">
        <f t="array" ref="K139">_xlfn.IFS(H139&gt;=$U$1,"kostka",I139&gt;=$U$1*$R$3,"orzech",J139&gt;=$U$1*$R$4,"miał",1=1,"NIC")</f>
        <v>kostka</v>
      </c>
      <c r="L139">
        <f t="shared" si="12"/>
        <v>38</v>
      </c>
      <c r="M139">
        <f t="shared" si="13"/>
        <v>242</v>
      </c>
      <c r="N139">
        <f t="shared" si="14"/>
        <v>565</v>
      </c>
    </row>
    <row r="140" spans="1:14" x14ac:dyDescent="0.25">
      <c r="A140" s="1">
        <v>42065</v>
      </c>
      <c r="B140">
        <f t="shared" si="11"/>
        <v>38</v>
      </c>
      <c r="C140">
        <f t="shared" si="11"/>
        <v>242</v>
      </c>
      <c r="D140">
        <f t="shared" si="11"/>
        <v>565</v>
      </c>
      <c r="E140">
        <v>113</v>
      </c>
      <c r="F140">
        <v>90</v>
      </c>
      <c r="G140">
        <v>24</v>
      </c>
      <c r="H140">
        <f t="shared" si="10"/>
        <v>151</v>
      </c>
      <c r="I140">
        <f t="shared" si="10"/>
        <v>332</v>
      </c>
      <c r="J140">
        <f t="shared" si="10"/>
        <v>589</v>
      </c>
      <c r="K140" t="str" cm="1">
        <f t="array" ref="K140">_xlfn.IFS(H140&gt;=$U$1,"kostka",I140&gt;=$U$1*$R$3,"orzech",J140&gt;=$U$1*$R$4,"miał",1=1,"NIC")</f>
        <v>orzech</v>
      </c>
      <c r="L140">
        <f t="shared" si="12"/>
        <v>151</v>
      </c>
      <c r="M140">
        <f t="shared" si="13"/>
        <v>72</v>
      </c>
      <c r="N140">
        <f t="shared" si="14"/>
        <v>589</v>
      </c>
    </row>
    <row r="141" spans="1:14" x14ac:dyDescent="0.25">
      <c r="A141" s="1">
        <v>42066</v>
      </c>
      <c r="B141">
        <f t="shared" si="11"/>
        <v>151</v>
      </c>
      <c r="C141">
        <f t="shared" si="11"/>
        <v>72</v>
      </c>
      <c r="D141">
        <f t="shared" si="11"/>
        <v>589</v>
      </c>
      <c r="E141">
        <v>93</v>
      </c>
      <c r="F141">
        <v>139</v>
      </c>
      <c r="G141">
        <v>47</v>
      </c>
      <c r="H141">
        <f t="shared" si="10"/>
        <v>244</v>
      </c>
      <c r="I141">
        <f t="shared" si="10"/>
        <v>211</v>
      </c>
      <c r="J141">
        <f t="shared" si="10"/>
        <v>636</v>
      </c>
      <c r="K141" t="str" cm="1">
        <f t="array" ref="K141">_xlfn.IFS(H141&gt;=$U$1,"kostka",I141&gt;=$U$1*$R$3,"orzech",J141&gt;=$U$1*$R$4,"miał",1=1,"NIC")</f>
        <v>kostka</v>
      </c>
      <c r="L141">
        <f t="shared" si="12"/>
        <v>44</v>
      </c>
      <c r="M141">
        <f t="shared" si="13"/>
        <v>211</v>
      </c>
      <c r="N141">
        <f t="shared" si="14"/>
        <v>636</v>
      </c>
    </row>
    <row r="142" spans="1:14" x14ac:dyDescent="0.25">
      <c r="A142" s="1">
        <v>42067</v>
      </c>
      <c r="B142">
        <f t="shared" si="11"/>
        <v>44</v>
      </c>
      <c r="C142">
        <f t="shared" si="11"/>
        <v>211</v>
      </c>
      <c r="D142">
        <f t="shared" si="11"/>
        <v>636</v>
      </c>
      <c r="E142">
        <v>93</v>
      </c>
      <c r="F142">
        <v>147</v>
      </c>
      <c r="G142">
        <v>26</v>
      </c>
      <c r="H142">
        <f t="shared" si="10"/>
        <v>137</v>
      </c>
      <c r="I142">
        <f t="shared" si="10"/>
        <v>358</v>
      </c>
      <c r="J142">
        <f t="shared" si="10"/>
        <v>662</v>
      </c>
      <c r="K142" t="str" cm="1">
        <f t="array" ref="K142">_xlfn.IFS(H142&gt;=$U$1,"kostka",I142&gt;=$U$1*$R$3,"orzech",J142&gt;=$U$1*$R$4,"miał",1=1,"NIC")</f>
        <v>orzech</v>
      </c>
      <c r="L142">
        <f t="shared" si="12"/>
        <v>137</v>
      </c>
      <c r="M142">
        <f t="shared" si="13"/>
        <v>98</v>
      </c>
      <c r="N142">
        <f t="shared" si="14"/>
        <v>662</v>
      </c>
    </row>
    <row r="143" spans="1:14" x14ac:dyDescent="0.25">
      <c r="A143" s="1">
        <v>42068</v>
      </c>
      <c r="B143">
        <f t="shared" si="11"/>
        <v>137</v>
      </c>
      <c r="C143">
        <f t="shared" si="11"/>
        <v>98</v>
      </c>
      <c r="D143">
        <f t="shared" si="11"/>
        <v>662</v>
      </c>
      <c r="E143">
        <v>79</v>
      </c>
      <c r="F143">
        <v>145</v>
      </c>
      <c r="G143">
        <v>36</v>
      </c>
      <c r="H143">
        <f t="shared" si="10"/>
        <v>216</v>
      </c>
      <c r="I143">
        <f t="shared" si="10"/>
        <v>243</v>
      </c>
      <c r="J143">
        <f t="shared" si="10"/>
        <v>698</v>
      </c>
      <c r="K143" t="str" cm="1">
        <f t="array" ref="K143">_xlfn.IFS(H143&gt;=$U$1,"kostka",I143&gt;=$U$1*$R$3,"orzech",J143&gt;=$U$1*$R$4,"miał",1=1,"NIC")</f>
        <v>kostka</v>
      </c>
      <c r="L143">
        <f t="shared" si="12"/>
        <v>16</v>
      </c>
      <c r="M143">
        <f t="shared" si="13"/>
        <v>243</v>
      </c>
      <c r="N143">
        <f t="shared" si="14"/>
        <v>698</v>
      </c>
    </row>
    <row r="144" spans="1:14" x14ac:dyDescent="0.25">
      <c r="A144" s="1">
        <v>42069</v>
      </c>
      <c r="B144">
        <f t="shared" si="11"/>
        <v>16</v>
      </c>
      <c r="C144">
        <f t="shared" si="11"/>
        <v>243</v>
      </c>
      <c r="D144">
        <f t="shared" si="11"/>
        <v>698</v>
      </c>
      <c r="E144">
        <v>148</v>
      </c>
      <c r="F144">
        <v>127</v>
      </c>
      <c r="G144">
        <v>27</v>
      </c>
      <c r="H144">
        <f t="shared" si="10"/>
        <v>164</v>
      </c>
      <c r="I144">
        <f t="shared" si="10"/>
        <v>370</v>
      </c>
      <c r="J144">
        <f t="shared" si="10"/>
        <v>725</v>
      </c>
      <c r="K144" t="str" cm="1">
        <f t="array" ref="K144">_xlfn.IFS(H144&gt;=$U$1,"kostka",I144&gt;=$U$1*$R$3,"orzech",J144&gt;=$U$1*$R$4,"miał",1=1,"NIC")</f>
        <v>orzech</v>
      </c>
      <c r="L144">
        <f t="shared" si="12"/>
        <v>164</v>
      </c>
      <c r="M144">
        <f t="shared" si="13"/>
        <v>110</v>
      </c>
      <c r="N144">
        <f t="shared" si="14"/>
        <v>725</v>
      </c>
    </row>
    <row r="145" spans="1:14" x14ac:dyDescent="0.25">
      <c r="A145" s="1">
        <v>42070</v>
      </c>
      <c r="B145">
        <f t="shared" si="11"/>
        <v>164</v>
      </c>
      <c r="C145">
        <f t="shared" si="11"/>
        <v>110</v>
      </c>
      <c r="D145">
        <f t="shared" si="11"/>
        <v>725</v>
      </c>
      <c r="E145">
        <v>132</v>
      </c>
      <c r="F145">
        <v>128</v>
      </c>
      <c r="G145">
        <v>37</v>
      </c>
      <c r="H145">
        <f t="shared" si="10"/>
        <v>296</v>
      </c>
      <c r="I145">
        <f t="shared" si="10"/>
        <v>238</v>
      </c>
      <c r="J145">
        <f t="shared" si="10"/>
        <v>762</v>
      </c>
      <c r="K145" t="str" cm="1">
        <f t="array" ref="K145">_xlfn.IFS(H145&gt;=$U$1,"kostka",I145&gt;=$U$1*$R$3,"orzech",J145&gt;=$U$1*$R$4,"miał",1=1,"NIC")</f>
        <v>kostka</v>
      </c>
      <c r="L145">
        <f t="shared" si="12"/>
        <v>96</v>
      </c>
      <c r="M145">
        <f t="shared" si="13"/>
        <v>238</v>
      </c>
      <c r="N145">
        <f t="shared" si="14"/>
        <v>762</v>
      </c>
    </row>
    <row r="146" spans="1:14" x14ac:dyDescent="0.25">
      <c r="A146" s="1">
        <v>42071</v>
      </c>
      <c r="B146">
        <f t="shared" si="11"/>
        <v>96</v>
      </c>
      <c r="C146">
        <f t="shared" si="11"/>
        <v>238</v>
      </c>
      <c r="D146">
        <f t="shared" si="11"/>
        <v>762</v>
      </c>
      <c r="E146">
        <v>22</v>
      </c>
      <c r="F146">
        <v>115</v>
      </c>
      <c r="G146">
        <v>28</v>
      </c>
      <c r="H146">
        <f t="shared" si="10"/>
        <v>118</v>
      </c>
      <c r="I146">
        <f t="shared" si="10"/>
        <v>353</v>
      </c>
      <c r="J146">
        <f t="shared" si="10"/>
        <v>790</v>
      </c>
      <c r="K146" t="str" cm="1">
        <f t="array" ref="K146">_xlfn.IFS(H146&gt;=$U$1,"kostka",I146&gt;=$U$1*$R$3,"orzech",J146&gt;=$U$1*$R$4,"miał",1=1,"NIC")</f>
        <v>orzech</v>
      </c>
      <c r="L146">
        <f t="shared" si="12"/>
        <v>118</v>
      </c>
      <c r="M146">
        <f t="shared" si="13"/>
        <v>93</v>
      </c>
      <c r="N146">
        <f t="shared" si="14"/>
        <v>790</v>
      </c>
    </row>
    <row r="147" spans="1:14" x14ac:dyDescent="0.25">
      <c r="A147" s="1">
        <v>42072</v>
      </c>
      <c r="B147">
        <f t="shared" si="11"/>
        <v>118</v>
      </c>
      <c r="C147">
        <f t="shared" si="11"/>
        <v>93</v>
      </c>
      <c r="D147">
        <f t="shared" si="11"/>
        <v>790</v>
      </c>
      <c r="E147">
        <v>50</v>
      </c>
      <c r="F147">
        <v>99</v>
      </c>
      <c r="G147">
        <v>78</v>
      </c>
      <c r="H147">
        <f t="shared" si="10"/>
        <v>168</v>
      </c>
      <c r="I147">
        <f t="shared" si="10"/>
        <v>192</v>
      </c>
      <c r="J147">
        <f t="shared" si="10"/>
        <v>868</v>
      </c>
      <c r="K147" t="str" cm="1">
        <f t="array" ref="K147">_xlfn.IFS(H147&gt;=$U$1,"kostka",I147&gt;=$U$1*$R$3,"orzech",J147&gt;=$U$1*$R$4,"miał",1=1,"NIC")</f>
        <v>miał</v>
      </c>
      <c r="L147">
        <f t="shared" si="12"/>
        <v>168</v>
      </c>
      <c r="M147">
        <f t="shared" si="13"/>
        <v>192</v>
      </c>
      <c r="N147">
        <f t="shared" si="14"/>
        <v>548</v>
      </c>
    </row>
    <row r="148" spans="1:14" x14ac:dyDescent="0.25">
      <c r="A148" s="1">
        <v>42073</v>
      </c>
      <c r="B148">
        <f t="shared" si="11"/>
        <v>168</v>
      </c>
      <c r="C148">
        <f t="shared" si="11"/>
        <v>192</v>
      </c>
      <c r="D148">
        <f t="shared" si="11"/>
        <v>548</v>
      </c>
      <c r="E148">
        <v>178</v>
      </c>
      <c r="F148">
        <v>146</v>
      </c>
      <c r="G148">
        <v>75</v>
      </c>
      <c r="H148">
        <f t="shared" si="10"/>
        <v>346</v>
      </c>
      <c r="I148">
        <f t="shared" si="10"/>
        <v>338</v>
      </c>
      <c r="J148">
        <f t="shared" si="10"/>
        <v>623</v>
      </c>
      <c r="K148" t="str" cm="1">
        <f t="array" ref="K148">_xlfn.IFS(H148&gt;=$U$1,"kostka",I148&gt;=$U$1*$R$3,"orzech",J148&gt;=$U$1*$R$4,"miał",1=1,"NIC")</f>
        <v>kostka</v>
      </c>
      <c r="L148">
        <f t="shared" si="12"/>
        <v>146</v>
      </c>
      <c r="M148">
        <f t="shared" si="13"/>
        <v>338</v>
      </c>
      <c r="N148">
        <f t="shared" si="14"/>
        <v>623</v>
      </c>
    </row>
    <row r="149" spans="1:14" x14ac:dyDescent="0.25">
      <c r="A149" s="1">
        <v>42074</v>
      </c>
      <c r="B149">
        <f t="shared" si="11"/>
        <v>146</v>
      </c>
      <c r="C149">
        <f t="shared" si="11"/>
        <v>338</v>
      </c>
      <c r="D149">
        <f t="shared" si="11"/>
        <v>623</v>
      </c>
      <c r="E149">
        <v>97</v>
      </c>
      <c r="F149">
        <v>135</v>
      </c>
      <c r="G149">
        <v>66</v>
      </c>
      <c r="H149">
        <f t="shared" si="10"/>
        <v>243</v>
      </c>
      <c r="I149">
        <f t="shared" si="10"/>
        <v>473</v>
      </c>
      <c r="J149">
        <f t="shared" si="10"/>
        <v>689</v>
      </c>
      <c r="K149" t="str" cm="1">
        <f t="array" ref="K149">_xlfn.IFS(H149&gt;=$U$1,"kostka",I149&gt;=$U$1*$R$3,"orzech",J149&gt;=$U$1*$R$4,"miał",1=1,"NIC")</f>
        <v>kostka</v>
      </c>
      <c r="L149">
        <f t="shared" si="12"/>
        <v>43</v>
      </c>
      <c r="M149">
        <f t="shared" si="13"/>
        <v>473</v>
      </c>
      <c r="N149">
        <f t="shared" si="14"/>
        <v>689</v>
      </c>
    </row>
    <row r="150" spans="1:14" x14ac:dyDescent="0.25">
      <c r="A150" s="1">
        <v>42075</v>
      </c>
      <c r="B150">
        <f t="shared" si="11"/>
        <v>43</v>
      </c>
      <c r="C150">
        <f t="shared" si="11"/>
        <v>473</v>
      </c>
      <c r="D150">
        <f t="shared" si="11"/>
        <v>689</v>
      </c>
      <c r="E150">
        <v>138</v>
      </c>
      <c r="F150">
        <v>160</v>
      </c>
      <c r="G150">
        <v>6</v>
      </c>
      <c r="H150">
        <f t="shared" si="10"/>
        <v>181</v>
      </c>
      <c r="I150">
        <f t="shared" si="10"/>
        <v>633</v>
      </c>
      <c r="J150">
        <f t="shared" si="10"/>
        <v>695</v>
      </c>
      <c r="K150" t="str" cm="1">
        <f t="array" ref="K150">_xlfn.IFS(H150&gt;=$U$1,"kostka",I150&gt;=$U$1*$R$3,"orzech",J150&gt;=$U$1*$R$4,"miał",1=1,"NIC")</f>
        <v>orzech</v>
      </c>
      <c r="L150">
        <f t="shared" si="12"/>
        <v>181</v>
      </c>
      <c r="M150">
        <f t="shared" si="13"/>
        <v>373</v>
      </c>
      <c r="N150">
        <f t="shared" si="14"/>
        <v>695</v>
      </c>
    </row>
    <row r="151" spans="1:14" x14ac:dyDescent="0.25">
      <c r="A151" s="1">
        <v>42076</v>
      </c>
      <c r="B151">
        <f t="shared" si="11"/>
        <v>181</v>
      </c>
      <c r="C151">
        <f t="shared" si="11"/>
        <v>373</v>
      </c>
      <c r="D151">
        <f t="shared" si="11"/>
        <v>695</v>
      </c>
      <c r="E151">
        <v>194</v>
      </c>
      <c r="F151">
        <v>87</v>
      </c>
      <c r="G151">
        <v>60</v>
      </c>
      <c r="H151">
        <f t="shared" si="10"/>
        <v>375</v>
      </c>
      <c r="I151">
        <f t="shared" si="10"/>
        <v>460</v>
      </c>
      <c r="J151">
        <f t="shared" si="10"/>
        <v>755</v>
      </c>
      <c r="K151" t="str" cm="1">
        <f t="array" ref="K151">_xlfn.IFS(H151&gt;=$U$1,"kostka",I151&gt;=$U$1*$R$3,"orzech",J151&gt;=$U$1*$R$4,"miał",1=1,"NIC")</f>
        <v>kostka</v>
      </c>
      <c r="L151">
        <f t="shared" si="12"/>
        <v>175</v>
      </c>
      <c r="M151">
        <f t="shared" si="13"/>
        <v>460</v>
      </c>
      <c r="N151">
        <f t="shared" si="14"/>
        <v>755</v>
      </c>
    </row>
    <row r="152" spans="1:14" x14ac:dyDescent="0.25">
      <c r="A152" s="1">
        <v>42077</v>
      </c>
      <c r="B152">
        <f t="shared" si="11"/>
        <v>175</v>
      </c>
      <c r="C152">
        <f t="shared" si="11"/>
        <v>460</v>
      </c>
      <c r="D152">
        <f t="shared" si="11"/>
        <v>755</v>
      </c>
      <c r="E152">
        <v>86</v>
      </c>
      <c r="F152">
        <v>21</v>
      </c>
      <c r="G152">
        <v>45</v>
      </c>
      <c r="H152">
        <f t="shared" si="10"/>
        <v>261</v>
      </c>
      <c r="I152">
        <f t="shared" si="10"/>
        <v>481</v>
      </c>
      <c r="J152">
        <f t="shared" si="10"/>
        <v>800</v>
      </c>
      <c r="K152" t="str" cm="1">
        <f t="array" ref="K152">_xlfn.IFS(H152&gt;=$U$1,"kostka",I152&gt;=$U$1*$R$3,"orzech",J152&gt;=$U$1*$R$4,"miał",1=1,"NIC")</f>
        <v>kostka</v>
      </c>
      <c r="L152">
        <f t="shared" si="12"/>
        <v>61</v>
      </c>
      <c r="M152">
        <f t="shared" si="13"/>
        <v>481</v>
      </c>
      <c r="N152">
        <f t="shared" si="14"/>
        <v>800</v>
      </c>
    </row>
    <row r="153" spans="1:14" x14ac:dyDescent="0.25">
      <c r="A153" s="1">
        <v>42078</v>
      </c>
      <c r="B153">
        <f t="shared" si="11"/>
        <v>61</v>
      </c>
      <c r="C153">
        <f t="shared" si="11"/>
        <v>481</v>
      </c>
      <c r="D153">
        <f t="shared" si="11"/>
        <v>800</v>
      </c>
      <c r="E153">
        <v>26</v>
      </c>
      <c r="F153">
        <v>60</v>
      </c>
      <c r="G153">
        <v>44</v>
      </c>
      <c r="H153">
        <f t="shared" si="10"/>
        <v>87</v>
      </c>
      <c r="I153">
        <f t="shared" si="10"/>
        <v>541</v>
      </c>
      <c r="J153">
        <f t="shared" si="10"/>
        <v>844</v>
      </c>
      <c r="K153" t="str" cm="1">
        <f t="array" ref="K153">_xlfn.IFS(H153&gt;=$U$1,"kostka",I153&gt;=$U$1*$R$3,"orzech",J153&gt;=$U$1*$R$4,"miał",1=1,"NIC")</f>
        <v>orzech</v>
      </c>
      <c r="L153">
        <f t="shared" si="12"/>
        <v>87</v>
      </c>
      <c r="M153">
        <f t="shared" si="13"/>
        <v>281</v>
      </c>
      <c r="N153">
        <f t="shared" si="14"/>
        <v>844</v>
      </c>
    </row>
    <row r="154" spans="1:14" x14ac:dyDescent="0.25">
      <c r="A154" s="1">
        <v>42079</v>
      </c>
      <c r="B154">
        <f t="shared" si="11"/>
        <v>87</v>
      </c>
      <c r="C154">
        <f t="shared" si="11"/>
        <v>281</v>
      </c>
      <c r="D154">
        <f t="shared" si="11"/>
        <v>844</v>
      </c>
      <c r="E154">
        <v>28</v>
      </c>
      <c r="F154">
        <v>35</v>
      </c>
      <c r="G154">
        <v>96</v>
      </c>
      <c r="H154">
        <f t="shared" si="10"/>
        <v>115</v>
      </c>
      <c r="I154">
        <f t="shared" si="10"/>
        <v>316</v>
      </c>
      <c r="J154">
        <f t="shared" si="10"/>
        <v>940</v>
      </c>
      <c r="K154" t="str" cm="1">
        <f t="array" ref="K154">_xlfn.IFS(H154&gt;=$U$1,"kostka",I154&gt;=$U$1*$R$3,"orzech",J154&gt;=$U$1*$R$4,"miał",1=1,"NIC")</f>
        <v>orzech</v>
      </c>
      <c r="L154">
        <f t="shared" si="12"/>
        <v>115</v>
      </c>
      <c r="M154">
        <f t="shared" si="13"/>
        <v>56</v>
      </c>
      <c r="N154">
        <f t="shared" si="14"/>
        <v>940</v>
      </c>
    </row>
    <row r="155" spans="1:14" x14ac:dyDescent="0.25">
      <c r="A155" s="1">
        <v>42080</v>
      </c>
      <c r="B155">
        <f t="shared" si="11"/>
        <v>115</v>
      </c>
      <c r="C155">
        <f t="shared" si="11"/>
        <v>56</v>
      </c>
      <c r="D155">
        <f t="shared" si="11"/>
        <v>940</v>
      </c>
      <c r="E155">
        <v>53</v>
      </c>
      <c r="F155">
        <v>100</v>
      </c>
      <c r="G155">
        <v>64</v>
      </c>
      <c r="H155">
        <f t="shared" si="10"/>
        <v>168</v>
      </c>
      <c r="I155">
        <f t="shared" si="10"/>
        <v>156</v>
      </c>
      <c r="J155">
        <f t="shared" si="10"/>
        <v>1004</v>
      </c>
      <c r="K155" t="str" cm="1">
        <f t="array" ref="K155">_xlfn.IFS(H155&gt;=$U$1,"kostka",I155&gt;=$U$1*$R$3,"orzech",J155&gt;=$U$1*$R$4,"miał",1=1,"NIC")</f>
        <v>miał</v>
      </c>
      <c r="L155">
        <f t="shared" si="12"/>
        <v>168</v>
      </c>
      <c r="M155">
        <f t="shared" si="13"/>
        <v>156</v>
      </c>
      <c r="N155">
        <f t="shared" si="14"/>
        <v>684</v>
      </c>
    </row>
    <row r="156" spans="1:14" x14ac:dyDescent="0.25">
      <c r="A156" s="1">
        <v>42081</v>
      </c>
      <c r="B156">
        <f t="shared" si="11"/>
        <v>168</v>
      </c>
      <c r="C156">
        <f t="shared" si="11"/>
        <v>156</v>
      </c>
      <c r="D156">
        <f t="shared" si="11"/>
        <v>684</v>
      </c>
      <c r="E156">
        <v>168</v>
      </c>
      <c r="F156">
        <v>64</v>
      </c>
      <c r="G156">
        <v>46</v>
      </c>
      <c r="H156">
        <f t="shared" si="10"/>
        <v>336</v>
      </c>
      <c r="I156">
        <f t="shared" si="10"/>
        <v>220</v>
      </c>
      <c r="J156">
        <f t="shared" si="10"/>
        <v>730</v>
      </c>
      <c r="K156" t="str" cm="1">
        <f t="array" ref="K156">_xlfn.IFS(H156&gt;=$U$1,"kostka",I156&gt;=$U$1*$R$3,"orzech",J156&gt;=$U$1*$R$4,"miał",1=1,"NIC")</f>
        <v>kostka</v>
      </c>
      <c r="L156">
        <f t="shared" si="12"/>
        <v>136</v>
      </c>
      <c r="M156">
        <f t="shared" si="13"/>
        <v>220</v>
      </c>
      <c r="N156">
        <f t="shared" si="14"/>
        <v>730</v>
      </c>
    </row>
    <row r="157" spans="1:14" x14ac:dyDescent="0.25">
      <c r="A157" s="1">
        <v>42082</v>
      </c>
      <c r="B157">
        <f t="shared" si="11"/>
        <v>136</v>
      </c>
      <c r="C157">
        <f t="shared" si="11"/>
        <v>220</v>
      </c>
      <c r="D157">
        <f t="shared" si="11"/>
        <v>730</v>
      </c>
      <c r="E157">
        <v>77</v>
      </c>
      <c r="F157">
        <v>60</v>
      </c>
      <c r="G157">
        <v>35</v>
      </c>
      <c r="H157">
        <f t="shared" si="10"/>
        <v>213</v>
      </c>
      <c r="I157">
        <f t="shared" si="10"/>
        <v>280</v>
      </c>
      <c r="J157">
        <f t="shared" si="10"/>
        <v>765</v>
      </c>
      <c r="K157" t="str" cm="1">
        <f t="array" ref="K157">_xlfn.IFS(H157&gt;=$U$1,"kostka",I157&gt;=$U$1*$R$3,"orzech",J157&gt;=$U$1*$R$4,"miał",1=1,"NIC")</f>
        <v>kostka</v>
      </c>
      <c r="L157">
        <f t="shared" si="12"/>
        <v>13</v>
      </c>
      <c r="M157">
        <f t="shared" si="13"/>
        <v>280</v>
      </c>
      <c r="N157">
        <f t="shared" si="14"/>
        <v>765</v>
      </c>
    </row>
    <row r="158" spans="1:14" x14ac:dyDescent="0.25">
      <c r="A158" s="1">
        <v>42083</v>
      </c>
      <c r="B158">
        <f t="shared" si="11"/>
        <v>13</v>
      </c>
      <c r="C158">
        <f t="shared" si="11"/>
        <v>280</v>
      </c>
      <c r="D158">
        <f t="shared" si="11"/>
        <v>765</v>
      </c>
      <c r="E158">
        <v>17</v>
      </c>
      <c r="F158">
        <v>80</v>
      </c>
      <c r="G158">
        <v>30</v>
      </c>
      <c r="H158">
        <f t="shared" si="10"/>
        <v>30</v>
      </c>
      <c r="I158">
        <f t="shared" si="10"/>
        <v>360</v>
      </c>
      <c r="J158">
        <f t="shared" si="10"/>
        <v>795</v>
      </c>
      <c r="K158" t="str" cm="1">
        <f t="array" ref="K158">_xlfn.IFS(H158&gt;=$U$1,"kostka",I158&gt;=$U$1*$R$3,"orzech",J158&gt;=$U$1*$R$4,"miał",1=1,"NIC")</f>
        <v>orzech</v>
      </c>
      <c r="L158">
        <f t="shared" si="12"/>
        <v>30</v>
      </c>
      <c r="M158">
        <f t="shared" si="13"/>
        <v>100</v>
      </c>
      <c r="N158">
        <f t="shared" si="14"/>
        <v>795</v>
      </c>
    </row>
    <row r="159" spans="1:14" x14ac:dyDescent="0.25">
      <c r="A159" s="1">
        <v>42084</v>
      </c>
      <c r="B159">
        <f t="shared" si="11"/>
        <v>30</v>
      </c>
      <c r="C159">
        <f t="shared" si="11"/>
        <v>100</v>
      </c>
      <c r="D159">
        <f t="shared" si="11"/>
        <v>795</v>
      </c>
      <c r="E159">
        <v>175</v>
      </c>
      <c r="F159">
        <v>47</v>
      </c>
      <c r="G159">
        <v>25</v>
      </c>
      <c r="H159">
        <f t="shared" si="10"/>
        <v>205</v>
      </c>
      <c r="I159">
        <f t="shared" si="10"/>
        <v>147</v>
      </c>
      <c r="J159">
        <f t="shared" si="10"/>
        <v>820</v>
      </c>
      <c r="K159" t="str" cm="1">
        <f t="array" ref="K159">_xlfn.IFS(H159&gt;=$U$1,"kostka",I159&gt;=$U$1*$R$3,"orzech",J159&gt;=$U$1*$R$4,"miał",1=1,"NIC")</f>
        <v>kostka</v>
      </c>
      <c r="L159">
        <f t="shared" si="12"/>
        <v>5</v>
      </c>
      <c r="M159">
        <f t="shared" si="13"/>
        <v>147</v>
      </c>
      <c r="N159">
        <f t="shared" si="14"/>
        <v>820</v>
      </c>
    </row>
    <row r="160" spans="1:14" x14ac:dyDescent="0.25">
      <c r="A160" s="1">
        <v>42085</v>
      </c>
      <c r="B160">
        <f t="shared" si="11"/>
        <v>5</v>
      </c>
      <c r="C160">
        <f t="shared" si="11"/>
        <v>147</v>
      </c>
      <c r="D160">
        <f t="shared" si="11"/>
        <v>820</v>
      </c>
      <c r="E160">
        <v>164</v>
      </c>
      <c r="F160">
        <v>60</v>
      </c>
      <c r="G160">
        <v>22</v>
      </c>
      <c r="H160">
        <f t="shared" si="10"/>
        <v>169</v>
      </c>
      <c r="I160">
        <f t="shared" si="10"/>
        <v>207</v>
      </c>
      <c r="J160">
        <f t="shared" si="10"/>
        <v>842</v>
      </c>
      <c r="K160" t="str" cm="1">
        <f t="array" ref="K160">_xlfn.IFS(H160&gt;=$U$1,"kostka",I160&gt;=$U$1*$R$3,"orzech",J160&gt;=$U$1*$R$4,"miał",1=1,"NIC")</f>
        <v>miał</v>
      </c>
      <c r="L160">
        <f t="shared" si="12"/>
        <v>169</v>
      </c>
      <c r="M160">
        <f t="shared" si="13"/>
        <v>207</v>
      </c>
      <c r="N160">
        <f t="shared" si="14"/>
        <v>522</v>
      </c>
    </row>
    <row r="161" spans="1:14" x14ac:dyDescent="0.25">
      <c r="A161" s="1">
        <v>42086</v>
      </c>
      <c r="B161">
        <f t="shared" si="11"/>
        <v>169</v>
      </c>
      <c r="C161">
        <f t="shared" si="11"/>
        <v>207</v>
      </c>
      <c r="D161">
        <f t="shared" si="11"/>
        <v>522</v>
      </c>
      <c r="E161">
        <v>199</v>
      </c>
      <c r="F161">
        <v>80</v>
      </c>
      <c r="G161">
        <v>45</v>
      </c>
      <c r="H161">
        <f t="shared" si="10"/>
        <v>368</v>
      </c>
      <c r="I161">
        <f t="shared" si="10"/>
        <v>287</v>
      </c>
      <c r="J161">
        <f t="shared" si="10"/>
        <v>567</v>
      </c>
      <c r="K161" t="str" cm="1">
        <f t="array" ref="K161">_xlfn.IFS(H161&gt;=$U$1,"kostka",I161&gt;=$U$1*$R$3,"orzech",J161&gt;=$U$1*$R$4,"miał",1=1,"NIC")</f>
        <v>kostka</v>
      </c>
      <c r="L161">
        <f t="shared" si="12"/>
        <v>168</v>
      </c>
      <c r="M161">
        <f t="shared" si="13"/>
        <v>287</v>
      </c>
      <c r="N161">
        <f t="shared" si="14"/>
        <v>567</v>
      </c>
    </row>
    <row r="162" spans="1:14" x14ac:dyDescent="0.25">
      <c r="A162" s="1">
        <v>42087</v>
      </c>
      <c r="B162">
        <f t="shared" si="11"/>
        <v>168</v>
      </c>
      <c r="C162">
        <f t="shared" si="11"/>
        <v>287</v>
      </c>
      <c r="D162">
        <f t="shared" si="11"/>
        <v>567</v>
      </c>
      <c r="E162">
        <v>111</v>
      </c>
      <c r="F162">
        <v>92</v>
      </c>
      <c r="G162">
        <v>45</v>
      </c>
      <c r="H162">
        <f t="shared" si="10"/>
        <v>279</v>
      </c>
      <c r="I162">
        <f t="shared" si="10"/>
        <v>379</v>
      </c>
      <c r="J162">
        <f t="shared" si="10"/>
        <v>612</v>
      </c>
      <c r="K162" t="str" cm="1">
        <f t="array" ref="K162">_xlfn.IFS(H162&gt;=$U$1,"kostka",I162&gt;=$U$1*$R$3,"orzech",J162&gt;=$U$1*$R$4,"miał",1=1,"NIC")</f>
        <v>kostka</v>
      </c>
      <c r="L162">
        <f t="shared" si="12"/>
        <v>79</v>
      </c>
      <c r="M162">
        <f t="shared" si="13"/>
        <v>379</v>
      </c>
      <c r="N162">
        <f t="shared" si="14"/>
        <v>612</v>
      </c>
    </row>
    <row r="163" spans="1:14" x14ac:dyDescent="0.25">
      <c r="A163" s="1">
        <v>42088</v>
      </c>
      <c r="B163">
        <f t="shared" si="11"/>
        <v>79</v>
      </c>
      <c r="C163">
        <f t="shared" si="11"/>
        <v>379</v>
      </c>
      <c r="D163">
        <f t="shared" si="11"/>
        <v>612</v>
      </c>
      <c r="E163">
        <v>58</v>
      </c>
      <c r="F163">
        <v>90</v>
      </c>
      <c r="G163">
        <v>40</v>
      </c>
      <c r="H163">
        <f t="shared" si="10"/>
        <v>137</v>
      </c>
      <c r="I163">
        <f t="shared" si="10"/>
        <v>469</v>
      </c>
      <c r="J163">
        <f t="shared" si="10"/>
        <v>652</v>
      </c>
      <c r="K163" t="str" cm="1">
        <f t="array" ref="K163">_xlfn.IFS(H163&gt;=$U$1,"kostka",I163&gt;=$U$1*$R$3,"orzech",J163&gt;=$U$1*$R$4,"miał",1=1,"NIC")</f>
        <v>orzech</v>
      </c>
      <c r="L163">
        <f t="shared" si="12"/>
        <v>137</v>
      </c>
      <c r="M163">
        <f t="shared" si="13"/>
        <v>209</v>
      </c>
      <c r="N163">
        <f t="shared" si="14"/>
        <v>652</v>
      </c>
    </row>
    <row r="164" spans="1:14" x14ac:dyDescent="0.25">
      <c r="A164" s="1">
        <v>42089</v>
      </c>
      <c r="B164">
        <f t="shared" si="11"/>
        <v>137</v>
      </c>
      <c r="C164">
        <f t="shared" si="11"/>
        <v>209</v>
      </c>
      <c r="D164">
        <f t="shared" si="11"/>
        <v>652</v>
      </c>
      <c r="E164">
        <v>59</v>
      </c>
      <c r="F164">
        <v>164</v>
      </c>
      <c r="G164">
        <v>47</v>
      </c>
      <c r="H164">
        <f t="shared" si="10"/>
        <v>196</v>
      </c>
      <c r="I164">
        <f t="shared" si="10"/>
        <v>373</v>
      </c>
      <c r="J164">
        <f t="shared" si="10"/>
        <v>699</v>
      </c>
      <c r="K164" t="str" cm="1">
        <f t="array" ref="K164">_xlfn.IFS(H164&gt;=$U$1,"kostka",I164&gt;=$U$1*$R$3,"orzech",J164&gt;=$U$1*$R$4,"miał",1=1,"NIC")</f>
        <v>orzech</v>
      </c>
      <c r="L164">
        <f t="shared" si="12"/>
        <v>196</v>
      </c>
      <c r="M164">
        <f t="shared" si="13"/>
        <v>113</v>
      </c>
      <c r="N164">
        <f t="shared" si="14"/>
        <v>699</v>
      </c>
    </row>
    <row r="165" spans="1:14" x14ac:dyDescent="0.25">
      <c r="A165" s="1">
        <v>42090</v>
      </c>
      <c r="B165">
        <f t="shared" si="11"/>
        <v>196</v>
      </c>
      <c r="C165">
        <f t="shared" si="11"/>
        <v>113</v>
      </c>
      <c r="D165">
        <f t="shared" si="11"/>
        <v>699</v>
      </c>
      <c r="E165">
        <v>158</v>
      </c>
      <c r="F165">
        <v>120</v>
      </c>
      <c r="G165">
        <v>30</v>
      </c>
      <c r="H165">
        <f t="shared" si="10"/>
        <v>354</v>
      </c>
      <c r="I165">
        <f t="shared" si="10"/>
        <v>233</v>
      </c>
      <c r="J165">
        <f t="shared" si="10"/>
        <v>729</v>
      </c>
      <c r="K165" t="str" cm="1">
        <f t="array" ref="K165">_xlfn.IFS(H165&gt;=$U$1,"kostka",I165&gt;=$U$1*$R$3,"orzech",J165&gt;=$U$1*$R$4,"miał",1=1,"NIC")</f>
        <v>kostka</v>
      </c>
      <c r="L165">
        <f t="shared" si="12"/>
        <v>154</v>
      </c>
      <c r="M165">
        <f t="shared" si="13"/>
        <v>233</v>
      </c>
      <c r="N165">
        <f t="shared" si="14"/>
        <v>729</v>
      </c>
    </row>
    <row r="166" spans="1:14" x14ac:dyDescent="0.25">
      <c r="A166" s="1">
        <v>42091</v>
      </c>
      <c r="B166">
        <f t="shared" si="11"/>
        <v>154</v>
      </c>
      <c r="C166">
        <f t="shared" si="11"/>
        <v>233</v>
      </c>
      <c r="D166">
        <f t="shared" si="11"/>
        <v>729</v>
      </c>
      <c r="E166">
        <v>84</v>
      </c>
      <c r="F166">
        <v>90</v>
      </c>
      <c r="G166">
        <v>30</v>
      </c>
      <c r="H166">
        <f t="shared" si="10"/>
        <v>238</v>
      </c>
      <c r="I166">
        <f t="shared" si="10"/>
        <v>323</v>
      </c>
      <c r="J166">
        <f t="shared" si="10"/>
        <v>759</v>
      </c>
      <c r="K166" t="str" cm="1">
        <f t="array" ref="K166">_xlfn.IFS(H166&gt;=$U$1,"kostka",I166&gt;=$U$1*$R$3,"orzech",J166&gt;=$U$1*$R$4,"miał",1=1,"NIC")</f>
        <v>kostka</v>
      </c>
      <c r="L166">
        <f t="shared" si="12"/>
        <v>38</v>
      </c>
      <c r="M166">
        <f t="shared" si="13"/>
        <v>323</v>
      </c>
      <c r="N166">
        <f t="shared" si="14"/>
        <v>759</v>
      </c>
    </row>
    <row r="167" spans="1:14" x14ac:dyDescent="0.25">
      <c r="A167" s="1">
        <v>42092</v>
      </c>
      <c r="B167">
        <f t="shared" si="11"/>
        <v>38</v>
      </c>
      <c r="C167">
        <f t="shared" si="11"/>
        <v>323</v>
      </c>
      <c r="D167">
        <f t="shared" si="11"/>
        <v>759</v>
      </c>
      <c r="E167">
        <v>64</v>
      </c>
      <c r="F167">
        <v>61</v>
      </c>
      <c r="G167">
        <v>60</v>
      </c>
      <c r="H167">
        <f t="shared" si="10"/>
        <v>102</v>
      </c>
      <c r="I167">
        <f t="shared" si="10"/>
        <v>384</v>
      </c>
      <c r="J167">
        <f t="shared" si="10"/>
        <v>819</v>
      </c>
      <c r="K167" t="str" cm="1">
        <f t="array" ref="K167">_xlfn.IFS(H167&gt;=$U$1,"kostka",I167&gt;=$U$1*$R$3,"orzech",J167&gt;=$U$1*$R$4,"miał",1=1,"NIC")</f>
        <v>orzech</v>
      </c>
      <c r="L167">
        <f t="shared" si="12"/>
        <v>102</v>
      </c>
      <c r="M167">
        <f t="shared" si="13"/>
        <v>124</v>
      </c>
      <c r="N167">
        <f t="shared" si="14"/>
        <v>819</v>
      </c>
    </row>
    <row r="168" spans="1:14" x14ac:dyDescent="0.25">
      <c r="A168" s="1">
        <v>42093</v>
      </c>
      <c r="B168">
        <f t="shared" si="11"/>
        <v>102</v>
      </c>
      <c r="C168">
        <f t="shared" si="11"/>
        <v>124</v>
      </c>
      <c r="D168">
        <f t="shared" si="11"/>
        <v>819</v>
      </c>
      <c r="E168">
        <v>125</v>
      </c>
      <c r="F168">
        <v>84</v>
      </c>
      <c r="G168">
        <v>40</v>
      </c>
      <c r="H168">
        <f t="shared" si="10"/>
        <v>227</v>
      </c>
      <c r="I168">
        <f t="shared" si="10"/>
        <v>208</v>
      </c>
      <c r="J168">
        <f t="shared" si="10"/>
        <v>859</v>
      </c>
      <c r="K168" t="str" cm="1">
        <f t="array" ref="K168">_xlfn.IFS(H168&gt;=$U$1,"kostka",I168&gt;=$U$1*$R$3,"orzech",J168&gt;=$U$1*$R$4,"miał",1=1,"NIC")</f>
        <v>kostka</v>
      </c>
      <c r="L168">
        <f t="shared" si="12"/>
        <v>27</v>
      </c>
      <c r="M168">
        <f t="shared" si="13"/>
        <v>208</v>
      </c>
      <c r="N168">
        <f t="shared" si="14"/>
        <v>859</v>
      </c>
    </row>
    <row r="169" spans="1:14" x14ac:dyDescent="0.25">
      <c r="A169" s="1">
        <v>42094</v>
      </c>
      <c r="B169">
        <f t="shared" si="11"/>
        <v>27</v>
      </c>
      <c r="C169">
        <f t="shared" si="11"/>
        <v>208</v>
      </c>
      <c r="D169">
        <f t="shared" si="11"/>
        <v>859</v>
      </c>
      <c r="E169">
        <v>148</v>
      </c>
      <c r="F169">
        <v>110</v>
      </c>
      <c r="G169">
        <v>50</v>
      </c>
      <c r="H169">
        <f t="shared" si="10"/>
        <v>175</v>
      </c>
      <c r="I169">
        <f t="shared" si="10"/>
        <v>318</v>
      </c>
      <c r="J169">
        <f t="shared" si="10"/>
        <v>909</v>
      </c>
      <c r="K169" t="str" cm="1">
        <f t="array" ref="K169">_xlfn.IFS(H169&gt;=$U$1,"kostka",I169&gt;=$U$1*$R$3,"orzech",J169&gt;=$U$1*$R$4,"miał",1=1,"NIC")</f>
        <v>orzech</v>
      </c>
      <c r="L169">
        <f t="shared" si="12"/>
        <v>175</v>
      </c>
      <c r="M169">
        <f t="shared" si="13"/>
        <v>58</v>
      </c>
      <c r="N169">
        <f t="shared" si="14"/>
        <v>909</v>
      </c>
    </row>
    <row r="170" spans="1:14" x14ac:dyDescent="0.25">
      <c r="A170" s="1">
        <v>42095</v>
      </c>
      <c r="B170">
        <f t="shared" si="11"/>
        <v>175</v>
      </c>
      <c r="C170">
        <f t="shared" si="11"/>
        <v>58</v>
      </c>
      <c r="D170">
        <f t="shared" si="11"/>
        <v>909</v>
      </c>
      <c r="E170">
        <v>172</v>
      </c>
      <c r="F170">
        <v>100</v>
      </c>
      <c r="G170">
        <v>30</v>
      </c>
      <c r="H170">
        <f t="shared" si="10"/>
        <v>347</v>
      </c>
      <c r="I170">
        <f t="shared" si="10"/>
        <v>158</v>
      </c>
      <c r="J170">
        <f t="shared" si="10"/>
        <v>939</v>
      </c>
      <c r="K170" t="str" cm="1">
        <f t="array" ref="K170">_xlfn.IFS(H170&gt;=$U$1,"kostka",I170&gt;=$U$1*$R$3,"orzech",J170&gt;=$U$1*$R$4,"miał",1=1,"NIC")</f>
        <v>kostka</v>
      </c>
      <c r="L170">
        <f t="shared" si="12"/>
        <v>147</v>
      </c>
      <c r="M170">
        <f t="shared" si="13"/>
        <v>158</v>
      </c>
      <c r="N170">
        <f t="shared" si="14"/>
        <v>939</v>
      </c>
    </row>
    <row r="171" spans="1:14" x14ac:dyDescent="0.25">
      <c r="A171" s="1">
        <v>42096</v>
      </c>
      <c r="B171">
        <f t="shared" si="11"/>
        <v>147</v>
      </c>
      <c r="C171">
        <f t="shared" si="11"/>
        <v>158</v>
      </c>
      <c r="D171">
        <f t="shared" si="11"/>
        <v>939</v>
      </c>
      <c r="E171">
        <v>103</v>
      </c>
      <c r="F171">
        <v>60</v>
      </c>
      <c r="G171">
        <v>40</v>
      </c>
      <c r="H171">
        <f t="shared" si="10"/>
        <v>250</v>
      </c>
      <c r="I171">
        <f t="shared" si="10"/>
        <v>218</v>
      </c>
      <c r="J171">
        <f t="shared" si="10"/>
        <v>979</v>
      </c>
      <c r="K171" t="str" cm="1">
        <f t="array" ref="K171">_xlfn.IFS(H171&gt;=$U$1,"kostka",I171&gt;=$U$1*$R$3,"orzech",J171&gt;=$U$1*$R$4,"miał",1=1,"NIC")</f>
        <v>kostka</v>
      </c>
      <c r="L171">
        <f t="shared" si="12"/>
        <v>50</v>
      </c>
      <c r="M171">
        <f t="shared" si="13"/>
        <v>218</v>
      </c>
      <c r="N171">
        <f t="shared" si="14"/>
        <v>979</v>
      </c>
    </row>
    <row r="172" spans="1:14" x14ac:dyDescent="0.25">
      <c r="A172" s="1">
        <v>42097</v>
      </c>
      <c r="B172">
        <f t="shared" si="11"/>
        <v>50</v>
      </c>
      <c r="C172">
        <f t="shared" si="11"/>
        <v>218</v>
      </c>
      <c r="D172">
        <f t="shared" si="11"/>
        <v>979</v>
      </c>
      <c r="E172">
        <v>191</v>
      </c>
      <c r="F172">
        <v>41</v>
      </c>
      <c r="G172">
        <v>52</v>
      </c>
      <c r="H172">
        <f t="shared" si="10"/>
        <v>241</v>
      </c>
      <c r="I172">
        <f t="shared" si="10"/>
        <v>259</v>
      </c>
      <c r="J172">
        <f t="shared" si="10"/>
        <v>1031</v>
      </c>
      <c r="K172" t="str" cm="1">
        <f t="array" ref="K172">_xlfn.IFS(H172&gt;=$U$1,"kostka",I172&gt;=$U$1*$R$3,"orzech",J172&gt;=$U$1*$R$4,"miał",1=1,"NIC")</f>
        <v>kostka</v>
      </c>
      <c r="L172">
        <f t="shared" si="12"/>
        <v>41</v>
      </c>
      <c r="M172">
        <f t="shared" si="13"/>
        <v>259</v>
      </c>
      <c r="N172">
        <f t="shared" si="14"/>
        <v>1031</v>
      </c>
    </row>
    <row r="173" spans="1:14" x14ac:dyDescent="0.25">
      <c r="A173" s="1">
        <v>42098</v>
      </c>
      <c r="B173">
        <f t="shared" si="11"/>
        <v>41</v>
      </c>
      <c r="C173">
        <f t="shared" si="11"/>
        <v>259</v>
      </c>
      <c r="D173">
        <f t="shared" si="11"/>
        <v>1031</v>
      </c>
      <c r="E173">
        <v>128</v>
      </c>
      <c r="F173">
        <v>98</v>
      </c>
      <c r="G173">
        <v>40</v>
      </c>
      <c r="H173">
        <f t="shared" si="10"/>
        <v>169</v>
      </c>
      <c r="I173">
        <f t="shared" si="10"/>
        <v>357</v>
      </c>
      <c r="J173">
        <f t="shared" si="10"/>
        <v>1071</v>
      </c>
      <c r="K173" t="str" cm="1">
        <f t="array" ref="K173">_xlfn.IFS(H173&gt;=$U$1,"kostka",I173&gt;=$U$1*$R$3,"orzech",J173&gt;=$U$1*$R$4,"miał",1=1,"NIC")</f>
        <v>orzech</v>
      </c>
      <c r="L173">
        <f t="shared" si="12"/>
        <v>169</v>
      </c>
      <c r="M173">
        <f t="shared" si="13"/>
        <v>97</v>
      </c>
      <c r="N173">
        <f t="shared" si="14"/>
        <v>1071</v>
      </c>
    </row>
    <row r="174" spans="1:14" x14ac:dyDescent="0.25">
      <c r="A174" s="1">
        <v>42099</v>
      </c>
      <c r="B174">
        <f t="shared" si="11"/>
        <v>169</v>
      </c>
      <c r="C174">
        <f t="shared" si="11"/>
        <v>97</v>
      </c>
      <c r="D174">
        <f t="shared" si="11"/>
        <v>1071</v>
      </c>
      <c r="E174">
        <v>75</v>
      </c>
      <c r="F174">
        <v>87</v>
      </c>
      <c r="G174">
        <v>47</v>
      </c>
      <c r="H174">
        <f t="shared" si="10"/>
        <v>244</v>
      </c>
      <c r="I174">
        <f t="shared" si="10"/>
        <v>184</v>
      </c>
      <c r="J174">
        <f t="shared" si="10"/>
        <v>1118</v>
      </c>
      <c r="K174" t="str" cm="1">
        <f t="array" ref="K174">_xlfn.IFS(H174&gt;=$U$1,"kostka",I174&gt;=$U$1*$R$3,"orzech",J174&gt;=$U$1*$R$4,"miał",1=1,"NIC")</f>
        <v>kostka</v>
      </c>
      <c r="L174">
        <f t="shared" si="12"/>
        <v>44</v>
      </c>
      <c r="M174">
        <f t="shared" si="13"/>
        <v>184</v>
      </c>
      <c r="N174">
        <f t="shared" si="14"/>
        <v>1118</v>
      </c>
    </row>
    <row r="175" spans="1:14" x14ac:dyDescent="0.25">
      <c r="A175" s="1">
        <v>42100</v>
      </c>
      <c r="B175">
        <f t="shared" si="11"/>
        <v>44</v>
      </c>
      <c r="C175">
        <f t="shared" si="11"/>
        <v>184</v>
      </c>
      <c r="D175">
        <f t="shared" si="11"/>
        <v>1118</v>
      </c>
      <c r="E175">
        <v>38</v>
      </c>
      <c r="F175">
        <v>100</v>
      </c>
      <c r="G175">
        <v>50</v>
      </c>
      <c r="H175">
        <f t="shared" si="10"/>
        <v>82</v>
      </c>
      <c r="I175">
        <f t="shared" si="10"/>
        <v>284</v>
      </c>
      <c r="J175">
        <f t="shared" si="10"/>
        <v>1168</v>
      </c>
      <c r="K175" t="str" cm="1">
        <f t="array" ref="K175">_xlfn.IFS(H175&gt;=$U$1,"kostka",I175&gt;=$U$1*$R$3,"orzech",J175&gt;=$U$1*$R$4,"miał",1=1,"NIC")</f>
        <v>orzech</v>
      </c>
      <c r="L175">
        <f t="shared" si="12"/>
        <v>82</v>
      </c>
      <c r="M175">
        <f t="shared" si="13"/>
        <v>24</v>
      </c>
      <c r="N175">
        <f t="shared" si="14"/>
        <v>1168</v>
      </c>
    </row>
    <row r="176" spans="1:14" x14ac:dyDescent="0.25">
      <c r="A176" s="1">
        <v>42101</v>
      </c>
      <c r="B176">
        <f t="shared" si="11"/>
        <v>82</v>
      </c>
      <c r="C176">
        <f t="shared" si="11"/>
        <v>24</v>
      </c>
      <c r="D176">
        <f t="shared" si="11"/>
        <v>1168</v>
      </c>
      <c r="E176">
        <v>80</v>
      </c>
      <c r="F176">
        <v>40</v>
      </c>
      <c r="G176">
        <v>30</v>
      </c>
      <c r="H176">
        <f t="shared" si="10"/>
        <v>162</v>
      </c>
      <c r="I176">
        <f t="shared" si="10"/>
        <v>64</v>
      </c>
      <c r="J176">
        <f t="shared" si="10"/>
        <v>1198</v>
      </c>
      <c r="K176" t="str" cm="1">
        <f t="array" ref="K176">_xlfn.IFS(H176&gt;=$U$1,"kostka",I176&gt;=$U$1*$R$3,"orzech",J176&gt;=$U$1*$R$4,"miał",1=1,"NIC")</f>
        <v>miał</v>
      </c>
      <c r="L176">
        <f t="shared" si="12"/>
        <v>162</v>
      </c>
      <c r="M176">
        <f t="shared" si="13"/>
        <v>64</v>
      </c>
      <c r="N176">
        <f t="shared" si="14"/>
        <v>878</v>
      </c>
    </row>
    <row r="177" spans="1:14" x14ac:dyDescent="0.25">
      <c r="A177" s="1">
        <v>42102</v>
      </c>
      <c r="B177">
        <f t="shared" si="11"/>
        <v>162</v>
      </c>
      <c r="C177">
        <f t="shared" si="11"/>
        <v>64</v>
      </c>
      <c r="D177">
        <f t="shared" si="11"/>
        <v>878</v>
      </c>
      <c r="E177">
        <v>55</v>
      </c>
      <c r="F177">
        <v>60</v>
      </c>
      <c r="G177">
        <v>50</v>
      </c>
      <c r="H177">
        <f t="shared" si="10"/>
        <v>217</v>
      </c>
      <c r="I177">
        <f t="shared" si="10"/>
        <v>124</v>
      </c>
      <c r="J177">
        <f t="shared" si="10"/>
        <v>928</v>
      </c>
      <c r="K177" t="str" cm="1">
        <f t="array" ref="K177">_xlfn.IFS(H177&gt;=$U$1,"kostka",I177&gt;=$U$1*$R$3,"orzech",J177&gt;=$U$1*$R$4,"miał",1=1,"NIC")</f>
        <v>kostka</v>
      </c>
      <c r="L177">
        <f t="shared" si="12"/>
        <v>17</v>
      </c>
      <c r="M177">
        <f t="shared" si="13"/>
        <v>124</v>
      </c>
      <c r="N177">
        <f t="shared" si="14"/>
        <v>928</v>
      </c>
    </row>
    <row r="178" spans="1:14" x14ac:dyDescent="0.25">
      <c r="A178" s="1">
        <v>42103</v>
      </c>
      <c r="B178">
        <f t="shared" si="11"/>
        <v>17</v>
      </c>
      <c r="C178">
        <f t="shared" si="11"/>
        <v>124</v>
      </c>
      <c r="D178">
        <f t="shared" si="11"/>
        <v>928</v>
      </c>
      <c r="E178">
        <v>10</v>
      </c>
      <c r="F178">
        <v>80</v>
      </c>
      <c r="G178">
        <v>48</v>
      </c>
      <c r="H178">
        <f t="shared" si="10"/>
        <v>27</v>
      </c>
      <c r="I178">
        <f t="shared" si="10"/>
        <v>204</v>
      </c>
      <c r="J178">
        <f t="shared" si="10"/>
        <v>976</v>
      </c>
      <c r="K178" t="str" cm="1">
        <f t="array" ref="K178">_xlfn.IFS(H178&gt;=$U$1,"kostka",I178&gt;=$U$1*$R$3,"orzech",J178&gt;=$U$1*$R$4,"miał",1=1,"NIC")</f>
        <v>miał</v>
      </c>
      <c r="L178">
        <f t="shared" si="12"/>
        <v>27</v>
      </c>
      <c r="M178">
        <f t="shared" si="13"/>
        <v>204</v>
      </c>
      <c r="N178">
        <f t="shared" si="14"/>
        <v>656</v>
      </c>
    </row>
    <row r="179" spans="1:14" x14ac:dyDescent="0.25">
      <c r="A179" s="1">
        <v>42104</v>
      </c>
      <c r="B179">
        <f t="shared" si="11"/>
        <v>27</v>
      </c>
      <c r="C179">
        <f t="shared" si="11"/>
        <v>204</v>
      </c>
      <c r="D179">
        <f t="shared" si="11"/>
        <v>656</v>
      </c>
      <c r="E179">
        <v>95</v>
      </c>
      <c r="F179">
        <v>60</v>
      </c>
      <c r="G179">
        <v>51</v>
      </c>
      <c r="H179">
        <f t="shared" si="10"/>
        <v>122</v>
      </c>
      <c r="I179">
        <f t="shared" si="10"/>
        <v>264</v>
      </c>
      <c r="J179">
        <f t="shared" si="10"/>
        <v>707</v>
      </c>
      <c r="K179" t="str" cm="1">
        <f t="array" ref="K179">_xlfn.IFS(H179&gt;=$U$1,"kostka",I179&gt;=$U$1*$R$3,"orzech",J179&gt;=$U$1*$R$4,"miał",1=1,"NIC")</f>
        <v>orzech</v>
      </c>
      <c r="L179">
        <f t="shared" si="12"/>
        <v>122</v>
      </c>
      <c r="M179">
        <f t="shared" si="13"/>
        <v>4</v>
      </c>
      <c r="N179">
        <f t="shared" si="14"/>
        <v>707</v>
      </c>
    </row>
    <row r="180" spans="1:14" x14ac:dyDescent="0.25">
      <c r="A180" s="1">
        <v>42105</v>
      </c>
      <c r="B180">
        <f t="shared" si="11"/>
        <v>122</v>
      </c>
      <c r="C180">
        <f t="shared" si="11"/>
        <v>4</v>
      </c>
      <c r="D180">
        <f t="shared" si="11"/>
        <v>707</v>
      </c>
      <c r="E180">
        <v>90</v>
      </c>
      <c r="F180">
        <v>100</v>
      </c>
      <c r="G180">
        <v>50</v>
      </c>
      <c r="H180">
        <f t="shared" si="10"/>
        <v>212</v>
      </c>
      <c r="I180">
        <f t="shared" si="10"/>
        <v>104</v>
      </c>
      <c r="J180">
        <f t="shared" si="10"/>
        <v>757</v>
      </c>
      <c r="K180" t="str" cm="1">
        <f t="array" ref="K180">_xlfn.IFS(H180&gt;=$U$1,"kostka",I180&gt;=$U$1*$R$3,"orzech",J180&gt;=$U$1*$R$4,"miał",1=1,"NIC")</f>
        <v>kostka</v>
      </c>
      <c r="L180">
        <f t="shared" si="12"/>
        <v>12</v>
      </c>
      <c r="M180">
        <f t="shared" si="13"/>
        <v>104</v>
      </c>
      <c r="N180">
        <f t="shared" si="14"/>
        <v>757</v>
      </c>
    </row>
    <row r="181" spans="1:14" x14ac:dyDescent="0.25">
      <c r="A181" s="1">
        <v>42106</v>
      </c>
      <c r="B181">
        <f t="shared" si="11"/>
        <v>12</v>
      </c>
      <c r="C181">
        <f t="shared" si="11"/>
        <v>104</v>
      </c>
      <c r="D181">
        <f t="shared" si="11"/>
        <v>757</v>
      </c>
      <c r="E181">
        <v>186</v>
      </c>
      <c r="F181">
        <v>60</v>
      </c>
      <c r="G181">
        <v>92</v>
      </c>
      <c r="H181">
        <f t="shared" si="10"/>
        <v>198</v>
      </c>
      <c r="I181">
        <f t="shared" si="10"/>
        <v>164</v>
      </c>
      <c r="J181">
        <f t="shared" si="10"/>
        <v>849</v>
      </c>
      <c r="K181" t="str" cm="1">
        <f t="array" ref="K181">_xlfn.IFS(H181&gt;=$U$1,"kostka",I181&gt;=$U$1*$R$3,"orzech",J181&gt;=$U$1*$R$4,"miał",1=1,"NIC")</f>
        <v>miał</v>
      </c>
      <c r="L181">
        <f t="shared" si="12"/>
        <v>198</v>
      </c>
      <c r="M181">
        <f t="shared" si="13"/>
        <v>164</v>
      </c>
      <c r="N181">
        <f t="shared" si="14"/>
        <v>529</v>
      </c>
    </row>
    <row r="182" spans="1:14" x14ac:dyDescent="0.25">
      <c r="A182" s="1">
        <v>42107</v>
      </c>
      <c r="B182">
        <f t="shared" si="11"/>
        <v>198</v>
      </c>
      <c r="C182">
        <f t="shared" si="11"/>
        <v>164</v>
      </c>
      <c r="D182">
        <f t="shared" si="11"/>
        <v>529</v>
      </c>
      <c r="E182">
        <v>2</v>
      </c>
      <c r="F182">
        <v>40</v>
      </c>
      <c r="G182">
        <v>50</v>
      </c>
      <c r="H182">
        <f t="shared" si="10"/>
        <v>200</v>
      </c>
      <c r="I182">
        <f t="shared" si="10"/>
        <v>204</v>
      </c>
      <c r="J182">
        <f t="shared" si="10"/>
        <v>579</v>
      </c>
      <c r="K182" t="str" cm="1">
        <f t="array" ref="K182">_xlfn.IFS(H182&gt;=$U$1,"kostka",I182&gt;=$U$1*$R$3,"orzech",J182&gt;=$U$1*$R$4,"miał",1=1,"NIC")</f>
        <v>kostka</v>
      </c>
      <c r="L182">
        <f t="shared" si="12"/>
        <v>0</v>
      </c>
      <c r="M182">
        <f t="shared" si="13"/>
        <v>204</v>
      </c>
      <c r="N182">
        <f t="shared" si="14"/>
        <v>579</v>
      </c>
    </row>
    <row r="183" spans="1:14" x14ac:dyDescent="0.25">
      <c r="A183" s="1">
        <v>42108</v>
      </c>
      <c r="B183">
        <f t="shared" si="11"/>
        <v>0</v>
      </c>
      <c r="C183">
        <f t="shared" si="11"/>
        <v>204</v>
      </c>
      <c r="D183">
        <f t="shared" si="11"/>
        <v>579</v>
      </c>
      <c r="E183">
        <v>136</v>
      </c>
      <c r="F183">
        <v>20</v>
      </c>
      <c r="G183">
        <v>66</v>
      </c>
      <c r="H183">
        <f t="shared" si="10"/>
        <v>136</v>
      </c>
      <c r="I183">
        <f t="shared" si="10"/>
        <v>224</v>
      </c>
      <c r="J183">
        <f t="shared" si="10"/>
        <v>645</v>
      </c>
      <c r="K183" t="str" cm="1">
        <f t="array" ref="K183">_xlfn.IFS(H183&gt;=$U$1,"kostka",I183&gt;=$U$1*$R$3,"orzech",J183&gt;=$U$1*$R$4,"miał",1=1,"NIC")</f>
        <v>miał</v>
      </c>
      <c r="L183">
        <f t="shared" si="12"/>
        <v>136</v>
      </c>
      <c r="M183">
        <f t="shared" si="13"/>
        <v>224</v>
      </c>
      <c r="N183">
        <f t="shared" si="14"/>
        <v>325</v>
      </c>
    </row>
    <row r="184" spans="1:14" x14ac:dyDescent="0.25">
      <c r="A184" s="1">
        <v>42109</v>
      </c>
      <c r="B184">
        <f t="shared" si="11"/>
        <v>136</v>
      </c>
      <c r="C184">
        <f t="shared" si="11"/>
        <v>224</v>
      </c>
      <c r="D184">
        <f t="shared" si="11"/>
        <v>325</v>
      </c>
      <c r="E184">
        <v>4</v>
      </c>
      <c r="F184">
        <v>20</v>
      </c>
      <c r="G184">
        <v>10</v>
      </c>
      <c r="H184">
        <f t="shared" si="10"/>
        <v>140</v>
      </c>
      <c r="I184">
        <f t="shared" si="10"/>
        <v>244</v>
      </c>
      <c r="J184">
        <f t="shared" si="10"/>
        <v>335</v>
      </c>
      <c r="K184" t="str" cm="1">
        <f t="array" ref="K184">_xlfn.IFS(H184&gt;=$U$1,"kostka",I184&gt;=$U$1*$R$3,"orzech",J184&gt;=$U$1*$R$4,"miał",1=1,"NIC")</f>
        <v>miał</v>
      </c>
      <c r="L184">
        <f t="shared" si="12"/>
        <v>140</v>
      </c>
      <c r="M184">
        <f t="shared" si="13"/>
        <v>244</v>
      </c>
      <c r="N184">
        <f t="shared" si="14"/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0213-6D3E-455D-AD1F-2FC8B3CD66A7}">
  <dimension ref="A1:U184"/>
  <sheetViews>
    <sheetView workbookViewId="0">
      <selection activeCell="E2" sqref="E2"/>
    </sheetView>
  </sheetViews>
  <sheetFormatPr defaultRowHeight="15" x14ac:dyDescent="0.25"/>
  <cols>
    <col min="1" max="1" width="10.140625" bestFit="1" customWidth="1"/>
    <col min="2" max="2" width="16.140625" bestFit="1" customWidth="1"/>
    <col min="3" max="3" width="18" bestFit="1" customWidth="1"/>
    <col min="4" max="4" width="15.85546875" bestFit="1" customWidth="1"/>
    <col min="5" max="5" width="17" bestFit="1" customWidth="1"/>
    <col min="6" max="6" width="18.85546875" bestFit="1" customWidth="1"/>
    <col min="7" max="7" width="16.7109375" bestFit="1" customWidth="1"/>
    <col min="8" max="8" width="23.85546875" bestFit="1" customWidth="1"/>
    <col min="9" max="9" width="25.7109375" bestFit="1" customWidth="1"/>
    <col min="10" max="10" width="23.5703125" bestFit="1" customWidth="1"/>
    <col min="11" max="11" width="12.42578125" bestFit="1" customWidth="1"/>
    <col min="12" max="12" width="22.42578125" bestFit="1" customWidth="1"/>
    <col min="13" max="13" width="24" bestFit="1" customWidth="1"/>
    <col min="14" max="14" width="22.140625" bestFit="1" customWidth="1"/>
    <col min="16" max="16" width="12.28515625" bestFit="1" customWidth="1"/>
    <col min="17" max="17" width="10" bestFit="1" customWidth="1"/>
    <col min="18" max="18" width="8.42578125" bestFit="1" customWidth="1"/>
    <col min="20" max="20" width="16.7109375" bestFit="1" customWidth="1"/>
    <col min="21" max="21" width="4" bestFit="1" customWidth="1"/>
  </cols>
  <sheetData>
    <row r="1" spans="1:21" x14ac:dyDescent="0.25">
      <c r="A1" t="s">
        <v>5</v>
      </c>
      <c r="B1" t="s">
        <v>8</v>
      </c>
      <c r="C1" t="s">
        <v>9</v>
      </c>
      <c r="D1" t="s">
        <v>10</v>
      </c>
      <c r="E1" t="s">
        <v>18</v>
      </c>
      <c r="F1" t="s">
        <v>19</v>
      </c>
      <c r="G1" t="s">
        <v>20</v>
      </c>
      <c r="H1" t="s">
        <v>12</v>
      </c>
      <c r="I1" t="s">
        <v>13</v>
      </c>
      <c r="J1" t="s">
        <v>14</v>
      </c>
      <c r="K1" t="s">
        <v>11</v>
      </c>
      <c r="L1" t="s">
        <v>15</v>
      </c>
      <c r="M1" t="s">
        <v>16</v>
      </c>
      <c r="N1" t="s">
        <v>17</v>
      </c>
      <c r="P1" t="s">
        <v>2</v>
      </c>
      <c r="Q1" t="s">
        <v>3</v>
      </c>
      <c r="R1" t="s">
        <v>7</v>
      </c>
      <c r="T1" t="s">
        <v>6</v>
      </c>
      <c r="U1">
        <v>200</v>
      </c>
    </row>
    <row r="2" spans="1:21" x14ac:dyDescent="0.25">
      <c r="A2" s="1">
        <v>41927</v>
      </c>
      <c r="B2">
        <v>80</v>
      </c>
      <c r="C2">
        <v>80</v>
      </c>
      <c r="D2">
        <v>80</v>
      </c>
      <c r="E2">
        <v>200</v>
      </c>
      <c r="F2">
        <v>120</v>
      </c>
      <c r="G2">
        <v>81</v>
      </c>
      <c r="H2">
        <f>B2+E2</f>
        <v>280</v>
      </c>
      <c r="I2">
        <f>C2+F2</f>
        <v>200</v>
      </c>
      <c r="J2">
        <f>D2+G2</f>
        <v>161</v>
      </c>
      <c r="K2" t="str" cm="1">
        <f t="array" ref="K2">_xlfn.IFS(H2&gt;=$U$1,"kostka",I2&gt;=$U$1*$R$3,"orzech",J2&gt;=$U$1*$R$4,"miał",1=1,"NIC")</f>
        <v>kostka</v>
      </c>
      <c r="L2">
        <f>IF($K2="kostka",H2-$U$1,H2)</f>
        <v>80</v>
      </c>
      <c r="M2">
        <f>IF($K2="orzech",I2-$U$1*$R$3,I2)</f>
        <v>200</v>
      </c>
      <c r="N2">
        <f>IF($K2="miał",J2-$U$1*$R$4,J2)</f>
        <v>161</v>
      </c>
      <c r="P2" t="s">
        <v>0</v>
      </c>
      <c r="Q2">
        <v>685</v>
      </c>
      <c r="R2">
        <v>1</v>
      </c>
    </row>
    <row r="3" spans="1:21" x14ac:dyDescent="0.25">
      <c r="A3" s="1">
        <v>41928</v>
      </c>
      <c r="B3">
        <f>L2</f>
        <v>80</v>
      </c>
      <c r="C3">
        <f>M2</f>
        <v>200</v>
      </c>
      <c r="D3">
        <f>N2</f>
        <v>161</v>
      </c>
      <c r="E3">
        <v>100</v>
      </c>
      <c r="F3">
        <v>135</v>
      </c>
      <c r="G3">
        <v>33</v>
      </c>
      <c r="H3">
        <f t="shared" ref="H3:H66" si="0">B3+E3</f>
        <v>180</v>
      </c>
      <c r="I3">
        <f t="shared" ref="I3:I66" si="1">C3+F3</f>
        <v>335</v>
      </c>
      <c r="J3">
        <f t="shared" ref="J3:J66" si="2">D3+G3</f>
        <v>194</v>
      </c>
      <c r="K3" t="str" cm="1">
        <f t="array" ref="K3">_xlfn.IFS(H3&gt;=$U$1,"kostka",I3&gt;=$U$1*$R$3,"orzech",J3&gt;=$U$1*$R$4,"miał",1=1,"NIC")</f>
        <v>orzech</v>
      </c>
      <c r="L3">
        <f>IF($K3="kostka",H3-$U$1,H3)</f>
        <v>180</v>
      </c>
      <c r="M3">
        <f>IF($K3="orzech",I3-$U$1*$R$3,I3)</f>
        <v>75</v>
      </c>
      <c r="N3">
        <f>IF($K3="miał",J3-$U$1*$R$4,J3)</f>
        <v>194</v>
      </c>
      <c r="P3" t="s">
        <v>1</v>
      </c>
      <c r="Q3">
        <v>620</v>
      </c>
      <c r="R3">
        <v>1.3</v>
      </c>
    </row>
    <row r="4" spans="1:21" x14ac:dyDescent="0.25">
      <c r="A4" s="1">
        <v>41929</v>
      </c>
      <c r="B4">
        <f t="shared" ref="B4:B67" si="3">L3</f>
        <v>180</v>
      </c>
      <c r="C4">
        <f t="shared" ref="C4:C67" si="4">M3</f>
        <v>75</v>
      </c>
      <c r="D4">
        <f t="shared" ref="D4:D67" si="5">N3</f>
        <v>194</v>
      </c>
      <c r="E4">
        <v>50</v>
      </c>
      <c r="F4">
        <v>29</v>
      </c>
      <c r="G4">
        <v>85</v>
      </c>
      <c r="H4">
        <f t="shared" si="0"/>
        <v>230</v>
      </c>
      <c r="I4">
        <f t="shared" si="1"/>
        <v>104</v>
      </c>
      <c r="J4">
        <f t="shared" si="2"/>
        <v>279</v>
      </c>
      <c r="K4" t="str" cm="1">
        <f t="array" ref="K4">_xlfn.IFS(H4&gt;=$U$1,"kostka",I4&gt;=$U$1*$R$3,"orzech",J4&gt;=$U$1*$R$4,"miał",1=1,"NIC")</f>
        <v>kostka</v>
      </c>
      <c r="L4">
        <f t="shared" ref="L4:L67" si="6">IF($K4="kostka",H4-$U$1,H4)</f>
        <v>30</v>
      </c>
      <c r="M4">
        <f t="shared" ref="M4:M67" si="7">IF($K4="orzech",I4-$U$1*$R$3,I4)</f>
        <v>104</v>
      </c>
      <c r="N4">
        <f t="shared" ref="N4:N67" si="8">IF($K4="miał",J4-$U$1*$R$4,J4)</f>
        <v>279</v>
      </c>
      <c r="P4" t="s">
        <v>4</v>
      </c>
      <c r="Q4">
        <v>380</v>
      </c>
      <c r="R4">
        <v>1.6</v>
      </c>
    </row>
    <row r="5" spans="1:21" x14ac:dyDescent="0.25">
      <c r="A5" s="1">
        <v>41930</v>
      </c>
      <c r="B5">
        <f t="shared" si="3"/>
        <v>30</v>
      </c>
      <c r="C5">
        <f t="shared" si="4"/>
        <v>104</v>
      </c>
      <c r="D5">
        <f t="shared" si="5"/>
        <v>279</v>
      </c>
      <c r="E5">
        <v>68</v>
      </c>
      <c r="F5">
        <v>107</v>
      </c>
      <c r="G5">
        <v>84</v>
      </c>
      <c r="H5">
        <f t="shared" si="0"/>
        <v>98</v>
      </c>
      <c r="I5">
        <f t="shared" si="1"/>
        <v>211</v>
      </c>
      <c r="J5">
        <f t="shared" si="2"/>
        <v>363</v>
      </c>
      <c r="K5" t="str" cm="1">
        <f t="array" ref="K5">_xlfn.IFS(H5&gt;=$U$1,"kostka",I5&gt;=$U$1*$R$3,"orzech",J5&gt;=$U$1*$R$4,"miał",1=1,"NIC")</f>
        <v>miał</v>
      </c>
      <c r="L5">
        <f t="shared" si="6"/>
        <v>98</v>
      </c>
      <c r="M5">
        <f t="shared" si="7"/>
        <v>211</v>
      </c>
      <c r="N5">
        <f t="shared" si="8"/>
        <v>43</v>
      </c>
    </row>
    <row r="6" spans="1:21" x14ac:dyDescent="0.25">
      <c r="A6" s="1">
        <v>41931</v>
      </c>
      <c r="B6">
        <f t="shared" si="3"/>
        <v>98</v>
      </c>
      <c r="C6">
        <f t="shared" si="4"/>
        <v>211</v>
      </c>
      <c r="D6">
        <f t="shared" si="5"/>
        <v>43</v>
      </c>
      <c r="E6">
        <v>75</v>
      </c>
      <c r="F6">
        <v>49</v>
      </c>
      <c r="G6">
        <v>23</v>
      </c>
      <c r="H6">
        <f t="shared" si="0"/>
        <v>173</v>
      </c>
      <c r="I6">
        <f t="shared" si="1"/>
        <v>260</v>
      </c>
      <c r="J6">
        <f t="shared" si="2"/>
        <v>66</v>
      </c>
      <c r="K6" t="str" cm="1">
        <f t="array" ref="K6">_xlfn.IFS(H6&gt;=$U$1,"kostka",I6&gt;=$U$1*$R$3,"orzech",J6&gt;=$U$1*$R$4,"miał",1=1,"NIC")</f>
        <v>orzech</v>
      </c>
      <c r="L6">
        <f t="shared" si="6"/>
        <v>173</v>
      </c>
      <c r="M6">
        <f t="shared" si="7"/>
        <v>0</v>
      </c>
      <c r="N6">
        <f t="shared" si="8"/>
        <v>66</v>
      </c>
    </row>
    <row r="7" spans="1:21" x14ac:dyDescent="0.25">
      <c r="A7" s="1">
        <v>41932</v>
      </c>
      <c r="B7">
        <f t="shared" si="3"/>
        <v>173</v>
      </c>
      <c r="C7">
        <f t="shared" si="4"/>
        <v>0</v>
      </c>
      <c r="D7">
        <f t="shared" si="5"/>
        <v>66</v>
      </c>
      <c r="E7">
        <v>109</v>
      </c>
      <c r="F7">
        <v>90</v>
      </c>
      <c r="G7">
        <v>48</v>
      </c>
      <c r="H7">
        <f t="shared" si="0"/>
        <v>282</v>
      </c>
      <c r="I7">
        <f t="shared" si="1"/>
        <v>90</v>
      </c>
      <c r="J7">
        <f t="shared" si="2"/>
        <v>114</v>
      </c>
      <c r="K7" t="str" cm="1">
        <f t="array" ref="K7">_xlfn.IFS(H7&gt;=$U$1,"kostka",I7&gt;=$U$1*$R$3,"orzech",J7&gt;=$U$1*$R$4,"miał",1=1,"NIC")</f>
        <v>kostka</v>
      </c>
      <c r="L7">
        <f t="shared" si="6"/>
        <v>82</v>
      </c>
      <c r="M7">
        <f t="shared" si="7"/>
        <v>90</v>
      </c>
      <c r="N7">
        <f t="shared" si="8"/>
        <v>114</v>
      </c>
    </row>
    <row r="8" spans="1:21" x14ac:dyDescent="0.25">
      <c r="A8" s="1">
        <v>41933</v>
      </c>
      <c r="B8">
        <f t="shared" si="3"/>
        <v>82</v>
      </c>
      <c r="C8">
        <f t="shared" si="4"/>
        <v>90</v>
      </c>
      <c r="D8">
        <f t="shared" si="5"/>
        <v>114</v>
      </c>
      <c r="E8">
        <v>161</v>
      </c>
      <c r="F8">
        <v>2</v>
      </c>
      <c r="G8">
        <v>16</v>
      </c>
      <c r="H8">
        <f t="shared" si="0"/>
        <v>243</v>
      </c>
      <c r="I8">
        <f t="shared" si="1"/>
        <v>92</v>
      </c>
      <c r="J8">
        <f t="shared" si="2"/>
        <v>130</v>
      </c>
      <c r="K8" t="str" cm="1">
        <f t="array" ref="K8">_xlfn.IFS(H8&gt;=$U$1,"kostka",I8&gt;=$U$1*$R$3,"orzech",J8&gt;=$U$1*$R$4,"miał",1=1,"NIC")</f>
        <v>kostka</v>
      </c>
      <c r="L8">
        <f t="shared" si="6"/>
        <v>43</v>
      </c>
      <c r="M8">
        <f t="shared" si="7"/>
        <v>92</v>
      </c>
      <c r="N8">
        <f t="shared" si="8"/>
        <v>130</v>
      </c>
    </row>
    <row r="9" spans="1:21" x14ac:dyDescent="0.25">
      <c r="A9" s="1">
        <v>41934</v>
      </c>
      <c r="B9">
        <f t="shared" si="3"/>
        <v>43</v>
      </c>
      <c r="C9">
        <f t="shared" si="4"/>
        <v>92</v>
      </c>
      <c r="D9">
        <f t="shared" si="5"/>
        <v>130</v>
      </c>
      <c r="E9">
        <v>97</v>
      </c>
      <c r="F9">
        <v>129</v>
      </c>
      <c r="G9">
        <v>43</v>
      </c>
      <c r="H9">
        <f t="shared" si="0"/>
        <v>140</v>
      </c>
      <c r="I9">
        <f t="shared" si="1"/>
        <v>221</v>
      </c>
      <c r="J9">
        <f t="shared" si="2"/>
        <v>173</v>
      </c>
      <c r="K9" t="str" cm="1">
        <f t="array" ref="K9">_xlfn.IFS(H9&gt;=$U$1,"kostka",I9&gt;=$U$1*$R$3,"orzech",J9&gt;=$U$1*$R$4,"miał",1=1,"NIC")</f>
        <v>NIC</v>
      </c>
      <c r="L9">
        <f t="shared" si="6"/>
        <v>140</v>
      </c>
      <c r="M9">
        <f t="shared" si="7"/>
        <v>221</v>
      </c>
      <c r="N9">
        <f t="shared" si="8"/>
        <v>173</v>
      </c>
    </row>
    <row r="10" spans="1:21" x14ac:dyDescent="0.25">
      <c r="A10" s="1">
        <v>41935</v>
      </c>
      <c r="B10">
        <f t="shared" si="3"/>
        <v>140</v>
      </c>
      <c r="C10">
        <f t="shared" si="4"/>
        <v>221</v>
      </c>
      <c r="D10">
        <f t="shared" si="5"/>
        <v>173</v>
      </c>
      <c r="E10">
        <v>25</v>
      </c>
      <c r="F10">
        <v>186</v>
      </c>
      <c r="G10">
        <v>4</v>
      </c>
      <c r="H10">
        <f t="shared" si="0"/>
        <v>165</v>
      </c>
      <c r="I10">
        <f t="shared" si="1"/>
        <v>407</v>
      </c>
      <c r="J10">
        <f t="shared" si="2"/>
        <v>177</v>
      </c>
      <c r="K10" t="str" cm="1">
        <f t="array" ref="K10">_xlfn.IFS(H10&gt;=$U$1,"kostka",I10&gt;=$U$1*$R$3,"orzech",J10&gt;=$U$1*$R$4,"miał",1=1,"NIC")</f>
        <v>orzech</v>
      </c>
      <c r="L10">
        <f t="shared" si="6"/>
        <v>165</v>
      </c>
      <c r="M10">
        <f t="shared" si="7"/>
        <v>147</v>
      </c>
      <c r="N10">
        <f t="shared" si="8"/>
        <v>177</v>
      </c>
    </row>
    <row r="11" spans="1:21" x14ac:dyDescent="0.25">
      <c r="A11" s="1">
        <v>41936</v>
      </c>
      <c r="B11">
        <f t="shared" si="3"/>
        <v>165</v>
      </c>
      <c r="C11">
        <f t="shared" si="4"/>
        <v>147</v>
      </c>
      <c r="D11">
        <f t="shared" si="5"/>
        <v>177</v>
      </c>
      <c r="E11">
        <v>113</v>
      </c>
      <c r="F11">
        <v>97</v>
      </c>
      <c r="G11">
        <v>97</v>
      </c>
      <c r="H11">
        <f t="shared" si="0"/>
        <v>278</v>
      </c>
      <c r="I11">
        <f t="shared" si="1"/>
        <v>244</v>
      </c>
      <c r="J11">
        <f t="shared" si="2"/>
        <v>274</v>
      </c>
      <c r="K11" t="str" cm="1">
        <f t="array" ref="K11">_xlfn.IFS(H11&gt;=$U$1,"kostka",I11&gt;=$U$1*$R$3,"orzech",J11&gt;=$U$1*$R$4,"miał",1=1,"NIC")</f>
        <v>kostka</v>
      </c>
      <c r="L11">
        <f t="shared" si="6"/>
        <v>78</v>
      </c>
      <c r="M11">
        <f t="shared" si="7"/>
        <v>244</v>
      </c>
      <c r="N11">
        <f t="shared" si="8"/>
        <v>274</v>
      </c>
    </row>
    <row r="12" spans="1:21" x14ac:dyDescent="0.25">
      <c r="A12" s="1">
        <v>41937</v>
      </c>
      <c r="B12">
        <f t="shared" si="3"/>
        <v>78</v>
      </c>
      <c r="C12">
        <f t="shared" si="4"/>
        <v>244</v>
      </c>
      <c r="D12">
        <f t="shared" si="5"/>
        <v>274</v>
      </c>
      <c r="E12">
        <v>70</v>
      </c>
      <c r="F12">
        <v>12</v>
      </c>
      <c r="G12">
        <v>53</v>
      </c>
      <c r="H12">
        <f t="shared" si="0"/>
        <v>148</v>
      </c>
      <c r="I12">
        <f t="shared" si="1"/>
        <v>256</v>
      </c>
      <c r="J12">
        <f t="shared" si="2"/>
        <v>327</v>
      </c>
      <c r="K12" t="str" cm="1">
        <f t="array" ref="K12">_xlfn.IFS(H12&gt;=$U$1,"kostka",I12&gt;=$U$1*$R$3,"orzech",J12&gt;=$U$1*$R$4,"miał",1=1,"NIC")</f>
        <v>miał</v>
      </c>
      <c r="L12">
        <f t="shared" si="6"/>
        <v>148</v>
      </c>
      <c r="M12">
        <f t="shared" si="7"/>
        <v>256</v>
      </c>
      <c r="N12">
        <f t="shared" si="8"/>
        <v>7</v>
      </c>
    </row>
    <row r="13" spans="1:21" x14ac:dyDescent="0.25">
      <c r="A13" s="1">
        <v>41938</v>
      </c>
      <c r="B13">
        <f t="shared" si="3"/>
        <v>148</v>
      </c>
      <c r="C13">
        <f t="shared" si="4"/>
        <v>256</v>
      </c>
      <c r="D13">
        <f t="shared" si="5"/>
        <v>7</v>
      </c>
      <c r="E13">
        <v>117</v>
      </c>
      <c r="F13">
        <v>142</v>
      </c>
      <c r="G13">
        <v>90</v>
      </c>
      <c r="H13">
        <f t="shared" si="0"/>
        <v>265</v>
      </c>
      <c r="I13">
        <f t="shared" si="1"/>
        <v>398</v>
      </c>
      <c r="J13">
        <f t="shared" si="2"/>
        <v>97</v>
      </c>
      <c r="K13" t="str" cm="1">
        <f t="array" ref="K13">_xlfn.IFS(H13&gt;=$U$1,"kostka",I13&gt;=$U$1*$R$3,"orzech",J13&gt;=$U$1*$R$4,"miał",1=1,"NIC")</f>
        <v>kostka</v>
      </c>
      <c r="L13">
        <f t="shared" si="6"/>
        <v>65</v>
      </c>
      <c r="M13">
        <f t="shared" si="7"/>
        <v>398</v>
      </c>
      <c r="N13">
        <f t="shared" si="8"/>
        <v>97</v>
      </c>
    </row>
    <row r="14" spans="1:21" x14ac:dyDescent="0.25">
      <c r="A14" s="1">
        <v>41939</v>
      </c>
      <c r="B14">
        <f t="shared" si="3"/>
        <v>65</v>
      </c>
      <c r="C14">
        <f t="shared" si="4"/>
        <v>398</v>
      </c>
      <c r="D14">
        <f t="shared" si="5"/>
        <v>97</v>
      </c>
      <c r="E14">
        <v>189</v>
      </c>
      <c r="F14">
        <v>28</v>
      </c>
      <c r="G14">
        <v>43</v>
      </c>
      <c r="H14">
        <f t="shared" si="0"/>
        <v>254</v>
      </c>
      <c r="I14">
        <f t="shared" si="1"/>
        <v>426</v>
      </c>
      <c r="J14">
        <f t="shared" si="2"/>
        <v>140</v>
      </c>
      <c r="K14" t="str" cm="1">
        <f t="array" ref="K14">_xlfn.IFS(H14&gt;=$U$1,"kostka",I14&gt;=$U$1*$R$3,"orzech",J14&gt;=$U$1*$R$4,"miał",1=1,"NIC")</f>
        <v>kostka</v>
      </c>
      <c r="L14">
        <f t="shared" si="6"/>
        <v>54</v>
      </c>
      <c r="M14">
        <f t="shared" si="7"/>
        <v>426</v>
      </c>
      <c r="N14">
        <f t="shared" si="8"/>
        <v>140</v>
      </c>
    </row>
    <row r="15" spans="1:21" x14ac:dyDescent="0.25">
      <c r="A15" s="1">
        <v>41940</v>
      </c>
      <c r="B15">
        <f t="shared" si="3"/>
        <v>54</v>
      </c>
      <c r="C15">
        <f t="shared" si="4"/>
        <v>426</v>
      </c>
      <c r="D15">
        <f t="shared" si="5"/>
        <v>140</v>
      </c>
      <c r="E15">
        <v>140</v>
      </c>
      <c r="F15">
        <v>191</v>
      </c>
      <c r="G15">
        <v>40</v>
      </c>
      <c r="H15">
        <f t="shared" si="0"/>
        <v>194</v>
      </c>
      <c r="I15">
        <f t="shared" si="1"/>
        <v>617</v>
      </c>
      <c r="J15">
        <f t="shared" si="2"/>
        <v>180</v>
      </c>
      <c r="K15" t="str" cm="1">
        <f t="array" ref="K15">_xlfn.IFS(H15&gt;=$U$1,"kostka",I15&gt;=$U$1*$R$3,"orzech",J15&gt;=$U$1*$R$4,"miał",1=1,"NIC")</f>
        <v>orzech</v>
      </c>
      <c r="L15">
        <f t="shared" si="6"/>
        <v>194</v>
      </c>
      <c r="M15">
        <f t="shared" si="7"/>
        <v>357</v>
      </c>
      <c r="N15">
        <f t="shared" si="8"/>
        <v>180</v>
      </c>
    </row>
    <row r="16" spans="1:21" x14ac:dyDescent="0.25">
      <c r="A16" s="1">
        <v>41941</v>
      </c>
      <c r="B16">
        <f t="shared" si="3"/>
        <v>194</v>
      </c>
      <c r="C16">
        <f t="shared" si="4"/>
        <v>357</v>
      </c>
      <c r="D16">
        <f t="shared" si="5"/>
        <v>180</v>
      </c>
      <c r="E16">
        <v>167</v>
      </c>
      <c r="F16">
        <v>48</v>
      </c>
      <c r="G16">
        <v>30</v>
      </c>
      <c r="H16">
        <f t="shared" si="0"/>
        <v>361</v>
      </c>
      <c r="I16">
        <f t="shared" si="1"/>
        <v>405</v>
      </c>
      <c r="J16">
        <f t="shared" si="2"/>
        <v>210</v>
      </c>
      <c r="K16" t="str" cm="1">
        <f t="array" ref="K16">_xlfn.IFS(H16&gt;=$U$1,"kostka",I16&gt;=$U$1*$R$3,"orzech",J16&gt;=$U$1*$R$4,"miał",1=1,"NIC")</f>
        <v>kostka</v>
      </c>
      <c r="L16">
        <f t="shared" si="6"/>
        <v>161</v>
      </c>
      <c r="M16">
        <f t="shared" si="7"/>
        <v>405</v>
      </c>
      <c r="N16">
        <f t="shared" si="8"/>
        <v>210</v>
      </c>
    </row>
    <row r="17" spans="1:14" x14ac:dyDescent="0.25">
      <c r="A17" s="1">
        <v>41942</v>
      </c>
      <c r="B17">
        <f t="shared" si="3"/>
        <v>161</v>
      </c>
      <c r="C17">
        <f t="shared" si="4"/>
        <v>405</v>
      </c>
      <c r="D17">
        <f t="shared" si="5"/>
        <v>210</v>
      </c>
      <c r="E17">
        <v>0</v>
      </c>
      <c r="F17">
        <v>154</v>
      </c>
      <c r="G17">
        <v>68</v>
      </c>
      <c r="H17">
        <f t="shared" si="0"/>
        <v>161</v>
      </c>
      <c r="I17">
        <f t="shared" si="1"/>
        <v>559</v>
      </c>
      <c r="J17">
        <f t="shared" si="2"/>
        <v>278</v>
      </c>
      <c r="K17" t="str" cm="1">
        <f t="array" ref="K17">_xlfn.IFS(H17&gt;=$U$1,"kostka",I17&gt;=$U$1*$R$3,"orzech",J17&gt;=$U$1*$R$4,"miał",1=1,"NIC")</f>
        <v>orzech</v>
      </c>
      <c r="L17">
        <f t="shared" si="6"/>
        <v>161</v>
      </c>
      <c r="M17">
        <f t="shared" si="7"/>
        <v>299</v>
      </c>
      <c r="N17">
        <f t="shared" si="8"/>
        <v>278</v>
      </c>
    </row>
    <row r="18" spans="1:14" x14ac:dyDescent="0.25">
      <c r="A18" s="1">
        <v>41943</v>
      </c>
      <c r="B18">
        <f t="shared" si="3"/>
        <v>161</v>
      </c>
      <c r="C18">
        <f t="shared" si="4"/>
        <v>299</v>
      </c>
      <c r="D18">
        <f t="shared" si="5"/>
        <v>278</v>
      </c>
      <c r="E18">
        <v>61</v>
      </c>
      <c r="F18">
        <v>139</v>
      </c>
      <c r="G18">
        <v>77</v>
      </c>
      <c r="H18">
        <f t="shared" si="0"/>
        <v>222</v>
      </c>
      <c r="I18">
        <f t="shared" si="1"/>
        <v>438</v>
      </c>
      <c r="J18">
        <f t="shared" si="2"/>
        <v>355</v>
      </c>
      <c r="K18" t="str" cm="1">
        <f t="array" ref="K18">_xlfn.IFS(H18&gt;=$U$1,"kostka",I18&gt;=$U$1*$R$3,"orzech",J18&gt;=$U$1*$R$4,"miał",1=1,"NIC")</f>
        <v>kostka</v>
      </c>
      <c r="L18">
        <f t="shared" si="6"/>
        <v>22</v>
      </c>
      <c r="M18">
        <f t="shared" si="7"/>
        <v>438</v>
      </c>
      <c r="N18">
        <f t="shared" si="8"/>
        <v>355</v>
      </c>
    </row>
    <row r="19" spans="1:14" x14ac:dyDescent="0.25">
      <c r="A19" s="1">
        <v>41944</v>
      </c>
      <c r="B19">
        <f t="shared" si="3"/>
        <v>22</v>
      </c>
      <c r="C19">
        <f t="shared" si="4"/>
        <v>438</v>
      </c>
      <c r="D19">
        <f t="shared" si="5"/>
        <v>355</v>
      </c>
      <c r="E19">
        <v>18</v>
      </c>
      <c r="F19">
        <v>163</v>
      </c>
      <c r="G19">
        <v>75</v>
      </c>
      <c r="H19">
        <f t="shared" si="0"/>
        <v>40</v>
      </c>
      <c r="I19">
        <f t="shared" si="1"/>
        <v>601</v>
      </c>
      <c r="J19">
        <f t="shared" si="2"/>
        <v>430</v>
      </c>
      <c r="K19" t="str" cm="1">
        <f t="array" ref="K19">_xlfn.IFS(H19&gt;=$U$1,"kostka",I19&gt;=$U$1*$R$3,"orzech",J19&gt;=$U$1*$R$4,"miał",1=1,"NIC")</f>
        <v>orzech</v>
      </c>
      <c r="L19">
        <f t="shared" si="6"/>
        <v>40</v>
      </c>
      <c r="M19">
        <f t="shared" si="7"/>
        <v>341</v>
      </c>
      <c r="N19">
        <f t="shared" si="8"/>
        <v>430</v>
      </c>
    </row>
    <row r="20" spans="1:14" x14ac:dyDescent="0.25">
      <c r="A20" s="1">
        <v>41945</v>
      </c>
      <c r="B20">
        <f t="shared" si="3"/>
        <v>40</v>
      </c>
      <c r="C20">
        <f t="shared" si="4"/>
        <v>341</v>
      </c>
      <c r="D20">
        <f t="shared" si="5"/>
        <v>430</v>
      </c>
      <c r="E20">
        <v>43</v>
      </c>
      <c r="F20">
        <v>169</v>
      </c>
      <c r="G20">
        <v>0</v>
      </c>
      <c r="H20">
        <f t="shared" si="0"/>
        <v>83</v>
      </c>
      <c r="I20">
        <f t="shared" si="1"/>
        <v>510</v>
      </c>
      <c r="J20">
        <f t="shared" si="2"/>
        <v>430</v>
      </c>
      <c r="K20" t="str" cm="1">
        <f t="array" ref="K20">_xlfn.IFS(H20&gt;=$U$1,"kostka",I20&gt;=$U$1*$R$3,"orzech",J20&gt;=$U$1*$R$4,"miał",1=1,"NIC")</f>
        <v>orzech</v>
      </c>
      <c r="L20">
        <f t="shared" si="6"/>
        <v>83</v>
      </c>
      <c r="M20">
        <f t="shared" si="7"/>
        <v>250</v>
      </c>
      <c r="N20">
        <f t="shared" si="8"/>
        <v>430</v>
      </c>
    </row>
    <row r="21" spans="1:14" x14ac:dyDescent="0.25">
      <c r="A21" s="1">
        <v>41946</v>
      </c>
      <c r="B21">
        <f t="shared" si="3"/>
        <v>83</v>
      </c>
      <c r="C21">
        <f t="shared" si="4"/>
        <v>250</v>
      </c>
      <c r="D21">
        <f t="shared" si="5"/>
        <v>430</v>
      </c>
      <c r="E21">
        <v>160</v>
      </c>
      <c r="F21">
        <v>135</v>
      </c>
      <c r="G21">
        <v>34</v>
      </c>
      <c r="H21">
        <f t="shared" si="0"/>
        <v>243</v>
      </c>
      <c r="I21">
        <f t="shared" si="1"/>
        <v>385</v>
      </c>
      <c r="J21">
        <f t="shared" si="2"/>
        <v>464</v>
      </c>
      <c r="K21" t="str" cm="1">
        <f t="array" ref="K21">_xlfn.IFS(H21&gt;=$U$1,"kostka",I21&gt;=$U$1*$R$3,"orzech",J21&gt;=$U$1*$R$4,"miał",1=1,"NIC")</f>
        <v>kostka</v>
      </c>
      <c r="L21">
        <f t="shared" si="6"/>
        <v>43</v>
      </c>
      <c r="M21">
        <f t="shared" si="7"/>
        <v>385</v>
      </c>
      <c r="N21">
        <f t="shared" si="8"/>
        <v>464</v>
      </c>
    </row>
    <row r="22" spans="1:14" x14ac:dyDescent="0.25">
      <c r="A22" s="1">
        <v>41947</v>
      </c>
      <c r="B22">
        <f t="shared" si="3"/>
        <v>43</v>
      </c>
      <c r="C22">
        <f t="shared" si="4"/>
        <v>385</v>
      </c>
      <c r="D22">
        <f t="shared" si="5"/>
        <v>464</v>
      </c>
      <c r="E22">
        <v>150</v>
      </c>
      <c r="F22">
        <v>89</v>
      </c>
      <c r="G22">
        <v>17</v>
      </c>
      <c r="H22">
        <f t="shared" si="0"/>
        <v>193</v>
      </c>
      <c r="I22">
        <f t="shared" si="1"/>
        <v>474</v>
      </c>
      <c r="J22">
        <f t="shared" si="2"/>
        <v>481</v>
      </c>
      <c r="K22" t="str" cm="1">
        <f t="array" ref="K22">_xlfn.IFS(H22&gt;=$U$1,"kostka",I22&gt;=$U$1*$R$3,"orzech",J22&gt;=$U$1*$R$4,"miał",1=1,"NIC")</f>
        <v>orzech</v>
      </c>
      <c r="L22">
        <f t="shared" si="6"/>
        <v>193</v>
      </c>
      <c r="M22">
        <f t="shared" si="7"/>
        <v>214</v>
      </c>
      <c r="N22">
        <f t="shared" si="8"/>
        <v>481</v>
      </c>
    </row>
    <row r="23" spans="1:14" x14ac:dyDescent="0.25">
      <c r="A23" s="1">
        <v>41948</v>
      </c>
      <c r="B23">
        <f t="shared" si="3"/>
        <v>193</v>
      </c>
      <c r="C23">
        <f t="shared" si="4"/>
        <v>214</v>
      </c>
      <c r="D23">
        <f t="shared" si="5"/>
        <v>481</v>
      </c>
      <c r="E23">
        <v>57</v>
      </c>
      <c r="F23">
        <v>109</v>
      </c>
      <c r="G23">
        <v>93</v>
      </c>
      <c r="H23">
        <f t="shared" si="0"/>
        <v>250</v>
      </c>
      <c r="I23">
        <f t="shared" si="1"/>
        <v>323</v>
      </c>
      <c r="J23">
        <f t="shared" si="2"/>
        <v>574</v>
      </c>
      <c r="K23" t="str" cm="1">
        <f t="array" ref="K23">_xlfn.IFS(H23&gt;=$U$1,"kostka",I23&gt;=$U$1*$R$3,"orzech",J23&gt;=$U$1*$R$4,"miał",1=1,"NIC")</f>
        <v>kostka</v>
      </c>
      <c r="L23">
        <f t="shared" si="6"/>
        <v>50</v>
      </c>
      <c r="M23">
        <f t="shared" si="7"/>
        <v>323</v>
      </c>
      <c r="N23">
        <f t="shared" si="8"/>
        <v>574</v>
      </c>
    </row>
    <row r="24" spans="1:14" x14ac:dyDescent="0.25">
      <c r="A24" s="1">
        <v>41949</v>
      </c>
      <c r="B24">
        <f t="shared" si="3"/>
        <v>50</v>
      </c>
      <c r="C24">
        <f t="shared" si="4"/>
        <v>323</v>
      </c>
      <c r="D24">
        <f t="shared" si="5"/>
        <v>574</v>
      </c>
      <c r="E24">
        <v>62</v>
      </c>
      <c r="F24">
        <v>80</v>
      </c>
      <c r="G24">
        <v>62</v>
      </c>
      <c r="H24">
        <f t="shared" si="0"/>
        <v>112</v>
      </c>
      <c r="I24">
        <f t="shared" si="1"/>
        <v>403</v>
      </c>
      <c r="J24">
        <f t="shared" si="2"/>
        <v>636</v>
      </c>
      <c r="K24" t="str" cm="1">
        <f t="array" ref="K24">_xlfn.IFS(H24&gt;=$U$1,"kostka",I24&gt;=$U$1*$R$3,"orzech",J24&gt;=$U$1*$R$4,"miał",1=1,"NIC")</f>
        <v>orzech</v>
      </c>
      <c r="L24">
        <f t="shared" si="6"/>
        <v>112</v>
      </c>
      <c r="M24">
        <f t="shared" si="7"/>
        <v>143</v>
      </c>
      <c r="N24">
        <f t="shared" si="8"/>
        <v>636</v>
      </c>
    </row>
    <row r="25" spans="1:14" x14ac:dyDescent="0.25">
      <c r="A25" s="1">
        <v>41950</v>
      </c>
      <c r="B25">
        <f t="shared" si="3"/>
        <v>112</v>
      </c>
      <c r="C25">
        <f t="shared" si="4"/>
        <v>143</v>
      </c>
      <c r="D25">
        <f t="shared" si="5"/>
        <v>636</v>
      </c>
      <c r="E25">
        <v>162</v>
      </c>
      <c r="F25">
        <v>62</v>
      </c>
      <c r="G25">
        <v>88</v>
      </c>
      <c r="H25">
        <f t="shared" si="0"/>
        <v>274</v>
      </c>
      <c r="I25">
        <f t="shared" si="1"/>
        <v>205</v>
      </c>
      <c r="J25">
        <f t="shared" si="2"/>
        <v>724</v>
      </c>
      <c r="K25" t="str" cm="1">
        <f t="array" ref="K25">_xlfn.IFS(H25&gt;=$U$1,"kostka",I25&gt;=$U$1*$R$3,"orzech",J25&gt;=$U$1*$R$4,"miał",1=1,"NIC")</f>
        <v>kostka</v>
      </c>
      <c r="L25">
        <f t="shared" si="6"/>
        <v>74</v>
      </c>
      <c r="M25">
        <f t="shared" si="7"/>
        <v>205</v>
      </c>
      <c r="N25">
        <f t="shared" si="8"/>
        <v>724</v>
      </c>
    </row>
    <row r="26" spans="1:14" x14ac:dyDescent="0.25">
      <c r="A26" s="1">
        <v>41951</v>
      </c>
      <c r="B26">
        <f t="shared" si="3"/>
        <v>74</v>
      </c>
      <c r="C26">
        <f t="shared" si="4"/>
        <v>205</v>
      </c>
      <c r="D26">
        <f t="shared" si="5"/>
        <v>724</v>
      </c>
      <c r="E26">
        <v>142</v>
      </c>
      <c r="F26">
        <v>79</v>
      </c>
      <c r="G26">
        <v>76</v>
      </c>
      <c r="H26">
        <f t="shared" si="0"/>
        <v>216</v>
      </c>
      <c r="I26">
        <f t="shared" si="1"/>
        <v>284</v>
      </c>
      <c r="J26">
        <f t="shared" si="2"/>
        <v>800</v>
      </c>
      <c r="K26" t="str" cm="1">
        <f t="array" ref="K26">_xlfn.IFS(H26&gt;=$U$1,"kostka",I26&gt;=$U$1*$R$3,"orzech",J26&gt;=$U$1*$R$4,"miał",1=1,"NIC")</f>
        <v>kostka</v>
      </c>
      <c r="L26">
        <f t="shared" si="6"/>
        <v>16</v>
      </c>
      <c r="M26">
        <f t="shared" si="7"/>
        <v>284</v>
      </c>
      <c r="N26">
        <f t="shared" si="8"/>
        <v>800</v>
      </c>
    </row>
    <row r="27" spans="1:14" x14ac:dyDescent="0.25">
      <c r="A27" s="1">
        <v>41952</v>
      </c>
      <c r="B27">
        <f t="shared" si="3"/>
        <v>16</v>
      </c>
      <c r="C27">
        <f t="shared" si="4"/>
        <v>284</v>
      </c>
      <c r="D27">
        <f t="shared" si="5"/>
        <v>800</v>
      </c>
      <c r="E27">
        <v>7</v>
      </c>
      <c r="F27">
        <v>30</v>
      </c>
      <c r="G27">
        <v>68</v>
      </c>
      <c r="H27">
        <f t="shared" si="0"/>
        <v>23</v>
      </c>
      <c r="I27">
        <f t="shared" si="1"/>
        <v>314</v>
      </c>
      <c r="J27">
        <f t="shared" si="2"/>
        <v>868</v>
      </c>
      <c r="K27" t="str" cm="1">
        <f t="array" ref="K27">_xlfn.IFS(H27&gt;=$U$1,"kostka",I27&gt;=$U$1*$R$3,"orzech",J27&gt;=$U$1*$R$4,"miał",1=1,"NIC")</f>
        <v>orzech</v>
      </c>
      <c r="L27">
        <f t="shared" si="6"/>
        <v>23</v>
      </c>
      <c r="M27">
        <f t="shared" si="7"/>
        <v>54</v>
      </c>
      <c r="N27">
        <f t="shared" si="8"/>
        <v>868</v>
      </c>
    </row>
    <row r="28" spans="1:14" x14ac:dyDescent="0.25">
      <c r="A28" s="1">
        <v>41953</v>
      </c>
      <c r="B28">
        <f t="shared" si="3"/>
        <v>23</v>
      </c>
      <c r="C28">
        <f t="shared" si="4"/>
        <v>54</v>
      </c>
      <c r="D28">
        <f t="shared" si="5"/>
        <v>868</v>
      </c>
      <c r="E28">
        <v>116</v>
      </c>
      <c r="F28">
        <v>6</v>
      </c>
      <c r="G28">
        <v>88</v>
      </c>
      <c r="H28">
        <f t="shared" si="0"/>
        <v>139</v>
      </c>
      <c r="I28">
        <f t="shared" si="1"/>
        <v>60</v>
      </c>
      <c r="J28">
        <f t="shared" si="2"/>
        <v>956</v>
      </c>
      <c r="K28" t="str" cm="1">
        <f t="array" ref="K28">_xlfn.IFS(H28&gt;=$U$1,"kostka",I28&gt;=$U$1*$R$3,"orzech",J28&gt;=$U$1*$R$4,"miał",1=1,"NIC")</f>
        <v>miał</v>
      </c>
      <c r="L28">
        <f t="shared" si="6"/>
        <v>139</v>
      </c>
      <c r="M28">
        <f t="shared" si="7"/>
        <v>60</v>
      </c>
      <c r="N28">
        <f t="shared" si="8"/>
        <v>636</v>
      </c>
    </row>
    <row r="29" spans="1:14" x14ac:dyDescent="0.25">
      <c r="A29" s="1">
        <v>41954</v>
      </c>
      <c r="B29">
        <f t="shared" si="3"/>
        <v>139</v>
      </c>
      <c r="C29">
        <f t="shared" si="4"/>
        <v>60</v>
      </c>
      <c r="D29">
        <f t="shared" si="5"/>
        <v>636</v>
      </c>
      <c r="E29">
        <v>0</v>
      </c>
      <c r="F29">
        <v>1</v>
      </c>
      <c r="G29">
        <v>47</v>
      </c>
      <c r="H29">
        <f t="shared" si="0"/>
        <v>139</v>
      </c>
      <c r="I29">
        <f t="shared" si="1"/>
        <v>61</v>
      </c>
      <c r="J29">
        <f t="shared" si="2"/>
        <v>683</v>
      </c>
      <c r="K29" t="str" cm="1">
        <f t="array" ref="K29">_xlfn.IFS(H29&gt;=$U$1,"kostka",I29&gt;=$U$1*$R$3,"orzech",J29&gt;=$U$1*$R$4,"miał",1=1,"NIC")</f>
        <v>miał</v>
      </c>
      <c r="L29">
        <f t="shared" si="6"/>
        <v>139</v>
      </c>
      <c r="M29">
        <f t="shared" si="7"/>
        <v>61</v>
      </c>
      <c r="N29">
        <f t="shared" si="8"/>
        <v>363</v>
      </c>
    </row>
    <row r="30" spans="1:14" x14ac:dyDescent="0.25">
      <c r="A30" s="1">
        <v>41955</v>
      </c>
      <c r="B30">
        <f t="shared" si="3"/>
        <v>139</v>
      </c>
      <c r="C30">
        <f t="shared" si="4"/>
        <v>61</v>
      </c>
      <c r="D30">
        <f t="shared" si="5"/>
        <v>363</v>
      </c>
      <c r="E30">
        <v>78</v>
      </c>
      <c r="F30">
        <v>84</v>
      </c>
      <c r="G30">
        <v>16</v>
      </c>
      <c r="H30">
        <f t="shared" si="0"/>
        <v>217</v>
      </c>
      <c r="I30">
        <f t="shared" si="1"/>
        <v>145</v>
      </c>
      <c r="J30">
        <f t="shared" si="2"/>
        <v>379</v>
      </c>
      <c r="K30" t="str" cm="1">
        <f t="array" ref="K30">_xlfn.IFS(H30&gt;=$U$1,"kostka",I30&gt;=$U$1*$R$3,"orzech",J30&gt;=$U$1*$R$4,"miał",1=1,"NIC")</f>
        <v>kostka</v>
      </c>
      <c r="L30">
        <f t="shared" si="6"/>
        <v>17</v>
      </c>
      <c r="M30">
        <f t="shared" si="7"/>
        <v>145</v>
      </c>
      <c r="N30">
        <f t="shared" si="8"/>
        <v>379</v>
      </c>
    </row>
    <row r="31" spans="1:14" x14ac:dyDescent="0.25">
      <c r="A31" s="1">
        <v>41956</v>
      </c>
      <c r="B31">
        <f t="shared" si="3"/>
        <v>17</v>
      </c>
      <c r="C31">
        <f t="shared" si="4"/>
        <v>145</v>
      </c>
      <c r="D31">
        <f t="shared" si="5"/>
        <v>379</v>
      </c>
      <c r="E31">
        <v>112</v>
      </c>
      <c r="F31">
        <v>140</v>
      </c>
      <c r="G31">
        <v>97</v>
      </c>
      <c r="H31">
        <f t="shared" si="0"/>
        <v>129</v>
      </c>
      <c r="I31">
        <f t="shared" si="1"/>
        <v>285</v>
      </c>
      <c r="J31">
        <f t="shared" si="2"/>
        <v>476</v>
      </c>
      <c r="K31" t="str" cm="1">
        <f t="array" ref="K31">_xlfn.IFS(H31&gt;=$U$1,"kostka",I31&gt;=$U$1*$R$3,"orzech",J31&gt;=$U$1*$R$4,"miał",1=1,"NIC")</f>
        <v>orzech</v>
      </c>
      <c r="L31">
        <f t="shared" si="6"/>
        <v>129</v>
      </c>
      <c r="M31">
        <f t="shared" si="7"/>
        <v>25</v>
      </c>
      <c r="N31">
        <f t="shared" si="8"/>
        <v>476</v>
      </c>
    </row>
    <row r="32" spans="1:14" x14ac:dyDescent="0.25">
      <c r="A32" s="1">
        <v>41957</v>
      </c>
      <c r="B32">
        <f t="shared" si="3"/>
        <v>129</v>
      </c>
      <c r="C32">
        <f t="shared" si="4"/>
        <v>25</v>
      </c>
      <c r="D32">
        <f t="shared" si="5"/>
        <v>476</v>
      </c>
      <c r="E32">
        <v>109</v>
      </c>
      <c r="F32">
        <v>74</v>
      </c>
      <c r="G32">
        <v>53</v>
      </c>
      <c r="H32">
        <f t="shared" si="0"/>
        <v>238</v>
      </c>
      <c r="I32">
        <f t="shared" si="1"/>
        <v>99</v>
      </c>
      <c r="J32">
        <f t="shared" si="2"/>
        <v>529</v>
      </c>
      <c r="K32" t="str" cm="1">
        <f t="array" ref="K32">_xlfn.IFS(H32&gt;=$U$1,"kostka",I32&gt;=$U$1*$R$3,"orzech",J32&gt;=$U$1*$R$4,"miał",1=1,"NIC")</f>
        <v>kostka</v>
      </c>
      <c r="L32">
        <f t="shared" si="6"/>
        <v>38</v>
      </c>
      <c r="M32">
        <f t="shared" si="7"/>
        <v>99</v>
      </c>
      <c r="N32">
        <f t="shared" si="8"/>
        <v>529</v>
      </c>
    </row>
    <row r="33" spans="1:14" x14ac:dyDescent="0.25">
      <c r="A33" s="1">
        <v>41958</v>
      </c>
      <c r="B33">
        <f t="shared" si="3"/>
        <v>38</v>
      </c>
      <c r="C33">
        <f t="shared" si="4"/>
        <v>99</v>
      </c>
      <c r="D33">
        <f t="shared" si="5"/>
        <v>529</v>
      </c>
      <c r="E33">
        <v>121</v>
      </c>
      <c r="F33">
        <v>77</v>
      </c>
      <c r="G33">
        <v>70</v>
      </c>
      <c r="H33">
        <f t="shared" si="0"/>
        <v>159</v>
      </c>
      <c r="I33">
        <f t="shared" si="1"/>
        <v>176</v>
      </c>
      <c r="J33">
        <f t="shared" si="2"/>
        <v>599</v>
      </c>
      <c r="K33" t="str" cm="1">
        <f t="array" ref="K33">_xlfn.IFS(H33&gt;=$U$1,"kostka",I33&gt;=$U$1*$R$3,"orzech",J33&gt;=$U$1*$R$4,"miał",1=1,"NIC")</f>
        <v>miał</v>
      </c>
      <c r="L33">
        <f t="shared" si="6"/>
        <v>159</v>
      </c>
      <c r="M33">
        <f t="shared" si="7"/>
        <v>176</v>
      </c>
      <c r="N33">
        <f t="shared" si="8"/>
        <v>279</v>
      </c>
    </row>
    <row r="34" spans="1:14" x14ac:dyDescent="0.25">
      <c r="A34" s="1">
        <v>41959</v>
      </c>
      <c r="B34">
        <f t="shared" si="3"/>
        <v>159</v>
      </c>
      <c r="C34">
        <f t="shared" si="4"/>
        <v>176</v>
      </c>
      <c r="D34">
        <f t="shared" si="5"/>
        <v>279</v>
      </c>
      <c r="E34">
        <v>106</v>
      </c>
      <c r="F34">
        <v>89</v>
      </c>
      <c r="G34">
        <v>75</v>
      </c>
      <c r="H34">
        <f t="shared" si="0"/>
        <v>265</v>
      </c>
      <c r="I34">
        <f t="shared" si="1"/>
        <v>265</v>
      </c>
      <c r="J34">
        <f t="shared" si="2"/>
        <v>354</v>
      </c>
      <c r="K34" t="str" cm="1">
        <f t="array" ref="K34">_xlfn.IFS(H34&gt;=$U$1,"kostka",I34&gt;=$U$1*$R$3,"orzech",J34&gt;=$U$1*$R$4,"miał",1=1,"NIC")</f>
        <v>kostka</v>
      </c>
      <c r="L34">
        <f t="shared" si="6"/>
        <v>65</v>
      </c>
      <c r="M34">
        <f t="shared" si="7"/>
        <v>265</v>
      </c>
      <c r="N34">
        <f t="shared" si="8"/>
        <v>354</v>
      </c>
    </row>
    <row r="35" spans="1:14" x14ac:dyDescent="0.25">
      <c r="A35" s="1">
        <v>41960</v>
      </c>
      <c r="B35">
        <f t="shared" si="3"/>
        <v>65</v>
      </c>
      <c r="C35">
        <f t="shared" si="4"/>
        <v>265</v>
      </c>
      <c r="D35">
        <f t="shared" si="5"/>
        <v>354</v>
      </c>
      <c r="E35">
        <v>57</v>
      </c>
      <c r="F35">
        <v>119</v>
      </c>
      <c r="G35">
        <v>64</v>
      </c>
      <c r="H35">
        <f t="shared" si="0"/>
        <v>122</v>
      </c>
      <c r="I35">
        <f t="shared" si="1"/>
        <v>384</v>
      </c>
      <c r="J35">
        <f t="shared" si="2"/>
        <v>418</v>
      </c>
      <c r="K35" t="str" cm="1">
        <f t="array" ref="K35">_xlfn.IFS(H35&gt;=$U$1,"kostka",I35&gt;=$U$1*$R$3,"orzech",J35&gt;=$U$1*$R$4,"miał",1=1,"NIC")</f>
        <v>orzech</v>
      </c>
      <c r="L35">
        <f t="shared" si="6"/>
        <v>122</v>
      </c>
      <c r="M35">
        <f t="shared" si="7"/>
        <v>124</v>
      </c>
      <c r="N35">
        <f t="shared" si="8"/>
        <v>418</v>
      </c>
    </row>
    <row r="36" spans="1:14" x14ac:dyDescent="0.25">
      <c r="A36" s="1">
        <v>41961</v>
      </c>
      <c r="B36">
        <f t="shared" si="3"/>
        <v>122</v>
      </c>
      <c r="C36">
        <f t="shared" si="4"/>
        <v>124</v>
      </c>
      <c r="D36">
        <f t="shared" si="5"/>
        <v>418</v>
      </c>
      <c r="E36">
        <v>26</v>
      </c>
      <c r="F36">
        <v>87</v>
      </c>
      <c r="G36">
        <v>84</v>
      </c>
      <c r="H36">
        <f t="shared" si="0"/>
        <v>148</v>
      </c>
      <c r="I36">
        <f t="shared" si="1"/>
        <v>211</v>
      </c>
      <c r="J36">
        <f t="shared" si="2"/>
        <v>502</v>
      </c>
      <c r="K36" t="str" cm="1">
        <f t="array" ref="K36">_xlfn.IFS(H36&gt;=$U$1,"kostka",I36&gt;=$U$1*$R$3,"orzech",J36&gt;=$U$1*$R$4,"miał",1=1,"NIC")</f>
        <v>miał</v>
      </c>
      <c r="L36">
        <f t="shared" si="6"/>
        <v>148</v>
      </c>
      <c r="M36">
        <f t="shared" si="7"/>
        <v>211</v>
      </c>
      <c r="N36">
        <f t="shared" si="8"/>
        <v>182</v>
      </c>
    </row>
    <row r="37" spans="1:14" x14ac:dyDescent="0.25">
      <c r="A37" s="1">
        <v>41962</v>
      </c>
      <c r="B37">
        <f t="shared" si="3"/>
        <v>148</v>
      </c>
      <c r="C37">
        <f t="shared" si="4"/>
        <v>211</v>
      </c>
      <c r="D37">
        <f t="shared" si="5"/>
        <v>182</v>
      </c>
      <c r="E37">
        <v>79</v>
      </c>
      <c r="F37">
        <v>171</v>
      </c>
      <c r="G37">
        <v>75</v>
      </c>
      <c r="H37">
        <f t="shared" si="0"/>
        <v>227</v>
      </c>
      <c r="I37">
        <f t="shared" si="1"/>
        <v>382</v>
      </c>
      <c r="J37">
        <f t="shared" si="2"/>
        <v>257</v>
      </c>
      <c r="K37" t="str" cm="1">
        <f t="array" ref="K37">_xlfn.IFS(H37&gt;=$U$1,"kostka",I37&gt;=$U$1*$R$3,"orzech",J37&gt;=$U$1*$R$4,"miał",1=1,"NIC")</f>
        <v>kostka</v>
      </c>
      <c r="L37">
        <f t="shared" si="6"/>
        <v>27</v>
      </c>
      <c r="M37">
        <f t="shared" si="7"/>
        <v>382</v>
      </c>
      <c r="N37">
        <f t="shared" si="8"/>
        <v>257</v>
      </c>
    </row>
    <row r="38" spans="1:14" x14ac:dyDescent="0.25">
      <c r="A38" s="1">
        <v>41963</v>
      </c>
      <c r="B38">
        <f t="shared" si="3"/>
        <v>27</v>
      </c>
      <c r="C38">
        <f t="shared" si="4"/>
        <v>382</v>
      </c>
      <c r="D38">
        <f t="shared" si="5"/>
        <v>257</v>
      </c>
      <c r="E38">
        <v>192</v>
      </c>
      <c r="F38">
        <v>151</v>
      </c>
      <c r="G38">
        <v>45</v>
      </c>
      <c r="H38">
        <f t="shared" si="0"/>
        <v>219</v>
      </c>
      <c r="I38">
        <f t="shared" si="1"/>
        <v>533</v>
      </c>
      <c r="J38">
        <f t="shared" si="2"/>
        <v>302</v>
      </c>
      <c r="K38" t="str" cm="1">
        <f t="array" ref="K38">_xlfn.IFS(H38&gt;=$U$1,"kostka",I38&gt;=$U$1*$R$3,"orzech",J38&gt;=$U$1*$R$4,"miał",1=1,"NIC")</f>
        <v>kostka</v>
      </c>
      <c r="L38">
        <f t="shared" si="6"/>
        <v>19</v>
      </c>
      <c r="M38">
        <f t="shared" si="7"/>
        <v>533</v>
      </c>
      <c r="N38">
        <f t="shared" si="8"/>
        <v>302</v>
      </c>
    </row>
    <row r="39" spans="1:14" x14ac:dyDescent="0.25">
      <c r="A39" s="1">
        <v>41964</v>
      </c>
      <c r="B39">
        <f t="shared" si="3"/>
        <v>19</v>
      </c>
      <c r="C39">
        <f t="shared" si="4"/>
        <v>533</v>
      </c>
      <c r="D39">
        <f t="shared" si="5"/>
        <v>302</v>
      </c>
      <c r="E39">
        <v>9</v>
      </c>
      <c r="F39">
        <v>64</v>
      </c>
      <c r="G39">
        <v>22</v>
      </c>
      <c r="H39">
        <f t="shared" si="0"/>
        <v>28</v>
      </c>
      <c r="I39">
        <f t="shared" si="1"/>
        <v>597</v>
      </c>
      <c r="J39">
        <f t="shared" si="2"/>
        <v>324</v>
      </c>
      <c r="K39" t="str" cm="1">
        <f t="array" ref="K39">_xlfn.IFS(H39&gt;=$U$1,"kostka",I39&gt;=$U$1*$R$3,"orzech",J39&gt;=$U$1*$R$4,"miał",1=1,"NIC")</f>
        <v>orzech</v>
      </c>
      <c r="L39">
        <f t="shared" si="6"/>
        <v>28</v>
      </c>
      <c r="M39">
        <f t="shared" si="7"/>
        <v>337</v>
      </c>
      <c r="N39">
        <f t="shared" si="8"/>
        <v>324</v>
      </c>
    </row>
    <row r="40" spans="1:14" x14ac:dyDescent="0.25">
      <c r="A40" s="1">
        <v>41965</v>
      </c>
      <c r="B40">
        <f t="shared" si="3"/>
        <v>28</v>
      </c>
      <c r="C40">
        <f t="shared" si="4"/>
        <v>337</v>
      </c>
      <c r="D40">
        <f t="shared" si="5"/>
        <v>324</v>
      </c>
      <c r="E40">
        <v>123</v>
      </c>
      <c r="F40">
        <v>150</v>
      </c>
      <c r="G40">
        <v>10</v>
      </c>
      <c r="H40">
        <f t="shared" si="0"/>
        <v>151</v>
      </c>
      <c r="I40">
        <f t="shared" si="1"/>
        <v>487</v>
      </c>
      <c r="J40">
        <f t="shared" si="2"/>
        <v>334</v>
      </c>
      <c r="K40" t="str" cm="1">
        <f t="array" ref="K40">_xlfn.IFS(H40&gt;=$U$1,"kostka",I40&gt;=$U$1*$R$3,"orzech",J40&gt;=$U$1*$R$4,"miał",1=1,"NIC")</f>
        <v>orzech</v>
      </c>
      <c r="L40">
        <f t="shared" si="6"/>
        <v>151</v>
      </c>
      <c r="M40">
        <f t="shared" si="7"/>
        <v>227</v>
      </c>
      <c r="N40">
        <f t="shared" si="8"/>
        <v>334</v>
      </c>
    </row>
    <row r="41" spans="1:14" x14ac:dyDescent="0.25">
      <c r="A41" s="1">
        <v>41966</v>
      </c>
      <c r="B41">
        <f t="shared" si="3"/>
        <v>151</v>
      </c>
      <c r="C41">
        <f t="shared" si="4"/>
        <v>227</v>
      </c>
      <c r="D41">
        <f t="shared" si="5"/>
        <v>334</v>
      </c>
      <c r="E41">
        <v>87</v>
      </c>
      <c r="F41">
        <v>123</v>
      </c>
      <c r="G41">
        <v>33</v>
      </c>
      <c r="H41">
        <f t="shared" si="0"/>
        <v>238</v>
      </c>
      <c r="I41">
        <f t="shared" si="1"/>
        <v>350</v>
      </c>
      <c r="J41">
        <f t="shared" si="2"/>
        <v>367</v>
      </c>
      <c r="K41" t="str" cm="1">
        <f t="array" ref="K41">_xlfn.IFS(H41&gt;=$U$1,"kostka",I41&gt;=$U$1*$R$3,"orzech",J41&gt;=$U$1*$R$4,"miał",1=1,"NIC")</f>
        <v>kostka</v>
      </c>
      <c r="L41">
        <f t="shared" si="6"/>
        <v>38</v>
      </c>
      <c r="M41">
        <f t="shared" si="7"/>
        <v>350</v>
      </c>
      <c r="N41">
        <f t="shared" si="8"/>
        <v>367</v>
      </c>
    </row>
    <row r="42" spans="1:14" x14ac:dyDescent="0.25">
      <c r="A42" s="1">
        <v>41967</v>
      </c>
      <c r="B42">
        <f t="shared" si="3"/>
        <v>38</v>
      </c>
      <c r="C42">
        <f t="shared" si="4"/>
        <v>350</v>
      </c>
      <c r="D42">
        <f t="shared" si="5"/>
        <v>367</v>
      </c>
      <c r="E42">
        <v>165</v>
      </c>
      <c r="F42">
        <v>88</v>
      </c>
      <c r="G42">
        <v>13</v>
      </c>
      <c r="H42">
        <f t="shared" si="0"/>
        <v>203</v>
      </c>
      <c r="I42">
        <f t="shared" si="1"/>
        <v>438</v>
      </c>
      <c r="J42">
        <f t="shared" si="2"/>
        <v>380</v>
      </c>
      <c r="K42" t="str" cm="1">
        <f t="array" ref="K42">_xlfn.IFS(H42&gt;=$U$1,"kostka",I42&gt;=$U$1*$R$3,"orzech",J42&gt;=$U$1*$R$4,"miał",1=1,"NIC")</f>
        <v>kostka</v>
      </c>
      <c r="L42">
        <f t="shared" si="6"/>
        <v>3</v>
      </c>
      <c r="M42">
        <f t="shared" si="7"/>
        <v>438</v>
      </c>
      <c r="N42">
        <f t="shared" si="8"/>
        <v>380</v>
      </c>
    </row>
    <row r="43" spans="1:14" x14ac:dyDescent="0.25">
      <c r="A43" s="1">
        <v>41968</v>
      </c>
      <c r="B43">
        <f t="shared" si="3"/>
        <v>3</v>
      </c>
      <c r="C43">
        <f t="shared" si="4"/>
        <v>438</v>
      </c>
      <c r="D43">
        <f t="shared" si="5"/>
        <v>380</v>
      </c>
      <c r="E43">
        <v>144</v>
      </c>
      <c r="F43">
        <v>78</v>
      </c>
      <c r="G43">
        <v>82</v>
      </c>
      <c r="H43">
        <f t="shared" si="0"/>
        <v>147</v>
      </c>
      <c r="I43">
        <f t="shared" si="1"/>
        <v>516</v>
      </c>
      <c r="J43">
        <f t="shared" si="2"/>
        <v>462</v>
      </c>
      <c r="K43" t="str" cm="1">
        <f t="array" ref="K43">_xlfn.IFS(H43&gt;=$U$1,"kostka",I43&gt;=$U$1*$R$3,"orzech",J43&gt;=$U$1*$R$4,"miał",1=1,"NIC")</f>
        <v>orzech</v>
      </c>
      <c r="L43">
        <f t="shared" si="6"/>
        <v>147</v>
      </c>
      <c r="M43">
        <f t="shared" si="7"/>
        <v>256</v>
      </c>
      <c r="N43">
        <f t="shared" si="8"/>
        <v>462</v>
      </c>
    </row>
    <row r="44" spans="1:14" x14ac:dyDescent="0.25">
      <c r="A44" s="1">
        <v>41969</v>
      </c>
      <c r="B44">
        <f t="shared" si="3"/>
        <v>147</v>
      </c>
      <c r="C44">
        <f t="shared" si="4"/>
        <v>256</v>
      </c>
      <c r="D44">
        <f t="shared" si="5"/>
        <v>462</v>
      </c>
      <c r="E44">
        <v>54</v>
      </c>
      <c r="F44">
        <v>38</v>
      </c>
      <c r="G44">
        <v>68</v>
      </c>
      <c r="H44">
        <f t="shared" si="0"/>
        <v>201</v>
      </c>
      <c r="I44">
        <f t="shared" si="1"/>
        <v>294</v>
      </c>
      <c r="J44">
        <f t="shared" si="2"/>
        <v>530</v>
      </c>
      <c r="K44" t="str" cm="1">
        <f t="array" ref="K44">_xlfn.IFS(H44&gt;=$U$1,"kostka",I44&gt;=$U$1*$R$3,"orzech",J44&gt;=$U$1*$R$4,"miał",1=1,"NIC")</f>
        <v>kostka</v>
      </c>
      <c r="L44">
        <f t="shared" si="6"/>
        <v>1</v>
      </c>
      <c r="M44">
        <f t="shared" si="7"/>
        <v>294</v>
      </c>
      <c r="N44">
        <f t="shared" si="8"/>
        <v>530</v>
      </c>
    </row>
    <row r="45" spans="1:14" x14ac:dyDescent="0.25">
      <c r="A45" s="1">
        <v>41970</v>
      </c>
      <c r="B45">
        <f t="shared" si="3"/>
        <v>1</v>
      </c>
      <c r="C45">
        <f t="shared" si="4"/>
        <v>294</v>
      </c>
      <c r="D45">
        <f t="shared" si="5"/>
        <v>530</v>
      </c>
      <c r="E45">
        <v>188</v>
      </c>
      <c r="F45">
        <v>44</v>
      </c>
      <c r="G45">
        <v>86</v>
      </c>
      <c r="H45">
        <f t="shared" si="0"/>
        <v>189</v>
      </c>
      <c r="I45">
        <f t="shared" si="1"/>
        <v>338</v>
      </c>
      <c r="J45">
        <f t="shared" si="2"/>
        <v>616</v>
      </c>
      <c r="K45" t="str" cm="1">
        <f t="array" ref="K45">_xlfn.IFS(H45&gt;=$U$1,"kostka",I45&gt;=$U$1*$R$3,"orzech",J45&gt;=$U$1*$R$4,"miał",1=1,"NIC")</f>
        <v>orzech</v>
      </c>
      <c r="L45">
        <f t="shared" si="6"/>
        <v>189</v>
      </c>
      <c r="M45">
        <f t="shared" si="7"/>
        <v>78</v>
      </c>
      <c r="N45">
        <f t="shared" si="8"/>
        <v>616</v>
      </c>
    </row>
    <row r="46" spans="1:14" x14ac:dyDescent="0.25">
      <c r="A46" s="1">
        <v>41971</v>
      </c>
      <c r="B46">
        <f t="shared" si="3"/>
        <v>189</v>
      </c>
      <c r="C46">
        <f t="shared" si="4"/>
        <v>78</v>
      </c>
      <c r="D46">
        <f t="shared" si="5"/>
        <v>616</v>
      </c>
      <c r="E46">
        <v>165</v>
      </c>
      <c r="F46">
        <v>170</v>
      </c>
      <c r="G46">
        <v>62</v>
      </c>
      <c r="H46">
        <f t="shared" si="0"/>
        <v>354</v>
      </c>
      <c r="I46">
        <f t="shared" si="1"/>
        <v>248</v>
      </c>
      <c r="J46">
        <f t="shared" si="2"/>
        <v>678</v>
      </c>
      <c r="K46" t="str" cm="1">
        <f t="array" ref="K46">_xlfn.IFS(H46&gt;=$U$1,"kostka",I46&gt;=$U$1*$R$3,"orzech",J46&gt;=$U$1*$R$4,"miał",1=1,"NIC")</f>
        <v>kostka</v>
      </c>
      <c r="L46">
        <f t="shared" si="6"/>
        <v>154</v>
      </c>
      <c r="M46">
        <f t="shared" si="7"/>
        <v>248</v>
      </c>
      <c r="N46">
        <f t="shared" si="8"/>
        <v>678</v>
      </c>
    </row>
    <row r="47" spans="1:14" x14ac:dyDescent="0.25">
      <c r="A47" s="1">
        <v>41972</v>
      </c>
      <c r="B47">
        <f t="shared" si="3"/>
        <v>154</v>
      </c>
      <c r="C47">
        <f t="shared" si="4"/>
        <v>248</v>
      </c>
      <c r="D47">
        <f t="shared" si="5"/>
        <v>678</v>
      </c>
      <c r="E47">
        <v>24</v>
      </c>
      <c r="F47">
        <v>94</v>
      </c>
      <c r="G47">
        <v>87</v>
      </c>
      <c r="H47">
        <f t="shared" si="0"/>
        <v>178</v>
      </c>
      <c r="I47">
        <f t="shared" si="1"/>
        <v>342</v>
      </c>
      <c r="J47">
        <f t="shared" si="2"/>
        <v>765</v>
      </c>
      <c r="K47" t="str" cm="1">
        <f t="array" ref="K47">_xlfn.IFS(H47&gt;=$U$1,"kostka",I47&gt;=$U$1*$R$3,"orzech",J47&gt;=$U$1*$R$4,"miał",1=1,"NIC")</f>
        <v>orzech</v>
      </c>
      <c r="L47">
        <f t="shared" si="6"/>
        <v>178</v>
      </c>
      <c r="M47">
        <f t="shared" si="7"/>
        <v>82</v>
      </c>
      <c r="N47">
        <f t="shared" si="8"/>
        <v>765</v>
      </c>
    </row>
    <row r="48" spans="1:14" x14ac:dyDescent="0.25">
      <c r="A48" s="1">
        <v>41973</v>
      </c>
      <c r="B48">
        <f t="shared" si="3"/>
        <v>178</v>
      </c>
      <c r="C48">
        <f t="shared" si="4"/>
        <v>82</v>
      </c>
      <c r="D48">
        <f t="shared" si="5"/>
        <v>765</v>
      </c>
      <c r="E48">
        <v>0</v>
      </c>
      <c r="F48">
        <v>120</v>
      </c>
      <c r="G48">
        <v>60</v>
      </c>
      <c r="H48">
        <f t="shared" si="0"/>
        <v>178</v>
      </c>
      <c r="I48">
        <f t="shared" si="1"/>
        <v>202</v>
      </c>
      <c r="J48">
        <f t="shared" si="2"/>
        <v>825</v>
      </c>
      <c r="K48" t="str" cm="1">
        <f t="array" ref="K48">_xlfn.IFS(H48&gt;=$U$1,"kostka",I48&gt;=$U$1*$R$3,"orzech",J48&gt;=$U$1*$R$4,"miał",1=1,"NIC")</f>
        <v>miał</v>
      </c>
      <c r="L48">
        <f t="shared" si="6"/>
        <v>178</v>
      </c>
      <c r="M48">
        <f t="shared" si="7"/>
        <v>202</v>
      </c>
      <c r="N48">
        <f t="shared" si="8"/>
        <v>505</v>
      </c>
    </row>
    <row r="49" spans="1:14" x14ac:dyDescent="0.25">
      <c r="A49" s="1">
        <v>41974</v>
      </c>
      <c r="B49">
        <f t="shared" si="3"/>
        <v>178</v>
      </c>
      <c r="C49">
        <f t="shared" si="4"/>
        <v>202</v>
      </c>
      <c r="D49">
        <f t="shared" si="5"/>
        <v>505</v>
      </c>
      <c r="E49">
        <v>101</v>
      </c>
      <c r="F49">
        <v>53</v>
      </c>
      <c r="G49">
        <v>62</v>
      </c>
      <c r="H49">
        <f t="shared" si="0"/>
        <v>279</v>
      </c>
      <c r="I49">
        <f t="shared" si="1"/>
        <v>255</v>
      </c>
      <c r="J49">
        <f t="shared" si="2"/>
        <v>567</v>
      </c>
      <c r="K49" t="str" cm="1">
        <f t="array" ref="K49">_xlfn.IFS(H49&gt;=$U$1,"kostka",I49&gt;=$U$1*$R$3,"orzech",J49&gt;=$U$1*$R$4,"miał",1=1,"NIC")</f>
        <v>kostka</v>
      </c>
      <c r="L49">
        <f t="shared" si="6"/>
        <v>79</v>
      </c>
      <c r="M49">
        <f t="shared" si="7"/>
        <v>255</v>
      </c>
      <c r="N49">
        <f t="shared" si="8"/>
        <v>567</v>
      </c>
    </row>
    <row r="50" spans="1:14" x14ac:dyDescent="0.25">
      <c r="A50" s="1">
        <v>41975</v>
      </c>
      <c r="B50">
        <f t="shared" si="3"/>
        <v>79</v>
      </c>
      <c r="C50">
        <f t="shared" si="4"/>
        <v>255</v>
      </c>
      <c r="D50">
        <f t="shared" si="5"/>
        <v>567</v>
      </c>
      <c r="E50">
        <v>67</v>
      </c>
      <c r="F50">
        <v>147</v>
      </c>
      <c r="G50">
        <v>20</v>
      </c>
      <c r="H50">
        <f t="shared" si="0"/>
        <v>146</v>
      </c>
      <c r="I50">
        <f t="shared" si="1"/>
        <v>402</v>
      </c>
      <c r="J50">
        <f t="shared" si="2"/>
        <v>587</v>
      </c>
      <c r="K50" t="str" cm="1">
        <f t="array" ref="K50">_xlfn.IFS(H50&gt;=$U$1,"kostka",I50&gt;=$U$1*$R$3,"orzech",J50&gt;=$U$1*$R$4,"miał",1=1,"NIC")</f>
        <v>orzech</v>
      </c>
      <c r="L50">
        <f t="shared" si="6"/>
        <v>146</v>
      </c>
      <c r="M50">
        <f t="shared" si="7"/>
        <v>142</v>
      </c>
      <c r="N50">
        <f t="shared" si="8"/>
        <v>587</v>
      </c>
    </row>
    <row r="51" spans="1:14" x14ac:dyDescent="0.25">
      <c r="A51" s="1">
        <v>41976</v>
      </c>
      <c r="B51">
        <f t="shared" si="3"/>
        <v>146</v>
      </c>
      <c r="C51">
        <f t="shared" si="4"/>
        <v>142</v>
      </c>
      <c r="D51">
        <f t="shared" si="5"/>
        <v>587</v>
      </c>
      <c r="E51">
        <v>109</v>
      </c>
      <c r="F51">
        <v>99</v>
      </c>
      <c r="G51">
        <v>70</v>
      </c>
      <c r="H51">
        <f t="shared" si="0"/>
        <v>255</v>
      </c>
      <c r="I51">
        <f t="shared" si="1"/>
        <v>241</v>
      </c>
      <c r="J51">
        <f t="shared" si="2"/>
        <v>657</v>
      </c>
      <c r="K51" t="str" cm="1">
        <f t="array" ref="K51">_xlfn.IFS(H51&gt;=$U$1,"kostka",I51&gt;=$U$1*$R$3,"orzech",J51&gt;=$U$1*$R$4,"miał",1=1,"NIC")</f>
        <v>kostka</v>
      </c>
      <c r="L51">
        <f t="shared" si="6"/>
        <v>55</v>
      </c>
      <c r="M51">
        <f t="shared" si="7"/>
        <v>241</v>
      </c>
      <c r="N51">
        <f t="shared" si="8"/>
        <v>657</v>
      </c>
    </row>
    <row r="52" spans="1:14" x14ac:dyDescent="0.25">
      <c r="A52" s="1">
        <v>41977</v>
      </c>
      <c r="B52">
        <f t="shared" si="3"/>
        <v>55</v>
      </c>
      <c r="C52">
        <f t="shared" si="4"/>
        <v>241</v>
      </c>
      <c r="D52">
        <f t="shared" si="5"/>
        <v>657</v>
      </c>
      <c r="E52">
        <v>22</v>
      </c>
      <c r="F52">
        <v>16</v>
      </c>
      <c r="G52">
        <v>59</v>
      </c>
      <c r="H52">
        <f t="shared" si="0"/>
        <v>77</v>
      </c>
      <c r="I52">
        <f t="shared" si="1"/>
        <v>257</v>
      </c>
      <c r="J52">
        <f t="shared" si="2"/>
        <v>716</v>
      </c>
      <c r="K52" t="str" cm="1">
        <f t="array" ref="K52">_xlfn.IFS(H52&gt;=$U$1,"kostka",I52&gt;=$U$1*$R$3,"orzech",J52&gt;=$U$1*$R$4,"miał",1=1,"NIC")</f>
        <v>miał</v>
      </c>
      <c r="L52">
        <f t="shared" si="6"/>
        <v>77</v>
      </c>
      <c r="M52">
        <f t="shared" si="7"/>
        <v>257</v>
      </c>
      <c r="N52">
        <f t="shared" si="8"/>
        <v>396</v>
      </c>
    </row>
    <row r="53" spans="1:14" x14ac:dyDescent="0.25">
      <c r="A53" s="1">
        <v>41978</v>
      </c>
      <c r="B53">
        <f t="shared" si="3"/>
        <v>77</v>
      </c>
      <c r="C53">
        <f t="shared" si="4"/>
        <v>257</v>
      </c>
      <c r="D53">
        <f t="shared" si="5"/>
        <v>396</v>
      </c>
      <c r="E53">
        <v>5</v>
      </c>
      <c r="F53">
        <v>91</v>
      </c>
      <c r="G53">
        <v>73</v>
      </c>
      <c r="H53">
        <f t="shared" si="0"/>
        <v>82</v>
      </c>
      <c r="I53">
        <f t="shared" si="1"/>
        <v>348</v>
      </c>
      <c r="J53">
        <f t="shared" si="2"/>
        <v>469</v>
      </c>
      <c r="K53" t="str" cm="1">
        <f t="array" ref="K53">_xlfn.IFS(H53&gt;=$U$1,"kostka",I53&gt;=$U$1*$R$3,"orzech",J53&gt;=$U$1*$R$4,"miał",1=1,"NIC")</f>
        <v>orzech</v>
      </c>
      <c r="L53">
        <f t="shared" si="6"/>
        <v>82</v>
      </c>
      <c r="M53">
        <f t="shared" si="7"/>
        <v>88</v>
      </c>
      <c r="N53">
        <f t="shared" si="8"/>
        <v>469</v>
      </c>
    </row>
    <row r="54" spans="1:14" x14ac:dyDescent="0.25">
      <c r="A54" s="1">
        <v>41979</v>
      </c>
      <c r="B54">
        <f t="shared" si="3"/>
        <v>82</v>
      </c>
      <c r="C54">
        <f t="shared" si="4"/>
        <v>88</v>
      </c>
      <c r="D54">
        <f t="shared" si="5"/>
        <v>469</v>
      </c>
      <c r="E54">
        <v>105</v>
      </c>
      <c r="F54">
        <v>154</v>
      </c>
      <c r="G54">
        <v>48</v>
      </c>
      <c r="H54">
        <f t="shared" si="0"/>
        <v>187</v>
      </c>
      <c r="I54">
        <f t="shared" si="1"/>
        <v>242</v>
      </c>
      <c r="J54">
        <f t="shared" si="2"/>
        <v>517</v>
      </c>
      <c r="K54" t="str" cm="1">
        <f t="array" ref="K54">_xlfn.IFS(H54&gt;=$U$1,"kostka",I54&gt;=$U$1*$R$3,"orzech",J54&gt;=$U$1*$R$4,"miał",1=1,"NIC")</f>
        <v>miał</v>
      </c>
      <c r="L54">
        <f t="shared" si="6"/>
        <v>187</v>
      </c>
      <c r="M54">
        <f t="shared" si="7"/>
        <v>242</v>
      </c>
      <c r="N54">
        <f t="shared" si="8"/>
        <v>197</v>
      </c>
    </row>
    <row r="55" spans="1:14" x14ac:dyDescent="0.25">
      <c r="A55" s="1">
        <v>41980</v>
      </c>
      <c r="B55">
        <f t="shared" si="3"/>
        <v>187</v>
      </c>
      <c r="C55">
        <f t="shared" si="4"/>
        <v>242</v>
      </c>
      <c r="D55">
        <f t="shared" si="5"/>
        <v>197</v>
      </c>
      <c r="E55">
        <v>108</v>
      </c>
      <c r="F55">
        <v>5</v>
      </c>
      <c r="G55">
        <v>71</v>
      </c>
      <c r="H55">
        <f t="shared" si="0"/>
        <v>295</v>
      </c>
      <c r="I55">
        <f t="shared" si="1"/>
        <v>247</v>
      </c>
      <c r="J55">
        <f t="shared" si="2"/>
        <v>268</v>
      </c>
      <c r="K55" t="str" cm="1">
        <f t="array" ref="K55">_xlfn.IFS(H55&gt;=$U$1,"kostka",I55&gt;=$U$1*$R$3,"orzech",J55&gt;=$U$1*$R$4,"miał",1=1,"NIC")</f>
        <v>kostka</v>
      </c>
      <c r="L55">
        <f t="shared" si="6"/>
        <v>95</v>
      </c>
      <c r="M55">
        <f t="shared" si="7"/>
        <v>247</v>
      </c>
      <c r="N55">
        <f t="shared" si="8"/>
        <v>268</v>
      </c>
    </row>
    <row r="56" spans="1:14" x14ac:dyDescent="0.25">
      <c r="A56" s="1">
        <v>41981</v>
      </c>
      <c r="B56">
        <f t="shared" si="3"/>
        <v>95</v>
      </c>
      <c r="C56">
        <f t="shared" si="4"/>
        <v>247</v>
      </c>
      <c r="D56">
        <f t="shared" si="5"/>
        <v>268</v>
      </c>
      <c r="E56">
        <v>64</v>
      </c>
      <c r="F56">
        <v>37</v>
      </c>
      <c r="G56">
        <v>89</v>
      </c>
      <c r="H56">
        <f t="shared" si="0"/>
        <v>159</v>
      </c>
      <c r="I56">
        <f t="shared" si="1"/>
        <v>284</v>
      </c>
      <c r="J56">
        <f t="shared" si="2"/>
        <v>357</v>
      </c>
      <c r="K56" t="str" cm="1">
        <f t="array" ref="K56">_xlfn.IFS(H56&gt;=$U$1,"kostka",I56&gt;=$U$1*$R$3,"orzech",J56&gt;=$U$1*$R$4,"miał",1=1,"NIC")</f>
        <v>orzech</v>
      </c>
      <c r="L56">
        <f t="shared" si="6"/>
        <v>159</v>
      </c>
      <c r="M56">
        <f t="shared" si="7"/>
        <v>24</v>
      </c>
      <c r="N56">
        <f t="shared" si="8"/>
        <v>357</v>
      </c>
    </row>
    <row r="57" spans="1:14" x14ac:dyDescent="0.25">
      <c r="A57" s="1">
        <v>41982</v>
      </c>
      <c r="B57">
        <f t="shared" si="3"/>
        <v>159</v>
      </c>
      <c r="C57">
        <f t="shared" si="4"/>
        <v>24</v>
      </c>
      <c r="D57">
        <f t="shared" si="5"/>
        <v>357</v>
      </c>
      <c r="E57">
        <v>114</v>
      </c>
      <c r="F57">
        <v>140</v>
      </c>
      <c r="G57">
        <v>36</v>
      </c>
      <c r="H57">
        <f t="shared" si="0"/>
        <v>273</v>
      </c>
      <c r="I57">
        <f t="shared" si="1"/>
        <v>164</v>
      </c>
      <c r="J57">
        <f t="shared" si="2"/>
        <v>393</v>
      </c>
      <c r="K57" t="str" cm="1">
        <f t="array" ref="K57">_xlfn.IFS(H57&gt;=$U$1,"kostka",I57&gt;=$U$1*$R$3,"orzech",J57&gt;=$U$1*$R$4,"miał",1=1,"NIC")</f>
        <v>kostka</v>
      </c>
      <c r="L57">
        <f t="shared" si="6"/>
        <v>73</v>
      </c>
      <c r="M57">
        <f t="shared" si="7"/>
        <v>164</v>
      </c>
      <c r="N57">
        <f t="shared" si="8"/>
        <v>393</v>
      </c>
    </row>
    <row r="58" spans="1:14" x14ac:dyDescent="0.25">
      <c r="A58" s="1">
        <v>41983</v>
      </c>
      <c r="B58">
        <f t="shared" si="3"/>
        <v>73</v>
      </c>
      <c r="C58">
        <f t="shared" si="4"/>
        <v>164</v>
      </c>
      <c r="D58">
        <f t="shared" si="5"/>
        <v>393</v>
      </c>
      <c r="E58">
        <v>147</v>
      </c>
      <c r="F58">
        <v>140</v>
      </c>
      <c r="G58">
        <v>61</v>
      </c>
      <c r="H58">
        <f t="shared" si="0"/>
        <v>220</v>
      </c>
      <c r="I58">
        <f t="shared" si="1"/>
        <v>304</v>
      </c>
      <c r="J58">
        <f t="shared" si="2"/>
        <v>454</v>
      </c>
      <c r="K58" t="str" cm="1">
        <f t="array" ref="K58">_xlfn.IFS(H58&gt;=$U$1,"kostka",I58&gt;=$U$1*$R$3,"orzech",J58&gt;=$U$1*$R$4,"miał",1=1,"NIC")</f>
        <v>kostka</v>
      </c>
      <c r="L58">
        <f t="shared" si="6"/>
        <v>20</v>
      </c>
      <c r="M58">
        <f t="shared" si="7"/>
        <v>304</v>
      </c>
      <c r="N58">
        <f t="shared" si="8"/>
        <v>454</v>
      </c>
    </row>
    <row r="59" spans="1:14" x14ac:dyDescent="0.25">
      <c r="A59" s="1">
        <v>41984</v>
      </c>
      <c r="B59">
        <f t="shared" si="3"/>
        <v>20</v>
      </c>
      <c r="C59">
        <f t="shared" si="4"/>
        <v>304</v>
      </c>
      <c r="D59">
        <f t="shared" si="5"/>
        <v>454</v>
      </c>
      <c r="E59">
        <v>69</v>
      </c>
      <c r="F59">
        <v>120</v>
      </c>
      <c r="G59">
        <v>52</v>
      </c>
      <c r="H59">
        <f t="shared" si="0"/>
        <v>89</v>
      </c>
      <c r="I59">
        <f t="shared" si="1"/>
        <v>424</v>
      </c>
      <c r="J59">
        <f t="shared" si="2"/>
        <v>506</v>
      </c>
      <c r="K59" t="str" cm="1">
        <f t="array" ref="K59">_xlfn.IFS(H59&gt;=$U$1,"kostka",I59&gt;=$U$1*$R$3,"orzech",J59&gt;=$U$1*$R$4,"miał",1=1,"NIC")</f>
        <v>orzech</v>
      </c>
      <c r="L59">
        <f t="shared" si="6"/>
        <v>89</v>
      </c>
      <c r="M59">
        <f t="shared" si="7"/>
        <v>164</v>
      </c>
      <c r="N59">
        <f t="shared" si="8"/>
        <v>506</v>
      </c>
    </row>
    <row r="60" spans="1:14" x14ac:dyDescent="0.25">
      <c r="A60" s="1">
        <v>41985</v>
      </c>
      <c r="B60">
        <f t="shared" si="3"/>
        <v>89</v>
      </c>
      <c r="C60">
        <f t="shared" si="4"/>
        <v>164</v>
      </c>
      <c r="D60">
        <f t="shared" si="5"/>
        <v>506</v>
      </c>
      <c r="E60">
        <v>101</v>
      </c>
      <c r="F60">
        <v>39</v>
      </c>
      <c r="G60">
        <v>10</v>
      </c>
      <c r="H60">
        <f t="shared" si="0"/>
        <v>190</v>
      </c>
      <c r="I60">
        <f t="shared" si="1"/>
        <v>203</v>
      </c>
      <c r="J60">
        <f t="shared" si="2"/>
        <v>516</v>
      </c>
      <c r="K60" t="str" cm="1">
        <f t="array" ref="K60">_xlfn.IFS(H60&gt;=$U$1,"kostka",I60&gt;=$U$1*$R$3,"orzech",J60&gt;=$U$1*$R$4,"miał",1=1,"NIC")</f>
        <v>miał</v>
      </c>
      <c r="L60">
        <f t="shared" si="6"/>
        <v>190</v>
      </c>
      <c r="M60">
        <f t="shared" si="7"/>
        <v>203</v>
      </c>
      <c r="N60">
        <f t="shared" si="8"/>
        <v>196</v>
      </c>
    </row>
    <row r="61" spans="1:14" x14ac:dyDescent="0.25">
      <c r="A61" s="1">
        <v>41986</v>
      </c>
      <c r="B61">
        <f t="shared" si="3"/>
        <v>190</v>
      </c>
      <c r="C61">
        <f t="shared" si="4"/>
        <v>203</v>
      </c>
      <c r="D61">
        <f t="shared" si="5"/>
        <v>196</v>
      </c>
      <c r="E61">
        <v>158</v>
      </c>
      <c r="F61">
        <v>36</v>
      </c>
      <c r="G61">
        <v>79</v>
      </c>
      <c r="H61">
        <f t="shared" si="0"/>
        <v>348</v>
      </c>
      <c r="I61">
        <f t="shared" si="1"/>
        <v>239</v>
      </c>
      <c r="J61">
        <f t="shared" si="2"/>
        <v>275</v>
      </c>
      <c r="K61" t="str" cm="1">
        <f t="array" ref="K61">_xlfn.IFS(H61&gt;=$U$1,"kostka",I61&gt;=$U$1*$R$3,"orzech",J61&gt;=$U$1*$R$4,"miał",1=1,"NIC")</f>
        <v>kostka</v>
      </c>
      <c r="L61">
        <f t="shared" si="6"/>
        <v>148</v>
      </c>
      <c r="M61">
        <f t="shared" si="7"/>
        <v>239</v>
      </c>
      <c r="N61">
        <f t="shared" si="8"/>
        <v>275</v>
      </c>
    </row>
    <row r="62" spans="1:14" x14ac:dyDescent="0.25">
      <c r="A62" s="1">
        <v>41987</v>
      </c>
      <c r="B62">
        <f t="shared" si="3"/>
        <v>148</v>
      </c>
      <c r="C62">
        <f t="shared" si="4"/>
        <v>239</v>
      </c>
      <c r="D62">
        <f t="shared" si="5"/>
        <v>275</v>
      </c>
      <c r="E62">
        <v>79</v>
      </c>
      <c r="F62">
        <v>105</v>
      </c>
      <c r="G62">
        <v>73</v>
      </c>
      <c r="H62">
        <f t="shared" si="0"/>
        <v>227</v>
      </c>
      <c r="I62">
        <f t="shared" si="1"/>
        <v>344</v>
      </c>
      <c r="J62">
        <f t="shared" si="2"/>
        <v>348</v>
      </c>
      <c r="K62" t="str" cm="1">
        <f t="array" ref="K62">_xlfn.IFS(H62&gt;=$U$1,"kostka",I62&gt;=$U$1*$R$3,"orzech",J62&gt;=$U$1*$R$4,"miał",1=1,"NIC")</f>
        <v>kostka</v>
      </c>
      <c r="L62">
        <f t="shared" si="6"/>
        <v>27</v>
      </c>
      <c r="M62">
        <f t="shared" si="7"/>
        <v>344</v>
      </c>
      <c r="N62">
        <f t="shared" si="8"/>
        <v>348</v>
      </c>
    </row>
    <row r="63" spans="1:14" x14ac:dyDescent="0.25">
      <c r="A63" s="1">
        <v>41988</v>
      </c>
      <c r="B63">
        <f t="shared" si="3"/>
        <v>27</v>
      </c>
      <c r="C63">
        <f t="shared" si="4"/>
        <v>344</v>
      </c>
      <c r="D63">
        <f t="shared" si="5"/>
        <v>348</v>
      </c>
      <c r="E63">
        <v>5</v>
      </c>
      <c r="F63">
        <v>24</v>
      </c>
      <c r="G63">
        <v>43</v>
      </c>
      <c r="H63">
        <f t="shared" si="0"/>
        <v>32</v>
      </c>
      <c r="I63">
        <f t="shared" si="1"/>
        <v>368</v>
      </c>
      <c r="J63">
        <f t="shared" si="2"/>
        <v>391</v>
      </c>
      <c r="K63" t="str" cm="1">
        <f t="array" ref="K63">_xlfn.IFS(H63&gt;=$U$1,"kostka",I63&gt;=$U$1*$R$3,"orzech",J63&gt;=$U$1*$R$4,"miał",1=1,"NIC")</f>
        <v>orzech</v>
      </c>
      <c r="L63">
        <f t="shared" si="6"/>
        <v>32</v>
      </c>
      <c r="M63">
        <f t="shared" si="7"/>
        <v>108</v>
      </c>
      <c r="N63">
        <f t="shared" si="8"/>
        <v>391</v>
      </c>
    </row>
    <row r="64" spans="1:14" x14ac:dyDescent="0.25">
      <c r="A64" s="1">
        <v>41989</v>
      </c>
      <c r="B64">
        <f t="shared" si="3"/>
        <v>32</v>
      </c>
      <c r="C64">
        <f t="shared" si="4"/>
        <v>108</v>
      </c>
      <c r="D64">
        <f t="shared" si="5"/>
        <v>391</v>
      </c>
      <c r="E64">
        <v>68</v>
      </c>
      <c r="F64">
        <v>112</v>
      </c>
      <c r="G64">
        <v>25</v>
      </c>
      <c r="H64">
        <f t="shared" si="0"/>
        <v>100</v>
      </c>
      <c r="I64">
        <f t="shared" si="1"/>
        <v>220</v>
      </c>
      <c r="J64">
        <f t="shared" si="2"/>
        <v>416</v>
      </c>
      <c r="K64" t="str" cm="1">
        <f t="array" ref="K64">_xlfn.IFS(H64&gt;=$U$1,"kostka",I64&gt;=$U$1*$R$3,"orzech",J64&gt;=$U$1*$R$4,"miał",1=1,"NIC")</f>
        <v>miał</v>
      </c>
      <c r="L64">
        <f t="shared" si="6"/>
        <v>100</v>
      </c>
      <c r="M64">
        <f t="shared" si="7"/>
        <v>220</v>
      </c>
      <c r="N64">
        <f t="shared" si="8"/>
        <v>96</v>
      </c>
    </row>
    <row r="65" spans="1:14" x14ac:dyDescent="0.25">
      <c r="A65" s="1">
        <v>41990</v>
      </c>
      <c r="B65">
        <f t="shared" si="3"/>
        <v>100</v>
      </c>
      <c r="C65">
        <f t="shared" si="4"/>
        <v>220</v>
      </c>
      <c r="D65">
        <f t="shared" si="5"/>
        <v>96</v>
      </c>
      <c r="E65">
        <v>37</v>
      </c>
      <c r="F65">
        <v>57</v>
      </c>
      <c r="G65">
        <v>81</v>
      </c>
      <c r="H65">
        <f t="shared" si="0"/>
        <v>137</v>
      </c>
      <c r="I65">
        <f t="shared" si="1"/>
        <v>277</v>
      </c>
      <c r="J65">
        <f t="shared" si="2"/>
        <v>177</v>
      </c>
      <c r="K65" t="str" cm="1">
        <f t="array" ref="K65">_xlfn.IFS(H65&gt;=$U$1,"kostka",I65&gt;=$U$1*$R$3,"orzech",J65&gt;=$U$1*$R$4,"miał",1=1,"NIC")</f>
        <v>orzech</v>
      </c>
      <c r="L65">
        <f t="shared" si="6"/>
        <v>137</v>
      </c>
      <c r="M65">
        <f t="shared" si="7"/>
        <v>17</v>
      </c>
      <c r="N65">
        <f t="shared" si="8"/>
        <v>177</v>
      </c>
    </row>
    <row r="66" spans="1:14" x14ac:dyDescent="0.25">
      <c r="A66" s="1">
        <v>41991</v>
      </c>
      <c r="B66">
        <f t="shared" si="3"/>
        <v>137</v>
      </c>
      <c r="C66">
        <f t="shared" si="4"/>
        <v>17</v>
      </c>
      <c r="D66">
        <f t="shared" si="5"/>
        <v>177</v>
      </c>
      <c r="E66">
        <v>188</v>
      </c>
      <c r="F66">
        <v>28</v>
      </c>
      <c r="G66">
        <v>7</v>
      </c>
      <c r="H66">
        <f t="shared" si="0"/>
        <v>325</v>
      </c>
      <c r="I66">
        <f t="shared" si="1"/>
        <v>45</v>
      </c>
      <c r="J66">
        <f t="shared" si="2"/>
        <v>184</v>
      </c>
      <c r="K66" t="str" cm="1">
        <f t="array" ref="K66">_xlfn.IFS(H66&gt;=$U$1,"kostka",I66&gt;=$U$1*$R$3,"orzech",J66&gt;=$U$1*$R$4,"miał",1=1,"NIC")</f>
        <v>kostka</v>
      </c>
      <c r="L66">
        <f t="shared" si="6"/>
        <v>125</v>
      </c>
      <c r="M66">
        <f t="shared" si="7"/>
        <v>45</v>
      </c>
      <c r="N66">
        <f t="shared" si="8"/>
        <v>184</v>
      </c>
    </row>
    <row r="67" spans="1:14" x14ac:dyDescent="0.25">
      <c r="A67" s="1">
        <v>41992</v>
      </c>
      <c r="B67">
        <f t="shared" si="3"/>
        <v>125</v>
      </c>
      <c r="C67">
        <f t="shared" si="4"/>
        <v>45</v>
      </c>
      <c r="D67">
        <f t="shared" si="5"/>
        <v>184</v>
      </c>
      <c r="E67">
        <v>167</v>
      </c>
      <c r="F67">
        <v>41</v>
      </c>
      <c r="G67">
        <v>45</v>
      </c>
      <c r="H67">
        <f t="shared" ref="H67:H130" si="9">B67+E67</f>
        <v>292</v>
      </c>
      <c r="I67">
        <f t="shared" ref="I67:I130" si="10">C67+F67</f>
        <v>86</v>
      </c>
      <c r="J67">
        <f t="shared" ref="J67:J130" si="11">D67+G67</f>
        <v>229</v>
      </c>
      <c r="K67" t="str" cm="1">
        <f t="array" ref="K67">_xlfn.IFS(H67&gt;=$U$1,"kostka",I67&gt;=$U$1*$R$3,"orzech",J67&gt;=$U$1*$R$4,"miał",1=1,"NIC")</f>
        <v>kostka</v>
      </c>
      <c r="L67">
        <f t="shared" si="6"/>
        <v>92</v>
      </c>
      <c r="M67">
        <f t="shared" si="7"/>
        <v>86</v>
      </c>
      <c r="N67">
        <f t="shared" si="8"/>
        <v>229</v>
      </c>
    </row>
    <row r="68" spans="1:14" x14ac:dyDescent="0.25">
      <c r="A68" s="1">
        <v>41993</v>
      </c>
      <c r="B68">
        <f t="shared" ref="B68:B131" si="12">L67</f>
        <v>92</v>
      </c>
      <c r="C68">
        <f t="shared" ref="C68:C131" si="13">M67</f>
        <v>86</v>
      </c>
      <c r="D68">
        <f t="shared" ref="D68:D131" si="14">N67</f>
        <v>229</v>
      </c>
      <c r="E68">
        <v>197</v>
      </c>
      <c r="F68">
        <v>82</v>
      </c>
      <c r="G68">
        <v>43</v>
      </c>
      <c r="H68">
        <f t="shared" si="9"/>
        <v>289</v>
      </c>
      <c r="I68">
        <f t="shared" si="10"/>
        <v>168</v>
      </c>
      <c r="J68">
        <f t="shared" si="11"/>
        <v>272</v>
      </c>
      <c r="K68" t="str" cm="1">
        <f t="array" ref="K68">_xlfn.IFS(H68&gt;=$U$1,"kostka",I68&gt;=$U$1*$R$3,"orzech",J68&gt;=$U$1*$R$4,"miał",1=1,"NIC")</f>
        <v>kostka</v>
      </c>
      <c r="L68">
        <f t="shared" ref="L68:L131" si="15">IF($K68="kostka",H68-$U$1,H68)</f>
        <v>89</v>
      </c>
      <c r="M68">
        <f t="shared" ref="M68:M131" si="16">IF($K68="orzech",I68-$U$1*$R$3,I68)</f>
        <v>168</v>
      </c>
      <c r="N68">
        <f t="shared" ref="N68:N131" si="17">IF($K68="miał",J68-$U$1*$R$4,J68)</f>
        <v>272</v>
      </c>
    </row>
    <row r="69" spans="1:14" x14ac:dyDescent="0.25">
      <c r="A69" s="1">
        <v>41994</v>
      </c>
      <c r="B69">
        <f t="shared" si="12"/>
        <v>89</v>
      </c>
      <c r="C69">
        <f t="shared" si="13"/>
        <v>168</v>
      </c>
      <c r="D69">
        <f t="shared" si="14"/>
        <v>272</v>
      </c>
      <c r="E69">
        <v>54</v>
      </c>
      <c r="F69">
        <v>130</v>
      </c>
      <c r="G69">
        <v>50</v>
      </c>
      <c r="H69">
        <f t="shared" si="9"/>
        <v>143</v>
      </c>
      <c r="I69">
        <f t="shared" si="10"/>
        <v>298</v>
      </c>
      <c r="J69">
        <f t="shared" si="11"/>
        <v>322</v>
      </c>
      <c r="K69" t="str" cm="1">
        <f t="array" ref="K69">_xlfn.IFS(H69&gt;=$U$1,"kostka",I69&gt;=$U$1*$R$3,"orzech",J69&gt;=$U$1*$R$4,"miał",1=1,"NIC")</f>
        <v>orzech</v>
      </c>
      <c r="L69">
        <f t="shared" si="15"/>
        <v>143</v>
      </c>
      <c r="M69">
        <f t="shared" si="16"/>
        <v>38</v>
      </c>
      <c r="N69">
        <f t="shared" si="17"/>
        <v>322</v>
      </c>
    </row>
    <row r="70" spans="1:14" x14ac:dyDescent="0.25">
      <c r="A70" s="1">
        <v>41995</v>
      </c>
      <c r="B70">
        <f t="shared" si="12"/>
        <v>143</v>
      </c>
      <c r="C70">
        <f t="shared" si="13"/>
        <v>38</v>
      </c>
      <c r="D70">
        <f t="shared" si="14"/>
        <v>322</v>
      </c>
      <c r="E70">
        <v>19</v>
      </c>
      <c r="F70">
        <v>153</v>
      </c>
      <c r="G70">
        <v>65</v>
      </c>
      <c r="H70">
        <f t="shared" si="9"/>
        <v>162</v>
      </c>
      <c r="I70">
        <f t="shared" si="10"/>
        <v>191</v>
      </c>
      <c r="J70">
        <f t="shared" si="11"/>
        <v>387</v>
      </c>
      <c r="K70" t="str" cm="1">
        <f t="array" ref="K70">_xlfn.IFS(H70&gt;=$U$1,"kostka",I70&gt;=$U$1*$R$3,"orzech",J70&gt;=$U$1*$R$4,"miał",1=1,"NIC")</f>
        <v>miał</v>
      </c>
      <c r="L70">
        <f t="shared" si="15"/>
        <v>162</v>
      </c>
      <c r="M70">
        <f t="shared" si="16"/>
        <v>191</v>
      </c>
      <c r="N70">
        <f t="shared" si="17"/>
        <v>67</v>
      </c>
    </row>
    <row r="71" spans="1:14" x14ac:dyDescent="0.25">
      <c r="A71" s="1">
        <v>41996</v>
      </c>
      <c r="B71">
        <f t="shared" si="12"/>
        <v>162</v>
      </c>
      <c r="C71">
        <f t="shared" si="13"/>
        <v>191</v>
      </c>
      <c r="D71">
        <f t="shared" si="14"/>
        <v>67</v>
      </c>
      <c r="E71">
        <v>27</v>
      </c>
      <c r="F71">
        <v>160</v>
      </c>
      <c r="G71">
        <v>81</v>
      </c>
      <c r="H71">
        <f t="shared" si="9"/>
        <v>189</v>
      </c>
      <c r="I71">
        <f t="shared" si="10"/>
        <v>351</v>
      </c>
      <c r="J71">
        <f t="shared" si="11"/>
        <v>148</v>
      </c>
      <c r="K71" t="str" cm="1">
        <f t="array" ref="K71">_xlfn.IFS(H71&gt;=$U$1,"kostka",I71&gt;=$U$1*$R$3,"orzech",J71&gt;=$U$1*$R$4,"miał",1=1,"NIC")</f>
        <v>orzech</v>
      </c>
      <c r="L71">
        <f t="shared" si="15"/>
        <v>189</v>
      </c>
      <c r="M71">
        <f t="shared" si="16"/>
        <v>91</v>
      </c>
      <c r="N71">
        <f t="shared" si="17"/>
        <v>148</v>
      </c>
    </row>
    <row r="72" spans="1:14" x14ac:dyDescent="0.25">
      <c r="A72" s="1">
        <v>41997</v>
      </c>
      <c r="B72">
        <f t="shared" si="12"/>
        <v>189</v>
      </c>
      <c r="C72">
        <f t="shared" si="13"/>
        <v>91</v>
      </c>
      <c r="D72">
        <f t="shared" si="14"/>
        <v>148</v>
      </c>
      <c r="E72">
        <v>11</v>
      </c>
      <c r="F72">
        <v>140</v>
      </c>
      <c r="G72">
        <v>77</v>
      </c>
      <c r="H72">
        <f t="shared" si="9"/>
        <v>200</v>
      </c>
      <c r="I72">
        <f t="shared" si="10"/>
        <v>231</v>
      </c>
      <c r="J72">
        <f t="shared" si="11"/>
        <v>225</v>
      </c>
      <c r="K72" t="str" cm="1">
        <f t="array" ref="K72">_xlfn.IFS(H72&gt;=$U$1,"kostka",I72&gt;=$U$1*$R$3,"orzech",J72&gt;=$U$1*$R$4,"miał",1=1,"NIC")</f>
        <v>kostka</v>
      </c>
      <c r="L72">
        <f t="shared" si="15"/>
        <v>0</v>
      </c>
      <c r="M72">
        <f t="shared" si="16"/>
        <v>231</v>
      </c>
      <c r="N72">
        <f t="shared" si="17"/>
        <v>225</v>
      </c>
    </row>
    <row r="73" spans="1:14" x14ac:dyDescent="0.25">
      <c r="A73" s="1">
        <v>41998</v>
      </c>
      <c r="B73">
        <f t="shared" si="12"/>
        <v>0</v>
      </c>
      <c r="C73">
        <f t="shared" si="13"/>
        <v>231</v>
      </c>
      <c r="D73">
        <f t="shared" si="14"/>
        <v>225</v>
      </c>
      <c r="E73">
        <v>182</v>
      </c>
      <c r="F73">
        <v>50</v>
      </c>
      <c r="G73">
        <v>22</v>
      </c>
      <c r="H73">
        <f t="shared" si="9"/>
        <v>182</v>
      </c>
      <c r="I73">
        <f t="shared" si="10"/>
        <v>281</v>
      </c>
      <c r="J73">
        <f t="shared" si="11"/>
        <v>247</v>
      </c>
      <c r="K73" t="str" cm="1">
        <f t="array" ref="K73">_xlfn.IFS(H73&gt;=$U$1,"kostka",I73&gt;=$U$1*$R$3,"orzech",J73&gt;=$U$1*$R$4,"miał",1=1,"NIC")</f>
        <v>orzech</v>
      </c>
      <c r="L73">
        <f t="shared" si="15"/>
        <v>182</v>
      </c>
      <c r="M73">
        <f t="shared" si="16"/>
        <v>21</v>
      </c>
      <c r="N73">
        <f t="shared" si="17"/>
        <v>247</v>
      </c>
    </row>
    <row r="74" spans="1:14" x14ac:dyDescent="0.25">
      <c r="A74" s="1">
        <v>41999</v>
      </c>
      <c r="B74">
        <f t="shared" si="12"/>
        <v>182</v>
      </c>
      <c r="C74">
        <f t="shared" si="13"/>
        <v>21</v>
      </c>
      <c r="D74">
        <f t="shared" si="14"/>
        <v>247</v>
      </c>
      <c r="E74">
        <v>63</v>
      </c>
      <c r="F74">
        <v>83</v>
      </c>
      <c r="G74">
        <v>69</v>
      </c>
      <c r="H74">
        <f t="shared" si="9"/>
        <v>245</v>
      </c>
      <c r="I74">
        <f t="shared" si="10"/>
        <v>104</v>
      </c>
      <c r="J74">
        <f t="shared" si="11"/>
        <v>316</v>
      </c>
      <c r="K74" t="str" cm="1">
        <f t="array" ref="K74">_xlfn.IFS(H74&gt;=$U$1,"kostka",I74&gt;=$U$1*$R$3,"orzech",J74&gt;=$U$1*$R$4,"miał",1=1,"NIC")</f>
        <v>kostka</v>
      </c>
      <c r="L74">
        <f t="shared" si="15"/>
        <v>45</v>
      </c>
      <c r="M74">
        <f t="shared" si="16"/>
        <v>104</v>
      </c>
      <c r="N74">
        <f t="shared" si="17"/>
        <v>316</v>
      </c>
    </row>
    <row r="75" spans="1:14" x14ac:dyDescent="0.25">
      <c r="A75" s="1">
        <v>42000</v>
      </c>
      <c r="B75">
        <f t="shared" si="12"/>
        <v>45</v>
      </c>
      <c r="C75">
        <f t="shared" si="13"/>
        <v>104</v>
      </c>
      <c r="D75">
        <f t="shared" si="14"/>
        <v>316</v>
      </c>
      <c r="E75">
        <v>33</v>
      </c>
      <c r="F75">
        <v>59</v>
      </c>
      <c r="G75">
        <v>46</v>
      </c>
      <c r="H75">
        <f t="shared" si="9"/>
        <v>78</v>
      </c>
      <c r="I75">
        <f t="shared" si="10"/>
        <v>163</v>
      </c>
      <c r="J75">
        <f t="shared" si="11"/>
        <v>362</v>
      </c>
      <c r="K75" t="str" cm="1">
        <f t="array" ref="K75">_xlfn.IFS(H75&gt;=$U$1,"kostka",I75&gt;=$U$1*$R$3,"orzech",J75&gt;=$U$1*$R$4,"miał",1=1,"NIC")</f>
        <v>miał</v>
      </c>
      <c r="L75">
        <f t="shared" si="15"/>
        <v>78</v>
      </c>
      <c r="M75">
        <f t="shared" si="16"/>
        <v>163</v>
      </c>
      <c r="N75">
        <f t="shared" si="17"/>
        <v>42</v>
      </c>
    </row>
    <row r="76" spans="1:14" x14ac:dyDescent="0.25">
      <c r="A76" s="1">
        <v>42001</v>
      </c>
      <c r="B76">
        <f t="shared" si="12"/>
        <v>78</v>
      </c>
      <c r="C76">
        <f t="shared" si="13"/>
        <v>163</v>
      </c>
      <c r="D76">
        <f t="shared" si="14"/>
        <v>42</v>
      </c>
      <c r="E76">
        <v>119</v>
      </c>
      <c r="F76">
        <v>57</v>
      </c>
      <c r="G76">
        <v>67</v>
      </c>
      <c r="H76">
        <f t="shared" si="9"/>
        <v>197</v>
      </c>
      <c r="I76">
        <f t="shared" si="10"/>
        <v>220</v>
      </c>
      <c r="J76">
        <f t="shared" si="11"/>
        <v>109</v>
      </c>
      <c r="K76" t="str" cm="1">
        <f t="array" ref="K76">_xlfn.IFS(H76&gt;=$U$1,"kostka",I76&gt;=$U$1*$R$3,"orzech",J76&gt;=$U$1*$R$4,"miał",1=1,"NIC")</f>
        <v>NIC</v>
      </c>
      <c r="L76">
        <f t="shared" si="15"/>
        <v>197</v>
      </c>
      <c r="M76">
        <f t="shared" si="16"/>
        <v>220</v>
      </c>
      <c r="N76">
        <f t="shared" si="17"/>
        <v>109</v>
      </c>
    </row>
    <row r="77" spans="1:14" x14ac:dyDescent="0.25">
      <c r="A77" s="1">
        <v>42002</v>
      </c>
      <c r="B77">
        <f t="shared" si="12"/>
        <v>197</v>
      </c>
      <c r="C77">
        <f t="shared" si="13"/>
        <v>220</v>
      </c>
      <c r="D77">
        <f t="shared" si="14"/>
        <v>109</v>
      </c>
      <c r="E77">
        <v>58</v>
      </c>
      <c r="F77">
        <v>176</v>
      </c>
      <c r="G77">
        <v>16</v>
      </c>
      <c r="H77">
        <f t="shared" si="9"/>
        <v>255</v>
      </c>
      <c r="I77">
        <f t="shared" si="10"/>
        <v>396</v>
      </c>
      <c r="J77">
        <f t="shared" si="11"/>
        <v>125</v>
      </c>
      <c r="K77" t="str" cm="1">
        <f t="array" ref="K77">_xlfn.IFS(H77&gt;=$U$1,"kostka",I77&gt;=$U$1*$R$3,"orzech",J77&gt;=$U$1*$R$4,"miał",1=1,"NIC")</f>
        <v>kostka</v>
      </c>
      <c r="L77">
        <f t="shared" si="15"/>
        <v>55</v>
      </c>
      <c r="M77">
        <f t="shared" si="16"/>
        <v>396</v>
      </c>
      <c r="N77">
        <f t="shared" si="17"/>
        <v>125</v>
      </c>
    </row>
    <row r="78" spans="1:14" x14ac:dyDescent="0.25">
      <c r="A78" s="1">
        <v>42003</v>
      </c>
      <c r="B78">
        <f t="shared" si="12"/>
        <v>55</v>
      </c>
      <c r="C78">
        <f t="shared" si="13"/>
        <v>396</v>
      </c>
      <c r="D78">
        <f t="shared" si="14"/>
        <v>125</v>
      </c>
      <c r="E78">
        <v>174</v>
      </c>
      <c r="F78">
        <v>61</v>
      </c>
      <c r="G78">
        <v>46</v>
      </c>
      <c r="H78">
        <f t="shared" si="9"/>
        <v>229</v>
      </c>
      <c r="I78">
        <f t="shared" si="10"/>
        <v>457</v>
      </c>
      <c r="J78">
        <f t="shared" si="11"/>
        <v>171</v>
      </c>
      <c r="K78" t="str" cm="1">
        <f t="array" ref="K78">_xlfn.IFS(H78&gt;=$U$1,"kostka",I78&gt;=$U$1*$R$3,"orzech",J78&gt;=$U$1*$R$4,"miał",1=1,"NIC")</f>
        <v>kostka</v>
      </c>
      <c r="L78">
        <f t="shared" si="15"/>
        <v>29</v>
      </c>
      <c r="M78">
        <f t="shared" si="16"/>
        <v>457</v>
      </c>
      <c r="N78">
        <f t="shared" si="17"/>
        <v>171</v>
      </c>
    </row>
    <row r="79" spans="1:14" x14ac:dyDescent="0.25">
      <c r="A79" s="1">
        <v>42004</v>
      </c>
      <c r="B79">
        <f t="shared" si="12"/>
        <v>29</v>
      </c>
      <c r="C79">
        <f t="shared" si="13"/>
        <v>457</v>
      </c>
      <c r="D79">
        <f t="shared" si="14"/>
        <v>171</v>
      </c>
      <c r="E79">
        <v>45</v>
      </c>
      <c r="F79">
        <v>154</v>
      </c>
      <c r="G79">
        <v>0</v>
      </c>
      <c r="H79">
        <f t="shared" si="9"/>
        <v>74</v>
      </c>
      <c r="I79">
        <f t="shared" si="10"/>
        <v>611</v>
      </c>
      <c r="J79">
        <f t="shared" si="11"/>
        <v>171</v>
      </c>
      <c r="K79" t="str" cm="1">
        <f t="array" ref="K79">_xlfn.IFS(H79&gt;=$U$1,"kostka",I79&gt;=$U$1*$R$3,"orzech",J79&gt;=$U$1*$R$4,"miał",1=1,"NIC")</f>
        <v>orzech</v>
      </c>
      <c r="L79">
        <f t="shared" si="15"/>
        <v>74</v>
      </c>
      <c r="M79">
        <f t="shared" si="16"/>
        <v>351</v>
      </c>
      <c r="N79">
        <f t="shared" si="17"/>
        <v>171</v>
      </c>
    </row>
    <row r="80" spans="1:14" x14ac:dyDescent="0.25">
      <c r="A80" s="1">
        <v>42005</v>
      </c>
      <c r="B80">
        <f t="shared" si="12"/>
        <v>74</v>
      </c>
      <c r="C80">
        <f t="shared" si="13"/>
        <v>351</v>
      </c>
      <c r="D80">
        <f t="shared" si="14"/>
        <v>171</v>
      </c>
      <c r="E80">
        <v>94</v>
      </c>
      <c r="F80">
        <v>120</v>
      </c>
      <c r="G80">
        <v>95</v>
      </c>
      <c r="H80">
        <f t="shared" si="9"/>
        <v>168</v>
      </c>
      <c r="I80">
        <f t="shared" si="10"/>
        <v>471</v>
      </c>
      <c r="J80">
        <f t="shared" si="11"/>
        <v>266</v>
      </c>
      <c r="K80" t="str" cm="1">
        <f t="array" ref="K80">_xlfn.IFS(H80&gt;=$U$1,"kostka",I80&gt;=$U$1*$R$3,"orzech",J80&gt;=$U$1*$R$4,"miał",1=1,"NIC")</f>
        <v>orzech</v>
      </c>
      <c r="L80">
        <f t="shared" si="15"/>
        <v>168</v>
      </c>
      <c r="M80">
        <f t="shared" si="16"/>
        <v>211</v>
      </c>
      <c r="N80">
        <f t="shared" si="17"/>
        <v>266</v>
      </c>
    </row>
    <row r="81" spans="1:14" x14ac:dyDescent="0.25">
      <c r="A81" s="1">
        <v>42006</v>
      </c>
      <c r="B81">
        <f t="shared" si="12"/>
        <v>168</v>
      </c>
      <c r="C81">
        <f t="shared" si="13"/>
        <v>211</v>
      </c>
      <c r="D81">
        <f t="shared" si="14"/>
        <v>266</v>
      </c>
      <c r="E81">
        <v>12</v>
      </c>
      <c r="F81">
        <v>5</v>
      </c>
      <c r="G81">
        <v>42</v>
      </c>
      <c r="H81">
        <f t="shared" si="9"/>
        <v>180</v>
      </c>
      <c r="I81">
        <f t="shared" si="10"/>
        <v>216</v>
      </c>
      <c r="J81">
        <f t="shared" si="11"/>
        <v>308</v>
      </c>
      <c r="K81" t="str" cm="1">
        <f t="array" ref="K81">_xlfn.IFS(H81&gt;=$U$1,"kostka",I81&gt;=$U$1*$R$3,"orzech",J81&gt;=$U$1*$R$4,"miał",1=1,"NIC")</f>
        <v>NIC</v>
      </c>
      <c r="L81">
        <f t="shared" si="15"/>
        <v>180</v>
      </c>
      <c r="M81">
        <f t="shared" si="16"/>
        <v>216</v>
      </c>
      <c r="N81">
        <f t="shared" si="17"/>
        <v>308</v>
      </c>
    </row>
    <row r="82" spans="1:14" x14ac:dyDescent="0.25">
      <c r="A82" s="1">
        <v>42007</v>
      </c>
      <c r="B82">
        <f t="shared" si="12"/>
        <v>180</v>
      </c>
      <c r="C82">
        <f t="shared" si="13"/>
        <v>216</v>
      </c>
      <c r="D82">
        <f t="shared" si="14"/>
        <v>308</v>
      </c>
      <c r="E82">
        <v>80</v>
      </c>
      <c r="F82">
        <v>170</v>
      </c>
      <c r="G82">
        <v>96</v>
      </c>
      <c r="H82">
        <f t="shared" si="9"/>
        <v>260</v>
      </c>
      <c r="I82">
        <f t="shared" si="10"/>
        <v>386</v>
      </c>
      <c r="J82">
        <f t="shared" si="11"/>
        <v>404</v>
      </c>
      <c r="K82" t="str" cm="1">
        <f t="array" ref="K82">_xlfn.IFS(H82&gt;=$U$1,"kostka",I82&gt;=$U$1*$R$3,"orzech",J82&gt;=$U$1*$R$4,"miał",1=1,"NIC")</f>
        <v>kostka</v>
      </c>
      <c r="L82">
        <f t="shared" si="15"/>
        <v>60</v>
      </c>
      <c r="M82">
        <f t="shared" si="16"/>
        <v>386</v>
      </c>
      <c r="N82">
        <f t="shared" si="17"/>
        <v>404</v>
      </c>
    </row>
    <row r="83" spans="1:14" x14ac:dyDescent="0.25">
      <c r="A83" s="1">
        <v>42008</v>
      </c>
      <c r="B83">
        <f t="shared" si="12"/>
        <v>60</v>
      </c>
      <c r="C83">
        <f t="shared" si="13"/>
        <v>386</v>
      </c>
      <c r="D83">
        <f t="shared" si="14"/>
        <v>404</v>
      </c>
      <c r="E83">
        <v>80</v>
      </c>
      <c r="F83">
        <v>10</v>
      </c>
      <c r="G83">
        <v>30</v>
      </c>
      <c r="H83">
        <f t="shared" si="9"/>
        <v>140</v>
      </c>
      <c r="I83">
        <f t="shared" si="10"/>
        <v>396</v>
      </c>
      <c r="J83">
        <f t="shared" si="11"/>
        <v>434</v>
      </c>
      <c r="K83" t="str" cm="1">
        <f t="array" ref="K83">_xlfn.IFS(H83&gt;=$U$1,"kostka",I83&gt;=$U$1*$R$3,"orzech",J83&gt;=$U$1*$R$4,"miał",1=1,"NIC")</f>
        <v>orzech</v>
      </c>
      <c r="L83">
        <f t="shared" si="15"/>
        <v>140</v>
      </c>
      <c r="M83">
        <f t="shared" si="16"/>
        <v>136</v>
      </c>
      <c r="N83">
        <f t="shared" si="17"/>
        <v>434</v>
      </c>
    </row>
    <row r="84" spans="1:14" x14ac:dyDescent="0.25">
      <c r="A84" s="1">
        <v>42009</v>
      </c>
      <c r="B84">
        <f t="shared" si="12"/>
        <v>140</v>
      </c>
      <c r="C84">
        <f t="shared" si="13"/>
        <v>136</v>
      </c>
      <c r="D84">
        <f t="shared" si="14"/>
        <v>434</v>
      </c>
      <c r="E84">
        <v>90</v>
      </c>
      <c r="F84">
        <v>80</v>
      </c>
      <c r="G84">
        <v>31</v>
      </c>
      <c r="H84">
        <f t="shared" si="9"/>
        <v>230</v>
      </c>
      <c r="I84">
        <f t="shared" si="10"/>
        <v>216</v>
      </c>
      <c r="J84">
        <f t="shared" si="11"/>
        <v>465</v>
      </c>
      <c r="K84" t="str" cm="1">
        <f t="array" ref="K84">_xlfn.IFS(H84&gt;=$U$1,"kostka",I84&gt;=$U$1*$R$3,"orzech",J84&gt;=$U$1*$R$4,"miał",1=1,"NIC")</f>
        <v>kostka</v>
      </c>
      <c r="L84">
        <f t="shared" si="15"/>
        <v>30</v>
      </c>
      <c r="M84">
        <f t="shared" si="16"/>
        <v>216</v>
      </c>
      <c r="N84">
        <f t="shared" si="17"/>
        <v>465</v>
      </c>
    </row>
    <row r="85" spans="1:14" x14ac:dyDescent="0.25">
      <c r="A85" s="1">
        <v>42010</v>
      </c>
      <c r="B85">
        <f t="shared" si="12"/>
        <v>30</v>
      </c>
      <c r="C85">
        <f t="shared" si="13"/>
        <v>216</v>
      </c>
      <c r="D85">
        <f t="shared" si="14"/>
        <v>465</v>
      </c>
      <c r="E85">
        <v>130</v>
      </c>
      <c r="F85">
        <v>163</v>
      </c>
      <c r="G85">
        <v>92</v>
      </c>
      <c r="H85">
        <f t="shared" si="9"/>
        <v>160</v>
      </c>
      <c r="I85">
        <f t="shared" si="10"/>
        <v>379</v>
      </c>
      <c r="J85">
        <f t="shared" si="11"/>
        <v>557</v>
      </c>
      <c r="K85" t="str" cm="1">
        <f t="array" ref="K85">_xlfn.IFS(H85&gt;=$U$1,"kostka",I85&gt;=$U$1*$R$3,"orzech",J85&gt;=$U$1*$R$4,"miał",1=1,"NIC")</f>
        <v>orzech</v>
      </c>
      <c r="L85">
        <f t="shared" si="15"/>
        <v>160</v>
      </c>
      <c r="M85">
        <f t="shared" si="16"/>
        <v>119</v>
      </c>
      <c r="N85">
        <f t="shared" si="17"/>
        <v>557</v>
      </c>
    </row>
    <row r="86" spans="1:14" x14ac:dyDescent="0.25">
      <c r="A86" s="1">
        <v>42011</v>
      </c>
      <c r="B86">
        <f t="shared" si="12"/>
        <v>160</v>
      </c>
      <c r="C86">
        <f t="shared" si="13"/>
        <v>119</v>
      </c>
      <c r="D86">
        <f t="shared" si="14"/>
        <v>557</v>
      </c>
      <c r="E86">
        <v>54</v>
      </c>
      <c r="F86">
        <v>7</v>
      </c>
      <c r="G86">
        <v>79</v>
      </c>
      <c r="H86">
        <f t="shared" si="9"/>
        <v>214</v>
      </c>
      <c r="I86">
        <f t="shared" si="10"/>
        <v>126</v>
      </c>
      <c r="J86">
        <f t="shared" si="11"/>
        <v>636</v>
      </c>
      <c r="K86" t="str" cm="1">
        <f t="array" ref="K86">_xlfn.IFS(H86&gt;=$U$1,"kostka",I86&gt;=$U$1*$R$3,"orzech",J86&gt;=$U$1*$R$4,"miał",1=1,"NIC")</f>
        <v>kostka</v>
      </c>
      <c r="L86">
        <f t="shared" si="15"/>
        <v>14</v>
      </c>
      <c r="M86">
        <f t="shared" si="16"/>
        <v>126</v>
      </c>
      <c r="N86">
        <f t="shared" si="17"/>
        <v>636</v>
      </c>
    </row>
    <row r="87" spans="1:14" x14ac:dyDescent="0.25">
      <c r="A87" s="1">
        <v>42012</v>
      </c>
      <c r="B87">
        <f t="shared" si="12"/>
        <v>14</v>
      </c>
      <c r="C87">
        <f t="shared" si="13"/>
        <v>126</v>
      </c>
      <c r="D87">
        <f t="shared" si="14"/>
        <v>636</v>
      </c>
      <c r="E87">
        <v>88</v>
      </c>
      <c r="F87">
        <v>125</v>
      </c>
      <c r="G87">
        <v>97</v>
      </c>
      <c r="H87">
        <f t="shared" si="9"/>
        <v>102</v>
      </c>
      <c r="I87">
        <f t="shared" si="10"/>
        <v>251</v>
      </c>
      <c r="J87">
        <f t="shared" si="11"/>
        <v>733</v>
      </c>
      <c r="K87" t="str" cm="1">
        <f t="array" ref="K87">_xlfn.IFS(H87&gt;=$U$1,"kostka",I87&gt;=$U$1*$R$3,"orzech",J87&gt;=$U$1*$R$4,"miał",1=1,"NIC")</f>
        <v>miał</v>
      </c>
      <c r="L87">
        <f t="shared" si="15"/>
        <v>102</v>
      </c>
      <c r="M87">
        <f t="shared" si="16"/>
        <v>251</v>
      </c>
      <c r="N87">
        <f t="shared" si="17"/>
        <v>413</v>
      </c>
    </row>
    <row r="88" spans="1:14" x14ac:dyDescent="0.25">
      <c r="A88" s="1">
        <v>42013</v>
      </c>
      <c r="B88">
        <f t="shared" si="12"/>
        <v>102</v>
      </c>
      <c r="C88">
        <f t="shared" si="13"/>
        <v>251</v>
      </c>
      <c r="D88">
        <f t="shared" si="14"/>
        <v>413</v>
      </c>
      <c r="E88">
        <v>83</v>
      </c>
      <c r="F88">
        <v>85</v>
      </c>
      <c r="G88">
        <v>99</v>
      </c>
      <c r="H88">
        <f t="shared" si="9"/>
        <v>185</v>
      </c>
      <c r="I88">
        <f t="shared" si="10"/>
        <v>336</v>
      </c>
      <c r="J88">
        <f t="shared" si="11"/>
        <v>512</v>
      </c>
      <c r="K88" t="str" cm="1">
        <f t="array" ref="K88">_xlfn.IFS(H88&gt;=$U$1,"kostka",I88&gt;=$U$1*$R$3,"orzech",J88&gt;=$U$1*$R$4,"miał",1=1,"NIC")</f>
        <v>orzech</v>
      </c>
      <c r="L88">
        <f t="shared" si="15"/>
        <v>185</v>
      </c>
      <c r="M88">
        <f t="shared" si="16"/>
        <v>76</v>
      </c>
      <c r="N88">
        <f t="shared" si="17"/>
        <v>512</v>
      </c>
    </row>
    <row r="89" spans="1:14" x14ac:dyDescent="0.25">
      <c r="A89" s="1">
        <v>42014</v>
      </c>
      <c r="B89">
        <f t="shared" si="12"/>
        <v>185</v>
      </c>
      <c r="C89">
        <f t="shared" si="13"/>
        <v>76</v>
      </c>
      <c r="D89">
        <f t="shared" si="14"/>
        <v>512</v>
      </c>
      <c r="E89">
        <v>139</v>
      </c>
      <c r="F89">
        <v>155</v>
      </c>
      <c r="G89">
        <v>11</v>
      </c>
      <c r="H89">
        <f t="shared" si="9"/>
        <v>324</v>
      </c>
      <c r="I89">
        <f t="shared" si="10"/>
        <v>231</v>
      </c>
      <c r="J89">
        <f t="shared" si="11"/>
        <v>523</v>
      </c>
      <c r="K89" t="str" cm="1">
        <f t="array" ref="K89">_xlfn.IFS(H89&gt;=$U$1,"kostka",I89&gt;=$U$1*$R$3,"orzech",J89&gt;=$U$1*$R$4,"miał",1=1,"NIC")</f>
        <v>kostka</v>
      </c>
      <c r="L89">
        <f t="shared" si="15"/>
        <v>124</v>
      </c>
      <c r="M89">
        <f t="shared" si="16"/>
        <v>231</v>
      </c>
      <c r="N89">
        <f t="shared" si="17"/>
        <v>523</v>
      </c>
    </row>
    <row r="90" spans="1:14" x14ac:dyDescent="0.25">
      <c r="A90" s="1">
        <v>42015</v>
      </c>
      <c r="B90">
        <f t="shared" si="12"/>
        <v>124</v>
      </c>
      <c r="C90">
        <f t="shared" si="13"/>
        <v>231</v>
      </c>
      <c r="D90">
        <f t="shared" si="14"/>
        <v>523</v>
      </c>
      <c r="E90">
        <v>82</v>
      </c>
      <c r="F90">
        <v>43</v>
      </c>
      <c r="G90">
        <v>93</v>
      </c>
      <c r="H90">
        <f t="shared" si="9"/>
        <v>206</v>
      </c>
      <c r="I90">
        <f t="shared" si="10"/>
        <v>274</v>
      </c>
      <c r="J90">
        <f t="shared" si="11"/>
        <v>616</v>
      </c>
      <c r="K90" t="str" cm="1">
        <f t="array" ref="K90">_xlfn.IFS(H90&gt;=$U$1,"kostka",I90&gt;=$U$1*$R$3,"orzech",J90&gt;=$U$1*$R$4,"miał",1=1,"NIC")</f>
        <v>kostka</v>
      </c>
      <c r="L90">
        <f t="shared" si="15"/>
        <v>6</v>
      </c>
      <c r="M90">
        <f t="shared" si="16"/>
        <v>274</v>
      </c>
      <c r="N90">
        <f t="shared" si="17"/>
        <v>616</v>
      </c>
    </row>
    <row r="91" spans="1:14" x14ac:dyDescent="0.25">
      <c r="A91" s="1">
        <v>42016</v>
      </c>
      <c r="B91">
        <f t="shared" si="12"/>
        <v>6</v>
      </c>
      <c r="C91">
        <f t="shared" si="13"/>
        <v>274</v>
      </c>
      <c r="D91">
        <f t="shared" si="14"/>
        <v>616</v>
      </c>
      <c r="E91">
        <v>23</v>
      </c>
      <c r="F91">
        <v>40</v>
      </c>
      <c r="G91">
        <v>83</v>
      </c>
      <c r="H91">
        <f t="shared" si="9"/>
        <v>29</v>
      </c>
      <c r="I91">
        <f t="shared" si="10"/>
        <v>314</v>
      </c>
      <c r="J91">
        <f t="shared" si="11"/>
        <v>699</v>
      </c>
      <c r="K91" t="str" cm="1">
        <f t="array" ref="K91">_xlfn.IFS(H91&gt;=$U$1,"kostka",I91&gt;=$U$1*$R$3,"orzech",J91&gt;=$U$1*$R$4,"miał",1=1,"NIC")</f>
        <v>orzech</v>
      </c>
      <c r="L91">
        <f t="shared" si="15"/>
        <v>29</v>
      </c>
      <c r="M91">
        <f t="shared" si="16"/>
        <v>54</v>
      </c>
      <c r="N91">
        <f t="shared" si="17"/>
        <v>699</v>
      </c>
    </row>
    <row r="92" spans="1:14" x14ac:dyDescent="0.25">
      <c r="A92" s="1">
        <v>42017</v>
      </c>
      <c r="B92">
        <f t="shared" si="12"/>
        <v>29</v>
      </c>
      <c r="C92">
        <f t="shared" si="13"/>
        <v>54</v>
      </c>
      <c r="D92">
        <f t="shared" si="14"/>
        <v>699</v>
      </c>
      <c r="E92">
        <v>118</v>
      </c>
      <c r="F92">
        <v>165</v>
      </c>
      <c r="G92">
        <v>56</v>
      </c>
      <c r="H92">
        <f t="shared" si="9"/>
        <v>147</v>
      </c>
      <c r="I92">
        <f t="shared" si="10"/>
        <v>219</v>
      </c>
      <c r="J92">
        <f t="shared" si="11"/>
        <v>755</v>
      </c>
      <c r="K92" t="str" cm="1">
        <f t="array" ref="K92">_xlfn.IFS(H92&gt;=$U$1,"kostka",I92&gt;=$U$1*$R$3,"orzech",J92&gt;=$U$1*$R$4,"miał",1=1,"NIC")</f>
        <v>miał</v>
      </c>
      <c r="L92">
        <f t="shared" si="15"/>
        <v>147</v>
      </c>
      <c r="M92">
        <f t="shared" si="16"/>
        <v>219</v>
      </c>
      <c r="N92">
        <f t="shared" si="17"/>
        <v>435</v>
      </c>
    </row>
    <row r="93" spans="1:14" x14ac:dyDescent="0.25">
      <c r="A93" s="1">
        <v>42018</v>
      </c>
      <c r="B93">
        <f t="shared" si="12"/>
        <v>147</v>
      </c>
      <c r="C93">
        <f t="shared" si="13"/>
        <v>219</v>
      </c>
      <c r="D93">
        <f t="shared" si="14"/>
        <v>435</v>
      </c>
      <c r="E93">
        <v>59</v>
      </c>
      <c r="F93">
        <v>35</v>
      </c>
      <c r="G93">
        <v>17</v>
      </c>
      <c r="H93">
        <f t="shared" si="9"/>
        <v>206</v>
      </c>
      <c r="I93">
        <f t="shared" si="10"/>
        <v>254</v>
      </c>
      <c r="J93">
        <f t="shared" si="11"/>
        <v>452</v>
      </c>
      <c r="K93" t="str" cm="1">
        <f t="array" ref="K93">_xlfn.IFS(H93&gt;=$U$1,"kostka",I93&gt;=$U$1*$R$3,"orzech",J93&gt;=$U$1*$R$4,"miał",1=1,"NIC")</f>
        <v>kostka</v>
      </c>
      <c r="L93">
        <f t="shared" si="15"/>
        <v>6</v>
      </c>
      <c r="M93">
        <f t="shared" si="16"/>
        <v>254</v>
      </c>
      <c r="N93">
        <f t="shared" si="17"/>
        <v>452</v>
      </c>
    </row>
    <row r="94" spans="1:14" x14ac:dyDescent="0.25">
      <c r="A94" s="1">
        <v>42019</v>
      </c>
      <c r="B94">
        <f t="shared" si="12"/>
        <v>6</v>
      </c>
      <c r="C94">
        <f t="shared" si="13"/>
        <v>254</v>
      </c>
      <c r="D94">
        <f t="shared" si="14"/>
        <v>452</v>
      </c>
      <c r="E94">
        <v>127</v>
      </c>
      <c r="F94">
        <v>58</v>
      </c>
      <c r="G94">
        <v>39</v>
      </c>
      <c r="H94">
        <f t="shared" si="9"/>
        <v>133</v>
      </c>
      <c r="I94">
        <f t="shared" si="10"/>
        <v>312</v>
      </c>
      <c r="J94">
        <f t="shared" si="11"/>
        <v>491</v>
      </c>
      <c r="K94" t="str" cm="1">
        <f t="array" ref="K94">_xlfn.IFS(H94&gt;=$U$1,"kostka",I94&gt;=$U$1*$R$3,"orzech",J94&gt;=$U$1*$R$4,"miał",1=1,"NIC")</f>
        <v>orzech</v>
      </c>
      <c r="L94">
        <f t="shared" si="15"/>
        <v>133</v>
      </c>
      <c r="M94">
        <f t="shared" si="16"/>
        <v>52</v>
      </c>
      <c r="N94">
        <f t="shared" si="17"/>
        <v>491</v>
      </c>
    </row>
    <row r="95" spans="1:14" x14ac:dyDescent="0.25">
      <c r="A95" s="1">
        <v>42020</v>
      </c>
      <c r="B95">
        <f t="shared" si="12"/>
        <v>133</v>
      </c>
      <c r="C95">
        <f t="shared" si="13"/>
        <v>52</v>
      </c>
      <c r="D95">
        <f t="shared" si="14"/>
        <v>491</v>
      </c>
      <c r="E95">
        <v>121</v>
      </c>
      <c r="F95">
        <v>175</v>
      </c>
      <c r="G95">
        <v>77</v>
      </c>
      <c r="H95">
        <f t="shared" si="9"/>
        <v>254</v>
      </c>
      <c r="I95">
        <f t="shared" si="10"/>
        <v>227</v>
      </c>
      <c r="J95">
        <f t="shared" si="11"/>
        <v>568</v>
      </c>
      <c r="K95" t="str" cm="1">
        <f t="array" ref="K95">_xlfn.IFS(H95&gt;=$U$1,"kostka",I95&gt;=$U$1*$R$3,"orzech",J95&gt;=$U$1*$R$4,"miał",1=1,"NIC")</f>
        <v>kostka</v>
      </c>
      <c r="L95">
        <f t="shared" si="15"/>
        <v>54</v>
      </c>
      <c r="M95">
        <f t="shared" si="16"/>
        <v>227</v>
      </c>
      <c r="N95">
        <f t="shared" si="17"/>
        <v>568</v>
      </c>
    </row>
    <row r="96" spans="1:14" x14ac:dyDescent="0.25">
      <c r="A96" s="1">
        <v>42021</v>
      </c>
      <c r="B96">
        <f t="shared" si="12"/>
        <v>54</v>
      </c>
      <c r="C96">
        <f t="shared" si="13"/>
        <v>227</v>
      </c>
      <c r="D96">
        <f t="shared" si="14"/>
        <v>568</v>
      </c>
      <c r="E96">
        <v>80</v>
      </c>
      <c r="F96">
        <v>101</v>
      </c>
      <c r="G96">
        <v>3</v>
      </c>
      <c r="H96">
        <f t="shared" si="9"/>
        <v>134</v>
      </c>
      <c r="I96">
        <f t="shared" si="10"/>
        <v>328</v>
      </c>
      <c r="J96">
        <f t="shared" si="11"/>
        <v>571</v>
      </c>
      <c r="K96" t="str" cm="1">
        <f t="array" ref="K96">_xlfn.IFS(H96&gt;=$U$1,"kostka",I96&gt;=$U$1*$R$3,"orzech",J96&gt;=$U$1*$R$4,"miał",1=1,"NIC")</f>
        <v>orzech</v>
      </c>
      <c r="L96">
        <f t="shared" si="15"/>
        <v>134</v>
      </c>
      <c r="M96">
        <f t="shared" si="16"/>
        <v>68</v>
      </c>
      <c r="N96">
        <f t="shared" si="17"/>
        <v>571</v>
      </c>
    </row>
    <row r="97" spans="1:14" x14ac:dyDescent="0.25">
      <c r="A97" s="1">
        <v>42022</v>
      </c>
      <c r="B97">
        <f t="shared" si="12"/>
        <v>134</v>
      </c>
      <c r="C97">
        <f t="shared" si="13"/>
        <v>68</v>
      </c>
      <c r="D97">
        <f t="shared" si="14"/>
        <v>571</v>
      </c>
      <c r="E97">
        <v>189</v>
      </c>
      <c r="F97">
        <v>161</v>
      </c>
      <c r="G97">
        <v>53</v>
      </c>
      <c r="H97">
        <f t="shared" si="9"/>
        <v>323</v>
      </c>
      <c r="I97">
        <f t="shared" si="10"/>
        <v>229</v>
      </c>
      <c r="J97">
        <f t="shared" si="11"/>
        <v>624</v>
      </c>
      <c r="K97" t="str" cm="1">
        <f t="array" ref="K97">_xlfn.IFS(H97&gt;=$U$1,"kostka",I97&gt;=$U$1*$R$3,"orzech",J97&gt;=$U$1*$R$4,"miał",1=1,"NIC")</f>
        <v>kostka</v>
      </c>
      <c r="L97">
        <f t="shared" si="15"/>
        <v>123</v>
      </c>
      <c r="M97">
        <f t="shared" si="16"/>
        <v>229</v>
      </c>
      <c r="N97">
        <f t="shared" si="17"/>
        <v>624</v>
      </c>
    </row>
    <row r="98" spans="1:14" x14ac:dyDescent="0.25">
      <c r="A98" s="1">
        <v>42023</v>
      </c>
      <c r="B98">
        <f t="shared" si="12"/>
        <v>123</v>
      </c>
      <c r="C98">
        <f t="shared" si="13"/>
        <v>229</v>
      </c>
      <c r="D98">
        <f t="shared" si="14"/>
        <v>624</v>
      </c>
      <c r="E98">
        <v>18</v>
      </c>
      <c r="F98">
        <v>61</v>
      </c>
      <c r="G98">
        <v>19</v>
      </c>
      <c r="H98">
        <f t="shared" si="9"/>
        <v>141</v>
      </c>
      <c r="I98">
        <f t="shared" si="10"/>
        <v>290</v>
      </c>
      <c r="J98">
        <f t="shared" si="11"/>
        <v>643</v>
      </c>
      <c r="K98" t="str" cm="1">
        <f t="array" ref="K98">_xlfn.IFS(H98&gt;=$U$1,"kostka",I98&gt;=$U$1*$R$3,"orzech",J98&gt;=$U$1*$R$4,"miał",1=1,"NIC")</f>
        <v>orzech</v>
      </c>
      <c r="L98">
        <f t="shared" si="15"/>
        <v>141</v>
      </c>
      <c r="M98">
        <f t="shared" si="16"/>
        <v>30</v>
      </c>
      <c r="N98">
        <f t="shared" si="17"/>
        <v>643</v>
      </c>
    </row>
    <row r="99" spans="1:14" x14ac:dyDescent="0.25">
      <c r="A99" s="1">
        <v>42024</v>
      </c>
      <c r="B99">
        <f t="shared" si="12"/>
        <v>141</v>
      </c>
      <c r="C99">
        <f t="shared" si="13"/>
        <v>30</v>
      </c>
      <c r="D99">
        <f t="shared" si="14"/>
        <v>643</v>
      </c>
      <c r="E99">
        <v>68</v>
      </c>
      <c r="F99">
        <v>127</v>
      </c>
      <c r="G99">
        <v>3</v>
      </c>
      <c r="H99">
        <f t="shared" si="9"/>
        <v>209</v>
      </c>
      <c r="I99">
        <f t="shared" si="10"/>
        <v>157</v>
      </c>
      <c r="J99">
        <f t="shared" si="11"/>
        <v>646</v>
      </c>
      <c r="K99" t="str" cm="1">
        <f t="array" ref="K99">_xlfn.IFS(H99&gt;=$U$1,"kostka",I99&gt;=$U$1*$R$3,"orzech",J99&gt;=$U$1*$R$4,"miał",1=1,"NIC")</f>
        <v>kostka</v>
      </c>
      <c r="L99">
        <f t="shared" si="15"/>
        <v>9</v>
      </c>
      <c r="M99">
        <f t="shared" si="16"/>
        <v>157</v>
      </c>
      <c r="N99">
        <f t="shared" si="17"/>
        <v>646</v>
      </c>
    </row>
    <row r="100" spans="1:14" x14ac:dyDescent="0.25">
      <c r="A100" s="1">
        <v>42025</v>
      </c>
      <c r="B100">
        <f t="shared" si="12"/>
        <v>9</v>
      </c>
      <c r="C100">
        <f t="shared" si="13"/>
        <v>157</v>
      </c>
      <c r="D100">
        <f t="shared" si="14"/>
        <v>646</v>
      </c>
      <c r="E100">
        <v>37</v>
      </c>
      <c r="F100">
        <v>112</v>
      </c>
      <c r="G100">
        <v>68</v>
      </c>
      <c r="H100">
        <f t="shared" si="9"/>
        <v>46</v>
      </c>
      <c r="I100">
        <f t="shared" si="10"/>
        <v>269</v>
      </c>
      <c r="J100">
        <f t="shared" si="11"/>
        <v>714</v>
      </c>
      <c r="K100" t="str" cm="1">
        <f t="array" ref="K100">_xlfn.IFS(H100&gt;=$U$1,"kostka",I100&gt;=$U$1*$R$3,"orzech",J100&gt;=$U$1*$R$4,"miał",1=1,"NIC")</f>
        <v>orzech</v>
      </c>
      <c r="L100">
        <f t="shared" si="15"/>
        <v>46</v>
      </c>
      <c r="M100">
        <f t="shared" si="16"/>
        <v>9</v>
      </c>
      <c r="N100">
        <f t="shared" si="17"/>
        <v>714</v>
      </c>
    </row>
    <row r="101" spans="1:14" x14ac:dyDescent="0.25">
      <c r="A101" s="1">
        <v>42026</v>
      </c>
      <c r="B101">
        <f t="shared" si="12"/>
        <v>46</v>
      </c>
      <c r="C101">
        <f t="shared" si="13"/>
        <v>9</v>
      </c>
      <c r="D101">
        <f t="shared" si="14"/>
        <v>714</v>
      </c>
      <c r="E101">
        <v>40</v>
      </c>
      <c r="F101">
        <v>140</v>
      </c>
      <c r="G101">
        <v>15</v>
      </c>
      <c r="H101">
        <f t="shared" si="9"/>
        <v>86</v>
      </c>
      <c r="I101">
        <f t="shared" si="10"/>
        <v>149</v>
      </c>
      <c r="J101">
        <f t="shared" si="11"/>
        <v>729</v>
      </c>
      <c r="K101" t="str" cm="1">
        <f t="array" ref="K101">_xlfn.IFS(H101&gt;=$U$1,"kostka",I101&gt;=$U$1*$R$3,"orzech",J101&gt;=$U$1*$R$4,"miał",1=1,"NIC")</f>
        <v>miał</v>
      </c>
      <c r="L101">
        <f t="shared" si="15"/>
        <v>86</v>
      </c>
      <c r="M101">
        <f t="shared" si="16"/>
        <v>149</v>
      </c>
      <c r="N101">
        <f t="shared" si="17"/>
        <v>409</v>
      </c>
    </row>
    <row r="102" spans="1:14" x14ac:dyDescent="0.25">
      <c r="A102" s="1">
        <v>42027</v>
      </c>
      <c r="B102">
        <f t="shared" si="12"/>
        <v>86</v>
      </c>
      <c r="C102">
        <f t="shared" si="13"/>
        <v>149</v>
      </c>
      <c r="D102">
        <f t="shared" si="14"/>
        <v>409</v>
      </c>
      <c r="E102">
        <v>189</v>
      </c>
      <c r="F102">
        <v>87</v>
      </c>
      <c r="G102">
        <v>64</v>
      </c>
      <c r="H102">
        <f t="shared" si="9"/>
        <v>275</v>
      </c>
      <c r="I102">
        <f t="shared" si="10"/>
        <v>236</v>
      </c>
      <c r="J102">
        <f t="shared" si="11"/>
        <v>473</v>
      </c>
      <c r="K102" t="str" cm="1">
        <f t="array" ref="K102">_xlfn.IFS(H102&gt;=$U$1,"kostka",I102&gt;=$U$1*$R$3,"orzech",J102&gt;=$U$1*$R$4,"miał",1=1,"NIC")</f>
        <v>kostka</v>
      </c>
      <c r="L102">
        <f t="shared" si="15"/>
        <v>75</v>
      </c>
      <c r="M102">
        <f t="shared" si="16"/>
        <v>236</v>
      </c>
      <c r="N102">
        <f t="shared" si="17"/>
        <v>473</v>
      </c>
    </row>
    <row r="103" spans="1:14" x14ac:dyDescent="0.25">
      <c r="A103" s="1">
        <v>42028</v>
      </c>
      <c r="B103">
        <f t="shared" si="12"/>
        <v>75</v>
      </c>
      <c r="C103">
        <f t="shared" si="13"/>
        <v>236</v>
      </c>
      <c r="D103">
        <f t="shared" si="14"/>
        <v>473</v>
      </c>
      <c r="E103">
        <v>145</v>
      </c>
      <c r="F103">
        <v>18</v>
      </c>
      <c r="G103">
        <v>1</v>
      </c>
      <c r="H103">
        <f t="shared" si="9"/>
        <v>220</v>
      </c>
      <c r="I103">
        <f t="shared" si="10"/>
        <v>254</v>
      </c>
      <c r="J103">
        <f t="shared" si="11"/>
        <v>474</v>
      </c>
      <c r="K103" t="str" cm="1">
        <f t="array" ref="K103">_xlfn.IFS(H103&gt;=$U$1,"kostka",I103&gt;=$U$1*$R$3,"orzech",J103&gt;=$U$1*$R$4,"miał",1=1,"NIC")</f>
        <v>kostka</v>
      </c>
      <c r="L103">
        <f t="shared" si="15"/>
        <v>20</v>
      </c>
      <c r="M103">
        <f t="shared" si="16"/>
        <v>254</v>
      </c>
      <c r="N103">
        <f t="shared" si="17"/>
        <v>474</v>
      </c>
    </row>
    <row r="104" spans="1:14" x14ac:dyDescent="0.25">
      <c r="A104" s="1">
        <v>42029</v>
      </c>
      <c r="B104">
        <f t="shared" si="12"/>
        <v>20</v>
      </c>
      <c r="C104">
        <f t="shared" si="13"/>
        <v>254</v>
      </c>
      <c r="D104">
        <f t="shared" si="14"/>
        <v>474</v>
      </c>
      <c r="E104">
        <v>148</v>
      </c>
      <c r="F104">
        <v>27</v>
      </c>
      <c r="G104">
        <v>13</v>
      </c>
      <c r="H104">
        <f t="shared" si="9"/>
        <v>168</v>
      </c>
      <c r="I104">
        <f t="shared" si="10"/>
        <v>281</v>
      </c>
      <c r="J104">
        <f t="shared" si="11"/>
        <v>487</v>
      </c>
      <c r="K104" t="str" cm="1">
        <f t="array" ref="K104">_xlfn.IFS(H104&gt;=$U$1,"kostka",I104&gt;=$U$1*$R$3,"orzech",J104&gt;=$U$1*$R$4,"miał",1=1,"NIC")</f>
        <v>orzech</v>
      </c>
      <c r="L104">
        <f t="shared" si="15"/>
        <v>168</v>
      </c>
      <c r="M104">
        <f t="shared" si="16"/>
        <v>21</v>
      </c>
      <c r="N104">
        <f t="shared" si="17"/>
        <v>487</v>
      </c>
    </row>
    <row r="105" spans="1:14" x14ac:dyDescent="0.25">
      <c r="A105" s="1">
        <v>42030</v>
      </c>
      <c r="B105">
        <f t="shared" si="12"/>
        <v>168</v>
      </c>
      <c r="C105">
        <f t="shared" si="13"/>
        <v>21</v>
      </c>
      <c r="D105">
        <f t="shared" si="14"/>
        <v>487</v>
      </c>
      <c r="E105">
        <v>127</v>
      </c>
      <c r="F105">
        <v>161</v>
      </c>
      <c r="G105">
        <v>31</v>
      </c>
      <c r="H105">
        <f t="shared" si="9"/>
        <v>295</v>
      </c>
      <c r="I105">
        <f t="shared" si="10"/>
        <v>182</v>
      </c>
      <c r="J105">
        <f t="shared" si="11"/>
        <v>518</v>
      </c>
      <c r="K105" t="str" cm="1">
        <f t="array" ref="K105">_xlfn.IFS(H105&gt;=$U$1,"kostka",I105&gt;=$U$1*$R$3,"orzech",J105&gt;=$U$1*$R$4,"miał",1=1,"NIC")</f>
        <v>kostka</v>
      </c>
      <c r="L105">
        <f t="shared" si="15"/>
        <v>95</v>
      </c>
      <c r="M105">
        <f t="shared" si="16"/>
        <v>182</v>
      </c>
      <c r="N105">
        <f t="shared" si="17"/>
        <v>518</v>
      </c>
    </row>
    <row r="106" spans="1:14" x14ac:dyDescent="0.25">
      <c r="A106" s="1">
        <v>42031</v>
      </c>
      <c r="B106">
        <f t="shared" si="12"/>
        <v>95</v>
      </c>
      <c r="C106">
        <f t="shared" si="13"/>
        <v>182</v>
      </c>
      <c r="D106">
        <f t="shared" si="14"/>
        <v>518</v>
      </c>
      <c r="E106">
        <v>131</v>
      </c>
      <c r="F106">
        <v>1</v>
      </c>
      <c r="G106">
        <v>98</v>
      </c>
      <c r="H106">
        <f t="shared" si="9"/>
        <v>226</v>
      </c>
      <c r="I106">
        <f t="shared" si="10"/>
        <v>183</v>
      </c>
      <c r="J106">
        <f t="shared" si="11"/>
        <v>616</v>
      </c>
      <c r="K106" t="str" cm="1">
        <f t="array" ref="K106">_xlfn.IFS(H106&gt;=$U$1,"kostka",I106&gt;=$U$1*$R$3,"orzech",J106&gt;=$U$1*$R$4,"miał",1=1,"NIC")</f>
        <v>kostka</v>
      </c>
      <c r="L106">
        <f t="shared" si="15"/>
        <v>26</v>
      </c>
      <c r="M106">
        <f t="shared" si="16"/>
        <v>183</v>
      </c>
      <c r="N106">
        <f t="shared" si="17"/>
        <v>616</v>
      </c>
    </row>
    <row r="107" spans="1:14" x14ac:dyDescent="0.25">
      <c r="A107" s="1">
        <v>42032</v>
      </c>
      <c r="B107">
        <f t="shared" si="12"/>
        <v>26</v>
      </c>
      <c r="C107">
        <f t="shared" si="13"/>
        <v>183</v>
      </c>
      <c r="D107">
        <f t="shared" si="14"/>
        <v>616</v>
      </c>
      <c r="E107">
        <v>142</v>
      </c>
      <c r="F107">
        <v>131</v>
      </c>
      <c r="G107">
        <v>62</v>
      </c>
      <c r="H107">
        <f t="shared" si="9"/>
        <v>168</v>
      </c>
      <c r="I107">
        <f t="shared" si="10"/>
        <v>314</v>
      </c>
      <c r="J107">
        <f t="shared" si="11"/>
        <v>678</v>
      </c>
      <c r="K107" t="str" cm="1">
        <f t="array" ref="K107">_xlfn.IFS(H107&gt;=$U$1,"kostka",I107&gt;=$U$1*$R$3,"orzech",J107&gt;=$U$1*$R$4,"miał",1=1,"NIC")</f>
        <v>orzech</v>
      </c>
      <c r="L107">
        <f t="shared" si="15"/>
        <v>168</v>
      </c>
      <c r="M107">
        <f t="shared" si="16"/>
        <v>54</v>
      </c>
      <c r="N107">
        <f t="shared" si="17"/>
        <v>678</v>
      </c>
    </row>
    <row r="108" spans="1:14" x14ac:dyDescent="0.25">
      <c r="A108" s="1">
        <v>42033</v>
      </c>
      <c r="B108">
        <f t="shared" si="12"/>
        <v>168</v>
      </c>
      <c r="C108">
        <f t="shared" si="13"/>
        <v>54</v>
      </c>
      <c r="D108">
        <f t="shared" si="14"/>
        <v>678</v>
      </c>
      <c r="E108">
        <v>121</v>
      </c>
      <c r="F108">
        <v>150</v>
      </c>
      <c r="G108">
        <v>25</v>
      </c>
      <c r="H108">
        <f t="shared" si="9"/>
        <v>289</v>
      </c>
      <c r="I108">
        <f t="shared" si="10"/>
        <v>204</v>
      </c>
      <c r="J108">
        <f t="shared" si="11"/>
        <v>703</v>
      </c>
      <c r="K108" t="str" cm="1">
        <f t="array" ref="K108">_xlfn.IFS(H108&gt;=$U$1,"kostka",I108&gt;=$U$1*$R$3,"orzech",J108&gt;=$U$1*$R$4,"miał",1=1,"NIC")</f>
        <v>kostka</v>
      </c>
      <c r="L108">
        <f t="shared" si="15"/>
        <v>89</v>
      </c>
      <c r="M108">
        <f t="shared" si="16"/>
        <v>204</v>
      </c>
      <c r="N108">
        <f t="shared" si="17"/>
        <v>703</v>
      </c>
    </row>
    <row r="109" spans="1:14" x14ac:dyDescent="0.25">
      <c r="A109" s="1">
        <v>42034</v>
      </c>
      <c r="B109">
        <f t="shared" si="12"/>
        <v>89</v>
      </c>
      <c r="C109">
        <f t="shared" si="13"/>
        <v>204</v>
      </c>
      <c r="D109">
        <f t="shared" si="14"/>
        <v>703</v>
      </c>
      <c r="E109">
        <v>33</v>
      </c>
      <c r="F109">
        <v>113</v>
      </c>
      <c r="G109">
        <v>62</v>
      </c>
      <c r="H109">
        <f t="shared" si="9"/>
        <v>122</v>
      </c>
      <c r="I109">
        <f t="shared" si="10"/>
        <v>317</v>
      </c>
      <c r="J109">
        <f t="shared" si="11"/>
        <v>765</v>
      </c>
      <c r="K109" t="str" cm="1">
        <f t="array" ref="K109">_xlfn.IFS(H109&gt;=$U$1,"kostka",I109&gt;=$U$1*$R$3,"orzech",J109&gt;=$U$1*$R$4,"miał",1=1,"NIC")</f>
        <v>orzech</v>
      </c>
      <c r="L109">
        <f t="shared" si="15"/>
        <v>122</v>
      </c>
      <c r="M109">
        <f t="shared" si="16"/>
        <v>57</v>
      </c>
      <c r="N109">
        <f t="shared" si="17"/>
        <v>765</v>
      </c>
    </row>
    <row r="110" spans="1:14" x14ac:dyDescent="0.25">
      <c r="A110" s="1">
        <v>42035</v>
      </c>
      <c r="B110">
        <f t="shared" si="12"/>
        <v>122</v>
      </c>
      <c r="C110">
        <f t="shared" si="13"/>
        <v>57</v>
      </c>
      <c r="D110">
        <f t="shared" si="14"/>
        <v>765</v>
      </c>
      <c r="E110">
        <v>142</v>
      </c>
      <c r="F110">
        <v>44</v>
      </c>
      <c r="G110">
        <v>92</v>
      </c>
      <c r="H110">
        <f t="shared" si="9"/>
        <v>264</v>
      </c>
      <c r="I110">
        <f t="shared" si="10"/>
        <v>101</v>
      </c>
      <c r="J110">
        <f t="shared" si="11"/>
        <v>857</v>
      </c>
      <c r="K110" t="str" cm="1">
        <f t="array" ref="K110">_xlfn.IFS(H110&gt;=$U$1,"kostka",I110&gt;=$U$1*$R$3,"orzech",J110&gt;=$U$1*$R$4,"miał",1=1,"NIC")</f>
        <v>kostka</v>
      </c>
      <c r="L110">
        <f t="shared" si="15"/>
        <v>64</v>
      </c>
      <c r="M110">
        <f t="shared" si="16"/>
        <v>101</v>
      </c>
      <c r="N110">
        <f t="shared" si="17"/>
        <v>857</v>
      </c>
    </row>
    <row r="111" spans="1:14" x14ac:dyDescent="0.25">
      <c r="A111" s="1">
        <v>42036</v>
      </c>
      <c r="B111">
        <f t="shared" si="12"/>
        <v>64</v>
      </c>
      <c r="C111">
        <f t="shared" si="13"/>
        <v>101</v>
      </c>
      <c r="D111">
        <f t="shared" si="14"/>
        <v>857</v>
      </c>
      <c r="E111">
        <v>119</v>
      </c>
      <c r="F111">
        <v>167</v>
      </c>
      <c r="G111">
        <v>64</v>
      </c>
      <c r="H111">
        <f t="shared" si="9"/>
        <v>183</v>
      </c>
      <c r="I111">
        <f t="shared" si="10"/>
        <v>268</v>
      </c>
      <c r="J111">
        <f t="shared" si="11"/>
        <v>921</v>
      </c>
      <c r="K111" t="str" cm="1">
        <f t="array" ref="K111">_xlfn.IFS(H111&gt;=$U$1,"kostka",I111&gt;=$U$1*$R$3,"orzech",J111&gt;=$U$1*$R$4,"miał",1=1,"NIC")</f>
        <v>orzech</v>
      </c>
      <c r="L111">
        <f t="shared" si="15"/>
        <v>183</v>
      </c>
      <c r="M111">
        <f t="shared" si="16"/>
        <v>8</v>
      </c>
      <c r="N111">
        <f t="shared" si="17"/>
        <v>921</v>
      </c>
    </row>
    <row r="112" spans="1:14" x14ac:dyDescent="0.25">
      <c r="A112" s="1">
        <v>42037</v>
      </c>
      <c r="B112">
        <f t="shared" si="12"/>
        <v>183</v>
      </c>
      <c r="C112">
        <f t="shared" si="13"/>
        <v>8</v>
      </c>
      <c r="D112">
        <f t="shared" si="14"/>
        <v>921</v>
      </c>
      <c r="E112">
        <v>54</v>
      </c>
      <c r="F112">
        <v>109</v>
      </c>
      <c r="G112">
        <v>65</v>
      </c>
      <c r="H112">
        <f t="shared" si="9"/>
        <v>237</v>
      </c>
      <c r="I112">
        <f t="shared" si="10"/>
        <v>117</v>
      </c>
      <c r="J112">
        <f t="shared" si="11"/>
        <v>986</v>
      </c>
      <c r="K112" t="str" cm="1">
        <f t="array" ref="K112">_xlfn.IFS(H112&gt;=$U$1,"kostka",I112&gt;=$U$1*$R$3,"orzech",J112&gt;=$U$1*$R$4,"miał",1=1,"NIC")</f>
        <v>kostka</v>
      </c>
      <c r="L112">
        <f t="shared" si="15"/>
        <v>37</v>
      </c>
      <c r="M112">
        <f t="shared" si="16"/>
        <v>117</v>
      </c>
      <c r="N112">
        <f t="shared" si="17"/>
        <v>986</v>
      </c>
    </row>
    <row r="113" spans="1:14" x14ac:dyDescent="0.25">
      <c r="A113" s="1">
        <v>42038</v>
      </c>
      <c r="B113">
        <f t="shared" si="12"/>
        <v>37</v>
      </c>
      <c r="C113">
        <f t="shared" si="13"/>
        <v>117</v>
      </c>
      <c r="D113">
        <f t="shared" si="14"/>
        <v>986</v>
      </c>
      <c r="E113">
        <v>53</v>
      </c>
      <c r="F113">
        <v>94</v>
      </c>
      <c r="G113">
        <v>43</v>
      </c>
      <c r="H113">
        <f t="shared" si="9"/>
        <v>90</v>
      </c>
      <c r="I113">
        <f t="shared" si="10"/>
        <v>211</v>
      </c>
      <c r="J113">
        <f t="shared" si="11"/>
        <v>1029</v>
      </c>
      <c r="K113" t="str" cm="1">
        <f t="array" ref="K113">_xlfn.IFS(H113&gt;=$U$1,"kostka",I113&gt;=$U$1*$R$3,"orzech",J113&gt;=$U$1*$R$4,"miał",1=1,"NIC")</f>
        <v>miał</v>
      </c>
      <c r="L113">
        <f t="shared" si="15"/>
        <v>90</v>
      </c>
      <c r="M113">
        <f t="shared" si="16"/>
        <v>211</v>
      </c>
      <c r="N113">
        <f t="shared" si="17"/>
        <v>709</v>
      </c>
    </row>
    <row r="114" spans="1:14" x14ac:dyDescent="0.25">
      <c r="A114" s="1">
        <v>42039</v>
      </c>
      <c r="B114">
        <f t="shared" si="12"/>
        <v>90</v>
      </c>
      <c r="C114">
        <f t="shared" si="13"/>
        <v>211</v>
      </c>
      <c r="D114">
        <f t="shared" si="14"/>
        <v>709</v>
      </c>
      <c r="E114">
        <v>165</v>
      </c>
      <c r="F114">
        <v>101</v>
      </c>
      <c r="G114">
        <v>8</v>
      </c>
      <c r="H114">
        <f t="shared" si="9"/>
        <v>255</v>
      </c>
      <c r="I114">
        <f t="shared" si="10"/>
        <v>312</v>
      </c>
      <c r="J114">
        <f t="shared" si="11"/>
        <v>717</v>
      </c>
      <c r="K114" t="str" cm="1">
        <f t="array" ref="K114">_xlfn.IFS(H114&gt;=$U$1,"kostka",I114&gt;=$U$1*$R$3,"orzech",J114&gt;=$U$1*$R$4,"miał",1=1,"NIC")</f>
        <v>kostka</v>
      </c>
      <c r="L114">
        <f t="shared" si="15"/>
        <v>55</v>
      </c>
      <c r="M114">
        <f t="shared" si="16"/>
        <v>312</v>
      </c>
      <c r="N114">
        <f t="shared" si="17"/>
        <v>717</v>
      </c>
    </row>
    <row r="115" spans="1:14" x14ac:dyDescent="0.25">
      <c r="A115" s="1">
        <v>42040</v>
      </c>
      <c r="B115">
        <f t="shared" si="12"/>
        <v>55</v>
      </c>
      <c r="C115">
        <f t="shared" si="13"/>
        <v>312</v>
      </c>
      <c r="D115">
        <f t="shared" si="14"/>
        <v>717</v>
      </c>
      <c r="E115">
        <v>159</v>
      </c>
      <c r="F115">
        <v>68</v>
      </c>
      <c r="G115">
        <v>96</v>
      </c>
      <c r="H115">
        <f t="shared" si="9"/>
        <v>214</v>
      </c>
      <c r="I115">
        <f t="shared" si="10"/>
        <v>380</v>
      </c>
      <c r="J115">
        <f t="shared" si="11"/>
        <v>813</v>
      </c>
      <c r="K115" t="str" cm="1">
        <f t="array" ref="K115">_xlfn.IFS(H115&gt;=$U$1,"kostka",I115&gt;=$U$1*$R$3,"orzech",J115&gt;=$U$1*$R$4,"miał",1=1,"NIC")</f>
        <v>kostka</v>
      </c>
      <c r="L115">
        <f t="shared" si="15"/>
        <v>14</v>
      </c>
      <c r="M115">
        <f t="shared" si="16"/>
        <v>380</v>
      </c>
      <c r="N115">
        <f t="shared" si="17"/>
        <v>813</v>
      </c>
    </row>
    <row r="116" spans="1:14" x14ac:dyDescent="0.25">
      <c r="A116" s="1">
        <v>42041</v>
      </c>
      <c r="B116">
        <f t="shared" si="12"/>
        <v>14</v>
      </c>
      <c r="C116">
        <f t="shared" si="13"/>
        <v>380</v>
      </c>
      <c r="D116">
        <f t="shared" si="14"/>
        <v>813</v>
      </c>
      <c r="E116">
        <v>79</v>
      </c>
      <c r="F116">
        <v>119</v>
      </c>
      <c r="G116">
        <v>35</v>
      </c>
      <c r="H116">
        <f t="shared" si="9"/>
        <v>93</v>
      </c>
      <c r="I116">
        <f t="shared" si="10"/>
        <v>499</v>
      </c>
      <c r="J116">
        <f t="shared" si="11"/>
        <v>848</v>
      </c>
      <c r="K116" t="str" cm="1">
        <f t="array" ref="K116">_xlfn.IFS(H116&gt;=$U$1,"kostka",I116&gt;=$U$1*$R$3,"orzech",J116&gt;=$U$1*$R$4,"miał",1=1,"NIC")</f>
        <v>orzech</v>
      </c>
      <c r="L116">
        <f t="shared" si="15"/>
        <v>93</v>
      </c>
      <c r="M116">
        <f t="shared" si="16"/>
        <v>239</v>
      </c>
      <c r="N116">
        <f t="shared" si="17"/>
        <v>848</v>
      </c>
    </row>
    <row r="117" spans="1:14" x14ac:dyDescent="0.25">
      <c r="A117" s="1">
        <v>42042</v>
      </c>
      <c r="B117">
        <f t="shared" si="12"/>
        <v>93</v>
      </c>
      <c r="C117">
        <f t="shared" si="13"/>
        <v>239</v>
      </c>
      <c r="D117">
        <f t="shared" si="14"/>
        <v>848</v>
      </c>
      <c r="E117">
        <v>128</v>
      </c>
      <c r="F117">
        <v>148</v>
      </c>
      <c r="G117">
        <v>77</v>
      </c>
      <c r="H117">
        <f t="shared" si="9"/>
        <v>221</v>
      </c>
      <c r="I117">
        <f t="shared" si="10"/>
        <v>387</v>
      </c>
      <c r="J117">
        <f t="shared" si="11"/>
        <v>925</v>
      </c>
      <c r="K117" t="str" cm="1">
        <f t="array" ref="K117">_xlfn.IFS(H117&gt;=$U$1,"kostka",I117&gt;=$U$1*$R$3,"orzech",J117&gt;=$U$1*$R$4,"miał",1=1,"NIC")</f>
        <v>kostka</v>
      </c>
      <c r="L117">
        <f t="shared" si="15"/>
        <v>21</v>
      </c>
      <c r="M117">
        <f t="shared" si="16"/>
        <v>387</v>
      </c>
      <c r="N117">
        <f t="shared" si="17"/>
        <v>925</v>
      </c>
    </row>
    <row r="118" spans="1:14" x14ac:dyDescent="0.25">
      <c r="A118" s="1">
        <v>42043</v>
      </c>
      <c r="B118">
        <f t="shared" si="12"/>
        <v>21</v>
      </c>
      <c r="C118">
        <f t="shared" si="13"/>
        <v>387</v>
      </c>
      <c r="D118">
        <f t="shared" si="14"/>
        <v>925</v>
      </c>
      <c r="E118">
        <v>195</v>
      </c>
      <c r="F118">
        <v>39</v>
      </c>
      <c r="G118">
        <v>77</v>
      </c>
      <c r="H118">
        <f t="shared" si="9"/>
        <v>216</v>
      </c>
      <c r="I118">
        <f t="shared" si="10"/>
        <v>426</v>
      </c>
      <c r="J118">
        <f t="shared" si="11"/>
        <v>1002</v>
      </c>
      <c r="K118" t="str" cm="1">
        <f t="array" ref="K118">_xlfn.IFS(H118&gt;=$U$1,"kostka",I118&gt;=$U$1*$R$3,"orzech",J118&gt;=$U$1*$R$4,"miał",1=1,"NIC")</f>
        <v>kostka</v>
      </c>
      <c r="L118">
        <f t="shared" si="15"/>
        <v>16</v>
      </c>
      <c r="M118">
        <f t="shared" si="16"/>
        <v>426</v>
      </c>
      <c r="N118">
        <f t="shared" si="17"/>
        <v>1002</v>
      </c>
    </row>
    <row r="119" spans="1:14" x14ac:dyDescent="0.25">
      <c r="A119" s="1">
        <v>42044</v>
      </c>
      <c r="B119">
        <f t="shared" si="12"/>
        <v>16</v>
      </c>
      <c r="C119">
        <f t="shared" si="13"/>
        <v>426</v>
      </c>
      <c r="D119">
        <f t="shared" si="14"/>
        <v>1002</v>
      </c>
      <c r="E119">
        <v>87</v>
      </c>
      <c r="F119">
        <v>8</v>
      </c>
      <c r="G119">
        <v>17</v>
      </c>
      <c r="H119">
        <f t="shared" si="9"/>
        <v>103</v>
      </c>
      <c r="I119">
        <f t="shared" si="10"/>
        <v>434</v>
      </c>
      <c r="J119">
        <f t="shared" si="11"/>
        <v>1019</v>
      </c>
      <c r="K119" t="str" cm="1">
        <f t="array" ref="K119">_xlfn.IFS(H119&gt;=$U$1,"kostka",I119&gt;=$U$1*$R$3,"orzech",J119&gt;=$U$1*$R$4,"miał",1=1,"NIC")</f>
        <v>orzech</v>
      </c>
      <c r="L119">
        <f t="shared" si="15"/>
        <v>103</v>
      </c>
      <c r="M119">
        <f t="shared" si="16"/>
        <v>174</v>
      </c>
      <c r="N119">
        <f t="shared" si="17"/>
        <v>1019</v>
      </c>
    </row>
    <row r="120" spans="1:14" x14ac:dyDescent="0.25">
      <c r="A120" s="1">
        <v>42045</v>
      </c>
      <c r="B120">
        <f t="shared" si="12"/>
        <v>103</v>
      </c>
      <c r="C120">
        <f t="shared" si="13"/>
        <v>174</v>
      </c>
      <c r="D120">
        <f t="shared" si="14"/>
        <v>1019</v>
      </c>
      <c r="E120">
        <v>114</v>
      </c>
      <c r="F120">
        <v>124</v>
      </c>
      <c r="G120">
        <v>94</v>
      </c>
      <c r="H120">
        <f t="shared" si="9"/>
        <v>217</v>
      </c>
      <c r="I120">
        <f t="shared" si="10"/>
        <v>298</v>
      </c>
      <c r="J120">
        <f t="shared" si="11"/>
        <v>1113</v>
      </c>
      <c r="K120" t="str" cm="1">
        <f t="array" ref="K120">_xlfn.IFS(H120&gt;=$U$1,"kostka",I120&gt;=$U$1*$R$3,"orzech",J120&gt;=$U$1*$R$4,"miał",1=1,"NIC")</f>
        <v>kostka</v>
      </c>
      <c r="L120">
        <f t="shared" si="15"/>
        <v>17</v>
      </c>
      <c r="M120">
        <f t="shared" si="16"/>
        <v>298</v>
      </c>
      <c r="N120">
        <f t="shared" si="17"/>
        <v>1113</v>
      </c>
    </row>
    <row r="121" spans="1:14" x14ac:dyDescent="0.25">
      <c r="A121" s="1">
        <v>42046</v>
      </c>
      <c r="B121">
        <f t="shared" si="12"/>
        <v>17</v>
      </c>
      <c r="C121">
        <f t="shared" si="13"/>
        <v>298</v>
      </c>
      <c r="D121">
        <f t="shared" si="14"/>
        <v>1113</v>
      </c>
      <c r="E121">
        <v>126</v>
      </c>
      <c r="F121">
        <v>122</v>
      </c>
      <c r="G121">
        <v>39</v>
      </c>
      <c r="H121">
        <f t="shared" si="9"/>
        <v>143</v>
      </c>
      <c r="I121">
        <f t="shared" si="10"/>
        <v>420</v>
      </c>
      <c r="J121">
        <f t="shared" si="11"/>
        <v>1152</v>
      </c>
      <c r="K121" t="str" cm="1">
        <f t="array" ref="K121">_xlfn.IFS(H121&gt;=$U$1,"kostka",I121&gt;=$U$1*$R$3,"orzech",J121&gt;=$U$1*$R$4,"miał",1=1,"NIC")</f>
        <v>orzech</v>
      </c>
      <c r="L121">
        <f t="shared" si="15"/>
        <v>143</v>
      </c>
      <c r="M121">
        <f t="shared" si="16"/>
        <v>160</v>
      </c>
      <c r="N121">
        <f t="shared" si="17"/>
        <v>1152</v>
      </c>
    </row>
    <row r="122" spans="1:14" x14ac:dyDescent="0.25">
      <c r="A122" s="1">
        <v>42047</v>
      </c>
      <c r="B122">
        <f t="shared" si="12"/>
        <v>143</v>
      </c>
      <c r="C122">
        <f t="shared" si="13"/>
        <v>160</v>
      </c>
      <c r="D122">
        <f t="shared" si="14"/>
        <v>1152</v>
      </c>
      <c r="E122">
        <v>96</v>
      </c>
      <c r="F122">
        <v>113</v>
      </c>
      <c r="G122">
        <v>28</v>
      </c>
      <c r="H122">
        <f t="shared" si="9"/>
        <v>239</v>
      </c>
      <c r="I122">
        <f t="shared" si="10"/>
        <v>273</v>
      </c>
      <c r="J122">
        <f t="shared" si="11"/>
        <v>1180</v>
      </c>
      <c r="K122" t="str" cm="1">
        <f t="array" ref="K122">_xlfn.IFS(H122&gt;=$U$1,"kostka",I122&gt;=$U$1*$R$3,"orzech",J122&gt;=$U$1*$R$4,"miał",1=1,"NIC")</f>
        <v>kostka</v>
      </c>
      <c r="L122">
        <f t="shared" si="15"/>
        <v>39</v>
      </c>
      <c r="M122">
        <f t="shared" si="16"/>
        <v>273</v>
      </c>
      <c r="N122">
        <f t="shared" si="17"/>
        <v>1180</v>
      </c>
    </row>
    <row r="123" spans="1:14" x14ac:dyDescent="0.25">
      <c r="A123" s="1">
        <v>42048</v>
      </c>
      <c r="B123">
        <f t="shared" si="12"/>
        <v>39</v>
      </c>
      <c r="C123">
        <f t="shared" si="13"/>
        <v>273</v>
      </c>
      <c r="D123">
        <f t="shared" si="14"/>
        <v>1180</v>
      </c>
      <c r="E123">
        <v>165</v>
      </c>
      <c r="F123">
        <v>4</v>
      </c>
      <c r="G123">
        <v>83</v>
      </c>
      <c r="H123">
        <f t="shared" si="9"/>
        <v>204</v>
      </c>
      <c r="I123">
        <f t="shared" si="10"/>
        <v>277</v>
      </c>
      <c r="J123">
        <f t="shared" si="11"/>
        <v>1263</v>
      </c>
      <c r="K123" t="str" cm="1">
        <f t="array" ref="K123">_xlfn.IFS(H123&gt;=$U$1,"kostka",I123&gt;=$U$1*$R$3,"orzech",J123&gt;=$U$1*$R$4,"miał",1=1,"NIC")</f>
        <v>kostka</v>
      </c>
      <c r="L123">
        <f t="shared" si="15"/>
        <v>4</v>
      </c>
      <c r="M123">
        <f t="shared" si="16"/>
        <v>277</v>
      </c>
      <c r="N123">
        <f t="shared" si="17"/>
        <v>1263</v>
      </c>
    </row>
    <row r="124" spans="1:14" x14ac:dyDescent="0.25">
      <c r="A124" s="1">
        <v>42049</v>
      </c>
      <c r="B124">
        <f t="shared" si="12"/>
        <v>4</v>
      </c>
      <c r="C124">
        <f t="shared" si="13"/>
        <v>277</v>
      </c>
      <c r="D124">
        <f t="shared" si="14"/>
        <v>1263</v>
      </c>
      <c r="E124">
        <v>1</v>
      </c>
      <c r="F124">
        <v>117</v>
      </c>
      <c r="G124">
        <v>76</v>
      </c>
      <c r="H124">
        <f t="shared" si="9"/>
        <v>5</v>
      </c>
      <c r="I124">
        <f t="shared" si="10"/>
        <v>394</v>
      </c>
      <c r="J124">
        <f t="shared" si="11"/>
        <v>1339</v>
      </c>
      <c r="K124" t="str" cm="1">
        <f t="array" ref="K124">_xlfn.IFS(H124&gt;=$U$1,"kostka",I124&gt;=$U$1*$R$3,"orzech",J124&gt;=$U$1*$R$4,"miał",1=1,"NIC")</f>
        <v>orzech</v>
      </c>
      <c r="L124">
        <f t="shared" si="15"/>
        <v>5</v>
      </c>
      <c r="M124">
        <f t="shared" si="16"/>
        <v>134</v>
      </c>
      <c r="N124">
        <f t="shared" si="17"/>
        <v>1339</v>
      </c>
    </row>
    <row r="125" spans="1:14" x14ac:dyDescent="0.25">
      <c r="A125" s="1">
        <v>42050</v>
      </c>
      <c r="B125">
        <f t="shared" si="12"/>
        <v>5</v>
      </c>
      <c r="C125">
        <f t="shared" si="13"/>
        <v>134</v>
      </c>
      <c r="D125">
        <f t="shared" si="14"/>
        <v>1339</v>
      </c>
      <c r="E125">
        <v>107</v>
      </c>
      <c r="F125">
        <v>70</v>
      </c>
      <c r="G125">
        <v>28</v>
      </c>
      <c r="H125">
        <f t="shared" si="9"/>
        <v>112</v>
      </c>
      <c r="I125">
        <f t="shared" si="10"/>
        <v>204</v>
      </c>
      <c r="J125">
        <f t="shared" si="11"/>
        <v>1367</v>
      </c>
      <c r="K125" t="str" cm="1">
        <f t="array" ref="K125">_xlfn.IFS(H125&gt;=$U$1,"kostka",I125&gt;=$U$1*$R$3,"orzech",J125&gt;=$U$1*$R$4,"miał",1=1,"NIC")</f>
        <v>miał</v>
      </c>
      <c r="L125">
        <f t="shared" si="15"/>
        <v>112</v>
      </c>
      <c r="M125">
        <f t="shared" si="16"/>
        <v>204</v>
      </c>
      <c r="N125">
        <f t="shared" si="17"/>
        <v>1047</v>
      </c>
    </row>
    <row r="126" spans="1:14" x14ac:dyDescent="0.25">
      <c r="A126" s="1">
        <v>42051</v>
      </c>
      <c r="B126">
        <f t="shared" si="12"/>
        <v>112</v>
      </c>
      <c r="C126">
        <f t="shared" si="13"/>
        <v>204</v>
      </c>
      <c r="D126">
        <f t="shared" si="14"/>
        <v>1047</v>
      </c>
      <c r="E126">
        <v>83</v>
      </c>
      <c r="F126">
        <v>81</v>
      </c>
      <c r="G126">
        <v>1</v>
      </c>
      <c r="H126">
        <f t="shared" si="9"/>
        <v>195</v>
      </c>
      <c r="I126">
        <f t="shared" si="10"/>
        <v>285</v>
      </c>
      <c r="J126">
        <f t="shared" si="11"/>
        <v>1048</v>
      </c>
      <c r="K126" t="str" cm="1">
        <f t="array" ref="K126">_xlfn.IFS(H126&gt;=$U$1,"kostka",I126&gt;=$U$1*$R$3,"orzech",J126&gt;=$U$1*$R$4,"miał",1=1,"NIC")</f>
        <v>orzech</v>
      </c>
      <c r="L126">
        <f t="shared" si="15"/>
        <v>195</v>
      </c>
      <c r="M126">
        <f t="shared" si="16"/>
        <v>25</v>
      </c>
      <c r="N126">
        <f t="shared" si="17"/>
        <v>1048</v>
      </c>
    </row>
    <row r="127" spans="1:14" x14ac:dyDescent="0.25">
      <c r="A127" s="1">
        <v>42052</v>
      </c>
      <c r="B127">
        <f t="shared" si="12"/>
        <v>195</v>
      </c>
      <c r="C127">
        <f t="shared" si="13"/>
        <v>25</v>
      </c>
      <c r="D127">
        <f t="shared" si="14"/>
        <v>1048</v>
      </c>
      <c r="E127">
        <v>43</v>
      </c>
      <c r="F127">
        <v>109</v>
      </c>
      <c r="G127">
        <v>50</v>
      </c>
      <c r="H127">
        <f t="shared" si="9"/>
        <v>238</v>
      </c>
      <c r="I127">
        <f t="shared" si="10"/>
        <v>134</v>
      </c>
      <c r="J127">
        <f t="shared" si="11"/>
        <v>1098</v>
      </c>
      <c r="K127" t="str" cm="1">
        <f t="array" ref="K127">_xlfn.IFS(H127&gt;=$U$1,"kostka",I127&gt;=$U$1*$R$3,"orzech",J127&gt;=$U$1*$R$4,"miał",1=1,"NIC")</f>
        <v>kostka</v>
      </c>
      <c r="L127">
        <f t="shared" si="15"/>
        <v>38</v>
      </c>
      <c r="M127">
        <f t="shared" si="16"/>
        <v>134</v>
      </c>
      <c r="N127">
        <f t="shared" si="17"/>
        <v>1098</v>
      </c>
    </row>
    <row r="128" spans="1:14" x14ac:dyDescent="0.25">
      <c r="A128" s="1">
        <v>42053</v>
      </c>
      <c r="B128">
        <f t="shared" si="12"/>
        <v>38</v>
      </c>
      <c r="C128">
        <f t="shared" si="13"/>
        <v>134</v>
      </c>
      <c r="D128">
        <f t="shared" si="14"/>
        <v>1098</v>
      </c>
      <c r="E128">
        <v>52</v>
      </c>
      <c r="F128">
        <v>110</v>
      </c>
      <c r="G128">
        <v>19</v>
      </c>
      <c r="H128">
        <f t="shared" si="9"/>
        <v>90</v>
      </c>
      <c r="I128">
        <f t="shared" si="10"/>
        <v>244</v>
      </c>
      <c r="J128">
        <f t="shared" si="11"/>
        <v>1117</v>
      </c>
      <c r="K128" t="str" cm="1">
        <f t="array" ref="K128">_xlfn.IFS(H128&gt;=$U$1,"kostka",I128&gt;=$U$1*$R$3,"orzech",J128&gt;=$U$1*$R$4,"miał",1=1,"NIC")</f>
        <v>miał</v>
      </c>
      <c r="L128">
        <f t="shared" si="15"/>
        <v>90</v>
      </c>
      <c r="M128">
        <f t="shared" si="16"/>
        <v>244</v>
      </c>
      <c r="N128">
        <f t="shared" si="17"/>
        <v>797</v>
      </c>
    </row>
    <row r="129" spans="1:14" x14ac:dyDescent="0.25">
      <c r="A129" s="1">
        <v>42054</v>
      </c>
      <c r="B129">
        <f t="shared" si="12"/>
        <v>90</v>
      </c>
      <c r="C129">
        <f t="shared" si="13"/>
        <v>244</v>
      </c>
      <c r="D129">
        <f t="shared" si="14"/>
        <v>797</v>
      </c>
      <c r="E129">
        <v>104</v>
      </c>
      <c r="F129">
        <v>132</v>
      </c>
      <c r="G129">
        <v>57</v>
      </c>
      <c r="H129">
        <f t="shared" si="9"/>
        <v>194</v>
      </c>
      <c r="I129">
        <f t="shared" si="10"/>
        <v>376</v>
      </c>
      <c r="J129">
        <f t="shared" si="11"/>
        <v>854</v>
      </c>
      <c r="K129" t="str" cm="1">
        <f t="array" ref="K129">_xlfn.IFS(H129&gt;=$U$1,"kostka",I129&gt;=$U$1*$R$3,"orzech",J129&gt;=$U$1*$R$4,"miał",1=1,"NIC")</f>
        <v>orzech</v>
      </c>
      <c r="L129">
        <f t="shared" si="15"/>
        <v>194</v>
      </c>
      <c r="M129">
        <f t="shared" si="16"/>
        <v>116</v>
      </c>
      <c r="N129">
        <f t="shared" si="17"/>
        <v>854</v>
      </c>
    </row>
    <row r="130" spans="1:14" x14ac:dyDescent="0.25">
      <c r="A130" s="1">
        <v>42055</v>
      </c>
      <c r="B130">
        <f t="shared" si="12"/>
        <v>194</v>
      </c>
      <c r="C130">
        <f t="shared" si="13"/>
        <v>116</v>
      </c>
      <c r="D130">
        <f t="shared" si="14"/>
        <v>854</v>
      </c>
      <c r="E130">
        <v>57</v>
      </c>
      <c r="F130">
        <v>150</v>
      </c>
      <c r="G130">
        <v>36</v>
      </c>
      <c r="H130">
        <f t="shared" si="9"/>
        <v>251</v>
      </c>
      <c r="I130">
        <f t="shared" si="10"/>
        <v>266</v>
      </c>
      <c r="J130">
        <f t="shared" si="11"/>
        <v>890</v>
      </c>
      <c r="K130" t="str" cm="1">
        <f t="array" ref="K130">_xlfn.IFS(H130&gt;=$U$1,"kostka",I130&gt;=$U$1*$R$3,"orzech",J130&gt;=$U$1*$R$4,"miał",1=1,"NIC")</f>
        <v>kostka</v>
      </c>
      <c r="L130">
        <f t="shared" si="15"/>
        <v>51</v>
      </c>
      <c r="M130">
        <f t="shared" si="16"/>
        <v>266</v>
      </c>
      <c r="N130">
        <f t="shared" si="17"/>
        <v>890</v>
      </c>
    </row>
    <row r="131" spans="1:14" x14ac:dyDescent="0.25">
      <c r="A131" s="1">
        <v>42056</v>
      </c>
      <c r="B131">
        <f t="shared" si="12"/>
        <v>51</v>
      </c>
      <c r="C131">
        <f t="shared" si="13"/>
        <v>266</v>
      </c>
      <c r="D131">
        <f t="shared" si="14"/>
        <v>890</v>
      </c>
      <c r="E131">
        <v>86</v>
      </c>
      <c r="F131">
        <v>183</v>
      </c>
      <c r="G131">
        <v>0</v>
      </c>
      <c r="H131">
        <f t="shared" ref="H131:H184" si="18">B131+E131</f>
        <v>137</v>
      </c>
      <c r="I131">
        <f t="shared" ref="I131:I184" si="19">C131+F131</f>
        <v>449</v>
      </c>
      <c r="J131">
        <f t="shared" ref="J131:J184" si="20">D131+G131</f>
        <v>890</v>
      </c>
      <c r="K131" t="str" cm="1">
        <f t="array" ref="K131">_xlfn.IFS(H131&gt;=$U$1,"kostka",I131&gt;=$U$1*$R$3,"orzech",J131&gt;=$U$1*$R$4,"miał",1=1,"NIC")</f>
        <v>orzech</v>
      </c>
      <c r="L131">
        <f t="shared" si="15"/>
        <v>137</v>
      </c>
      <c r="M131">
        <f t="shared" si="16"/>
        <v>189</v>
      </c>
      <c r="N131">
        <f t="shared" si="17"/>
        <v>890</v>
      </c>
    </row>
    <row r="132" spans="1:14" x14ac:dyDescent="0.25">
      <c r="A132" s="1">
        <v>42057</v>
      </c>
      <c r="B132">
        <f t="shared" ref="B132:B184" si="21">L131</f>
        <v>137</v>
      </c>
      <c r="C132">
        <f t="shared" ref="C132:C184" si="22">M131</f>
        <v>189</v>
      </c>
      <c r="D132">
        <f t="shared" ref="D132:D184" si="23">N131</f>
        <v>890</v>
      </c>
      <c r="E132">
        <v>108</v>
      </c>
      <c r="F132">
        <v>20</v>
      </c>
      <c r="G132">
        <v>87</v>
      </c>
      <c r="H132">
        <f t="shared" si="18"/>
        <v>245</v>
      </c>
      <c r="I132">
        <f t="shared" si="19"/>
        <v>209</v>
      </c>
      <c r="J132">
        <f t="shared" si="20"/>
        <v>977</v>
      </c>
      <c r="K132" t="str" cm="1">
        <f t="array" ref="K132">_xlfn.IFS(H132&gt;=$U$1,"kostka",I132&gt;=$U$1*$R$3,"orzech",J132&gt;=$U$1*$R$4,"miał",1=1,"NIC")</f>
        <v>kostka</v>
      </c>
      <c r="L132">
        <f t="shared" ref="L132:L184" si="24">IF($K132="kostka",H132-$U$1,H132)</f>
        <v>45</v>
      </c>
      <c r="M132">
        <f t="shared" ref="M132:M184" si="25">IF($K132="orzech",I132-$U$1*$R$3,I132)</f>
        <v>209</v>
      </c>
      <c r="N132">
        <f t="shared" ref="N132:N184" si="26">IF($K132="miał",J132-$U$1*$R$4,J132)</f>
        <v>977</v>
      </c>
    </row>
    <row r="133" spans="1:14" x14ac:dyDescent="0.25">
      <c r="A133" s="1">
        <v>42058</v>
      </c>
      <c r="B133">
        <f t="shared" si="21"/>
        <v>45</v>
      </c>
      <c r="C133">
        <f t="shared" si="22"/>
        <v>209</v>
      </c>
      <c r="D133">
        <f t="shared" si="23"/>
        <v>977</v>
      </c>
      <c r="E133">
        <v>102</v>
      </c>
      <c r="F133">
        <v>142</v>
      </c>
      <c r="G133">
        <v>20</v>
      </c>
      <c r="H133">
        <f t="shared" si="18"/>
        <v>147</v>
      </c>
      <c r="I133">
        <f t="shared" si="19"/>
        <v>351</v>
      </c>
      <c r="J133">
        <f t="shared" si="20"/>
        <v>997</v>
      </c>
      <c r="K133" t="str" cm="1">
        <f t="array" ref="K133">_xlfn.IFS(H133&gt;=$U$1,"kostka",I133&gt;=$U$1*$R$3,"orzech",J133&gt;=$U$1*$R$4,"miał",1=1,"NIC")</f>
        <v>orzech</v>
      </c>
      <c r="L133">
        <f t="shared" si="24"/>
        <v>147</v>
      </c>
      <c r="M133">
        <f t="shared" si="25"/>
        <v>91</v>
      </c>
      <c r="N133">
        <f t="shared" si="26"/>
        <v>997</v>
      </c>
    </row>
    <row r="134" spans="1:14" x14ac:dyDescent="0.25">
      <c r="A134" s="1">
        <v>42059</v>
      </c>
      <c r="B134">
        <f t="shared" si="21"/>
        <v>147</v>
      </c>
      <c r="C134">
        <f t="shared" si="22"/>
        <v>91</v>
      </c>
      <c r="D134">
        <f t="shared" si="23"/>
        <v>997</v>
      </c>
      <c r="E134">
        <v>81</v>
      </c>
      <c r="F134">
        <v>133</v>
      </c>
      <c r="G134">
        <v>25</v>
      </c>
      <c r="H134">
        <f t="shared" si="18"/>
        <v>228</v>
      </c>
      <c r="I134">
        <f t="shared" si="19"/>
        <v>224</v>
      </c>
      <c r="J134">
        <f t="shared" si="20"/>
        <v>1022</v>
      </c>
      <c r="K134" t="str" cm="1">
        <f t="array" ref="K134">_xlfn.IFS(H134&gt;=$U$1,"kostka",I134&gt;=$U$1*$R$3,"orzech",J134&gt;=$U$1*$R$4,"miał",1=1,"NIC")</f>
        <v>kostka</v>
      </c>
      <c r="L134">
        <f t="shared" si="24"/>
        <v>28</v>
      </c>
      <c r="M134">
        <f t="shared" si="25"/>
        <v>224</v>
      </c>
      <c r="N134">
        <f t="shared" si="26"/>
        <v>1022</v>
      </c>
    </row>
    <row r="135" spans="1:14" x14ac:dyDescent="0.25">
      <c r="A135" s="1">
        <v>42060</v>
      </c>
      <c r="B135">
        <f t="shared" si="21"/>
        <v>28</v>
      </c>
      <c r="C135">
        <f t="shared" si="22"/>
        <v>224</v>
      </c>
      <c r="D135">
        <f t="shared" si="23"/>
        <v>1022</v>
      </c>
      <c r="E135">
        <v>59</v>
      </c>
      <c r="F135">
        <v>87</v>
      </c>
      <c r="G135">
        <v>10</v>
      </c>
      <c r="H135">
        <f t="shared" si="18"/>
        <v>87</v>
      </c>
      <c r="I135">
        <f t="shared" si="19"/>
        <v>311</v>
      </c>
      <c r="J135">
        <f t="shared" si="20"/>
        <v>1032</v>
      </c>
      <c r="K135" t="str" cm="1">
        <f t="array" ref="K135">_xlfn.IFS(H135&gt;=$U$1,"kostka",I135&gt;=$U$1*$R$3,"orzech",J135&gt;=$U$1*$R$4,"miał",1=1,"NIC")</f>
        <v>orzech</v>
      </c>
      <c r="L135">
        <f t="shared" si="24"/>
        <v>87</v>
      </c>
      <c r="M135">
        <f t="shared" si="25"/>
        <v>51</v>
      </c>
      <c r="N135">
        <f t="shared" si="26"/>
        <v>1032</v>
      </c>
    </row>
    <row r="136" spans="1:14" x14ac:dyDescent="0.25">
      <c r="A136" s="1">
        <v>42061</v>
      </c>
      <c r="B136">
        <f t="shared" si="21"/>
        <v>87</v>
      </c>
      <c r="C136">
        <f t="shared" si="22"/>
        <v>51</v>
      </c>
      <c r="D136">
        <f t="shared" si="23"/>
        <v>1032</v>
      </c>
      <c r="E136">
        <v>21</v>
      </c>
      <c r="F136">
        <v>75</v>
      </c>
      <c r="G136">
        <v>65</v>
      </c>
      <c r="H136">
        <f t="shared" si="18"/>
        <v>108</v>
      </c>
      <c r="I136">
        <f t="shared" si="19"/>
        <v>126</v>
      </c>
      <c r="J136">
        <f t="shared" si="20"/>
        <v>1097</v>
      </c>
      <c r="K136" t="str" cm="1">
        <f t="array" ref="K136">_xlfn.IFS(H136&gt;=$U$1,"kostka",I136&gt;=$U$1*$R$3,"orzech",J136&gt;=$U$1*$R$4,"miał",1=1,"NIC")</f>
        <v>miał</v>
      </c>
      <c r="L136">
        <f t="shared" si="24"/>
        <v>108</v>
      </c>
      <c r="M136">
        <f t="shared" si="25"/>
        <v>126</v>
      </c>
      <c r="N136">
        <f t="shared" si="26"/>
        <v>777</v>
      </c>
    </row>
    <row r="137" spans="1:14" x14ac:dyDescent="0.25">
      <c r="A137" s="1">
        <v>42062</v>
      </c>
      <c r="B137">
        <f t="shared" si="21"/>
        <v>108</v>
      </c>
      <c r="C137">
        <f t="shared" si="22"/>
        <v>126</v>
      </c>
      <c r="D137">
        <f t="shared" si="23"/>
        <v>777</v>
      </c>
      <c r="E137">
        <v>79</v>
      </c>
      <c r="F137">
        <v>14</v>
      </c>
      <c r="G137">
        <v>27</v>
      </c>
      <c r="H137">
        <f t="shared" si="18"/>
        <v>187</v>
      </c>
      <c r="I137">
        <f t="shared" si="19"/>
        <v>140</v>
      </c>
      <c r="J137">
        <f t="shared" si="20"/>
        <v>804</v>
      </c>
      <c r="K137" t="str" cm="1">
        <f t="array" ref="K137">_xlfn.IFS(H137&gt;=$U$1,"kostka",I137&gt;=$U$1*$R$3,"orzech",J137&gt;=$U$1*$R$4,"miał",1=1,"NIC")</f>
        <v>miał</v>
      </c>
      <c r="L137">
        <f t="shared" si="24"/>
        <v>187</v>
      </c>
      <c r="M137">
        <f t="shared" si="25"/>
        <v>140</v>
      </c>
      <c r="N137">
        <f t="shared" si="26"/>
        <v>484</v>
      </c>
    </row>
    <row r="138" spans="1:14" x14ac:dyDescent="0.25">
      <c r="A138" s="1">
        <v>42063</v>
      </c>
      <c r="B138">
        <f t="shared" si="21"/>
        <v>187</v>
      </c>
      <c r="C138">
        <f t="shared" si="22"/>
        <v>140</v>
      </c>
      <c r="D138">
        <f t="shared" si="23"/>
        <v>484</v>
      </c>
      <c r="E138">
        <v>56</v>
      </c>
      <c r="F138">
        <v>12</v>
      </c>
      <c r="G138">
        <v>25</v>
      </c>
      <c r="H138">
        <f t="shared" si="18"/>
        <v>243</v>
      </c>
      <c r="I138">
        <f t="shared" si="19"/>
        <v>152</v>
      </c>
      <c r="J138">
        <f t="shared" si="20"/>
        <v>509</v>
      </c>
      <c r="K138" t="str" cm="1">
        <f t="array" ref="K138">_xlfn.IFS(H138&gt;=$U$1,"kostka",I138&gt;=$U$1*$R$3,"orzech",J138&gt;=$U$1*$R$4,"miał",1=1,"NIC")</f>
        <v>kostka</v>
      </c>
      <c r="L138">
        <f t="shared" si="24"/>
        <v>43</v>
      </c>
      <c r="M138">
        <f t="shared" si="25"/>
        <v>152</v>
      </c>
      <c r="N138">
        <f t="shared" si="26"/>
        <v>509</v>
      </c>
    </row>
    <row r="139" spans="1:14" x14ac:dyDescent="0.25">
      <c r="A139" s="1">
        <v>42064</v>
      </c>
      <c r="B139">
        <f t="shared" si="21"/>
        <v>43</v>
      </c>
      <c r="C139">
        <f t="shared" si="22"/>
        <v>152</v>
      </c>
      <c r="D139">
        <f t="shared" si="23"/>
        <v>509</v>
      </c>
      <c r="E139">
        <v>195</v>
      </c>
      <c r="F139">
        <v>90</v>
      </c>
      <c r="G139">
        <v>56</v>
      </c>
      <c r="H139">
        <f t="shared" si="18"/>
        <v>238</v>
      </c>
      <c r="I139">
        <f t="shared" si="19"/>
        <v>242</v>
      </c>
      <c r="J139">
        <f t="shared" si="20"/>
        <v>565</v>
      </c>
      <c r="K139" t="str" cm="1">
        <f t="array" ref="K139">_xlfn.IFS(H139&gt;=$U$1,"kostka",I139&gt;=$U$1*$R$3,"orzech",J139&gt;=$U$1*$R$4,"miał",1=1,"NIC")</f>
        <v>kostka</v>
      </c>
      <c r="L139">
        <f t="shared" si="24"/>
        <v>38</v>
      </c>
      <c r="M139">
        <f t="shared" si="25"/>
        <v>242</v>
      </c>
      <c r="N139">
        <f t="shared" si="26"/>
        <v>565</v>
      </c>
    </row>
    <row r="140" spans="1:14" x14ac:dyDescent="0.25">
      <c r="A140" s="1">
        <v>42065</v>
      </c>
      <c r="B140">
        <f t="shared" si="21"/>
        <v>38</v>
      </c>
      <c r="C140">
        <f t="shared" si="22"/>
        <v>242</v>
      </c>
      <c r="D140">
        <f t="shared" si="23"/>
        <v>565</v>
      </c>
      <c r="E140">
        <v>113</v>
      </c>
      <c r="F140">
        <v>90</v>
      </c>
      <c r="G140">
        <v>24</v>
      </c>
      <c r="H140">
        <f t="shared" si="18"/>
        <v>151</v>
      </c>
      <c r="I140">
        <f t="shared" si="19"/>
        <v>332</v>
      </c>
      <c r="J140">
        <f t="shared" si="20"/>
        <v>589</v>
      </c>
      <c r="K140" t="str" cm="1">
        <f t="array" ref="K140">_xlfn.IFS(H140&gt;=$U$1,"kostka",I140&gt;=$U$1*$R$3,"orzech",J140&gt;=$U$1*$R$4,"miał",1=1,"NIC")</f>
        <v>orzech</v>
      </c>
      <c r="L140">
        <f t="shared" si="24"/>
        <v>151</v>
      </c>
      <c r="M140">
        <f t="shared" si="25"/>
        <v>72</v>
      </c>
      <c r="N140">
        <f t="shared" si="26"/>
        <v>589</v>
      </c>
    </row>
    <row r="141" spans="1:14" x14ac:dyDescent="0.25">
      <c r="A141" s="1">
        <v>42066</v>
      </c>
      <c r="B141">
        <f t="shared" si="21"/>
        <v>151</v>
      </c>
      <c r="C141">
        <f t="shared" si="22"/>
        <v>72</v>
      </c>
      <c r="D141">
        <f t="shared" si="23"/>
        <v>589</v>
      </c>
      <c r="E141">
        <v>93</v>
      </c>
      <c r="F141">
        <v>139</v>
      </c>
      <c r="G141">
        <v>47</v>
      </c>
      <c r="H141">
        <f t="shared" si="18"/>
        <v>244</v>
      </c>
      <c r="I141">
        <f t="shared" si="19"/>
        <v>211</v>
      </c>
      <c r="J141">
        <f t="shared" si="20"/>
        <v>636</v>
      </c>
      <c r="K141" t="str" cm="1">
        <f t="array" ref="K141">_xlfn.IFS(H141&gt;=$U$1,"kostka",I141&gt;=$U$1*$R$3,"orzech",J141&gt;=$U$1*$R$4,"miał",1=1,"NIC")</f>
        <v>kostka</v>
      </c>
      <c r="L141">
        <f t="shared" si="24"/>
        <v>44</v>
      </c>
      <c r="M141">
        <f t="shared" si="25"/>
        <v>211</v>
      </c>
      <c r="N141">
        <f t="shared" si="26"/>
        <v>636</v>
      </c>
    </row>
    <row r="142" spans="1:14" x14ac:dyDescent="0.25">
      <c r="A142" s="1">
        <v>42067</v>
      </c>
      <c r="B142">
        <f t="shared" si="21"/>
        <v>44</v>
      </c>
      <c r="C142">
        <f t="shared" si="22"/>
        <v>211</v>
      </c>
      <c r="D142">
        <f t="shared" si="23"/>
        <v>636</v>
      </c>
      <c r="E142">
        <v>93</v>
      </c>
      <c r="F142">
        <v>147</v>
      </c>
      <c r="G142">
        <v>26</v>
      </c>
      <c r="H142">
        <f t="shared" si="18"/>
        <v>137</v>
      </c>
      <c r="I142">
        <f t="shared" si="19"/>
        <v>358</v>
      </c>
      <c r="J142">
        <f t="shared" si="20"/>
        <v>662</v>
      </c>
      <c r="K142" t="str" cm="1">
        <f t="array" ref="K142">_xlfn.IFS(H142&gt;=$U$1,"kostka",I142&gt;=$U$1*$R$3,"orzech",J142&gt;=$U$1*$R$4,"miał",1=1,"NIC")</f>
        <v>orzech</v>
      </c>
      <c r="L142">
        <f t="shared" si="24"/>
        <v>137</v>
      </c>
      <c r="M142">
        <f t="shared" si="25"/>
        <v>98</v>
      </c>
      <c r="N142">
        <f t="shared" si="26"/>
        <v>662</v>
      </c>
    </row>
    <row r="143" spans="1:14" x14ac:dyDescent="0.25">
      <c r="A143" s="1">
        <v>42068</v>
      </c>
      <c r="B143">
        <f t="shared" si="21"/>
        <v>137</v>
      </c>
      <c r="C143">
        <f t="shared" si="22"/>
        <v>98</v>
      </c>
      <c r="D143">
        <f t="shared" si="23"/>
        <v>662</v>
      </c>
      <c r="E143">
        <v>79</v>
      </c>
      <c r="F143">
        <v>145</v>
      </c>
      <c r="G143">
        <v>36</v>
      </c>
      <c r="H143">
        <f t="shared" si="18"/>
        <v>216</v>
      </c>
      <c r="I143">
        <f t="shared" si="19"/>
        <v>243</v>
      </c>
      <c r="J143">
        <f t="shared" si="20"/>
        <v>698</v>
      </c>
      <c r="K143" t="str" cm="1">
        <f t="array" ref="K143">_xlfn.IFS(H143&gt;=$U$1,"kostka",I143&gt;=$U$1*$R$3,"orzech",J143&gt;=$U$1*$R$4,"miał",1=1,"NIC")</f>
        <v>kostka</v>
      </c>
      <c r="L143">
        <f t="shared" si="24"/>
        <v>16</v>
      </c>
      <c r="M143">
        <f t="shared" si="25"/>
        <v>243</v>
      </c>
      <c r="N143">
        <f t="shared" si="26"/>
        <v>698</v>
      </c>
    </row>
    <row r="144" spans="1:14" x14ac:dyDescent="0.25">
      <c r="A144" s="1">
        <v>42069</v>
      </c>
      <c r="B144">
        <f t="shared" si="21"/>
        <v>16</v>
      </c>
      <c r="C144">
        <f t="shared" si="22"/>
        <v>243</v>
      </c>
      <c r="D144">
        <f t="shared" si="23"/>
        <v>698</v>
      </c>
      <c r="E144">
        <v>148</v>
      </c>
      <c r="F144">
        <v>127</v>
      </c>
      <c r="G144">
        <v>27</v>
      </c>
      <c r="H144">
        <f t="shared" si="18"/>
        <v>164</v>
      </c>
      <c r="I144">
        <f t="shared" si="19"/>
        <v>370</v>
      </c>
      <c r="J144">
        <f t="shared" si="20"/>
        <v>725</v>
      </c>
      <c r="K144" t="str" cm="1">
        <f t="array" ref="K144">_xlfn.IFS(H144&gt;=$U$1,"kostka",I144&gt;=$U$1*$R$3,"orzech",J144&gt;=$U$1*$R$4,"miał",1=1,"NIC")</f>
        <v>orzech</v>
      </c>
      <c r="L144">
        <f t="shared" si="24"/>
        <v>164</v>
      </c>
      <c r="M144">
        <f t="shared" si="25"/>
        <v>110</v>
      </c>
      <c r="N144">
        <f t="shared" si="26"/>
        <v>725</v>
      </c>
    </row>
    <row r="145" spans="1:14" x14ac:dyDescent="0.25">
      <c r="A145" s="1">
        <v>42070</v>
      </c>
      <c r="B145">
        <f t="shared" si="21"/>
        <v>164</v>
      </c>
      <c r="C145">
        <f t="shared" si="22"/>
        <v>110</v>
      </c>
      <c r="D145">
        <f t="shared" si="23"/>
        <v>725</v>
      </c>
      <c r="E145">
        <v>132</v>
      </c>
      <c r="F145">
        <v>128</v>
      </c>
      <c r="G145">
        <v>37</v>
      </c>
      <c r="H145">
        <f t="shared" si="18"/>
        <v>296</v>
      </c>
      <c r="I145">
        <f t="shared" si="19"/>
        <v>238</v>
      </c>
      <c r="J145">
        <f t="shared" si="20"/>
        <v>762</v>
      </c>
      <c r="K145" t="str" cm="1">
        <f t="array" ref="K145">_xlfn.IFS(H145&gt;=$U$1,"kostka",I145&gt;=$U$1*$R$3,"orzech",J145&gt;=$U$1*$R$4,"miał",1=1,"NIC")</f>
        <v>kostka</v>
      </c>
      <c r="L145">
        <f t="shared" si="24"/>
        <v>96</v>
      </c>
      <c r="M145">
        <f t="shared" si="25"/>
        <v>238</v>
      </c>
      <c r="N145">
        <f t="shared" si="26"/>
        <v>762</v>
      </c>
    </row>
    <row r="146" spans="1:14" x14ac:dyDescent="0.25">
      <c r="A146" s="1">
        <v>42071</v>
      </c>
      <c r="B146">
        <f t="shared" si="21"/>
        <v>96</v>
      </c>
      <c r="C146">
        <f t="shared" si="22"/>
        <v>238</v>
      </c>
      <c r="D146">
        <f t="shared" si="23"/>
        <v>762</v>
      </c>
      <c r="E146">
        <v>22</v>
      </c>
      <c r="F146">
        <v>115</v>
      </c>
      <c r="G146">
        <v>28</v>
      </c>
      <c r="H146">
        <f t="shared" si="18"/>
        <v>118</v>
      </c>
      <c r="I146">
        <f t="shared" si="19"/>
        <v>353</v>
      </c>
      <c r="J146">
        <f t="shared" si="20"/>
        <v>790</v>
      </c>
      <c r="K146" t="str" cm="1">
        <f t="array" ref="K146">_xlfn.IFS(H146&gt;=$U$1,"kostka",I146&gt;=$U$1*$R$3,"orzech",J146&gt;=$U$1*$R$4,"miał",1=1,"NIC")</f>
        <v>orzech</v>
      </c>
      <c r="L146">
        <f t="shared" si="24"/>
        <v>118</v>
      </c>
      <c r="M146">
        <f t="shared" si="25"/>
        <v>93</v>
      </c>
      <c r="N146">
        <f t="shared" si="26"/>
        <v>790</v>
      </c>
    </row>
    <row r="147" spans="1:14" x14ac:dyDescent="0.25">
      <c r="A147" s="1">
        <v>42072</v>
      </c>
      <c r="B147">
        <f t="shared" si="21"/>
        <v>118</v>
      </c>
      <c r="C147">
        <f t="shared" si="22"/>
        <v>93</v>
      </c>
      <c r="D147">
        <f t="shared" si="23"/>
        <v>790</v>
      </c>
      <c r="E147">
        <v>50</v>
      </c>
      <c r="F147">
        <v>99</v>
      </c>
      <c r="G147">
        <v>78</v>
      </c>
      <c r="H147">
        <f t="shared" si="18"/>
        <v>168</v>
      </c>
      <c r="I147">
        <f t="shared" si="19"/>
        <v>192</v>
      </c>
      <c r="J147">
        <f t="shared" si="20"/>
        <v>868</v>
      </c>
      <c r="K147" t="str" cm="1">
        <f t="array" ref="K147">_xlfn.IFS(H147&gt;=$U$1,"kostka",I147&gt;=$U$1*$R$3,"orzech",J147&gt;=$U$1*$R$4,"miał",1=1,"NIC")</f>
        <v>miał</v>
      </c>
      <c r="L147">
        <f t="shared" si="24"/>
        <v>168</v>
      </c>
      <c r="M147">
        <f t="shared" si="25"/>
        <v>192</v>
      </c>
      <c r="N147">
        <f t="shared" si="26"/>
        <v>548</v>
      </c>
    </row>
    <row r="148" spans="1:14" x14ac:dyDescent="0.25">
      <c r="A148" s="1">
        <v>42073</v>
      </c>
      <c r="B148">
        <f t="shared" si="21"/>
        <v>168</v>
      </c>
      <c r="C148">
        <f t="shared" si="22"/>
        <v>192</v>
      </c>
      <c r="D148">
        <f t="shared" si="23"/>
        <v>548</v>
      </c>
      <c r="E148">
        <v>178</v>
      </c>
      <c r="F148">
        <v>146</v>
      </c>
      <c r="G148">
        <v>75</v>
      </c>
      <c r="H148">
        <f t="shared" si="18"/>
        <v>346</v>
      </c>
      <c r="I148">
        <f t="shared" si="19"/>
        <v>338</v>
      </c>
      <c r="J148">
        <f t="shared" si="20"/>
        <v>623</v>
      </c>
      <c r="K148" t="str" cm="1">
        <f t="array" ref="K148">_xlfn.IFS(H148&gt;=$U$1,"kostka",I148&gt;=$U$1*$R$3,"orzech",J148&gt;=$U$1*$R$4,"miał",1=1,"NIC")</f>
        <v>kostka</v>
      </c>
      <c r="L148">
        <f t="shared" si="24"/>
        <v>146</v>
      </c>
      <c r="M148">
        <f t="shared" si="25"/>
        <v>338</v>
      </c>
      <c r="N148">
        <f t="shared" si="26"/>
        <v>623</v>
      </c>
    </row>
    <row r="149" spans="1:14" x14ac:dyDescent="0.25">
      <c r="A149" s="1">
        <v>42074</v>
      </c>
      <c r="B149">
        <f t="shared" si="21"/>
        <v>146</v>
      </c>
      <c r="C149">
        <f t="shared" si="22"/>
        <v>338</v>
      </c>
      <c r="D149">
        <f t="shared" si="23"/>
        <v>623</v>
      </c>
      <c r="E149">
        <v>97</v>
      </c>
      <c r="F149">
        <v>135</v>
      </c>
      <c r="G149">
        <v>66</v>
      </c>
      <c r="H149">
        <f t="shared" si="18"/>
        <v>243</v>
      </c>
      <c r="I149">
        <f t="shared" si="19"/>
        <v>473</v>
      </c>
      <c r="J149">
        <f t="shared" si="20"/>
        <v>689</v>
      </c>
      <c r="K149" t="str" cm="1">
        <f t="array" ref="K149">_xlfn.IFS(H149&gt;=$U$1,"kostka",I149&gt;=$U$1*$R$3,"orzech",J149&gt;=$U$1*$R$4,"miał",1=1,"NIC")</f>
        <v>kostka</v>
      </c>
      <c r="L149">
        <f t="shared" si="24"/>
        <v>43</v>
      </c>
      <c r="M149">
        <f t="shared" si="25"/>
        <v>473</v>
      </c>
      <c r="N149">
        <f t="shared" si="26"/>
        <v>689</v>
      </c>
    </row>
    <row r="150" spans="1:14" x14ac:dyDescent="0.25">
      <c r="A150" s="1">
        <v>42075</v>
      </c>
      <c r="B150">
        <f t="shared" si="21"/>
        <v>43</v>
      </c>
      <c r="C150">
        <f t="shared" si="22"/>
        <v>473</v>
      </c>
      <c r="D150">
        <f t="shared" si="23"/>
        <v>689</v>
      </c>
      <c r="E150">
        <v>138</v>
      </c>
      <c r="F150">
        <v>160</v>
      </c>
      <c r="G150">
        <v>6</v>
      </c>
      <c r="H150">
        <f t="shared" si="18"/>
        <v>181</v>
      </c>
      <c r="I150">
        <f t="shared" si="19"/>
        <v>633</v>
      </c>
      <c r="J150">
        <f t="shared" si="20"/>
        <v>695</v>
      </c>
      <c r="K150" t="str" cm="1">
        <f t="array" ref="K150">_xlfn.IFS(H150&gt;=$U$1,"kostka",I150&gt;=$U$1*$R$3,"orzech",J150&gt;=$U$1*$R$4,"miał",1=1,"NIC")</f>
        <v>orzech</v>
      </c>
      <c r="L150">
        <f t="shared" si="24"/>
        <v>181</v>
      </c>
      <c r="M150">
        <f t="shared" si="25"/>
        <v>373</v>
      </c>
      <c r="N150">
        <f t="shared" si="26"/>
        <v>695</v>
      </c>
    </row>
    <row r="151" spans="1:14" x14ac:dyDescent="0.25">
      <c r="A151" s="1">
        <v>42076</v>
      </c>
      <c r="B151">
        <f t="shared" si="21"/>
        <v>181</v>
      </c>
      <c r="C151">
        <f t="shared" si="22"/>
        <v>373</v>
      </c>
      <c r="D151">
        <f t="shared" si="23"/>
        <v>695</v>
      </c>
      <c r="E151">
        <v>194</v>
      </c>
      <c r="F151">
        <v>87</v>
      </c>
      <c r="G151">
        <v>60</v>
      </c>
      <c r="H151">
        <f t="shared" si="18"/>
        <v>375</v>
      </c>
      <c r="I151">
        <f t="shared" si="19"/>
        <v>460</v>
      </c>
      <c r="J151">
        <f t="shared" si="20"/>
        <v>755</v>
      </c>
      <c r="K151" t="str" cm="1">
        <f t="array" ref="K151">_xlfn.IFS(H151&gt;=$U$1,"kostka",I151&gt;=$U$1*$R$3,"orzech",J151&gt;=$U$1*$R$4,"miał",1=1,"NIC")</f>
        <v>kostka</v>
      </c>
      <c r="L151">
        <f t="shared" si="24"/>
        <v>175</v>
      </c>
      <c r="M151">
        <f t="shared" si="25"/>
        <v>460</v>
      </c>
      <c r="N151">
        <f t="shared" si="26"/>
        <v>755</v>
      </c>
    </row>
    <row r="152" spans="1:14" x14ac:dyDescent="0.25">
      <c r="A152" s="1">
        <v>42077</v>
      </c>
      <c r="B152">
        <f t="shared" si="21"/>
        <v>175</v>
      </c>
      <c r="C152">
        <f t="shared" si="22"/>
        <v>460</v>
      </c>
      <c r="D152">
        <f t="shared" si="23"/>
        <v>755</v>
      </c>
      <c r="E152">
        <v>86</v>
      </c>
      <c r="F152">
        <v>21</v>
      </c>
      <c r="G152">
        <v>45</v>
      </c>
      <c r="H152">
        <f t="shared" si="18"/>
        <v>261</v>
      </c>
      <c r="I152">
        <f t="shared" si="19"/>
        <v>481</v>
      </c>
      <c r="J152">
        <f t="shared" si="20"/>
        <v>800</v>
      </c>
      <c r="K152" t="str" cm="1">
        <f t="array" ref="K152">_xlfn.IFS(H152&gt;=$U$1,"kostka",I152&gt;=$U$1*$R$3,"orzech",J152&gt;=$U$1*$R$4,"miał",1=1,"NIC")</f>
        <v>kostka</v>
      </c>
      <c r="L152">
        <f t="shared" si="24"/>
        <v>61</v>
      </c>
      <c r="M152">
        <f t="shared" si="25"/>
        <v>481</v>
      </c>
      <c r="N152">
        <f t="shared" si="26"/>
        <v>800</v>
      </c>
    </row>
    <row r="153" spans="1:14" x14ac:dyDescent="0.25">
      <c r="A153" s="1">
        <v>42078</v>
      </c>
      <c r="B153">
        <f t="shared" si="21"/>
        <v>61</v>
      </c>
      <c r="C153">
        <f t="shared" si="22"/>
        <v>481</v>
      </c>
      <c r="D153">
        <f t="shared" si="23"/>
        <v>800</v>
      </c>
      <c r="E153">
        <v>26</v>
      </c>
      <c r="F153">
        <v>60</v>
      </c>
      <c r="G153">
        <v>44</v>
      </c>
      <c r="H153">
        <f t="shared" si="18"/>
        <v>87</v>
      </c>
      <c r="I153">
        <f t="shared" si="19"/>
        <v>541</v>
      </c>
      <c r="J153">
        <f t="shared" si="20"/>
        <v>844</v>
      </c>
      <c r="K153" t="str" cm="1">
        <f t="array" ref="K153">_xlfn.IFS(H153&gt;=$U$1,"kostka",I153&gt;=$U$1*$R$3,"orzech",J153&gt;=$U$1*$R$4,"miał",1=1,"NIC")</f>
        <v>orzech</v>
      </c>
      <c r="L153">
        <f t="shared" si="24"/>
        <v>87</v>
      </c>
      <c r="M153">
        <f t="shared" si="25"/>
        <v>281</v>
      </c>
      <c r="N153">
        <f t="shared" si="26"/>
        <v>844</v>
      </c>
    </row>
    <row r="154" spans="1:14" x14ac:dyDescent="0.25">
      <c r="A154" s="1">
        <v>42079</v>
      </c>
      <c r="B154">
        <f t="shared" si="21"/>
        <v>87</v>
      </c>
      <c r="C154">
        <f t="shared" si="22"/>
        <v>281</v>
      </c>
      <c r="D154">
        <f t="shared" si="23"/>
        <v>844</v>
      </c>
      <c r="E154">
        <v>28</v>
      </c>
      <c r="F154">
        <v>35</v>
      </c>
      <c r="G154">
        <v>96</v>
      </c>
      <c r="H154">
        <f t="shared" si="18"/>
        <v>115</v>
      </c>
      <c r="I154">
        <f t="shared" si="19"/>
        <v>316</v>
      </c>
      <c r="J154">
        <f t="shared" si="20"/>
        <v>940</v>
      </c>
      <c r="K154" t="str" cm="1">
        <f t="array" ref="K154">_xlfn.IFS(H154&gt;=$U$1,"kostka",I154&gt;=$U$1*$R$3,"orzech",J154&gt;=$U$1*$R$4,"miał",1=1,"NIC")</f>
        <v>orzech</v>
      </c>
      <c r="L154">
        <f t="shared" si="24"/>
        <v>115</v>
      </c>
      <c r="M154">
        <f t="shared" si="25"/>
        <v>56</v>
      </c>
      <c r="N154">
        <f t="shared" si="26"/>
        <v>940</v>
      </c>
    </row>
    <row r="155" spans="1:14" x14ac:dyDescent="0.25">
      <c r="A155" s="1">
        <v>42080</v>
      </c>
      <c r="B155">
        <f t="shared" si="21"/>
        <v>115</v>
      </c>
      <c r="C155">
        <f t="shared" si="22"/>
        <v>56</v>
      </c>
      <c r="D155">
        <f t="shared" si="23"/>
        <v>940</v>
      </c>
      <c r="E155">
        <v>53</v>
      </c>
      <c r="F155">
        <v>100</v>
      </c>
      <c r="G155">
        <v>64</v>
      </c>
      <c r="H155">
        <f t="shared" si="18"/>
        <v>168</v>
      </c>
      <c r="I155">
        <f t="shared" si="19"/>
        <v>156</v>
      </c>
      <c r="J155">
        <f t="shared" si="20"/>
        <v>1004</v>
      </c>
      <c r="K155" t="str" cm="1">
        <f t="array" ref="K155">_xlfn.IFS(H155&gt;=$U$1,"kostka",I155&gt;=$U$1*$R$3,"orzech",J155&gt;=$U$1*$R$4,"miał",1=1,"NIC")</f>
        <v>miał</v>
      </c>
      <c r="L155">
        <f t="shared" si="24"/>
        <v>168</v>
      </c>
      <c r="M155">
        <f t="shared" si="25"/>
        <v>156</v>
      </c>
      <c r="N155">
        <f t="shared" si="26"/>
        <v>684</v>
      </c>
    </row>
    <row r="156" spans="1:14" x14ac:dyDescent="0.25">
      <c r="A156" s="1">
        <v>42081</v>
      </c>
      <c r="B156">
        <f t="shared" si="21"/>
        <v>168</v>
      </c>
      <c r="C156">
        <f t="shared" si="22"/>
        <v>156</v>
      </c>
      <c r="D156">
        <f t="shared" si="23"/>
        <v>684</v>
      </c>
      <c r="E156">
        <v>168</v>
      </c>
      <c r="F156">
        <v>64</v>
      </c>
      <c r="G156">
        <v>46</v>
      </c>
      <c r="H156">
        <f t="shared" si="18"/>
        <v>336</v>
      </c>
      <c r="I156">
        <f t="shared" si="19"/>
        <v>220</v>
      </c>
      <c r="J156">
        <f t="shared" si="20"/>
        <v>730</v>
      </c>
      <c r="K156" t="str" cm="1">
        <f t="array" ref="K156">_xlfn.IFS(H156&gt;=$U$1,"kostka",I156&gt;=$U$1*$R$3,"orzech",J156&gt;=$U$1*$R$4,"miał",1=1,"NIC")</f>
        <v>kostka</v>
      </c>
      <c r="L156">
        <f t="shared" si="24"/>
        <v>136</v>
      </c>
      <c r="M156">
        <f t="shared" si="25"/>
        <v>220</v>
      </c>
      <c r="N156">
        <f t="shared" si="26"/>
        <v>730</v>
      </c>
    </row>
    <row r="157" spans="1:14" x14ac:dyDescent="0.25">
      <c r="A157" s="1">
        <v>42082</v>
      </c>
      <c r="B157">
        <f t="shared" si="21"/>
        <v>136</v>
      </c>
      <c r="C157">
        <f t="shared" si="22"/>
        <v>220</v>
      </c>
      <c r="D157">
        <f t="shared" si="23"/>
        <v>730</v>
      </c>
      <c r="E157">
        <v>77</v>
      </c>
      <c r="F157">
        <v>60</v>
      </c>
      <c r="G157">
        <v>35</v>
      </c>
      <c r="H157">
        <f t="shared" si="18"/>
        <v>213</v>
      </c>
      <c r="I157">
        <f t="shared" si="19"/>
        <v>280</v>
      </c>
      <c r="J157">
        <f t="shared" si="20"/>
        <v>765</v>
      </c>
      <c r="K157" t="str" cm="1">
        <f t="array" ref="K157">_xlfn.IFS(H157&gt;=$U$1,"kostka",I157&gt;=$U$1*$R$3,"orzech",J157&gt;=$U$1*$R$4,"miał",1=1,"NIC")</f>
        <v>kostka</v>
      </c>
      <c r="L157">
        <f t="shared" si="24"/>
        <v>13</v>
      </c>
      <c r="M157">
        <f t="shared" si="25"/>
        <v>280</v>
      </c>
      <c r="N157">
        <f t="shared" si="26"/>
        <v>765</v>
      </c>
    </row>
    <row r="158" spans="1:14" x14ac:dyDescent="0.25">
      <c r="A158" s="1">
        <v>42083</v>
      </c>
      <c r="B158">
        <f t="shared" si="21"/>
        <v>13</v>
      </c>
      <c r="C158">
        <f t="shared" si="22"/>
        <v>280</v>
      </c>
      <c r="D158">
        <f t="shared" si="23"/>
        <v>765</v>
      </c>
      <c r="E158">
        <v>17</v>
      </c>
      <c r="F158">
        <v>80</v>
      </c>
      <c r="G158">
        <v>30</v>
      </c>
      <c r="H158">
        <f t="shared" si="18"/>
        <v>30</v>
      </c>
      <c r="I158">
        <f t="shared" si="19"/>
        <v>360</v>
      </c>
      <c r="J158">
        <f t="shared" si="20"/>
        <v>795</v>
      </c>
      <c r="K158" t="str" cm="1">
        <f t="array" ref="K158">_xlfn.IFS(H158&gt;=$U$1,"kostka",I158&gt;=$U$1*$R$3,"orzech",J158&gt;=$U$1*$R$4,"miał",1=1,"NIC")</f>
        <v>orzech</v>
      </c>
      <c r="L158">
        <f t="shared" si="24"/>
        <v>30</v>
      </c>
      <c r="M158">
        <f t="shared" si="25"/>
        <v>100</v>
      </c>
      <c r="N158">
        <f t="shared" si="26"/>
        <v>795</v>
      </c>
    </row>
    <row r="159" spans="1:14" x14ac:dyDescent="0.25">
      <c r="A159" s="1">
        <v>42084</v>
      </c>
      <c r="B159">
        <f t="shared" si="21"/>
        <v>30</v>
      </c>
      <c r="C159">
        <f t="shared" si="22"/>
        <v>100</v>
      </c>
      <c r="D159">
        <f t="shared" si="23"/>
        <v>795</v>
      </c>
      <c r="E159">
        <v>175</v>
      </c>
      <c r="F159">
        <v>47</v>
      </c>
      <c r="G159">
        <v>25</v>
      </c>
      <c r="H159">
        <f t="shared" si="18"/>
        <v>205</v>
      </c>
      <c r="I159">
        <f t="shared" si="19"/>
        <v>147</v>
      </c>
      <c r="J159">
        <f t="shared" si="20"/>
        <v>820</v>
      </c>
      <c r="K159" t="str" cm="1">
        <f t="array" ref="K159">_xlfn.IFS(H159&gt;=$U$1,"kostka",I159&gt;=$U$1*$R$3,"orzech",J159&gt;=$U$1*$R$4,"miał",1=1,"NIC")</f>
        <v>kostka</v>
      </c>
      <c r="L159">
        <f t="shared" si="24"/>
        <v>5</v>
      </c>
      <c r="M159">
        <f t="shared" si="25"/>
        <v>147</v>
      </c>
      <c r="N159">
        <f t="shared" si="26"/>
        <v>820</v>
      </c>
    </row>
    <row r="160" spans="1:14" x14ac:dyDescent="0.25">
      <c r="A160" s="1">
        <v>42085</v>
      </c>
      <c r="B160">
        <f t="shared" si="21"/>
        <v>5</v>
      </c>
      <c r="C160">
        <f t="shared" si="22"/>
        <v>147</v>
      </c>
      <c r="D160">
        <f t="shared" si="23"/>
        <v>820</v>
      </c>
      <c r="E160">
        <v>164</v>
      </c>
      <c r="F160">
        <v>60</v>
      </c>
      <c r="G160">
        <v>22</v>
      </c>
      <c r="H160">
        <f t="shared" si="18"/>
        <v>169</v>
      </c>
      <c r="I160">
        <f t="shared" si="19"/>
        <v>207</v>
      </c>
      <c r="J160">
        <f t="shared" si="20"/>
        <v>842</v>
      </c>
      <c r="K160" t="str" cm="1">
        <f t="array" ref="K160">_xlfn.IFS(H160&gt;=$U$1,"kostka",I160&gt;=$U$1*$R$3,"orzech",J160&gt;=$U$1*$R$4,"miał",1=1,"NIC")</f>
        <v>miał</v>
      </c>
      <c r="L160">
        <f t="shared" si="24"/>
        <v>169</v>
      </c>
      <c r="M160">
        <f t="shared" si="25"/>
        <v>207</v>
      </c>
      <c r="N160">
        <f t="shared" si="26"/>
        <v>522</v>
      </c>
    </row>
    <row r="161" spans="1:14" x14ac:dyDescent="0.25">
      <c r="A161" s="1">
        <v>42086</v>
      </c>
      <c r="B161">
        <f t="shared" si="21"/>
        <v>169</v>
      </c>
      <c r="C161">
        <f t="shared" si="22"/>
        <v>207</v>
      </c>
      <c r="D161">
        <f t="shared" si="23"/>
        <v>522</v>
      </c>
      <c r="E161">
        <v>199</v>
      </c>
      <c r="F161">
        <v>80</v>
      </c>
      <c r="G161">
        <v>45</v>
      </c>
      <c r="H161">
        <f t="shared" si="18"/>
        <v>368</v>
      </c>
      <c r="I161">
        <f t="shared" si="19"/>
        <v>287</v>
      </c>
      <c r="J161">
        <f t="shared" si="20"/>
        <v>567</v>
      </c>
      <c r="K161" t="str" cm="1">
        <f t="array" ref="K161">_xlfn.IFS(H161&gt;=$U$1,"kostka",I161&gt;=$U$1*$R$3,"orzech",J161&gt;=$U$1*$R$4,"miał",1=1,"NIC")</f>
        <v>kostka</v>
      </c>
      <c r="L161">
        <f t="shared" si="24"/>
        <v>168</v>
      </c>
      <c r="M161">
        <f t="shared" si="25"/>
        <v>287</v>
      </c>
      <c r="N161">
        <f t="shared" si="26"/>
        <v>567</v>
      </c>
    </row>
    <row r="162" spans="1:14" x14ac:dyDescent="0.25">
      <c r="A162" s="1">
        <v>42087</v>
      </c>
      <c r="B162">
        <f t="shared" si="21"/>
        <v>168</v>
      </c>
      <c r="C162">
        <f t="shared" si="22"/>
        <v>287</v>
      </c>
      <c r="D162">
        <f t="shared" si="23"/>
        <v>567</v>
      </c>
      <c r="E162">
        <v>111</v>
      </c>
      <c r="F162">
        <v>92</v>
      </c>
      <c r="G162">
        <v>45</v>
      </c>
      <c r="H162">
        <f t="shared" si="18"/>
        <v>279</v>
      </c>
      <c r="I162">
        <f t="shared" si="19"/>
        <v>379</v>
      </c>
      <c r="J162">
        <f t="shared" si="20"/>
        <v>612</v>
      </c>
      <c r="K162" t="str" cm="1">
        <f t="array" ref="K162">_xlfn.IFS(H162&gt;=$U$1,"kostka",I162&gt;=$U$1*$R$3,"orzech",J162&gt;=$U$1*$R$4,"miał",1=1,"NIC")</f>
        <v>kostka</v>
      </c>
      <c r="L162">
        <f t="shared" si="24"/>
        <v>79</v>
      </c>
      <c r="M162">
        <f t="shared" si="25"/>
        <v>379</v>
      </c>
      <c r="N162">
        <f t="shared" si="26"/>
        <v>612</v>
      </c>
    </row>
    <row r="163" spans="1:14" x14ac:dyDescent="0.25">
      <c r="A163" s="1">
        <v>42088</v>
      </c>
      <c r="B163">
        <f t="shared" si="21"/>
        <v>79</v>
      </c>
      <c r="C163">
        <f t="shared" si="22"/>
        <v>379</v>
      </c>
      <c r="D163">
        <f t="shared" si="23"/>
        <v>612</v>
      </c>
      <c r="E163">
        <v>58</v>
      </c>
      <c r="F163">
        <v>90</v>
      </c>
      <c r="G163">
        <v>40</v>
      </c>
      <c r="H163">
        <f t="shared" si="18"/>
        <v>137</v>
      </c>
      <c r="I163">
        <f t="shared" si="19"/>
        <v>469</v>
      </c>
      <c r="J163">
        <f t="shared" si="20"/>
        <v>652</v>
      </c>
      <c r="K163" t="str" cm="1">
        <f t="array" ref="K163">_xlfn.IFS(H163&gt;=$U$1,"kostka",I163&gt;=$U$1*$R$3,"orzech",J163&gt;=$U$1*$R$4,"miał",1=1,"NIC")</f>
        <v>orzech</v>
      </c>
      <c r="L163">
        <f t="shared" si="24"/>
        <v>137</v>
      </c>
      <c r="M163">
        <f t="shared" si="25"/>
        <v>209</v>
      </c>
      <c r="N163">
        <f t="shared" si="26"/>
        <v>652</v>
      </c>
    </row>
    <row r="164" spans="1:14" x14ac:dyDescent="0.25">
      <c r="A164" s="1">
        <v>42089</v>
      </c>
      <c r="B164">
        <f t="shared" si="21"/>
        <v>137</v>
      </c>
      <c r="C164">
        <f t="shared" si="22"/>
        <v>209</v>
      </c>
      <c r="D164">
        <f t="shared" si="23"/>
        <v>652</v>
      </c>
      <c r="E164">
        <v>59</v>
      </c>
      <c r="F164">
        <v>164</v>
      </c>
      <c r="G164">
        <v>47</v>
      </c>
      <c r="H164">
        <f t="shared" si="18"/>
        <v>196</v>
      </c>
      <c r="I164">
        <f t="shared" si="19"/>
        <v>373</v>
      </c>
      <c r="J164">
        <f t="shared" si="20"/>
        <v>699</v>
      </c>
      <c r="K164" t="str" cm="1">
        <f t="array" ref="K164">_xlfn.IFS(H164&gt;=$U$1,"kostka",I164&gt;=$U$1*$R$3,"orzech",J164&gt;=$U$1*$R$4,"miał",1=1,"NIC")</f>
        <v>orzech</v>
      </c>
      <c r="L164">
        <f t="shared" si="24"/>
        <v>196</v>
      </c>
      <c r="M164">
        <f t="shared" si="25"/>
        <v>113</v>
      </c>
      <c r="N164">
        <f t="shared" si="26"/>
        <v>699</v>
      </c>
    </row>
    <row r="165" spans="1:14" x14ac:dyDescent="0.25">
      <c r="A165" s="1">
        <v>42090</v>
      </c>
      <c r="B165">
        <f t="shared" si="21"/>
        <v>196</v>
      </c>
      <c r="C165">
        <f t="shared" si="22"/>
        <v>113</v>
      </c>
      <c r="D165">
        <f t="shared" si="23"/>
        <v>699</v>
      </c>
      <c r="E165">
        <v>158</v>
      </c>
      <c r="F165">
        <v>120</v>
      </c>
      <c r="G165">
        <v>30</v>
      </c>
      <c r="H165">
        <f t="shared" si="18"/>
        <v>354</v>
      </c>
      <c r="I165">
        <f t="shared" si="19"/>
        <v>233</v>
      </c>
      <c r="J165">
        <f t="shared" si="20"/>
        <v>729</v>
      </c>
      <c r="K165" t="str" cm="1">
        <f t="array" ref="K165">_xlfn.IFS(H165&gt;=$U$1,"kostka",I165&gt;=$U$1*$R$3,"orzech",J165&gt;=$U$1*$R$4,"miał",1=1,"NIC")</f>
        <v>kostka</v>
      </c>
      <c r="L165">
        <f t="shared" si="24"/>
        <v>154</v>
      </c>
      <c r="M165">
        <f t="shared" si="25"/>
        <v>233</v>
      </c>
      <c r="N165">
        <f t="shared" si="26"/>
        <v>729</v>
      </c>
    </row>
    <row r="166" spans="1:14" x14ac:dyDescent="0.25">
      <c r="A166" s="1">
        <v>42091</v>
      </c>
      <c r="B166">
        <f t="shared" si="21"/>
        <v>154</v>
      </c>
      <c r="C166">
        <f t="shared" si="22"/>
        <v>233</v>
      </c>
      <c r="D166">
        <f t="shared" si="23"/>
        <v>729</v>
      </c>
      <c r="E166">
        <v>84</v>
      </c>
      <c r="F166">
        <v>90</v>
      </c>
      <c r="G166">
        <v>30</v>
      </c>
      <c r="H166">
        <f t="shared" si="18"/>
        <v>238</v>
      </c>
      <c r="I166">
        <f t="shared" si="19"/>
        <v>323</v>
      </c>
      <c r="J166">
        <f t="shared" si="20"/>
        <v>759</v>
      </c>
      <c r="K166" t="str" cm="1">
        <f t="array" ref="K166">_xlfn.IFS(H166&gt;=$U$1,"kostka",I166&gt;=$U$1*$R$3,"orzech",J166&gt;=$U$1*$R$4,"miał",1=1,"NIC")</f>
        <v>kostka</v>
      </c>
      <c r="L166">
        <f t="shared" si="24"/>
        <v>38</v>
      </c>
      <c r="M166">
        <f t="shared" si="25"/>
        <v>323</v>
      </c>
      <c r="N166">
        <f t="shared" si="26"/>
        <v>759</v>
      </c>
    </row>
    <row r="167" spans="1:14" x14ac:dyDescent="0.25">
      <c r="A167" s="1">
        <v>42092</v>
      </c>
      <c r="B167">
        <f t="shared" si="21"/>
        <v>38</v>
      </c>
      <c r="C167">
        <f t="shared" si="22"/>
        <v>323</v>
      </c>
      <c r="D167">
        <f t="shared" si="23"/>
        <v>759</v>
      </c>
      <c r="E167">
        <v>64</v>
      </c>
      <c r="F167">
        <v>61</v>
      </c>
      <c r="G167">
        <v>60</v>
      </c>
      <c r="H167">
        <f t="shared" si="18"/>
        <v>102</v>
      </c>
      <c r="I167">
        <f t="shared" si="19"/>
        <v>384</v>
      </c>
      <c r="J167">
        <f t="shared" si="20"/>
        <v>819</v>
      </c>
      <c r="K167" t="str" cm="1">
        <f t="array" ref="K167">_xlfn.IFS(H167&gt;=$U$1,"kostka",I167&gt;=$U$1*$R$3,"orzech",J167&gt;=$U$1*$R$4,"miał",1=1,"NIC")</f>
        <v>orzech</v>
      </c>
      <c r="L167">
        <f t="shared" si="24"/>
        <v>102</v>
      </c>
      <c r="M167">
        <f t="shared" si="25"/>
        <v>124</v>
      </c>
      <c r="N167">
        <f t="shared" si="26"/>
        <v>819</v>
      </c>
    </row>
    <row r="168" spans="1:14" x14ac:dyDescent="0.25">
      <c r="A168" s="1">
        <v>42093</v>
      </c>
      <c r="B168">
        <f t="shared" si="21"/>
        <v>102</v>
      </c>
      <c r="C168">
        <f t="shared" si="22"/>
        <v>124</v>
      </c>
      <c r="D168">
        <f t="shared" si="23"/>
        <v>819</v>
      </c>
      <c r="E168">
        <v>125</v>
      </c>
      <c r="F168">
        <v>84</v>
      </c>
      <c r="G168">
        <v>40</v>
      </c>
      <c r="H168">
        <f t="shared" si="18"/>
        <v>227</v>
      </c>
      <c r="I168">
        <f t="shared" si="19"/>
        <v>208</v>
      </c>
      <c r="J168">
        <f t="shared" si="20"/>
        <v>859</v>
      </c>
      <c r="K168" t="str" cm="1">
        <f t="array" ref="K168">_xlfn.IFS(H168&gt;=$U$1,"kostka",I168&gt;=$U$1*$R$3,"orzech",J168&gt;=$U$1*$R$4,"miał",1=1,"NIC")</f>
        <v>kostka</v>
      </c>
      <c r="L168">
        <f t="shared" si="24"/>
        <v>27</v>
      </c>
      <c r="M168">
        <f t="shared" si="25"/>
        <v>208</v>
      </c>
      <c r="N168">
        <f t="shared" si="26"/>
        <v>859</v>
      </c>
    </row>
    <row r="169" spans="1:14" x14ac:dyDescent="0.25">
      <c r="A169" s="1">
        <v>42094</v>
      </c>
      <c r="B169">
        <f t="shared" si="21"/>
        <v>27</v>
      </c>
      <c r="C169">
        <f t="shared" si="22"/>
        <v>208</v>
      </c>
      <c r="D169">
        <f t="shared" si="23"/>
        <v>859</v>
      </c>
      <c r="E169">
        <v>148</v>
      </c>
      <c r="F169">
        <v>110</v>
      </c>
      <c r="G169">
        <v>50</v>
      </c>
      <c r="H169">
        <f t="shared" si="18"/>
        <v>175</v>
      </c>
      <c r="I169">
        <f t="shared" si="19"/>
        <v>318</v>
      </c>
      <c r="J169">
        <f t="shared" si="20"/>
        <v>909</v>
      </c>
      <c r="K169" t="str" cm="1">
        <f t="array" ref="K169">_xlfn.IFS(H169&gt;=$U$1,"kostka",I169&gt;=$U$1*$R$3,"orzech",J169&gt;=$U$1*$R$4,"miał",1=1,"NIC")</f>
        <v>orzech</v>
      </c>
      <c r="L169">
        <f t="shared" si="24"/>
        <v>175</v>
      </c>
      <c r="M169">
        <f t="shared" si="25"/>
        <v>58</v>
      </c>
      <c r="N169">
        <f t="shared" si="26"/>
        <v>909</v>
      </c>
    </row>
    <row r="170" spans="1:14" x14ac:dyDescent="0.25">
      <c r="A170" s="1">
        <v>42095</v>
      </c>
      <c r="B170">
        <f t="shared" si="21"/>
        <v>175</v>
      </c>
      <c r="C170">
        <f t="shared" si="22"/>
        <v>58</v>
      </c>
      <c r="D170">
        <f t="shared" si="23"/>
        <v>909</v>
      </c>
      <c r="E170">
        <v>172</v>
      </c>
      <c r="F170">
        <v>100</v>
      </c>
      <c r="G170">
        <v>30</v>
      </c>
      <c r="H170">
        <f t="shared" si="18"/>
        <v>347</v>
      </c>
      <c r="I170">
        <f t="shared" si="19"/>
        <v>158</v>
      </c>
      <c r="J170">
        <f t="shared" si="20"/>
        <v>939</v>
      </c>
      <c r="K170" t="str" cm="1">
        <f t="array" ref="K170">_xlfn.IFS(H170&gt;=$U$1,"kostka",I170&gt;=$U$1*$R$3,"orzech",J170&gt;=$U$1*$R$4,"miał",1=1,"NIC")</f>
        <v>kostka</v>
      </c>
      <c r="L170">
        <f t="shared" si="24"/>
        <v>147</v>
      </c>
      <c r="M170">
        <f t="shared" si="25"/>
        <v>158</v>
      </c>
      <c r="N170">
        <f t="shared" si="26"/>
        <v>939</v>
      </c>
    </row>
    <row r="171" spans="1:14" x14ac:dyDescent="0.25">
      <c r="A171" s="1">
        <v>42096</v>
      </c>
      <c r="B171">
        <f t="shared" si="21"/>
        <v>147</v>
      </c>
      <c r="C171">
        <f t="shared" si="22"/>
        <v>158</v>
      </c>
      <c r="D171">
        <f t="shared" si="23"/>
        <v>939</v>
      </c>
      <c r="E171">
        <v>103</v>
      </c>
      <c r="F171">
        <v>60</v>
      </c>
      <c r="G171">
        <v>40</v>
      </c>
      <c r="H171">
        <f t="shared" si="18"/>
        <v>250</v>
      </c>
      <c r="I171">
        <f t="shared" si="19"/>
        <v>218</v>
      </c>
      <c r="J171">
        <f t="shared" si="20"/>
        <v>979</v>
      </c>
      <c r="K171" t="str" cm="1">
        <f t="array" ref="K171">_xlfn.IFS(H171&gt;=$U$1,"kostka",I171&gt;=$U$1*$R$3,"orzech",J171&gt;=$U$1*$R$4,"miał",1=1,"NIC")</f>
        <v>kostka</v>
      </c>
      <c r="L171">
        <f t="shared" si="24"/>
        <v>50</v>
      </c>
      <c r="M171">
        <f t="shared" si="25"/>
        <v>218</v>
      </c>
      <c r="N171">
        <f t="shared" si="26"/>
        <v>979</v>
      </c>
    </row>
    <row r="172" spans="1:14" x14ac:dyDescent="0.25">
      <c r="A172" s="1">
        <v>42097</v>
      </c>
      <c r="B172">
        <f t="shared" si="21"/>
        <v>50</v>
      </c>
      <c r="C172">
        <f t="shared" si="22"/>
        <v>218</v>
      </c>
      <c r="D172">
        <f t="shared" si="23"/>
        <v>979</v>
      </c>
      <c r="E172">
        <v>191</v>
      </c>
      <c r="F172">
        <v>41</v>
      </c>
      <c r="G172">
        <v>52</v>
      </c>
      <c r="H172">
        <f t="shared" si="18"/>
        <v>241</v>
      </c>
      <c r="I172">
        <f t="shared" si="19"/>
        <v>259</v>
      </c>
      <c r="J172">
        <f t="shared" si="20"/>
        <v>1031</v>
      </c>
      <c r="K172" t="str" cm="1">
        <f t="array" ref="K172">_xlfn.IFS(H172&gt;=$U$1,"kostka",I172&gt;=$U$1*$R$3,"orzech",J172&gt;=$U$1*$R$4,"miał",1=1,"NIC")</f>
        <v>kostka</v>
      </c>
      <c r="L172">
        <f t="shared" si="24"/>
        <v>41</v>
      </c>
      <c r="M172">
        <f t="shared" si="25"/>
        <v>259</v>
      </c>
      <c r="N172">
        <f t="shared" si="26"/>
        <v>1031</v>
      </c>
    </row>
    <row r="173" spans="1:14" x14ac:dyDescent="0.25">
      <c r="A173" s="1">
        <v>42098</v>
      </c>
      <c r="B173">
        <f t="shared" si="21"/>
        <v>41</v>
      </c>
      <c r="C173">
        <f t="shared" si="22"/>
        <v>259</v>
      </c>
      <c r="D173">
        <f t="shared" si="23"/>
        <v>1031</v>
      </c>
      <c r="E173">
        <v>128</v>
      </c>
      <c r="F173">
        <v>98</v>
      </c>
      <c r="G173">
        <v>40</v>
      </c>
      <c r="H173">
        <f t="shared" si="18"/>
        <v>169</v>
      </c>
      <c r="I173">
        <f t="shared" si="19"/>
        <v>357</v>
      </c>
      <c r="J173">
        <f t="shared" si="20"/>
        <v>1071</v>
      </c>
      <c r="K173" t="str" cm="1">
        <f t="array" ref="K173">_xlfn.IFS(H173&gt;=$U$1,"kostka",I173&gt;=$U$1*$R$3,"orzech",J173&gt;=$U$1*$R$4,"miał",1=1,"NIC")</f>
        <v>orzech</v>
      </c>
      <c r="L173">
        <f t="shared" si="24"/>
        <v>169</v>
      </c>
      <c r="M173">
        <f t="shared" si="25"/>
        <v>97</v>
      </c>
      <c r="N173">
        <f t="shared" si="26"/>
        <v>1071</v>
      </c>
    </row>
    <row r="174" spans="1:14" x14ac:dyDescent="0.25">
      <c r="A174" s="1">
        <v>42099</v>
      </c>
      <c r="B174">
        <f t="shared" si="21"/>
        <v>169</v>
      </c>
      <c r="C174">
        <f t="shared" si="22"/>
        <v>97</v>
      </c>
      <c r="D174">
        <f t="shared" si="23"/>
        <v>1071</v>
      </c>
      <c r="E174">
        <v>75</v>
      </c>
      <c r="F174">
        <v>87</v>
      </c>
      <c r="G174">
        <v>47</v>
      </c>
      <c r="H174">
        <f t="shared" si="18"/>
        <v>244</v>
      </c>
      <c r="I174">
        <f t="shared" si="19"/>
        <v>184</v>
      </c>
      <c r="J174">
        <f t="shared" si="20"/>
        <v>1118</v>
      </c>
      <c r="K174" t="str" cm="1">
        <f t="array" ref="K174">_xlfn.IFS(H174&gt;=$U$1,"kostka",I174&gt;=$U$1*$R$3,"orzech",J174&gt;=$U$1*$R$4,"miał",1=1,"NIC")</f>
        <v>kostka</v>
      </c>
      <c r="L174">
        <f t="shared" si="24"/>
        <v>44</v>
      </c>
      <c r="M174">
        <f t="shared" si="25"/>
        <v>184</v>
      </c>
      <c r="N174">
        <f t="shared" si="26"/>
        <v>1118</v>
      </c>
    </row>
    <row r="175" spans="1:14" x14ac:dyDescent="0.25">
      <c r="A175" s="1">
        <v>42100</v>
      </c>
      <c r="B175">
        <f t="shared" si="21"/>
        <v>44</v>
      </c>
      <c r="C175">
        <f t="shared" si="22"/>
        <v>184</v>
      </c>
      <c r="D175">
        <f t="shared" si="23"/>
        <v>1118</v>
      </c>
      <c r="E175">
        <v>38</v>
      </c>
      <c r="F175">
        <v>100</v>
      </c>
      <c r="G175">
        <v>50</v>
      </c>
      <c r="H175">
        <f t="shared" si="18"/>
        <v>82</v>
      </c>
      <c r="I175">
        <f t="shared" si="19"/>
        <v>284</v>
      </c>
      <c r="J175">
        <f t="shared" si="20"/>
        <v>1168</v>
      </c>
      <c r="K175" t="str" cm="1">
        <f t="array" ref="K175">_xlfn.IFS(H175&gt;=$U$1,"kostka",I175&gt;=$U$1*$R$3,"orzech",J175&gt;=$U$1*$R$4,"miał",1=1,"NIC")</f>
        <v>orzech</v>
      </c>
      <c r="L175">
        <f t="shared" si="24"/>
        <v>82</v>
      </c>
      <c r="M175">
        <f t="shared" si="25"/>
        <v>24</v>
      </c>
      <c r="N175">
        <f t="shared" si="26"/>
        <v>1168</v>
      </c>
    </row>
    <row r="176" spans="1:14" x14ac:dyDescent="0.25">
      <c r="A176" s="1">
        <v>42101</v>
      </c>
      <c r="B176">
        <f t="shared" si="21"/>
        <v>82</v>
      </c>
      <c r="C176">
        <f t="shared" si="22"/>
        <v>24</v>
      </c>
      <c r="D176">
        <f t="shared" si="23"/>
        <v>1168</v>
      </c>
      <c r="E176">
        <v>80</v>
      </c>
      <c r="F176">
        <v>40</v>
      </c>
      <c r="G176">
        <v>30</v>
      </c>
      <c r="H176">
        <f t="shared" si="18"/>
        <v>162</v>
      </c>
      <c r="I176">
        <f t="shared" si="19"/>
        <v>64</v>
      </c>
      <c r="J176">
        <f t="shared" si="20"/>
        <v>1198</v>
      </c>
      <c r="K176" t="str" cm="1">
        <f t="array" ref="K176">_xlfn.IFS(H176&gt;=$U$1,"kostka",I176&gt;=$U$1*$R$3,"orzech",J176&gt;=$U$1*$R$4,"miał",1=1,"NIC")</f>
        <v>miał</v>
      </c>
      <c r="L176">
        <f t="shared" si="24"/>
        <v>162</v>
      </c>
      <c r="M176">
        <f t="shared" si="25"/>
        <v>64</v>
      </c>
      <c r="N176">
        <f t="shared" si="26"/>
        <v>878</v>
      </c>
    </row>
    <row r="177" spans="1:14" x14ac:dyDescent="0.25">
      <c r="A177" s="1">
        <v>42102</v>
      </c>
      <c r="B177">
        <f t="shared" si="21"/>
        <v>162</v>
      </c>
      <c r="C177">
        <f t="shared" si="22"/>
        <v>64</v>
      </c>
      <c r="D177">
        <f t="shared" si="23"/>
        <v>878</v>
      </c>
      <c r="E177">
        <v>55</v>
      </c>
      <c r="F177">
        <v>60</v>
      </c>
      <c r="G177">
        <v>50</v>
      </c>
      <c r="H177">
        <f t="shared" si="18"/>
        <v>217</v>
      </c>
      <c r="I177">
        <f t="shared" si="19"/>
        <v>124</v>
      </c>
      <c r="J177">
        <f t="shared" si="20"/>
        <v>928</v>
      </c>
      <c r="K177" t="str" cm="1">
        <f t="array" ref="K177">_xlfn.IFS(H177&gt;=$U$1,"kostka",I177&gt;=$U$1*$R$3,"orzech",J177&gt;=$U$1*$R$4,"miał",1=1,"NIC")</f>
        <v>kostka</v>
      </c>
      <c r="L177">
        <f t="shared" si="24"/>
        <v>17</v>
      </c>
      <c r="M177">
        <f t="shared" si="25"/>
        <v>124</v>
      </c>
      <c r="N177">
        <f t="shared" si="26"/>
        <v>928</v>
      </c>
    </row>
    <row r="178" spans="1:14" x14ac:dyDescent="0.25">
      <c r="A178" s="1">
        <v>42103</v>
      </c>
      <c r="B178">
        <f t="shared" si="21"/>
        <v>17</v>
      </c>
      <c r="C178">
        <f t="shared" si="22"/>
        <v>124</v>
      </c>
      <c r="D178">
        <f t="shared" si="23"/>
        <v>928</v>
      </c>
      <c r="E178">
        <v>10</v>
      </c>
      <c r="F178">
        <v>80</v>
      </c>
      <c r="G178">
        <v>48</v>
      </c>
      <c r="H178">
        <f t="shared" si="18"/>
        <v>27</v>
      </c>
      <c r="I178">
        <f t="shared" si="19"/>
        <v>204</v>
      </c>
      <c r="J178">
        <f t="shared" si="20"/>
        <v>976</v>
      </c>
      <c r="K178" t="str" cm="1">
        <f t="array" ref="K178">_xlfn.IFS(H178&gt;=$U$1,"kostka",I178&gt;=$U$1*$R$3,"orzech",J178&gt;=$U$1*$R$4,"miał",1=1,"NIC")</f>
        <v>miał</v>
      </c>
      <c r="L178">
        <f t="shared" si="24"/>
        <v>27</v>
      </c>
      <c r="M178">
        <f t="shared" si="25"/>
        <v>204</v>
      </c>
      <c r="N178">
        <f t="shared" si="26"/>
        <v>656</v>
      </c>
    </row>
    <row r="179" spans="1:14" x14ac:dyDescent="0.25">
      <c r="A179" s="1">
        <v>42104</v>
      </c>
      <c r="B179">
        <f t="shared" si="21"/>
        <v>27</v>
      </c>
      <c r="C179">
        <f t="shared" si="22"/>
        <v>204</v>
      </c>
      <c r="D179">
        <f t="shared" si="23"/>
        <v>656</v>
      </c>
      <c r="E179">
        <v>95</v>
      </c>
      <c r="F179">
        <v>60</v>
      </c>
      <c r="G179">
        <v>51</v>
      </c>
      <c r="H179">
        <f t="shared" si="18"/>
        <v>122</v>
      </c>
      <c r="I179">
        <f t="shared" si="19"/>
        <v>264</v>
      </c>
      <c r="J179">
        <f t="shared" si="20"/>
        <v>707</v>
      </c>
      <c r="K179" t="str" cm="1">
        <f t="array" ref="K179">_xlfn.IFS(H179&gt;=$U$1,"kostka",I179&gt;=$U$1*$R$3,"orzech",J179&gt;=$U$1*$R$4,"miał",1=1,"NIC")</f>
        <v>orzech</v>
      </c>
      <c r="L179">
        <f t="shared" si="24"/>
        <v>122</v>
      </c>
      <c r="M179">
        <f t="shared" si="25"/>
        <v>4</v>
      </c>
      <c r="N179">
        <f t="shared" si="26"/>
        <v>707</v>
      </c>
    </row>
    <row r="180" spans="1:14" x14ac:dyDescent="0.25">
      <c r="A180" s="1">
        <v>42105</v>
      </c>
      <c r="B180">
        <f t="shared" si="21"/>
        <v>122</v>
      </c>
      <c r="C180">
        <f t="shared" si="22"/>
        <v>4</v>
      </c>
      <c r="D180">
        <f t="shared" si="23"/>
        <v>707</v>
      </c>
      <c r="E180">
        <v>90</v>
      </c>
      <c r="F180">
        <v>100</v>
      </c>
      <c r="G180">
        <v>50</v>
      </c>
      <c r="H180">
        <f t="shared" si="18"/>
        <v>212</v>
      </c>
      <c r="I180">
        <f t="shared" si="19"/>
        <v>104</v>
      </c>
      <c r="J180">
        <f t="shared" si="20"/>
        <v>757</v>
      </c>
      <c r="K180" t="str" cm="1">
        <f t="array" ref="K180">_xlfn.IFS(H180&gt;=$U$1,"kostka",I180&gt;=$U$1*$R$3,"orzech",J180&gt;=$U$1*$R$4,"miał",1=1,"NIC")</f>
        <v>kostka</v>
      </c>
      <c r="L180">
        <f t="shared" si="24"/>
        <v>12</v>
      </c>
      <c r="M180">
        <f t="shared" si="25"/>
        <v>104</v>
      </c>
      <c r="N180">
        <f t="shared" si="26"/>
        <v>757</v>
      </c>
    </row>
    <row r="181" spans="1:14" x14ac:dyDescent="0.25">
      <c r="A181" s="1">
        <v>42106</v>
      </c>
      <c r="B181">
        <f t="shared" si="21"/>
        <v>12</v>
      </c>
      <c r="C181">
        <f t="shared" si="22"/>
        <v>104</v>
      </c>
      <c r="D181">
        <f t="shared" si="23"/>
        <v>757</v>
      </c>
      <c r="E181">
        <v>186</v>
      </c>
      <c r="F181">
        <v>60</v>
      </c>
      <c r="G181">
        <v>92</v>
      </c>
      <c r="H181">
        <f t="shared" si="18"/>
        <v>198</v>
      </c>
      <c r="I181">
        <f t="shared" si="19"/>
        <v>164</v>
      </c>
      <c r="J181">
        <f t="shared" si="20"/>
        <v>849</v>
      </c>
      <c r="K181" t="str" cm="1">
        <f t="array" ref="K181">_xlfn.IFS(H181&gt;=$U$1,"kostka",I181&gt;=$U$1*$R$3,"orzech",J181&gt;=$U$1*$R$4,"miał",1=1,"NIC")</f>
        <v>miał</v>
      </c>
      <c r="L181">
        <f t="shared" si="24"/>
        <v>198</v>
      </c>
      <c r="M181">
        <f t="shared" si="25"/>
        <v>164</v>
      </c>
      <c r="N181">
        <f t="shared" si="26"/>
        <v>529</v>
      </c>
    </row>
    <row r="182" spans="1:14" x14ac:dyDescent="0.25">
      <c r="A182" s="1">
        <v>42107</v>
      </c>
      <c r="B182">
        <f t="shared" si="21"/>
        <v>198</v>
      </c>
      <c r="C182">
        <f t="shared" si="22"/>
        <v>164</v>
      </c>
      <c r="D182">
        <f t="shared" si="23"/>
        <v>529</v>
      </c>
      <c r="E182">
        <v>2</v>
      </c>
      <c r="F182">
        <v>40</v>
      </c>
      <c r="G182">
        <v>50</v>
      </c>
      <c r="H182">
        <f t="shared" si="18"/>
        <v>200</v>
      </c>
      <c r="I182">
        <f t="shared" si="19"/>
        <v>204</v>
      </c>
      <c r="J182">
        <f t="shared" si="20"/>
        <v>579</v>
      </c>
      <c r="K182" t="str" cm="1">
        <f t="array" ref="K182">_xlfn.IFS(H182&gt;=$U$1,"kostka",I182&gt;=$U$1*$R$3,"orzech",J182&gt;=$U$1*$R$4,"miał",1=1,"NIC")</f>
        <v>kostka</v>
      </c>
      <c r="L182">
        <f t="shared" si="24"/>
        <v>0</v>
      </c>
      <c r="M182">
        <f t="shared" si="25"/>
        <v>204</v>
      </c>
      <c r="N182">
        <f t="shared" si="26"/>
        <v>579</v>
      </c>
    </row>
    <row r="183" spans="1:14" x14ac:dyDescent="0.25">
      <c r="A183" s="1">
        <v>42108</v>
      </c>
      <c r="B183">
        <f t="shared" si="21"/>
        <v>0</v>
      </c>
      <c r="C183">
        <f t="shared" si="22"/>
        <v>204</v>
      </c>
      <c r="D183">
        <f t="shared" si="23"/>
        <v>579</v>
      </c>
      <c r="E183">
        <v>136</v>
      </c>
      <c r="F183">
        <v>20</v>
      </c>
      <c r="G183">
        <v>66</v>
      </c>
      <c r="H183">
        <f t="shared" si="18"/>
        <v>136</v>
      </c>
      <c r="I183">
        <f t="shared" si="19"/>
        <v>224</v>
      </c>
      <c r="J183">
        <f t="shared" si="20"/>
        <v>645</v>
      </c>
      <c r="K183" t="str" cm="1">
        <f t="array" ref="K183">_xlfn.IFS(H183&gt;=$U$1,"kostka",I183&gt;=$U$1*$R$3,"orzech",J183&gt;=$U$1*$R$4,"miał",1=1,"NIC")</f>
        <v>miał</v>
      </c>
      <c r="L183">
        <f t="shared" si="24"/>
        <v>136</v>
      </c>
      <c r="M183">
        <f t="shared" si="25"/>
        <v>224</v>
      </c>
      <c r="N183">
        <f t="shared" si="26"/>
        <v>325</v>
      </c>
    </row>
    <row r="184" spans="1:14" x14ac:dyDescent="0.25">
      <c r="A184" s="1">
        <v>42109</v>
      </c>
      <c r="B184">
        <f t="shared" si="21"/>
        <v>136</v>
      </c>
      <c r="C184">
        <f t="shared" si="22"/>
        <v>224</v>
      </c>
      <c r="D184">
        <f t="shared" si="23"/>
        <v>325</v>
      </c>
      <c r="E184">
        <v>4</v>
      </c>
      <c r="F184">
        <v>20</v>
      </c>
      <c r="G184">
        <v>10</v>
      </c>
      <c r="H184">
        <f t="shared" si="18"/>
        <v>140</v>
      </c>
      <c r="I184">
        <f t="shared" si="19"/>
        <v>244</v>
      </c>
      <c r="J184">
        <f t="shared" si="20"/>
        <v>335</v>
      </c>
      <c r="K184" t="str" cm="1">
        <f t="array" ref="K184">_xlfn.IFS(H184&gt;=$U$1,"kostka",I184&gt;=$U$1*$R$3,"orzech",J184&gt;=$U$1*$R$4,"miał",1=1,"NIC")</f>
        <v>miał</v>
      </c>
      <c r="L184">
        <f t="shared" si="24"/>
        <v>140</v>
      </c>
      <c r="M184">
        <f t="shared" si="25"/>
        <v>244</v>
      </c>
      <c r="N184">
        <f t="shared" si="26"/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9CA8EF-DE35-4DDA-8592-2797C3ABC3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3</vt:lpstr>
      <vt:lpstr>2</vt:lpstr>
      <vt:lpstr>1</vt:lpstr>
      <vt:lpstr>4</vt:lpstr>
      <vt:lpstr>5</vt:lpstr>
      <vt:lpstr>6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2025-11-05T21:36:43Z</dcterms:modified>
</cp:coreProperties>
</file>