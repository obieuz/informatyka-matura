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robiz\OneDrive\Pulpit\informatyka-excel\2015PP\"/>
    </mc:Choice>
  </mc:AlternateContent>
  <xr:revisionPtr revIDLastSave="0" documentId="13_ncr:1_{679F661D-FC69-410C-B9E3-87E930FDD454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1" sheetId="2" r:id="rId1"/>
    <sheet name="2" sheetId="3" r:id="rId2"/>
    <sheet name="3" sheetId="4" r:id="rId3"/>
    <sheet name="4" sheetId="5" r:id="rId4"/>
    <sheet name="5" sheetId="6" r:id="rId5"/>
    <sheet name="dane" sheetId="1" r:id="rId6"/>
  </sheets>
  <definedNames>
    <definedName name="_xlnm._FilterDatabase" localSheetId="0" hidden="1">'1'!$A$1:$A$33</definedName>
    <definedName name="_xlnm._FilterDatabase" localSheetId="3" hidden="1">'4'!$A$1:$A$33</definedName>
  </definedNames>
  <calcPr calcId="191029"/>
  <pivotCaches>
    <pivotCache cacheId="1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6" l="1" a="1"/>
  <c r="E3" i="6" s="1"/>
  <c r="E4" i="6" s="1" a="1"/>
  <c r="E4" i="6" s="1"/>
  <c r="E5" i="6" s="1" a="1"/>
  <c r="E5" i="6" s="1"/>
  <c r="E6" i="6" s="1" a="1"/>
  <c r="E6" i="6" s="1"/>
  <c r="E7" i="6" s="1" a="1"/>
  <c r="E7" i="6" s="1"/>
  <c r="E8" i="6" s="1" a="1"/>
  <c r="E8" i="6" s="1"/>
  <c r="E9" i="6" s="1" a="1"/>
  <c r="E9" i="6" s="1"/>
  <c r="E10" i="6" s="1" a="1"/>
  <c r="E10" i="6" s="1"/>
  <c r="E11" i="6" s="1" a="1"/>
  <c r="E11" i="6" s="1"/>
  <c r="E12" i="6" s="1" a="1"/>
  <c r="E12" i="6" s="1"/>
  <c r="E13" i="6" s="1" a="1"/>
  <c r="E13" i="6" s="1"/>
  <c r="E14" i="6" s="1" a="1"/>
  <c r="E14" i="6" s="1"/>
  <c r="E15" i="6" s="1" a="1"/>
  <c r="E15" i="6" s="1"/>
  <c r="E16" i="6" s="1" a="1"/>
  <c r="E16" i="6" s="1"/>
  <c r="E17" i="6" s="1" a="1"/>
  <c r="E17" i="6" s="1"/>
  <c r="E18" i="6" s="1" a="1"/>
  <c r="E18" i="6" s="1"/>
  <c r="E19" i="6" s="1" a="1"/>
  <c r="E19" i="6" s="1"/>
  <c r="E20" i="6" s="1" a="1"/>
  <c r="E20" i="6" s="1"/>
  <c r="E21" i="6" s="1" a="1"/>
  <c r="E21" i="6" s="1"/>
  <c r="E22" i="6" s="1" a="1"/>
  <c r="E22" i="6" s="1"/>
  <c r="E23" i="6" s="1" a="1"/>
  <c r="E23" i="6" s="1"/>
  <c r="E24" i="6" s="1" a="1"/>
  <c r="E24" i="6" s="1"/>
  <c r="E25" i="6" s="1" a="1"/>
  <c r="E25" i="6" s="1"/>
  <c r="E26" i="6" s="1" a="1"/>
  <c r="E26" i="6" s="1"/>
  <c r="E27" i="6" s="1" a="1"/>
  <c r="E27" i="6" s="1"/>
  <c r="E28" i="6" s="1" a="1"/>
  <c r="E28" i="6" s="1"/>
  <c r="E29" i="6" s="1" a="1"/>
  <c r="E29" i="6" s="1"/>
  <c r="E30" i="6" s="1" a="1"/>
  <c r="E30" i="6" s="1"/>
  <c r="E31" i="6" s="1" a="1"/>
  <c r="E31" i="6" s="1"/>
  <c r="E32" i="6" s="1" a="1"/>
  <c r="E32" i="6" s="1"/>
  <c r="E33" i="6" s="1" a="1"/>
  <c r="E33" i="6" s="1"/>
  <c r="D3" i="6" a="1"/>
  <c r="D3" i="6" s="1"/>
  <c r="D4" i="6" s="1" a="1"/>
  <c r="D4" i="6" s="1"/>
  <c r="D5" i="6" s="1" a="1"/>
  <c r="D5" i="6" s="1"/>
  <c r="D6" i="6" s="1" a="1"/>
  <c r="D6" i="6" s="1"/>
  <c r="D7" i="6" s="1" a="1"/>
  <c r="D7" i="6" s="1"/>
  <c r="D8" i="6" s="1" a="1"/>
  <c r="D8" i="6" s="1"/>
  <c r="D9" i="6" s="1" a="1"/>
  <c r="D9" i="6" s="1"/>
  <c r="D10" i="6" s="1" a="1"/>
  <c r="D10" i="6" s="1"/>
  <c r="D11" i="6" s="1" a="1"/>
  <c r="D11" i="6" s="1"/>
  <c r="D12" i="6" s="1" a="1"/>
  <c r="D12" i="6" s="1"/>
  <c r="D13" i="6" s="1" a="1"/>
  <c r="D13" i="6" s="1"/>
  <c r="D14" i="6" s="1" a="1"/>
  <c r="D14" i="6" s="1"/>
  <c r="D15" i="6" s="1" a="1"/>
  <c r="D15" i="6" s="1"/>
  <c r="D16" i="6" s="1" a="1"/>
  <c r="D16" i="6" s="1"/>
  <c r="D17" i="6" s="1" a="1"/>
  <c r="D17" i="6" s="1"/>
  <c r="D18" i="6" s="1" a="1"/>
  <c r="D18" i="6" s="1"/>
  <c r="D19" i="6" s="1" a="1"/>
  <c r="D19" i="6" s="1"/>
  <c r="D20" i="6" s="1" a="1"/>
  <c r="D20" i="6" s="1"/>
  <c r="D21" i="6" s="1" a="1"/>
  <c r="D21" i="6" s="1"/>
  <c r="D22" i="6" s="1" a="1"/>
  <c r="D22" i="6" s="1"/>
  <c r="D23" i="6" s="1" a="1"/>
  <c r="D23" i="6" s="1"/>
  <c r="D24" i="6" s="1" a="1"/>
  <c r="D24" i="6" s="1"/>
  <c r="D25" i="6" s="1" a="1"/>
  <c r="D25" i="6" s="1"/>
  <c r="D26" i="6" s="1" a="1"/>
  <c r="D26" i="6" s="1"/>
  <c r="D27" i="6" s="1" a="1"/>
  <c r="D27" i="6" s="1"/>
  <c r="D28" i="6" s="1" a="1"/>
  <c r="D28" i="6" s="1"/>
  <c r="D29" i="6" s="1" a="1"/>
  <c r="D29" i="6" s="1"/>
  <c r="D30" i="6" s="1" a="1"/>
  <c r="D30" i="6" s="1"/>
  <c r="D31" i="6" s="1" a="1"/>
  <c r="D31" i="6" s="1"/>
  <c r="D32" i="6" s="1" a="1"/>
  <c r="D32" i="6" s="1"/>
  <c r="D33" i="6" s="1" a="1"/>
  <c r="D33" i="6" s="1"/>
  <c r="C3" i="6" a="1"/>
  <c r="C3" i="6" s="1"/>
  <c r="C4" i="6" s="1" a="1"/>
  <c r="C4" i="6" s="1"/>
  <c r="C5" i="6" s="1" a="1"/>
  <c r="C5" i="6" s="1"/>
  <c r="C6" i="6" s="1" a="1"/>
  <c r="C6" i="6" s="1"/>
  <c r="C7" i="6" s="1" a="1"/>
  <c r="C7" i="6" s="1"/>
  <c r="C8" i="6" s="1" a="1"/>
  <c r="C8" i="6" s="1"/>
  <c r="C9" i="6" s="1" a="1"/>
  <c r="C9" i="6" s="1"/>
  <c r="C10" i="6" s="1" a="1"/>
  <c r="C10" i="6" s="1"/>
  <c r="C11" i="6" s="1" a="1"/>
  <c r="C11" i="6" s="1"/>
  <c r="C12" i="6" s="1" a="1"/>
  <c r="C12" i="6" s="1"/>
  <c r="C13" i="6" s="1" a="1"/>
  <c r="C13" i="6" s="1"/>
  <c r="C14" i="6" s="1" a="1"/>
  <c r="C14" i="6" s="1"/>
  <c r="C15" i="6" s="1" a="1"/>
  <c r="C15" i="6" s="1"/>
  <c r="C16" i="6" s="1" a="1"/>
  <c r="C16" i="6" s="1"/>
  <c r="C17" i="6" s="1" a="1"/>
  <c r="C17" i="6" s="1"/>
  <c r="C18" i="6" s="1" a="1"/>
  <c r="C18" i="6" s="1"/>
  <c r="C19" i="6" s="1" a="1"/>
  <c r="C19" i="6" s="1"/>
  <c r="C20" i="6" s="1" a="1"/>
  <c r="C20" i="6" s="1"/>
  <c r="C21" i="6" s="1" a="1"/>
  <c r="C21" i="6" s="1"/>
  <c r="C22" i="6" s="1" a="1"/>
  <c r="C22" i="6" s="1"/>
  <c r="C23" i="6" s="1" a="1"/>
  <c r="C23" i="6" s="1"/>
  <c r="C24" i="6" s="1" a="1"/>
  <c r="C24" i="6" s="1"/>
  <c r="C25" i="6" s="1" a="1"/>
  <c r="C25" i="6" s="1"/>
  <c r="C26" i="6" s="1" a="1"/>
  <c r="C26" i="6" s="1"/>
  <c r="C27" i="6" s="1" a="1"/>
  <c r="C27" i="6" s="1"/>
  <c r="C28" i="6" s="1" a="1"/>
  <c r="C28" i="6" s="1"/>
  <c r="C29" i="6" s="1" a="1"/>
  <c r="C29" i="6" s="1"/>
  <c r="C30" i="6" s="1" a="1"/>
  <c r="C30" i="6" s="1"/>
  <c r="C31" i="6" s="1" a="1"/>
  <c r="C31" i="6" s="1"/>
  <c r="C32" i="6" s="1" a="1"/>
  <c r="C32" i="6" s="1"/>
  <c r="C33" i="6" s="1" a="1"/>
  <c r="C33" i="6" s="1"/>
  <c r="B3" i="6" a="1"/>
  <c r="B3" i="6" s="1"/>
  <c r="B4" i="6" s="1" a="1"/>
  <c r="B4" i="6" s="1"/>
  <c r="B5" i="6" s="1" a="1"/>
  <c r="B5" i="6" s="1"/>
  <c r="B6" i="6" s="1" a="1"/>
  <c r="B6" i="6" s="1"/>
  <c r="B7" i="6" s="1" a="1"/>
  <c r="B7" i="6" s="1"/>
  <c r="B8" i="6" s="1" a="1"/>
  <c r="B8" i="6" s="1"/>
  <c r="B9" i="6" s="1" a="1"/>
  <c r="B9" i="6" s="1"/>
  <c r="B10" i="6" s="1" a="1"/>
  <c r="B10" i="6" s="1"/>
  <c r="B11" i="6" s="1" a="1"/>
  <c r="B11" i="6" s="1"/>
  <c r="B12" i="6" s="1" a="1"/>
  <c r="B12" i="6" s="1"/>
  <c r="B13" i="6" s="1" a="1"/>
  <c r="B13" i="6" s="1"/>
  <c r="B14" i="6" s="1" a="1"/>
  <c r="B14" i="6" s="1"/>
  <c r="B15" i="6" s="1" a="1"/>
  <c r="B15" i="6" s="1"/>
  <c r="B16" i="6" s="1" a="1"/>
  <c r="B16" i="6" s="1"/>
  <c r="B17" i="6" s="1" a="1"/>
  <c r="B17" i="6" s="1"/>
  <c r="B18" i="6" s="1" a="1"/>
  <c r="B18" i="6" s="1"/>
  <c r="B19" i="6" s="1" a="1"/>
  <c r="B19" i="6" s="1"/>
  <c r="B20" i="6" s="1" a="1"/>
  <c r="B20" i="6" s="1"/>
  <c r="B21" i="6" s="1" a="1"/>
  <c r="B21" i="6" s="1"/>
  <c r="B22" i="6" s="1" a="1"/>
  <c r="B22" i="6" s="1"/>
  <c r="B23" i="6" s="1" a="1"/>
  <c r="B23" i="6" s="1"/>
  <c r="B24" i="6" s="1" a="1"/>
  <c r="B24" i="6" s="1"/>
  <c r="B25" i="6" s="1" a="1"/>
  <c r="B25" i="6" s="1"/>
  <c r="B26" i="6" s="1" a="1"/>
  <c r="B26" i="6" s="1"/>
  <c r="B27" i="6" s="1" a="1"/>
  <c r="B27" i="6" s="1"/>
  <c r="B28" i="6" s="1" a="1"/>
  <c r="B28" i="6" s="1"/>
  <c r="B29" i="6" s="1" a="1"/>
  <c r="B29" i="6" s="1"/>
  <c r="B30" i="6" s="1" a="1"/>
  <c r="B30" i="6" s="1"/>
  <c r="B31" i="6" s="1" a="1"/>
  <c r="B31" i="6" s="1"/>
  <c r="B32" i="6" s="1" a="1"/>
  <c r="B32" i="6" s="1"/>
  <c r="B33" i="6" s="1" a="1"/>
  <c r="B33" i="6" s="1"/>
  <c r="E3" i="5" a="1"/>
  <c r="E3" i="5" s="1"/>
  <c r="E4" i="5" s="1" a="1"/>
  <c r="E4" i="5" s="1"/>
  <c r="E5" i="5" s="1" a="1"/>
  <c r="E5" i="5" s="1"/>
  <c r="E6" i="5" s="1" a="1"/>
  <c r="E6" i="5" s="1"/>
  <c r="E7" i="5" s="1" a="1"/>
  <c r="E7" i="5" s="1"/>
  <c r="E8" i="5" s="1" a="1"/>
  <c r="E8" i="5" s="1"/>
  <c r="E9" i="5" s="1" a="1"/>
  <c r="E9" i="5" s="1"/>
  <c r="E10" i="5" s="1" a="1"/>
  <c r="E10" i="5" s="1"/>
  <c r="E11" i="5" s="1" a="1"/>
  <c r="E11" i="5" s="1"/>
  <c r="E12" i="5" s="1" a="1"/>
  <c r="E12" i="5" s="1"/>
  <c r="E13" i="5" s="1" a="1"/>
  <c r="E13" i="5" s="1"/>
  <c r="E14" i="5" s="1" a="1"/>
  <c r="E14" i="5" s="1"/>
  <c r="E15" i="5" s="1" a="1"/>
  <c r="E15" i="5" s="1"/>
  <c r="E16" i="5" s="1" a="1"/>
  <c r="E16" i="5" s="1"/>
  <c r="E17" i="5" s="1" a="1"/>
  <c r="E17" i="5" s="1"/>
  <c r="E18" i="5" s="1" a="1"/>
  <c r="E18" i="5" s="1"/>
  <c r="E19" i="5" s="1" a="1"/>
  <c r="E19" i="5" s="1"/>
  <c r="E20" i="5" s="1" a="1"/>
  <c r="E20" i="5" s="1"/>
  <c r="E21" i="5" s="1" a="1"/>
  <c r="E21" i="5" s="1"/>
  <c r="E22" i="5" s="1" a="1"/>
  <c r="E22" i="5" s="1"/>
  <c r="E23" i="5" s="1" a="1"/>
  <c r="E23" i="5" s="1"/>
  <c r="E24" i="5" s="1" a="1"/>
  <c r="E24" i="5" s="1"/>
  <c r="E25" i="5" s="1" a="1"/>
  <c r="E25" i="5" s="1"/>
  <c r="E26" i="5" s="1" a="1"/>
  <c r="E26" i="5" s="1"/>
  <c r="E27" i="5" s="1" a="1"/>
  <c r="E27" i="5" s="1"/>
  <c r="E28" i="5" s="1" a="1"/>
  <c r="E28" i="5" s="1"/>
  <c r="E29" i="5" s="1" a="1"/>
  <c r="E29" i="5" s="1"/>
  <c r="E30" i="5" s="1" a="1"/>
  <c r="E30" i="5" s="1"/>
  <c r="E31" i="5" s="1" a="1"/>
  <c r="E31" i="5" s="1"/>
  <c r="E32" i="5" s="1" a="1"/>
  <c r="E32" i="5" s="1"/>
  <c r="E33" i="5" s="1" a="1"/>
  <c r="E33" i="5" s="1"/>
  <c r="D3" i="5" a="1"/>
  <c r="D3" i="5" s="1"/>
  <c r="D4" i="5" s="1" a="1"/>
  <c r="D4" i="5" s="1"/>
  <c r="D5" i="5" s="1" a="1"/>
  <c r="D5" i="5" s="1"/>
  <c r="D6" i="5" s="1" a="1"/>
  <c r="D6" i="5" s="1"/>
  <c r="D7" i="5" s="1" a="1"/>
  <c r="D7" i="5" s="1"/>
  <c r="D8" i="5" s="1" a="1"/>
  <c r="D8" i="5" s="1"/>
  <c r="D9" i="5" s="1" a="1"/>
  <c r="D9" i="5" s="1"/>
  <c r="D10" i="5" s="1" a="1"/>
  <c r="D10" i="5" s="1"/>
  <c r="D11" i="5" s="1" a="1"/>
  <c r="D11" i="5" s="1"/>
  <c r="D12" i="5" s="1" a="1"/>
  <c r="D12" i="5" s="1"/>
  <c r="D13" i="5" s="1" a="1"/>
  <c r="D13" i="5" s="1"/>
  <c r="D14" i="5" s="1" a="1"/>
  <c r="D14" i="5" s="1"/>
  <c r="D15" i="5" s="1" a="1"/>
  <c r="D15" i="5" s="1"/>
  <c r="D16" i="5" s="1" a="1"/>
  <c r="D16" i="5" s="1"/>
  <c r="D17" i="5" s="1" a="1"/>
  <c r="D17" i="5" s="1"/>
  <c r="D18" i="5" s="1" a="1"/>
  <c r="D18" i="5" s="1"/>
  <c r="D19" i="5" s="1" a="1"/>
  <c r="D19" i="5" s="1"/>
  <c r="D20" i="5" s="1" a="1"/>
  <c r="D20" i="5" s="1"/>
  <c r="D21" i="5" s="1" a="1"/>
  <c r="D21" i="5" s="1"/>
  <c r="D22" i="5" s="1" a="1"/>
  <c r="D22" i="5" s="1"/>
  <c r="D23" i="5" s="1" a="1"/>
  <c r="D23" i="5" s="1"/>
  <c r="D24" i="5" s="1" a="1"/>
  <c r="D24" i="5" s="1"/>
  <c r="D25" i="5" s="1" a="1"/>
  <c r="D25" i="5" s="1"/>
  <c r="D26" i="5" s="1" a="1"/>
  <c r="D26" i="5" s="1"/>
  <c r="D27" i="5" s="1" a="1"/>
  <c r="D27" i="5" s="1"/>
  <c r="D28" i="5" s="1" a="1"/>
  <c r="D28" i="5" s="1"/>
  <c r="D29" i="5" s="1" a="1"/>
  <c r="D29" i="5" s="1"/>
  <c r="D30" i="5" s="1" a="1"/>
  <c r="D30" i="5" s="1"/>
  <c r="D31" i="5" s="1" a="1"/>
  <c r="D31" i="5" s="1"/>
  <c r="D32" i="5" s="1" a="1"/>
  <c r="D32" i="5" s="1"/>
  <c r="D33" i="5" s="1" a="1"/>
  <c r="D33" i="5" s="1"/>
  <c r="C3" i="5" a="1"/>
  <c r="C3" i="5" s="1"/>
  <c r="C4" i="5" s="1" a="1"/>
  <c r="C4" i="5" s="1"/>
  <c r="C5" i="5" s="1" a="1"/>
  <c r="C5" i="5" s="1"/>
  <c r="C6" i="5" s="1" a="1"/>
  <c r="C6" i="5" s="1"/>
  <c r="C7" i="5" s="1" a="1"/>
  <c r="C7" i="5" s="1"/>
  <c r="C8" i="5" s="1" a="1"/>
  <c r="C8" i="5" s="1"/>
  <c r="C9" i="5" s="1" a="1"/>
  <c r="C9" i="5" s="1"/>
  <c r="C10" i="5" s="1" a="1"/>
  <c r="C10" i="5" s="1"/>
  <c r="C11" i="5" s="1" a="1"/>
  <c r="C11" i="5" s="1"/>
  <c r="C12" i="5" s="1" a="1"/>
  <c r="C12" i="5" s="1"/>
  <c r="C13" i="5" s="1" a="1"/>
  <c r="C13" i="5" s="1"/>
  <c r="C14" i="5" s="1" a="1"/>
  <c r="C14" i="5" s="1"/>
  <c r="C15" i="5" s="1" a="1"/>
  <c r="C15" i="5" s="1"/>
  <c r="C16" i="5" s="1" a="1"/>
  <c r="C16" i="5" s="1"/>
  <c r="C17" i="5" s="1" a="1"/>
  <c r="C17" i="5" s="1"/>
  <c r="C18" i="5" s="1" a="1"/>
  <c r="C18" i="5" s="1"/>
  <c r="C19" i="5" s="1" a="1"/>
  <c r="C19" i="5" s="1"/>
  <c r="C20" i="5" s="1" a="1"/>
  <c r="C20" i="5" s="1"/>
  <c r="C21" i="5" s="1" a="1"/>
  <c r="C21" i="5" s="1"/>
  <c r="C22" i="5" s="1" a="1"/>
  <c r="C22" i="5" s="1"/>
  <c r="C23" i="5" s="1" a="1"/>
  <c r="C23" i="5" s="1"/>
  <c r="C24" i="5" s="1" a="1"/>
  <c r="C24" i="5" s="1"/>
  <c r="C25" i="5" s="1" a="1"/>
  <c r="C25" i="5" s="1"/>
  <c r="C26" i="5" s="1" a="1"/>
  <c r="C26" i="5" s="1"/>
  <c r="C27" i="5" s="1" a="1"/>
  <c r="C27" i="5" s="1"/>
  <c r="C28" i="5" s="1" a="1"/>
  <c r="C28" i="5" s="1"/>
  <c r="C29" i="5" s="1" a="1"/>
  <c r="C29" i="5" s="1"/>
  <c r="C30" i="5" s="1" a="1"/>
  <c r="C30" i="5" s="1"/>
  <c r="C31" i="5" s="1" a="1"/>
  <c r="C31" i="5" s="1"/>
  <c r="C32" i="5" s="1" a="1"/>
  <c r="C32" i="5" s="1"/>
  <c r="C33" i="5" s="1" a="1"/>
  <c r="C33" i="5" s="1"/>
  <c r="B3" i="5" a="1"/>
  <c r="B3" i="5" s="1"/>
  <c r="B4" i="5" s="1" a="1"/>
  <c r="B4" i="5" s="1"/>
  <c r="B5" i="5" s="1" a="1"/>
  <c r="B5" i="5" s="1"/>
  <c r="B6" i="5" s="1" a="1"/>
  <c r="B6" i="5" s="1"/>
  <c r="B7" i="5" s="1" a="1"/>
  <c r="B7" i="5" s="1"/>
  <c r="B8" i="5" s="1" a="1"/>
  <c r="B8" i="5" s="1"/>
  <c r="B9" i="5" s="1" a="1"/>
  <c r="B9" i="5" s="1"/>
  <c r="B10" i="5" s="1" a="1"/>
  <c r="B10" i="5" s="1"/>
  <c r="B11" i="5" s="1" a="1"/>
  <c r="B11" i="5" s="1"/>
  <c r="B12" i="5" s="1" a="1"/>
  <c r="B12" i="5" s="1"/>
  <c r="B13" i="5" s="1" a="1"/>
  <c r="B13" i="5" s="1"/>
  <c r="B14" i="5" s="1" a="1"/>
  <c r="B14" i="5" s="1"/>
  <c r="B15" i="5" s="1" a="1"/>
  <c r="B15" i="5" s="1"/>
  <c r="B16" i="5" s="1" a="1"/>
  <c r="B16" i="5" s="1"/>
  <c r="B17" i="5" s="1" a="1"/>
  <c r="B17" i="5" s="1"/>
  <c r="B18" i="5" s="1" a="1"/>
  <c r="B18" i="5" s="1"/>
  <c r="B19" i="5" s="1" a="1"/>
  <c r="B19" i="5" s="1"/>
  <c r="B20" i="5" s="1" a="1"/>
  <c r="B20" i="5" s="1"/>
  <c r="B21" i="5" s="1" a="1"/>
  <c r="B21" i="5" s="1"/>
  <c r="B22" i="5" s="1" a="1"/>
  <c r="B22" i="5" s="1"/>
  <c r="B23" i="5" s="1" a="1"/>
  <c r="B23" i="5" s="1"/>
  <c r="B24" i="5" s="1" a="1"/>
  <c r="B24" i="5" s="1"/>
  <c r="B25" i="5" s="1" a="1"/>
  <c r="B25" i="5" s="1"/>
  <c r="B26" i="5" s="1" a="1"/>
  <c r="B26" i="5" s="1"/>
  <c r="B27" i="5" s="1" a="1"/>
  <c r="B27" i="5" s="1"/>
  <c r="B28" i="5" s="1" a="1"/>
  <c r="B28" i="5" s="1"/>
  <c r="B29" i="5" s="1" a="1"/>
  <c r="B29" i="5" s="1"/>
  <c r="B30" i="5" s="1" a="1"/>
  <c r="B30" i="5" s="1"/>
  <c r="B31" i="5" s="1" a="1"/>
  <c r="B31" i="5" s="1"/>
  <c r="B32" i="5" s="1" a="1"/>
  <c r="B32" i="5" s="1"/>
  <c r="B33" i="5" s="1" a="1"/>
  <c r="B33" i="5" s="1"/>
  <c r="E3" i="4" a="1"/>
  <c r="E3" i="4" s="1"/>
  <c r="E4" i="4" s="1" a="1"/>
  <c r="E4" i="4" s="1"/>
  <c r="E5" i="4" s="1" a="1"/>
  <c r="E5" i="4" s="1"/>
  <c r="E6" i="4" s="1" a="1"/>
  <c r="E6" i="4" s="1"/>
  <c r="E7" i="4" s="1" a="1"/>
  <c r="E7" i="4" s="1"/>
  <c r="E8" i="4" s="1" a="1"/>
  <c r="E8" i="4" s="1"/>
  <c r="E9" i="4" s="1" a="1"/>
  <c r="E9" i="4" s="1"/>
  <c r="E10" i="4" s="1" a="1"/>
  <c r="E10" i="4" s="1"/>
  <c r="E11" i="4" s="1" a="1"/>
  <c r="E11" i="4" s="1"/>
  <c r="E12" i="4" s="1" a="1"/>
  <c r="E12" i="4" s="1"/>
  <c r="E13" i="4" s="1" a="1"/>
  <c r="E13" i="4" s="1"/>
  <c r="E14" i="4" s="1" a="1"/>
  <c r="E14" i="4" s="1"/>
  <c r="E15" i="4" s="1" a="1"/>
  <c r="E15" i="4" s="1"/>
  <c r="E16" i="4" s="1" a="1"/>
  <c r="E16" i="4" s="1"/>
  <c r="E17" i="4" s="1" a="1"/>
  <c r="E17" i="4" s="1"/>
  <c r="E18" i="4" s="1" a="1"/>
  <c r="E18" i="4" s="1"/>
  <c r="E19" i="4" s="1" a="1"/>
  <c r="E19" i="4" s="1"/>
  <c r="E20" i="4" s="1" a="1"/>
  <c r="E20" i="4" s="1"/>
  <c r="E21" i="4" s="1" a="1"/>
  <c r="E21" i="4" s="1"/>
  <c r="E22" i="4" s="1" a="1"/>
  <c r="E22" i="4" s="1"/>
  <c r="E23" i="4" s="1" a="1"/>
  <c r="E23" i="4" s="1"/>
  <c r="E24" i="4" s="1" a="1"/>
  <c r="E24" i="4" s="1"/>
  <c r="E25" i="4" s="1" a="1"/>
  <c r="E25" i="4" s="1"/>
  <c r="E26" i="4" s="1" a="1"/>
  <c r="E26" i="4" s="1"/>
  <c r="E27" i="4" s="1" a="1"/>
  <c r="E27" i="4" s="1"/>
  <c r="E28" i="4" s="1" a="1"/>
  <c r="E28" i="4" s="1"/>
  <c r="E29" i="4" s="1" a="1"/>
  <c r="E29" i="4" s="1"/>
  <c r="E30" i="4" s="1" a="1"/>
  <c r="E30" i="4" s="1"/>
  <c r="E31" i="4" s="1" a="1"/>
  <c r="E31" i="4" s="1"/>
  <c r="E32" i="4" s="1" a="1"/>
  <c r="E32" i="4" s="1"/>
  <c r="E33" i="4" s="1" a="1"/>
  <c r="E33" i="4" s="1"/>
  <c r="D3" i="4" a="1"/>
  <c r="D3" i="4" s="1"/>
  <c r="D4" i="4" s="1" a="1"/>
  <c r="D4" i="4" s="1"/>
  <c r="D5" i="4" s="1" a="1"/>
  <c r="D5" i="4" s="1"/>
  <c r="D6" i="4" s="1" a="1"/>
  <c r="D6" i="4" s="1"/>
  <c r="D7" i="4" s="1" a="1"/>
  <c r="D7" i="4" s="1"/>
  <c r="D8" i="4" s="1" a="1"/>
  <c r="D8" i="4" s="1"/>
  <c r="D9" i="4" s="1" a="1"/>
  <c r="D9" i="4" s="1"/>
  <c r="D10" i="4" s="1" a="1"/>
  <c r="D10" i="4" s="1"/>
  <c r="D11" i="4" s="1" a="1"/>
  <c r="D11" i="4" s="1"/>
  <c r="D12" i="4" s="1" a="1"/>
  <c r="D12" i="4" s="1"/>
  <c r="D13" i="4" s="1" a="1"/>
  <c r="D13" i="4" s="1"/>
  <c r="D14" i="4" s="1" a="1"/>
  <c r="D14" i="4" s="1"/>
  <c r="D15" i="4" s="1" a="1"/>
  <c r="D15" i="4" s="1"/>
  <c r="D16" i="4" s="1" a="1"/>
  <c r="D16" i="4" s="1"/>
  <c r="D17" i="4" s="1" a="1"/>
  <c r="D17" i="4" s="1"/>
  <c r="D18" i="4" s="1" a="1"/>
  <c r="D18" i="4" s="1"/>
  <c r="D19" i="4" s="1" a="1"/>
  <c r="D19" i="4" s="1"/>
  <c r="D20" i="4" s="1" a="1"/>
  <c r="D20" i="4" s="1"/>
  <c r="D21" i="4" s="1" a="1"/>
  <c r="D21" i="4" s="1"/>
  <c r="D22" i="4" s="1" a="1"/>
  <c r="D22" i="4" s="1"/>
  <c r="D23" i="4" s="1" a="1"/>
  <c r="D23" i="4" s="1"/>
  <c r="D24" i="4" s="1" a="1"/>
  <c r="D24" i="4" s="1"/>
  <c r="D25" i="4" s="1" a="1"/>
  <c r="D25" i="4" s="1"/>
  <c r="D26" i="4" s="1" a="1"/>
  <c r="D26" i="4" s="1"/>
  <c r="D27" i="4" s="1" a="1"/>
  <c r="D27" i="4" s="1"/>
  <c r="D28" i="4" s="1" a="1"/>
  <c r="D28" i="4" s="1"/>
  <c r="D29" i="4" s="1" a="1"/>
  <c r="D29" i="4" s="1"/>
  <c r="D30" i="4" s="1" a="1"/>
  <c r="D30" i="4" s="1"/>
  <c r="D31" i="4" s="1" a="1"/>
  <c r="D31" i="4" s="1"/>
  <c r="D32" i="4" s="1" a="1"/>
  <c r="D32" i="4" s="1"/>
  <c r="D33" i="4" s="1" a="1"/>
  <c r="D33" i="4" s="1"/>
  <c r="C3" i="4" a="1"/>
  <c r="C3" i="4" s="1"/>
  <c r="C4" i="4" s="1" a="1"/>
  <c r="C4" i="4" s="1"/>
  <c r="C5" i="4" s="1" a="1"/>
  <c r="C5" i="4" s="1"/>
  <c r="C6" i="4" s="1" a="1"/>
  <c r="C6" i="4" s="1"/>
  <c r="C7" i="4" s="1" a="1"/>
  <c r="C7" i="4" s="1"/>
  <c r="C8" i="4" s="1" a="1"/>
  <c r="C8" i="4" s="1"/>
  <c r="C9" i="4" s="1" a="1"/>
  <c r="C9" i="4" s="1"/>
  <c r="C10" i="4" s="1" a="1"/>
  <c r="C10" i="4" s="1"/>
  <c r="C11" i="4" s="1" a="1"/>
  <c r="C11" i="4" s="1"/>
  <c r="C12" i="4" s="1" a="1"/>
  <c r="C12" i="4" s="1"/>
  <c r="C13" i="4" s="1" a="1"/>
  <c r="C13" i="4" s="1"/>
  <c r="C14" i="4" s="1" a="1"/>
  <c r="C14" i="4" s="1"/>
  <c r="C15" i="4" s="1" a="1"/>
  <c r="C15" i="4" s="1"/>
  <c r="C16" i="4" s="1" a="1"/>
  <c r="C16" i="4" s="1"/>
  <c r="C17" i="4" s="1" a="1"/>
  <c r="C17" i="4" s="1"/>
  <c r="C18" i="4" s="1" a="1"/>
  <c r="C18" i="4" s="1"/>
  <c r="C19" i="4" s="1" a="1"/>
  <c r="C19" i="4" s="1"/>
  <c r="C20" i="4" s="1" a="1"/>
  <c r="C20" i="4" s="1"/>
  <c r="C21" i="4" s="1" a="1"/>
  <c r="C21" i="4" s="1"/>
  <c r="C22" i="4" s="1" a="1"/>
  <c r="C22" i="4" s="1"/>
  <c r="C23" i="4" s="1" a="1"/>
  <c r="C23" i="4" s="1"/>
  <c r="C24" i="4" s="1" a="1"/>
  <c r="C24" i="4" s="1"/>
  <c r="C25" i="4" s="1" a="1"/>
  <c r="C25" i="4" s="1"/>
  <c r="C26" i="4" s="1" a="1"/>
  <c r="C26" i="4" s="1"/>
  <c r="C27" i="4" s="1" a="1"/>
  <c r="C27" i="4" s="1"/>
  <c r="C28" i="4" s="1" a="1"/>
  <c r="C28" i="4" s="1"/>
  <c r="C29" i="4" s="1" a="1"/>
  <c r="C29" i="4" s="1"/>
  <c r="C30" i="4" s="1" a="1"/>
  <c r="C30" i="4" s="1"/>
  <c r="C31" i="4" s="1" a="1"/>
  <c r="C31" i="4" s="1"/>
  <c r="C32" i="4" s="1" a="1"/>
  <c r="C32" i="4" s="1"/>
  <c r="C33" i="4" s="1" a="1"/>
  <c r="C33" i="4" s="1"/>
  <c r="B3" i="4" a="1"/>
  <c r="B3" i="4" s="1"/>
  <c r="B4" i="4" s="1" a="1"/>
  <c r="B4" i="4" s="1"/>
  <c r="B5" i="4" s="1" a="1"/>
  <c r="B5" i="4" s="1"/>
  <c r="B6" i="4" s="1" a="1"/>
  <c r="B6" i="4" s="1"/>
  <c r="B7" i="4" s="1" a="1"/>
  <c r="B7" i="4" s="1"/>
  <c r="B8" i="4" s="1" a="1"/>
  <c r="B8" i="4" s="1"/>
  <c r="B9" i="4" s="1" a="1"/>
  <c r="B9" i="4" s="1"/>
  <c r="B10" i="4" s="1" a="1"/>
  <c r="B10" i="4" s="1"/>
  <c r="B11" i="4" s="1" a="1"/>
  <c r="B11" i="4" s="1"/>
  <c r="B12" i="4" s="1" a="1"/>
  <c r="B12" i="4" s="1"/>
  <c r="B13" i="4" s="1" a="1"/>
  <c r="B13" i="4" s="1"/>
  <c r="B14" i="4" s="1" a="1"/>
  <c r="B14" i="4" s="1"/>
  <c r="B15" i="4" s="1" a="1"/>
  <c r="B15" i="4" s="1"/>
  <c r="B16" i="4" s="1" a="1"/>
  <c r="B16" i="4" s="1"/>
  <c r="B17" i="4" s="1" a="1"/>
  <c r="B17" i="4" s="1"/>
  <c r="B18" i="4" s="1" a="1"/>
  <c r="B18" i="4" s="1"/>
  <c r="B19" i="4" s="1" a="1"/>
  <c r="B19" i="4" s="1"/>
  <c r="B20" i="4" s="1" a="1"/>
  <c r="B20" i="4" s="1"/>
  <c r="B21" i="4" s="1" a="1"/>
  <c r="B21" i="4" s="1"/>
  <c r="B22" i="4" s="1" a="1"/>
  <c r="B22" i="4" s="1"/>
  <c r="B23" i="4" s="1" a="1"/>
  <c r="B23" i="4" s="1"/>
  <c r="B24" i="4" s="1" a="1"/>
  <c r="B24" i="4" s="1"/>
  <c r="B25" i="4" s="1" a="1"/>
  <c r="B25" i="4" s="1"/>
  <c r="B26" i="4" s="1" a="1"/>
  <c r="B26" i="4" s="1"/>
  <c r="B27" i="4" s="1" a="1"/>
  <c r="B27" i="4" s="1"/>
  <c r="B28" i="4" s="1" a="1"/>
  <c r="B28" i="4" s="1"/>
  <c r="B29" i="4" s="1" a="1"/>
  <c r="B29" i="4" s="1"/>
  <c r="B30" i="4" s="1" a="1"/>
  <c r="B30" i="4" s="1"/>
  <c r="B31" i="4" s="1" a="1"/>
  <c r="B31" i="4" s="1"/>
  <c r="B32" i="4" s="1" a="1"/>
  <c r="B32" i="4" s="1"/>
  <c r="B33" i="4" s="1" a="1"/>
  <c r="B33" i="4" s="1"/>
  <c r="B4" i="3" a="1"/>
  <c r="B4" i="3" s="1"/>
  <c r="B5" i="3" s="1" a="1"/>
  <c r="B5" i="3" s="1"/>
  <c r="B6" i="3" s="1" a="1"/>
  <c r="B6" i="3" s="1"/>
  <c r="B7" i="3" s="1" a="1"/>
  <c r="B7" i="3" s="1"/>
  <c r="B8" i="3" s="1" a="1"/>
  <c r="B8" i="3" s="1"/>
  <c r="B9" i="3" s="1" a="1"/>
  <c r="B9" i="3" s="1"/>
  <c r="B10" i="3" s="1" a="1"/>
  <c r="B10" i="3" s="1"/>
  <c r="B11" i="3" s="1" a="1"/>
  <c r="B11" i="3" s="1"/>
  <c r="B12" i="3" s="1" a="1"/>
  <c r="B12" i="3" s="1"/>
  <c r="B13" i="3" s="1" a="1"/>
  <c r="B13" i="3" s="1"/>
  <c r="B14" i="3" s="1" a="1"/>
  <c r="B14" i="3" s="1"/>
  <c r="B15" i="3" s="1" a="1"/>
  <c r="B15" i="3" s="1"/>
  <c r="B16" i="3" s="1" a="1"/>
  <c r="B16" i="3" s="1"/>
  <c r="B17" i="3" s="1" a="1"/>
  <c r="B17" i="3" s="1"/>
  <c r="B18" i="3" s="1" a="1"/>
  <c r="B18" i="3" s="1"/>
  <c r="B19" i="3" s="1" a="1"/>
  <c r="B19" i="3" s="1"/>
  <c r="B20" i="3" s="1" a="1"/>
  <c r="B20" i="3" s="1"/>
  <c r="B21" i="3" s="1" a="1"/>
  <c r="B21" i="3" s="1"/>
  <c r="B22" i="3" s="1" a="1"/>
  <c r="B22" i="3" s="1"/>
  <c r="B23" i="3" s="1" a="1"/>
  <c r="B23" i="3" s="1"/>
  <c r="B24" i="3" s="1" a="1"/>
  <c r="B24" i="3" s="1"/>
  <c r="B25" i="3" s="1" a="1"/>
  <c r="B25" i="3" s="1"/>
  <c r="B26" i="3" s="1" a="1"/>
  <c r="B26" i="3" s="1"/>
  <c r="B27" i="3" s="1" a="1"/>
  <c r="B27" i="3" s="1"/>
  <c r="B28" i="3" s="1" a="1"/>
  <c r="B28" i="3" s="1"/>
  <c r="B29" i="3" s="1" a="1"/>
  <c r="B29" i="3" s="1"/>
  <c r="B30" i="3" s="1" a="1"/>
  <c r="B30" i="3" s="1"/>
  <c r="B31" i="3" s="1" a="1"/>
  <c r="B31" i="3" s="1"/>
  <c r="B32" i="3" s="1" a="1"/>
  <c r="B32" i="3" s="1"/>
  <c r="B33" i="3" s="1" a="1"/>
  <c r="B33" i="3" s="1"/>
  <c r="B34" i="3" s="1" a="1"/>
  <c r="B34" i="3" s="1"/>
  <c r="B35" i="3" s="1" a="1"/>
  <c r="B35" i="3" s="1"/>
  <c r="B36" i="3" s="1" a="1"/>
  <c r="B36" i="3" s="1"/>
  <c r="B37" i="3" s="1" a="1"/>
  <c r="B37" i="3" s="1"/>
  <c r="B38" i="3" s="1" a="1"/>
  <c r="B38" i="3" s="1"/>
  <c r="B39" i="3" s="1" a="1"/>
  <c r="B39" i="3" s="1"/>
  <c r="B40" i="3" s="1" a="1"/>
  <c r="B40" i="3" s="1"/>
  <c r="B41" i="3" s="1" a="1"/>
  <c r="B41" i="3" s="1"/>
  <c r="B42" i="3" s="1" a="1"/>
  <c r="B42" i="3" s="1"/>
  <c r="B43" i="3" s="1" a="1"/>
  <c r="B43" i="3" s="1"/>
  <c r="B44" i="3" s="1" a="1"/>
  <c r="B44" i="3" s="1"/>
  <c r="B45" i="3" s="1" a="1"/>
  <c r="B45" i="3" s="1"/>
  <c r="B46" i="3" s="1" a="1"/>
  <c r="B46" i="3" s="1"/>
  <c r="B47" i="3" s="1" a="1"/>
  <c r="B47" i="3" s="1"/>
  <c r="B48" i="3" s="1" a="1"/>
  <c r="B48" i="3" s="1"/>
  <c r="B49" i="3" s="1" a="1"/>
  <c r="B49" i="3" s="1"/>
  <c r="B50" i="3" s="1" a="1"/>
  <c r="B50" i="3" s="1"/>
  <c r="B51" i="3" s="1" a="1"/>
  <c r="B51" i="3" s="1"/>
  <c r="B52" i="3" s="1" a="1"/>
  <c r="B52" i="3" s="1"/>
  <c r="B53" i="3" s="1" a="1"/>
  <c r="B53" i="3" s="1"/>
  <c r="B54" i="3" s="1" a="1"/>
  <c r="B54" i="3" s="1"/>
  <c r="B55" i="3" s="1" a="1"/>
  <c r="B55" i="3" s="1"/>
  <c r="B56" i="3" s="1" a="1"/>
  <c r="B56" i="3" s="1"/>
  <c r="B57" i="3" s="1" a="1"/>
  <c r="B57" i="3" s="1"/>
  <c r="B58" i="3" s="1" a="1"/>
  <c r="B58" i="3" s="1"/>
  <c r="B59" i="3" s="1" a="1"/>
  <c r="B59" i="3" s="1"/>
  <c r="B60" i="3" s="1" a="1"/>
  <c r="B60" i="3" s="1"/>
  <c r="B61" i="3" s="1" a="1"/>
  <c r="B61" i="3" s="1"/>
  <c r="B62" i="3" s="1" a="1"/>
  <c r="B62" i="3" s="1"/>
  <c r="B63" i="3" s="1" a="1"/>
  <c r="B63" i="3" s="1"/>
  <c r="B64" i="3" s="1" a="1"/>
  <c r="B64" i="3" s="1"/>
  <c r="B65" i="3" s="1" a="1"/>
  <c r="B65" i="3" s="1"/>
  <c r="B66" i="3" s="1" a="1"/>
  <c r="B66" i="3" s="1"/>
  <c r="B67" i="3" s="1" a="1"/>
  <c r="B67" i="3" s="1"/>
  <c r="B68" i="3" s="1" a="1"/>
  <c r="B68" i="3" s="1"/>
  <c r="B69" i="3" s="1" a="1"/>
  <c r="B69" i="3" s="1"/>
  <c r="B70" i="3" s="1" a="1"/>
  <c r="B70" i="3" s="1"/>
  <c r="C4" i="3" a="1"/>
  <c r="C4" i="3" s="1"/>
  <c r="C5" i="3" s="1" a="1"/>
  <c r="C5" i="3" s="1"/>
  <c r="C6" i="3" s="1" a="1"/>
  <c r="C6" i="3" s="1"/>
  <c r="C7" i="3" s="1" a="1"/>
  <c r="C7" i="3" s="1"/>
  <c r="C8" i="3" s="1" a="1"/>
  <c r="C8" i="3" s="1"/>
  <c r="C9" i="3" s="1" a="1"/>
  <c r="C9" i="3" s="1"/>
  <c r="C10" i="3" s="1" a="1"/>
  <c r="C10" i="3" s="1"/>
  <c r="C11" i="3" s="1" a="1"/>
  <c r="C11" i="3" s="1"/>
  <c r="C12" i="3" s="1" a="1"/>
  <c r="C12" i="3" s="1"/>
  <c r="C13" i="3" s="1" a="1"/>
  <c r="C13" i="3" s="1"/>
  <c r="C14" i="3" s="1" a="1"/>
  <c r="C14" i="3" s="1"/>
  <c r="C15" i="3" s="1" a="1"/>
  <c r="C15" i="3" s="1"/>
  <c r="C16" i="3" s="1" a="1"/>
  <c r="C16" i="3" s="1"/>
  <c r="C17" i="3" s="1" a="1"/>
  <c r="C17" i="3" s="1"/>
  <c r="C18" i="3" s="1" a="1"/>
  <c r="C18" i="3" s="1"/>
  <c r="C19" i="3" s="1" a="1"/>
  <c r="C19" i="3" s="1"/>
  <c r="C20" i="3" s="1" a="1"/>
  <c r="C20" i="3" s="1"/>
  <c r="C21" i="3" s="1" a="1"/>
  <c r="C21" i="3" s="1"/>
  <c r="C22" i="3" s="1" a="1"/>
  <c r="C22" i="3" s="1"/>
  <c r="C23" i="3" s="1" a="1"/>
  <c r="C23" i="3" s="1"/>
  <c r="C24" i="3" s="1" a="1"/>
  <c r="C24" i="3" s="1"/>
  <c r="C25" i="3" s="1" a="1"/>
  <c r="C25" i="3" s="1"/>
  <c r="C26" i="3" s="1" a="1"/>
  <c r="C26" i="3" s="1"/>
  <c r="C27" i="3" s="1" a="1"/>
  <c r="C27" i="3" s="1"/>
  <c r="C28" i="3" s="1" a="1"/>
  <c r="C28" i="3" s="1"/>
  <c r="C29" i="3" s="1" a="1"/>
  <c r="C29" i="3" s="1"/>
  <c r="C30" i="3" s="1" a="1"/>
  <c r="C30" i="3" s="1"/>
  <c r="C31" i="3" s="1" a="1"/>
  <c r="C31" i="3" s="1"/>
  <c r="C32" i="3" s="1" a="1"/>
  <c r="C32" i="3" s="1"/>
  <c r="C33" i="3" s="1" a="1"/>
  <c r="C33" i="3" s="1"/>
  <c r="C34" i="3" s="1" a="1"/>
  <c r="C34" i="3" s="1"/>
  <c r="C35" i="3" s="1" a="1"/>
  <c r="C35" i="3" s="1"/>
  <c r="C36" i="3" s="1" a="1"/>
  <c r="C36" i="3" s="1"/>
  <c r="C37" i="3" s="1" a="1"/>
  <c r="C37" i="3" s="1"/>
  <c r="C38" i="3" s="1" a="1"/>
  <c r="C38" i="3" s="1"/>
  <c r="C39" i="3" s="1" a="1"/>
  <c r="C39" i="3" s="1"/>
  <c r="C40" i="3" s="1" a="1"/>
  <c r="C40" i="3" s="1"/>
  <c r="C41" i="3" s="1" a="1"/>
  <c r="C41" i="3" s="1"/>
  <c r="C42" i="3" s="1" a="1"/>
  <c r="C42" i="3" s="1"/>
  <c r="C43" i="3" s="1" a="1"/>
  <c r="C43" i="3" s="1"/>
  <c r="C44" i="3" s="1" a="1"/>
  <c r="C44" i="3" s="1"/>
  <c r="C45" i="3" s="1" a="1"/>
  <c r="C45" i="3" s="1"/>
  <c r="C46" i="3" s="1" a="1"/>
  <c r="C46" i="3" s="1"/>
  <c r="C47" i="3" s="1" a="1"/>
  <c r="C47" i="3" s="1"/>
  <c r="C48" i="3" s="1" a="1"/>
  <c r="C48" i="3" s="1"/>
  <c r="C49" i="3" s="1" a="1"/>
  <c r="C49" i="3" s="1"/>
  <c r="C50" i="3" s="1" a="1"/>
  <c r="C50" i="3" s="1"/>
  <c r="C51" i="3" s="1" a="1"/>
  <c r="C51" i="3" s="1"/>
  <c r="C52" i="3" s="1" a="1"/>
  <c r="C52" i="3" s="1"/>
  <c r="C53" i="3" s="1" a="1"/>
  <c r="C53" i="3" s="1"/>
  <c r="C54" i="3" s="1" a="1"/>
  <c r="C54" i="3" s="1"/>
  <c r="C55" i="3" s="1" a="1"/>
  <c r="C55" i="3" s="1"/>
  <c r="C56" i="3" s="1" a="1"/>
  <c r="C56" i="3" s="1"/>
  <c r="C57" i="3" s="1" a="1"/>
  <c r="C57" i="3" s="1"/>
  <c r="C58" i="3" s="1" a="1"/>
  <c r="C58" i="3" s="1"/>
  <c r="C59" i="3" s="1" a="1"/>
  <c r="C59" i="3" s="1"/>
  <c r="C60" i="3" s="1" a="1"/>
  <c r="C60" i="3" s="1"/>
  <c r="C61" i="3" s="1" a="1"/>
  <c r="C61" i="3" s="1"/>
  <c r="C62" i="3" s="1" a="1"/>
  <c r="C62" i="3" s="1"/>
  <c r="C63" i="3" s="1" a="1"/>
  <c r="C63" i="3" s="1"/>
  <c r="C64" i="3" s="1" a="1"/>
  <c r="C64" i="3" s="1"/>
  <c r="C65" i="3" s="1" a="1"/>
  <c r="C65" i="3" s="1"/>
  <c r="C66" i="3" s="1" a="1"/>
  <c r="C66" i="3" s="1"/>
  <c r="C67" i="3" s="1" a="1"/>
  <c r="C67" i="3" s="1"/>
  <c r="C68" i="3" s="1" a="1"/>
  <c r="C68" i="3" s="1"/>
  <c r="C69" i="3" s="1" a="1"/>
  <c r="C69" i="3" s="1"/>
  <c r="C70" i="3" s="1" a="1"/>
  <c r="C70" i="3" s="1"/>
  <c r="D4" i="3" a="1"/>
  <c r="D4" i="3" s="1"/>
  <c r="D5" i="3" s="1" a="1"/>
  <c r="D5" i="3" s="1"/>
  <c r="D6" i="3" s="1" a="1"/>
  <c r="D6" i="3" s="1"/>
  <c r="D7" i="3" s="1" a="1"/>
  <c r="D7" i="3" s="1"/>
  <c r="D8" i="3" s="1" a="1"/>
  <c r="D8" i="3" s="1"/>
  <c r="D9" i="3" s="1" a="1"/>
  <c r="D9" i="3" s="1"/>
  <c r="D10" i="3" s="1" a="1"/>
  <c r="D10" i="3" s="1"/>
  <c r="D11" i="3" s="1" a="1"/>
  <c r="D11" i="3" s="1"/>
  <c r="D12" i="3" s="1" a="1"/>
  <c r="D12" i="3" s="1"/>
  <c r="D13" i="3" s="1" a="1"/>
  <c r="D13" i="3" s="1"/>
  <c r="D14" i="3" s="1" a="1"/>
  <c r="D14" i="3" s="1"/>
  <c r="D15" i="3" s="1" a="1"/>
  <c r="D15" i="3" s="1"/>
  <c r="D16" i="3" s="1" a="1"/>
  <c r="D16" i="3" s="1"/>
  <c r="D17" i="3" s="1" a="1"/>
  <c r="D17" i="3" s="1"/>
  <c r="D18" i="3" s="1" a="1"/>
  <c r="D18" i="3" s="1"/>
  <c r="D19" i="3" s="1" a="1"/>
  <c r="D19" i="3" s="1"/>
  <c r="D20" i="3" s="1" a="1"/>
  <c r="D20" i="3" s="1"/>
  <c r="D21" i="3" s="1" a="1"/>
  <c r="D21" i="3" s="1"/>
  <c r="D22" i="3" s="1" a="1"/>
  <c r="D22" i="3" s="1"/>
  <c r="D23" i="3" s="1" a="1"/>
  <c r="D23" i="3" s="1"/>
  <c r="D24" i="3" s="1" a="1"/>
  <c r="D24" i="3" s="1"/>
  <c r="D25" i="3" s="1" a="1"/>
  <c r="D25" i="3" s="1"/>
  <c r="D26" i="3" s="1" a="1"/>
  <c r="D26" i="3" s="1"/>
  <c r="D27" i="3" s="1" a="1"/>
  <c r="D27" i="3" s="1"/>
  <c r="D28" i="3" s="1" a="1"/>
  <c r="D28" i="3" s="1"/>
  <c r="D29" i="3" s="1" a="1"/>
  <c r="D29" i="3" s="1"/>
  <c r="D30" i="3" s="1" a="1"/>
  <c r="D30" i="3" s="1"/>
  <c r="D31" i="3" s="1" a="1"/>
  <c r="D31" i="3" s="1"/>
  <c r="D32" i="3" s="1" a="1"/>
  <c r="D32" i="3" s="1"/>
  <c r="D33" i="3" s="1" a="1"/>
  <c r="D33" i="3" s="1"/>
  <c r="D34" i="3" s="1" a="1"/>
  <c r="D34" i="3" s="1"/>
  <c r="D35" i="3" s="1" a="1"/>
  <c r="D35" i="3" s="1"/>
  <c r="D36" i="3" s="1" a="1"/>
  <c r="D36" i="3" s="1"/>
  <c r="D37" i="3" s="1" a="1"/>
  <c r="D37" i="3" s="1"/>
  <c r="D38" i="3" s="1" a="1"/>
  <c r="D38" i="3" s="1"/>
  <c r="D39" i="3" s="1" a="1"/>
  <c r="D39" i="3" s="1"/>
  <c r="D40" i="3" s="1" a="1"/>
  <c r="D40" i="3" s="1"/>
  <c r="D41" i="3" s="1" a="1"/>
  <c r="D41" i="3" s="1"/>
  <c r="D42" i="3" s="1" a="1"/>
  <c r="D42" i="3" s="1"/>
  <c r="D43" i="3" s="1" a="1"/>
  <c r="D43" i="3" s="1"/>
  <c r="D44" i="3" s="1" a="1"/>
  <c r="D44" i="3" s="1"/>
  <c r="D45" i="3" s="1" a="1"/>
  <c r="D45" i="3" s="1"/>
  <c r="D46" i="3" s="1" a="1"/>
  <c r="D46" i="3" s="1"/>
  <c r="D47" i="3" s="1" a="1"/>
  <c r="D47" i="3" s="1"/>
  <c r="D48" i="3" s="1" a="1"/>
  <c r="D48" i="3" s="1"/>
  <c r="D49" i="3" s="1" a="1"/>
  <c r="D49" i="3" s="1"/>
  <c r="D50" i="3" s="1" a="1"/>
  <c r="D50" i="3" s="1"/>
  <c r="D51" i="3" s="1" a="1"/>
  <c r="D51" i="3" s="1"/>
  <c r="D52" i="3" s="1" a="1"/>
  <c r="D52" i="3" s="1"/>
  <c r="D53" i="3" s="1" a="1"/>
  <c r="D53" i="3" s="1"/>
  <c r="D54" i="3" s="1" a="1"/>
  <c r="D54" i="3" s="1"/>
  <c r="D55" i="3" s="1" a="1"/>
  <c r="D55" i="3" s="1"/>
  <c r="D56" i="3" s="1" a="1"/>
  <c r="D56" i="3" s="1"/>
  <c r="D57" i="3" s="1" a="1"/>
  <c r="D57" i="3" s="1"/>
  <c r="D58" i="3" s="1" a="1"/>
  <c r="D58" i="3" s="1"/>
  <c r="D59" i="3" s="1" a="1"/>
  <c r="D59" i="3" s="1"/>
  <c r="D60" i="3" s="1" a="1"/>
  <c r="D60" i="3" s="1"/>
  <c r="D61" i="3" s="1" a="1"/>
  <c r="D61" i="3" s="1"/>
  <c r="D62" i="3" s="1" a="1"/>
  <c r="D62" i="3" s="1"/>
  <c r="D63" i="3" s="1" a="1"/>
  <c r="D63" i="3" s="1"/>
  <c r="D64" i="3" s="1" a="1"/>
  <c r="D64" i="3" s="1"/>
  <c r="D65" i="3" s="1" a="1"/>
  <c r="D65" i="3" s="1"/>
  <c r="D66" i="3" s="1" a="1"/>
  <c r="D66" i="3" s="1"/>
  <c r="D67" i="3" s="1" a="1"/>
  <c r="D67" i="3" s="1"/>
  <c r="D68" i="3" s="1" a="1"/>
  <c r="D68" i="3" s="1"/>
  <c r="D69" i="3" s="1" a="1"/>
  <c r="D69" i="3" s="1"/>
  <c r="D70" i="3" s="1" a="1"/>
  <c r="D70" i="3" s="1"/>
  <c r="E4" i="3" a="1"/>
  <c r="E4" i="3" s="1"/>
  <c r="E5" i="3" s="1" a="1"/>
  <c r="E5" i="3" s="1"/>
  <c r="E6" i="3" s="1" a="1"/>
  <c r="E6" i="3" s="1"/>
  <c r="E7" i="3" s="1" a="1"/>
  <c r="E7" i="3" s="1"/>
  <c r="E8" i="3" s="1" a="1"/>
  <c r="E8" i="3" s="1"/>
  <c r="E9" i="3" s="1" a="1"/>
  <c r="E9" i="3" s="1"/>
  <c r="E10" i="3" s="1" a="1"/>
  <c r="E10" i="3" s="1"/>
  <c r="E11" i="3" s="1" a="1"/>
  <c r="E11" i="3" s="1"/>
  <c r="E12" i="3" s="1" a="1"/>
  <c r="E12" i="3" s="1"/>
  <c r="E13" i="3" s="1" a="1"/>
  <c r="E13" i="3" s="1"/>
  <c r="E14" i="3" s="1" a="1"/>
  <c r="E14" i="3" s="1"/>
  <c r="E15" i="3" s="1" a="1"/>
  <c r="E15" i="3" s="1"/>
  <c r="E16" i="3" s="1" a="1"/>
  <c r="E16" i="3" s="1"/>
  <c r="E17" i="3" s="1" a="1"/>
  <c r="E17" i="3" s="1"/>
  <c r="E18" i="3" s="1" a="1"/>
  <c r="E18" i="3" s="1"/>
  <c r="E19" i="3" s="1" a="1"/>
  <c r="E19" i="3" s="1"/>
  <c r="E20" i="3" s="1" a="1"/>
  <c r="E20" i="3" s="1"/>
  <c r="E21" i="3" s="1" a="1"/>
  <c r="E21" i="3" s="1"/>
  <c r="E22" i="3" s="1" a="1"/>
  <c r="E22" i="3" s="1"/>
  <c r="E23" i="3" s="1" a="1"/>
  <c r="E23" i="3" s="1"/>
  <c r="E24" i="3" s="1" a="1"/>
  <c r="E24" i="3" s="1"/>
  <c r="E25" i="3" s="1" a="1"/>
  <c r="E25" i="3" s="1"/>
  <c r="E26" i="3" s="1" a="1"/>
  <c r="E26" i="3" s="1"/>
  <c r="E27" i="3" s="1" a="1"/>
  <c r="E27" i="3" s="1"/>
  <c r="E28" i="3" s="1" a="1"/>
  <c r="E28" i="3" s="1"/>
  <c r="E29" i="3" s="1" a="1"/>
  <c r="E29" i="3" s="1"/>
  <c r="E30" i="3" s="1" a="1"/>
  <c r="E30" i="3" s="1"/>
  <c r="E31" i="3" s="1" a="1"/>
  <c r="E31" i="3" s="1"/>
  <c r="E32" i="3" s="1" a="1"/>
  <c r="E32" i="3" s="1"/>
  <c r="E33" i="3" s="1" a="1"/>
  <c r="E33" i="3" s="1"/>
  <c r="E34" i="3" s="1" a="1"/>
  <c r="E34" i="3" s="1"/>
  <c r="E35" i="3" s="1" a="1"/>
  <c r="E35" i="3" s="1"/>
  <c r="E36" i="3" s="1" a="1"/>
  <c r="E36" i="3" s="1"/>
  <c r="E37" i="3" s="1" a="1"/>
  <c r="E37" i="3" s="1"/>
  <c r="E38" i="3" s="1" a="1"/>
  <c r="E38" i="3" s="1"/>
  <c r="E39" i="3" s="1" a="1"/>
  <c r="E39" i="3" s="1"/>
  <c r="E40" i="3" s="1" a="1"/>
  <c r="E40" i="3" s="1"/>
  <c r="E41" i="3" s="1" a="1"/>
  <c r="E41" i="3" s="1"/>
  <c r="E42" i="3" s="1" a="1"/>
  <c r="E42" i="3" s="1"/>
  <c r="E43" i="3" s="1" a="1"/>
  <c r="E43" i="3" s="1"/>
  <c r="E44" i="3" s="1" a="1"/>
  <c r="E44" i="3" s="1"/>
  <c r="E45" i="3" s="1" a="1"/>
  <c r="E45" i="3" s="1"/>
  <c r="E46" i="3" s="1" a="1"/>
  <c r="E46" i="3" s="1"/>
  <c r="E47" i="3" s="1" a="1"/>
  <c r="E47" i="3" s="1"/>
  <c r="E48" i="3" s="1" a="1"/>
  <c r="E48" i="3" s="1"/>
  <c r="E49" i="3" s="1" a="1"/>
  <c r="E49" i="3" s="1"/>
  <c r="E50" i="3" s="1" a="1"/>
  <c r="E50" i="3" s="1"/>
  <c r="E51" i="3" s="1" a="1"/>
  <c r="E51" i="3" s="1"/>
  <c r="E52" i="3" s="1" a="1"/>
  <c r="E52" i="3" s="1"/>
  <c r="E53" i="3" s="1" a="1"/>
  <c r="E53" i="3" s="1"/>
  <c r="E54" i="3" s="1" a="1"/>
  <c r="E54" i="3" s="1"/>
  <c r="E55" i="3" s="1" a="1"/>
  <c r="E55" i="3" s="1"/>
  <c r="E56" i="3" s="1" a="1"/>
  <c r="E56" i="3" s="1"/>
  <c r="E57" i="3" s="1" a="1"/>
  <c r="E57" i="3" s="1"/>
  <c r="E58" i="3" s="1" a="1"/>
  <c r="E58" i="3" s="1"/>
  <c r="E59" i="3" s="1" a="1"/>
  <c r="E59" i="3" s="1"/>
  <c r="E60" i="3" s="1" a="1"/>
  <c r="E60" i="3" s="1"/>
  <c r="E61" i="3" s="1" a="1"/>
  <c r="E61" i="3" s="1"/>
  <c r="E62" i="3" s="1" a="1"/>
  <c r="E62" i="3" s="1"/>
  <c r="E63" i="3" s="1" a="1"/>
  <c r="E63" i="3" s="1"/>
  <c r="E64" i="3" s="1" a="1"/>
  <c r="E64" i="3" s="1"/>
  <c r="E65" i="3" s="1" a="1"/>
  <c r="E65" i="3" s="1"/>
  <c r="E66" i="3" s="1" a="1"/>
  <c r="E66" i="3" s="1"/>
  <c r="E67" i="3" s="1" a="1"/>
  <c r="E67" i="3" s="1"/>
  <c r="E68" i="3" s="1" a="1"/>
  <c r="E68" i="3" s="1"/>
  <c r="E69" i="3" s="1" a="1"/>
  <c r="E69" i="3" s="1"/>
  <c r="E70" i="3" s="1" a="1"/>
  <c r="E70" i="3" s="1"/>
  <c r="B3" i="3" a="1"/>
  <c r="B3" i="3" s="1"/>
  <c r="C3" i="3" a="1"/>
  <c r="C3" i="3" s="1"/>
  <c r="D3" i="3" a="1"/>
  <c r="D3" i="3" s="1"/>
  <c r="E3" i="3" a="1"/>
  <c r="E3" i="3" s="1"/>
  <c r="E3" i="1" a="1"/>
  <c r="E3" i="1" s="1"/>
  <c r="E4" i="1" s="1" a="1"/>
  <c r="E4" i="1" s="1"/>
  <c r="E5" i="1" s="1" a="1"/>
  <c r="E5" i="1" s="1"/>
  <c r="E6" i="1" s="1" a="1"/>
  <c r="E6" i="1" s="1"/>
  <c r="E7" i="1" s="1" a="1"/>
  <c r="E7" i="1" s="1"/>
  <c r="E8" i="1" s="1" a="1"/>
  <c r="E8" i="1" s="1"/>
  <c r="E9" i="1" s="1" a="1"/>
  <c r="E9" i="1" s="1"/>
  <c r="E10" i="1" s="1" a="1"/>
  <c r="E10" i="1" s="1"/>
  <c r="E11" i="1" s="1" a="1"/>
  <c r="E11" i="1" s="1"/>
  <c r="E12" i="1" s="1" a="1"/>
  <c r="E12" i="1" s="1"/>
  <c r="E13" i="1" s="1" a="1"/>
  <c r="E13" i="1" s="1"/>
  <c r="E14" i="1" s="1" a="1"/>
  <c r="E14" i="1" s="1"/>
  <c r="E15" i="1" s="1" a="1"/>
  <c r="E15" i="1" s="1"/>
  <c r="E16" i="1" s="1" a="1"/>
  <c r="E16" i="1" s="1"/>
  <c r="E17" i="1" s="1" a="1"/>
  <c r="E17" i="1" s="1"/>
  <c r="E18" i="1" s="1" a="1"/>
  <c r="E18" i="1" s="1"/>
  <c r="E19" i="1" s="1" a="1"/>
  <c r="E19" i="1" s="1"/>
  <c r="E20" i="1" s="1" a="1"/>
  <c r="E20" i="1" s="1"/>
  <c r="E21" i="1" s="1" a="1"/>
  <c r="E21" i="1" s="1"/>
  <c r="E22" i="1" s="1" a="1"/>
  <c r="E22" i="1" s="1"/>
  <c r="E23" i="1" s="1" a="1"/>
  <c r="E23" i="1" s="1"/>
  <c r="E24" i="1" s="1" a="1"/>
  <c r="E24" i="1" s="1"/>
  <c r="E25" i="1" s="1" a="1"/>
  <c r="E25" i="1" s="1"/>
  <c r="E26" i="1" s="1" a="1"/>
  <c r="E26" i="1" s="1"/>
  <c r="E27" i="1" s="1" a="1"/>
  <c r="E27" i="1" s="1"/>
  <c r="E28" i="1" s="1" a="1"/>
  <c r="E28" i="1" s="1"/>
  <c r="E29" i="1" s="1" a="1"/>
  <c r="E29" i="1" s="1"/>
  <c r="E30" i="1" s="1" a="1"/>
  <c r="E30" i="1" s="1"/>
  <c r="E31" i="1" s="1" a="1"/>
  <c r="E31" i="1" s="1"/>
  <c r="E32" i="1" s="1" a="1"/>
  <c r="E32" i="1" s="1"/>
  <c r="E33" i="1" s="1" a="1"/>
  <c r="E33" i="1" s="1"/>
  <c r="D3" i="1" a="1"/>
  <c r="D3" i="1" s="1"/>
  <c r="D4" i="1" s="1" a="1"/>
  <c r="D4" i="1" s="1"/>
  <c r="D5" i="1" s="1" a="1"/>
  <c r="D5" i="1" s="1"/>
  <c r="D6" i="1" s="1" a="1"/>
  <c r="D6" i="1" s="1"/>
  <c r="D7" i="1" s="1" a="1"/>
  <c r="D7" i="1" s="1"/>
  <c r="D8" i="1" s="1" a="1"/>
  <c r="D8" i="1" s="1"/>
  <c r="D9" i="1" s="1" a="1"/>
  <c r="D9" i="1" s="1"/>
  <c r="D10" i="1" s="1" a="1"/>
  <c r="D10" i="1" s="1"/>
  <c r="D11" i="1" s="1" a="1"/>
  <c r="D11" i="1" s="1"/>
  <c r="D12" i="1" s="1" a="1"/>
  <c r="D12" i="1" s="1"/>
  <c r="D13" i="1" s="1" a="1"/>
  <c r="D13" i="1" s="1"/>
  <c r="D14" i="1" s="1" a="1"/>
  <c r="D14" i="1" s="1"/>
  <c r="D15" i="1" s="1" a="1"/>
  <c r="D15" i="1" s="1"/>
  <c r="D16" i="1" s="1" a="1"/>
  <c r="D16" i="1" s="1"/>
  <c r="D17" i="1" s="1" a="1"/>
  <c r="D17" i="1" s="1"/>
  <c r="D18" i="1" s="1" a="1"/>
  <c r="D18" i="1" s="1"/>
  <c r="D19" i="1" s="1" a="1"/>
  <c r="D19" i="1" s="1"/>
  <c r="D20" i="1" s="1" a="1"/>
  <c r="D20" i="1" s="1"/>
  <c r="D21" i="1" s="1" a="1"/>
  <c r="D21" i="1" s="1"/>
  <c r="D22" i="1" s="1" a="1"/>
  <c r="D22" i="1" s="1"/>
  <c r="D23" i="1" s="1" a="1"/>
  <c r="D23" i="1" s="1"/>
  <c r="D24" i="1" s="1" a="1"/>
  <c r="D24" i="1" s="1"/>
  <c r="D25" i="1" s="1" a="1"/>
  <c r="D25" i="1" s="1"/>
  <c r="D26" i="1" s="1" a="1"/>
  <c r="D26" i="1" s="1"/>
  <c r="D27" i="1" s="1" a="1"/>
  <c r="D27" i="1" s="1"/>
  <c r="D28" i="1" s="1" a="1"/>
  <c r="D28" i="1" s="1"/>
  <c r="D29" i="1" s="1" a="1"/>
  <c r="D29" i="1" s="1"/>
  <c r="D30" i="1" s="1" a="1"/>
  <c r="D30" i="1" s="1"/>
  <c r="D31" i="1" s="1" a="1"/>
  <c r="D31" i="1" s="1"/>
  <c r="D32" i="1" s="1" a="1"/>
  <c r="D32" i="1" s="1"/>
  <c r="D33" i="1" s="1" a="1"/>
  <c r="D33" i="1" s="1"/>
  <c r="C3" i="1" a="1"/>
  <c r="C3" i="1" s="1"/>
  <c r="C4" i="1" s="1" a="1"/>
  <c r="C4" i="1" s="1"/>
  <c r="C5" i="1" s="1" a="1"/>
  <c r="C5" i="1" s="1"/>
  <c r="C6" i="1" s="1" a="1"/>
  <c r="C6" i="1" s="1"/>
  <c r="C7" i="1" s="1" a="1"/>
  <c r="C7" i="1" s="1"/>
  <c r="C8" i="1" s="1" a="1"/>
  <c r="C8" i="1" s="1"/>
  <c r="C9" i="1" s="1" a="1"/>
  <c r="C9" i="1" s="1"/>
  <c r="C10" i="1" s="1" a="1"/>
  <c r="C10" i="1" s="1"/>
  <c r="C11" i="1" s="1" a="1"/>
  <c r="C11" i="1" s="1"/>
  <c r="C12" i="1" s="1" a="1"/>
  <c r="C12" i="1" s="1"/>
  <c r="C13" i="1" s="1" a="1"/>
  <c r="C13" i="1" s="1"/>
  <c r="C14" i="1" s="1" a="1"/>
  <c r="C14" i="1" s="1"/>
  <c r="C15" i="1" s="1" a="1"/>
  <c r="C15" i="1" s="1"/>
  <c r="C16" i="1" s="1" a="1"/>
  <c r="C16" i="1" s="1"/>
  <c r="C17" i="1" s="1" a="1"/>
  <c r="C17" i="1" s="1"/>
  <c r="C18" i="1" s="1" a="1"/>
  <c r="C18" i="1" s="1"/>
  <c r="C19" i="1" s="1" a="1"/>
  <c r="C19" i="1" s="1"/>
  <c r="C20" i="1" s="1" a="1"/>
  <c r="C20" i="1" s="1"/>
  <c r="C21" i="1" s="1" a="1"/>
  <c r="C21" i="1" s="1"/>
  <c r="C22" i="1" s="1" a="1"/>
  <c r="C22" i="1" s="1"/>
  <c r="C23" i="1" s="1" a="1"/>
  <c r="C23" i="1" s="1"/>
  <c r="C24" i="1" s="1" a="1"/>
  <c r="C24" i="1" s="1"/>
  <c r="C25" i="1" s="1" a="1"/>
  <c r="C25" i="1" s="1"/>
  <c r="C26" i="1" s="1" a="1"/>
  <c r="C26" i="1" s="1"/>
  <c r="C27" i="1" s="1" a="1"/>
  <c r="C27" i="1" s="1"/>
  <c r="C28" i="1" s="1" a="1"/>
  <c r="C28" i="1" s="1"/>
  <c r="C29" i="1" s="1" a="1"/>
  <c r="C29" i="1" s="1"/>
  <c r="C30" i="1" s="1" a="1"/>
  <c r="C30" i="1" s="1"/>
  <c r="C31" i="1" s="1" a="1"/>
  <c r="C31" i="1" s="1"/>
  <c r="C32" i="1" s="1" a="1"/>
  <c r="C32" i="1" s="1"/>
  <c r="C33" i="1" s="1" a="1"/>
  <c r="C33" i="1" s="1"/>
  <c r="B3" i="1" a="1"/>
  <c r="B3" i="1" s="1"/>
  <c r="B4" i="1" s="1" a="1"/>
  <c r="B4" i="1" s="1"/>
  <c r="B5" i="1" s="1" a="1"/>
  <c r="B5" i="1" s="1"/>
  <c r="B6" i="1" s="1" a="1"/>
  <c r="B6" i="1" s="1"/>
  <c r="B7" i="1" s="1" a="1"/>
  <c r="B7" i="1" s="1"/>
  <c r="B8" i="1" s="1" a="1"/>
  <c r="B8" i="1" s="1"/>
  <c r="B9" i="1" s="1" a="1"/>
  <c r="B9" i="1" s="1"/>
  <c r="B10" i="1" s="1" a="1"/>
  <c r="B10" i="1" s="1"/>
  <c r="B11" i="1" s="1" a="1"/>
  <c r="B11" i="1" s="1"/>
  <c r="B12" i="1" s="1" a="1"/>
  <c r="B12" i="1" s="1"/>
  <c r="B13" i="1" s="1" a="1"/>
  <c r="B13" i="1" s="1"/>
  <c r="B14" i="1" s="1" a="1"/>
  <c r="B14" i="1" s="1"/>
  <c r="B15" i="1" s="1" a="1"/>
  <c r="B15" i="1" s="1"/>
  <c r="B16" i="1" s="1" a="1"/>
  <c r="B16" i="1" s="1"/>
  <c r="B17" i="1" s="1" a="1"/>
  <c r="B17" i="1" s="1"/>
  <c r="B18" i="1" s="1" a="1"/>
  <c r="B18" i="1" s="1"/>
  <c r="B19" i="1" s="1" a="1"/>
  <c r="B19" i="1" s="1"/>
  <c r="B20" i="1" s="1" a="1"/>
  <c r="B20" i="1" s="1"/>
  <c r="B21" i="1" s="1" a="1"/>
  <c r="B21" i="1" s="1"/>
  <c r="B22" i="1" s="1" a="1"/>
  <c r="B22" i="1" s="1"/>
  <c r="B23" i="1" s="1" a="1"/>
  <c r="B23" i="1" s="1"/>
  <c r="B24" i="1" s="1" a="1"/>
  <c r="B24" i="1" s="1"/>
  <c r="B25" i="1" s="1" a="1"/>
  <c r="B25" i="1" s="1"/>
  <c r="B26" i="1" s="1" a="1"/>
  <c r="B26" i="1" s="1"/>
  <c r="B27" i="1" s="1" a="1"/>
  <c r="B27" i="1" s="1"/>
  <c r="B28" i="1" s="1" a="1"/>
  <c r="B28" i="1" s="1"/>
  <c r="B29" i="1" s="1" a="1"/>
  <c r="B29" i="1" s="1"/>
  <c r="B30" i="1" s="1" a="1"/>
  <c r="B30" i="1" s="1"/>
  <c r="B31" i="1" s="1" a="1"/>
  <c r="B31" i="1" s="1"/>
  <c r="B32" i="1" s="1" a="1"/>
  <c r="B32" i="1" s="1"/>
  <c r="B33" i="1" s="1" a="1"/>
  <c r="B33" i="1" s="1"/>
  <c r="B4" i="2" a="1"/>
  <c r="B4" i="2" s="1"/>
  <c r="B5" i="2" s="1" a="1"/>
  <c r="B5" i="2" s="1"/>
  <c r="B6" i="2" s="1" a="1"/>
  <c r="B6" i="2" s="1"/>
  <c r="B7" i="2" s="1" a="1"/>
  <c r="B7" i="2" s="1"/>
  <c r="B8" i="2" s="1" a="1"/>
  <c r="B8" i="2" s="1"/>
  <c r="B9" i="2" s="1" a="1"/>
  <c r="B9" i="2" s="1"/>
  <c r="B10" i="2" s="1" a="1"/>
  <c r="B10" i="2" s="1"/>
  <c r="B11" i="2" s="1" a="1"/>
  <c r="B11" i="2" s="1"/>
  <c r="B12" i="2" s="1" a="1"/>
  <c r="B12" i="2" s="1"/>
  <c r="B13" i="2" s="1" a="1"/>
  <c r="B13" i="2" s="1"/>
  <c r="B14" i="2" s="1" a="1"/>
  <c r="B14" i="2" s="1"/>
  <c r="B15" i="2" s="1" a="1"/>
  <c r="B15" i="2" s="1"/>
  <c r="B16" i="2" s="1" a="1"/>
  <c r="B16" i="2" s="1"/>
  <c r="B17" i="2" s="1" a="1"/>
  <c r="B17" i="2" s="1"/>
  <c r="B18" i="2" s="1" a="1"/>
  <c r="B18" i="2" s="1"/>
  <c r="B19" i="2" s="1" a="1"/>
  <c r="B19" i="2" s="1"/>
  <c r="B20" i="2" s="1" a="1"/>
  <c r="B20" i="2" s="1"/>
  <c r="B21" i="2" s="1" a="1"/>
  <c r="B21" i="2" s="1"/>
  <c r="B22" i="2" s="1" a="1"/>
  <c r="B22" i="2" s="1"/>
  <c r="B23" i="2" s="1" a="1"/>
  <c r="B23" i="2" s="1"/>
  <c r="B24" i="2" s="1" a="1"/>
  <c r="B24" i="2" s="1"/>
  <c r="B25" i="2" s="1" a="1"/>
  <c r="B25" i="2" s="1"/>
  <c r="B26" i="2" s="1" a="1"/>
  <c r="B26" i="2" s="1"/>
  <c r="B27" i="2" s="1" a="1"/>
  <c r="B27" i="2" s="1"/>
  <c r="B28" i="2" s="1" a="1"/>
  <c r="B28" i="2" s="1"/>
  <c r="B29" i="2" s="1" a="1"/>
  <c r="B29" i="2" s="1"/>
  <c r="B30" i="2" s="1" a="1"/>
  <c r="B30" i="2" s="1"/>
  <c r="B31" i="2" s="1" a="1"/>
  <c r="B31" i="2" s="1"/>
  <c r="B32" i="2" s="1" a="1"/>
  <c r="B32" i="2" s="1"/>
  <c r="B33" i="2" s="1" a="1"/>
  <c r="B33" i="2" s="1"/>
  <c r="C4" i="2" a="1"/>
  <c r="C4" i="2" s="1"/>
  <c r="C5" i="2" s="1" a="1"/>
  <c r="C5" i="2" s="1"/>
  <c r="C6" i="2" s="1" a="1"/>
  <c r="C6" i="2" s="1"/>
  <c r="C7" i="2" s="1" a="1"/>
  <c r="C7" i="2" s="1"/>
  <c r="C8" i="2" s="1" a="1"/>
  <c r="C8" i="2" s="1"/>
  <c r="C9" i="2" s="1" a="1"/>
  <c r="C9" i="2" s="1"/>
  <c r="C10" i="2" s="1" a="1"/>
  <c r="C10" i="2" s="1"/>
  <c r="C11" i="2" s="1" a="1"/>
  <c r="C11" i="2" s="1"/>
  <c r="C12" i="2" s="1" a="1"/>
  <c r="C12" i="2" s="1"/>
  <c r="C13" i="2" s="1" a="1"/>
  <c r="C13" i="2" s="1"/>
  <c r="C14" i="2" s="1" a="1"/>
  <c r="C14" i="2" s="1"/>
  <c r="C15" i="2" s="1" a="1"/>
  <c r="C15" i="2" s="1"/>
  <c r="C16" i="2" s="1" a="1"/>
  <c r="C16" i="2" s="1"/>
  <c r="C17" i="2" s="1" a="1"/>
  <c r="C17" i="2" s="1"/>
  <c r="C18" i="2" s="1" a="1"/>
  <c r="C18" i="2" s="1"/>
  <c r="C19" i="2" s="1" a="1"/>
  <c r="C19" i="2" s="1"/>
  <c r="C20" i="2" s="1" a="1"/>
  <c r="C20" i="2" s="1"/>
  <c r="C21" i="2" s="1" a="1"/>
  <c r="C21" i="2" s="1"/>
  <c r="C22" i="2" s="1" a="1"/>
  <c r="C22" i="2" s="1"/>
  <c r="C23" i="2" s="1" a="1"/>
  <c r="C23" i="2" s="1"/>
  <c r="C24" i="2" s="1" a="1"/>
  <c r="C24" i="2" s="1"/>
  <c r="C25" i="2" s="1" a="1"/>
  <c r="C25" i="2" s="1"/>
  <c r="C26" i="2" s="1" a="1"/>
  <c r="C26" i="2" s="1"/>
  <c r="C27" i="2" s="1" a="1"/>
  <c r="C27" i="2" s="1"/>
  <c r="C28" i="2" s="1" a="1"/>
  <c r="C28" i="2" s="1"/>
  <c r="C29" i="2" s="1" a="1"/>
  <c r="C29" i="2" s="1"/>
  <c r="C30" i="2" s="1" a="1"/>
  <c r="C30" i="2" s="1"/>
  <c r="C31" i="2" s="1" a="1"/>
  <c r="C31" i="2" s="1"/>
  <c r="C32" i="2" s="1" a="1"/>
  <c r="C32" i="2" s="1"/>
  <c r="C33" i="2" s="1" a="1"/>
  <c r="C33" i="2" s="1"/>
  <c r="D4" i="2" a="1"/>
  <c r="D4" i="2" s="1"/>
  <c r="D5" i="2" s="1" a="1"/>
  <c r="D5" i="2" s="1"/>
  <c r="D6" i="2" s="1" a="1"/>
  <c r="D6" i="2" s="1"/>
  <c r="D7" i="2" s="1" a="1"/>
  <c r="D7" i="2" s="1"/>
  <c r="D8" i="2" s="1" a="1"/>
  <c r="D8" i="2" s="1"/>
  <c r="D9" i="2" s="1" a="1"/>
  <c r="D9" i="2" s="1"/>
  <c r="D10" i="2" s="1" a="1"/>
  <c r="D10" i="2" s="1"/>
  <c r="D11" i="2" s="1" a="1"/>
  <c r="D11" i="2" s="1"/>
  <c r="D12" i="2" s="1" a="1"/>
  <c r="D12" i="2" s="1"/>
  <c r="D13" i="2" s="1" a="1"/>
  <c r="D13" i="2" s="1"/>
  <c r="D14" i="2" s="1" a="1"/>
  <c r="D14" i="2" s="1"/>
  <c r="D15" i="2" s="1" a="1"/>
  <c r="D15" i="2" s="1"/>
  <c r="D16" i="2" s="1" a="1"/>
  <c r="D16" i="2" s="1"/>
  <c r="D17" i="2" s="1" a="1"/>
  <c r="D17" i="2" s="1"/>
  <c r="D18" i="2" s="1" a="1"/>
  <c r="D18" i="2" s="1"/>
  <c r="D19" i="2" s="1" a="1"/>
  <c r="D19" i="2" s="1"/>
  <c r="D20" i="2" s="1" a="1"/>
  <c r="D20" i="2" s="1"/>
  <c r="D21" i="2" s="1" a="1"/>
  <c r="D21" i="2" s="1"/>
  <c r="D22" i="2" s="1" a="1"/>
  <c r="D22" i="2" s="1"/>
  <c r="D23" i="2" s="1" a="1"/>
  <c r="D23" i="2" s="1"/>
  <c r="D24" i="2" s="1" a="1"/>
  <c r="D24" i="2" s="1"/>
  <c r="D25" i="2" s="1" a="1"/>
  <c r="D25" i="2" s="1"/>
  <c r="D26" i="2" s="1" a="1"/>
  <c r="D26" i="2" s="1"/>
  <c r="D27" i="2" s="1" a="1"/>
  <c r="D27" i="2" s="1"/>
  <c r="D28" i="2" s="1" a="1"/>
  <c r="D28" i="2" s="1"/>
  <c r="D29" i="2" s="1" a="1"/>
  <c r="D29" i="2" s="1"/>
  <c r="D30" i="2" s="1" a="1"/>
  <c r="D30" i="2" s="1"/>
  <c r="D31" i="2" s="1" a="1"/>
  <c r="D31" i="2" s="1"/>
  <c r="D32" i="2" s="1" a="1"/>
  <c r="D32" i="2" s="1"/>
  <c r="D33" i="2" s="1" a="1"/>
  <c r="D33" i="2" s="1"/>
  <c r="E4" i="2" a="1"/>
  <c r="E4" i="2" s="1"/>
  <c r="E5" i="2" s="1" a="1"/>
  <c r="E5" i="2" s="1"/>
  <c r="E6" i="2" s="1" a="1"/>
  <c r="E6" i="2" s="1"/>
  <c r="E7" i="2" s="1" a="1"/>
  <c r="E7" i="2" s="1"/>
  <c r="E8" i="2" s="1" a="1"/>
  <c r="E8" i="2" s="1"/>
  <c r="E9" i="2" s="1" a="1"/>
  <c r="E9" i="2" s="1"/>
  <c r="E10" i="2" s="1" a="1"/>
  <c r="E10" i="2" s="1"/>
  <c r="E11" i="2" s="1" a="1"/>
  <c r="E11" i="2" s="1"/>
  <c r="E12" i="2" s="1" a="1"/>
  <c r="E12" i="2" s="1"/>
  <c r="E13" i="2" s="1" a="1"/>
  <c r="E13" i="2" s="1"/>
  <c r="E14" i="2" s="1" a="1"/>
  <c r="E14" i="2" s="1"/>
  <c r="E15" i="2" s="1" a="1"/>
  <c r="E15" i="2" s="1"/>
  <c r="E16" i="2" s="1" a="1"/>
  <c r="E16" i="2" s="1"/>
  <c r="E17" i="2" s="1" a="1"/>
  <c r="E17" i="2" s="1"/>
  <c r="E18" i="2" s="1" a="1"/>
  <c r="E18" i="2" s="1"/>
  <c r="E19" i="2" s="1" a="1"/>
  <c r="E19" i="2" s="1"/>
  <c r="E20" i="2" s="1" a="1"/>
  <c r="E20" i="2" s="1"/>
  <c r="E21" i="2" s="1" a="1"/>
  <c r="E21" i="2" s="1"/>
  <c r="E22" i="2" s="1" a="1"/>
  <c r="E22" i="2" s="1"/>
  <c r="E23" i="2" s="1" a="1"/>
  <c r="E23" i="2" s="1"/>
  <c r="E24" i="2" s="1" a="1"/>
  <c r="E24" i="2" s="1"/>
  <c r="E25" i="2" s="1" a="1"/>
  <c r="E25" i="2" s="1"/>
  <c r="E26" i="2" s="1" a="1"/>
  <c r="E26" i="2" s="1"/>
  <c r="E27" i="2" s="1" a="1"/>
  <c r="E27" i="2" s="1"/>
  <c r="E28" i="2" s="1" a="1"/>
  <c r="E28" i="2" s="1"/>
  <c r="E29" i="2" s="1" a="1"/>
  <c r="E29" i="2" s="1"/>
  <c r="E30" i="2" s="1" a="1"/>
  <c r="E30" i="2" s="1"/>
  <c r="E31" i="2" s="1" a="1"/>
  <c r="E31" i="2" s="1"/>
  <c r="E32" i="2" s="1" a="1"/>
  <c r="E32" i="2" s="1"/>
  <c r="E33" i="2" s="1" a="1"/>
  <c r="E33" i="2" s="1"/>
  <c r="C3" i="2" a="1"/>
  <c r="C3" i="2" s="1"/>
  <c r="D3" i="2" a="1"/>
  <c r="D3" i="2" s="1"/>
  <c r="E3" i="2" a="1"/>
  <c r="E3" i="2" s="1"/>
  <c r="B3" i="2" a="1"/>
  <c r="B3" i="2" s="1"/>
  <c r="J8" i="5" l="1"/>
  <c r="F3" i="4"/>
  <c r="G3" i="4"/>
  <c r="H3" i="4"/>
  <c r="I3" i="4"/>
  <c r="F4" i="4"/>
  <c r="G4" i="4"/>
  <c r="H4" i="4"/>
  <c r="I4" i="4"/>
  <c r="F5" i="4"/>
  <c r="G5" i="4"/>
  <c r="H5" i="4"/>
  <c r="I5" i="4"/>
  <c r="F6" i="4"/>
  <c r="G6" i="4"/>
  <c r="H6" i="4"/>
  <c r="I6" i="4"/>
  <c r="F7" i="4"/>
  <c r="G7" i="4"/>
  <c r="H7" i="4"/>
  <c r="I7" i="4"/>
  <c r="F8" i="4"/>
  <c r="G8" i="4"/>
  <c r="H8" i="4"/>
  <c r="I8" i="4"/>
  <c r="F9" i="4"/>
  <c r="G9" i="4"/>
  <c r="H9" i="4"/>
  <c r="I9" i="4"/>
  <c r="F10" i="4"/>
  <c r="G10" i="4"/>
  <c r="H10" i="4"/>
  <c r="I10" i="4"/>
  <c r="F11" i="4"/>
  <c r="G11" i="4"/>
  <c r="H11" i="4"/>
  <c r="I11" i="4"/>
  <c r="F12" i="4"/>
  <c r="G12" i="4"/>
  <c r="H12" i="4"/>
  <c r="I12" i="4"/>
  <c r="F13" i="4"/>
  <c r="G13" i="4"/>
  <c r="H13" i="4"/>
  <c r="I13" i="4"/>
  <c r="F14" i="4"/>
  <c r="G14" i="4"/>
  <c r="H14" i="4"/>
  <c r="I14" i="4"/>
  <c r="F15" i="4"/>
  <c r="G15" i="4"/>
  <c r="H15" i="4"/>
  <c r="I15" i="4"/>
  <c r="F16" i="4"/>
  <c r="G16" i="4"/>
  <c r="H16" i="4"/>
  <c r="I16" i="4"/>
  <c r="F17" i="4"/>
  <c r="G17" i="4"/>
  <c r="G34" i="4" s="1"/>
  <c r="H17" i="4"/>
  <c r="I17" i="4"/>
  <c r="F18" i="4"/>
  <c r="G18" i="4"/>
  <c r="H18" i="4"/>
  <c r="I18" i="4"/>
  <c r="F19" i="4"/>
  <c r="G19" i="4"/>
  <c r="H19" i="4"/>
  <c r="I19" i="4"/>
  <c r="F20" i="4"/>
  <c r="G20" i="4"/>
  <c r="H20" i="4"/>
  <c r="I20" i="4"/>
  <c r="F21" i="4"/>
  <c r="G21" i="4"/>
  <c r="H21" i="4"/>
  <c r="I21" i="4"/>
  <c r="F22" i="4"/>
  <c r="G22" i="4"/>
  <c r="H22" i="4"/>
  <c r="I22" i="4"/>
  <c r="F23" i="4"/>
  <c r="G23" i="4"/>
  <c r="H23" i="4"/>
  <c r="I23" i="4"/>
  <c r="F24" i="4"/>
  <c r="G24" i="4"/>
  <c r="H24" i="4"/>
  <c r="I24" i="4"/>
  <c r="F25" i="4"/>
  <c r="G25" i="4"/>
  <c r="H25" i="4"/>
  <c r="I25" i="4"/>
  <c r="F26" i="4"/>
  <c r="G26" i="4"/>
  <c r="H26" i="4"/>
  <c r="I26" i="4"/>
  <c r="F27" i="4"/>
  <c r="G27" i="4"/>
  <c r="H27" i="4"/>
  <c r="I27" i="4"/>
  <c r="F28" i="4"/>
  <c r="G28" i="4"/>
  <c r="H28" i="4"/>
  <c r="I28" i="4"/>
  <c r="F29" i="4"/>
  <c r="G29" i="4"/>
  <c r="H29" i="4"/>
  <c r="I29" i="4"/>
  <c r="F30" i="4"/>
  <c r="G30" i="4"/>
  <c r="H30" i="4"/>
  <c r="I30" i="4"/>
  <c r="F31" i="4"/>
  <c r="G31" i="4"/>
  <c r="H31" i="4"/>
  <c r="I31" i="4"/>
  <c r="F32" i="4"/>
  <c r="G32" i="4"/>
  <c r="H32" i="4"/>
  <c r="I32" i="4"/>
  <c r="F33" i="4"/>
  <c r="G33" i="4"/>
  <c r="H33" i="4"/>
  <c r="I33" i="4"/>
  <c r="G2" i="4"/>
  <c r="H2" i="4"/>
  <c r="I2" i="4"/>
  <c r="F2" i="4"/>
  <c r="F34" i="4" l="1"/>
  <c r="I34" i="4"/>
  <c r="H34" i="4"/>
  <c r="H4" i="3"/>
  <c r="I7" i="3"/>
  <c r="F7" i="3"/>
  <c r="G3" i="3"/>
  <c r="F8" i="3"/>
  <c r="H3" i="3"/>
  <c r="I4" i="3"/>
  <c r="I3" i="3"/>
  <c r="F6" i="3"/>
  <c r="F3" i="3"/>
  <c r="I5" i="3"/>
  <c r="F5" i="3"/>
  <c r="F4" i="3"/>
  <c r="I6" i="3"/>
  <c r="I8" i="3" l="1"/>
  <c r="F9" i="3"/>
  <c r="G4" i="3"/>
  <c r="H5" i="3"/>
  <c r="I9" i="3" l="1"/>
  <c r="H6" i="3"/>
  <c r="F10" i="3"/>
  <c r="G5" i="3"/>
  <c r="F11" i="3" l="1"/>
  <c r="I10" i="3"/>
  <c r="G6" i="3"/>
  <c r="H7" i="3"/>
  <c r="H8" i="3" l="1"/>
  <c r="I11" i="3"/>
  <c r="G7" i="3"/>
  <c r="F12" i="3"/>
  <c r="I12" i="3" l="1"/>
  <c r="F13" i="3"/>
  <c r="G8" i="3"/>
  <c r="H9" i="3"/>
  <c r="H10" i="3" l="1"/>
  <c r="F14" i="3"/>
  <c r="G9" i="3"/>
  <c r="I13" i="3"/>
  <c r="F15" i="3" l="1"/>
  <c r="I14" i="3"/>
  <c r="G10" i="3"/>
  <c r="H11" i="3"/>
  <c r="F16" i="3" l="1"/>
  <c r="H12" i="3"/>
  <c r="I15" i="3"/>
  <c r="G11" i="3"/>
  <c r="F17" i="3" l="1"/>
  <c r="G12" i="3"/>
  <c r="H13" i="3"/>
  <c r="I16" i="3"/>
  <c r="G13" i="3" l="1"/>
  <c r="I17" i="3"/>
  <c r="H14" i="3"/>
  <c r="F18" i="3"/>
  <c r="H15" i="3" l="1"/>
  <c r="G14" i="3"/>
  <c r="F19" i="3"/>
  <c r="I18" i="3"/>
  <c r="G15" i="3" l="1"/>
  <c r="I19" i="3"/>
  <c r="F20" i="3"/>
  <c r="H16" i="3"/>
  <c r="H17" i="3" l="1"/>
  <c r="I20" i="3"/>
  <c r="F21" i="3"/>
  <c r="G16" i="3"/>
  <c r="G17" i="3" l="1"/>
  <c r="I21" i="3"/>
  <c r="F22" i="3"/>
  <c r="H18" i="3"/>
  <c r="H19" i="3" l="1"/>
  <c r="I22" i="3"/>
  <c r="F23" i="3"/>
  <c r="G18" i="3"/>
  <c r="G19" i="3" l="1"/>
  <c r="I23" i="3"/>
  <c r="F24" i="3"/>
  <c r="H20" i="3"/>
  <c r="H21" i="3" l="1"/>
  <c r="I24" i="3"/>
  <c r="F25" i="3"/>
  <c r="G20" i="3"/>
  <c r="H22" i="3" l="1"/>
  <c r="G21" i="3"/>
  <c r="I25" i="3"/>
  <c r="F26" i="3"/>
  <c r="G22" i="3" l="1"/>
  <c r="F27" i="3"/>
  <c r="I26" i="3"/>
  <c r="H23" i="3"/>
  <c r="F28" i="3" l="1"/>
  <c r="H24" i="3"/>
  <c r="I27" i="3"/>
  <c r="G23" i="3"/>
  <c r="I28" i="3" l="1"/>
  <c r="G24" i="3"/>
  <c r="H25" i="3"/>
  <c r="F29" i="3"/>
  <c r="G25" i="3" l="1"/>
  <c r="F30" i="3"/>
  <c r="H26" i="3"/>
  <c r="I29" i="3"/>
  <c r="G26" i="3" l="1"/>
  <c r="I30" i="3"/>
  <c r="F31" i="3"/>
  <c r="H27" i="3"/>
  <c r="I31" i="3" l="1"/>
  <c r="H28" i="3"/>
  <c r="F32" i="3"/>
  <c r="G27" i="3"/>
  <c r="F33" i="3" l="1"/>
  <c r="I32" i="3"/>
  <c r="G28" i="3"/>
  <c r="H29" i="3"/>
  <c r="I33" i="3" l="1"/>
  <c r="H30" i="3"/>
  <c r="G29" i="3"/>
  <c r="F34" i="3"/>
  <c r="H31" i="3" l="1"/>
  <c r="F35" i="3"/>
  <c r="G30" i="3"/>
  <c r="I34" i="3"/>
  <c r="F36" i="3" l="1"/>
  <c r="I35" i="3"/>
  <c r="G31" i="3"/>
  <c r="H32" i="3"/>
  <c r="I36" i="3" l="1"/>
  <c r="H33" i="3"/>
  <c r="G32" i="3"/>
  <c r="F37" i="3"/>
  <c r="H34" i="3" l="1"/>
  <c r="F38" i="3"/>
  <c r="G33" i="3"/>
  <c r="I37" i="3"/>
  <c r="I38" i="3" l="1"/>
  <c r="F39" i="3"/>
  <c r="H35" i="3"/>
  <c r="G34" i="3"/>
  <c r="G35" i="3" l="1"/>
  <c r="F40" i="3"/>
  <c r="I39" i="3"/>
  <c r="H36" i="3"/>
  <c r="H37" i="3" l="1"/>
  <c r="F41" i="3"/>
  <c r="I40" i="3"/>
  <c r="G36" i="3"/>
  <c r="I41" i="3" l="1"/>
  <c r="G37" i="3"/>
  <c r="F42" i="3"/>
  <c r="H38" i="3"/>
  <c r="F43" i="3" l="1"/>
  <c r="I42" i="3"/>
  <c r="H39" i="3"/>
  <c r="G38" i="3"/>
  <c r="H40" i="3" l="1"/>
  <c r="F44" i="3"/>
  <c r="G39" i="3"/>
  <c r="I43" i="3"/>
  <c r="G40" i="3" l="1"/>
  <c r="H41" i="3"/>
  <c r="I44" i="3"/>
  <c r="F45" i="3"/>
  <c r="H42" i="3" l="1"/>
  <c r="F46" i="3"/>
  <c r="I45" i="3"/>
  <c r="G41" i="3"/>
  <c r="F47" i="3" l="1"/>
  <c r="G42" i="3"/>
  <c r="H43" i="3"/>
  <c r="I46" i="3"/>
  <c r="I47" i="3" l="1"/>
  <c r="G43" i="3"/>
  <c r="H44" i="3"/>
  <c r="F48" i="3"/>
  <c r="H45" i="3" l="1"/>
  <c r="G44" i="3"/>
  <c r="F49" i="3"/>
  <c r="I48" i="3"/>
  <c r="F50" i="3" l="1"/>
  <c r="I49" i="3"/>
  <c r="H46" i="3"/>
  <c r="G45" i="3"/>
  <c r="H47" i="3" l="1"/>
  <c r="I50" i="3"/>
  <c r="G46" i="3"/>
  <c r="F51" i="3"/>
  <c r="G47" i="3" l="1"/>
  <c r="H48" i="3"/>
  <c r="F52" i="3"/>
  <c r="I51" i="3"/>
  <c r="F53" i="3" l="1"/>
  <c r="H49" i="3"/>
  <c r="I52" i="3"/>
  <c r="G48" i="3"/>
  <c r="I53" i="3" l="1"/>
  <c r="F54" i="3"/>
  <c r="G49" i="3"/>
  <c r="H50" i="3"/>
  <c r="I54" i="3" l="1"/>
  <c r="H51" i="3"/>
  <c r="G50" i="3"/>
  <c r="F55" i="3"/>
  <c r="G51" i="3" l="1"/>
  <c r="H52" i="3"/>
  <c r="F56" i="3"/>
  <c r="I55" i="3"/>
  <c r="I56" i="3" l="1"/>
  <c r="F57" i="3"/>
  <c r="H53" i="3"/>
  <c r="G52" i="3"/>
  <c r="F58" i="3" l="1"/>
  <c r="G53" i="3"/>
  <c r="H54" i="3"/>
  <c r="I57" i="3"/>
  <c r="H55" i="3" l="1"/>
  <c r="I58" i="3"/>
  <c r="F59" i="3"/>
  <c r="G54" i="3"/>
  <c r="G55" i="3" l="1"/>
  <c r="I59" i="3"/>
  <c r="H56" i="3"/>
  <c r="F60" i="3"/>
  <c r="F61" i="3" l="1"/>
  <c r="H57" i="3"/>
  <c r="I60" i="3"/>
  <c r="G56" i="3"/>
  <c r="G57" i="3" l="1"/>
  <c r="H58" i="3"/>
  <c r="I61" i="3"/>
  <c r="F62" i="3"/>
  <c r="I62" i="3" l="1"/>
  <c r="H59" i="3"/>
  <c r="F63" i="3"/>
  <c r="G58" i="3"/>
  <c r="H60" i="3" l="1"/>
  <c r="G59" i="3"/>
  <c r="F64" i="3"/>
  <c r="I63" i="3"/>
  <c r="F65" i="3" l="1"/>
  <c r="I64" i="3"/>
  <c r="H61" i="3"/>
  <c r="G60" i="3"/>
  <c r="H62" i="3" l="1"/>
  <c r="F66" i="3"/>
  <c r="G61" i="3"/>
  <c r="I65" i="3"/>
  <c r="G62" i="3" l="1"/>
  <c r="F67" i="3"/>
  <c r="I66" i="3"/>
  <c r="H63" i="3"/>
  <c r="I67" i="3" l="1"/>
  <c r="H64" i="3"/>
  <c r="G63" i="3"/>
  <c r="F68" i="3"/>
  <c r="G64" i="3" l="1"/>
  <c r="I68" i="3"/>
  <c r="F70" i="3"/>
  <c r="F69" i="3"/>
  <c r="H65" i="3"/>
  <c r="H66" i="3" l="1"/>
  <c r="G65" i="3"/>
  <c r="I70" i="3"/>
  <c r="I69" i="3"/>
  <c r="H67" i="3" l="1"/>
  <c r="G66" i="3"/>
  <c r="H68" i="3" l="1"/>
  <c r="G67" i="3"/>
  <c r="G68" i="3" l="1"/>
  <c r="H69" i="3"/>
  <c r="H70" i="3"/>
  <c r="G70" i="3" l="1"/>
  <c r="G6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<sst xmlns="http://schemas.openxmlformats.org/spreadsheetml/2006/main" count="111" uniqueCount="38">
  <si>
    <t>Dama</t>
  </si>
  <si>
    <t>Granta</t>
  </si>
  <si>
    <t>Dorkas</t>
  </si>
  <si>
    <t>Lodera</t>
  </si>
  <si>
    <t>rok</t>
  </si>
  <si>
    <t>data</t>
  </si>
  <si>
    <t>przyrost_kwartalny dla roku &lt;=2009</t>
  </si>
  <si>
    <t>przyrost_kwartalny dla roku &gt; 2009</t>
  </si>
  <si>
    <t>nazwa marki</t>
  </si>
  <si>
    <t>czyMniejszeDama</t>
  </si>
  <si>
    <t>czyMniejszeGranta</t>
  </si>
  <si>
    <t>czyMniejszeDorkas</t>
  </si>
  <si>
    <t>czyMniejszeLondera</t>
  </si>
  <si>
    <t>marka</t>
  </si>
  <si>
    <t>liczba samochodów</t>
  </si>
  <si>
    <t>kwartał</t>
  </si>
  <si>
    <t>czyDama &gt; 300</t>
  </si>
  <si>
    <t>czyGranta &gt; 300</t>
  </si>
  <si>
    <t>czyDorkas &gt; 300</t>
  </si>
  <si>
    <t>czyLodera &gt; 300</t>
  </si>
  <si>
    <t>liczba kwartałów</t>
  </si>
  <si>
    <t>SUMA ŁĄCZNIE SAMOCHODÓW</t>
  </si>
  <si>
    <t>Suma końcowa</t>
  </si>
  <si>
    <t>2005</t>
  </si>
  <si>
    <t>2006</t>
  </si>
  <si>
    <t>2007</t>
  </si>
  <si>
    <t>2008</t>
  </si>
  <si>
    <t>2009</t>
  </si>
  <si>
    <t>2010</t>
  </si>
  <si>
    <t>2011</t>
  </si>
  <si>
    <t>2012</t>
  </si>
  <si>
    <t>lata</t>
  </si>
  <si>
    <t>wyprodukowane samochody marki Dama</t>
  </si>
  <si>
    <t>wyprodukowane samochody marki  Granta</t>
  </si>
  <si>
    <t>wyprodukowane samochody marki  Dorkas</t>
  </si>
  <si>
    <t>wyprodukowane samochody marki  Lodera</t>
  </si>
  <si>
    <t>odrost_kwartalny dla roku &gt; 2009</t>
  </si>
  <si>
    <t>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</si>
</sst>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9" fontId="0" fillId="0" borderId="0" xfId="0" applyNumberFormat="1"/>
    <xf numFmtId="10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3" borderId="0" xfId="0" applyFill="1"/>
    <xf numFmtId="10" fontId="0" fillId="2" borderId="0" xfId="0" applyNumberFormat="1" applyFill="1"/>
    <xf numFmtId="1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[Zeszyt4.xlsx]5!Tabela przestawna1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Wielkość</a:t>
            </a:r>
            <a:r>
              <a:rPr lang="pl-PL" baseline="0"/>
              <a:t> produkcji marek sachodów w latach 2005 do 2012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'5'!$I$10</c:f>
              <c:strCache>
                <c:ptCount val="1"/>
                <c:pt idx="0">
                  <c:v>wyprodukowane samochody marki Dama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'5'!$H$11:$H$19</c:f>
              <c:strCach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strCache>
            </c:strRef>
          </c:cat>
          <c:val>
            <c:numRef>
              <c:f>'5'!$I$11:$I$19</c:f>
              <c:numCache>
                <c:formatCode>General</c:formatCode>
                <c:ptCount val="8"/>
                <c:pt idx="0">
                  <c:v>972</c:v>
                </c:pt>
                <c:pt idx="1">
                  <c:v>1042</c:v>
                </c:pt>
                <c:pt idx="2">
                  <c:v>1122</c:v>
                </c:pt>
                <c:pt idx="3">
                  <c:v>1203</c:v>
                </c:pt>
                <c:pt idx="4">
                  <c:v>1296</c:v>
                </c:pt>
                <c:pt idx="5">
                  <c:v>1332</c:v>
                </c:pt>
                <c:pt idx="6">
                  <c:v>1292</c:v>
                </c:pt>
                <c:pt idx="7">
                  <c:v>1228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7E-4CB5-A385-F2B78F28F497}"/>
            </c:ext>
          </c:extLst>
        </c:ser>
        <c:ser>
          <c:idx val="1"/>
          <c:order val="1"/>
          <c:tx>
            <c:strRef>
              <c:f>'5'!$J$10</c:f>
              <c:strCache>
                <c:ptCount val="1"/>
                <c:pt idx="0">
                  <c:v>wyprodukowane samochody marki  Granta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'5'!$H$11:$H$19</c:f>
              <c:strCach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strCache>
            </c:strRef>
          </c:cat>
          <c:val>
            <c:numRef>
              <c:f>'5'!$J$11:$J$19</c:f>
              <c:numCache>
                <c:formatCode>General</c:formatCode>
                <c:ptCount val="8"/>
                <c:pt idx="0">
                  <c:v>822</c:v>
                </c:pt>
                <c:pt idx="1">
                  <c:v>905</c:v>
                </c:pt>
                <c:pt idx="2">
                  <c:v>1000</c:v>
                </c:pt>
                <c:pt idx="3">
                  <c:v>1102</c:v>
                </c:pt>
                <c:pt idx="4">
                  <c:v>1217</c:v>
                </c:pt>
                <c:pt idx="5">
                  <c:v>1264</c:v>
                </c:pt>
                <c:pt idx="6">
                  <c:v>1224</c:v>
                </c:pt>
                <c:pt idx="7">
                  <c:v>1160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7E-4CB5-A385-F2B78F28F497}"/>
            </c:ext>
          </c:extLst>
        </c:ser>
        <c:ser>
          <c:idx val="2"/>
          <c:order val="2"/>
          <c:tx>
            <c:strRef>
              <c:f>'5'!$K$10</c:f>
              <c:strCache>
                <c:ptCount val="1"/>
                <c:pt idx="0">
                  <c:v>wyprodukowane samochody marki  Dorkas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'5'!$H$11:$H$19</c:f>
              <c:strCach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strCache>
            </c:strRef>
          </c:cat>
          <c:val>
            <c:numRef>
              <c:f>'5'!$K$11:$K$19</c:f>
              <c:numCache>
                <c:formatCode>General</c:formatCode>
                <c:ptCount val="8"/>
                <c:pt idx="0">
                  <c:v>864</c:v>
                </c:pt>
                <c:pt idx="1">
                  <c:v>963</c:v>
                </c:pt>
                <c:pt idx="2">
                  <c:v>1075</c:v>
                </c:pt>
                <c:pt idx="3">
                  <c:v>1201</c:v>
                </c:pt>
                <c:pt idx="4">
                  <c:v>1343</c:v>
                </c:pt>
                <c:pt idx="5">
                  <c:v>1400</c:v>
                </c:pt>
                <c:pt idx="6">
                  <c:v>1330</c:v>
                </c:pt>
                <c:pt idx="7">
                  <c:v>1224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7E-4CB5-A385-F2B78F28F497}"/>
            </c:ext>
          </c:extLst>
        </c:ser>
        <c:ser>
          <c:idx val="3"/>
          <c:order val="3"/>
          <c:tx>
            <c:strRef>
              <c:f>'5'!$L$10</c:f>
              <c:strCache>
                <c:ptCount val="1"/>
                <c:pt idx="0">
                  <c:v>wyprodukowane samochody marki  Lodera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'5'!$H$11:$H$19</c:f>
              <c:strCach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strCache>
            </c:strRef>
          </c:cat>
          <c:val>
            <c:numRef>
              <c:f>'5'!$L$11:$L$19</c:f>
              <c:numCache>
                <c:formatCode>General</c:formatCode>
                <c:ptCount val="8"/>
                <c:pt idx="0">
                  <c:v>1284</c:v>
                </c:pt>
                <c:pt idx="1">
                  <c:v>1380</c:v>
                </c:pt>
                <c:pt idx="2">
                  <c:v>1486</c:v>
                </c:pt>
                <c:pt idx="3">
                  <c:v>1599</c:v>
                </c:pt>
                <c:pt idx="4">
                  <c:v>1724</c:v>
                </c:pt>
                <c:pt idx="5">
                  <c:v>1772</c:v>
                </c:pt>
                <c:pt idx="6">
                  <c:v>1658</c:v>
                </c:pt>
                <c:pt idx="7">
                  <c:v>1492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7E-4CB5-A385-F2B78F28F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21490784"/>
        <c:axId val="1121488384"/>
        <c:axId val="1197300256"/>
      </c:bar3DChart>
      <c:catAx>
        <c:axId val="112149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lata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1488384"/>
        <c:crosses val="autoZero"/>
        <c:auto val="1"/>
        <c:lblAlgn val="ctr"/>
        <c:lblOffset val="100"/>
        <c:noMultiLvlLbl val="0"/>
      </c:catAx>
      <c:valAx>
        <c:axId val="112148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wielkość produkcji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1490784"/>
        <c:crosses val="autoZero"/>
        <c:crossBetween val="between"/>
      </c:valAx>
      <c:serAx>
        <c:axId val="1197300256"/>
        <c:scaling>
          <c:orientation val="minMax"/>
        </c:scaling>
        <c:delete val="0"/>
        <c:axPos val="b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marki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1488384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29765</xdr:colOff>
      <xdr:row>20</xdr:row>
      <xdr:rowOff>15478</xdr:rowOff>
    </xdr:from>
    <xdr:to>
      <xdr:col>11</xdr:col>
      <xdr:colOff>2512218</xdr:colOff>
      <xdr:row>54</xdr:row>
      <xdr:rowOff>83344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6442DD1-4C70-C97A-548F-1B2E83B50A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63.607010416665" createdVersion="8" refreshedVersion="8" minRefreshableVersion="3" recordCount="32" xr:uid="{595270A2-8608-4211-BD61-8F435B0F210F}">
  <cacheSource type="worksheet">
    <worksheetSource ref="A1:E33" sheet="5"/>
  </cacheSource>
  <cacheFields count="8">
    <cacheField name="data" numFmtId="14">
      <sharedItems containsSemiMixedTypes="0" containsNonDate="0" containsDate="1" containsString="0" minDate="2005-03-31T00:00:00" maxDate="2013-01-01T00:00:00" count="32">
        <d v="2005-03-31T00:00:00"/>
        <d v="2005-06-30T00:00:00"/>
        <d v="2005-09-30T00:00:00"/>
        <d v="2005-12-31T00:00:00"/>
        <d v="2006-03-31T00:00:00"/>
        <d v="2006-06-30T00:00:00"/>
        <d v="2006-09-30T00:00:00"/>
        <d v="2006-12-31T00:00:00"/>
        <d v="2007-03-31T00:00:00"/>
        <d v="2007-06-30T00:00:00"/>
        <d v="2007-09-30T00:00:00"/>
        <d v="2007-12-31T00:00:00"/>
        <d v="2008-03-31T00:00:00"/>
        <d v="2008-06-30T00:00:00"/>
        <d v="2008-09-30T00:00:00"/>
        <d v="2008-12-31T00:00:00"/>
        <d v="2009-03-31T00:00:00"/>
        <d v="2009-06-30T00:00:00"/>
        <d v="2009-09-30T00:00:00"/>
        <d v="2009-12-31T00:00:00"/>
        <d v="2010-03-31T00:00:00"/>
        <d v="2010-06-30T00:00:00"/>
        <d v="2010-09-30T00:00:00"/>
        <d v="2010-12-31T00:00:00"/>
        <d v="2011-03-31T00:00:00"/>
        <d v="2011-06-30T00:00:00"/>
        <d v="2011-09-30T00:00:00"/>
        <d v="2011-12-31T00:00:00"/>
        <d v="2012-03-31T00:00:00"/>
        <d v="2012-06-30T00:00:00"/>
        <d v="2012-09-30T00:00:00"/>
        <d v="2012-12-31T00:00:00"/>
      </sharedItems>
      <fieldGroup par="7"/>
    </cacheField>
    <cacheField name="Dama" numFmtId="0">
      <sharedItems containsSemiMixedTypes="0" containsString="0" containsNumber="1" containsInteger="1" minValue="237" maxValue="333"/>
    </cacheField>
    <cacheField name="Granta" numFmtId="0">
      <sharedItems containsSemiMixedTypes="0" containsString="0" containsNumber="1" containsInteger="1" minValue="198" maxValue="316"/>
    </cacheField>
    <cacheField name="Dorkas" numFmtId="0">
      <sharedItems containsSemiMixedTypes="0" containsString="0" containsNumber="1" containsInteger="1" minValue="207" maxValue="350"/>
    </cacheField>
    <cacheField name="Lodera" numFmtId="0">
      <sharedItems containsSemiMixedTypes="0" containsString="0" containsNumber="1" containsInteger="1" minValue="312" maxValue="443"/>
    </cacheField>
    <cacheField name="Miesiące (data)" numFmtId="0" databaseField="0">
      <fieldGroup base="0">
        <rangePr groupBy="months" startDate="2005-03-31T00:00:00" endDate="2013-01-01T00:00:00"/>
        <groupItems count="14">
          <s v="&lt;31.03.2005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1.2013"/>
        </groupItems>
      </fieldGroup>
    </cacheField>
    <cacheField name="Kwartały (data)" numFmtId="0" databaseField="0">
      <fieldGroup base="0">
        <rangePr groupBy="quarters" startDate="2005-03-31T00:00:00" endDate="2013-01-01T00:00:00"/>
        <groupItems count="6">
          <s v="&lt;31.03.2005"/>
          <s v="Kwartał1"/>
          <s v="Kwartał2"/>
          <s v="Kwartał3"/>
          <s v="Kwartał4"/>
          <s v="&gt;01.01.2013"/>
        </groupItems>
      </fieldGroup>
    </cacheField>
    <cacheField name="Lata (data)" numFmtId="0" databaseField="0">
      <fieldGroup base="0">
        <rangePr groupBy="years" startDate="2005-03-31T00:00:00" endDate="2013-01-01T00:00:00"/>
        <groupItems count="11">
          <s v="&lt;31.03.2005"/>
          <s v="2005"/>
          <s v="2006"/>
          <s v="2007"/>
          <s v="2008"/>
          <s v="2009"/>
          <s v="2010"/>
          <s v="2011"/>
          <s v="2012"/>
          <s v="2013"/>
          <s v="&gt;01.01.201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n v="237"/>
    <n v="198"/>
    <n v="207"/>
    <n v="312"/>
  </r>
  <r>
    <x v="1"/>
    <n v="241"/>
    <n v="203"/>
    <n v="213"/>
    <n v="318"/>
  </r>
  <r>
    <x v="2"/>
    <n v="245"/>
    <n v="208"/>
    <n v="219"/>
    <n v="324"/>
  </r>
  <r>
    <x v="3"/>
    <n v="249"/>
    <n v="213"/>
    <n v="225"/>
    <n v="330"/>
  </r>
  <r>
    <x v="4"/>
    <n v="253"/>
    <n v="218"/>
    <n v="231"/>
    <n v="336"/>
  </r>
  <r>
    <x v="5"/>
    <n v="258"/>
    <n v="223"/>
    <n v="237"/>
    <n v="342"/>
  </r>
  <r>
    <x v="6"/>
    <n v="263"/>
    <n v="229"/>
    <n v="244"/>
    <n v="348"/>
  </r>
  <r>
    <x v="7"/>
    <n v="268"/>
    <n v="235"/>
    <n v="251"/>
    <n v="354"/>
  </r>
  <r>
    <x v="8"/>
    <n v="273"/>
    <n v="241"/>
    <n v="258"/>
    <n v="361"/>
  </r>
  <r>
    <x v="9"/>
    <n v="278"/>
    <n v="247"/>
    <n v="265"/>
    <n v="368"/>
  </r>
  <r>
    <x v="10"/>
    <n v="283"/>
    <n v="253"/>
    <n v="272"/>
    <n v="375"/>
  </r>
  <r>
    <x v="11"/>
    <n v="288"/>
    <n v="259"/>
    <n v="280"/>
    <n v="382"/>
  </r>
  <r>
    <x v="12"/>
    <n v="293"/>
    <n v="265"/>
    <n v="288"/>
    <n v="389"/>
  </r>
  <r>
    <x v="13"/>
    <n v="298"/>
    <n v="272"/>
    <n v="296"/>
    <n v="396"/>
  </r>
  <r>
    <x v="14"/>
    <n v="303"/>
    <n v="279"/>
    <n v="304"/>
    <n v="403"/>
  </r>
  <r>
    <x v="15"/>
    <n v="309"/>
    <n v="286"/>
    <n v="313"/>
    <n v="411"/>
  </r>
  <r>
    <x v="16"/>
    <n v="315"/>
    <n v="293"/>
    <n v="322"/>
    <n v="419"/>
  </r>
  <r>
    <x v="17"/>
    <n v="321"/>
    <n v="300"/>
    <n v="331"/>
    <n v="427"/>
  </r>
  <r>
    <x v="18"/>
    <n v="327"/>
    <n v="308"/>
    <n v="340"/>
    <n v="435"/>
  </r>
  <r>
    <x v="19"/>
    <n v="333"/>
    <n v="316"/>
    <n v="350"/>
    <n v="443"/>
  </r>
  <r>
    <x v="20"/>
    <n v="333"/>
    <n v="316"/>
    <n v="350"/>
    <n v="443"/>
  </r>
  <r>
    <x v="21"/>
    <n v="333"/>
    <n v="316"/>
    <n v="350"/>
    <n v="443"/>
  </r>
  <r>
    <x v="22"/>
    <n v="333"/>
    <n v="316"/>
    <n v="350"/>
    <n v="443"/>
  </r>
  <r>
    <x v="23"/>
    <n v="333"/>
    <n v="316"/>
    <n v="350"/>
    <n v="443"/>
  </r>
  <r>
    <x v="24"/>
    <n v="329"/>
    <n v="312"/>
    <n v="343"/>
    <n v="431"/>
  </r>
  <r>
    <x v="25"/>
    <n v="325"/>
    <n v="308"/>
    <n v="336"/>
    <n v="420"/>
  </r>
  <r>
    <x v="26"/>
    <n v="321"/>
    <n v="304"/>
    <n v="329"/>
    <n v="409"/>
  </r>
  <r>
    <x v="27"/>
    <n v="317"/>
    <n v="300"/>
    <n v="322"/>
    <n v="398"/>
  </r>
  <r>
    <x v="28"/>
    <n v="313"/>
    <n v="296"/>
    <n v="315"/>
    <n v="388"/>
  </r>
  <r>
    <x v="29"/>
    <n v="309"/>
    <n v="292"/>
    <n v="309"/>
    <n v="378"/>
  </r>
  <r>
    <x v="30"/>
    <n v="305"/>
    <n v="288"/>
    <n v="303"/>
    <n v="368"/>
  </r>
  <r>
    <x v="31"/>
    <n v="301"/>
    <n v="284"/>
    <n v="297"/>
    <n v="3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E81000-DEDD-4F22-B054-69BC4A10382F}" name="Tabela przestawna1" cacheId="1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2" rowHeaderCaption="lata">
  <location ref="H10:L19" firstHeaderRow="0" firstDataRow="1" firstDataCol="1"/>
  <pivotFields count="8">
    <pivotField numFmtId="14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dataField="1" showAll="0"/>
    <pivotField dataField="1" showAll="0"/>
    <pivotField dataField="1"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7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wyprodukowane samochody marki Dama" fld="1" baseField="0" baseItem="0"/>
    <dataField name="wyprodukowane samochody marki  Granta" fld="2" baseField="0" baseItem="0"/>
    <dataField name="wyprodukowane samochody marki  Dorkas" fld="3" baseField="0" baseItem="0"/>
    <dataField name="wyprodukowane samochody marki  Lodera" fld="4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9FC42-B918-458C-BB39-F075C5375BBE}">
  <dimension ref="A1:L38"/>
  <sheetViews>
    <sheetView workbookViewId="0">
      <selection activeCell="H37" sqref="H37"/>
    </sheetView>
  </sheetViews>
  <sheetFormatPr defaultRowHeight="15" x14ac:dyDescent="0.25"/>
  <cols>
    <col min="1" max="1" width="10.140625" style="3" bestFit="1" customWidth="1"/>
    <col min="2" max="5" width="22.28515625" bestFit="1" customWidth="1"/>
    <col min="10" max="10" width="12.7109375" bestFit="1" customWidth="1"/>
    <col min="11" max="11" width="30.5703125" bestFit="1" customWidth="1"/>
    <col min="12" max="12" width="30.5703125" style="2" bestFit="1" customWidth="1"/>
  </cols>
  <sheetData>
    <row r="1" spans="1:12" x14ac:dyDescent="0.25">
      <c r="A1" s="3" t="s">
        <v>5</v>
      </c>
      <c r="B1" t="s">
        <v>0</v>
      </c>
      <c r="C1" t="s">
        <v>1</v>
      </c>
      <c r="D1" t="s">
        <v>2</v>
      </c>
      <c r="E1" t="s">
        <v>3</v>
      </c>
      <c r="J1" t="s">
        <v>8</v>
      </c>
      <c r="K1" t="s">
        <v>6</v>
      </c>
      <c r="L1" s="2" t="s">
        <v>7</v>
      </c>
    </row>
    <row r="2" spans="1:12" x14ac:dyDescent="0.25">
      <c r="A2" s="3">
        <v>38442</v>
      </c>
      <c r="B2">
        <v>237</v>
      </c>
      <c r="C2">
        <v>198</v>
      </c>
      <c r="D2">
        <v>207</v>
      </c>
      <c r="E2">
        <v>312</v>
      </c>
      <c r="J2" t="s">
        <v>0</v>
      </c>
      <c r="K2" s="1">
        <v>0.02</v>
      </c>
      <c r="L2" s="2">
        <v>0.01</v>
      </c>
    </row>
    <row r="3" spans="1:12" x14ac:dyDescent="0.25">
      <c r="A3" s="3">
        <v>38533</v>
      </c>
      <c r="B3" cm="1">
        <f t="array" ref="B3">_xlfn.IFS(YEAR($A3)&lt;=2009,ROUNDDOWN(B2+VLOOKUP(B$1,$J$1:$K$5,2,FALSE)*B2,0),YEAR($A3)=2010,B2,YEAR($A3)&gt;2010,ROUNDDOWN(B2-VLOOKUP(B$1,$J$1:$L$5,3,FALSE)*B2,0))</f>
        <v>241</v>
      </c>
      <c r="C3" cm="1">
        <f t="array" ref="C3">_xlfn.IFS(YEAR($A3)&lt;=2009,ROUNDDOWN(C2+VLOOKUP(C$1,$J$1:$K$5,2,FALSE)*C2,0),YEAR($A3)=2010,C2,YEAR($A3)&gt;2010,ROUNDDOWN(C2-VLOOKUP(C$1,$J$1:$L$5,3,FALSE)*C2,0))</f>
        <v>203</v>
      </c>
      <c r="D3" cm="1">
        <f t="array" ref="D3">_xlfn.IFS(YEAR($A3)&lt;=2009,ROUNDDOWN(D2+VLOOKUP(D$1,$J$1:$K$5,2,FALSE)*D2,0),YEAR($A3)=2010,D2,YEAR($A3)&gt;2010,ROUNDDOWN(D2-VLOOKUP(D$1,$J$1:$L$5,3,FALSE)*D2,0))</f>
        <v>213</v>
      </c>
      <c r="E3" cm="1">
        <f t="array" ref="E3">_xlfn.IFS(YEAR($A3)&lt;=2009,ROUNDDOWN(E2+VLOOKUP(E$1,$J$1:$K$5,2,FALSE)*E2,0),YEAR($A3)=2010,E2,YEAR($A3)&gt;2010,ROUNDDOWN(E2-VLOOKUP(E$1,$J$1:$L$5,3,FALSE)*E2,0))</f>
        <v>318</v>
      </c>
      <c r="J3" t="s">
        <v>1</v>
      </c>
      <c r="K3" s="2">
        <v>2.7E-2</v>
      </c>
      <c r="L3" s="2">
        <v>1.2E-2</v>
      </c>
    </row>
    <row r="4" spans="1:12" x14ac:dyDescent="0.25">
      <c r="A4" s="3">
        <v>38625</v>
      </c>
      <c r="B4" cm="1">
        <f t="array" ref="B4">_xlfn.IFS(YEAR($A4)&lt;=2009,ROUNDDOWN(B3+VLOOKUP(B$1,$J$1:$K$5,2,FALSE)*B3,0),YEAR($A4)=2010,B3,YEAR($A4)&gt;2010,ROUNDDOWN(B3-VLOOKUP(B$1,$J$1:$L$5,3,FALSE)*B3,0))</f>
        <v>245</v>
      </c>
      <c r="C4" cm="1">
        <f t="array" ref="C4">_xlfn.IFS(YEAR($A4)&lt;=2009,ROUNDDOWN(C3+VLOOKUP(C$1,$J$1:$K$5,2,FALSE)*C3,0),YEAR($A4)=2010,C3,YEAR($A4)&gt;2010,ROUNDDOWN(C3-VLOOKUP(C$1,$J$1:$L$5,3,FALSE)*C3,0))</f>
        <v>208</v>
      </c>
      <c r="D4" cm="1">
        <f t="array" ref="D4">_xlfn.IFS(YEAR($A4)&lt;=2009,ROUNDDOWN(D3+VLOOKUP(D$1,$J$1:$K$5,2,FALSE)*D3,0),YEAR($A4)=2010,D3,YEAR($A4)&gt;2010,ROUNDDOWN(D3-VLOOKUP(D$1,$J$1:$L$5,3,FALSE)*D3,0))</f>
        <v>219</v>
      </c>
      <c r="E4" cm="1">
        <f t="array" ref="E4">_xlfn.IFS(YEAR($A4)&lt;=2009,ROUNDDOWN(E3+VLOOKUP(E$1,$J$1:$K$5,2,FALSE)*E3,0),YEAR($A4)=2010,E3,YEAR($A4)&gt;2010,ROUNDDOWN(E3-VLOOKUP(E$1,$J$1:$L$5,3,FALSE)*E3,0))</f>
        <v>324</v>
      </c>
      <c r="J4" t="s">
        <v>2</v>
      </c>
      <c r="K4" s="1">
        <v>0.03</v>
      </c>
      <c r="L4" s="2">
        <v>1.9E-2</v>
      </c>
    </row>
    <row r="5" spans="1:12" x14ac:dyDescent="0.25">
      <c r="A5" s="3">
        <v>38717</v>
      </c>
      <c r="B5" cm="1">
        <f t="array" ref="B5">_xlfn.IFS(YEAR($A5)&lt;=2009,ROUNDDOWN(B4+VLOOKUP(B$1,$J$1:$K$5,2,FALSE)*B4,0),YEAR($A5)=2010,B4,YEAR($A5)&gt;2010,ROUNDDOWN(B4-VLOOKUP(B$1,$J$1:$L$5,3,FALSE)*B4,0))</f>
        <v>249</v>
      </c>
      <c r="C5" cm="1">
        <f t="array" ref="C5">_xlfn.IFS(YEAR($A5)&lt;=2009,ROUNDDOWN(C4+VLOOKUP(C$1,$J$1:$K$5,2,FALSE)*C4,0),YEAR($A5)=2010,C4,YEAR($A5)&gt;2010,ROUNDDOWN(C4-VLOOKUP(C$1,$J$1:$L$5,3,FALSE)*C4,0))</f>
        <v>213</v>
      </c>
      <c r="D5" cm="1">
        <f t="array" ref="D5">_xlfn.IFS(YEAR($A5)&lt;=2009,ROUNDDOWN(D4+VLOOKUP(D$1,$J$1:$K$5,2,FALSE)*D4,0),YEAR($A5)=2010,D4,YEAR($A5)&gt;2010,ROUNDDOWN(D4-VLOOKUP(D$1,$J$1:$L$5,3,FALSE)*D4,0))</f>
        <v>225</v>
      </c>
      <c r="E5" cm="1">
        <f t="array" ref="E5">_xlfn.IFS(YEAR($A5)&lt;=2009,ROUNDDOWN(E4+VLOOKUP(E$1,$J$1:$K$5,2,FALSE)*E4,0),YEAR($A5)=2010,E4,YEAR($A5)&gt;2010,ROUNDDOWN(E4-VLOOKUP(E$1,$J$1:$L$5,3,FALSE)*E4,0))</f>
        <v>330</v>
      </c>
      <c r="J5" t="s">
        <v>3</v>
      </c>
      <c r="K5" s="1">
        <v>0.02</v>
      </c>
      <c r="L5" s="2">
        <v>2.5000000000000001E-2</v>
      </c>
    </row>
    <row r="6" spans="1:12" x14ac:dyDescent="0.25">
      <c r="A6" s="3">
        <v>38807</v>
      </c>
      <c r="B6" cm="1">
        <f t="array" ref="B6">_xlfn.IFS(YEAR($A6)&lt;=2009,ROUNDDOWN(B5+VLOOKUP(B$1,$J$1:$K$5,2,FALSE)*B5,0),YEAR($A6)=2010,B5,YEAR($A6)&gt;2010,ROUNDDOWN(B5-VLOOKUP(B$1,$J$1:$L$5,3,FALSE)*B5,0))</f>
        <v>253</v>
      </c>
      <c r="C6" cm="1">
        <f t="array" ref="C6">_xlfn.IFS(YEAR($A6)&lt;=2009,ROUNDDOWN(C5+VLOOKUP(C$1,$J$1:$K$5,2,FALSE)*C5,0),YEAR($A6)=2010,C5,YEAR($A6)&gt;2010,ROUNDDOWN(C5-VLOOKUP(C$1,$J$1:$L$5,3,FALSE)*C5,0))</f>
        <v>218</v>
      </c>
      <c r="D6" cm="1">
        <f t="array" ref="D6">_xlfn.IFS(YEAR($A6)&lt;=2009,ROUNDDOWN(D5+VLOOKUP(D$1,$J$1:$K$5,2,FALSE)*D5,0),YEAR($A6)=2010,D5,YEAR($A6)&gt;2010,ROUNDDOWN(D5-VLOOKUP(D$1,$J$1:$L$5,3,FALSE)*D5,0))</f>
        <v>231</v>
      </c>
      <c r="E6" cm="1">
        <f t="array" ref="E6">_xlfn.IFS(YEAR($A6)&lt;=2009,ROUNDDOWN(E5+VLOOKUP(E$1,$J$1:$K$5,2,FALSE)*E5,0),YEAR($A6)=2010,E5,YEAR($A6)&gt;2010,ROUNDDOWN(E5-VLOOKUP(E$1,$J$1:$L$5,3,FALSE)*E5,0))</f>
        <v>336</v>
      </c>
    </row>
    <row r="7" spans="1:12" x14ac:dyDescent="0.25">
      <c r="A7" s="3">
        <v>38898</v>
      </c>
      <c r="B7" cm="1">
        <f t="array" ref="B7">_xlfn.IFS(YEAR($A7)&lt;=2009,ROUNDDOWN(B6+VLOOKUP(B$1,$J$1:$K$5,2,FALSE)*B6,0),YEAR($A7)=2010,B6,YEAR($A7)&gt;2010,ROUNDDOWN(B6-VLOOKUP(B$1,$J$1:$L$5,3,FALSE)*B6,0))</f>
        <v>258</v>
      </c>
      <c r="C7" cm="1">
        <f t="array" ref="C7">_xlfn.IFS(YEAR($A7)&lt;=2009,ROUNDDOWN(C6+VLOOKUP(C$1,$J$1:$K$5,2,FALSE)*C6,0),YEAR($A7)=2010,C6,YEAR($A7)&gt;2010,ROUNDDOWN(C6-VLOOKUP(C$1,$J$1:$L$5,3,FALSE)*C6,0))</f>
        <v>223</v>
      </c>
      <c r="D7" cm="1">
        <f t="array" ref="D7">_xlfn.IFS(YEAR($A7)&lt;=2009,ROUNDDOWN(D6+VLOOKUP(D$1,$J$1:$K$5,2,FALSE)*D6,0),YEAR($A7)=2010,D6,YEAR($A7)&gt;2010,ROUNDDOWN(D6-VLOOKUP(D$1,$J$1:$L$5,3,FALSE)*D6,0))</f>
        <v>237</v>
      </c>
      <c r="E7" cm="1">
        <f t="array" ref="E7">_xlfn.IFS(YEAR($A7)&lt;=2009,ROUNDDOWN(E6+VLOOKUP(E$1,$J$1:$K$5,2,FALSE)*E6,0),YEAR($A7)=2010,E6,YEAR($A7)&gt;2010,ROUNDDOWN(E6-VLOOKUP(E$1,$J$1:$L$5,3,FALSE)*E6,0))</f>
        <v>342</v>
      </c>
    </row>
    <row r="8" spans="1:12" x14ac:dyDescent="0.25">
      <c r="A8" s="3">
        <v>38990</v>
      </c>
      <c r="B8" cm="1">
        <f t="array" ref="B8">_xlfn.IFS(YEAR($A8)&lt;=2009,ROUNDDOWN(B7+VLOOKUP(B$1,$J$1:$K$5,2,FALSE)*B7,0),YEAR($A8)=2010,B7,YEAR($A8)&gt;2010,ROUNDDOWN(B7-VLOOKUP(B$1,$J$1:$L$5,3,FALSE)*B7,0))</f>
        <v>263</v>
      </c>
      <c r="C8" cm="1">
        <f t="array" ref="C8">_xlfn.IFS(YEAR($A8)&lt;=2009,ROUNDDOWN(C7+VLOOKUP(C$1,$J$1:$K$5,2,FALSE)*C7,0),YEAR($A8)=2010,C7,YEAR($A8)&gt;2010,ROUNDDOWN(C7-VLOOKUP(C$1,$J$1:$L$5,3,FALSE)*C7,0))</f>
        <v>229</v>
      </c>
      <c r="D8" cm="1">
        <f t="array" ref="D8">_xlfn.IFS(YEAR($A8)&lt;=2009,ROUNDDOWN(D7+VLOOKUP(D$1,$J$1:$K$5,2,FALSE)*D7,0),YEAR($A8)=2010,D7,YEAR($A8)&gt;2010,ROUNDDOWN(D7-VLOOKUP(D$1,$J$1:$L$5,3,FALSE)*D7,0))</f>
        <v>244</v>
      </c>
      <c r="E8" cm="1">
        <f t="array" ref="E8">_xlfn.IFS(YEAR($A8)&lt;=2009,ROUNDDOWN(E7+VLOOKUP(E$1,$J$1:$K$5,2,FALSE)*E7,0),YEAR($A8)=2010,E7,YEAR($A8)&gt;2010,ROUNDDOWN(E7-VLOOKUP(E$1,$J$1:$L$5,3,FALSE)*E7,0))</f>
        <v>348</v>
      </c>
    </row>
    <row r="9" spans="1:12" x14ac:dyDescent="0.25">
      <c r="A9" s="3">
        <v>39082</v>
      </c>
      <c r="B9" cm="1">
        <f t="array" ref="B9">_xlfn.IFS(YEAR($A9)&lt;=2009,ROUNDDOWN(B8+VLOOKUP(B$1,$J$1:$K$5,2,FALSE)*B8,0),YEAR($A9)=2010,B8,YEAR($A9)&gt;2010,ROUNDDOWN(B8-VLOOKUP(B$1,$J$1:$L$5,3,FALSE)*B8,0))</f>
        <v>268</v>
      </c>
      <c r="C9" cm="1">
        <f t="array" ref="C9">_xlfn.IFS(YEAR($A9)&lt;=2009,ROUNDDOWN(C8+VLOOKUP(C$1,$J$1:$K$5,2,FALSE)*C8,0),YEAR($A9)=2010,C8,YEAR($A9)&gt;2010,ROUNDDOWN(C8-VLOOKUP(C$1,$J$1:$L$5,3,FALSE)*C8,0))</f>
        <v>235</v>
      </c>
      <c r="D9" cm="1">
        <f t="array" ref="D9">_xlfn.IFS(YEAR($A9)&lt;=2009,ROUNDDOWN(D8+VLOOKUP(D$1,$J$1:$K$5,2,FALSE)*D8,0),YEAR($A9)=2010,D8,YEAR($A9)&gt;2010,ROUNDDOWN(D8-VLOOKUP(D$1,$J$1:$L$5,3,FALSE)*D8,0))</f>
        <v>251</v>
      </c>
      <c r="E9" cm="1">
        <f t="array" ref="E9">_xlfn.IFS(YEAR($A9)&lt;=2009,ROUNDDOWN(E8+VLOOKUP(E$1,$J$1:$K$5,2,FALSE)*E8,0),YEAR($A9)=2010,E8,YEAR($A9)&gt;2010,ROUNDDOWN(E8-VLOOKUP(E$1,$J$1:$L$5,3,FALSE)*E8,0))</f>
        <v>354</v>
      </c>
    </row>
    <row r="10" spans="1:12" x14ac:dyDescent="0.25">
      <c r="A10" s="3">
        <v>39172</v>
      </c>
      <c r="B10" cm="1">
        <f t="array" ref="B10">_xlfn.IFS(YEAR($A10)&lt;=2009,ROUNDDOWN(B9+VLOOKUP(B$1,$J$1:$K$5,2,FALSE)*B9,0),YEAR($A10)=2010,B9,YEAR($A10)&gt;2010,ROUNDDOWN(B9-VLOOKUP(B$1,$J$1:$L$5,3,FALSE)*B9,0))</f>
        <v>273</v>
      </c>
      <c r="C10" cm="1">
        <f t="array" ref="C10">_xlfn.IFS(YEAR($A10)&lt;=2009,ROUNDDOWN(C9+VLOOKUP(C$1,$J$1:$K$5,2,FALSE)*C9,0),YEAR($A10)=2010,C9,YEAR($A10)&gt;2010,ROUNDDOWN(C9-VLOOKUP(C$1,$J$1:$L$5,3,FALSE)*C9,0))</f>
        <v>241</v>
      </c>
      <c r="D10" cm="1">
        <f t="array" ref="D10">_xlfn.IFS(YEAR($A10)&lt;=2009,ROUNDDOWN(D9+VLOOKUP(D$1,$J$1:$K$5,2,FALSE)*D9,0),YEAR($A10)=2010,D9,YEAR($A10)&gt;2010,ROUNDDOWN(D9-VLOOKUP(D$1,$J$1:$L$5,3,FALSE)*D9,0))</f>
        <v>258</v>
      </c>
      <c r="E10" cm="1">
        <f t="array" ref="E10">_xlfn.IFS(YEAR($A10)&lt;=2009,ROUNDDOWN(E9+VLOOKUP(E$1,$J$1:$K$5,2,FALSE)*E9,0),YEAR($A10)=2010,E9,YEAR($A10)&gt;2010,ROUNDDOWN(E9-VLOOKUP(E$1,$J$1:$L$5,3,FALSE)*E9,0))</f>
        <v>361</v>
      </c>
    </row>
    <row r="11" spans="1:12" x14ac:dyDescent="0.25">
      <c r="A11" s="3">
        <v>39263</v>
      </c>
      <c r="B11" cm="1">
        <f t="array" ref="B11">_xlfn.IFS(YEAR($A11)&lt;=2009,ROUNDDOWN(B10+VLOOKUP(B$1,$J$1:$K$5,2,FALSE)*B10,0),YEAR($A11)=2010,B10,YEAR($A11)&gt;2010,ROUNDDOWN(B10-VLOOKUP(B$1,$J$1:$L$5,3,FALSE)*B10,0))</f>
        <v>278</v>
      </c>
      <c r="C11" cm="1">
        <f t="array" ref="C11">_xlfn.IFS(YEAR($A11)&lt;=2009,ROUNDDOWN(C10+VLOOKUP(C$1,$J$1:$K$5,2,FALSE)*C10,0),YEAR($A11)=2010,C10,YEAR($A11)&gt;2010,ROUNDDOWN(C10-VLOOKUP(C$1,$J$1:$L$5,3,FALSE)*C10,0))</f>
        <v>247</v>
      </c>
      <c r="D11" cm="1">
        <f t="array" ref="D11">_xlfn.IFS(YEAR($A11)&lt;=2009,ROUNDDOWN(D10+VLOOKUP(D$1,$J$1:$K$5,2,FALSE)*D10,0),YEAR($A11)=2010,D10,YEAR($A11)&gt;2010,ROUNDDOWN(D10-VLOOKUP(D$1,$J$1:$L$5,3,FALSE)*D10,0))</f>
        <v>265</v>
      </c>
      <c r="E11" cm="1">
        <f t="array" ref="E11">_xlfn.IFS(YEAR($A11)&lt;=2009,ROUNDDOWN(E10+VLOOKUP(E$1,$J$1:$K$5,2,FALSE)*E10,0),YEAR($A11)=2010,E10,YEAR($A11)&gt;2010,ROUNDDOWN(E10-VLOOKUP(E$1,$J$1:$L$5,3,FALSE)*E10,0))</f>
        <v>368</v>
      </c>
    </row>
    <row r="12" spans="1:12" x14ac:dyDescent="0.25">
      <c r="A12" s="3">
        <v>39355</v>
      </c>
      <c r="B12" cm="1">
        <f t="array" ref="B12">_xlfn.IFS(YEAR($A12)&lt;=2009,ROUNDDOWN(B11+VLOOKUP(B$1,$J$1:$K$5,2,FALSE)*B11,0),YEAR($A12)=2010,B11,YEAR($A12)&gt;2010,ROUNDDOWN(B11-VLOOKUP(B$1,$J$1:$L$5,3,FALSE)*B11,0))</f>
        <v>283</v>
      </c>
      <c r="C12" cm="1">
        <f t="array" ref="C12">_xlfn.IFS(YEAR($A12)&lt;=2009,ROUNDDOWN(C11+VLOOKUP(C$1,$J$1:$K$5,2,FALSE)*C11,0),YEAR($A12)=2010,C11,YEAR($A12)&gt;2010,ROUNDDOWN(C11-VLOOKUP(C$1,$J$1:$L$5,3,FALSE)*C11,0))</f>
        <v>253</v>
      </c>
      <c r="D12" cm="1">
        <f t="array" ref="D12">_xlfn.IFS(YEAR($A12)&lt;=2009,ROUNDDOWN(D11+VLOOKUP(D$1,$J$1:$K$5,2,FALSE)*D11,0),YEAR($A12)=2010,D11,YEAR($A12)&gt;2010,ROUNDDOWN(D11-VLOOKUP(D$1,$J$1:$L$5,3,FALSE)*D11,0))</f>
        <v>272</v>
      </c>
      <c r="E12" cm="1">
        <f t="array" ref="E12">_xlfn.IFS(YEAR($A12)&lt;=2009,ROUNDDOWN(E11+VLOOKUP(E$1,$J$1:$K$5,2,FALSE)*E11,0),YEAR($A12)=2010,E11,YEAR($A12)&gt;2010,ROUNDDOWN(E11-VLOOKUP(E$1,$J$1:$L$5,3,FALSE)*E11,0))</f>
        <v>375</v>
      </c>
    </row>
    <row r="13" spans="1:12" x14ac:dyDescent="0.25">
      <c r="A13" s="3">
        <v>39447</v>
      </c>
      <c r="B13" cm="1">
        <f t="array" ref="B13">_xlfn.IFS(YEAR($A13)&lt;=2009,ROUNDDOWN(B12+VLOOKUP(B$1,$J$1:$K$5,2,FALSE)*B12,0),YEAR($A13)=2010,B12,YEAR($A13)&gt;2010,ROUNDDOWN(B12-VLOOKUP(B$1,$J$1:$L$5,3,FALSE)*B12,0))</f>
        <v>288</v>
      </c>
      <c r="C13" cm="1">
        <f t="array" ref="C13">_xlfn.IFS(YEAR($A13)&lt;=2009,ROUNDDOWN(C12+VLOOKUP(C$1,$J$1:$K$5,2,FALSE)*C12,0),YEAR($A13)=2010,C12,YEAR($A13)&gt;2010,ROUNDDOWN(C12-VLOOKUP(C$1,$J$1:$L$5,3,FALSE)*C12,0))</f>
        <v>259</v>
      </c>
      <c r="D13" cm="1">
        <f t="array" ref="D13">_xlfn.IFS(YEAR($A13)&lt;=2009,ROUNDDOWN(D12+VLOOKUP(D$1,$J$1:$K$5,2,FALSE)*D12,0),YEAR($A13)=2010,D12,YEAR($A13)&gt;2010,ROUNDDOWN(D12-VLOOKUP(D$1,$J$1:$L$5,3,FALSE)*D12,0))</f>
        <v>280</v>
      </c>
      <c r="E13" cm="1">
        <f t="array" ref="E13">_xlfn.IFS(YEAR($A13)&lt;=2009,ROUNDDOWN(E12+VLOOKUP(E$1,$J$1:$K$5,2,FALSE)*E12,0),YEAR($A13)=2010,E12,YEAR($A13)&gt;2010,ROUNDDOWN(E12-VLOOKUP(E$1,$J$1:$L$5,3,FALSE)*E12,0))</f>
        <v>382</v>
      </c>
    </row>
    <row r="14" spans="1:12" x14ac:dyDescent="0.25">
      <c r="A14" s="3">
        <v>39538</v>
      </c>
      <c r="B14" cm="1">
        <f t="array" ref="B14">_xlfn.IFS(YEAR($A14)&lt;=2009,ROUNDDOWN(B13+VLOOKUP(B$1,$J$1:$K$5,2,FALSE)*B13,0),YEAR($A14)=2010,B13,YEAR($A14)&gt;2010,ROUNDDOWN(B13-VLOOKUP(B$1,$J$1:$L$5,3,FALSE)*B13,0))</f>
        <v>293</v>
      </c>
      <c r="C14" cm="1">
        <f t="array" ref="C14">_xlfn.IFS(YEAR($A14)&lt;=2009,ROUNDDOWN(C13+VLOOKUP(C$1,$J$1:$K$5,2,FALSE)*C13,0),YEAR($A14)=2010,C13,YEAR($A14)&gt;2010,ROUNDDOWN(C13-VLOOKUP(C$1,$J$1:$L$5,3,FALSE)*C13,0))</f>
        <v>265</v>
      </c>
      <c r="D14" cm="1">
        <f t="array" ref="D14">_xlfn.IFS(YEAR($A14)&lt;=2009,ROUNDDOWN(D13+VLOOKUP(D$1,$J$1:$K$5,2,FALSE)*D13,0),YEAR($A14)=2010,D13,YEAR($A14)&gt;2010,ROUNDDOWN(D13-VLOOKUP(D$1,$J$1:$L$5,3,FALSE)*D13,0))</f>
        <v>288</v>
      </c>
      <c r="E14" cm="1">
        <f t="array" ref="E14">_xlfn.IFS(YEAR($A14)&lt;=2009,ROUNDDOWN(E13+VLOOKUP(E$1,$J$1:$K$5,2,FALSE)*E13,0),YEAR($A14)=2010,E13,YEAR($A14)&gt;2010,ROUNDDOWN(E13-VLOOKUP(E$1,$J$1:$L$5,3,FALSE)*E13,0))</f>
        <v>389</v>
      </c>
    </row>
    <row r="15" spans="1:12" x14ac:dyDescent="0.25">
      <c r="A15" s="3">
        <v>39629</v>
      </c>
      <c r="B15" cm="1">
        <f t="array" ref="B15">_xlfn.IFS(YEAR($A15)&lt;=2009,ROUNDDOWN(B14+VLOOKUP(B$1,$J$1:$K$5,2,FALSE)*B14,0),YEAR($A15)=2010,B14,YEAR($A15)&gt;2010,ROUNDDOWN(B14-VLOOKUP(B$1,$J$1:$L$5,3,FALSE)*B14,0))</f>
        <v>298</v>
      </c>
      <c r="C15" cm="1">
        <f t="array" ref="C15">_xlfn.IFS(YEAR($A15)&lt;=2009,ROUNDDOWN(C14+VLOOKUP(C$1,$J$1:$K$5,2,FALSE)*C14,0),YEAR($A15)=2010,C14,YEAR($A15)&gt;2010,ROUNDDOWN(C14-VLOOKUP(C$1,$J$1:$L$5,3,FALSE)*C14,0))</f>
        <v>272</v>
      </c>
      <c r="D15" cm="1">
        <f t="array" ref="D15">_xlfn.IFS(YEAR($A15)&lt;=2009,ROUNDDOWN(D14+VLOOKUP(D$1,$J$1:$K$5,2,FALSE)*D14,0),YEAR($A15)=2010,D14,YEAR($A15)&gt;2010,ROUNDDOWN(D14-VLOOKUP(D$1,$J$1:$L$5,3,FALSE)*D14,0))</f>
        <v>296</v>
      </c>
      <c r="E15" cm="1">
        <f t="array" ref="E15">_xlfn.IFS(YEAR($A15)&lt;=2009,ROUNDDOWN(E14+VLOOKUP(E$1,$J$1:$K$5,2,FALSE)*E14,0),YEAR($A15)=2010,E14,YEAR($A15)&gt;2010,ROUNDDOWN(E14-VLOOKUP(E$1,$J$1:$L$5,3,FALSE)*E14,0))</f>
        <v>396</v>
      </c>
      <c r="G15" s="5"/>
      <c r="H15" s="5"/>
      <c r="I15" s="5"/>
      <c r="J15" s="5"/>
    </row>
    <row r="16" spans="1:12" x14ac:dyDescent="0.25">
      <c r="A16" s="3">
        <v>39721</v>
      </c>
      <c r="B16" cm="1">
        <f t="array" ref="B16">_xlfn.IFS(YEAR($A16)&lt;=2009,ROUNDDOWN(B15+VLOOKUP(B$1,$J$1:$K$5,2,FALSE)*B15,0),YEAR($A16)=2010,B15,YEAR($A16)&gt;2010,ROUNDDOWN(B15-VLOOKUP(B$1,$J$1:$L$5,3,FALSE)*B15,0))</f>
        <v>303</v>
      </c>
      <c r="C16" cm="1">
        <f t="array" ref="C16">_xlfn.IFS(YEAR($A16)&lt;=2009,ROUNDDOWN(C15+VLOOKUP(C$1,$J$1:$K$5,2,FALSE)*C15,0),YEAR($A16)=2010,C15,YEAR($A16)&gt;2010,ROUNDDOWN(C15-VLOOKUP(C$1,$J$1:$L$5,3,FALSE)*C15,0))</f>
        <v>279</v>
      </c>
      <c r="D16" cm="1">
        <f t="array" ref="D16">_xlfn.IFS(YEAR($A16)&lt;=2009,ROUNDDOWN(D15+VLOOKUP(D$1,$J$1:$K$5,2,FALSE)*D15,0),YEAR($A16)=2010,D15,YEAR($A16)&gt;2010,ROUNDDOWN(D15-VLOOKUP(D$1,$J$1:$L$5,3,FALSE)*D15,0))</f>
        <v>304</v>
      </c>
      <c r="E16" cm="1">
        <f t="array" ref="E16">_xlfn.IFS(YEAR($A16)&lt;=2009,ROUNDDOWN(E15+VLOOKUP(E$1,$J$1:$K$5,2,FALSE)*E15,0),YEAR($A16)=2010,E15,YEAR($A16)&gt;2010,ROUNDDOWN(E15-VLOOKUP(E$1,$J$1:$L$5,3,FALSE)*E15,0))</f>
        <v>403</v>
      </c>
      <c r="G16" s="5"/>
      <c r="H16" s="5"/>
      <c r="I16" s="5"/>
      <c r="J16" s="5"/>
    </row>
    <row r="17" spans="1:5" x14ac:dyDescent="0.25">
      <c r="A17" s="3">
        <v>39813</v>
      </c>
      <c r="B17" cm="1">
        <f t="array" ref="B17">_xlfn.IFS(YEAR($A17)&lt;=2009,ROUNDDOWN(B16+VLOOKUP(B$1,$J$1:$K$5,2,FALSE)*B16,0),YEAR($A17)=2010,B16,YEAR($A17)&gt;2010,ROUNDDOWN(B16-VLOOKUP(B$1,$J$1:$L$5,3,FALSE)*B16,0))</f>
        <v>309</v>
      </c>
      <c r="C17" cm="1">
        <f t="array" ref="C17">_xlfn.IFS(YEAR($A17)&lt;=2009,ROUNDDOWN(C16+VLOOKUP(C$1,$J$1:$K$5,2,FALSE)*C16,0),YEAR($A17)=2010,C16,YEAR($A17)&gt;2010,ROUNDDOWN(C16-VLOOKUP(C$1,$J$1:$L$5,3,FALSE)*C16,0))</f>
        <v>286</v>
      </c>
      <c r="D17" cm="1">
        <f t="array" ref="D17">_xlfn.IFS(YEAR($A17)&lt;=2009,ROUNDDOWN(D16+VLOOKUP(D$1,$J$1:$K$5,2,FALSE)*D16,0),YEAR($A17)=2010,D16,YEAR($A17)&gt;2010,ROUNDDOWN(D16-VLOOKUP(D$1,$J$1:$L$5,3,FALSE)*D16,0))</f>
        <v>313</v>
      </c>
      <c r="E17" cm="1">
        <f t="array" ref="E17">_xlfn.IFS(YEAR($A17)&lt;=2009,ROUNDDOWN(E16+VLOOKUP(E$1,$J$1:$K$5,2,FALSE)*E16,0),YEAR($A17)=2010,E16,YEAR($A17)&gt;2010,ROUNDDOWN(E16-VLOOKUP(E$1,$J$1:$L$5,3,FALSE)*E16,0))</f>
        <v>411</v>
      </c>
    </row>
    <row r="18" spans="1:5" x14ac:dyDescent="0.25">
      <c r="A18" s="3">
        <v>39903</v>
      </c>
      <c r="B18" cm="1">
        <f t="array" ref="B18">_xlfn.IFS(YEAR($A18)&lt;=2009,ROUNDDOWN(B17+VLOOKUP(B$1,$J$1:$K$5,2,FALSE)*B17,0),YEAR($A18)=2010,B17,YEAR($A18)&gt;2010,ROUNDDOWN(B17-VLOOKUP(B$1,$J$1:$L$5,3,FALSE)*B17,0))</f>
        <v>315</v>
      </c>
      <c r="C18" cm="1">
        <f t="array" ref="C18">_xlfn.IFS(YEAR($A18)&lt;=2009,ROUNDDOWN(C17+VLOOKUP(C$1,$J$1:$K$5,2,FALSE)*C17,0),YEAR($A18)=2010,C17,YEAR($A18)&gt;2010,ROUNDDOWN(C17-VLOOKUP(C$1,$J$1:$L$5,3,FALSE)*C17,0))</f>
        <v>293</v>
      </c>
      <c r="D18" cm="1">
        <f t="array" ref="D18">_xlfn.IFS(YEAR($A18)&lt;=2009,ROUNDDOWN(D17+VLOOKUP(D$1,$J$1:$K$5,2,FALSE)*D17,0),YEAR($A18)=2010,D17,YEAR($A18)&gt;2010,ROUNDDOWN(D17-VLOOKUP(D$1,$J$1:$L$5,3,FALSE)*D17,0))</f>
        <v>322</v>
      </c>
      <c r="E18" cm="1">
        <f t="array" ref="E18">_xlfn.IFS(YEAR($A18)&lt;=2009,ROUNDDOWN(E17+VLOOKUP(E$1,$J$1:$K$5,2,FALSE)*E17,0),YEAR($A18)=2010,E17,YEAR($A18)&gt;2010,ROUNDDOWN(E17-VLOOKUP(E$1,$J$1:$L$5,3,FALSE)*E17,0))</f>
        <v>419</v>
      </c>
    </row>
    <row r="19" spans="1:5" x14ac:dyDescent="0.25">
      <c r="A19" s="3">
        <v>39994</v>
      </c>
      <c r="B19" cm="1">
        <f t="array" ref="B19">_xlfn.IFS(YEAR($A19)&lt;=2009,ROUNDDOWN(B18+VLOOKUP(B$1,$J$1:$K$5,2,FALSE)*B18,0),YEAR($A19)=2010,B18,YEAR($A19)&gt;2010,ROUNDDOWN(B18-VLOOKUP(B$1,$J$1:$L$5,3,FALSE)*B18,0))</f>
        <v>321</v>
      </c>
      <c r="C19" cm="1">
        <f t="array" ref="C19">_xlfn.IFS(YEAR($A19)&lt;=2009,ROUNDDOWN(C18+VLOOKUP(C$1,$J$1:$K$5,2,FALSE)*C18,0),YEAR($A19)=2010,C18,YEAR($A19)&gt;2010,ROUNDDOWN(C18-VLOOKUP(C$1,$J$1:$L$5,3,FALSE)*C18,0))</f>
        <v>300</v>
      </c>
      <c r="D19" cm="1">
        <f t="array" ref="D19">_xlfn.IFS(YEAR($A19)&lt;=2009,ROUNDDOWN(D18+VLOOKUP(D$1,$J$1:$K$5,2,FALSE)*D18,0),YEAR($A19)=2010,D18,YEAR($A19)&gt;2010,ROUNDDOWN(D18-VLOOKUP(D$1,$J$1:$L$5,3,FALSE)*D18,0))</f>
        <v>331</v>
      </c>
      <c r="E19" cm="1">
        <f t="array" ref="E19">_xlfn.IFS(YEAR($A19)&lt;=2009,ROUNDDOWN(E18+VLOOKUP(E$1,$J$1:$K$5,2,FALSE)*E18,0),YEAR($A19)=2010,E18,YEAR($A19)&gt;2010,ROUNDDOWN(E18-VLOOKUP(E$1,$J$1:$L$5,3,FALSE)*E18,0))</f>
        <v>427</v>
      </c>
    </row>
    <row r="20" spans="1:5" x14ac:dyDescent="0.25">
      <c r="A20" s="3">
        <v>40086</v>
      </c>
      <c r="B20" cm="1">
        <f t="array" ref="B20">_xlfn.IFS(YEAR($A20)&lt;=2009,ROUNDDOWN(B19+VLOOKUP(B$1,$J$1:$K$5,2,FALSE)*B19,0),YEAR($A20)=2010,B19,YEAR($A20)&gt;2010,ROUNDDOWN(B19-VLOOKUP(B$1,$J$1:$L$5,3,FALSE)*B19,0))</f>
        <v>327</v>
      </c>
      <c r="C20" cm="1">
        <f t="array" ref="C20">_xlfn.IFS(YEAR($A20)&lt;=2009,ROUNDDOWN(C19+VLOOKUP(C$1,$J$1:$K$5,2,FALSE)*C19,0),YEAR($A20)=2010,C19,YEAR($A20)&gt;2010,ROUNDDOWN(C19-VLOOKUP(C$1,$J$1:$L$5,3,FALSE)*C19,0))</f>
        <v>308</v>
      </c>
      <c r="D20" cm="1">
        <f t="array" ref="D20">_xlfn.IFS(YEAR($A20)&lt;=2009,ROUNDDOWN(D19+VLOOKUP(D$1,$J$1:$K$5,2,FALSE)*D19,0),YEAR($A20)=2010,D19,YEAR($A20)&gt;2010,ROUNDDOWN(D19-VLOOKUP(D$1,$J$1:$L$5,3,FALSE)*D19,0))</f>
        <v>340</v>
      </c>
      <c r="E20" cm="1">
        <f t="array" ref="E20">_xlfn.IFS(YEAR($A20)&lt;=2009,ROUNDDOWN(E19+VLOOKUP(E$1,$J$1:$K$5,2,FALSE)*E19,0),YEAR($A20)=2010,E19,YEAR($A20)&gt;2010,ROUNDDOWN(E19-VLOOKUP(E$1,$J$1:$L$5,3,FALSE)*E19,0))</f>
        <v>435</v>
      </c>
    </row>
    <row r="21" spans="1:5" x14ac:dyDescent="0.25">
      <c r="A21" s="3">
        <v>40178</v>
      </c>
      <c r="B21" cm="1">
        <f t="array" ref="B21">_xlfn.IFS(YEAR($A21)&lt;=2009,ROUNDDOWN(B20+VLOOKUP(B$1,$J$1:$K$5,2,FALSE)*B20,0),YEAR($A21)=2010,B20,YEAR($A21)&gt;2010,ROUNDDOWN(B20-VLOOKUP(B$1,$J$1:$L$5,3,FALSE)*B20,0))</f>
        <v>333</v>
      </c>
      <c r="C21" cm="1">
        <f t="array" ref="C21">_xlfn.IFS(YEAR($A21)&lt;=2009,ROUNDDOWN(C20+VLOOKUP(C$1,$J$1:$K$5,2,FALSE)*C20,0),YEAR($A21)=2010,C20,YEAR($A21)&gt;2010,ROUNDDOWN(C20-VLOOKUP(C$1,$J$1:$L$5,3,FALSE)*C20,0))</f>
        <v>316</v>
      </c>
      <c r="D21" cm="1">
        <f t="array" ref="D21">_xlfn.IFS(YEAR($A21)&lt;=2009,ROUNDDOWN(D20+VLOOKUP(D$1,$J$1:$K$5,2,FALSE)*D20,0),YEAR($A21)=2010,D20,YEAR($A21)&gt;2010,ROUNDDOWN(D20-VLOOKUP(D$1,$J$1:$L$5,3,FALSE)*D20,0))</f>
        <v>350</v>
      </c>
      <c r="E21" cm="1">
        <f t="array" ref="E21">_xlfn.IFS(YEAR($A21)&lt;=2009,ROUNDDOWN(E20+VLOOKUP(E$1,$J$1:$K$5,2,FALSE)*E20,0),YEAR($A21)=2010,E20,YEAR($A21)&gt;2010,ROUNDDOWN(E20-VLOOKUP(E$1,$J$1:$L$5,3,FALSE)*E20,0))</f>
        <v>443</v>
      </c>
    </row>
    <row r="22" spans="1:5" x14ac:dyDescent="0.25">
      <c r="A22" s="3">
        <v>40268</v>
      </c>
      <c r="B22" cm="1">
        <f t="array" ref="B22">_xlfn.IFS(YEAR($A22)&lt;=2009,ROUNDDOWN(B21+VLOOKUP(B$1,$J$1:$K$5,2,FALSE)*B21,0),YEAR($A22)=2010,B21,YEAR($A22)&gt;2010,ROUNDDOWN(B21-VLOOKUP(B$1,$J$1:$L$5,3,FALSE)*B21,0))</f>
        <v>333</v>
      </c>
      <c r="C22" cm="1">
        <f t="array" ref="C22">_xlfn.IFS(YEAR($A22)&lt;=2009,ROUNDDOWN(C21+VLOOKUP(C$1,$J$1:$K$5,2,FALSE)*C21,0),YEAR($A22)=2010,C21,YEAR($A22)&gt;2010,ROUNDDOWN(C21-VLOOKUP(C$1,$J$1:$L$5,3,FALSE)*C21,0))</f>
        <v>316</v>
      </c>
      <c r="D22" cm="1">
        <f t="array" ref="D22">_xlfn.IFS(YEAR($A22)&lt;=2009,ROUNDDOWN(D21+VLOOKUP(D$1,$J$1:$K$5,2,FALSE)*D21,0),YEAR($A22)=2010,D21,YEAR($A22)&gt;2010,ROUNDDOWN(D21-VLOOKUP(D$1,$J$1:$L$5,3,FALSE)*D21,0))</f>
        <v>350</v>
      </c>
      <c r="E22" cm="1">
        <f t="array" ref="E22">_xlfn.IFS(YEAR($A22)&lt;=2009,ROUNDDOWN(E21+VLOOKUP(E$1,$J$1:$K$5,2,FALSE)*E21,0),YEAR($A22)=2010,E21,YEAR($A22)&gt;2010,ROUNDDOWN(E21-VLOOKUP(E$1,$J$1:$L$5,3,FALSE)*E21,0))</f>
        <v>443</v>
      </c>
    </row>
    <row r="23" spans="1:5" x14ac:dyDescent="0.25">
      <c r="A23" s="3">
        <v>40359</v>
      </c>
      <c r="B23" cm="1">
        <f t="array" ref="B23">_xlfn.IFS(YEAR($A23)&lt;=2009,ROUNDDOWN(B22+VLOOKUP(B$1,$J$1:$K$5,2,FALSE)*B22,0),YEAR($A23)=2010,B22,YEAR($A23)&gt;2010,ROUNDDOWN(B22-VLOOKUP(B$1,$J$1:$L$5,3,FALSE)*B22,0))</f>
        <v>333</v>
      </c>
      <c r="C23" cm="1">
        <f t="array" ref="C23">_xlfn.IFS(YEAR($A23)&lt;=2009,ROUNDDOWN(C22+VLOOKUP(C$1,$J$1:$K$5,2,FALSE)*C22,0),YEAR($A23)=2010,C22,YEAR($A23)&gt;2010,ROUNDDOWN(C22-VLOOKUP(C$1,$J$1:$L$5,3,FALSE)*C22,0))</f>
        <v>316</v>
      </c>
      <c r="D23" cm="1">
        <f t="array" ref="D23">_xlfn.IFS(YEAR($A23)&lt;=2009,ROUNDDOWN(D22+VLOOKUP(D$1,$J$1:$K$5,2,FALSE)*D22,0),YEAR($A23)=2010,D22,YEAR($A23)&gt;2010,ROUNDDOWN(D22-VLOOKUP(D$1,$J$1:$L$5,3,FALSE)*D22,0))</f>
        <v>350</v>
      </c>
      <c r="E23" cm="1">
        <f t="array" ref="E23">_xlfn.IFS(YEAR($A23)&lt;=2009,ROUNDDOWN(E22+VLOOKUP(E$1,$J$1:$K$5,2,FALSE)*E22,0),YEAR($A23)=2010,E22,YEAR($A23)&gt;2010,ROUNDDOWN(E22-VLOOKUP(E$1,$J$1:$L$5,3,FALSE)*E22,0))</f>
        <v>443</v>
      </c>
    </row>
    <row r="24" spans="1:5" x14ac:dyDescent="0.25">
      <c r="A24" s="3">
        <v>40451</v>
      </c>
      <c r="B24" cm="1">
        <f t="array" ref="B24">_xlfn.IFS(YEAR($A24)&lt;=2009,ROUNDDOWN(B23+VLOOKUP(B$1,$J$1:$K$5,2,FALSE)*B23,0),YEAR($A24)=2010,B23,YEAR($A24)&gt;2010,ROUNDDOWN(B23-VLOOKUP(B$1,$J$1:$L$5,3,FALSE)*B23,0))</f>
        <v>333</v>
      </c>
      <c r="C24" cm="1">
        <f t="array" ref="C24">_xlfn.IFS(YEAR($A24)&lt;=2009,ROUNDDOWN(C23+VLOOKUP(C$1,$J$1:$K$5,2,FALSE)*C23,0),YEAR($A24)=2010,C23,YEAR($A24)&gt;2010,ROUNDDOWN(C23-VLOOKUP(C$1,$J$1:$L$5,3,FALSE)*C23,0))</f>
        <v>316</v>
      </c>
      <c r="D24" cm="1">
        <f t="array" ref="D24">_xlfn.IFS(YEAR($A24)&lt;=2009,ROUNDDOWN(D23+VLOOKUP(D$1,$J$1:$K$5,2,FALSE)*D23,0),YEAR($A24)=2010,D23,YEAR($A24)&gt;2010,ROUNDDOWN(D23-VLOOKUP(D$1,$J$1:$L$5,3,FALSE)*D23,0))</f>
        <v>350</v>
      </c>
      <c r="E24" cm="1">
        <f t="array" ref="E24">_xlfn.IFS(YEAR($A24)&lt;=2009,ROUNDDOWN(E23+VLOOKUP(E$1,$J$1:$K$5,2,FALSE)*E23,0),YEAR($A24)=2010,E23,YEAR($A24)&gt;2010,ROUNDDOWN(E23-VLOOKUP(E$1,$J$1:$L$5,3,FALSE)*E23,0))</f>
        <v>443</v>
      </c>
    </row>
    <row r="25" spans="1:5" x14ac:dyDescent="0.25">
      <c r="A25" s="3">
        <v>40543</v>
      </c>
      <c r="B25" cm="1">
        <f t="array" ref="B25">_xlfn.IFS(YEAR($A25)&lt;=2009,ROUNDDOWN(B24+VLOOKUP(B$1,$J$1:$K$5,2,FALSE)*B24,0),YEAR($A25)=2010,B24,YEAR($A25)&gt;2010,ROUNDDOWN(B24-VLOOKUP(B$1,$J$1:$L$5,3,FALSE)*B24,0))</f>
        <v>333</v>
      </c>
      <c r="C25" cm="1">
        <f t="array" ref="C25">_xlfn.IFS(YEAR($A25)&lt;=2009,ROUNDDOWN(C24+VLOOKUP(C$1,$J$1:$K$5,2,FALSE)*C24,0),YEAR($A25)=2010,C24,YEAR($A25)&gt;2010,ROUNDDOWN(C24-VLOOKUP(C$1,$J$1:$L$5,3,FALSE)*C24,0))</f>
        <v>316</v>
      </c>
      <c r="D25" cm="1">
        <f t="array" ref="D25">_xlfn.IFS(YEAR($A25)&lt;=2009,ROUNDDOWN(D24+VLOOKUP(D$1,$J$1:$K$5,2,FALSE)*D24,0),YEAR($A25)=2010,D24,YEAR($A25)&gt;2010,ROUNDDOWN(D24-VLOOKUP(D$1,$J$1:$L$5,3,FALSE)*D24,0))</f>
        <v>350</v>
      </c>
      <c r="E25" cm="1">
        <f t="array" ref="E25">_xlfn.IFS(YEAR($A25)&lt;=2009,ROUNDDOWN(E24+VLOOKUP(E$1,$J$1:$K$5,2,FALSE)*E24,0),YEAR($A25)=2010,E24,YEAR($A25)&gt;2010,ROUNDDOWN(E24-VLOOKUP(E$1,$J$1:$L$5,3,FALSE)*E24,0))</f>
        <v>443</v>
      </c>
    </row>
    <row r="26" spans="1:5" x14ac:dyDescent="0.25">
      <c r="A26" s="3">
        <v>40633</v>
      </c>
      <c r="B26" cm="1">
        <f t="array" ref="B26">_xlfn.IFS(YEAR($A26)&lt;=2009,ROUNDDOWN(B25+VLOOKUP(B$1,$J$1:$K$5,2,FALSE)*B25,0),YEAR($A26)=2010,B25,YEAR($A26)&gt;2010,ROUNDDOWN(B25-VLOOKUP(B$1,$J$1:$L$5,3,FALSE)*B25,0))</f>
        <v>329</v>
      </c>
      <c r="C26" cm="1">
        <f t="array" ref="C26">_xlfn.IFS(YEAR($A26)&lt;=2009,ROUNDDOWN(C25+VLOOKUP(C$1,$J$1:$K$5,2,FALSE)*C25,0),YEAR($A26)=2010,C25,YEAR($A26)&gt;2010,ROUNDDOWN(C25-VLOOKUP(C$1,$J$1:$L$5,3,FALSE)*C25,0))</f>
        <v>312</v>
      </c>
      <c r="D26" cm="1">
        <f t="array" ref="D26">_xlfn.IFS(YEAR($A26)&lt;=2009,ROUNDDOWN(D25+VLOOKUP(D$1,$J$1:$K$5,2,FALSE)*D25,0),YEAR($A26)=2010,D25,YEAR($A26)&gt;2010,ROUNDDOWN(D25-VLOOKUP(D$1,$J$1:$L$5,3,FALSE)*D25,0))</f>
        <v>343</v>
      </c>
      <c r="E26" cm="1">
        <f t="array" ref="E26">_xlfn.IFS(YEAR($A26)&lt;=2009,ROUNDDOWN(E25+VLOOKUP(E$1,$J$1:$K$5,2,FALSE)*E25,0),YEAR($A26)=2010,E25,YEAR($A26)&gt;2010,ROUNDDOWN(E25-VLOOKUP(E$1,$J$1:$L$5,3,FALSE)*E25,0))</f>
        <v>431</v>
      </c>
    </row>
    <row r="27" spans="1:5" x14ac:dyDescent="0.25">
      <c r="A27" s="3">
        <v>40724</v>
      </c>
      <c r="B27" cm="1">
        <f t="array" ref="B27">_xlfn.IFS(YEAR($A27)&lt;=2009,ROUNDDOWN(B26+VLOOKUP(B$1,$J$1:$K$5,2,FALSE)*B26,0),YEAR($A27)=2010,B26,YEAR($A27)&gt;2010,ROUNDDOWN(B26-VLOOKUP(B$1,$J$1:$L$5,3,FALSE)*B26,0))</f>
        <v>325</v>
      </c>
      <c r="C27" cm="1">
        <f t="array" ref="C27">_xlfn.IFS(YEAR($A27)&lt;=2009,ROUNDDOWN(C26+VLOOKUP(C$1,$J$1:$K$5,2,FALSE)*C26,0),YEAR($A27)=2010,C26,YEAR($A27)&gt;2010,ROUNDDOWN(C26-VLOOKUP(C$1,$J$1:$L$5,3,FALSE)*C26,0))</f>
        <v>308</v>
      </c>
      <c r="D27" cm="1">
        <f t="array" ref="D27">_xlfn.IFS(YEAR($A27)&lt;=2009,ROUNDDOWN(D26+VLOOKUP(D$1,$J$1:$K$5,2,FALSE)*D26,0),YEAR($A27)=2010,D26,YEAR($A27)&gt;2010,ROUNDDOWN(D26-VLOOKUP(D$1,$J$1:$L$5,3,FALSE)*D26,0))</f>
        <v>336</v>
      </c>
      <c r="E27" cm="1">
        <f t="array" ref="E27">_xlfn.IFS(YEAR($A27)&lt;=2009,ROUNDDOWN(E26+VLOOKUP(E$1,$J$1:$K$5,2,FALSE)*E26,0),YEAR($A27)=2010,E26,YEAR($A27)&gt;2010,ROUNDDOWN(E26-VLOOKUP(E$1,$J$1:$L$5,3,FALSE)*E26,0))</f>
        <v>420</v>
      </c>
    </row>
    <row r="28" spans="1:5" x14ac:dyDescent="0.25">
      <c r="A28" s="3">
        <v>40816</v>
      </c>
      <c r="B28" cm="1">
        <f t="array" ref="B28">_xlfn.IFS(YEAR($A28)&lt;=2009,ROUNDDOWN(B27+VLOOKUP(B$1,$J$1:$K$5,2,FALSE)*B27,0),YEAR($A28)=2010,B27,YEAR($A28)&gt;2010,ROUNDDOWN(B27-VLOOKUP(B$1,$J$1:$L$5,3,FALSE)*B27,0))</f>
        <v>321</v>
      </c>
      <c r="C28" cm="1">
        <f t="array" ref="C28">_xlfn.IFS(YEAR($A28)&lt;=2009,ROUNDDOWN(C27+VLOOKUP(C$1,$J$1:$K$5,2,FALSE)*C27,0),YEAR($A28)=2010,C27,YEAR($A28)&gt;2010,ROUNDDOWN(C27-VLOOKUP(C$1,$J$1:$L$5,3,FALSE)*C27,0))</f>
        <v>304</v>
      </c>
      <c r="D28" cm="1">
        <f t="array" ref="D28">_xlfn.IFS(YEAR($A28)&lt;=2009,ROUNDDOWN(D27+VLOOKUP(D$1,$J$1:$K$5,2,FALSE)*D27,0),YEAR($A28)=2010,D27,YEAR($A28)&gt;2010,ROUNDDOWN(D27-VLOOKUP(D$1,$J$1:$L$5,3,FALSE)*D27,0))</f>
        <v>329</v>
      </c>
      <c r="E28" cm="1">
        <f t="array" ref="E28">_xlfn.IFS(YEAR($A28)&lt;=2009,ROUNDDOWN(E27+VLOOKUP(E$1,$J$1:$K$5,2,FALSE)*E27,0),YEAR($A28)=2010,E27,YEAR($A28)&gt;2010,ROUNDDOWN(E27-VLOOKUP(E$1,$J$1:$L$5,3,FALSE)*E27,0))</f>
        <v>409</v>
      </c>
    </row>
    <row r="29" spans="1:5" x14ac:dyDescent="0.25">
      <c r="A29" s="3">
        <v>40908</v>
      </c>
      <c r="B29" cm="1">
        <f t="array" ref="B29">_xlfn.IFS(YEAR($A29)&lt;=2009,ROUNDDOWN(B28+VLOOKUP(B$1,$J$1:$K$5,2,FALSE)*B28,0),YEAR($A29)=2010,B28,YEAR($A29)&gt;2010,ROUNDDOWN(B28-VLOOKUP(B$1,$J$1:$L$5,3,FALSE)*B28,0))</f>
        <v>317</v>
      </c>
      <c r="C29" cm="1">
        <f t="array" ref="C29">_xlfn.IFS(YEAR($A29)&lt;=2009,ROUNDDOWN(C28+VLOOKUP(C$1,$J$1:$K$5,2,FALSE)*C28,0),YEAR($A29)=2010,C28,YEAR($A29)&gt;2010,ROUNDDOWN(C28-VLOOKUP(C$1,$J$1:$L$5,3,FALSE)*C28,0))</f>
        <v>300</v>
      </c>
      <c r="D29" cm="1">
        <f t="array" ref="D29">_xlfn.IFS(YEAR($A29)&lt;=2009,ROUNDDOWN(D28+VLOOKUP(D$1,$J$1:$K$5,2,FALSE)*D28,0),YEAR($A29)=2010,D28,YEAR($A29)&gt;2010,ROUNDDOWN(D28-VLOOKUP(D$1,$J$1:$L$5,3,FALSE)*D28,0))</f>
        <v>322</v>
      </c>
      <c r="E29" cm="1">
        <f t="array" ref="E29">_xlfn.IFS(YEAR($A29)&lt;=2009,ROUNDDOWN(E28+VLOOKUP(E$1,$J$1:$K$5,2,FALSE)*E28,0),YEAR($A29)=2010,E28,YEAR($A29)&gt;2010,ROUNDDOWN(E28-VLOOKUP(E$1,$J$1:$L$5,3,FALSE)*E28,0))</f>
        <v>398</v>
      </c>
    </row>
    <row r="30" spans="1:5" x14ac:dyDescent="0.25">
      <c r="A30" s="3">
        <v>40999</v>
      </c>
      <c r="B30" cm="1">
        <f t="array" ref="B30">_xlfn.IFS(YEAR($A30)&lt;=2009,ROUNDDOWN(B29+VLOOKUP(B$1,$J$1:$K$5,2,FALSE)*B29,0),YEAR($A30)=2010,B29,YEAR($A30)&gt;2010,ROUNDDOWN(B29-VLOOKUP(B$1,$J$1:$L$5,3,FALSE)*B29,0))</f>
        <v>313</v>
      </c>
      <c r="C30" cm="1">
        <f t="array" ref="C30">_xlfn.IFS(YEAR($A30)&lt;=2009,ROUNDDOWN(C29+VLOOKUP(C$1,$J$1:$K$5,2,FALSE)*C29,0),YEAR($A30)=2010,C29,YEAR($A30)&gt;2010,ROUNDDOWN(C29-VLOOKUP(C$1,$J$1:$L$5,3,FALSE)*C29,0))</f>
        <v>296</v>
      </c>
      <c r="D30" cm="1">
        <f t="array" ref="D30">_xlfn.IFS(YEAR($A30)&lt;=2009,ROUNDDOWN(D29+VLOOKUP(D$1,$J$1:$K$5,2,FALSE)*D29,0),YEAR($A30)=2010,D29,YEAR($A30)&gt;2010,ROUNDDOWN(D29-VLOOKUP(D$1,$J$1:$L$5,3,FALSE)*D29,0))</f>
        <v>315</v>
      </c>
      <c r="E30" cm="1">
        <f t="array" ref="E30">_xlfn.IFS(YEAR($A30)&lt;=2009,ROUNDDOWN(E29+VLOOKUP(E$1,$J$1:$K$5,2,FALSE)*E29,0),YEAR($A30)=2010,E29,YEAR($A30)&gt;2010,ROUNDDOWN(E29-VLOOKUP(E$1,$J$1:$L$5,3,FALSE)*E29,0))</f>
        <v>388</v>
      </c>
    </row>
    <row r="31" spans="1:5" x14ac:dyDescent="0.25">
      <c r="A31" s="3">
        <v>41090</v>
      </c>
      <c r="B31" cm="1">
        <f t="array" ref="B31">_xlfn.IFS(YEAR($A31)&lt;=2009,ROUNDDOWN(B30+VLOOKUP(B$1,$J$1:$K$5,2,FALSE)*B30,0),YEAR($A31)=2010,B30,YEAR($A31)&gt;2010,ROUNDDOWN(B30-VLOOKUP(B$1,$J$1:$L$5,3,FALSE)*B30,0))</f>
        <v>309</v>
      </c>
      <c r="C31" cm="1">
        <f t="array" ref="C31">_xlfn.IFS(YEAR($A31)&lt;=2009,ROUNDDOWN(C30+VLOOKUP(C$1,$J$1:$K$5,2,FALSE)*C30,0),YEAR($A31)=2010,C30,YEAR($A31)&gt;2010,ROUNDDOWN(C30-VLOOKUP(C$1,$J$1:$L$5,3,FALSE)*C30,0))</f>
        <v>292</v>
      </c>
      <c r="D31" cm="1">
        <f t="array" ref="D31">_xlfn.IFS(YEAR($A31)&lt;=2009,ROUNDDOWN(D30+VLOOKUP(D$1,$J$1:$K$5,2,FALSE)*D30,0),YEAR($A31)=2010,D30,YEAR($A31)&gt;2010,ROUNDDOWN(D30-VLOOKUP(D$1,$J$1:$L$5,3,FALSE)*D30,0))</f>
        <v>309</v>
      </c>
      <c r="E31" cm="1">
        <f t="array" ref="E31">_xlfn.IFS(YEAR($A31)&lt;=2009,ROUNDDOWN(E30+VLOOKUP(E$1,$J$1:$K$5,2,FALSE)*E30,0),YEAR($A31)=2010,E30,YEAR($A31)&gt;2010,ROUNDDOWN(E30-VLOOKUP(E$1,$J$1:$L$5,3,FALSE)*E30,0))</f>
        <v>378</v>
      </c>
    </row>
    <row r="32" spans="1:5" x14ac:dyDescent="0.25">
      <c r="A32" s="3">
        <v>41182</v>
      </c>
      <c r="B32" cm="1">
        <f t="array" ref="B32">_xlfn.IFS(YEAR($A32)&lt;=2009,ROUNDDOWN(B31+VLOOKUP(B$1,$J$1:$K$5,2,FALSE)*B31,0),YEAR($A32)=2010,B31,YEAR($A32)&gt;2010,ROUNDDOWN(B31-VLOOKUP(B$1,$J$1:$L$5,3,FALSE)*B31,0))</f>
        <v>305</v>
      </c>
      <c r="C32" cm="1">
        <f t="array" ref="C32">_xlfn.IFS(YEAR($A32)&lt;=2009,ROUNDDOWN(C31+VLOOKUP(C$1,$J$1:$K$5,2,FALSE)*C31,0),YEAR($A32)=2010,C31,YEAR($A32)&gt;2010,ROUNDDOWN(C31-VLOOKUP(C$1,$J$1:$L$5,3,FALSE)*C31,0))</f>
        <v>288</v>
      </c>
      <c r="D32" cm="1">
        <f t="array" ref="D32">_xlfn.IFS(YEAR($A32)&lt;=2009,ROUNDDOWN(D31+VLOOKUP(D$1,$J$1:$K$5,2,FALSE)*D31,0),YEAR($A32)=2010,D31,YEAR($A32)&gt;2010,ROUNDDOWN(D31-VLOOKUP(D$1,$J$1:$L$5,3,FALSE)*D31,0))</f>
        <v>303</v>
      </c>
      <c r="E32" cm="1">
        <f t="array" ref="E32">_xlfn.IFS(YEAR($A32)&lt;=2009,ROUNDDOWN(E31+VLOOKUP(E$1,$J$1:$K$5,2,FALSE)*E31,0),YEAR($A32)=2010,E31,YEAR($A32)&gt;2010,ROUNDDOWN(E31-VLOOKUP(E$1,$J$1:$L$5,3,FALSE)*E31,0))</f>
        <v>368</v>
      </c>
    </row>
    <row r="33" spans="1:5" x14ac:dyDescent="0.25">
      <c r="A33" s="3">
        <v>41274</v>
      </c>
      <c r="B33" cm="1">
        <f t="array" ref="B33">_xlfn.IFS(YEAR($A33)&lt;=2009,ROUNDDOWN(B32+VLOOKUP(B$1,$J$1:$K$5,2,FALSE)*B32,0),YEAR($A33)=2010,B32,YEAR($A33)&gt;2010,ROUNDDOWN(B32-VLOOKUP(B$1,$J$1:$L$5,3,FALSE)*B32,0))</f>
        <v>301</v>
      </c>
      <c r="C33" cm="1">
        <f t="array" ref="C33">_xlfn.IFS(YEAR($A33)&lt;=2009,ROUNDDOWN(C32+VLOOKUP(C$1,$J$1:$K$5,2,FALSE)*C32,0),YEAR($A33)=2010,C32,YEAR($A33)&gt;2010,ROUNDDOWN(C32-VLOOKUP(C$1,$J$1:$L$5,3,FALSE)*C32,0))</f>
        <v>284</v>
      </c>
      <c r="D33" cm="1">
        <f t="array" ref="D33">_xlfn.IFS(YEAR($A33)&lt;=2009,ROUNDDOWN(D32+VLOOKUP(D$1,$J$1:$K$5,2,FALSE)*D32,0),YEAR($A33)=2010,D32,YEAR($A33)&gt;2010,ROUNDDOWN(D32-VLOOKUP(D$1,$J$1:$L$5,3,FALSE)*D32,0))</f>
        <v>297</v>
      </c>
      <c r="E33" cm="1">
        <f t="array" ref="E33">_xlfn.IFS(YEAR($A33)&lt;=2009,ROUNDDOWN(E32+VLOOKUP(E$1,$J$1:$K$5,2,FALSE)*E32,0),YEAR($A33)=2010,E32,YEAR($A33)&gt;2010,ROUNDDOWN(E32-VLOOKUP(E$1,$J$1:$L$5,3,FALSE)*E32,0))</f>
        <v>358</v>
      </c>
    </row>
    <row r="37" spans="1:5" x14ac:dyDescent="0.25">
      <c r="B37" s="4" t="s">
        <v>0</v>
      </c>
      <c r="C37" s="4" t="s">
        <v>1</v>
      </c>
      <c r="D37" s="4" t="s">
        <v>2</v>
      </c>
      <c r="E37" s="4" t="s">
        <v>3</v>
      </c>
    </row>
    <row r="38" spans="1:5" x14ac:dyDescent="0.25">
      <c r="B38" s="4">
        <v>317</v>
      </c>
      <c r="C38" s="4">
        <v>300</v>
      </c>
      <c r="D38" s="4">
        <v>322</v>
      </c>
      <c r="E38" s="4">
        <v>398</v>
      </c>
    </row>
  </sheetData>
  <autoFilter ref="A1:A33" xr:uid="{96F9FC42-B918-458C-BB39-F075C5375BBE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274D-74C9-45E2-B88A-C422814C2047}">
  <dimension ref="A1:N70"/>
  <sheetViews>
    <sheetView topLeftCell="A22" workbookViewId="0">
      <selection activeCell="N52" sqref="K51:N52"/>
    </sheetView>
  </sheetViews>
  <sheetFormatPr defaultRowHeight="15" x14ac:dyDescent="0.25"/>
  <cols>
    <col min="1" max="1" width="10.140625" style="3" bestFit="1" customWidth="1"/>
    <col min="2" max="5" width="22.28515625" bestFit="1" customWidth="1"/>
    <col min="6" max="6" width="15.5703125" bestFit="1" customWidth="1"/>
    <col min="7" max="7" width="16.28515625" bestFit="1" customWidth="1"/>
    <col min="8" max="8" width="16.42578125" bestFit="1" customWidth="1"/>
    <col min="9" max="9" width="17.5703125" bestFit="1" customWidth="1"/>
    <col min="10" max="10" width="12.7109375" bestFit="1" customWidth="1"/>
    <col min="11" max="11" width="30.5703125" bestFit="1" customWidth="1"/>
    <col min="12" max="12" width="30.5703125" style="2" bestFit="1" customWidth="1"/>
  </cols>
  <sheetData>
    <row r="1" spans="1:12" x14ac:dyDescent="0.25">
      <c r="A1" s="3" t="s">
        <v>5</v>
      </c>
      <c r="B1" t="s">
        <v>0</v>
      </c>
      <c r="C1" t="s">
        <v>1</v>
      </c>
      <c r="D1" t="s">
        <v>2</v>
      </c>
      <c r="E1" t="s">
        <v>3</v>
      </c>
      <c r="F1" t="s">
        <v>9</v>
      </c>
      <c r="G1" t="s">
        <v>10</v>
      </c>
      <c r="H1" t="s">
        <v>11</v>
      </c>
      <c r="I1" t="s">
        <v>12</v>
      </c>
      <c r="J1" t="s">
        <v>8</v>
      </c>
      <c r="K1" t="s">
        <v>6</v>
      </c>
      <c r="L1" s="2" t="s">
        <v>36</v>
      </c>
    </row>
    <row r="2" spans="1:12" x14ac:dyDescent="0.25">
      <c r="A2" s="3">
        <v>38442</v>
      </c>
      <c r="B2">
        <v>237</v>
      </c>
      <c r="C2">
        <v>198</v>
      </c>
      <c r="D2">
        <v>207</v>
      </c>
      <c r="E2">
        <v>312</v>
      </c>
      <c r="F2">
        <v>0</v>
      </c>
      <c r="G2">
        <v>0</v>
      </c>
      <c r="H2">
        <v>0</v>
      </c>
      <c r="I2">
        <v>0</v>
      </c>
      <c r="J2" t="s">
        <v>0</v>
      </c>
      <c r="K2" s="1">
        <v>0.02</v>
      </c>
      <c r="L2" s="2">
        <v>0.01</v>
      </c>
    </row>
    <row r="3" spans="1:12" x14ac:dyDescent="0.25">
      <c r="A3" s="3">
        <v>38533</v>
      </c>
      <c r="B3" cm="1">
        <f t="array" ref="B3">_xlfn.IFS(YEAR($A3)&lt;=2009,ROUNDDOWN(B2+VLOOKUP(B$1,$J$1:$K$5,2,FALSE)*B2,0),YEAR($A3)=2010,B2,YEAR($A3)&gt;2010,ROUNDDOWN(B2-VLOOKUP(B$1,$J$1:$L$5,3,FALSE)*B2,0))</f>
        <v>241</v>
      </c>
      <c r="C3" cm="1">
        <f t="array" ref="C3">_xlfn.IFS(YEAR($A3)&lt;=2009,ROUNDDOWN(C2+VLOOKUP(C$1,$J$1:$K$5,2,FALSE)*C2,0),YEAR($A3)=2010,C2,YEAR($A3)&gt;2010,ROUNDDOWN(C2-VLOOKUP(C$1,$J$1:$L$5,3,FALSE)*C2,0))</f>
        <v>203</v>
      </c>
      <c r="D3" cm="1">
        <f t="array" ref="D3">_xlfn.IFS(YEAR($A3)&lt;=2009,ROUNDDOWN(D2+VLOOKUP(D$1,$J$1:$K$5,2,FALSE)*D2,0),YEAR($A3)=2010,D2,YEAR($A3)&gt;2010,ROUNDDOWN(D2-VLOOKUP(D$1,$J$1:$L$5,3,FALSE)*D2,0))</f>
        <v>213</v>
      </c>
      <c r="E3" cm="1">
        <f t="array" ref="E3">_xlfn.IFS(YEAR($A3)&lt;=2009,ROUNDDOWN(E2+VLOOKUP(E$1,$J$1:$K$5,2,FALSE)*E2,0),YEAR($A3)=2010,E2,YEAR($A3)&gt;2010,ROUNDDOWN(E2-VLOOKUP(E$1,$J$1:$L$5,3,FALSE)*E2,0))</f>
        <v>318</v>
      </c>
      <c r="F3">
        <f>IF(B3&lt;$B$2,1,)</f>
        <v>0</v>
      </c>
      <c r="G3">
        <f>IF(C3&lt;$C$2,1,)</f>
        <v>0</v>
      </c>
      <c r="H3">
        <f>IF(D3&lt;$D$2,1,)</f>
        <v>0</v>
      </c>
      <c r="I3">
        <f>IF(E3&lt;$E$2,1,)</f>
        <v>0</v>
      </c>
      <c r="J3" t="s">
        <v>1</v>
      </c>
      <c r="K3" s="2">
        <v>2.7E-2</v>
      </c>
      <c r="L3" s="2">
        <v>1.2E-2</v>
      </c>
    </row>
    <row r="4" spans="1:12" x14ac:dyDescent="0.25">
      <c r="A4" s="3">
        <v>38625</v>
      </c>
      <c r="B4" cm="1">
        <f t="array" ref="B4">_xlfn.IFS(YEAR($A4)&lt;=2009,ROUNDDOWN(B3+VLOOKUP(B$1,$J$1:$K$5,2,FALSE)*B3,0),YEAR($A4)=2010,B3,YEAR($A4)&gt;2010,ROUNDDOWN(B3-VLOOKUP(B$1,$J$1:$L$5,3,FALSE)*B3,0))</f>
        <v>245</v>
      </c>
      <c r="C4" cm="1">
        <f t="array" ref="C4">_xlfn.IFS(YEAR($A4)&lt;=2009,ROUNDDOWN(C3+VLOOKUP(C$1,$J$1:$K$5,2,FALSE)*C3,0),YEAR($A4)=2010,C3,YEAR($A4)&gt;2010,ROUNDDOWN(C3-VLOOKUP(C$1,$J$1:$L$5,3,FALSE)*C3,0))</f>
        <v>208</v>
      </c>
      <c r="D4" cm="1">
        <f t="array" ref="D4">_xlfn.IFS(YEAR($A4)&lt;=2009,ROUNDDOWN(D3+VLOOKUP(D$1,$J$1:$K$5,2,FALSE)*D3,0),YEAR($A4)=2010,D3,YEAR($A4)&gt;2010,ROUNDDOWN(D3-VLOOKUP(D$1,$J$1:$L$5,3,FALSE)*D3,0))</f>
        <v>219</v>
      </c>
      <c r="E4" cm="1">
        <f t="array" ref="E4">_xlfn.IFS(YEAR($A4)&lt;=2009,ROUNDDOWN(E3+VLOOKUP(E$1,$J$1:$K$5,2,FALSE)*E3,0),YEAR($A4)=2010,E3,YEAR($A4)&gt;2010,ROUNDDOWN(E3-VLOOKUP(E$1,$J$1:$L$5,3,FALSE)*E3,0))</f>
        <v>324</v>
      </c>
      <c r="F4">
        <f t="shared" ref="F4:F33" si="0">IF(B4&lt;$B$2,1,)</f>
        <v>0</v>
      </c>
      <c r="G4">
        <f t="shared" ref="G4:G33" si="1">IF(C4&lt;$C$2,1,)</f>
        <v>0</v>
      </c>
      <c r="H4">
        <f t="shared" ref="H4:H33" si="2">IF(D4&lt;$D$2,1,)</f>
        <v>0</v>
      </c>
      <c r="I4">
        <f t="shared" ref="I4:I33" si="3">IF(E4&lt;$E$2,1,)</f>
        <v>0</v>
      </c>
      <c r="J4" t="s">
        <v>2</v>
      </c>
      <c r="K4" s="1">
        <v>0.03</v>
      </c>
      <c r="L4" s="2">
        <v>1.9E-2</v>
      </c>
    </row>
    <row r="5" spans="1:12" x14ac:dyDescent="0.25">
      <c r="A5" s="3">
        <v>38717</v>
      </c>
      <c r="B5" cm="1">
        <f t="array" ref="B5">_xlfn.IFS(YEAR($A5)&lt;=2009,ROUNDDOWN(B4+VLOOKUP(B$1,$J$1:$K$5,2,FALSE)*B4,0),YEAR($A5)=2010,B4,YEAR($A5)&gt;2010,ROUNDDOWN(B4-VLOOKUP(B$1,$J$1:$L$5,3,FALSE)*B4,0))</f>
        <v>249</v>
      </c>
      <c r="C5" cm="1">
        <f t="array" ref="C5">_xlfn.IFS(YEAR($A5)&lt;=2009,ROUNDDOWN(C4+VLOOKUP(C$1,$J$1:$K$5,2,FALSE)*C4,0),YEAR($A5)=2010,C4,YEAR($A5)&gt;2010,ROUNDDOWN(C4-VLOOKUP(C$1,$J$1:$L$5,3,FALSE)*C4,0))</f>
        <v>213</v>
      </c>
      <c r="D5" cm="1">
        <f t="array" ref="D5">_xlfn.IFS(YEAR($A5)&lt;=2009,ROUNDDOWN(D4+VLOOKUP(D$1,$J$1:$K$5,2,FALSE)*D4,0),YEAR($A5)=2010,D4,YEAR($A5)&gt;2010,ROUNDDOWN(D4-VLOOKUP(D$1,$J$1:$L$5,3,FALSE)*D4,0))</f>
        <v>225</v>
      </c>
      <c r="E5" cm="1">
        <f t="array" ref="E5">_xlfn.IFS(YEAR($A5)&lt;=2009,ROUNDDOWN(E4+VLOOKUP(E$1,$J$1:$K$5,2,FALSE)*E4,0),YEAR($A5)=2010,E4,YEAR($A5)&gt;2010,ROUNDDOWN(E4-VLOOKUP(E$1,$J$1:$L$5,3,FALSE)*E4,0))</f>
        <v>330</v>
      </c>
      <c r="F5">
        <f t="shared" si="0"/>
        <v>0</v>
      </c>
      <c r="G5">
        <f t="shared" si="1"/>
        <v>0</v>
      </c>
      <c r="H5">
        <f t="shared" si="2"/>
        <v>0</v>
      </c>
      <c r="I5">
        <f t="shared" si="3"/>
        <v>0</v>
      </c>
      <c r="J5" t="s">
        <v>3</v>
      </c>
      <c r="K5" s="1">
        <v>0.02</v>
      </c>
      <c r="L5" s="2">
        <v>2.5000000000000001E-2</v>
      </c>
    </row>
    <row r="6" spans="1:12" x14ac:dyDescent="0.25">
      <c r="A6" s="3">
        <v>38807</v>
      </c>
      <c r="B6" cm="1">
        <f t="array" ref="B6">_xlfn.IFS(YEAR($A6)&lt;=2009,ROUNDDOWN(B5+VLOOKUP(B$1,$J$1:$K$5,2,FALSE)*B5,0),YEAR($A6)=2010,B5,YEAR($A6)&gt;2010,ROUNDDOWN(B5-VLOOKUP(B$1,$J$1:$L$5,3,FALSE)*B5,0))</f>
        <v>253</v>
      </c>
      <c r="C6" cm="1">
        <f t="array" ref="C6">_xlfn.IFS(YEAR($A6)&lt;=2009,ROUNDDOWN(C5+VLOOKUP(C$1,$J$1:$K$5,2,FALSE)*C5,0),YEAR($A6)=2010,C5,YEAR($A6)&gt;2010,ROUNDDOWN(C5-VLOOKUP(C$1,$J$1:$L$5,3,FALSE)*C5,0))</f>
        <v>218</v>
      </c>
      <c r="D6" cm="1">
        <f t="array" ref="D6">_xlfn.IFS(YEAR($A6)&lt;=2009,ROUNDDOWN(D5+VLOOKUP(D$1,$J$1:$K$5,2,FALSE)*D5,0),YEAR($A6)=2010,D5,YEAR($A6)&gt;2010,ROUNDDOWN(D5-VLOOKUP(D$1,$J$1:$L$5,3,FALSE)*D5,0))</f>
        <v>231</v>
      </c>
      <c r="E6" cm="1">
        <f t="array" ref="E6">_xlfn.IFS(YEAR($A6)&lt;=2009,ROUNDDOWN(E5+VLOOKUP(E$1,$J$1:$K$5,2,FALSE)*E5,0),YEAR($A6)=2010,E5,YEAR($A6)&gt;2010,ROUNDDOWN(E5-VLOOKUP(E$1,$J$1:$L$5,3,FALSE)*E5,0))</f>
        <v>336</v>
      </c>
      <c r="F6">
        <f t="shared" si="0"/>
        <v>0</v>
      </c>
      <c r="G6">
        <f t="shared" si="1"/>
        <v>0</v>
      </c>
      <c r="H6">
        <f t="shared" si="2"/>
        <v>0</v>
      </c>
      <c r="I6">
        <f t="shared" si="3"/>
        <v>0</v>
      </c>
    </row>
    <row r="7" spans="1:12" x14ac:dyDescent="0.25">
      <c r="A7" s="3">
        <v>38898</v>
      </c>
      <c r="B7" cm="1">
        <f t="array" ref="B7">_xlfn.IFS(YEAR($A7)&lt;=2009,ROUNDDOWN(B6+VLOOKUP(B$1,$J$1:$K$5,2,FALSE)*B6,0),YEAR($A7)=2010,B6,YEAR($A7)&gt;2010,ROUNDDOWN(B6-VLOOKUP(B$1,$J$1:$L$5,3,FALSE)*B6,0))</f>
        <v>258</v>
      </c>
      <c r="C7" cm="1">
        <f t="array" ref="C7">_xlfn.IFS(YEAR($A7)&lt;=2009,ROUNDDOWN(C6+VLOOKUP(C$1,$J$1:$K$5,2,FALSE)*C6,0),YEAR($A7)=2010,C6,YEAR($A7)&gt;2010,ROUNDDOWN(C6-VLOOKUP(C$1,$J$1:$L$5,3,FALSE)*C6,0))</f>
        <v>223</v>
      </c>
      <c r="D7" cm="1">
        <f t="array" ref="D7">_xlfn.IFS(YEAR($A7)&lt;=2009,ROUNDDOWN(D6+VLOOKUP(D$1,$J$1:$K$5,2,FALSE)*D6,0),YEAR($A7)=2010,D6,YEAR($A7)&gt;2010,ROUNDDOWN(D6-VLOOKUP(D$1,$J$1:$L$5,3,FALSE)*D6,0))</f>
        <v>237</v>
      </c>
      <c r="E7" cm="1">
        <f t="array" ref="E7">_xlfn.IFS(YEAR($A7)&lt;=2009,ROUNDDOWN(E6+VLOOKUP(E$1,$J$1:$K$5,2,FALSE)*E6,0),YEAR($A7)=2010,E6,YEAR($A7)&gt;2010,ROUNDDOWN(E6-VLOOKUP(E$1,$J$1:$L$5,3,FALSE)*E6,0))</f>
        <v>342</v>
      </c>
      <c r="F7">
        <f t="shared" si="0"/>
        <v>0</v>
      </c>
      <c r="G7">
        <f t="shared" si="1"/>
        <v>0</v>
      </c>
      <c r="H7">
        <f t="shared" si="2"/>
        <v>0</v>
      </c>
      <c r="I7">
        <f t="shared" si="3"/>
        <v>0</v>
      </c>
    </row>
    <row r="8" spans="1:12" x14ac:dyDescent="0.25">
      <c r="A8" s="3">
        <v>38990</v>
      </c>
      <c r="B8" cm="1">
        <f t="array" ref="B8">_xlfn.IFS(YEAR($A8)&lt;=2009,ROUNDDOWN(B7+VLOOKUP(B$1,$J$1:$K$5,2,FALSE)*B7,0),YEAR($A8)=2010,B7,YEAR($A8)&gt;2010,ROUNDDOWN(B7-VLOOKUP(B$1,$J$1:$L$5,3,FALSE)*B7,0))</f>
        <v>263</v>
      </c>
      <c r="C8" cm="1">
        <f t="array" ref="C8">_xlfn.IFS(YEAR($A8)&lt;=2009,ROUNDDOWN(C7+VLOOKUP(C$1,$J$1:$K$5,2,FALSE)*C7,0),YEAR($A8)=2010,C7,YEAR($A8)&gt;2010,ROUNDDOWN(C7-VLOOKUP(C$1,$J$1:$L$5,3,FALSE)*C7,0))</f>
        <v>229</v>
      </c>
      <c r="D8" cm="1">
        <f t="array" ref="D8">_xlfn.IFS(YEAR($A8)&lt;=2009,ROUNDDOWN(D7+VLOOKUP(D$1,$J$1:$K$5,2,FALSE)*D7,0),YEAR($A8)=2010,D7,YEAR($A8)&gt;2010,ROUNDDOWN(D7-VLOOKUP(D$1,$J$1:$L$5,3,FALSE)*D7,0))</f>
        <v>244</v>
      </c>
      <c r="E8" cm="1">
        <f t="array" ref="E8">_xlfn.IFS(YEAR($A8)&lt;=2009,ROUNDDOWN(E7+VLOOKUP(E$1,$J$1:$K$5,2,FALSE)*E7,0),YEAR($A8)=2010,E7,YEAR($A8)&gt;2010,ROUNDDOWN(E7-VLOOKUP(E$1,$J$1:$L$5,3,FALSE)*E7,0))</f>
        <v>348</v>
      </c>
      <c r="F8">
        <f t="shared" si="0"/>
        <v>0</v>
      </c>
      <c r="G8">
        <f t="shared" si="1"/>
        <v>0</v>
      </c>
      <c r="H8">
        <f t="shared" si="2"/>
        <v>0</v>
      </c>
      <c r="I8">
        <f t="shared" si="3"/>
        <v>0</v>
      </c>
    </row>
    <row r="9" spans="1:12" x14ac:dyDescent="0.25">
      <c r="A9" s="3">
        <v>39082</v>
      </c>
      <c r="B9" cm="1">
        <f t="array" ref="B9">_xlfn.IFS(YEAR($A9)&lt;=2009,ROUNDDOWN(B8+VLOOKUP(B$1,$J$1:$K$5,2,FALSE)*B8,0),YEAR($A9)=2010,B8,YEAR($A9)&gt;2010,ROUNDDOWN(B8-VLOOKUP(B$1,$J$1:$L$5,3,FALSE)*B8,0))</f>
        <v>268</v>
      </c>
      <c r="C9" cm="1">
        <f t="array" ref="C9">_xlfn.IFS(YEAR($A9)&lt;=2009,ROUNDDOWN(C8+VLOOKUP(C$1,$J$1:$K$5,2,FALSE)*C8,0),YEAR($A9)=2010,C8,YEAR($A9)&gt;2010,ROUNDDOWN(C8-VLOOKUP(C$1,$J$1:$L$5,3,FALSE)*C8,0))</f>
        <v>235</v>
      </c>
      <c r="D9" cm="1">
        <f t="array" ref="D9">_xlfn.IFS(YEAR($A9)&lt;=2009,ROUNDDOWN(D8+VLOOKUP(D$1,$J$1:$K$5,2,FALSE)*D8,0),YEAR($A9)=2010,D8,YEAR($A9)&gt;2010,ROUNDDOWN(D8-VLOOKUP(D$1,$J$1:$L$5,3,FALSE)*D8,0))</f>
        <v>251</v>
      </c>
      <c r="E9" cm="1">
        <f t="array" ref="E9">_xlfn.IFS(YEAR($A9)&lt;=2009,ROUNDDOWN(E8+VLOOKUP(E$1,$J$1:$K$5,2,FALSE)*E8,0),YEAR($A9)=2010,E8,YEAR($A9)&gt;2010,ROUNDDOWN(E8-VLOOKUP(E$1,$J$1:$L$5,3,FALSE)*E8,0))</f>
        <v>354</v>
      </c>
      <c r="F9">
        <f t="shared" si="0"/>
        <v>0</v>
      </c>
      <c r="G9">
        <f t="shared" si="1"/>
        <v>0</v>
      </c>
      <c r="H9">
        <f t="shared" si="2"/>
        <v>0</v>
      </c>
      <c r="I9">
        <f t="shared" si="3"/>
        <v>0</v>
      </c>
    </row>
    <row r="10" spans="1:12" x14ac:dyDescent="0.25">
      <c r="A10" s="3">
        <v>39172</v>
      </c>
      <c r="B10" cm="1">
        <f t="array" ref="B10">_xlfn.IFS(YEAR($A10)&lt;=2009,ROUNDDOWN(B9+VLOOKUP(B$1,$J$1:$K$5,2,FALSE)*B9,0),YEAR($A10)=2010,B9,YEAR($A10)&gt;2010,ROUNDDOWN(B9-VLOOKUP(B$1,$J$1:$L$5,3,FALSE)*B9,0))</f>
        <v>273</v>
      </c>
      <c r="C10" cm="1">
        <f t="array" ref="C10">_xlfn.IFS(YEAR($A10)&lt;=2009,ROUNDDOWN(C9+VLOOKUP(C$1,$J$1:$K$5,2,FALSE)*C9,0),YEAR($A10)=2010,C9,YEAR($A10)&gt;2010,ROUNDDOWN(C9-VLOOKUP(C$1,$J$1:$L$5,3,FALSE)*C9,0))</f>
        <v>241</v>
      </c>
      <c r="D10" cm="1">
        <f t="array" ref="D10">_xlfn.IFS(YEAR($A10)&lt;=2009,ROUNDDOWN(D9+VLOOKUP(D$1,$J$1:$K$5,2,FALSE)*D9,0),YEAR($A10)=2010,D9,YEAR($A10)&gt;2010,ROUNDDOWN(D9-VLOOKUP(D$1,$J$1:$L$5,3,FALSE)*D9,0))</f>
        <v>258</v>
      </c>
      <c r="E10" cm="1">
        <f t="array" ref="E10">_xlfn.IFS(YEAR($A10)&lt;=2009,ROUNDDOWN(E9+VLOOKUP(E$1,$J$1:$K$5,2,FALSE)*E9,0),YEAR($A10)=2010,E9,YEAR($A10)&gt;2010,ROUNDDOWN(E9-VLOOKUP(E$1,$J$1:$L$5,3,FALSE)*E9,0))</f>
        <v>361</v>
      </c>
      <c r="F10">
        <f t="shared" si="0"/>
        <v>0</v>
      </c>
      <c r="G10">
        <f t="shared" si="1"/>
        <v>0</v>
      </c>
      <c r="H10">
        <f t="shared" si="2"/>
        <v>0</v>
      </c>
      <c r="I10">
        <f t="shared" si="3"/>
        <v>0</v>
      </c>
    </row>
    <row r="11" spans="1:12" x14ac:dyDescent="0.25">
      <c r="A11" s="3">
        <v>39263</v>
      </c>
      <c r="B11" cm="1">
        <f t="array" ref="B11">_xlfn.IFS(YEAR($A11)&lt;=2009,ROUNDDOWN(B10+VLOOKUP(B$1,$J$1:$K$5,2,FALSE)*B10,0),YEAR($A11)=2010,B10,YEAR($A11)&gt;2010,ROUNDDOWN(B10-VLOOKUP(B$1,$J$1:$L$5,3,FALSE)*B10,0))</f>
        <v>278</v>
      </c>
      <c r="C11" cm="1">
        <f t="array" ref="C11">_xlfn.IFS(YEAR($A11)&lt;=2009,ROUNDDOWN(C10+VLOOKUP(C$1,$J$1:$K$5,2,FALSE)*C10,0),YEAR($A11)=2010,C10,YEAR($A11)&gt;2010,ROUNDDOWN(C10-VLOOKUP(C$1,$J$1:$L$5,3,FALSE)*C10,0))</f>
        <v>247</v>
      </c>
      <c r="D11" cm="1">
        <f t="array" ref="D11">_xlfn.IFS(YEAR($A11)&lt;=2009,ROUNDDOWN(D10+VLOOKUP(D$1,$J$1:$K$5,2,FALSE)*D10,0),YEAR($A11)=2010,D10,YEAR($A11)&gt;2010,ROUNDDOWN(D10-VLOOKUP(D$1,$J$1:$L$5,3,FALSE)*D10,0))</f>
        <v>265</v>
      </c>
      <c r="E11" cm="1">
        <f t="array" ref="E11">_xlfn.IFS(YEAR($A11)&lt;=2009,ROUNDDOWN(E10+VLOOKUP(E$1,$J$1:$K$5,2,FALSE)*E10,0),YEAR($A11)=2010,E10,YEAR($A11)&gt;2010,ROUNDDOWN(E10-VLOOKUP(E$1,$J$1:$L$5,3,FALSE)*E10,0))</f>
        <v>368</v>
      </c>
      <c r="F11">
        <f t="shared" si="0"/>
        <v>0</v>
      </c>
      <c r="G11">
        <f t="shared" si="1"/>
        <v>0</v>
      </c>
      <c r="H11">
        <f t="shared" si="2"/>
        <v>0</v>
      </c>
      <c r="I11">
        <f t="shared" si="3"/>
        <v>0</v>
      </c>
    </row>
    <row r="12" spans="1:12" x14ac:dyDescent="0.25">
      <c r="A12" s="3">
        <v>39355</v>
      </c>
      <c r="B12" cm="1">
        <f t="array" ref="B12">_xlfn.IFS(YEAR($A12)&lt;=2009,ROUNDDOWN(B11+VLOOKUP(B$1,$J$1:$K$5,2,FALSE)*B11,0),YEAR($A12)=2010,B11,YEAR($A12)&gt;2010,ROUNDDOWN(B11-VLOOKUP(B$1,$J$1:$L$5,3,FALSE)*B11,0))</f>
        <v>283</v>
      </c>
      <c r="C12" cm="1">
        <f t="array" ref="C12">_xlfn.IFS(YEAR($A12)&lt;=2009,ROUNDDOWN(C11+VLOOKUP(C$1,$J$1:$K$5,2,FALSE)*C11,0),YEAR($A12)=2010,C11,YEAR($A12)&gt;2010,ROUNDDOWN(C11-VLOOKUP(C$1,$J$1:$L$5,3,FALSE)*C11,0))</f>
        <v>253</v>
      </c>
      <c r="D12" cm="1">
        <f t="array" ref="D12">_xlfn.IFS(YEAR($A12)&lt;=2009,ROUNDDOWN(D11+VLOOKUP(D$1,$J$1:$K$5,2,FALSE)*D11,0),YEAR($A12)=2010,D11,YEAR($A12)&gt;2010,ROUNDDOWN(D11-VLOOKUP(D$1,$J$1:$L$5,3,FALSE)*D11,0))</f>
        <v>272</v>
      </c>
      <c r="E12" cm="1">
        <f t="array" ref="E12">_xlfn.IFS(YEAR($A12)&lt;=2009,ROUNDDOWN(E11+VLOOKUP(E$1,$J$1:$K$5,2,FALSE)*E11,0),YEAR($A12)=2010,E11,YEAR($A12)&gt;2010,ROUNDDOWN(E11-VLOOKUP(E$1,$J$1:$L$5,3,FALSE)*E11,0))</f>
        <v>375</v>
      </c>
      <c r="F12">
        <f t="shared" si="0"/>
        <v>0</v>
      </c>
      <c r="G12">
        <f t="shared" si="1"/>
        <v>0</v>
      </c>
      <c r="H12">
        <f t="shared" si="2"/>
        <v>0</v>
      </c>
      <c r="I12">
        <f t="shared" si="3"/>
        <v>0</v>
      </c>
    </row>
    <row r="13" spans="1:12" x14ac:dyDescent="0.25">
      <c r="A13" s="3">
        <v>39447</v>
      </c>
      <c r="B13" cm="1">
        <f t="array" ref="B13">_xlfn.IFS(YEAR($A13)&lt;=2009,ROUNDDOWN(B12+VLOOKUP(B$1,$J$1:$K$5,2,FALSE)*B12,0),YEAR($A13)=2010,B12,YEAR($A13)&gt;2010,ROUNDDOWN(B12-VLOOKUP(B$1,$J$1:$L$5,3,FALSE)*B12,0))</f>
        <v>288</v>
      </c>
      <c r="C13" cm="1">
        <f t="array" ref="C13">_xlfn.IFS(YEAR($A13)&lt;=2009,ROUNDDOWN(C12+VLOOKUP(C$1,$J$1:$K$5,2,FALSE)*C12,0),YEAR($A13)=2010,C12,YEAR($A13)&gt;2010,ROUNDDOWN(C12-VLOOKUP(C$1,$J$1:$L$5,3,FALSE)*C12,0))</f>
        <v>259</v>
      </c>
      <c r="D13" cm="1">
        <f t="array" ref="D13">_xlfn.IFS(YEAR($A13)&lt;=2009,ROUNDDOWN(D12+VLOOKUP(D$1,$J$1:$K$5,2,FALSE)*D12,0),YEAR($A13)=2010,D12,YEAR($A13)&gt;2010,ROUNDDOWN(D12-VLOOKUP(D$1,$J$1:$L$5,3,FALSE)*D12,0))</f>
        <v>280</v>
      </c>
      <c r="E13" cm="1">
        <f t="array" ref="E13">_xlfn.IFS(YEAR($A13)&lt;=2009,ROUNDDOWN(E12+VLOOKUP(E$1,$J$1:$K$5,2,FALSE)*E12,0),YEAR($A13)=2010,E12,YEAR($A13)&gt;2010,ROUNDDOWN(E12-VLOOKUP(E$1,$J$1:$L$5,3,FALSE)*E12,0))</f>
        <v>382</v>
      </c>
      <c r="F13">
        <f t="shared" si="0"/>
        <v>0</v>
      </c>
      <c r="G13">
        <f t="shared" si="1"/>
        <v>0</v>
      </c>
      <c r="H13">
        <f t="shared" si="2"/>
        <v>0</v>
      </c>
      <c r="I13">
        <f t="shared" si="3"/>
        <v>0</v>
      </c>
    </row>
    <row r="14" spans="1:12" x14ac:dyDescent="0.25">
      <c r="A14" s="3">
        <v>39538</v>
      </c>
      <c r="B14" cm="1">
        <f t="array" ref="B14">_xlfn.IFS(YEAR($A14)&lt;=2009,ROUNDDOWN(B13+VLOOKUP(B$1,$J$1:$K$5,2,FALSE)*B13,0),YEAR($A14)=2010,B13,YEAR($A14)&gt;2010,ROUNDDOWN(B13-VLOOKUP(B$1,$J$1:$L$5,3,FALSE)*B13,0))</f>
        <v>293</v>
      </c>
      <c r="C14" cm="1">
        <f t="array" ref="C14">_xlfn.IFS(YEAR($A14)&lt;=2009,ROUNDDOWN(C13+VLOOKUP(C$1,$J$1:$K$5,2,FALSE)*C13,0),YEAR($A14)=2010,C13,YEAR($A14)&gt;2010,ROUNDDOWN(C13-VLOOKUP(C$1,$J$1:$L$5,3,FALSE)*C13,0))</f>
        <v>265</v>
      </c>
      <c r="D14" cm="1">
        <f t="array" ref="D14">_xlfn.IFS(YEAR($A14)&lt;=2009,ROUNDDOWN(D13+VLOOKUP(D$1,$J$1:$K$5,2,FALSE)*D13,0),YEAR($A14)=2010,D13,YEAR($A14)&gt;2010,ROUNDDOWN(D13-VLOOKUP(D$1,$J$1:$L$5,3,FALSE)*D13,0))</f>
        <v>288</v>
      </c>
      <c r="E14" cm="1">
        <f t="array" ref="E14">_xlfn.IFS(YEAR($A14)&lt;=2009,ROUNDDOWN(E13+VLOOKUP(E$1,$J$1:$K$5,2,FALSE)*E13,0),YEAR($A14)=2010,E13,YEAR($A14)&gt;2010,ROUNDDOWN(E13-VLOOKUP(E$1,$J$1:$L$5,3,FALSE)*E13,0))</f>
        <v>389</v>
      </c>
      <c r="F14">
        <f t="shared" si="0"/>
        <v>0</v>
      </c>
      <c r="G14">
        <f t="shared" si="1"/>
        <v>0</v>
      </c>
      <c r="H14">
        <f t="shared" si="2"/>
        <v>0</v>
      </c>
      <c r="I14">
        <f t="shared" si="3"/>
        <v>0</v>
      </c>
    </row>
    <row r="15" spans="1:12" x14ac:dyDescent="0.25">
      <c r="A15" s="3">
        <v>39629</v>
      </c>
      <c r="B15" cm="1">
        <f t="array" ref="B15">_xlfn.IFS(YEAR($A15)&lt;=2009,ROUNDDOWN(B14+VLOOKUP(B$1,$J$1:$K$5,2,FALSE)*B14,0),YEAR($A15)=2010,B14,YEAR($A15)&gt;2010,ROUNDDOWN(B14-VLOOKUP(B$1,$J$1:$L$5,3,FALSE)*B14,0))</f>
        <v>298</v>
      </c>
      <c r="C15" cm="1">
        <f t="array" ref="C15">_xlfn.IFS(YEAR($A15)&lt;=2009,ROUNDDOWN(C14+VLOOKUP(C$1,$J$1:$K$5,2,FALSE)*C14,0),YEAR($A15)=2010,C14,YEAR($A15)&gt;2010,ROUNDDOWN(C14-VLOOKUP(C$1,$J$1:$L$5,3,FALSE)*C14,0))</f>
        <v>272</v>
      </c>
      <c r="D15" cm="1">
        <f t="array" ref="D15">_xlfn.IFS(YEAR($A15)&lt;=2009,ROUNDDOWN(D14+VLOOKUP(D$1,$J$1:$K$5,2,FALSE)*D14,0),YEAR($A15)=2010,D14,YEAR($A15)&gt;2010,ROUNDDOWN(D14-VLOOKUP(D$1,$J$1:$L$5,3,FALSE)*D14,0))</f>
        <v>296</v>
      </c>
      <c r="E15" cm="1">
        <f t="array" ref="E15">_xlfn.IFS(YEAR($A15)&lt;=2009,ROUNDDOWN(E14+VLOOKUP(E$1,$J$1:$K$5,2,FALSE)*E14,0),YEAR($A15)=2010,E14,YEAR($A15)&gt;2010,ROUNDDOWN(E14-VLOOKUP(E$1,$J$1:$L$5,3,FALSE)*E14,0))</f>
        <v>396</v>
      </c>
      <c r="F15">
        <f t="shared" si="0"/>
        <v>0</v>
      </c>
      <c r="G15">
        <f t="shared" si="1"/>
        <v>0</v>
      </c>
      <c r="H15">
        <f t="shared" si="2"/>
        <v>0</v>
      </c>
      <c r="I15">
        <f t="shared" si="3"/>
        <v>0</v>
      </c>
    </row>
    <row r="16" spans="1:12" x14ac:dyDescent="0.25">
      <c r="A16" s="3">
        <v>39721</v>
      </c>
      <c r="B16" cm="1">
        <f t="array" ref="B16">_xlfn.IFS(YEAR($A16)&lt;=2009,ROUNDDOWN(B15+VLOOKUP(B$1,$J$1:$K$5,2,FALSE)*B15,0),YEAR($A16)=2010,B15,YEAR($A16)&gt;2010,ROUNDDOWN(B15-VLOOKUP(B$1,$J$1:$L$5,3,FALSE)*B15,0))</f>
        <v>303</v>
      </c>
      <c r="C16" cm="1">
        <f t="array" ref="C16">_xlfn.IFS(YEAR($A16)&lt;=2009,ROUNDDOWN(C15+VLOOKUP(C$1,$J$1:$K$5,2,FALSE)*C15,0),YEAR($A16)=2010,C15,YEAR($A16)&gt;2010,ROUNDDOWN(C15-VLOOKUP(C$1,$J$1:$L$5,3,FALSE)*C15,0))</f>
        <v>279</v>
      </c>
      <c r="D16" cm="1">
        <f t="array" ref="D16">_xlfn.IFS(YEAR($A16)&lt;=2009,ROUNDDOWN(D15+VLOOKUP(D$1,$J$1:$K$5,2,FALSE)*D15,0),YEAR($A16)=2010,D15,YEAR($A16)&gt;2010,ROUNDDOWN(D15-VLOOKUP(D$1,$J$1:$L$5,3,FALSE)*D15,0))</f>
        <v>304</v>
      </c>
      <c r="E16" cm="1">
        <f t="array" ref="E16">_xlfn.IFS(YEAR($A16)&lt;=2009,ROUNDDOWN(E15+VLOOKUP(E$1,$J$1:$K$5,2,FALSE)*E15,0),YEAR($A16)=2010,E15,YEAR($A16)&gt;2010,ROUNDDOWN(E15-VLOOKUP(E$1,$J$1:$L$5,3,FALSE)*E15,0))</f>
        <v>403</v>
      </c>
      <c r="F16">
        <f t="shared" si="0"/>
        <v>0</v>
      </c>
      <c r="G16">
        <f t="shared" si="1"/>
        <v>0</v>
      </c>
      <c r="H16">
        <f t="shared" si="2"/>
        <v>0</v>
      </c>
      <c r="I16">
        <f t="shared" si="3"/>
        <v>0</v>
      </c>
    </row>
    <row r="17" spans="1:9" x14ac:dyDescent="0.25">
      <c r="A17" s="3">
        <v>39813</v>
      </c>
      <c r="B17" cm="1">
        <f t="array" ref="B17">_xlfn.IFS(YEAR($A17)&lt;=2009,ROUNDDOWN(B16+VLOOKUP(B$1,$J$1:$K$5,2,FALSE)*B16,0),YEAR($A17)=2010,B16,YEAR($A17)&gt;2010,ROUNDDOWN(B16-VLOOKUP(B$1,$J$1:$L$5,3,FALSE)*B16,0))</f>
        <v>309</v>
      </c>
      <c r="C17" cm="1">
        <f t="array" ref="C17">_xlfn.IFS(YEAR($A17)&lt;=2009,ROUNDDOWN(C16+VLOOKUP(C$1,$J$1:$K$5,2,FALSE)*C16,0),YEAR($A17)=2010,C16,YEAR($A17)&gt;2010,ROUNDDOWN(C16-VLOOKUP(C$1,$J$1:$L$5,3,FALSE)*C16,0))</f>
        <v>286</v>
      </c>
      <c r="D17" cm="1">
        <f t="array" ref="D17">_xlfn.IFS(YEAR($A17)&lt;=2009,ROUNDDOWN(D16+VLOOKUP(D$1,$J$1:$K$5,2,FALSE)*D16,0),YEAR($A17)=2010,D16,YEAR($A17)&gt;2010,ROUNDDOWN(D16-VLOOKUP(D$1,$J$1:$L$5,3,FALSE)*D16,0))</f>
        <v>313</v>
      </c>
      <c r="E17" cm="1">
        <f t="array" ref="E17">_xlfn.IFS(YEAR($A17)&lt;=2009,ROUNDDOWN(E16+VLOOKUP(E$1,$J$1:$K$5,2,FALSE)*E16,0),YEAR($A17)=2010,E16,YEAR($A17)&gt;2010,ROUNDDOWN(E16-VLOOKUP(E$1,$J$1:$L$5,3,FALSE)*E16,0))</f>
        <v>411</v>
      </c>
      <c r="F17">
        <f t="shared" si="0"/>
        <v>0</v>
      </c>
      <c r="G17">
        <f t="shared" si="1"/>
        <v>0</v>
      </c>
      <c r="H17">
        <f t="shared" si="2"/>
        <v>0</v>
      </c>
      <c r="I17">
        <f t="shared" si="3"/>
        <v>0</v>
      </c>
    </row>
    <row r="18" spans="1:9" x14ac:dyDescent="0.25">
      <c r="A18" s="3">
        <v>39903</v>
      </c>
      <c r="B18" cm="1">
        <f t="array" ref="B18">_xlfn.IFS(YEAR($A18)&lt;=2009,ROUNDDOWN(B17+VLOOKUP(B$1,$J$1:$K$5,2,FALSE)*B17,0),YEAR($A18)=2010,B17,YEAR($A18)&gt;2010,ROUNDDOWN(B17-VLOOKUP(B$1,$J$1:$L$5,3,FALSE)*B17,0))</f>
        <v>315</v>
      </c>
      <c r="C18" cm="1">
        <f t="array" ref="C18">_xlfn.IFS(YEAR($A18)&lt;=2009,ROUNDDOWN(C17+VLOOKUP(C$1,$J$1:$K$5,2,FALSE)*C17,0),YEAR($A18)=2010,C17,YEAR($A18)&gt;2010,ROUNDDOWN(C17-VLOOKUP(C$1,$J$1:$L$5,3,FALSE)*C17,0))</f>
        <v>293</v>
      </c>
      <c r="D18" cm="1">
        <f t="array" ref="D18">_xlfn.IFS(YEAR($A18)&lt;=2009,ROUNDDOWN(D17+VLOOKUP(D$1,$J$1:$K$5,2,FALSE)*D17,0),YEAR($A18)=2010,D17,YEAR($A18)&gt;2010,ROUNDDOWN(D17-VLOOKUP(D$1,$J$1:$L$5,3,FALSE)*D17,0))</f>
        <v>322</v>
      </c>
      <c r="E18" cm="1">
        <f t="array" ref="E18">_xlfn.IFS(YEAR($A18)&lt;=2009,ROUNDDOWN(E17+VLOOKUP(E$1,$J$1:$K$5,2,FALSE)*E17,0),YEAR($A18)=2010,E17,YEAR($A18)&gt;2010,ROUNDDOWN(E17-VLOOKUP(E$1,$J$1:$L$5,3,FALSE)*E17,0))</f>
        <v>419</v>
      </c>
      <c r="F18">
        <f t="shared" si="0"/>
        <v>0</v>
      </c>
      <c r="G18">
        <f t="shared" si="1"/>
        <v>0</v>
      </c>
      <c r="H18">
        <f t="shared" si="2"/>
        <v>0</v>
      </c>
      <c r="I18">
        <f t="shared" si="3"/>
        <v>0</v>
      </c>
    </row>
    <row r="19" spans="1:9" x14ac:dyDescent="0.25">
      <c r="A19" s="3">
        <v>39994</v>
      </c>
      <c r="B19" cm="1">
        <f t="array" ref="B19">_xlfn.IFS(YEAR($A19)&lt;=2009,ROUNDDOWN(B18+VLOOKUP(B$1,$J$1:$K$5,2,FALSE)*B18,0),YEAR($A19)=2010,B18,YEAR($A19)&gt;2010,ROUNDDOWN(B18-VLOOKUP(B$1,$J$1:$L$5,3,FALSE)*B18,0))</f>
        <v>321</v>
      </c>
      <c r="C19" cm="1">
        <f t="array" ref="C19">_xlfn.IFS(YEAR($A19)&lt;=2009,ROUNDDOWN(C18+VLOOKUP(C$1,$J$1:$K$5,2,FALSE)*C18,0),YEAR($A19)=2010,C18,YEAR($A19)&gt;2010,ROUNDDOWN(C18-VLOOKUP(C$1,$J$1:$L$5,3,FALSE)*C18,0))</f>
        <v>300</v>
      </c>
      <c r="D19" cm="1">
        <f t="array" ref="D19">_xlfn.IFS(YEAR($A19)&lt;=2009,ROUNDDOWN(D18+VLOOKUP(D$1,$J$1:$K$5,2,FALSE)*D18,0),YEAR($A19)=2010,D18,YEAR($A19)&gt;2010,ROUNDDOWN(D18-VLOOKUP(D$1,$J$1:$L$5,3,FALSE)*D18,0))</f>
        <v>331</v>
      </c>
      <c r="E19" cm="1">
        <f t="array" ref="E19">_xlfn.IFS(YEAR($A19)&lt;=2009,ROUNDDOWN(E18+VLOOKUP(E$1,$J$1:$K$5,2,FALSE)*E18,0),YEAR($A19)=2010,E18,YEAR($A19)&gt;2010,ROUNDDOWN(E18-VLOOKUP(E$1,$J$1:$L$5,3,FALSE)*E18,0))</f>
        <v>427</v>
      </c>
      <c r="F19">
        <f t="shared" si="0"/>
        <v>0</v>
      </c>
      <c r="G19">
        <f t="shared" si="1"/>
        <v>0</v>
      </c>
      <c r="H19">
        <f t="shared" si="2"/>
        <v>0</v>
      </c>
      <c r="I19">
        <f t="shared" si="3"/>
        <v>0</v>
      </c>
    </row>
    <row r="20" spans="1:9" x14ac:dyDescent="0.25">
      <c r="A20" s="3">
        <v>40086</v>
      </c>
      <c r="B20" cm="1">
        <f t="array" ref="B20">_xlfn.IFS(YEAR($A20)&lt;=2009,ROUNDDOWN(B19+VLOOKUP(B$1,$J$1:$K$5,2,FALSE)*B19,0),YEAR($A20)=2010,B19,YEAR($A20)&gt;2010,ROUNDDOWN(B19-VLOOKUP(B$1,$J$1:$L$5,3,FALSE)*B19,0))</f>
        <v>327</v>
      </c>
      <c r="C20" cm="1">
        <f t="array" ref="C20">_xlfn.IFS(YEAR($A20)&lt;=2009,ROUNDDOWN(C19+VLOOKUP(C$1,$J$1:$K$5,2,FALSE)*C19,0),YEAR($A20)=2010,C19,YEAR($A20)&gt;2010,ROUNDDOWN(C19-VLOOKUP(C$1,$J$1:$L$5,3,FALSE)*C19,0))</f>
        <v>308</v>
      </c>
      <c r="D20" cm="1">
        <f t="array" ref="D20">_xlfn.IFS(YEAR($A20)&lt;=2009,ROUNDDOWN(D19+VLOOKUP(D$1,$J$1:$K$5,2,FALSE)*D19,0),YEAR($A20)=2010,D19,YEAR($A20)&gt;2010,ROUNDDOWN(D19-VLOOKUP(D$1,$J$1:$L$5,3,FALSE)*D19,0))</f>
        <v>340</v>
      </c>
      <c r="E20" cm="1">
        <f t="array" ref="E20">_xlfn.IFS(YEAR($A20)&lt;=2009,ROUNDDOWN(E19+VLOOKUP(E$1,$J$1:$K$5,2,FALSE)*E19,0),YEAR($A20)=2010,E19,YEAR($A20)&gt;2010,ROUNDDOWN(E19-VLOOKUP(E$1,$J$1:$L$5,3,FALSE)*E19,0))</f>
        <v>435</v>
      </c>
      <c r="F20">
        <f t="shared" si="0"/>
        <v>0</v>
      </c>
      <c r="G20">
        <f t="shared" si="1"/>
        <v>0</v>
      </c>
      <c r="H20">
        <f t="shared" si="2"/>
        <v>0</v>
      </c>
      <c r="I20">
        <f t="shared" si="3"/>
        <v>0</v>
      </c>
    </row>
    <row r="21" spans="1:9" x14ac:dyDescent="0.25">
      <c r="A21" s="3">
        <v>40178</v>
      </c>
      <c r="B21" cm="1">
        <f t="array" ref="B21">_xlfn.IFS(YEAR($A21)&lt;=2009,ROUNDDOWN(B20+VLOOKUP(B$1,$J$1:$K$5,2,FALSE)*B20,0),YEAR($A21)=2010,B20,YEAR($A21)&gt;2010,ROUNDDOWN(B20-VLOOKUP(B$1,$J$1:$L$5,3,FALSE)*B20,0))</f>
        <v>333</v>
      </c>
      <c r="C21" cm="1">
        <f t="array" ref="C21">_xlfn.IFS(YEAR($A21)&lt;=2009,ROUNDDOWN(C20+VLOOKUP(C$1,$J$1:$K$5,2,FALSE)*C20,0),YEAR($A21)=2010,C20,YEAR($A21)&gt;2010,ROUNDDOWN(C20-VLOOKUP(C$1,$J$1:$L$5,3,FALSE)*C20,0))</f>
        <v>316</v>
      </c>
      <c r="D21" cm="1">
        <f t="array" ref="D21">_xlfn.IFS(YEAR($A21)&lt;=2009,ROUNDDOWN(D20+VLOOKUP(D$1,$J$1:$K$5,2,FALSE)*D20,0),YEAR($A21)=2010,D20,YEAR($A21)&gt;2010,ROUNDDOWN(D20-VLOOKUP(D$1,$J$1:$L$5,3,FALSE)*D20,0))</f>
        <v>350</v>
      </c>
      <c r="E21" cm="1">
        <f t="array" ref="E21">_xlfn.IFS(YEAR($A21)&lt;=2009,ROUNDDOWN(E20+VLOOKUP(E$1,$J$1:$K$5,2,FALSE)*E20,0),YEAR($A21)=2010,E20,YEAR($A21)&gt;2010,ROUNDDOWN(E20-VLOOKUP(E$1,$J$1:$L$5,3,FALSE)*E20,0))</f>
        <v>443</v>
      </c>
      <c r="F21">
        <f t="shared" si="0"/>
        <v>0</v>
      </c>
      <c r="G21">
        <f t="shared" si="1"/>
        <v>0</v>
      </c>
      <c r="H21">
        <f t="shared" si="2"/>
        <v>0</v>
      </c>
      <c r="I21">
        <f t="shared" si="3"/>
        <v>0</v>
      </c>
    </row>
    <row r="22" spans="1:9" x14ac:dyDescent="0.25">
      <c r="A22" s="3">
        <v>40268</v>
      </c>
      <c r="B22" cm="1">
        <f t="array" ref="B22">_xlfn.IFS(YEAR($A22)&lt;=2009,ROUNDDOWN(B21+VLOOKUP(B$1,$J$1:$K$5,2,FALSE)*B21,0),YEAR($A22)=2010,B21,YEAR($A22)&gt;2010,ROUNDDOWN(B21-VLOOKUP(B$1,$J$1:$L$5,3,FALSE)*B21,0))</f>
        <v>333</v>
      </c>
      <c r="C22" cm="1">
        <f t="array" ref="C22">_xlfn.IFS(YEAR($A22)&lt;=2009,ROUNDDOWN(C21+VLOOKUP(C$1,$J$1:$K$5,2,FALSE)*C21,0),YEAR($A22)=2010,C21,YEAR($A22)&gt;2010,ROUNDDOWN(C21-VLOOKUP(C$1,$J$1:$L$5,3,FALSE)*C21,0))</f>
        <v>316</v>
      </c>
      <c r="D22" cm="1">
        <f t="array" ref="D22">_xlfn.IFS(YEAR($A22)&lt;=2009,ROUNDDOWN(D21+VLOOKUP(D$1,$J$1:$K$5,2,FALSE)*D21,0),YEAR($A22)=2010,D21,YEAR($A22)&gt;2010,ROUNDDOWN(D21-VLOOKUP(D$1,$J$1:$L$5,3,FALSE)*D21,0))</f>
        <v>350</v>
      </c>
      <c r="E22" cm="1">
        <f t="array" ref="E22">_xlfn.IFS(YEAR($A22)&lt;=2009,ROUNDDOWN(E21+VLOOKUP(E$1,$J$1:$K$5,2,FALSE)*E21,0),YEAR($A22)=2010,E21,YEAR($A22)&gt;2010,ROUNDDOWN(E21-VLOOKUP(E$1,$J$1:$L$5,3,FALSE)*E21,0))</f>
        <v>443</v>
      </c>
      <c r="F22">
        <f t="shared" si="0"/>
        <v>0</v>
      </c>
      <c r="G22">
        <f t="shared" si="1"/>
        <v>0</v>
      </c>
      <c r="H22">
        <f t="shared" si="2"/>
        <v>0</v>
      </c>
      <c r="I22">
        <f t="shared" si="3"/>
        <v>0</v>
      </c>
    </row>
    <row r="23" spans="1:9" x14ac:dyDescent="0.25">
      <c r="A23" s="3">
        <v>40359</v>
      </c>
      <c r="B23" cm="1">
        <f t="array" ref="B23">_xlfn.IFS(YEAR($A23)&lt;=2009,ROUNDDOWN(B22+VLOOKUP(B$1,$J$1:$K$5,2,FALSE)*B22,0),YEAR($A23)=2010,B22,YEAR($A23)&gt;2010,ROUNDDOWN(B22-VLOOKUP(B$1,$J$1:$L$5,3,FALSE)*B22,0))</f>
        <v>333</v>
      </c>
      <c r="C23" cm="1">
        <f t="array" ref="C23">_xlfn.IFS(YEAR($A23)&lt;=2009,ROUNDDOWN(C22+VLOOKUP(C$1,$J$1:$K$5,2,FALSE)*C22,0),YEAR($A23)=2010,C22,YEAR($A23)&gt;2010,ROUNDDOWN(C22-VLOOKUP(C$1,$J$1:$L$5,3,FALSE)*C22,0))</f>
        <v>316</v>
      </c>
      <c r="D23" cm="1">
        <f t="array" ref="D23">_xlfn.IFS(YEAR($A23)&lt;=2009,ROUNDDOWN(D22+VLOOKUP(D$1,$J$1:$K$5,2,FALSE)*D22,0),YEAR($A23)=2010,D22,YEAR($A23)&gt;2010,ROUNDDOWN(D22-VLOOKUP(D$1,$J$1:$L$5,3,FALSE)*D22,0))</f>
        <v>350</v>
      </c>
      <c r="E23" cm="1">
        <f t="array" ref="E23">_xlfn.IFS(YEAR($A23)&lt;=2009,ROUNDDOWN(E22+VLOOKUP(E$1,$J$1:$K$5,2,FALSE)*E22,0),YEAR($A23)=2010,E22,YEAR($A23)&gt;2010,ROUNDDOWN(E22-VLOOKUP(E$1,$J$1:$L$5,3,FALSE)*E22,0))</f>
        <v>443</v>
      </c>
      <c r="F23">
        <f t="shared" si="0"/>
        <v>0</v>
      </c>
      <c r="G23">
        <f t="shared" si="1"/>
        <v>0</v>
      </c>
      <c r="H23">
        <f t="shared" si="2"/>
        <v>0</v>
      </c>
      <c r="I23">
        <f t="shared" si="3"/>
        <v>0</v>
      </c>
    </row>
    <row r="24" spans="1:9" x14ac:dyDescent="0.25">
      <c r="A24" s="3">
        <v>40451</v>
      </c>
      <c r="B24" cm="1">
        <f t="array" ref="B24">_xlfn.IFS(YEAR($A24)&lt;=2009,ROUNDDOWN(B23+VLOOKUP(B$1,$J$1:$K$5,2,FALSE)*B23,0),YEAR($A24)=2010,B23,YEAR($A24)&gt;2010,ROUNDDOWN(B23-VLOOKUP(B$1,$J$1:$L$5,3,FALSE)*B23,0))</f>
        <v>333</v>
      </c>
      <c r="C24" cm="1">
        <f t="array" ref="C24">_xlfn.IFS(YEAR($A24)&lt;=2009,ROUNDDOWN(C23+VLOOKUP(C$1,$J$1:$K$5,2,FALSE)*C23,0),YEAR($A24)=2010,C23,YEAR($A24)&gt;2010,ROUNDDOWN(C23-VLOOKUP(C$1,$J$1:$L$5,3,FALSE)*C23,0))</f>
        <v>316</v>
      </c>
      <c r="D24" cm="1">
        <f t="array" ref="D24">_xlfn.IFS(YEAR($A24)&lt;=2009,ROUNDDOWN(D23+VLOOKUP(D$1,$J$1:$K$5,2,FALSE)*D23,0),YEAR($A24)=2010,D23,YEAR($A24)&gt;2010,ROUNDDOWN(D23-VLOOKUP(D$1,$J$1:$L$5,3,FALSE)*D23,0))</f>
        <v>350</v>
      </c>
      <c r="E24" cm="1">
        <f t="array" ref="E24">_xlfn.IFS(YEAR($A24)&lt;=2009,ROUNDDOWN(E23+VLOOKUP(E$1,$J$1:$K$5,2,FALSE)*E23,0),YEAR($A24)=2010,E23,YEAR($A24)&gt;2010,ROUNDDOWN(E23-VLOOKUP(E$1,$J$1:$L$5,3,FALSE)*E23,0))</f>
        <v>443</v>
      </c>
      <c r="F24">
        <f t="shared" si="0"/>
        <v>0</v>
      </c>
      <c r="G24">
        <f t="shared" si="1"/>
        <v>0</v>
      </c>
      <c r="H24">
        <f t="shared" si="2"/>
        <v>0</v>
      </c>
      <c r="I24">
        <f t="shared" si="3"/>
        <v>0</v>
      </c>
    </row>
    <row r="25" spans="1:9" x14ac:dyDescent="0.25">
      <c r="A25" s="3">
        <v>40543</v>
      </c>
      <c r="B25" cm="1">
        <f t="array" ref="B25">_xlfn.IFS(YEAR($A25)&lt;=2009,ROUNDDOWN(B24+VLOOKUP(B$1,$J$1:$K$5,2,FALSE)*B24,0),YEAR($A25)=2010,B24,YEAR($A25)&gt;2010,ROUNDDOWN(B24-VLOOKUP(B$1,$J$1:$L$5,3,FALSE)*B24,0))</f>
        <v>333</v>
      </c>
      <c r="C25" cm="1">
        <f t="array" ref="C25">_xlfn.IFS(YEAR($A25)&lt;=2009,ROUNDDOWN(C24+VLOOKUP(C$1,$J$1:$K$5,2,FALSE)*C24,0),YEAR($A25)=2010,C24,YEAR($A25)&gt;2010,ROUNDDOWN(C24-VLOOKUP(C$1,$J$1:$L$5,3,FALSE)*C24,0))</f>
        <v>316</v>
      </c>
      <c r="D25" cm="1">
        <f t="array" ref="D25">_xlfn.IFS(YEAR($A25)&lt;=2009,ROUNDDOWN(D24+VLOOKUP(D$1,$J$1:$K$5,2,FALSE)*D24,0),YEAR($A25)=2010,D24,YEAR($A25)&gt;2010,ROUNDDOWN(D24-VLOOKUP(D$1,$J$1:$L$5,3,FALSE)*D24,0))</f>
        <v>350</v>
      </c>
      <c r="E25" cm="1">
        <f t="array" ref="E25">_xlfn.IFS(YEAR($A25)&lt;=2009,ROUNDDOWN(E24+VLOOKUP(E$1,$J$1:$K$5,2,FALSE)*E24,0),YEAR($A25)=2010,E24,YEAR($A25)&gt;2010,ROUNDDOWN(E24-VLOOKUP(E$1,$J$1:$L$5,3,FALSE)*E24,0))</f>
        <v>443</v>
      </c>
      <c r="F25">
        <f t="shared" si="0"/>
        <v>0</v>
      </c>
      <c r="G25">
        <f t="shared" si="1"/>
        <v>0</v>
      </c>
      <c r="H25">
        <f t="shared" si="2"/>
        <v>0</v>
      </c>
      <c r="I25">
        <f t="shared" si="3"/>
        <v>0</v>
      </c>
    </row>
    <row r="26" spans="1:9" x14ac:dyDescent="0.25">
      <c r="A26" s="3">
        <v>40633</v>
      </c>
      <c r="B26" cm="1">
        <f t="array" ref="B26">_xlfn.IFS(YEAR($A26)&lt;=2009,ROUNDDOWN(B25+VLOOKUP(B$1,$J$1:$K$5,2,FALSE)*B25,0),YEAR($A26)=2010,B25,YEAR($A26)&gt;2010,ROUNDDOWN(B25-VLOOKUP(B$1,$J$1:$L$5,3,FALSE)*B25,0))</f>
        <v>329</v>
      </c>
      <c r="C26" cm="1">
        <f t="array" ref="C26">_xlfn.IFS(YEAR($A26)&lt;=2009,ROUNDDOWN(C25+VLOOKUP(C$1,$J$1:$K$5,2,FALSE)*C25,0),YEAR($A26)=2010,C25,YEAR($A26)&gt;2010,ROUNDDOWN(C25-VLOOKUP(C$1,$J$1:$L$5,3,FALSE)*C25,0))</f>
        <v>312</v>
      </c>
      <c r="D26" cm="1">
        <f t="array" ref="D26">_xlfn.IFS(YEAR($A26)&lt;=2009,ROUNDDOWN(D25+VLOOKUP(D$1,$J$1:$K$5,2,FALSE)*D25,0),YEAR($A26)=2010,D25,YEAR($A26)&gt;2010,ROUNDDOWN(D25-VLOOKUP(D$1,$J$1:$L$5,3,FALSE)*D25,0))</f>
        <v>343</v>
      </c>
      <c r="E26" cm="1">
        <f t="array" ref="E26">_xlfn.IFS(YEAR($A26)&lt;=2009,ROUNDDOWN(E25+VLOOKUP(E$1,$J$1:$K$5,2,FALSE)*E25,0),YEAR($A26)=2010,E25,YEAR($A26)&gt;2010,ROUNDDOWN(E25-VLOOKUP(E$1,$J$1:$L$5,3,FALSE)*E25,0))</f>
        <v>431</v>
      </c>
      <c r="F26">
        <f t="shared" si="0"/>
        <v>0</v>
      </c>
      <c r="G26">
        <f t="shared" si="1"/>
        <v>0</v>
      </c>
      <c r="H26">
        <f t="shared" si="2"/>
        <v>0</v>
      </c>
      <c r="I26">
        <f t="shared" si="3"/>
        <v>0</v>
      </c>
    </row>
    <row r="27" spans="1:9" x14ac:dyDescent="0.25">
      <c r="A27" s="3">
        <v>40724</v>
      </c>
      <c r="B27" cm="1">
        <f t="array" ref="B27">_xlfn.IFS(YEAR($A27)&lt;=2009,ROUNDDOWN(B26+VLOOKUP(B$1,$J$1:$K$5,2,FALSE)*B26,0),YEAR($A27)=2010,B26,YEAR($A27)&gt;2010,ROUNDDOWN(B26-VLOOKUP(B$1,$J$1:$L$5,3,FALSE)*B26,0))</f>
        <v>325</v>
      </c>
      <c r="C27" cm="1">
        <f t="array" ref="C27">_xlfn.IFS(YEAR($A27)&lt;=2009,ROUNDDOWN(C26+VLOOKUP(C$1,$J$1:$K$5,2,FALSE)*C26,0),YEAR($A27)=2010,C26,YEAR($A27)&gt;2010,ROUNDDOWN(C26-VLOOKUP(C$1,$J$1:$L$5,3,FALSE)*C26,0))</f>
        <v>308</v>
      </c>
      <c r="D27" cm="1">
        <f t="array" ref="D27">_xlfn.IFS(YEAR($A27)&lt;=2009,ROUNDDOWN(D26+VLOOKUP(D$1,$J$1:$K$5,2,FALSE)*D26,0),YEAR($A27)=2010,D26,YEAR($A27)&gt;2010,ROUNDDOWN(D26-VLOOKUP(D$1,$J$1:$L$5,3,FALSE)*D26,0))</f>
        <v>336</v>
      </c>
      <c r="E27" cm="1">
        <f t="array" ref="E27">_xlfn.IFS(YEAR($A27)&lt;=2009,ROUNDDOWN(E26+VLOOKUP(E$1,$J$1:$K$5,2,FALSE)*E26,0),YEAR($A27)=2010,E26,YEAR($A27)&gt;2010,ROUNDDOWN(E26-VLOOKUP(E$1,$J$1:$L$5,3,FALSE)*E26,0))</f>
        <v>420</v>
      </c>
      <c r="F27">
        <f t="shared" si="0"/>
        <v>0</v>
      </c>
      <c r="G27">
        <f t="shared" si="1"/>
        <v>0</v>
      </c>
      <c r="H27">
        <f t="shared" si="2"/>
        <v>0</v>
      </c>
      <c r="I27">
        <f t="shared" si="3"/>
        <v>0</v>
      </c>
    </row>
    <row r="28" spans="1:9" x14ac:dyDescent="0.25">
      <c r="A28" s="3">
        <v>40816</v>
      </c>
      <c r="B28" cm="1">
        <f t="array" ref="B28">_xlfn.IFS(YEAR($A28)&lt;=2009,ROUNDDOWN(B27+VLOOKUP(B$1,$J$1:$K$5,2,FALSE)*B27,0),YEAR($A28)=2010,B27,YEAR($A28)&gt;2010,ROUNDDOWN(B27-VLOOKUP(B$1,$J$1:$L$5,3,FALSE)*B27,0))</f>
        <v>321</v>
      </c>
      <c r="C28" cm="1">
        <f t="array" ref="C28">_xlfn.IFS(YEAR($A28)&lt;=2009,ROUNDDOWN(C27+VLOOKUP(C$1,$J$1:$K$5,2,FALSE)*C27,0),YEAR($A28)=2010,C27,YEAR($A28)&gt;2010,ROUNDDOWN(C27-VLOOKUP(C$1,$J$1:$L$5,3,FALSE)*C27,0))</f>
        <v>304</v>
      </c>
      <c r="D28" cm="1">
        <f t="array" ref="D28">_xlfn.IFS(YEAR($A28)&lt;=2009,ROUNDDOWN(D27+VLOOKUP(D$1,$J$1:$K$5,2,FALSE)*D27,0),YEAR($A28)=2010,D27,YEAR($A28)&gt;2010,ROUNDDOWN(D27-VLOOKUP(D$1,$J$1:$L$5,3,FALSE)*D27,0))</f>
        <v>329</v>
      </c>
      <c r="E28" cm="1">
        <f t="array" ref="E28">_xlfn.IFS(YEAR($A28)&lt;=2009,ROUNDDOWN(E27+VLOOKUP(E$1,$J$1:$K$5,2,FALSE)*E27,0),YEAR($A28)=2010,E27,YEAR($A28)&gt;2010,ROUNDDOWN(E27-VLOOKUP(E$1,$J$1:$L$5,3,FALSE)*E27,0))</f>
        <v>409</v>
      </c>
      <c r="F28">
        <f t="shared" si="0"/>
        <v>0</v>
      </c>
      <c r="G28">
        <f t="shared" si="1"/>
        <v>0</v>
      </c>
      <c r="H28">
        <f t="shared" si="2"/>
        <v>0</v>
      </c>
      <c r="I28">
        <f t="shared" si="3"/>
        <v>0</v>
      </c>
    </row>
    <row r="29" spans="1:9" x14ac:dyDescent="0.25">
      <c r="A29" s="3">
        <v>40908</v>
      </c>
      <c r="B29" cm="1">
        <f t="array" ref="B29">_xlfn.IFS(YEAR($A29)&lt;=2009,ROUNDDOWN(B28+VLOOKUP(B$1,$J$1:$K$5,2,FALSE)*B28,0),YEAR($A29)=2010,B28,YEAR($A29)&gt;2010,ROUNDDOWN(B28-VLOOKUP(B$1,$J$1:$L$5,3,FALSE)*B28,0))</f>
        <v>317</v>
      </c>
      <c r="C29" cm="1">
        <f t="array" ref="C29">_xlfn.IFS(YEAR($A29)&lt;=2009,ROUNDDOWN(C28+VLOOKUP(C$1,$J$1:$K$5,2,FALSE)*C28,0),YEAR($A29)=2010,C28,YEAR($A29)&gt;2010,ROUNDDOWN(C28-VLOOKUP(C$1,$J$1:$L$5,3,FALSE)*C28,0))</f>
        <v>300</v>
      </c>
      <c r="D29" cm="1">
        <f t="array" ref="D29">_xlfn.IFS(YEAR($A29)&lt;=2009,ROUNDDOWN(D28+VLOOKUP(D$1,$J$1:$K$5,2,FALSE)*D28,0),YEAR($A29)=2010,D28,YEAR($A29)&gt;2010,ROUNDDOWN(D28-VLOOKUP(D$1,$J$1:$L$5,3,FALSE)*D28,0))</f>
        <v>322</v>
      </c>
      <c r="E29" cm="1">
        <f t="array" ref="E29">_xlfn.IFS(YEAR($A29)&lt;=2009,ROUNDDOWN(E28+VLOOKUP(E$1,$J$1:$K$5,2,FALSE)*E28,0),YEAR($A29)=2010,E28,YEAR($A29)&gt;2010,ROUNDDOWN(E28-VLOOKUP(E$1,$J$1:$L$5,3,FALSE)*E28,0))</f>
        <v>398</v>
      </c>
      <c r="F29">
        <f t="shared" si="0"/>
        <v>0</v>
      </c>
      <c r="G29">
        <f t="shared" si="1"/>
        <v>0</v>
      </c>
      <c r="H29">
        <f t="shared" si="2"/>
        <v>0</v>
      </c>
      <c r="I29">
        <f t="shared" si="3"/>
        <v>0</v>
      </c>
    </row>
    <row r="30" spans="1:9" x14ac:dyDescent="0.25">
      <c r="A30" s="3">
        <v>40999</v>
      </c>
      <c r="B30" cm="1">
        <f t="array" ref="B30">_xlfn.IFS(YEAR($A30)&lt;=2009,ROUNDDOWN(B29+VLOOKUP(B$1,$J$1:$K$5,2,FALSE)*B29,0),YEAR($A30)=2010,B29,YEAR($A30)&gt;2010,ROUNDDOWN(B29-VLOOKUP(B$1,$J$1:$L$5,3,FALSE)*B29,0))</f>
        <v>313</v>
      </c>
      <c r="C30" cm="1">
        <f t="array" ref="C30">_xlfn.IFS(YEAR($A30)&lt;=2009,ROUNDDOWN(C29+VLOOKUP(C$1,$J$1:$K$5,2,FALSE)*C29,0),YEAR($A30)=2010,C29,YEAR($A30)&gt;2010,ROUNDDOWN(C29-VLOOKUP(C$1,$J$1:$L$5,3,FALSE)*C29,0))</f>
        <v>296</v>
      </c>
      <c r="D30" cm="1">
        <f t="array" ref="D30">_xlfn.IFS(YEAR($A30)&lt;=2009,ROUNDDOWN(D29+VLOOKUP(D$1,$J$1:$K$5,2,FALSE)*D29,0),YEAR($A30)=2010,D29,YEAR($A30)&gt;2010,ROUNDDOWN(D29-VLOOKUP(D$1,$J$1:$L$5,3,FALSE)*D29,0))</f>
        <v>315</v>
      </c>
      <c r="E30" cm="1">
        <f t="array" ref="E30">_xlfn.IFS(YEAR($A30)&lt;=2009,ROUNDDOWN(E29+VLOOKUP(E$1,$J$1:$K$5,2,FALSE)*E29,0),YEAR($A30)=2010,E29,YEAR($A30)&gt;2010,ROUNDDOWN(E29-VLOOKUP(E$1,$J$1:$L$5,3,FALSE)*E29,0))</f>
        <v>388</v>
      </c>
      <c r="F30">
        <f t="shared" si="0"/>
        <v>0</v>
      </c>
      <c r="G30">
        <f t="shared" si="1"/>
        <v>0</v>
      </c>
      <c r="H30">
        <f t="shared" si="2"/>
        <v>0</v>
      </c>
      <c r="I30">
        <f t="shared" si="3"/>
        <v>0</v>
      </c>
    </row>
    <row r="31" spans="1:9" x14ac:dyDescent="0.25">
      <c r="A31" s="3">
        <v>41090</v>
      </c>
      <c r="B31" cm="1">
        <f t="array" ref="B31">_xlfn.IFS(YEAR($A31)&lt;=2009,ROUNDDOWN(B30+VLOOKUP(B$1,$J$1:$K$5,2,FALSE)*B30,0),YEAR($A31)=2010,B30,YEAR($A31)&gt;2010,ROUNDDOWN(B30-VLOOKUP(B$1,$J$1:$L$5,3,FALSE)*B30,0))</f>
        <v>309</v>
      </c>
      <c r="C31" cm="1">
        <f t="array" ref="C31">_xlfn.IFS(YEAR($A31)&lt;=2009,ROUNDDOWN(C30+VLOOKUP(C$1,$J$1:$K$5,2,FALSE)*C30,0),YEAR($A31)=2010,C30,YEAR($A31)&gt;2010,ROUNDDOWN(C30-VLOOKUP(C$1,$J$1:$L$5,3,FALSE)*C30,0))</f>
        <v>292</v>
      </c>
      <c r="D31" cm="1">
        <f t="array" ref="D31">_xlfn.IFS(YEAR($A31)&lt;=2009,ROUNDDOWN(D30+VLOOKUP(D$1,$J$1:$K$5,2,FALSE)*D30,0),YEAR($A31)=2010,D30,YEAR($A31)&gt;2010,ROUNDDOWN(D30-VLOOKUP(D$1,$J$1:$L$5,3,FALSE)*D30,0))</f>
        <v>309</v>
      </c>
      <c r="E31" cm="1">
        <f t="array" ref="E31">_xlfn.IFS(YEAR($A31)&lt;=2009,ROUNDDOWN(E30+VLOOKUP(E$1,$J$1:$K$5,2,FALSE)*E30,0),YEAR($A31)=2010,E30,YEAR($A31)&gt;2010,ROUNDDOWN(E30-VLOOKUP(E$1,$J$1:$L$5,3,FALSE)*E30,0))</f>
        <v>378</v>
      </c>
      <c r="F31">
        <f t="shared" si="0"/>
        <v>0</v>
      </c>
      <c r="G31">
        <f t="shared" si="1"/>
        <v>0</v>
      </c>
      <c r="H31">
        <f t="shared" si="2"/>
        <v>0</v>
      </c>
      <c r="I31">
        <f t="shared" si="3"/>
        <v>0</v>
      </c>
    </row>
    <row r="32" spans="1:9" x14ac:dyDescent="0.25">
      <c r="A32" s="3">
        <v>41182</v>
      </c>
      <c r="B32" cm="1">
        <f t="array" ref="B32">_xlfn.IFS(YEAR($A32)&lt;=2009,ROUNDDOWN(B31+VLOOKUP(B$1,$J$1:$K$5,2,FALSE)*B31,0),YEAR($A32)=2010,B31,YEAR($A32)&gt;2010,ROUNDDOWN(B31-VLOOKUP(B$1,$J$1:$L$5,3,FALSE)*B31,0))</f>
        <v>305</v>
      </c>
      <c r="C32" cm="1">
        <f t="array" ref="C32">_xlfn.IFS(YEAR($A32)&lt;=2009,ROUNDDOWN(C31+VLOOKUP(C$1,$J$1:$K$5,2,FALSE)*C31,0),YEAR($A32)=2010,C31,YEAR($A32)&gt;2010,ROUNDDOWN(C31-VLOOKUP(C$1,$J$1:$L$5,3,FALSE)*C31,0))</f>
        <v>288</v>
      </c>
      <c r="D32" cm="1">
        <f t="array" ref="D32">_xlfn.IFS(YEAR($A32)&lt;=2009,ROUNDDOWN(D31+VLOOKUP(D$1,$J$1:$K$5,2,FALSE)*D31,0),YEAR($A32)=2010,D31,YEAR($A32)&gt;2010,ROUNDDOWN(D31-VLOOKUP(D$1,$J$1:$L$5,3,FALSE)*D31,0))</f>
        <v>303</v>
      </c>
      <c r="E32" cm="1">
        <f t="array" ref="E32">_xlfn.IFS(YEAR($A32)&lt;=2009,ROUNDDOWN(E31+VLOOKUP(E$1,$J$1:$K$5,2,FALSE)*E31,0),YEAR($A32)=2010,E31,YEAR($A32)&gt;2010,ROUNDDOWN(E31-VLOOKUP(E$1,$J$1:$L$5,3,FALSE)*E31,0))</f>
        <v>368</v>
      </c>
      <c r="F32">
        <f t="shared" si="0"/>
        <v>0</v>
      </c>
      <c r="G32">
        <f t="shared" si="1"/>
        <v>0</v>
      </c>
      <c r="H32">
        <f t="shared" si="2"/>
        <v>0</v>
      </c>
      <c r="I32">
        <f t="shared" si="3"/>
        <v>0</v>
      </c>
    </row>
    <row r="33" spans="1:9" x14ac:dyDescent="0.25">
      <c r="A33" s="3">
        <v>41274</v>
      </c>
      <c r="B33" cm="1">
        <f t="array" ref="B33">_xlfn.IFS(YEAR($A33)&lt;=2009,ROUNDDOWN(B32+VLOOKUP(B$1,$J$1:$K$5,2,FALSE)*B32,0),YEAR($A33)=2010,B32,YEAR($A33)&gt;2010,ROUNDDOWN(B32-VLOOKUP(B$1,$J$1:$L$5,3,FALSE)*B32,0))</f>
        <v>301</v>
      </c>
      <c r="C33" cm="1">
        <f t="array" ref="C33">_xlfn.IFS(YEAR($A33)&lt;=2009,ROUNDDOWN(C32+VLOOKUP(C$1,$J$1:$K$5,2,FALSE)*C32,0),YEAR($A33)=2010,C32,YEAR($A33)&gt;2010,ROUNDDOWN(C32-VLOOKUP(C$1,$J$1:$L$5,3,FALSE)*C32,0))</f>
        <v>284</v>
      </c>
      <c r="D33" cm="1">
        <f t="array" ref="D33">_xlfn.IFS(YEAR($A33)&lt;=2009,ROUNDDOWN(D32+VLOOKUP(D$1,$J$1:$K$5,2,FALSE)*D32,0),YEAR($A33)=2010,D32,YEAR($A33)&gt;2010,ROUNDDOWN(D32-VLOOKUP(D$1,$J$1:$L$5,3,FALSE)*D32,0))</f>
        <v>297</v>
      </c>
      <c r="E33" cm="1">
        <f t="array" ref="E33">_xlfn.IFS(YEAR($A33)&lt;=2009,ROUNDDOWN(E32+VLOOKUP(E$1,$J$1:$K$5,2,FALSE)*E32,0),YEAR($A33)=2010,E32,YEAR($A33)&gt;2010,ROUNDDOWN(E32-VLOOKUP(E$1,$J$1:$L$5,3,FALSE)*E32,0))</f>
        <v>358</v>
      </c>
      <c r="F33">
        <f t="shared" si="0"/>
        <v>0</v>
      </c>
      <c r="G33">
        <f t="shared" si="1"/>
        <v>0</v>
      </c>
      <c r="H33">
        <f t="shared" si="2"/>
        <v>0</v>
      </c>
      <c r="I33">
        <f t="shared" si="3"/>
        <v>0</v>
      </c>
    </row>
    <row r="34" spans="1:9" x14ac:dyDescent="0.25">
      <c r="A34" s="3">
        <v>41364</v>
      </c>
      <c r="B34" cm="1">
        <f t="array" ref="B34">_xlfn.IFS(YEAR($A34)&lt;=2009,ROUNDDOWN(B33+VLOOKUP(B$1,$J$1:$K$5,2,FALSE)*B33,0),YEAR($A34)=2010,B33,YEAR($A34)&gt;2010,ROUNDDOWN(B33-VLOOKUP(B$1,$J$1:$L$5,3,FALSE)*B33,0))</f>
        <v>297</v>
      </c>
      <c r="C34" cm="1">
        <f t="array" ref="C34">_xlfn.IFS(YEAR($A34)&lt;=2009,ROUNDDOWN(C33+VLOOKUP(C$1,$J$1:$K$5,2,FALSE)*C33,0),YEAR($A34)=2010,C33,YEAR($A34)&gt;2010,ROUNDDOWN(C33-VLOOKUP(C$1,$J$1:$L$5,3,FALSE)*C33,0))</f>
        <v>280</v>
      </c>
      <c r="D34" cm="1">
        <f t="array" ref="D34">_xlfn.IFS(YEAR($A34)&lt;=2009,ROUNDDOWN(D33+VLOOKUP(D$1,$J$1:$K$5,2,FALSE)*D33,0),YEAR($A34)=2010,D33,YEAR($A34)&gt;2010,ROUNDDOWN(D33-VLOOKUP(D$1,$J$1:$L$5,3,FALSE)*D33,0))</f>
        <v>291</v>
      </c>
      <c r="E34" cm="1">
        <f t="array" ref="E34">_xlfn.IFS(YEAR($A34)&lt;=2009,ROUNDDOWN(E33+VLOOKUP(E$1,$J$1:$K$5,2,FALSE)*E33,0),YEAR($A34)=2010,E33,YEAR($A34)&gt;2010,ROUNDDOWN(E33-VLOOKUP(E$1,$J$1:$L$5,3,FALSE)*E33,0))</f>
        <v>349</v>
      </c>
      <c r="F34">
        <f t="shared" ref="F34:F70" si="4">IF(B34&lt;$B$2,1,)</f>
        <v>0</v>
      </c>
      <c r="G34">
        <f t="shared" ref="G34:G70" si="5">IF(C34&lt;$C$2,1,)</f>
        <v>0</v>
      </c>
      <c r="H34">
        <f t="shared" ref="H34:H70" si="6">IF(D34&lt;$D$2,1,)</f>
        <v>0</v>
      </c>
      <c r="I34">
        <f t="shared" ref="I34:I70" si="7">IF(E34&lt;$E$2,1,)</f>
        <v>0</v>
      </c>
    </row>
    <row r="35" spans="1:9" x14ac:dyDescent="0.25">
      <c r="A35" s="3">
        <v>41455</v>
      </c>
      <c r="B35" cm="1">
        <f t="array" ref="B35">_xlfn.IFS(YEAR($A35)&lt;=2009,ROUNDDOWN(B34+VLOOKUP(B$1,$J$1:$K$5,2,FALSE)*B34,0),YEAR($A35)=2010,B34,YEAR($A35)&gt;2010,ROUNDDOWN(B34-VLOOKUP(B$1,$J$1:$L$5,3,FALSE)*B34,0))</f>
        <v>294</v>
      </c>
      <c r="C35" cm="1">
        <f t="array" ref="C35">_xlfn.IFS(YEAR($A35)&lt;=2009,ROUNDDOWN(C34+VLOOKUP(C$1,$J$1:$K$5,2,FALSE)*C34,0),YEAR($A35)=2010,C34,YEAR($A35)&gt;2010,ROUNDDOWN(C34-VLOOKUP(C$1,$J$1:$L$5,3,FALSE)*C34,0))</f>
        <v>276</v>
      </c>
      <c r="D35" cm="1">
        <f t="array" ref="D35">_xlfn.IFS(YEAR($A35)&lt;=2009,ROUNDDOWN(D34+VLOOKUP(D$1,$J$1:$K$5,2,FALSE)*D34,0),YEAR($A35)=2010,D34,YEAR($A35)&gt;2010,ROUNDDOWN(D34-VLOOKUP(D$1,$J$1:$L$5,3,FALSE)*D34,0))</f>
        <v>285</v>
      </c>
      <c r="E35" cm="1">
        <f t="array" ref="E35">_xlfn.IFS(YEAR($A35)&lt;=2009,ROUNDDOWN(E34+VLOOKUP(E$1,$J$1:$K$5,2,FALSE)*E34,0),YEAR($A35)=2010,E34,YEAR($A35)&gt;2010,ROUNDDOWN(E34-VLOOKUP(E$1,$J$1:$L$5,3,FALSE)*E34,0))</f>
        <v>340</v>
      </c>
      <c r="F35">
        <f t="shared" si="4"/>
        <v>0</v>
      </c>
      <c r="G35">
        <f t="shared" si="5"/>
        <v>0</v>
      </c>
      <c r="H35">
        <f t="shared" si="6"/>
        <v>0</v>
      </c>
      <c r="I35">
        <f t="shared" si="7"/>
        <v>0</v>
      </c>
    </row>
    <row r="36" spans="1:9" x14ac:dyDescent="0.25">
      <c r="A36" s="3">
        <v>41547</v>
      </c>
      <c r="B36" cm="1">
        <f t="array" ref="B36">_xlfn.IFS(YEAR($A36)&lt;=2009,ROUNDDOWN(B35+VLOOKUP(B$1,$J$1:$K$5,2,FALSE)*B35,0),YEAR($A36)=2010,B35,YEAR($A36)&gt;2010,ROUNDDOWN(B35-VLOOKUP(B$1,$J$1:$L$5,3,FALSE)*B35,0))</f>
        <v>291</v>
      </c>
      <c r="C36" cm="1">
        <f t="array" ref="C36">_xlfn.IFS(YEAR($A36)&lt;=2009,ROUNDDOWN(C35+VLOOKUP(C$1,$J$1:$K$5,2,FALSE)*C35,0),YEAR($A36)=2010,C35,YEAR($A36)&gt;2010,ROUNDDOWN(C35-VLOOKUP(C$1,$J$1:$L$5,3,FALSE)*C35,0))</f>
        <v>272</v>
      </c>
      <c r="D36" cm="1">
        <f t="array" ref="D36">_xlfn.IFS(YEAR($A36)&lt;=2009,ROUNDDOWN(D35+VLOOKUP(D$1,$J$1:$K$5,2,FALSE)*D35,0),YEAR($A36)=2010,D35,YEAR($A36)&gt;2010,ROUNDDOWN(D35-VLOOKUP(D$1,$J$1:$L$5,3,FALSE)*D35,0))</f>
        <v>279</v>
      </c>
      <c r="E36" cm="1">
        <f t="array" ref="E36">_xlfn.IFS(YEAR($A36)&lt;=2009,ROUNDDOWN(E35+VLOOKUP(E$1,$J$1:$K$5,2,FALSE)*E35,0),YEAR($A36)=2010,E35,YEAR($A36)&gt;2010,ROUNDDOWN(E35-VLOOKUP(E$1,$J$1:$L$5,3,FALSE)*E35,0))</f>
        <v>331</v>
      </c>
      <c r="F36">
        <f t="shared" si="4"/>
        <v>0</v>
      </c>
      <c r="G36">
        <f t="shared" si="5"/>
        <v>0</v>
      </c>
      <c r="H36">
        <f t="shared" si="6"/>
        <v>0</v>
      </c>
      <c r="I36">
        <f t="shared" si="7"/>
        <v>0</v>
      </c>
    </row>
    <row r="37" spans="1:9" x14ac:dyDescent="0.25">
      <c r="A37" s="3">
        <v>41639</v>
      </c>
      <c r="B37" cm="1">
        <f t="array" ref="B37">_xlfn.IFS(YEAR($A37)&lt;=2009,ROUNDDOWN(B36+VLOOKUP(B$1,$J$1:$K$5,2,FALSE)*B36,0),YEAR($A37)=2010,B36,YEAR($A37)&gt;2010,ROUNDDOWN(B36-VLOOKUP(B$1,$J$1:$L$5,3,FALSE)*B36,0))</f>
        <v>288</v>
      </c>
      <c r="C37" cm="1">
        <f t="array" ref="C37">_xlfn.IFS(YEAR($A37)&lt;=2009,ROUNDDOWN(C36+VLOOKUP(C$1,$J$1:$K$5,2,FALSE)*C36,0),YEAR($A37)=2010,C36,YEAR($A37)&gt;2010,ROUNDDOWN(C36-VLOOKUP(C$1,$J$1:$L$5,3,FALSE)*C36,0))</f>
        <v>268</v>
      </c>
      <c r="D37" cm="1">
        <f t="array" ref="D37">_xlfn.IFS(YEAR($A37)&lt;=2009,ROUNDDOWN(D36+VLOOKUP(D$1,$J$1:$K$5,2,FALSE)*D36,0),YEAR($A37)=2010,D36,YEAR($A37)&gt;2010,ROUNDDOWN(D36-VLOOKUP(D$1,$J$1:$L$5,3,FALSE)*D36,0))</f>
        <v>273</v>
      </c>
      <c r="E37" cm="1">
        <f t="array" ref="E37">_xlfn.IFS(YEAR($A37)&lt;=2009,ROUNDDOWN(E36+VLOOKUP(E$1,$J$1:$K$5,2,FALSE)*E36,0),YEAR($A37)=2010,E36,YEAR($A37)&gt;2010,ROUNDDOWN(E36-VLOOKUP(E$1,$J$1:$L$5,3,FALSE)*E36,0))</f>
        <v>322</v>
      </c>
      <c r="F37">
        <f t="shared" si="4"/>
        <v>0</v>
      </c>
      <c r="G37">
        <f t="shared" si="5"/>
        <v>0</v>
      </c>
      <c r="H37">
        <f t="shared" si="6"/>
        <v>0</v>
      </c>
      <c r="I37">
        <f t="shared" si="7"/>
        <v>0</v>
      </c>
    </row>
    <row r="38" spans="1:9" x14ac:dyDescent="0.25">
      <c r="A38" s="3">
        <v>41729</v>
      </c>
      <c r="B38" cm="1">
        <f t="array" ref="B38">_xlfn.IFS(YEAR($A38)&lt;=2009,ROUNDDOWN(B37+VLOOKUP(B$1,$J$1:$K$5,2,FALSE)*B37,0),YEAR($A38)=2010,B37,YEAR($A38)&gt;2010,ROUNDDOWN(B37-VLOOKUP(B$1,$J$1:$L$5,3,FALSE)*B37,0))</f>
        <v>285</v>
      </c>
      <c r="C38" cm="1">
        <f t="array" ref="C38">_xlfn.IFS(YEAR($A38)&lt;=2009,ROUNDDOWN(C37+VLOOKUP(C$1,$J$1:$K$5,2,FALSE)*C37,0),YEAR($A38)=2010,C37,YEAR($A38)&gt;2010,ROUNDDOWN(C37-VLOOKUP(C$1,$J$1:$L$5,3,FALSE)*C37,0))</f>
        <v>264</v>
      </c>
      <c r="D38" cm="1">
        <f t="array" ref="D38">_xlfn.IFS(YEAR($A38)&lt;=2009,ROUNDDOWN(D37+VLOOKUP(D$1,$J$1:$K$5,2,FALSE)*D37,0),YEAR($A38)=2010,D37,YEAR($A38)&gt;2010,ROUNDDOWN(D37-VLOOKUP(D$1,$J$1:$L$5,3,FALSE)*D37,0))</f>
        <v>267</v>
      </c>
      <c r="E38" cm="1">
        <f t="array" ref="E38">_xlfn.IFS(YEAR($A38)&lt;=2009,ROUNDDOWN(E37+VLOOKUP(E$1,$J$1:$K$5,2,FALSE)*E37,0),YEAR($A38)=2010,E37,YEAR($A38)&gt;2010,ROUNDDOWN(E37-VLOOKUP(E$1,$J$1:$L$5,3,FALSE)*E37,0))</f>
        <v>313</v>
      </c>
      <c r="F38">
        <f t="shared" si="4"/>
        <v>0</v>
      </c>
      <c r="G38">
        <f t="shared" si="5"/>
        <v>0</v>
      </c>
      <c r="H38">
        <f t="shared" si="6"/>
        <v>0</v>
      </c>
      <c r="I38">
        <f t="shared" si="7"/>
        <v>0</v>
      </c>
    </row>
    <row r="39" spans="1:9" x14ac:dyDescent="0.25">
      <c r="A39" s="3">
        <v>41820</v>
      </c>
      <c r="B39" cm="1">
        <f t="array" ref="B39">_xlfn.IFS(YEAR($A39)&lt;=2009,ROUNDDOWN(B38+VLOOKUP(B$1,$J$1:$K$5,2,FALSE)*B38,0),YEAR($A39)=2010,B38,YEAR($A39)&gt;2010,ROUNDDOWN(B38-VLOOKUP(B$1,$J$1:$L$5,3,FALSE)*B38,0))</f>
        <v>282</v>
      </c>
      <c r="C39" cm="1">
        <f t="array" ref="C39">_xlfn.IFS(YEAR($A39)&lt;=2009,ROUNDDOWN(C38+VLOOKUP(C$1,$J$1:$K$5,2,FALSE)*C38,0),YEAR($A39)=2010,C38,YEAR($A39)&gt;2010,ROUNDDOWN(C38-VLOOKUP(C$1,$J$1:$L$5,3,FALSE)*C38,0))</f>
        <v>260</v>
      </c>
      <c r="D39" cm="1">
        <f t="array" ref="D39">_xlfn.IFS(YEAR($A39)&lt;=2009,ROUNDDOWN(D38+VLOOKUP(D$1,$J$1:$K$5,2,FALSE)*D38,0),YEAR($A39)=2010,D38,YEAR($A39)&gt;2010,ROUNDDOWN(D38-VLOOKUP(D$1,$J$1:$L$5,3,FALSE)*D38,0))</f>
        <v>261</v>
      </c>
      <c r="E39" cm="1">
        <f t="array" ref="E39">_xlfn.IFS(YEAR($A39)&lt;=2009,ROUNDDOWN(E38+VLOOKUP(E$1,$J$1:$K$5,2,FALSE)*E38,0),YEAR($A39)=2010,E38,YEAR($A39)&gt;2010,ROUNDDOWN(E38-VLOOKUP(E$1,$J$1:$L$5,3,FALSE)*E38,0))</f>
        <v>305</v>
      </c>
      <c r="F39">
        <f t="shared" si="4"/>
        <v>0</v>
      </c>
      <c r="G39">
        <f t="shared" si="5"/>
        <v>0</v>
      </c>
      <c r="H39">
        <f t="shared" si="6"/>
        <v>0</v>
      </c>
      <c r="I39">
        <f t="shared" si="7"/>
        <v>1</v>
      </c>
    </row>
    <row r="40" spans="1:9" x14ac:dyDescent="0.25">
      <c r="A40" s="3">
        <v>41912</v>
      </c>
      <c r="B40" cm="1">
        <f t="array" ref="B40">_xlfn.IFS(YEAR($A40)&lt;=2009,ROUNDDOWN(B39+VLOOKUP(B$1,$J$1:$K$5,2,FALSE)*B39,0),YEAR($A40)=2010,B39,YEAR($A40)&gt;2010,ROUNDDOWN(B39-VLOOKUP(B$1,$J$1:$L$5,3,FALSE)*B39,0))</f>
        <v>279</v>
      </c>
      <c r="C40" cm="1">
        <f t="array" ref="C40">_xlfn.IFS(YEAR($A40)&lt;=2009,ROUNDDOWN(C39+VLOOKUP(C$1,$J$1:$K$5,2,FALSE)*C39,0),YEAR($A40)=2010,C39,YEAR($A40)&gt;2010,ROUNDDOWN(C39-VLOOKUP(C$1,$J$1:$L$5,3,FALSE)*C39,0))</f>
        <v>256</v>
      </c>
      <c r="D40" cm="1">
        <f t="array" ref="D40">_xlfn.IFS(YEAR($A40)&lt;=2009,ROUNDDOWN(D39+VLOOKUP(D$1,$J$1:$K$5,2,FALSE)*D39,0),YEAR($A40)=2010,D39,YEAR($A40)&gt;2010,ROUNDDOWN(D39-VLOOKUP(D$1,$J$1:$L$5,3,FALSE)*D39,0))</f>
        <v>256</v>
      </c>
      <c r="E40" cm="1">
        <f t="array" ref="E40">_xlfn.IFS(YEAR($A40)&lt;=2009,ROUNDDOWN(E39+VLOOKUP(E$1,$J$1:$K$5,2,FALSE)*E39,0),YEAR($A40)=2010,E39,YEAR($A40)&gt;2010,ROUNDDOWN(E39-VLOOKUP(E$1,$J$1:$L$5,3,FALSE)*E39,0))</f>
        <v>297</v>
      </c>
      <c r="F40">
        <f t="shared" si="4"/>
        <v>0</v>
      </c>
      <c r="G40">
        <f t="shared" si="5"/>
        <v>0</v>
      </c>
      <c r="H40">
        <f t="shared" si="6"/>
        <v>0</v>
      </c>
      <c r="I40">
        <f t="shared" si="7"/>
        <v>1</v>
      </c>
    </row>
    <row r="41" spans="1:9" x14ac:dyDescent="0.25">
      <c r="A41" s="3">
        <v>42004</v>
      </c>
      <c r="B41" cm="1">
        <f t="array" ref="B41">_xlfn.IFS(YEAR($A41)&lt;=2009,ROUNDDOWN(B40+VLOOKUP(B$1,$J$1:$K$5,2,FALSE)*B40,0),YEAR($A41)=2010,B40,YEAR($A41)&gt;2010,ROUNDDOWN(B40-VLOOKUP(B$1,$J$1:$L$5,3,FALSE)*B40,0))</f>
        <v>276</v>
      </c>
      <c r="C41" cm="1">
        <f t="array" ref="C41">_xlfn.IFS(YEAR($A41)&lt;=2009,ROUNDDOWN(C40+VLOOKUP(C$1,$J$1:$K$5,2,FALSE)*C40,0),YEAR($A41)=2010,C40,YEAR($A41)&gt;2010,ROUNDDOWN(C40-VLOOKUP(C$1,$J$1:$L$5,3,FALSE)*C40,0))</f>
        <v>252</v>
      </c>
      <c r="D41" cm="1">
        <f t="array" ref="D41">_xlfn.IFS(YEAR($A41)&lt;=2009,ROUNDDOWN(D40+VLOOKUP(D$1,$J$1:$K$5,2,FALSE)*D40,0),YEAR($A41)=2010,D40,YEAR($A41)&gt;2010,ROUNDDOWN(D40-VLOOKUP(D$1,$J$1:$L$5,3,FALSE)*D40,0))</f>
        <v>251</v>
      </c>
      <c r="E41" cm="1">
        <f t="array" ref="E41">_xlfn.IFS(YEAR($A41)&lt;=2009,ROUNDDOWN(E40+VLOOKUP(E$1,$J$1:$K$5,2,FALSE)*E40,0),YEAR($A41)=2010,E40,YEAR($A41)&gt;2010,ROUNDDOWN(E40-VLOOKUP(E$1,$J$1:$L$5,3,FALSE)*E40,0))</f>
        <v>289</v>
      </c>
      <c r="F41">
        <f t="shared" si="4"/>
        <v>0</v>
      </c>
      <c r="G41">
        <f t="shared" si="5"/>
        <v>0</v>
      </c>
      <c r="H41">
        <f t="shared" si="6"/>
        <v>0</v>
      </c>
      <c r="I41">
        <f t="shared" si="7"/>
        <v>1</v>
      </c>
    </row>
    <row r="42" spans="1:9" x14ac:dyDescent="0.25">
      <c r="A42" s="3">
        <v>42094</v>
      </c>
      <c r="B42" cm="1">
        <f t="array" ref="B42">_xlfn.IFS(YEAR($A42)&lt;=2009,ROUNDDOWN(B41+VLOOKUP(B$1,$J$1:$K$5,2,FALSE)*B41,0),YEAR($A42)=2010,B41,YEAR($A42)&gt;2010,ROUNDDOWN(B41-VLOOKUP(B$1,$J$1:$L$5,3,FALSE)*B41,0))</f>
        <v>273</v>
      </c>
      <c r="C42" cm="1">
        <f t="array" ref="C42">_xlfn.IFS(YEAR($A42)&lt;=2009,ROUNDDOWN(C41+VLOOKUP(C$1,$J$1:$K$5,2,FALSE)*C41,0),YEAR($A42)=2010,C41,YEAR($A42)&gt;2010,ROUNDDOWN(C41-VLOOKUP(C$1,$J$1:$L$5,3,FALSE)*C41,0))</f>
        <v>248</v>
      </c>
      <c r="D42" cm="1">
        <f t="array" ref="D42">_xlfn.IFS(YEAR($A42)&lt;=2009,ROUNDDOWN(D41+VLOOKUP(D$1,$J$1:$K$5,2,FALSE)*D41,0),YEAR($A42)=2010,D41,YEAR($A42)&gt;2010,ROUNDDOWN(D41-VLOOKUP(D$1,$J$1:$L$5,3,FALSE)*D41,0))</f>
        <v>246</v>
      </c>
      <c r="E42" cm="1">
        <f t="array" ref="E42">_xlfn.IFS(YEAR($A42)&lt;=2009,ROUNDDOWN(E41+VLOOKUP(E$1,$J$1:$K$5,2,FALSE)*E41,0),YEAR($A42)=2010,E41,YEAR($A42)&gt;2010,ROUNDDOWN(E41-VLOOKUP(E$1,$J$1:$L$5,3,FALSE)*E41,0))</f>
        <v>281</v>
      </c>
      <c r="F42">
        <f t="shared" si="4"/>
        <v>0</v>
      </c>
      <c r="G42">
        <f t="shared" si="5"/>
        <v>0</v>
      </c>
      <c r="H42">
        <f t="shared" si="6"/>
        <v>0</v>
      </c>
      <c r="I42">
        <f t="shared" si="7"/>
        <v>1</v>
      </c>
    </row>
    <row r="43" spans="1:9" x14ac:dyDescent="0.25">
      <c r="A43" s="3">
        <v>42185</v>
      </c>
      <c r="B43" cm="1">
        <f t="array" ref="B43">_xlfn.IFS(YEAR($A43)&lt;=2009,ROUNDDOWN(B42+VLOOKUP(B$1,$J$1:$K$5,2,FALSE)*B42,0),YEAR($A43)=2010,B42,YEAR($A43)&gt;2010,ROUNDDOWN(B42-VLOOKUP(B$1,$J$1:$L$5,3,FALSE)*B42,0))</f>
        <v>270</v>
      </c>
      <c r="C43" cm="1">
        <f t="array" ref="C43">_xlfn.IFS(YEAR($A43)&lt;=2009,ROUNDDOWN(C42+VLOOKUP(C$1,$J$1:$K$5,2,FALSE)*C42,0),YEAR($A43)=2010,C42,YEAR($A43)&gt;2010,ROUNDDOWN(C42-VLOOKUP(C$1,$J$1:$L$5,3,FALSE)*C42,0))</f>
        <v>245</v>
      </c>
      <c r="D43" cm="1">
        <f t="array" ref="D43">_xlfn.IFS(YEAR($A43)&lt;=2009,ROUNDDOWN(D42+VLOOKUP(D$1,$J$1:$K$5,2,FALSE)*D42,0),YEAR($A43)=2010,D42,YEAR($A43)&gt;2010,ROUNDDOWN(D42-VLOOKUP(D$1,$J$1:$L$5,3,FALSE)*D42,0))</f>
        <v>241</v>
      </c>
      <c r="E43" cm="1">
        <f t="array" ref="E43">_xlfn.IFS(YEAR($A43)&lt;=2009,ROUNDDOWN(E42+VLOOKUP(E$1,$J$1:$K$5,2,FALSE)*E42,0),YEAR($A43)=2010,E42,YEAR($A43)&gt;2010,ROUNDDOWN(E42-VLOOKUP(E$1,$J$1:$L$5,3,FALSE)*E42,0))</f>
        <v>273</v>
      </c>
      <c r="F43">
        <f t="shared" si="4"/>
        <v>0</v>
      </c>
      <c r="G43">
        <f t="shared" si="5"/>
        <v>0</v>
      </c>
      <c r="H43">
        <f t="shared" si="6"/>
        <v>0</v>
      </c>
      <c r="I43">
        <f t="shared" si="7"/>
        <v>1</v>
      </c>
    </row>
    <row r="44" spans="1:9" x14ac:dyDescent="0.25">
      <c r="A44" s="3">
        <v>42277</v>
      </c>
      <c r="B44" cm="1">
        <f t="array" ref="B44">_xlfn.IFS(YEAR($A44)&lt;=2009,ROUNDDOWN(B43+VLOOKUP(B$1,$J$1:$K$5,2,FALSE)*B43,0),YEAR($A44)=2010,B43,YEAR($A44)&gt;2010,ROUNDDOWN(B43-VLOOKUP(B$1,$J$1:$L$5,3,FALSE)*B43,0))</f>
        <v>267</v>
      </c>
      <c r="C44" cm="1">
        <f t="array" ref="C44">_xlfn.IFS(YEAR($A44)&lt;=2009,ROUNDDOWN(C43+VLOOKUP(C$1,$J$1:$K$5,2,FALSE)*C43,0),YEAR($A44)=2010,C43,YEAR($A44)&gt;2010,ROUNDDOWN(C43-VLOOKUP(C$1,$J$1:$L$5,3,FALSE)*C43,0))</f>
        <v>242</v>
      </c>
      <c r="D44" cm="1">
        <f t="array" ref="D44">_xlfn.IFS(YEAR($A44)&lt;=2009,ROUNDDOWN(D43+VLOOKUP(D$1,$J$1:$K$5,2,FALSE)*D43,0),YEAR($A44)=2010,D43,YEAR($A44)&gt;2010,ROUNDDOWN(D43-VLOOKUP(D$1,$J$1:$L$5,3,FALSE)*D43,0))</f>
        <v>236</v>
      </c>
      <c r="E44" cm="1">
        <f t="array" ref="E44">_xlfn.IFS(YEAR($A44)&lt;=2009,ROUNDDOWN(E43+VLOOKUP(E$1,$J$1:$K$5,2,FALSE)*E43,0),YEAR($A44)=2010,E43,YEAR($A44)&gt;2010,ROUNDDOWN(E43-VLOOKUP(E$1,$J$1:$L$5,3,FALSE)*E43,0))</f>
        <v>266</v>
      </c>
      <c r="F44">
        <f t="shared" si="4"/>
        <v>0</v>
      </c>
      <c r="G44">
        <f t="shared" si="5"/>
        <v>0</v>
      </c>
      <c r="H44">
        <f t="shared" si="6"/>
        <v>0</v>
      </c>
      <c r="I44">
        <f t="shared" si="7"/>
        <v>1</v>
      </c>
    </row>
    <row r="45" spans="1:9" x14ac:dyDescent="0.25">
      <c r="A45" s="3">
        <v>42369</v>
      </c>
      <c r="B45" cm="1">
        <f t="array" ref="B45">_xlfn.IFS(YEAR($A45)&lt;=2009,ROUNDDOWN(B44+VLOOKUP(B$1,$J$1:$K$5,2,FALSE)*B44,0),YEAR($A45)=2010,B44,YEAR($A45)&gt;2010,ROUNDDOWN(B44-VLOOKUP(B$1,$J$1:$L$5,3,FALSE)*B44,0))</f>
        <v>264</v>
      </c>
      <c r="C45" cm="1">
        <f t="array" ref="C45">_xlfn.IFS(YEAR($A45)&lt;=2009,ROUNDDOWN(C44+VLOOKUP(C$1,$J$1:$K$5,2,FALSE)*C44,0),YEAR($A45)=2010,C44,YEAR($A45)&gt;2010,ROUNDDOWN(C44-VLOOKUP(C$1,$J$1:$L$5,3,FALSE)*C44,0))</f>
        <v>239</v>
      </c>
      <c r="D45" cm="1">
        <f t="array" ref="D45">_xlfn.IFS(YEAR($A45)&lt;=2009,ROUNDDOWN(D44+VLOOKUP(D$1,$J$1:$K$5,2,FALSE)*D44,0),YEAR($A45)=2010,D44,YEAR($A45)&gt;2010,ROUNDDOWN(D44-VLOOKUP(D$1,$J$1:$L$5,3,FALSE)*D44,0))</f>
        <v>231</v>
      </c>
      <c r="E45" cm="1">
        <f t="array" ref="E45">_xlfn.IFS(YEAR($A45)&lt;=2009,ROUNDDOWN(E44+VLOOKUP(E$1,$J$1:$K$5,2,FALSE)*E44,0),YEAR($A45)=2010,E44,YEAR($A45)&gt;2010,ROUNDDOWN(E44-VLOOKUP(E$1,$J$1:$L$5,3,FALSE)*E44,0))</f>
        <v>259</v>
      </c>
      <c r="F45">
        <f t="shared" si="4"/>
        <v>0</v>
      </c>
      <c r="G45">
        <f t="shared" si="5"/>
        <v>0</v>
      </c>
      <c r="H45">
        <f t="shared" si="6"/>
        <v>0</v>
      </c>
      <c r="I45">
        <f t="shared" si="7"/>
        <v>1</v>
      </c>
    </row>
    <row r="46" spans="1:9" x14ac:dyDescent="0.25">
      <c r="A46" s="3">
        <v>42460</v>
      </c>
      <c r="B46" cm="1">
        <f t="array" ref="B46">_xlfn.IFS(YEAR($A46)&lt;=2009,ROUNDDOWN(B45+VLOOKUP(B$1,$J$1:$K$5,2,FALSE)*B45,0),YEAR($A46)=2010,B45,YEAR($A46)&gt;2010,ROUNDDOWN(B45-VLOOKUP(B$1,$J$1:$L$5,3,FALSE)*B45,0))</f>
        <v>261</v>
      </c>
      <c r="C46" cm="1">
        <f t="array" ref="C46">_xlfn.IFS(YEAR($A46)&lt;=2009,ROUNDDOWN(C45+VLOOKUP(C$1,$J$1:$K$5,2,FALSE)*C45,0),YEAR($A46)=2010,C45,YEAR($A46)&gt;2010,ROUNDDOWN(C45-VLOOKUP(C$1,$J$1:$L$5,3,FALSE)*C45,0))</f>
        <v>236</v>
      </c>
      <c r="D46" cm="1">
        <f t="array" ref="D46">_xlfn.IFS(YEAR($A46)&lt;=2009,ROUNDDOWN(D45+VLOOKUP(D$1,$J$1:$K$5,2,FALSE)*D45,0),YEAR($A46)=2010,D45,YEAR($A46)&gt;2010,ROUNDDOWN(D45-VLOOKUP(D$1,$J$1:$L$5,3,FALSE)*D45,0))</f>
        <v>226</v>
      </c>
      <c r="E46" cm="1">
        <f t="array" ref="E46">_xlfn.IFS(YEAR($A46)&lt;=2009,ROUNDDOWN(E45+VLOOKUP(E$1,$J$1:$K$5,2,FALSE)*E45,0),YEAR($A46)=2010,E45,YEAR($A46)&gt;2010,ROUNDDOWN(E45-VLOOKUP(E$1,$J$1:$L$5,3,FALSE)*E45,0))</f>
        <v>252</v>
      </c>
      <c r="F46">
        <f t="shared" si="4"/>
        <v>0</v>
      </c>
      <c r="G46">
        <f t="shared" si="5"/>
        <v>0</v>
      </c>
      <c r="H46">
        <f t="shared" si="6"/>
        <v>0</v>
      </c>
      <c r="I46">
        <f t="shared" si="7"/>
        <v>1</v>
      </c>
    </row>
    <row r="47" spans="1:9" x14ac:dyDescent="0.25">
      <c r="A47" s="3">
        <v>42551</v>
      </c>
      <c r="B47" cm="1">
        <f t="array" ref="B47">_xlfn.IFS(YEAR($A47)&lt;=2009,ROUNDDOWN(B46+VLOOKUP(B$1,$J$1:$K$5,2,FALSE)*B46,0),YEAR($A47)=2010,B46,YEAR($A47)&gt;2010,ROUNDDOWN(B46-VLOOKUP(B$1,$J$1:$L$5,3,FALSE)*B46,0))</f>
        <v>258</v>
      </c>
      <c r="C47" cm="1">
        <f t="array" ref="C47">_xlfn.IFS(YEAR($A47)&lt;=2009,ROUNDDOWN(C46+VLOOKUP(C$1,$J$1:$K$5,2,FALSE)*C46,0),YEAR($A47)=2010,C46,YEAR($A47)&gt;2010,ROUNDDOWN(C46-VLOOKUP(C$1,$J$1:$L$5,3,FALSE)*C46,0))</f>
        <v>233</v>
      </c>
      <c r="D47" cm="1">
        <f t="array" ref="D47">_xlfn.IFS(YEAR($A47)&lt;=2009,ROUNDDOWN(D46+VLOOKUP(D$1,$J$1:$K$5,2,FALSE)*D46,0),YEAR($A47)=2010,D46,YEAR($A47)&gt;2010,ROUNDDOWN(D46-VLOOKUP(D$1,$J$1:$L$5,3,FALSE)*D46,0))</f>
        <v>221</v>
      </c>
      <c r="E47" cm="1">
        <f t="array" ref="E47">_xlfn.IFS(YEAR($A47)&lt;=2009,ROUNDDOWN(E46+VLOOKUP(E$1,$J$1:$K$5,2,FALSE)*E46,0),YEAR($A47)=2010,E46,YEAR($A47)&gt;2010,ROUNDDOWN(E46-VLOOKUP(E$1,$J$1:$L$5,3,FALSE)*E46,0))</f>
        <v>245</v>
      </c>
      <c r="F47">
        <f t="shared" si="4"/>
        <v>0</v>
      </c>
      <c r="G47">
        <f t="shared" si="5"/>
        <v>0</v>
      </c>
      <c r="H47">
        <f t="shared" si="6"/>
        <v>0</v>
      </c>
      <c r="I47">
        <f t="shared" si="7"/>
        <v>1</v>
      </c>
    </row>
    <row r="48" spans="1:9" x14ac:dyDescent="0.25">
      <c r="A48" s="3">
        <v>42643</v>
      </c>
      <c r="B48" cm="1">
        <f t="array" ref="B48">_xlfn.IFS(YEAR($A48)&lt;=2009,ROUNDDOWN(B47+VLOOKUP(B$1,$J$1:$K$5,2,FALSE)*B47,0),YEAR($A48)=2010,B47,YEAR($A48)&gt;2010,ROUNDDOWN(B47-VLOOKUP(B$1,$J$1:$L$5,3,FALSE)*B47,0))</f>
        <v>255</v>
      </c>
      <c r="C48" cm="1">
        <f t="array" ref="C48">_xlfn.IFS(YEAR($A48)&lt;=2009,ROUNDDOWN(C47+VLOOKUP(C$1,$J$1:$K$5,2,FALSE)*C47,0),YEAR($A48)=2010,C47,YEAR($A48)&gt;2010,ROUNDDOWN(C47-VLOOKUP(C$1,$J$1:$L$5,3,FALSE)*C47,0))</f>
        <v>230</v>
      </c>
      <c r="D48" cm="1">
        <f t="array" ref="D48">_xlfn.IFS(YEAR($A48)&lt;=2009,ROUNDDOWN(D47+VLOOKUP(D$1,$J$1:$K$5,2,FALSE)*D47,0),YEAR($A48)=2010,D47,YEAR($A48)&gt;2010,ROUNDDOWN(D47-VLOOKUP(D$1,$J$1:$L$5,3,FALSE)*D47,0))</f>
        <v>216</v>
      </c>
      <c r="E48" cm="1">
        <f t="array" ref="E48">_xlfn.IFS(YEAR($A48)&lt;=2009,ROUNDDOWN(E47+VLOOKUP(E$1,$J$1:$K$5,2,FALSE)*E47,0),YEAR($A48)=2010,E47,YEAR($A48)&gt;2010,ROUNDDOWN(E47-VLOOKUP(E$1,$J$1:$L$5,3,FALSE)*E47,0))</f>
        <v>238</v>
      </c>
      <c r="F48">
        <f t="shared" si="4"/>
        <v>0</v>
      </c>
      <c r="G48">
        <f t="shared" si="5"/>
        <v>0</v>
      </c>
      <c r="H48">
        <f t="shared" si="6"/>
        <v>0</v>
      </c>
      <c r="I48">
        <f t="shared" si="7"/>
        <v>1</v>
      </c>
    </row>
    <row r="49" spans="1:14" x14ac:dyDescent="0.25">
      <c r="A49" s="3">
        <v>42735</v>
      </c>
      <c r="B49" cm="1">
        <f t="array" ref="B49">_xlfn.IFS(YEAR($A49)&lt;=2009,ROUNDDOWN(B48+VLOOKUP(B$1,$J$1:$K$5,2,FALSE)*B48,0),YEAR($A49)=2010,B48,YEAR($A49)&gt;2010,ROUNDDOWN(B48-VLOOKUP(B$1,$J$1:$L$5,3,FALSE)*B48,0))</f>
        <v>252</v>
      </c>
      <c r="C49" cm="1">
        <f t="array" ref="C49">_xlfn.IFS(YEAR($A49)&lt;=2009,ROUNDDOWN(C48+VLOOKUP(C$1,$J$1:$K$5,2,FALSE)*C48,0),YEAR($A49)=2010,C48,YEAR($A49)&gt;2010,ROUNDDOWN(C48-VLOOKUP(C$1,$J$1:$L$5,3,FALSE)*C48,0))</f>
        <v>227</v>
      </c>
      <c r="D49" cm="1">
        <f t="array" ref="D49">_xlfn.IFS(YEAR($A49)&lt;=2009,ROUNDDOWN(D48+VLOOKUP(D$1,$J$1:$K$5,2,FALSE)*D48,0),YEAR($A49)=2010,D48,YEAR($A49)&gt;2010,ROUNDDOWN(D48-VLOOKUP(D$1,$J$1:$L$5,3,FALSE)*D48,0))</f>
        <v>211</v>
      </c>
      <c r="E49" cm="1">
        <f t="array" ref="E49">_xlfn.IFS(YEAR($A49)&lt;=2009,ROUNDDOWN(E48+VLOOKUP(E$1,$J$1:$K$5,2,FALSE)*E48,0),YEAR($A49)=2010,E48,YEAR($A49)&gt;2010,ROUNDDOWN(E48-VLOOKUP(E$1,$J$1:$L$5,3,FALSE)*E48,0))</f>
        <v>232</v>
      </c>
      <c r="F49">
        <f t="shared" si="4"/>
        <v>0</v>
      </c>
      <c r="G49">
        <f t="shared" si="5"/>
        <v>0</v>
      </c>
      <c r="H49">
        <f t="shared" si="6"/>
        <v>0</v>
      </c>
      <c r="I49">
        <f t="shared" si="7"/>
        <v>1</v>
      </c>
    </row>
    <row r="50" spans="1:14" x14ac:dyDescent="0.25">
      <c r="A50" s="3">
        <v>42825</v>
      </c>
      <c r="B50" cm="1">
        <f t="array" ref="B50">_xlfn.IFS(YEAR($A50)&lt;=2009,ROUNDDOWN(B49+VLOOKUP(B$1,$J$1:$K$5,2,FALSE)*B49,0),YEAR($A50)=2010,B49,YEAR($A50)&gt;2010,ROUNDDOWN(B49-VLOOKUP(B$1,$J$1:$L$5,3,FALSE)*B49,0))</f>
        <v>249</v>
      </c>
      <c r="C50" cm="1">
        <f t="array" ref="C50">_xlfn.IFS(YEAR($A50)&lt;=2009,ROUNDDOWN(C49+VLOOKUP(C$1,$J$1:$K$5,2,FALSE)*C49,0),YEAR($A50)=2010,C49,YEAR($A50)&gt;2010,ROUNDDOWN(C49-VLOOKUP(C$1,$J$1:$L$5,3,FALSE)*C49,0))</f>
        <v>224</v>
      </c>
      <c r="D50" cm="1">
        <f t="array" ref="D50">_xlfn.IFS(YEAR($A50)&lt;=2009,ROUNDDOWN(D49+VLOOKUP(D$1,$J$1:$K$5,2,FALSE)*D49,0),YEAR($A50)=2010,D49,YEAR($A50)&gt;2010,ROUNDDOWN(D49-VLOOKUP(D$1,$J$1:$L$5,3,FALSE)*D49,0))</f>
        <v>206</v>
      </c>
      <c r="E50" cm="1">
        <f t="array" ref="E50">_xlfn.IFS(YEAR($A50)&lt;=2009,ROUNDDOWN(E49+VLOOKUP(E$1,$J$1:$K$5,2,FALSE)*E49,0),YEAR($A50)=2010,E49,YEAR($A50)&gt;2010,ROUNDDOWN(E49-VLOOKUP(E$1,$J$1:$L$5,3,FALSE)*E49,0))</f>
        <v>226</v>
      </c>
      <c r="F50">
        <f t="shared" si="4"/>
        <v>0</v>
      </c>
      <c r="G50">
        <f t="shared" si="5"/>
        <v>0</v>
      </c>
      <c r="H50">
        <f t="shared" si="6"/>
        <v>1</v>
      </c>
      <c r="I50">
        <f t="shared" si="7"/>
        <v>1</v>
      </c>
    </row>
    <row r="51" spans="1:14" x14ac:dyDescent="0.25">
      <c r="A51" s="3">
        <v>42916</v>
      </c>
      <c r="B51" cm="1">
        <f t="array" ref="B51">_xlfn.IFS(YEAR($A51)&lt;=2009,ROUNDDOWN(B50+VLOOKUP(B$1,$J$1:$K$5,2,FALSE)*B50,0),YEAR($A51)=2010,B50,YEAR($A51)&gt;2010,ROUNDDOWN(B50-VLOOKUP(B$1,$J$1:$L$5,3,FALSE)*B50,0))</f>
        <v>246</v>
      </c>
      <c r="C51" cm="1">
        <f t="array" ref="C51">_xlfn.IFS(YEAR($A51)&lt;=2009,ROUNDDOWN(C50+VLOOKUP(C$1,$J$1:$K$5,2,FALSE)*C50,0),YEAR($A51)=2010,C50,YEAR($A51)&gt;2010,ROUNDDOWN(C50-VLOOKUP(C$1,$J$1:$L$5,3,FALSE)*C50,0))</f>
        <v>221</v>
      </c>
      <c r="D51" cm="1">
        <f t="array" ref="D51">_xlfn.IFS(YEAR($A51)&lt;=2009,ROUNDDOWN(D50+VLOOKUP(D$1,$J$1:$K$5,2,FALSE)*D50,0),YEAR($A51)=2010,D50,YEAR($A51)&gt;2010,ROUNDDOWN(D50-VLOOKUP(D$1,$J$1:$L$5,3,FALSE)*D50,0))</f>
        <v>202</v>
      </c>
      <c r="E51" cm="1">
        <f t="array" ref="E51">_xlfn.IFS(YEAR($A51)&lt;=2009,ROUNDDOWN(E50+VLOOKUP(E$1,$J$1:$K$5,2,FALSE)*E50,0),YEAR($A51)=2010,E50,YEAR($A51)&gt;2010,ROUNDDOWN(E50-VLOOKUP(E$1,$J$1:$L$5,3,FALSE)*E50,0))</f>
        <v>220</v>
      </c>
      <c r="F51">
        <f t="shared" si="4"/>
        <v>0</v>
      </c>
      <c r="G51">
        <f t="shared" si="5"/>
        <v>0</v>
      </c>
      <c r="H51">
        <f t="shared" si="6"/>
        <v>1</v>
      </c>
      <c r="I51">
        <f t="shared" si="7"/>
        <v>1</v>
      </c>
      <c r="K51" s="4" t="s">
        <v>13</v>
      </c>
      <c r="L51" s="6" t="s">
        <v>14</v>
      </c>
      <c r="M51" s="4" t="s">
        <v>15</v>
      </c>
      <c r="N51" s="4" t="s">
        <v>4</v>
      </c>
    </row>
    <row r="52" spans="1:14" x14ac:dyDescent="0.25">
      <c r="A52" s="3">
        <v>43008</v>
      </c>
      <c r="B52" cm="1">
        <f t="array" ref="B52">_xlfn.IFS(YEAR($A52)&lt;=2009,ROUNDDOWN(B51+VLOOKUP(B$1,$J$1:$K$5,2,FALSE)*B51,0),YEAR($A52)=2010,B51,YEAR($A52)&gt;2010,ROUNDDOWN(B51-VLOOKUP(B$1,$J$1:$L$5,3,FALSE)*B51,0))</f>
        <v>243</v>
      </c>
      <c r="C52" cm="1">
        <f t="array" ref="C52">_xlfn.IFS(YEAR($A52)&lt;=2009,ROUNDDOWN(C51+VLOOKUP(C$1,$J$1:$K$5,2,FALSE)*C51,0),YEAR($A52)=2010,C51,YEAR($A52)&gt;2010,ROUNDDOWN(C51-VLOOKUP(C$1,$J$1:$L$5,3,FALSE)*C51,0))</f>
        <v>218</v>
      </c>
      <c r="D52" cm="1">
        <f t="array" ref="D52">_xlfn.IFS(YEAR($A52)&lt;=2009,ROUNDDOWN(D51+VLOOKUP(D$1,$J$1:$K$5,2,FALSE)*D51,0),YEAR($A52)=2010,D51,YEAR($A52)&gt;2010,ROUNDDOWN(D51-VLOOKUP(D$1,$J$1:$L$5,3,FALSE)*D51,0))</f>
        <v>198</v>
      </c>
      <c r="E52" cm="1">
        <f t="array" ref="E52">_xlfn.IFS(YEAR($A52)&lt;=2009,ROUNDDOWN(E51+VLOOKUP(E$1,$J$1:$K$5,2,FALSE)*E51,0),YEAR($A52)=2010,E51,YEAR($A52)&gt;2010,ROUNDDOWN(E51-VLOOKUP(E$1,$J$1:$L$5,3,FALSE)*E51,0))</f>
        <v>214</v>
      </c>
      <c r="F52">
        <f t="shared" si="4"/>
        <v>0</v>
      </c>
      <c r="G52">
        <f t="shared" si="5"/>
        <v>0</v>
      </c>
      <c r="H52">
        <f t="shared" si="6"/>
        <v>1</v>
      </c>
      <c r="I52">
        <f t="shared" si="7"/>
        <v>1</v>
      </c>
      <c r="K52" s="4" t="s">
        <v>3</v>
      </c>
      <c r="L52" s="7">
        <v>305</v>
      </c>
      <c r="M52" s="4" t="s">
        <v>37</v>
      </c>
      <c r="N52" s="4">
        <v>2014</v>
      </c>
    </row>
    <row r="53" spans="1:14" x14ac:dyDescent="0.25">
      <c r="A53" s="3">
        <v>43100</v>
      </c>
      <c r="B53" cm="1">
        <f t="array" ref="B53">_xlfn.IFS(YEAR($A53)&lt;=2009,ROUNDDOWN(B52+VLOOKUP(B$1,$J$1:$K$5,2,FALSE)*B52,0),YEAR($A53)=2010,B52,YEAR($A53)&gt;2010,ROUNDDOWN(B52-VLOOKUP(B$1,$J$1:$L$5,3,FALSE)*B52,0))</f>
        <v>240</v>
      </c>
      <c r="C53" cm="1">
        <f t="array" ref="C53">_xlfn.IFS(YEAR($A53)&lt;=2009,ROUNDDOWN(C52+VLOOKUP(C$1,$J$1:$K$5,2,FALSE)*C52,0),YEAR($A53)=2010,C52,YEAR($A53)&gt;2010,ROUNDDOWN(C52-VLOOKUP(C$1,$J$1:$L$5,3,FALSE)*C52,0))</f>
        <v>215</v>
      </c>
      <c r="D53" cm="1">
        <f t="array" ref="D53">_xlfn.IFS(YEAR($A53)&lt;=2009,ROUNDDOWN(D52+VLOOKUP(D$1,$J$1:$K$5,2,FALSE)*D52,0),YEAR($A53)=2010,D52,YEAR($A53)&gt;2010,ROUNDDOWN(D52-VLOOKUP(D$1,$J$1:$L$5,3,FALSE)*D52,0))</f>
        <v>194</v>
      </c>
      <c r="E53" cm="1">
        <f t="array" ref="E53">_xlfn.IFS(YEAR($A53)&lt;=2009,ROUNDDOWN(E52+VLOOKUP(E$1,$J$1:$K$5,2,FALSE)*E52,0),YEAR($A53)=2010,E52,YEAR($A53)&gt;2010,ROUNDDOWN(E52-VLOOKUP(E$1,$J$1:$L$5,3,FALSE)*E52,0))</f>
        <v>208</v>
      </c>
      <c r="F53">
        <f t="shared" si="4"/>
        <v>0</v>
      </c>
      <c r="G53" s="5">
        <f t="shared" si="5"/>
        <v>0</v>
      </c>
      <c r="H53">
        <f t="shared" si="6"/>
        <v>1</v>
      </c>
      <c r="I53">
        <f t="shared" si="7"/>
        <v>1</v>
      </c>
    </row>
    <row r="54" spans="1:14" x14ac:dyDescent="0.25">
      <c r="A54" s="3">
        <v>43190</v>
      </c>
      <c r="B54" cm="1">
        <f t="array" ref="B54">_xlfn.IFS(YEAR($A54)&lt;=2009,ROUNDDOWN(B53+VLOOKUP(B$1,$J$1:$K$5,2,FALSE)*B53,0),YEAR($A54)=2010,B53,YEAR($A54)&gt;2010,ROUNDDOWN(B53-VLOOKUP(B$1,$J$1:$L$5,3,FALSE)*B53,0))</f>
        <v>237</v>
      </c>
      <c r="C54" cm="1">
        <f t="array" ref="C54">_xlfn.IFS(YEAR($A54)&lt;=2009,ROUNDDOWN(C53+VLOOKUP(C$1,$J$1:$K$5,2,FALSE)*C53,0),YEAR($A54)=2010,C53,YEAR($A54)&gt;2010,ROUNDDOWN(C53-VLOOKUP(C$1,$J$1:$L$5,3,FALSE)*C53,0))</f>
        <v>212</v>
      </c>
      <c r="D54" cm="1">
        <f t="array" ref="D54">_xlfn.IFS(YEAR($A54)&lt;=2009,ROUNDDOWN(D53+VLOOKUP(D$1,$J$1:$K$5,2,FALSE)*D53,0),YEAR($A54)=2010,D53,YEAR($A54)&gt;2010,ROUNDDOWN(D53-VLOOKUP(D$1,$J$1:$L$5,3,FALSE)*D53,0))</f>
        <v>190</v>
      </c>
      <c r="E54" cm="1">
        <f t="array" ref="E54">_xlfn.IFS(YEAR($A54)&lt;=2009,ROUNDDOWN(E53+VLOOKUP(E$1,$J$1:$K$5,2,FALSE)*E53,0),YEAR($A54)=2010,E53,YEAR($A54)&gt;2010,ROUNDDOWN(E53-VLOOKUP(E$1,$J$1:$L$5,3,FALSE)*E53,0))</f>
        <v>202</v>
      </c>
      <c r="F54">
        <f t="shared" si="4"/>
        <v>0</v>
      </c>
      <c r="G54">
        <f t="shared" si="5"/>
        <v>0</v>
      </c>
      <c r="H54">
        <f t="shared" si="6"/>
        <v>1</v>
      </c>
      <c r="I54">
        <f t="shared" si="7"/>
        <v>1</v>
      </c>
    </row>
    <row r="55" spans="1:14" x14ac:dyDescent="0.25">
      <c r="A55" s="3">
        <v>43281</v>
      </c>
      <c r="B55" cm="1">
        <f t="array" ref="B55">_xlfn.IFS(YEAR($A55)&lt;=2009,ROUNDDOWN(B54+VLOOKUP(B$1,$J$1:$K$5,2,FALSE)*B54,0),YEAR($A55)=2010,B54,YEAR($A55)&gt;2010,ROUNDDOWN(B54-VLOOKUP(B$1,$J$1:$L$5,3,FALSE)*B54,0))</f>
        <v>234</v>
      </c>
      <c r="C55" cm="1">
        <f t="array" ref="C55">_xlfn.IFS(YEAR($A55)&lt;=2009,ROUNDDOWN(C54+VLOOKUP(C$1,$J$1:$K$5,2,FALSE)*C54,0),YEAR($A55)=2010,C54,YEAR($A55)&gt;2010,ROUNDDOWN(C54-VLOOKUP(C$1,$J$1:$L$5,3,FALSE)*C54,0))</f>
        <v>209</v>
      </c>
      <c r="D55" cm="1">
        <f t="array" ref="D55">_xlfn.IFS(YEAR($A55)&lt;=2009,ROUNDDOWN(D54+VLOOKUP(D$1,$J$1:$K$5,2,FALSE)*D54,0),YEAR($A55)=2010,D54,YEAR($A55)&gt;2010,ROUNDDOWN(D54-VLOOKUP(D$1,$J$1:$L$5,3,FALSE)*D54,0))</f>
        <v>186</v>
      </c>
      <c r="E55" cm="1">
        <f t="array" ref="E55">_xlfn.IFS(YEAR($A55)&lt;=2009,ROUNDDOWN(E54+VLOOKUP(E$1,$J$1:$K$5,2,FALSE)*E54,0),YEAR($A55)=2010,E54,YEAR($A55)&gt;2010,ROUNDDOWN(E54-VLOOKUP(E$1,$J$1:$L$5,3,FALSE)*E54,0))</f>
        <v>196</v>
      </c>
      <c r="F55">
        <f t="shared" si="4"/>
        <v>1</v>
      </c>
      <c r="G55">
        <f t="shared" si="5"/>
        <v>0</v>
      </c>
      <c r="H55">
        <f t="shared" si="6"/>
        <v>1</v>
      </c>
      <c r="I55">
        <f t="shared" si="7"/>
        <v>1</v>
      </c>
    </row>
    <row r="56" spans="1:14" x14ac:dyDescent="0.25">
      <c r="A56" s="3">
        <v>43373</v>
      </c>
      <c r="B56" cm="1">
        <f t="array" ref="B56">_xlfn.IFS(YEAR($A56)&lt;=2009,ROUNDDOWN(B55+VLOOKUP(B$1,$J$1:$K$5,2,FALSE)*B55,0),YEAR($A56)=2010,B55,YEAR($A56)&gt;2010,ROUNDDOWN(B55-VLOOKUP(B$1,$J$1:$L$5,3,FALSE)*B55,0))</f>
        <v>231</v>
      </c>
      <c r="C56" cm="1">
        <f t="array" ref="C56">_xlfn.IFS(YEAR($A56)&lt;=2009,ROUNDDOWN(C55+VLOOKUP(C$1,$J$1:$K$5,2,FALSE)*C55,0),YEAR($A56)=2010,C55,YEAR($A56)&gt;2010,ROUNDDOWN(C55-VLOOKUP(C$1,$J$1:$L$5,3,FALSE)*C55,0))</f>
        <v>206</v>
      </c>
      <c r="D56" cm="1">
        <f t="array" ref="D56">_xlfn.IFS(YEAR($A56)&lt;=2009,ROUNDDOWN(D55+VLOOKUP(D$1,$J$1:$K$5,2,FALSE)*D55,0),YEAR($A56)=2010,D55,YEAR($A56)&gt;2010,ROUNDDOWN(D55-VLOOKUP(D$1,$J$1:$L$5,3,FALSE)*D55,0))</f>
        <v>182</v>
      </c>
      <c r="E56" cm="1">
        <f t="array" ref="E56">_xlfn.IFS(YEAR($A56)&lt;=2009,ROUNDDOWN(E55+VLOOKUP(E$1,$J$1:$K$5,2,FALSE)*E55,0),YEAR($A56)=2010,E55,YEAR($A56)&gt;2010,ROUNDDOWN(E55-VLOOKUP(E$1,$J$1:$L$5,3,FALSE)*E55,0))</f>
        <v>191</v>
      </c>
      <c r="F56">
        <f t="shared" si="4"/>
        <v>1</v>
      </c>
      <c r="G56">
        <f t="shared" si="5"/>
        <v>0</v>
      </c>
      <c r="H56">
        <f t="shared" si="6"/>
        <v>1</v>
      </c>
      <c r="I56">
        <f t="shared" si="7"/>
        <v>1</v>
      </c>
    </row>
    <row r="57" spans="1:14" x14ac:dyDescent="0.25">
      <c r="A57" s="3">
        <v>43465</v>
      </c>
      <c r="B57" cm="1">
        <f t="array" ref="B57">_xlfn.IFS(YEAR($A57)&lt;=2009,ROUNDDOWN(B56+VLOOKUP(B$1,$J$1:$K$5,2,FALSE)*B56,0),YEAR($A57)=2010,B56,YEAR($A57)&gt;2010,ROUNDDOWN(B56-VLOOKUP(B$1,$J$1:$L$5,3,FALSE)*B56,0))</f>
        <v>228</v>
      </c>
      <c r="C57" cm="1">
        <f t="array" ref="C57">_xlfn.IFS(YEAR($A57)&lt;=2009,ROUNDDOWN(C56+VLOOKUP(C$1,$J$1:$K$5,2,FALSE)*C56,0),YEAR($A57)=2010,C56,YEAR($A57)&gt;2010,ROUNDDOWN(C56-VLOOKUP(C$1,$J$1:$L$5,3,FALSE)*C56,0))</f>
        <v>203</v>
      </c>
      <c r="D57" cm="1">
        <f t="array" ref="D57">_xlfn.IFS(YEAR($A57)&lt;=2009,ROUNDDOWN(D56+VLOOKUP(D$1,$J$1:$K$5,2,FALSE)*D56,0),YEAR($A57)=2010,D56,YEAR($A57)&gt;2010,ROUNDDOWN(D56-VLOOKUP(D$1,$J$1:$L$5,3,FALSE)*D56,0))</f>
        <v>178</v>
      </c>
      <c r="E57" cm="1">
        <f t="array" ref="E57">_xlfn.IFS(YEAR($A57)&lt;=2009,ROUNDDOWN(E56+VLOOKUP(E$1,$J$1:$K$5,2,FALSE)*E56,0),YEAR($A57)=2010,E56,YEAR($A57)&gt;2010,ROUNDDOWN(E56-VLOOKUP(E$1,$J$1:$L$5,3,FALSE)*E56,0))</f>
        <v>186</v>
      </c>
      <c r="F57">
        <f t="shared" si="4"/>
        <v>1</v>
      </c>
      <c r="G57">
        <f t="shared" si="5"/>
        <v>0</v>
      </c>
      <c r="H57">
        <f t="shared" si="6"/>
        <v>1</v>
      </c>
      <c r="I57">
        <f t="shared" si="7"/>
        <v>1</v>
      </c>
    </row>
    <row r="58" spans="1:14" x14ac:dyDescent="0.25">
      <c r="A58" s="3">
        <v>43555</v>
      </c>
      <c r="B58" cm="1">
        <f t="array" ref="B58">_xlfn.IFS(YEAR($A58)&lt;=2009,ROUNDDOWN(B57+VLOOKUP(B$1,$J$1:$K$5,2,FALSE)*B57,0),YEAR($A58)=2010,B57,YEAR($A58)&gt;2010,ROUNDDOWN(B57-VLOOKUP(B$1,$J$1:$L$5,3,FALSE)*B57,0))</f>
        <v>225</v>
      </c>
      <c r="C58" cm="1">
        <f t="array" ref="C58">_xlfn.IFS(YEAR($A58)&lt;=2009,ROUNDDOWN(C57+VLOOKUP(C$1,$J$1:$K$5,2,FALSE)*C57,0),YEAR($A58)=2010,C57,YEAR($A58)&gt;2010,ROUNDDOWN(C57-VLOOKUP(C$1,$J$1:$L$5,3,FALSE)*C57,0))</f>
        <v>200</v>
      </c>
      <c r="D58" cm="1">
        <f t="array" ref="D58">_xlfn.IFS(YEAR($A58)&lt;=2009,ROUNDDOWN(D57+VLOOKUP(D$1,$J$1:$K$5,2,FALSE)*D57,0),YEAR($A58)=2010,D57,YEAR($A58)&gt;2010,ROUNDDOWN(D57-VLOOKUP(D$1,$J$1:$L$5,3,FALSE)*D57,0))</f>
        <v>174</v>
      </c>
      <c r="E58" cm="1">
        <f t="array" ref="E58">_xlfn.IFS(YEAR($A58)&lt;=2009,ROUNDDOWN(E57+VLOOKUP(E$1,$J$1:$K$5,2,FALSE)*E57,0),YEAR($A58)=2010,E57,YEAR($A58)&gt;2010,ROUNDDOWN(E57-VLOOKUP(E$1,$J$1:$L$5,3,FALSE)*E57,0))</f>
        <v>181</v>
      </c>
      <c r="F58">
        <f t="shared" si="4"/>
        <v>1</v>
      </c>
      <c r="G58">
        <f t="shared" si="5"/>
        <v>0</v>
      </c>
      <c r="H58">
        <f t="shared" si="6"/>
        <v>1</v>
      </c>
      <c r="I58">
        <f t="shared" si="7"/>
        <v>1</v>
      </c>
    </row>
    <row r="59" spans="1:14" x14ac:dyDescent="0.25">
      <c r="A59" s="3">
        <v>43646</v>
      </c>
      <c r="B59" cm="1">
        <f t="array" ref="B59">_xlfn.IFS(YEAR($A59)&lt;=2009,ROUNDDOWN(B58+VLOOKUP(B$1,$J$1:$K$5,2,FALSE)*B58,0),YEAR($A59)=2010,B58,YEAR($A59)&gt;2010,ROUNDDOWN(B58-VLOOKUP(B$1,$J$1:$L$5,3,FALSE)*B58,0))</f>
        <v>222</v>
      </c>
      <c r="C59" cm="1">
        <f t="array" ref="C59">_xlfn.IFS(YEAR($A59)&lt;=2009,ROUNDDOWN(C58+VLOOKUP(C$1,$J$1:$K$5,2,FALSE)*C58,0),YEAR($A59)=2010,C58,YEAR($A59)&gt;2010,ROUNDDOWN(C58-VLOOKUP(C$1,$J$1:$L$5,3,FALSE)*C58,0))</f>
        <v>197</v>
      </c>
      <c r="D59" cm="1">
        <f t="array" ref="D59">_xlfn.IFS(YEAR($A59)&lt;=2009,ROUNDDOWN(D58+VLOOKUP(D$1,$J$1:$K$5,2,FALSE)*D58,0),YEAR($A59)=2010,D58,YEAR($A59)&gt;2010,ROUNDDOWN(D58-VLOOKUP(D$1,$J$1:$L$5,3,FALSE)*D58,0))</f>
        <v>170</v>
      </c>
      <c r="E59" cm="1">
        <f t="array" ref="E59">_xlfn.IFS(YEAR($A59)&lt;=2009,ROUNDDOWN(E58+VLOOKUP(E$1,$J$1:$K$5,2,FALSE)*E58,0),YEAR($A59)=2010,E58,YEAR($A59)&gt;2010,ROUNDDOWN(E58-VLOOKUP(E$1,$J$1:$L$5,3,FALSE)*E58,0))</f>
        <v>176</v>
      </c>
      <c r="F59">
        <f t="shared" si="4"/>
        <v>1</v>
      </c>
      <c r="G59">
        <f t="shared" si="5"/>
        <v>1</v>
      </c>
      <c r="H59">
        <f t="shared" si="6"/>
        <v>1</v>
      </c>
      <c r="I59">
        <f t="shared" si="7"/>
        <v>1</v>
      </c>
    </row>
    <row r="60" spans="1:14" x14ac:dyDescent="0.25">
      <c r="A60" s="3">
        <v>43738</v>
      </c>
      <c r="B60" cm="1">
        <f t="array" ref="B60">_xlfn.IFS(YEAR($A60)&lt;=2009,ROUNDDOWN(B59+VLOOKUP(B$1,$J$1:$K$5,2,FALSE)*B59,0),YEAR($A60)=2010,B59,YEAR($A60)&gt;2010,ROUNDDOWN(B59-VLOOKUP(B$1,$J$1:$L$5,3,FALSE)*B59,0))</f>
        <v>219</v>
      </c>
      <c r="C60" cm="1">
        <f t="array" ref="C60">_xlfn.IFS(YEAR($A60)&lt;=2009,ROUNDDOWN(C59+VLOOKUP(C$1,$J$1:$K$5,2,FALSE)*C59,0),YEAR($A60)=2010,C59,YEAR($A60)&gt;2010,ROUNDDOWN(C59-VLOOKUP(C$1,$J$1:$L$5,3,FALSE)*C59,0))</f>
        <v>194</v>
      </c>
      <c r="D60" cm="1">
        <f t="array" ref="D60">_xlfn.IFS(YEAR($A60)&lt;=2009,ROUNDDOWN(D59+VLOOKUP(D$1,$J$1:$K$5,2,FALSE)*D59,0),YEAR($A60)=2010,D59,YEAR($A60)&gt;2010,ROUNDDOWN(D59-VLOOKUP(D$1,$J$1:$L$5,3,FALSE)*D59,0))</f>
        <v>166</v>
      </c>
      <c r="E60" cm="1">
        <f t="array" ref="E60">_xlfn.IFS(YEAR($A60)&lt;=2009,ROUNDDOWN(E59+VLOOKUP(E$1,$J$1:$K$5,2,FALSE)*E59,0),YEAR($A60)=2010,E59,YEAR($A60)&gt;2010,ROUNDDOWN(E59-VLOOKUP(E$1,$J$1:$L$5,3,FALSE)*E59,0))</f>
        <v>171</v>
      </c>
      <c r="F60">
        <f t="shared" si="4"/>
        <v>1</v>
      </c>
      <c r="G60">
        <f t="shared" si="5"/>
        <v>1</v>
      </c>
      <c r="H60">
        <f t="shared" si="6"/>
        <v>1</v>
      </c>
      <c r="I60">
        <f t="shared" si="7"/>
        <v>1</v>
      </c>
    </row>
    <row r="61" spans="1:14" x14ac:dyDescent="0.25">
      <c r="A61" s="3">
        <v>43830</v>
      </c>
      <c r="B61" cm="1">
        <f t="array" ref="B61">_xlfn.IFS(YEAR($A61)&lt;=2009,ROUNDDOWN(B60+VLOOKUP(B$1,$J$1:$K$5,2,FALSE)*B60,0),YEAR($A61)=2010,B60,YEAR($A61)&gt;2010,ROUNDDOWN(B60-VLOOKUP(B$1,$J$1:$L$5,3,FALSE)*B60,0))</f>
        <v>216</v>
      </c>
      <c r="C61" cm="1">
        <f t="array" ref="C61">_xlfn.IFS(YEAR($A61)&lt;=2009,ROUNDDOWN(C60+VLOOKUP(C$1,$J$1:$K$5,2,FALSE)*C60,0),YEAR($A61)=2010,C60,YEAR($A61)&gt;2010,ROUNDDOWN(C60-VLOOKUP(C$1,$J$1:$L$5,3,FALSE)*C60,0))</f>
        <v>191</v>
      </c>
      <c r="D61" cm="1">
        <f t="array" ref="D61">_xlfn.IFS(YEAR($A61)&lt;=2009,ROUNDDOWN(D60+VLOOKUP(D$1,$J$1:$K$5,2,FALSE)*D60,0),YEAR($A61)=2010,D60,YEAR($A61)&gt;2010,ROUNDDOWN(D60-VLOOKUP(D$1,$J$1:$L$5,3,FALSE)*D60,0))</f>
        <v>162</v>
      </c>
      <c r="E61" cm="1">
        <f t="array" ref="E61">_xlfn.IFS(YEAR($A61)&lt;=2009,ROUNDDOWN(E60+VLOOKUP(E$1,$J$1:$K$5,2,FALSE)*E60,0),YEAR($A61)=2010,E60,YEAR($A61)&gt;2010,ROUNDDOWN(E60-VLOOKUP(E$1,$J$1:$L$5,3,FALSE)*E60,0))</f>
        <v>166</v>
      </c>
      <c r="F61">
        <f t="shared" si="4"/>
        <v>1</v>
      </c>
      <c r="G61">
        <f t="shared" si="5"/>
        <v>1</v>
      </c>
      <c r="H61">
        <f t="shared" si="6"/>
        <v>1</v>
      </c>
      <c r="I61">
        <f t="shared" si="7"/>
        <v>1</v>
      </c>
    </row>
    <row r="62" spans="1:14" x14ac:dyDescent="0.25">
      <c r="A62" s="3">
        <v>43921</v>
      </c>
      <c r="B62" cm="1">
        <f t="array" ref="B62">_xlfn.IFS(YEAR($A62)&lt;=2009,ROUNDDOWN(B61+VLOOKUP(B$1,$J$1:$K$5,2,FALSE)*B61,0),YEAR($A62)=2010,B61,YEAR($A62)&gt;2010,ROUNDDOWN(B61-VLOOKUP(B$1,$J$1:$L$5,3,FALSE)*B61,0))</f>
        <v>213</v>
      </c>
      <c r="C62" cm="1">
        <f t="array" ref="C62">_xlfn.IFS(YEAR($A62)&lt;=2009,ROUNDDOWN(C61+VLOOKUP(C$1,$J$1:$K$5,2,FALSE)*C61,0),YEAR($A62)=2010,C61,YEAR($A62)&gt;2010,ROUNDDOWN(C61-VLOOKUP(C$1,$J$1:$L$5,3,FALSE)*C61,0))</f>
        <v>188</v>
      </c>
      <c r="D62" cm="1">
        <f t="array" ref="D62">_xlfn.IFS(YEAR($A62)&lt;=2009,ROUNDDOWN(D61+VLOOKUP(D$1,$J$1:$K$5,2,FALSE)*D61,0),YEAR($A62)=2010,D61,YEAR($A62)&gt;2010,ROUNDDOWN(D61-VLOOKUP(D$1,$J$1:$L$5,3,FALSE)*D61,0))</f>
        <v>158</v>
      </c>
      <c r="E62" cm="1">
        <f t="array" ref="E62">_xlfn.IFS(YEAR($A62)&lt;=2009,ROUNDDOWN(E61+VLOOKUP(E$1,$J$1:$K$5,2,FALSE)*E61,0),YEAR($A62)=2010,E61,YEAR($A62)&gt;2010,ROUNDDOWN(E61-VLOOKUP(E$1,$J$1:$L$5,3,FALSE)*E61,0))</f>
        <v>161</v>
      </c>
      <c r="F62">
        <f t="shared" si="4"/>
        <v>1</v>
      </c>
      <c r="G62">
        <f t="shared" si="5"/>
        <v>1</v>
      </c>
      <c r="H62">
        <f t="shared" si="6"/>
        <v>1</v>
      </c>
      <c r="I62">
        <f t="shared" si="7"/>
        <v>1</v>
      </c>
    </row>
    <row r="63" spans="1:14" x14ac:dyDescent="0.25">
      <c r="A63" s="3">
        <v>44012</v>
      </c>
      <c r="B63" cm="1">
        <f t="array" ref="B63">_xlfn.IFS(YEAR($A63)&lt;=2009,ROUNDDOWN(B62+VLOOKUP(B$1,$J$1:$K$5,2,FALSE)*B62,0),YEAR($A63)=2010,B62,YEAR($A63)&gt;2010,ROUNDDOWN(B62-VLOOKUP(B$1,$J$1:$L$5,3,FALSE)*B62,0))</f>
        <v>210</v>
      </c>
      <c r="C63" cm="1">
        <f t="array" ref="C63">_xlfn.IFS(YEAR($A63)&lt;=2009,ROUNDDOWN(C62+VLOOKUP(C$1,$J$1:$K$5,2,FALSE)*C62,0),YEAR($A63)=2010,C62,YEAR($A63)&gt;2010,ROUNDDOWN(C62-VLOOKUP(C$1,$J$1:$L$5,3,FALSE)*C62,0))</f>
        <v>185</v>
      </c>
      <c r="D63" cm="1">
        <f t="array" ref="D63">_xlfn.IFS(YEAR($A63)&lt;=2009,ROUNDDOWN(D62+VLOOKUP(D$1,$J$1:$K$5,2,FALSE)*D62,0),YEAR($A63)=2010,D62,YEAR($A63)&gt;2010,ROUNDDOWN(D62-VLOOKUP(D$1,$J$1:$L$5,3,FALSE)*D62,0))</f>
        <v>154</v>
      </c>
      <c r="E63" cm="1">
        <f t="array" ref="E63">_xlfn.IFS(YEAR($A63)&lt;=2009,ROUNDDOWN(E62+VLOOKUP(E$1,$J$1:$K$5,2,FALSE)*E62,0),YEAR($A63)=2010,E62,YEAR($A63)&gt;2010,ROUNDDOWN(E62-VLOOKUP(E$1,$J$1:$L$5,3,FALSE)*E62,0))</f>
        <v>156</v>
      </c>
      <c r="F63">
        <f t="shared" si="4"/>
        <v>1</v>
      </c>
      <c r="G63">
        <f t="shared" si="5"/>
        <v>1</v>
      </c>
      <c r="H63">
        <f t="shared" si="6"/>
        <v>1</v>
      </c>
      <c r="I63">
        <f t="shared" si="7"/>
        <v>1</v>
      </c>
    </row>
    <row r="64" spans="1:14" x14ac:dyDescent="0.25">
      <c r="A64" s="3">
        <v>44104</v>
      </c>
      <c r="B64" cm="1">
        <f t="array" ref="B64">_xlfn.IFS(YEAR($A64)&lt;=2009,ROUNDDOWN(B63+VLOOKUP(B$1,$J$1:$K$5,2,FALSE)*B63,0),YEAR($A64)=2010,B63,YEAR($A64)&gt;2010,ROUNDDOWN(B63-VLOOKUP(B$1,$J$1:$L$5,3,FALSE)*B63,0))</f>
        <v>207</v>
      </c>
      <c r="C64" cm="1">
        <f t="array" ref="C64">_xlfn.IFS(YEAR($A64)&lt;=2009,ROUNDDOWN(C63+VLOOKUP(C$1,$J$1:$K$5,2,FALSE)*C63,0),YEAR($A64)=2010,C63,YEAR($A64)&gt;2010,ROUNDDOWN(C63-VLOOKUP(C$1,$J$1:$L$5,3,FALSE)*C63,0))</f>
        <v>182</v>
      </c>
      <c r="D64" cm="1">
        <f t="array" ref="D64">_xlfn.IFS(YEAR($A64)&lt;=2009,ROUNDDOWN(D63+VLOOKUP(D$1,$J$1:$K$5,2,FALSE)*D63,0),YEAR($A64)=2010,D63,YEAR($A64)&gt;2010,ROUNDDOWN(D63-VLOOKUP(D$1,$J$1:$L$5,3,FALSE)*D63,0))</f>
        <v>151</v>
      </c>
      <c r="E64" cm="1">
        <f t="array" ref="E64">_xlfn.IFS(YEAR($A64)&lt;=2009,ROUNDDOWN(E63+VLOOKUP(E$1,$J$1:$K$5,2,FALSE)*E63,0),YEAR($A64)=2010,E63,YEAR($A64)&gt;2010,ROUNDDOWN(E63-VLOOKUP(E$1,$J$1:$L$5,3,FALSE)*E63,0))</f>
        <v>152</v>
      </c>
      <c r="F64">
        <f t="shared" si="4"/>
        <v>1</v>
      </c>
      <c r="G64">
        <f t="shared" si="5"/>
        <v>1</v>
      </c>
      <c r="H64">
        <f t="shared" si="6"/>
        <v>1</v>
      </c>
      <c r="I64">
        <f t="shared" si="7"/>
        <v>1</v>
      </c>
    </row>
    <row r="65" spans="1:9" x14ac:dyDescent="0.25">
      <c r="A65" s="3">
        <v>44196</v>
      </c>
      <c r="B65" cm="1">
        <f t="array" ref="B65">_xlfn.IFS(YEAR($A65)&lt;=2009,ROUNDDOWN(B64+VLOOKUP(B$1,$J$1:$K$5,2,FALSE)*B64,0),YEAR($A65)=2010,B64,YEAR($A65)&gt;2010,ROUNDDOWN(B64-VLOOKUP(B$1,$J$1:$L$5,3,FALSE)*B64,0))</f>
        <v>204</v>
      </c>
      <c r="C65" cm="1">
        <f t="array" ref="C65">_xlfn.IFS(YEAR($A65)&lt;=2009,ROUNDDOWN(C64+VLOOKUP(C$1,$J$1:$K$5,2,FALSE)*C64,0),YEAR($A65)=2010,C64,YEAR($A65)&gt;2010,ROUNDDOWN(C64-VLOOKUP(C$1,$J$1:$L$5,3,FALSE)*C64,0))</f>
        <v>179</v>
      </c>
      <c r="D65" cm="1">
        <f t="array" ref="D65">_xlfn.IFS(YEAR($A65)&lt;=2009,ROUNDDOWN(D64+VLOOKUP(D$1,$J$1:$K$5,2,FALSE)*D64,0),YEAR($A65)=2010,D64,YEAR($A65)&gt;2010,ROUNDDOWN(D64-VLOOKUP(D$1,$J$1:$L$5,3,FALSE)*D64,0))</f>
        <v>148</v>
      </c>
      <c r="E65" cm="1">
        <f t="array" ref="E65">_xlfn.IFS(YEAR($A65)&lt;=2009,ROUNDDOWN(E64+VLOOKUP(E$1,$J$1:$K$5,2,FALSE)*E64,0),YEAR($A65)=2010,E64,YEAR($A65)&gt;2010,ROUNDDOWN(E64-VLOOKUP(E$1,$J$1:$L$5,3,FALSE)*E64,0))</f>
        <v>148</v>
      </c>
      <c r="F65">
        <f t="shared" si="4"/>
        <v>1</v>
      </c>
      <c r="G65">
        <f t="shared" si="5"/>
        <v>1</v>
      </c>
      <c r="H65">
        <f t="shared" si="6"/>
        <v>1</v>
      </c>
      <c r="I65">
        <f t="shared" si="7"/>
        <v>1</v>
      </c>
    </row>
    <row r="66" spans="1:9" x14ac:dyDescent="0.25">
      <c r="A66" s="3">
        <v>44286</v>
      </c>
      <c r="B66" cm="1">
        <f t="array" ref="B66">_xlfn.IFS(YEAR($A66)&lt;=2009,ROUNDDOWN(B65+VLOOKUP(B$1,$J$1:$K$5,2,FALSE)*B65,0),YEAR($A66)=2010,B65,YEAR($A66)&gt;2010,ROUNDDOWN(B65-VLOOKUP(B$1,$J$1:$L$5,3,FALSE)*B65,0))</f>
        <v>201</v>
      </c>
      <c r="C66" cm="1">
        <f t="array" ref="C66">_xlfn.IFS(YEAR($A66)&lt;=2009,ROUNDDOWN(C65+VLOOKUP(C$1,$J$1:$K$5,2,FALSE)*C65,0),YEAR($A66)=2010,C65,YEAR($A66)&gt;2010,ROUNDDOWN(C65-VLOOKUP(C$1,$J$1:$L$5,3,FALSE)*C65,0))</f>
        <v>176</v>
      </c>
      <c r="D66" cm="1">
        <f t="array" ref="D66">_xlfn.IFS(YEAR($A66)&lt;=2009,ROUNDDOWN(D65+VLOOKUP(D$1,$J$1:$K$5,2,FALSE)*D65,0),YEAR($A66)=2010,D65,YEAR($A66)&gt;2010,ROUNDDOWN(D65-VLOOKUP(D$1,$J$1:$L$5,3,FALSE)*D65,0))</f>
        <v>145</v>
      </c>
      <c r="E66" cm="1">
        <f t="array" ref="E66">_xlfn.IFS(YEAR($A66)&lt;=2009,ROUNDDOWN(E65+VLOOKUP(E$1,$J$1:$K$5,2,FALSE)*E65,0),YEAR($A66)=2010,E65,YEAR($A66)&gt;2010,ROUNDDOWN(E65-VLOOKUP(E$1,$J$1:$L$5,3,FALSE)*E65,0))</f>
        <v>144</v>
      </c>
      <c r="F66">
        <f t="shared" si="4"/>
        <v>1</v>
      </c>
      <c r="G66">
        <f t="shared" si="5"/>
        <v>1</v>
      </c>
      <c r="H66">
        <f t="shared" si="6"/>
        <v>1</v>
      </c>
      <c r="I66">
        <f t="shared" si="7"/>
        <v>1</v>
      </c>
    </row>
    <row r="67" spans="1:9" x14ac:dyDescent="0.25">
      <c r="A67" s="3">
        <v>44377</v>
      </c>
      <c r="B67" cm="1">
        <f t="array" ref="B67">_xlfn.IFS(YEAR($A67)&lt;=2009,ROUNDDOWN(B66+VLOOKUP(B$1,$J$1:$K$5,2,FALSE)*B66,0),YEAR($A67)=2010,B66,YEAR($A67)&gt;2010,ROUNDDOWN(B66-VLOOKUP(B$1,$J$1:$L$5,3,FALSE)*B66,0))</f>
        <v>198</v>
      </c>
      <c r="C67" cm="1">
        <f t="array" ref="C67">_xlfn.IFS(YEAR($A67)&lt;=2009,ROUNDDOWN(C66+VLOOKUP(C$1,$J$1:$K$5,2,FALSE)*C66,0),YEAR($A67)=2010,C66,YEAR($A67)&gt;2010,ROUNDDOWN(C66-VLOOKUP(C$1,$J$1:$L$5,3,FALSE)*C66,0))</f>
        <v>173</v>
      </c>
      <c r="D67" cm="1">
        <f t="array" ref="D67">_xlfn.IFS(YEAR($A67)&lt;=2009,ROUNDDOWN(D66+VLOOKUP(D$1,$J$1:$K$5,2,FALSE)*D66,0),YEAR($A67)=2010,D66,YEAR($A67)&gt;2010,ROUNDDOWN(D66-VLOOKUP(D$1,$J$1:$L$5,3,FALSE)*D66,0))</f>
        <v>142</v>
      </c>
      <c r="E67" cm="1">
        <f t="array" ref="E67">_xlfn.IFS(YEAR($A67)&lt;=2009,ROUNDDOWN(E66+VLOOKUP(E$1,$J$1:$K$5,2,FALSE)*E66,0),YEAR($A67)=2010,E66,YEAR($A67)&gt;2010,ROUNDDOWN(E66-VLOOKUP(E$1,$J$1:$L$5,3,FALSE)*E66,0))</f>
        <v>140</v>
      </c>
      <c r="F67">
        <f t="shared" si="4"/>
        <v>1</v>
      </c>
      <c r="G67">
        <f t="shared" si="5"/>
        <v>1</v>
      </c>
      <c r="H67">
        <f t="shared" si="6"/>
        <v>1</v>
      </c>
      <c r="I67">
        <f t="shared" si="7"/>
        <v>1</v>
      </c>
    </row>
    <row r="68" spans="1:9" x14ac:dyDescent="0.25">
      <c r="A68" s="3">
        <v>44469</v>
      </c>
      <c r="B68" cm="1">
        <f t="array" ref="B68">_xlfn.IFS(YEAR($A68)&lt;=2009,ROUNDDOWN(B67+VLOOKUP(B$1,$J$1:$K$5,2,FALSE)*B67,0),YEAR($A68)=2010,B67,YEAR($A68)&gt;2010,ROUNDDOWN(B67-VLOOKUP(B$1,$J$1:$L$5,3,FALSE)*B67,0))</f>
        <v>196</v>
      </c>
      <c r="C68" cm="1">
        <f t="array" ref="C68">_xlfn.IFS(YEAR($A68)&lt;=2009,ROUNDDOWN(C67+VLOOKUP(C$1,$J$1:$K$5,2,FALSE)*C67,0),YEAR($A68)=2010,C67,YEAR($A68)&gt;2010,ROUNDDOWN(C67-VLOOKUP(C$1,$J$1:$L$5,3,FALSE)*C67,0))</f>
        <v>170</v>
      </c>
      <c r="D68" cm="1">
        <f t="array" ref="D68">_xlfn.IFS(YEAR($A68)&lt;=2009,ROUNDDOWN(D67+VLOOKUP(D$1,$J$1:$K$5,2,FALSE)*D67,0),YEAR($A68)=2010,D67,YEAR($A68)&gt;2010,ROUNDDOWN(D67-VLOOKUP(D$1,$J$1:$L$5,3,FALSE)*D67,0))</f>
        <v>139</v>
      </c>
      <c r="E68" cm="1">
        <f t="array" ref="E68">_xlfn.IFS(YEAR($A68)&lt;=2009,ROUNDDOWN(E67+VLOOKUP(E$1,$J$1:$K$5,2,FALSE)*E67,0),YEAR($A68)=2010,E67,YEAR($A68)&gt;2010,ROUNDDOWN(E67-VLOOKUP(E$1,$J$1:$L$5,3,FALSE)*E67,0))</f>
        <v>136</v>
      </c>
      <c r="F68">
        <f t="shared" si="4"/>
        <v>1</v>
      </c>
      <c r="G68">
        <f t="shared" si="5"/>
        <v>1</v>
      </c>
      <c r="H68">
        <f t="shared" si="6"/>
        <v>1</v>
      </c>
      <c r="I68">
        <f t="shared" si="7"/>
        <v>1</v>
      </c>
    </row>
    <row r="69" spans="1:9" x14ac:dyDescent="0.25">
      <c r="A69" s="3">
        <v>44561</v>
      </c>
      <c r="B69" cm="1">
        <f t="array" ref="B69">_xlfn.IFS(YEAR($A69)&lt;=2009,ROUNDDOWN(B68+VLOOKUP(B$1,$J$1:$K$5,2,FALSE)*B68,0),YEAR($A69)=2010,B68,YEAR($A69)&gt;2010,ROUNDDOWN(B68-VLOOKUP(B$1,$J$1:$L$5,3,FALSE)*B68,0))</f>
        <v>194</v>
      </c>
      <c r="C69" cm="1">
        <f t="array" ref="C69">_xlfn.IFS(YEAR($A69)&lt;=2009,ROUNDDOWN(C68+VLOOKUP(C$1,$J$1:$K$5,2,FALSE)*C68,0),YEAR($A69)=2010,C68,YEAR($A69)&gt;2010,ROUNDDOWN(C68-VLOOKUP(C$1,$J$1:$L$5,3,FALSE)*C68,0))</f>
        <v>167</v>
      </c>
      <c r="D69" cm="1">
        <f t="array" ref="D69">_xlfn.IFS(YEAR($A69)&lt;=2009,ROUNDDOWN(D68+VLOOKUP(D$1,$J$1:$K$5,2,FALSE)*D68,0),YEAR($A69)=2010,D68,YEAR($A69)&gt;2010,ROUNDDOWN(D68-VLOOKUP(D$1,$J$1:$L$5,3,FALSE)*D68,0))</f>
        <v>136</v>
      </c>
      <c r="E69" cm="1">
        <f t="array" ref="E69">_xlfn.IFS(YEAR($A69)&lt;=2009,ROUNDDOWN(E68+VLOOKUP(E$1,$J$1:$K$5,2,FALSE)*E68,0),YEAR($A69)=2010,E68,YEAR($A69)&gt;2010,ROUNDDOWN(E68-VLOOKUP(E$1,$J$1:$L$5,3,FALSE)*E68,0))</f>
        <v>132</v>
      </c>
      <c r="F69">
        <f t="shared" si="4"/>
        <v>1</v>
      </c>
      <c r="G69">
        <f t="shared" si="5"/>
        <v>1</v>
      </c>
      <c r="H69">
        <f t="shared" si="6"/>
        <v>1</v>
      </c>
      <c r="I69">
        <f t="shared" si="7"/>
        <v>1</v>
      </c>
    </row>
    <row r="70" spans="1:9" x14ac:dyDescent="0.25">
      <c r="A70" s="3">
        <v>44651</v>
      </c>
      <c r="B70" cm="1">
        <f t="array" ref="B70">_xlfn.IFS(YEAR($A70)&lt;=2009,ROUNDDOWN(B69+VLOOKUP(B$1,$J$1:$K$5,2,FALSE)*B69,0),YEAR($A70)=2010,B69,YEAR($A70)&gt;2010,ROUNDDOWN(B69-VLOOKUP(B$1,$J$1:$L$5,3,FALSE)*B69,0))</f>
        <v>192</v>
      </c>
      <c r="C70" cm="1">
        <f t="array" ref="C70">_xlfn.IFS(YEAR($A70)&lt;=2009,ROUNDDOWN(C69+VLOOKUP(C$1,$J$1:$K$5,2,FALSE)*C69,0),YEAR($A70)=2010,C69,YEAR($A70)&gt;2010,ROUNDDOWN(C69-VLOOKUP(C$1,$J$1:$L$5,3,FALSE)*C69,0))</f>
        <v>164</v>
      </c>
      <c r="D70" cm="1">
        <f t="array" ref="D70">_xlfn.IFS(YEAR($A70)&lt;=2009,ROUNDDOWN(D69+VLOOKUP(D$1,$J$1:$K$5,2,FALSE)*D69,0),YEAR($A70)=2010,D69,YEAR($A70)&gt;2010,ROUNDDOWN(D69-VLOOKUP(D$1,$J$1:$L$5,3,FALSE)*D69,0))</f>
        <v>133</v>
      </c>
      <c r="E70" cm="1">
        <f t="array" ref="E70">_xlfn.IFS(YEAR($A70)&lt;=2009,ROUNDDOWN(E69+VLOOKUP(E$1,$J$1:$K$5,2,FALSE)*E69,0),YEAR($A70)=2010,E69,YEAR($A70)&gt;2010,ROUNDDOWN(E69-VLOOKUP(E$1,$J$1:$L$5,3,FALSE)*E69,0))</f>
        <v>128</v>
      </c>
      <c r="F70">
        <f t="shared" si="4"/>
        <v>1</v>
      </c>
      <c r="G70">
        <f t="shared" si="5"/>
        <v>1</v>
      </c>
      <c r="H70">
        <f t="shared" si="6"/>
        <v>1</v>
      </c>
      <c r="I70">
        <f t="shared" si="7"/>
        <v>1</v>
      </c>
    </row>
  </sheetData>
  <conditionalFormatting sqref="F1:I1048576">
    <cfRule type="cellIs" dxfId="0" priority="1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1AE7F-D766-4892-AD8D-709398D89257}">
  <dimension ref="A1:L35"/>
  <sheetViews>
    <sheetView workbookViewId="0">
      <selection activeCell="I35" sqref="E34:I35"/>
    </sheetView>
  </sheetViews>
  <sheetFormatPr defaultRowHeight="15" x14ac:dyDescent="0.25"/>
  <cols>
    <col min="1" max="1" width="10.140625" style="3" bestFit="1" customWidth="1"/>
    <col min="2" max="2" width="5.7109375" bestFit="1" customWidth="1"/>
    <col min="3" max="3" width="6.5703125" bestFit="1" customWidth="1"/>
    <col min="4" max="4" width="6.7109375" bestFit="1" customWidth="1"/>
    <col min="5" max="5" width="14.7109375" bestFit="1" customWidth="1"/>
    <col min="6" max="6" width="13.28515625" bestFit="1" customWidth="1"/>
    <col min="7" max="7" width="14.140625" bestFit="1" customWidth="1"/>
    <col min="8" max="9" width="14.28515625" bestFit="1" customWidth="1"/>
    <col min="10" max="10" width="11.28515625" bestFit="1" customWidth="1"/>
    <col min="11" max="11" width="30.5703125" bestFit="1" customWidth="1"/>
    <col min="12" max="12" width="30" style="2" bestFit="1" customWidth="1"/>
  </cols>
  <sheetData>
    <row r="1" spans="1:12" x14ac:dyDescent="0.25">
      <c r="A1" s="3" t="s">
        <v>5</v>
      </c>
      <c r="B1" t="s">
        <v>0</v>
      </c>
      <c r="C1" t="s">
        <v>1</v>
      </c>
      <c r="D1" t="s">
        <v>2</v>
      </c>
      <c r="E1" t="s">
        <v>3</v>
      </c>
      <c r="F1" t="s">
        <v>16</v>
      </c>
      <c r="G1" t="s">
        <v>17</v>
      </c>
      <c r="H1" t="s">
        <v>18</v>
      </c>
      <c r="I1" t="s">
        <v>19</v>
      </c>
      <c r="J1" t="s">
        <v>8</v>
      </c>
      <c r="K1" t="s">
        <v>6</v>
      </c>
      <c r="L1" s="2" t="s">
        <v>7</v>
      </c>
    </row>
    <row r="2" spans="1:12" x14ac:dyDescent="0.25">
      <c r="A2" s="3">
        <v>38442</v>
      </c>
      <c r="B2">
        <v>237</v>
      </c>
      <c r="C2">
        <v>198</v>
      </c>
      <c r="D2">
        <v>207</v>
      </c>
      <c r="E2">
        <v>312</v>
      </c>
      <c r="F2">
        <f>IF(B2&gt;300,1,0)</f>
        <v>0</v>
      </c>
      <c r="G2">
        <f t="shared" ref="G2:I2" si="0">IF(C2&gt;300,1,0)</f>
        <v>0</v>
      </c>
      <c r="H2">
        <f t="shared" si="0"/>
        <v>0</v>
      </c>
      <c r="I2">
        <f t="shared" si="0"/>
        <v>1</v>
      </c>
      <c r="J2" t="s">
        <v>0</v>
      </c>
      <c r="K2" s="1">
        <v>0.02</v>
      </c>
      <c r="L2" s="2">
        <v>0.01</v>
      </c>
    </row>
    <row r="3" spans="1:12" x14ac:dyDescent="0.25">
      <c r="A3" s="3">
        <v>38533</v>
      </c>
      <c r="B3" cm="1">
        <f t="array" ref="B3">_xlfn.IFS(YEAR($A3)&lt;=2009,ROUNDDOWN(B2+VLOOKUP(B$1,$J$1:$K$5,2,FALSE)*B2,0),YEAR($A3)=2010,B2,YEAR($A3)&gt;2010,ROUNDDOWN(B2-VLOOKUP(B$1,$J$1:$L$5,3,FALSE)*B2,0))</f>
        <v>241</v>
      </c>
      <c r="C3" cm="1">
        <f t="array" ref="C3">_xlfn.IFS(YEAR($A3)&lt;=2009,ROUNDDOWN(C2+VLOOKUP(C$1,$J$1:$K$5,2,FALSE)*C2,0),YEAR($A3)=2010,C2,YEAR($A3)&gt;2010,ROUNDDOWN(C2-VLOOKUP(C$1,$J$1:$L$5,3,FALSE)*C2,0))</f>
        <v>203</v>
      </c>
      <c r="D3" cm="1">
        <f t="array" ref="D3">_xlfn.IFS(YEAR($A3)&lt;=2009,ROUNDDOWN(D2+VLOOKUP(D$1,$J$1:$K$5,2,FALSE)*D2,0),YEAR($A3)=2010,D2,YEAR($A3)&gt;2010,ROUNDDOWN(D2-VLOOKUP(D$1,$J$1:$L$5,3,FALSE)*D2,0))</f>
        <v>213</v>
      </c>
      <c r="E3" cm="1">
        <f t="array" ref="E3">_xlfn.IFS(YEAR($A3)&lt;=2009,ROUNDDOWN(E2+VLOOKUP(E$1,$J$1:$K$5,2,FALSE)*E2,0),YEAR($A3)=2010,E2,YEAR($A3)&gt;2010,ROUNDDOWN(E2-VLOOKUP(E$1,$J$1:$L$5,3,FALSE)*E2,0))</f>
        <v>318</v>
      </c>
      <c r="F3">
        <f t="shared" ref="F3:F33" si="1">IF(B3&gt;300,1,0)</f>
        <v>0</v>
      </c>
      <c r="G3">
        <f t="shared" ref="G3:G33" si="2">IF(C3&gt;300,1,0)</f>
        <v>0</v>
      </c>
      <c r="H3">
        <f t="shared" ref="H3:H33" si="3">IF(D3&gt;300,1,0)</f>
        <v>0</v>
      </c>
      <c r="I3">
        <f t="shared" ref="I3:I33" si="4">IF(E3&gt;300,1,0)</f>
        <v>1</v>
      </c>
      <c r="J3" t="s">
        <v>1</v>
      </c>
      <c r="K3" s="2">
        <v>2.7E-2</v>
      </c>
      <c r="L3" s="2">
        <v>1.2E-2</v>
      </c>
    </row>
    <row r="4" spans="1:12" x14ac:dyDescent="0.25">
      <c r="A4" s="3">
        <v>38625</v>
      </c>
      <c r="B4" cm="1">
        <f t="array" ref="B4">_xlfn.IFS(YEAR($A4)&lt;=2009,ROUNDDOWN(B3+VLOOKUP(B$1,$J$1:$K$5,2,FALSE)*B3,0),YEAR($A4)=2010,B3,YEAR($A4)&gt;2010,ROUNDDOWN(B3-VLOOKUP(B$1,$J$1:$L$5,3,FALSE)*B3,0))</f>
        <v>245</v>
      </c>
      <c r="C4" cm="1">
        <f t="array" ref="C4">_xlfn.IFS(YEAR($A4)&lt;=2009,ROUNDDOWN(C3+VLOOKUP(C$1,$J$1:$K$5,2,FALSE)*C3,0),YEAR($A4)=2010,C3,YEAR($A4)&gt;2010,ROUNDDOWN(C3-VLOOKUP(C$1,$J$1:$L$5,3,FALSE)*C3,0))</f>
        <v>208</v>
      </c>
      <c r="D4" cm="1">
        <f t="array" ref="D4">_xlfn.IFS(YEAR($A4)&lt;=2009,ROUNDDOWN(D3+VLOOKUP(D$1,$J$1:$K$5,2,FALSE)*D3,0),YEAR($A4)=2010,D3,YEAR($A4)&gt;2010,ROUNDDOWN(D3-VLOOKUP(D$1,$J$1:$L$5,3,FALSE)*D3,0))</f>
        <v>219</v>
      </c>
      <c r="E4" cm="1">
        <f t="array" ref="E4">_xlfn.IFS(YEAR($A4)&lt;=2009,ROUNDDOWN(E3+VLOOKUP(E$1,$J$1:$K$5,2,FALSE)*E3,0),YEAR($A4)=2010,E3,YEAR($A4)&gt;2010,ROUNDDOWN(E3-VLOOKUP(E$1,$J$1:$L$5,3,FALSE)*E3,0))</f>
        <v>324</v>
      </c>
      <c r="F4">
        <f t="shared" si="1"/>
        <v>0</v>
      </c>
      <c r="G4">
        <f t="shared" si="2"/>
        <v>0</v>
      </c>
      <c r="H4">
        <f t="shared" si="3"/>
        <v>0</v>
      </c>
      <c r="I4">
        <f t="shared" si="4"/>
        <v>1</v>
      </c>
      <c r="J4" t="s">
        <v>2</v>
      </c>
      <c r="K4" s="1">
        <v>0.03</v>
      </c>
      <c r="L4" s="2">
        <v>1.9E-2</v>
      </c>
    </row>
    <row r="5" spans="1:12" x14ac:dyDescent="0.25">
      <c r="A5" s="3">
        <v>38717</v>
      </c>
      <c r="B5" cm="1">
        <f t="array" ref="B5">_xlfn.IFS(YEAR($A5)&lt;=2009,ROUNDDOWN(B4+VLOOKUP(B$1,$J$1:$K$5,2,FALSE)*B4,0),YEAR($A5)=2010,B4,YEAR($A5)&gt;2010,ROUNDDOWN(B4-VLOOKUP(B$1,$J$1:$L$5,3,FALSE)*B4,0))</f>
        <v>249</v>
      </c>
      <c r="C5" cm="1">
        <f t="array" ref="C5">_xlfn.IFS(YEAR($A5)&lt;=2009,ROUNDDOWN(C4+VLOOKUP(C$1,$J$1:$K$5,2,FALSE)*C4,0),YEAR($A5)=2010,C4,YEAR($A5)&gt;2010,ROUNDDOWN(C4-VLOOKUP(C$1,$J$1:$L$5,3,FALSE)*C4,0))</f>
        <v>213</v>
      </c>
      <c r="D5" cm="1">
        <f t="array" ref="D5">_xlfn.IFS(YEAR($A5)&lt;=2009,ROUNDDOWN(D4+VLOOKUP(D$1,$J$1:$K$5,2,FALSE)*D4,0),YEAR($A5)=2010,D4,YEAR($A5)&gt;2010,ROUNDDOWN(D4-VLOOKUP(D$1,$J$1:$L$5,3,FALSE)*D4,0))</f>
        <v>225</v>
      </c>
      <c r="E5" cm="1">
        <f t="array" ref="E5">_xlfn.IFS(YEAR($A5)&lt;=2009,ROUNDDOWN(E4+VLOOKUP(E$1,$J$1:$K$5,2,FALSE)*E4,0),YEAR($A5)=2010,E4,YEAR($A5)&gt;2010,ROUNDDOWN(E4-VLOOKUP(E$1,$J$1:$L$5,3,FALSE)*E4,0))</f>
        <v>330</v>
      </c>
      <c r="F5">
        <f t="shared" si="1"/>
        <v>0</v>
      </c>
      <c r="G5">
        <f t="shared" si="2"/>
        <v>0</v>
      </c>
      <c r="H5">
        <f t="shared" si="3"/>
        <v>0</v>
      </c>
      <c r="I5">
        <f t="shared" si="4"/>
        <v>1</v>
      </c>
      <c r="J5" t="s">
        <v>3</v>
      </c>
      <c r="K5" s="1">
        <v>0.02</v>
      </c>
      <c r="L5" s="2">
        <v>2.5000000000000001E-2</v>
      </c>
    </row>
    <row r="6" spans="1:12" x14ac:dyDescent="0.25">
      <c r="A6" s="3">
        <v>38807</v>
      </c>
      <c r="B6" cm="1">
        <f t="array" ref="B6">_xlfn.IFS(YEAR($A6)&lt;=2009,ROUNDDOWN(B5+VLOOKUP(B$1,$J$1:$K$5,2,FALSE)*B5,0),YEAR($A6)=2010,B5,YEAR($A6)&gt;2010,ROUNDDOWN(B5-VLOOKUP(B$1,$J$1:$L$5,3,FALSE)*B5,0))</f>
        <v>253</v>
      </c>
      <c r="C6" cm="1">
        <f t="array" ref="C6">_xlfn.IFS(YEAR($A6)&lt;=2009,ROUNDDOWN(C5+VLOOKUP(C$1,$J$1:$K$5,2,FALSE)*C5,0),YEAR($A6)=2010,C5,YEAR($A6)&gt;2010,ROUNDDOWN(C5-VLOOKUP(C$1,$J$1:$L$5,3,FALSE)*C5,0))</f>
        <v>218</v>
      </c>
      <c r="D6" cm="1">
        <f t="array" ref="D6">_xlfn.IFS(YEAR($A6)&lt;=2009,ROUNDDOWN(D5+VLOOKUP(D$1,$J$1:$K$5,2,FALSE)*D5,0),YEAR($A6)=2010,D5,YEAR($A6)&gt;2010,ROUNDDOWN(D5-VLOOKUP(D$1,$J$1:$L$5,3,FALSE)*D5,0))</f>
        <v>231</v>
      </c>
      <c r="E6" cm="1">
        <f t="array" ref="E6">_xlfn.IFS(YEAR($A6)&lt;=2009,ROUNDDOWN(E5+VLOOKUP(E$1,$J$1:$K$5,2,FALSE)*E5,0),YEAR($A6)=2010,E5,YEAR($A6)&gt;2010,ROUNDDOWN(E5-VLOOKUP(E$1,$J$1:$L$5,3,FALSE)*E5,0))</f>
        <v>336</v>
      </c>
      <c r="F6">
        <f t="shared" si="1"/>
        <v>0</v>
      </c>
      <c r="G6">
        <f t="shared" si="2"/>
        <v>0</v>
      </c>
      <c r="H6">
        <f t="shared" si="3"/>
        <v>0</v>
      </c>
      <c r="I6">
        <f t="shared" si="4"/>
        <v>1</v>
      </c>
    </row>
    <row r="7" spans="1:12" x14ac:dyDescent="0.25">
      <c r="A7" s="3">
        <v>38898</v>
      </c>
      <c r="B7" cm="1">
        <f t="array" ref="B7">_xlfn.IFS(YEAR($A7)&lt;=2009,ROUNDDOWN(B6+VLOOKUP(B$1,$J$1:$K$5,2,FALSE)*B6,0),YEAR($A7)=2010,B6,YEAR($A7)&gt;2010,ROUNDDOWN(B6-VLOOKUP(B$1,$J$1:$L$5,3,FALSE)*B6,0))</f>
        <v>258</v>
      </c>
      <c r="C7" cm="1">
        <f t="array" ref="C7">_xlfn.IFS(YEAR($A7)&lt;=2009,ROUNDDOWN(C6+VLOOKUP(C$1,$J$1:$K$5,2,FALSE)*C6,0),YEAR($A7)=2010,C6,YEAR($A7)&gt;2010,ROUNDDOWN(C6-VLOOKUP(C$1,$J$1:$L$5,3,FALSE)*C6,0))</f>
        <v>223</v>
      </c>
      <c r="D7" cm="1">
        <f t="array" ref="D7">_xlfn.IFS(YEAR($A7)&lt;=2009,ROUNDDOWN(D6+VLOOKUP(D$1,$J$1:$K$5,2,FALSE)*D6,0),YEAR($A7)=2010,D6,YEAR($A7)&gt;2010,ROUNDDOWN(D6-VLOOKUP(D$1,$J$1:$L$5,3,FALSE)*D6,0))</f>
        <v>237</v>
      </c>
      <c r="E7" cm="1">
        <f t="array" ref="E7">_xlfn.IFS(YEAR($A7)&lt;=2009,ROUNDDOWN(E6+VLOOKUP(E$1,$J$1:$K$5,2,FALSE)*E6,0),YEAR($A7)=2010,E6,YEAR($A7)&gt;2010,ROUNDDOWN(E6-VLOOKUP(E$1,$J$1:$L$5,3,FALSE)*E6,0))</f>
        <v>342</v>
      </c>
      <c r="F7">
        <f t="shared" si="1"/>
        <v>0</v>
      </c>
      <c r="G7">
        <f t="shared" si="2"/>
        <v>0</v>
      </c>
      <c r="H7">
        <f t="shared" si="3"/>
        <v>0</v>
      </c>
      <c r="I7">
        <f t="shared" si="4"/>
        <v>1</v>
      </c>
    </row>
    <row r="8" spans="1:12" x14ac:dyDescent="0.25">
      <c r="A8" s="3">
        <v>38990</v>
      </c>
      <c r="B8" cm="1">
        <f t="array" ref="B8">_xlfn.IFS(YEAR($A8)&lt;=2009,ROUNDDOWN(B7+VLOOKUP(B$1,$J$1:$K$5,2,FALSE)*B7,0),YEAR($A8)=2010,B7,YEAR($A8)&gt;2010,ROUNDDOWN(B7-VLOOKUP(B$1,$J$1:$L$5,3,FALSE)*B7,0))</f>
        <v>263</v>
      </c>
      <c r="C8" cm="1">
        <f t="array" ref="C8">_xlfn.IFS(YEAR($A8)&lt;=2009,ROUNDDOWN(C7+VLOOKUP(C$1,$J$1:$K$5,2,FALSE)*C7,0),YEAR($A8)=2010,C7,YEAR($A8)&gt;2010,ROUNDDOWN(C7-VLOOKUP(C$1,$J$1:$L$5,3,FALSE)*C7,0))</f>
        <v>229</v>
      </c>
      <c r="D8" cm="1">
        <f t="array" ref="D8">_xlfn.IFS(YEAR($A8)&lt;=2009,ROUNDDOWN(D7+VLOOKUP(D$1,$J$1:$K$5,2,FALSE)*D7,0),YEAR($A8)=2010,D7,YEAR($A8)&gt;2010,ROUNDDOWN(D7-VLOOKUP(D$1,$J$1:$L$5,3,FALSE)*D7,0))</f>
        <v>244</v>
      </c>
      <c r="E8" cm="1">
        <f t="array" ref="E8">_xlfn.IFS(YEAR($A8)&lt;=2009,ROUNDDOWN(E7+VLOOKUP(E$1,$J$1:$K$5,2,FALSE)*E7,0),YEAR($A8)=2010,E7,YEAR($A8)&gt;2010,ROUNDDOWN(E7-VLOOKUP(E$1,$J$1:$L$5,3,FALSE)*E7,0))</f>
        <v>348</v>
      </c>
      <c r="F8">
        <f t="shared" si="1"/>
        <v>0</v>
      </c>
      <c r="G8">
        <f t="shared" si="2"/>
        <v>0</v>
      </c>
      <c r="H8">
        <f t="shared" si="3"/>
        <v>0</v>
      </c>
      <c r="I8">
        <f t="shared" si="4"/>
        <v>1</v>
      </c>
    </row>
    <row r="9" spans="1:12" x14ac:dyDescent="0.25">
      <c r="A9" s="3">
        <v>39082</v>
      </c>
      <c r="B9" cm="1">
        <f t="array" ref="B9">_xlfn.IFS(YEAR($A9)&lt;=2009,ROUNDDOWN(B8+VLOOKUP(B$1,$J$1:$K$5,2,FALSE)*B8,0),YEAR($A9)=2010,B8,YEAR($A9)&gt;2010,ROUNDDOWN(B8-VLOOKUP(B$1,$J$1:$L$5,3,FALSE)*B8,0))</f>
        <v>268</v>
      </c>
      <c r="C9" cm="1">
        <f t="array" ref="C9">_xlfn.IFS(YEAR($A9)&lt;=2009,ROUNDDOWN(C8+VLOOKUP(C$1,$J$1:$K$5,2,FALSE)*C8,0),YEAR($A9)=2010,C8,YEAR($A9)&gt;2010,ROUNDDOWN(C8-VLOOKUP(C$1,$J$1:$L$5,3,FALSE)*C8,0))</f>
        <v>235</v>
      </c>
      <c r="D9" cm="1">
        <f t="array" ref="D9">_xlfn.IFS(YEAR($A9)&lt;=2009,ROUNDDOWN(D8+VLOOKUP(D$1,$J$1:$K$5,2,FALSE)*D8,0),YEAR($A9)=2010,D8,YEAR($A9)&gt;2010,ROUNDDOWN(D8-VLOOKUP(D$1,$J$1:$L$5,3,FALSE)*D8,0))</f>
        <v>251</v>
      </c>
      <c r="E9" cm="1">
        <f t="array" ref="E9">_xlfn.IFS(YEAR($A9)&lt;=2009,ROUNDDOWN(E8+VLOOKUP(E$1,$J$1:$K$5,2,FALSE)*E8,0),YEAR($A9)=2010,E8,YEAR($A9)&gt;2010,ROUNDDOWN(E8-VLOOKUP(E$1,$J$1:$L$5,3,FALSE)*E8,0))</f>
        <v>354</v>
      </c>
      <c r="F9">
        <f t="shared" si="1"/>
        <v>0</v>
      </c>
      <c r="G9">
        <f t="shared" si="2"/>
        <v>0</v>
      </c>
      <c r="H9">
        <f t="shared" si="3"/>
        <v>0</v>
      </c>
      <c r="I9">
        <f t="shared" si="4"/>
        <v>1</v>
      </c>
    </row>
    <row r="10" spans="1:12" x14ac:dyDescent="0.25">
      <c r="A10" s="3">
        <v>39172</v>
      </c>
      <c r="B10" cm="1">
        <f t="array" ref="B10">_xlfn.IFS(YEAR($A10)&lt;=2009,ROUNDDOWN(B9+VLOOKUP(B$1,$J$1:$K$5,2,FALSE)*B9,0),YEAR($A10)=2010,B9,YEAR($A10)&gt;2010,ROUNDDOWN(B9-VLOOKUP(B$1,$J$1:$L$5,3,FALSE)*B9,0))</f>
        <v>273</v>
      </c>
      <c r="C10" cm="1">
        <f t="array" ref="C10">_xlfn.IFS(YEAR($A10)&lt;=2009,ROUNDDOWN(C9+VLOOKUP(C$1,$J$1:$K$5,2,FALSE)*C9,0),YEAR($A10)=2010,C9,YEAR($A10)&gt;2010,ROUNDDOWN(C9-VLOOKUP(C$1,$J$1:$L$5,3,FALSE)*C9,0))</f>
        <v>241</v>
      </c>
      <c r="D10" cm="1">
        <f t="array" ref="D10">_xlfn.IFS(YEAR($A10)&lt;=2009,ROUNDDOWN(D9+VLOOKUP(D$1,$J$1:$K$5,2,FALSE)*D9,0),YEAR($A10)=2010,D9,YEAR($A10)&gt;2010,ROUNDDOWN(D9-VLOOKUP(D$1,$J$1:$L$5,3,FALSE)*D9,0))</f>
        <v>258</v>
      </c>
      <c r="E10" cm="1">
        <f t="array" ref="E10">_xlfn.IFS(YEAR($A10)&lt;=2009,ROUNDDOWN(E9+VLOOKUP(E$1,$J$1:$K$5,2,FALSE)*E9,0),YEAR($A10)=2010,E9,YEAR($A10)&gt;2010,ROUNDDOWN(E9-VLOOKUP(E$1,$J$1:$L$5,3,FALSE)*E9,0))</f>
        <v>361</v>
      </c>
      <c r="F10">
        <f t="shared" si="1"/>
        <v>0</v>
      </c>
      <c r="G10">
        <f t="shared" si="2"/>
        <v>0</v>
      </c>
      <c r="H10">
        <f t="shared" si="3"/>
        <v>0</v>
      </c>
      <c r="I10">
        <f t="shared" si="4"/>
        <v>1</v>
      </c>
    </row>
    <row r="11" spans="1:12" x14ac:dyDescent="0.25">
      <c r="A11" s="3">
        <v>39263</v>
      </c>
      <c r="B11" cm="1">
        <f t="array" ref="B11">_xlfn.IFS(YEAR($A11)&lt;=2009,ROUNDDOWN(B10+VLOOKUP(B$1,$J$1:$K$5,2,FALSE)*B10,0),YEAR($A11)=2010,B10,YEAR($A11)&gt;2010,ROUNDDOWN(B10-VLOOKUP(B$1,$J$1:$L$5,3,FALSE)*B10,0))</f>
        <v>278</v>
      </c>
      <c r="C11" cm="1">
        <f t="array" ref="C11">_xlfn.IFS(YEAR($A11)&lt;=2009,ROUNDDOWN(C10+VLOOKUP(C$1,$J$1:$K$5,2,FALSE)*C10,0),YEAR($A11)=2010,C10,YEAR($A11)&gt;2010,ROUNDDOWN(C10-VLOOKUP(C$1,$J$1:$L$5,3,FALSE)*C10,0))</f>
        <v>247</v>
      </c>
      <c r="D11" cm="1">
        <f t="array" ref="D11">_xlfn.IFS(YEAR($A11)&lt;=2009,ROUNDDOWN(D10+VLOOKUP(D$1,$J$1:$K$5,2,FALSE)*D10,0),YEAR($A11)=2010,D10,YEAR($A11)&gt;2010,ROUNDDOWN(D10-VLOOKUP(D$1,$J$1:$L$5,3,FALSE)*D10,0))</f>
        <v>265</v>
      </c>
      <c r="E11" cm="1">
        <f t="array" ref="E11">_xlfn.IFS(YEAR($A11)&lt;=2009,ROUNDDOWN(E10+VLOOKUP(E$1,$J$1:$K$5,2,FALSE)*E10,0),YEAR($A11)=2010,E10,YEAR($A11)&gt;2010,ROUNDDOWN(E10-VLOOKUP(E$1,$J$1:$L$5,3,FALSE)*E10,0))</f>
        <v>368</v>
      </c>
      <c r="F11">
        <f t="shared" si="1"/>
        <v>0</v>
      </c>
      <c r="G11">
        <f t="shared" si="2"/>
        <v>0</v>
      </c>
      <c r="H11">
        <f t="shared" si="3"/>
        <v>0</v>
      </c>
      <c r="I11">
        <f t="shared" si="4"/>
        <v>1</v>
      </c>
    </row>
    <row r="12" spans="1:12" x14ac:dyDescent="0.25">
      <c r="A12" s="3">
        <v>39355</v>
      </c>
      <c r="B12" cm="1">
        <f t="array" ref="B12">_xlfn.IFS(YEAR($A12)&lt;=2009,ROUNDDOWN(B11+VLOOKUP(B$1,$J$1:$K$5,2,FALSE)*B11,0),YEAR($A12)=2010,B11,YEAR($A12)&gt;2010,ROUNDDOWN(B11-VLOOKUP(B$1,$J$1:$L$5,3,FALSE)*B11,0))</f>
        <v>283</v>
      </c>
      <c r="C12" cm="1">
        <f t="array" ref="C12">_xlfn.IFS(YEAR($A12)&lt;=2009,ROUNDDOWN(C11+VLOOKUP(C$1,$J$1:$K$5,2,FALSE)*C11,0),YEAR($A12)=2010,C11,YEAR($A12)&gt;2010,ROUNDDOWN(C11-VLOOKUP(C$1,$J$1:$L$5,3,FALSE)*C11,0))</f>
        <v>253</v>
      </c>
      <c r="D12" cm="1">
        <f t="array" ref="D12">_xlfn.IFS(YEAR($A12)&lt;=2009,ROUNDDOWN(D11+VLOOKUP(D$1,$J$1:$K$5,2,FALSE)*D11,0),YEAR($A12)=2010,D11,YEAR($A12)&gt;2010,ROUNDDOWN(D11-VLOOKUP(D$1,$J$1:$L$5,3,FALSE)*D11,0))</f>
        <v>272</v>
      </c>
      <c r="E12" cm="1">
        <f t="array" ref="E12">_xlfn.IFS(YEAR($A12)&lt;=2009,ROUNDDOWN(E11+VLOOKUP(E$1,$J$1:$K$5,2,FALSE)*E11,0),YEAR($A12)=2010,E11,YEAR($A12)&gt;2010,ROUNDDOWN(E11-VLOOKUP(E$1,$J$1:$L$5,3,FALSE)*E11,0))</f>
        <v>375</v>
      </c>
      <c r="F12">
        <f t="shared" si="1"/>
        <v>0</v>
      </c>
      <c r="G12">
        <f t="shared" si="2"/>
        <v>0</v>
      </c>
      <c r="H12">
        <f t="shared" si="3"/>
        <v>0</v>
      </c>
      <c r="I12">
        <f t="shared" si="4"/>
        <v>1</v>
      </c>
    </row>
    <row r="13" spans="1:12" x14ac:dyDescent="0.25">
      <c r="A13" s="3">
        <v>39447</v>
      </c>
      <c r="B13" cm="1">
        <f t="array" ref="B13">_xlfn.IFS(YEAR($A13)&lt;=2009,ROUNDDOWN(B12+VLOOKUP(B$1,$J$1:$K$5,2,FALSE)*B12,0),YEAR($A13)=2010,B12,YEAR($A13)&gt;2010,ROUNDDOWN(B12-VLOOKUP(B$1,$J$1:$L$5,3,FALSE)*B12,0))</f>
        <v>288</v>
      </c>
      <c r="C13" cm="1">
        <f t="array" ref="C13">_xlfn.IFS(YEAR($A13)&lt;=2009,ROUNDDOWN(C12+VLOOKUP(C$1,$J$1:$K$5,2,FALSE)*C12,0),YEAR($A13)=2010,C12,YEAR($A13)&gt;2010,ROUNDDOWN(C12-VLOOKUP(C$1,$J$1:$L$5,3,FALSE)*C12,0))</f>
        <v>259</v>
      </c>
      <c r="D13" cm="1">
        <f t="array" ref="D13">_xlfn.IFS(YEAR($A13)&lt;=2009,ROUNDDOWN(D12+VLOOKUP(D$1,$J$1:$K$5,2,FALSE)*D12,0),YEAR($A13)=2010,D12,YEAR($A13)&gt;2010,ROUNDDOWN(D12-VLOOKUP(D$1,$J$1:$L$5,3,FALSE)*D12,0))</f>
        <v>280</v>
      </c>
      <c r="E13" cm="1">
        <f t="array" ref="E13">_xlfn.IFS(YEAR($A13)&lt;=2009,ROUNDDOWN(E12+VLOOKUP(E$1,$J$1:$K$5,2,FALSE)*E12,0),YEAR($A13)=2010,E12,YEAR($A13)&gt;2010,ROUNDDOWN(E12-VLOOKUP(E$1,$J$1:$L$5,3,FALSE)*E12,0))</f>
        <v>382</v>
      </c>
      <c r="F13">
        <f t="shared" si="1"/>
        <v>0</v>
      </c>
      <c r="G13">
        <f t="shared" si="2"/>
        <v>0</v>
      </c>
      <c r="H13">
        <f t="shared" si="3"/>
        <v>0</v>
      </c>
      <c r="I13">
        <f t="shared" si="4"/>
        <v>1</v>
      </c>
    </row>
    <row r="14" spans="1:12" x14ac:dyDescent="0.25">
      <c r="A14" s="3">
        <v>39538</v>
      </c>
      <c r="B14" cm="1">
        <f t="array" ref="B14">_xlfn.IFS(YEAR($A14)&lt;=2009,ROUNDDOWN(B13+VLOOKUP(B$1,$J$1:$K$5,2,FALSE)*B13,0),YEAR($A14)=2010,B13,YEAR($A14)&gt;2010,ROUNDDOWN(B13-VLOOKUP(B$1,$J$1:$L$5,3,FALSE)*B13,0))</f>
        <v>293</v>
      </c>
      <c r="C14" cm="1">
        <f t="array" ref="C14">_xlfn.IFS(YEAR($A14)&lt;=2009,ROUNDDOWN(C13+VLOOKUP(C$1,$J$1:$K$5,2,FALSE)*C13,0),YEAR($A14)=2010,C13,YEAR($A14)&gt;2010,ROUNDDOWN(C13-VLOOKUP(C$1,$J$1:$L$5,3,FALSE)*C13,0))</f>
        <v>265</v>
      </c>
      <c r="D14" cm="1">
        <f t="array" ref="D14">_xlfn.IFS(YEAR($A14)&lt;=2009,ROUNDDOWN(D13+VLOOKUP(D$1,$J$1:$K$5,2,FALSE)*D13,0),YEAR($A14)=2010,D13,YEAR($A14)&gt;2010,ROUNDDOWN(D13-VLOOKUP(D$1,$J$1:$L$5,3,FALSE)*D13,0))</f>
        <v>288</v>
      </c>
      <c r="E14" cm="1">
        <f t="array" ref="E14">_xlfn.IFS(YEAR($A14)&lt;=2009,ROUNDDOWN(E13+VLOOKUP(E$1,$J$1:$K$5,2,FALSE)*E13,0),YEAR($A14)=2010,E13,YEAR($A14)&gt;2010,ROUNDDOWN(E13-VLOOKUP(E$1,$J$1:$L$5,3,FALSE)*E13,0))</f>
        <v>389</v>
      </c>
      <c r="F14">
        <f t="shared" si="1"/>
        <v>0</v>
      </c>
      <c r="G14">
        <f t="shared" si="2"/>
        <v>0</v>
      </c>
      <c r="H14">
        <f t="shared" si="3"/>
        <v>0</v>
      </c>
      <c r="I14">
        <f t="shared" si="4"/>
        <v>1</v>
      </c>
    </row>
    <row r="15" spans="1:12" x14ac:dyDescent="0.25">
      <c r="A15" s="3">
        <v>39629</v>
      </c>
      <c r="B15" cm="1">
        <f t="array" ref="B15">_xlfn.IFS(YEAR($A15)&lt;=2009,ROUNDDOWN(B14+VLOOKUP(B$1,$J$1:$K$5,2,FALSE)*B14,0),YEAR($A15)=2010,B14,YEAR($A15)&gt;2010,ROUNDDOWN(B14-VLOOKUP(B$1,$J$1:$L$5,3,FALSE)*B14,0))</f>
        <v>298</v>
      </c>
      <c r="C15" cm="1">
        <f t="array" ref="C15">_xlfn.IFS(YEAR($A15)&lt;=2009,ROUNDDOWN(C14+VLOOKUP(C$1,$J$1:$K$5,2,FALSE)*C14,0),YEAR($A15)=2010,C14,YEAR($A15)&gt;2010,ROUNDDOWN(C14-VLOOKUP(C$1,$J$1:$L$5,3,FALSE)*C14,0))</f>
        <v>272</v>
      </c>
      <c r="D15" cm="1">
        <f t="array" ref="D15">_xlfn.IFS(YEAR($A15)&lt;=2009,ROUNDDOWN(D14+VLOOKUP(D$1,$J$1:$K$5,2,FALSE)*D14,0),YEAR($A15)=2010,D14,YEAR($A15)&gt;2010,ROUNDDOWN(D14-VLOOKUP(D$1,$J$1:$L$5,3,FALSE)*D14,0))</f>
        <v>296</v>
      </c>
      <c r="E15" cm="1">
        <f t="array" ref="E15">_xlfn.IFS(YEAR($A15)&lt;=2009,ROUNDDOWN(E14+VLOOKUP(E$1,$J$1:$K$5,2,FALSE)*E14,0),YEAR($A15)=2010,E14,YEAR($A15)&gt;2010,ROUNDDOWN(E14-VLOOKUP(E$1,$J$1:$L$5,3,FALSE)*E14,0))</f>
        <v>396</v>
      </c>
      <c r="F15">
        <f t="shared" si="1"/>
        <v>0</v>
      </c>
      <c r="G15">
        <f t="shared" si="2"/>
        <v>0</v>
      </c>
      <c r="H15">
        <f t="shared" si="3"/>
        <v>0</v>
      </c>
      <c r="I15">
        <f t="shared" si="4"/>
        <v>1</v>
      </c>
    </row>
    <row r="16" spans="1:12" x14ac:dyDescent="0.25">
      <c r="A16" s="3">
        <v>39721</v>
      </c>
      <c r="B16" cm="1">
        <f t="array" ref="B16">_xlfn.IFS(YEAR($A16)&lt;=2009,ROUNDDOWN(B15+VLOOKUP(B$1,$J$1:$K$5,2,FALSE)*B15,0),YEAR($A16)=2010,B15,YEAR($A16)&gt;2010,ROUNDDOWN(B15-VLOOKUP(B$1,$J$1:$L$5,3,FALSE)*B15,0))</f>
        <v>303</v>
      </c>
      <c r="C16" cm="1">
        <f t="array" ref="C16">_xlfn.IFS(YEAR($A16)&lt;=2009,ROUNDDOWN(C15+VLOOKUP(C$1,$J$1:$K$5,2,FALSE)*C15,0),YEAR($A16)=2010,C15,YEAR($A16)&gt;2010,ROUNDDOWN(C15-VLOOKUP(C$1,$J$1:$L$5,3,FALSE)*C15,0))</f>
        <v>279</v>
      </c>
      <c r="D16" cm="1">
        <f t="array" ref="D16">_xlfn.IFS(YEAR($A16)&lt;=2009,ROUNDDOWN(D15+VLOOKUP(D$1,$J$1:$K$5,2,FALSE)*D15,0),YEAR($A16)=2010,D15,YEAR($A16)&gt;2010,ROUNDDOWN(D15-VLOOKUP(D$1,$J$1:$L$5,3,FALSE)*D15,0))</f>
        <v>304</v>
      </c>
      <c r="E16" cm="1">
        <f t="array" ref="E16">_xlfn.IFS(YEAR($A16)&lt;=2009,ROUNDDOWN(E15+VLOOKUP(E$1,$J$1:$K$5,2,FALSE)*E15,0),YEAR($A16)=2010,E15,YEAR($A16)&gt;2010,ROUNDDOWN(E15-VLOOKUP(E$1,$J$1:$L$5,3,FALSE)*E15,0))</f>
        <v>403</v>
      </c>
      <c r="F16">
        <f t="shared" si="1"/>
        <v>1</v>
      </c>
      <c r="G16">
        <f t="shared" si="2"/>
        <v>0</v>
      </c>
      <c r="H16">
        <f t="shared" si="3"/>
        <v>1</v>
      </c>
      <c r="I16">
        <f t="shared" si="4"/>
        <v>1</v>
      </c>
    </row>
    <row r="17" spans="1:9" x14ac:dyDescent="0.25">
      <c r="A17" s="3">
        <v>39813</v>
      </c>
      <c r="B17" cm="1">
        <f t="array" ref="B17">_xlfn.IFS(YEAR($A17)&lt;=2009,ROUNDDOWN(B16+VLOOKUP(B$1,$J$1:$K$5,2,FALSE)*B16,0),YEAR($A17)=2010,B16,YEAR($A17)&gt;2010,ROUNDDOWN(B16-VLOOKUP(B$1,$J$1:$L$5,3,FALSE)*B16,0))</f>
        <v>309</v>
      </c>
      <c r="C17" cm="1">
        <f t="array" ref="C17">_xlfn.IFS(YEAR($A17)&lt;=2009,ROUNDDOWN(C16+VLOOKUP(C$1,$J$1:$K$5,2,FALSE)*C16,0),YEAR($A17)=2010,C16,YEAR($A17)&gt;2010,ROUNDDOWN(C16-VLOOKUP(C$1,$J$1:$L$5,3,FALSE)*C16,0))</f>
        <v>286</v>
      </c>
      <c r="D17" cm="1">
        <f t="array" ref="D17">_xlfn.IFS(YEAR($A17)&lt;=2009,ROUNDDOWN(D16+VLOOKUP(D$1,$J$1:$K$5,2,FALSE)*D16,0),YEAR($A17)=2010,D16,YEAR($A17)&gt;2010,ROUNDDOWN(D16-VLOOKUP(D$1,$J$1:$L$5,3,FALSE)*D16,0))</f>
        <v>313</v>
      </c>
      <c r="E17" cm="1">
        <f t="array" ref="E17">_xlfn.IFS(YEAR($A17)&lt;=2009,ROUNDDOWN(E16+VLOOKUP(E$1,$J$1:$K$5,2,FALSE)*E16,0),YEAR($A17)=2010,E16,YEAR($A17)&gt;2010,ROUNDDOWN(E16-VLOOKUP(E$1,$J$1:$L$5,3,FALSE)*E16,0))</f>
        <v>411</v>
      </c>
      <c r="F17">
        <f t="shared" si="1"/>
        <v>1</v>
      </c>
      <c r="G17">
        <f t="shared" si="2"/>
        <v>0</v>
      </c>
      <c r="H17">
        <f t="shared" si="3"/>
        <v>1</v>
      </c>
      <c r="I17">
        <f t="shared" si="4"/>
        <v>1</v>
      </c>
    </row>
    <row r="18" spans="1:9" x14ac:dyDescent="0.25">
      <c r="A18" s="3">
        <v>39903</v>
      </c>
      <c r="B18" cm="1">
        <f t="array" ref="B18">_xlfn.IFS(YEAR($A18)&lt;=2009,ROUNDDOWN(B17+VLOOKUP(B$1,$J$1:$K$5,2,FALSE)*B17,0),YEAR($A18)=2010,B17,YEAR($A18)&gt;2010,ROUNDDOWN(B17-VLOOKUP(B$1,$J$1:$L$5,3,FALSE)*B17,0))</f>
        <v>315</v>
      </c>
      <c r="C18" cm="1">
        <f t="array" ref="C18">_xlfn.IFS(YEAR($A18)&lt;=2009,ROUNDDOWN(C17+VLOOKUP(C$1,$J$1:$K$5,2,FALSE)*C17,0),YEAR($A18)=2010,C17,YEAR($A18)&gt;2010,ROUNDDOWN(C17-VLOOKUP(C$1,$J$1:$L$5,3,FALSE)*C17,0))</f>
        <v>293</v>
      </c>
      <c r="D18" cm="1">
        <f t="array" ref="D18">_xlfn.IFS(YEAR($A18)&lt;=2009,ROUNDDOWN(D17+VLOOKUP(D$1,$J$1:$K$5,2,FALSE)*D17,0),YEAR($A18)=2010,D17,YEAR($A18)&gt;2010,ROUNDDOWN(D17-VLOOKUP(D$1,$J$1:$L$5,3,FALSE)*D17,0))</f>
        <v>322</v>
      </c>
      <c r="E18" cm="1">
        <f t="array" ref="E18">_xlfn.IFS(YEAR($A18)&lt;=2009,ROUNDDOWN(E17+VLOOKUP(E$1,$J$1:$K$5,2,FALSE)*E17,0),YEAR($A18)=2010,E17,YEAR($A18)&gt;2010,ROUNDDOWN(E17-VLOOKUP(E$1,$J$1:$L$5,3,FALSE)*E17,0))</f>
        <v>419</v>
      </c>
      <c r="F18">
        <f t="shared" si="1"/>
        <v>1</v>
      </c>
      <c r="G18">
        <f t="shared" si="2"/>
        <v>0</v>
      </c>
      <c r="H18">
        <f t="shared" si="3"/>
        <v>1</v>
      </c>
      <c r="I18">
        <f t="shared" si="4"/>
        <v>1</v>
      </c>
    </row>
    <row r="19" spans="1:9" x14ac:dyDescent="0.25">
      <c r="A19" s="3">
        <v>39994</v>
      </c>
      <c r="B19" cm="1">
        <f t="array" ref="B19">_xlfn.IFS(YEAR($A19)&lt;=2009,ROUNDDOWN(B18+VLOOKUP(B$1,$J$1:$K$5,2,FALSE)*B18,0),YEAR($A19)=2010,B18,YEAR($A19)&gt;2010,ROUNDDOWN(B18-VLOOKUP(B$1,$J$1:$L$5,3,FALSE)*B18,0))</f>
        <v>321</v>
      </c>
      <c r="C19" cm="1">
        <f t="array" ref="C19">_xlfn.IFS(YEAR($A19)&lt;=2009,ROUNDDOWN(C18+VLOOKUP(C$1,$J$1:$K$5,2,FALSE)*C18,0),YEAR($A19)=2010,C18,YEAR($A19)&gt;2010,ROUNDDOWN(C18-VLOOKUP(C$1,$J$1:$L$5,3,FALSE)*C18,0))</f>
        <v>300</v>
      </c>
      <c r="D19" cm="1">
        <f t="array" ref="D19">_xlfn.IFS(YEAR($A19)&lt;=2009,ROUNDDOWN(D18+VLOOKUP(D$1,$J$1:$K$5,2,FALSE)*D18,0),YEAR($A19)=2010,D18,YEAR($A19)&gt;2010,ROUNDDOWN(D18-VLOOKUP(D$1,$J$1:$L$5,3,FALSE)*D18,0))</f>
        <v>331</v>
      </c>
      <c r="E19" cm="1">
        <f t="array" ref="E19">_xlfn.IFS(YEAR($A19)&lt;=2009,ROUNDDOWN(E18+VLOOKUP(E$1,$J$1:$K$5,2,FALSE)*E18,0),YEAR($A19)=2010,E18,YEAR($A19)&gt;2010,ROUNDDOWN(E18-VLOOKUP(E$1,$J$1:$L$5,3,FALSE)*E18,0))</f>
        <v>427</v>
      </c>
      <c r="F19">
        <f t="shared" si="1"/>
        <v>1</v>
      </c>
      <c r="G19">
        <f t="shared" si="2"/>
        <v>0</v>
      </c>
      <c r="H19">
        <f t="shared" si="3"/>
        <v>1</v>
      </c>
      <c r="I19">
        <f t="shared" si="4"/>
        <v>1</v>
      </c>
    </row>
    <row r="20" spans="1:9" x14ac:dyDescent="0.25">
      <c r="A20" s="3">
        <v>40086</v>
      </c>
      <c r="B20" cm="1">
        <f t="array" ref="B20">_xlfn.IFS(YEAR($A20)&lt;=2009,ROUNDDOWN(B19+VLOOKUP(B$1,$J$1:$K$5,2,FALSE)*B19,0),YEAR($A20)=2010,B19,YEAR($A20)&gt;2010,ROUNDDOWN(B19-VLOOKUP(B$1,$J$1:$L$5,3,FALSE)*B19,0))</f>
        <v>327</v>
      </c>
      <c r="C20" cm="1">
        <f t="array" ref="C20">_xlfn.IFS(YEAR($A20)&lt;=2009,ROUNDDOWN(C19+VLOOKUP(C$1,$J$1:$K$5,2,FALSE)*C19,0),YEAR($A20)=2010,C19,YEAR($A20)&gt;2010,ROUNDDOWN(C19-VLOOKUP(C$1,$J$1:$L$5,3,FALSE)*C19,0))</f>
        <v>308</v>
      </c>
      <c r="D20" cm="1">
        <f t="array" ref="D20">_xlfn.IFS(YEAR($A20)&lt;=2009,ROUNDDOWN(D19+VLOOKUP(D$1,$J$1:$K$5,2,FALSE)*D19,0),YEAR($A20)=2010,D19,YEAR($A20)&gt;2010,ROUNDDOWN(D19-VLOOKUP(D$1,$J$1:$L$5,3,FALSE)*D19,0))</f>
        <v>340</v>
      </c>
      <c r="E20" cm="1">
        <f t="array" ref="E20">_xlfn.IFS(YEAR($A20)&lt;=2009,ROUNDDOWN(E19+VLOOKUP(E$1,$J$1:$K$5,2,FALSE)*E19,0),YEAR($A20)=2010,E19,YEAR($A20)&gt;2010,ROUNDDOWN(E19-VLOOKUP(E$1,$J$1:$L$5,3,FALSE)*E19,0))</f>
        <v>435</v>
      </c>
      <c r="F20">
        <f t="shared" si="1"/>
        <v>1</v>
      </c>
      <c r="G20">
        <f t="shared" si="2"/>
        <v>1</v>
      </c>
      <c r="H20">
        <f t="shared" si="3"/>
        <v>1</v>
      </c>
      <c r="I20">
        <f t="shared" si="4"/>
        <v>1</v>
      </c>
    </row>
    <row r="21" spans="1:9" x14ac:dyDescent="0.25">
      <c r="A21" s="3">
        <v>40178</v>
      </c>
      <c r="B21" cm="1">
        <f t="array" ref="B21">_xlfn.IFS(YEAR($A21)&lt;=2009,ROUNDDOWN(B20+VLOOKUP(B$1,$J$1:$K$5,2,FALSE)*B20,0),YEAR($A21)=2010,B20,YEAR($A21)&gt;2010,ROUNDDOWN(B20-VLOOKUP(B$1,$J$1:$L$5,3,FALSE)*B20,0))</f>
        <v>333</v>
      </c>
      <c r="C21" cm="1">
        <f t="array" ref="C21">_xlfn.IFS(YEAR($A21)&lt;=2009,ROUNDDOWN(C20+VLOOKUP(C$1,$J$1:$K$5,2,FALSE)*C20,0),YEAR($A21)=2010,C20,YEAR($A21)&gt;2010,ROUNDDOWN(C20-VLOOKUP(C$1,$J$1:$L$5,3,FALSE)*C20,0))</f>
        <v>316</v>
      </c>
      <c r="D21" cm="1">
        <f t="array" ref="D21">_xlfn.IFS(YEAR($A21)&lt;=2009,ROUNDDOWN(D20+VLOOKUP(D$1,$J$1:$K$5,2,FALSE)*D20,0),YEAR($A21)=2010,D20,YEAR($A21)&gt;2010,ROUNDDOWN(D20-VLOOKUP(D$1,$J$1:$L$5,3,FALSE)*D20,0))</f>
        <v>350</v>
      </c>
      <c r="E21" cm="1">
        <f t="array" ref="E21">_xlfn.IFS(YEAR($A21)&lt;=2009,ROUNDDOWN(E20+VLOOKUP(E$1,$J$1:$K$5,2,FALSE)*E20,0),YEAR($A21)=2010,E20,YEAR($A21)&gt;2010,ROUNDDOWN(E20-VLOOKUP(E$1,$J$1:$L$5,3,FALSE)*E20,0))</f>
        <v>443</v>
      </c>
      <c r="F21">
        <f t="shared" si="1"/>
        <v>1</v>
      </c>
      <c r="G21">
        <f t="shared" si="2"/>
        <v>1</v>
      </c>
      <c r="H21">
        <f t="shared" si="3"/>
        <v>1</v>
      </c>
      <c r="I21">
        <f t="shared" si="4"/>
        <v>1</v>
      </c>
    </row>
    <row r="22" spans="1:9" x14ac:dyDescent="0.25">
      <c r="A22" s="3">
        <v>40268</v>
      </c>
      <c r="B22" cm="1">
        <f t="array" ref="B22">_xlfn.IFS(YEAR($A22)&lt;=2009,ROUNDDOWN(B21+VLOOKUP(B$1,$J$1:$K$5,2,FALSE)*B21,0),YEAR($A22)=2010,B21,YEAR($A22)&gt;2010,ROUNDDOWN(B21-VLOOKUP(B$1,$J$1:$L$5,3,FALSE)*B21,0))</f>
        <v>333</v>
      </c>
      <c r="C22" cm="1">
        <f t="array" ref="C22">_xlfn.IFS(YEAR($A22)&lt;=2009,ROUNDDOWN(C21+VLOOKUP(C$1,$J$1:$K$5,2,FALSE)*C21,0),YEAR($A22)=2010,C21,YEAR($A22)&gt;2010,ROUNDDOWN(C21-VLOOKUP(C$1,$J$1:$L$5,3,FALSE)*C21,0))</f>
        <v>316</v>
      </c>
      <c r="D22" cm="1">
        <f t="array" ref="D22">_xlfn.IFS(YEAR($A22)&lt;=2009,ROUNDDOWN(D21+VLOOKUP(D$1,$J$1:$K$5,2,FALSE)*D21,0),YEAR($A22)=2010,D21,YEAR($A22)&gt;2010,ROUNDDOWN(D21-VLOOKUP(D$1,$J$1:$L$5,3,FALSE)*D21,0))</f>
        <v>350</v>
      </c>
      <c r="E22" cm="1">
        <f t="array" ref="E22">_xlfn.IFS(YEAR($A22)&lt;=2009,ROUNDDOWN(E21+VLOOKUP(E$1,$J$1:$K$5,2,FALSE)*E21,0),YEAR($A22)=2010,E21,YEAR($A22)&gt;2010,ROUNDDOWN(E21-VLOOKUP(E$1,$J$1:$L$5,3,FALSE)*E21,0))</f>
        <v>443</v>
      </c>
      <c r="F22">
        <f t="shared" si="1"/>
        <v>1</v>
      </c>
      <c r="G22">
        <f t="shared" si="2"/>
        <v>1</v>
      </c>
      <c r="H22">
        <f t="shared" si="3"/>
        <v>1</v>
      </c>
      <c r="I22">
        <f t="shared" si="4"/>
        <v>1</v>
      </c>
    </row>
    <row r="23" spans="1:9" x14ac:dyDescent="0.25">
      <c r="A23" s="3">
        <v>40359</v>
      </c>
      <c r="B23" cm="1">
        <f t="array" ref="B23">_xlfn.IFS(YEAR($A23)&lt;=2009,ROUNDDOWN(B22+VLOOKUP(B$1,$J$1:$K$5,2,FALSE)*B22,0),YEAR($A23)=2010,B22,YEAR($A23)&gt;2010,ROUNDDOWN(B22-VLOOKUP(B$1,$J$1:$L$5,3,FALSE)*B22,0))</f>
        <v>333</v>
      </c>
      <c r="C23" cm="1">
        <f t="array" ref="C23">_xlfn.IFS(YEAR($A23)&lt;=2009,ROUNDDOWN(C22+VLOOKUP(C$1,$J$1:$K$5,2,FALSE)*C22,0),YEAR($A23)=2010,C22,YEAR($A23)&gt;2010,ROUNDDOWN(C22-VLOOKUP(C$1,$J$1:$L$5,3,FALSE)*C22,0))</f>
        <v>316</v>
      </c>
      <c r="D23" cm="1">
        <f t="array" ref="D23">_xlfn.IFS(YEAR($A23)&lt;=2009,ROUNDDOWN(D22+VLOOKUP(D$1,$J$1:$K$5,2,FALSE)*D22,0),YEAR($A23)=2010,D22,YEAR($A23)&gt;2010,ROUNDDOWN(D22-VLOOKUP(D$1,$J$1:$L$5,3,FALSE)*D22,0))</f>
        <v>350</v>
      </c>
      <c r="E23" cm="1">
        <f t="array" ref="E23">_xlfn.IFS(YEAR($A23)&lt;=2009,ROUNDDOWN(E22+VLOOKUP(E$1,$J$1:$K$5,2,FALSE)*E22,0),YEAR($A23)=2010,E22,YEAR($A23)&gt;2010,ROUNDDOWN(E22-VLOOKUP(E$1,$J$1:$L$5,3,FALSE)*E22,0))</f>
        <v>443</v>
      </c>
      <c r="F23">
        <f t="shared" si="1"/>
        <v>1</v>
      </c>
      <c r="G23">
        <f t="shared" si="2"/>
        <v>1</v>
      </c>
      <c r="H23">
        <f t="shared" si="3"/>
        <v>1</v>
      </c>
      <c r="I23">
        <f t="shared" si="4"/>
        <v>1</v>
      </c>
    </row>
    <row r="24" spans="1:9" x14ac:dyDescent="0.25">
      <c r="A24" s="3">
        <v>40451</v>
      </c>
      <c r="B24" cm="1">
        <f t="array" ref="B24">_xlfn.IFS(YEAR($A24)&lt;=2009,ROUNDDOWN(B23+VLOOKUP(B$1,$J$1:$K$5,2,FALSE)*B23,0),YEAR($A24)=2010,B23,YEAR($A24)&gt;2010,ROUNDDOWN(B23-VLOOKUP(B$1,$J$1:$L$5,3,FALSE)*B23,0))</f>
        <v>333</v>
      </c>
      <c r="C24" cm="1">
        <f t="array" ref="C24">_xlfn.IFS(YEAR($A24)&lt;=2009,ROUNDDOWN(C23+VLOOKUP(C$1,$J$1:$K$5,2,FALSE)*C23,0),YEAR($A24)=2010,C23,YEAR($A24)&gt;2010,ROUNDDOWN(C23-VLOOKUP(C$1,$J$1:$L$5,3,FALSE)*C23,0))</f>
        <v>316</v>
      </c>
      <c r="D24" cm="1">
        <f t="array" ref="D24">_xlfn.IFS(YEAR($A24)&lt;=2009,ROUNDDOWN(D23+VLOOKUP(D$1,$J$1:$K$5,2,FALSE)*D23,0),YEAR($A24)=2010,D23,YEAR($A24)&gt;2010,ROUNDDOWN(D23-VLOOKUP(D$1,$J$1:$L$5,3,FALSE)*D23,0))</f>
        <v>350</v>
      </c>
      <c r="E24" cm="1">
        <f t="array" ref="E24">_xlfn.IFS(YEAR($A24)&lt;=2009,ROUNDDOWN(E23+VLOOKUP(E$1,$J$1:$K$5,2,FALSE)*E23,0),YEAR($A24)=2010,E23,YEAR($A24)&gt;2010,ROUNDDOWN(E23-VLOOKUP(E$1,$J$1:$L$5,3,FALSE)*E23,0))</f>
        <v>443</v>
      </c>
      <c r="F24">
        <f t="shared" si="1"/>
        <v>1</v>
      </c>
      <c r="G24">
        <f t="shared" si="2"/>
        <v>1</v>
      </c>
      <c r="H24">
        <f t="shared" si="3"/>
        <v>1</v>
      </c>
      <c r="I24">
        <f t="shared" si="4"/>
        <v>1</v>
      </c>
    </row>
    <row r="25" spans="1:9" x14ac:dyDescent="0.25">
      <c r="A25" s="3">
        <v>40543</v>
      </c>
      <c r="B25" cm="1">
        <f t="array" ref="B25">_xlfn.IFS(YEAR($A25)&lt;=2009,ROUNDDOWN(B24+VLOOKUP(B$1,$J$1:$K$5,2,FALSE)*B24,0),YEAR($A25)=2010,B24,YEAR($A25)&gt;2010,ROUNDDOWN(B24-VLOOKUP(B$1,$J$1:$L$5,3,FALSE)*B24,0))</f>
        <v>333</v>
      </c>
      <c r="C25" cm="1">
        <f t="array" ref="C25">_xlfn.IFS(YEAR($A25)&lt;=2009,ROUNDDOWN(C24+VLOOKUP(C$1,$J$1:$K$5,2,FALSE)*C24,0),YEAR($A25)=2010,C24,YEAR($A25)&gt;2010,ROUNDDOWN(C24-VLOOKUP(C$1,$J$1:$L$5,3,FALSE)*C24,0))</f>
        <v>316</v>
      </c>
      <c r="D25" cm="1">
        <f t="array" ref="D25">_xlfn.IFS(YEAR($A25)&lt;=2009,ROUNDDOWN(D24+VLOOKUP(D$1,$J$1:$K$5,2,FALSE)*D24,0),YEAR($A25)=2010,D24,YEAR($A25)&gt;2010,ROUNDDOWN(D24-VLOOKUP(D$1,$J$1:$L$5,3,FALSE)*D24,0))</f>
        <v>350</v>
      </c>
      <c r="E25" cm="1">
        <f t="array" ref="E25">_xlfn.IFS(YEAR($A25)&lt;=2009,ROUNDDOWN(E24+VLOOKUP(E$1,$J$1:$K$5,2,FALSE)*E24,0),YEAR($A25)=2010,E24,YEAR($A25)&gt;2010,ROUNDDOWN(E24-VLOOKUP(E$1,$J$1:$L$5,3,FALSE)*E24,0))</f>
        <v>443</v>
      </c>
      <c r="F25">
        <f t="shared" si="1"/>
        <v>1</v>
      </c>
      <c r="G25">
        <f t="shared" si="2"/>
        <v>1</v>
      </c>
      <c r="H25">
        <f t="shared" si="3"/>
        <v>1</v>
      </c>
      <c r="I25">
        <f t="shared" si="4"/>
        <v>1</v>
      </c>
    </row>
    <row r="26" spans="1:9" x14ac:dyDescent="0.25">
      <c r="A26" s="3">
        <v>40633</v>
      </c>
      <c r="B26" cm="1">
        <f t="array" ref="B26">_xlfn.IFS(YEAR($A26)&lt;=2009,ROUNDDOWN(B25+VLOOKUP(B$1,$J$1:$K$5,2,FALSE)*B25,0),YEAR($A26)=2010,B25,YEAR($A26)&gt;2010,ROUNDDOWN(B25-VLOOKUP(B$1,$J$1:$L$5,3,FALSE)*B25,0))</f>
        <v>329</v>
      </c>
      <c r="C26" cm="1">
        <f t="array" ref="C26">_xlfn.IFS(YEAR($A26)&lt;=2009,ROUNDDOWN(C25+VLOOKUP(C$1,$J$1:$K$5,2,FALSE)*C25,0),YEAR($A26)=2010,C25,YEAR($A26)&gt;2010,ROUNDDOWN(C25-VLOOKUP(C$1,$J$1:$L$5,3,FALSE)*C25,0))</f>
        <v>312</v>
      </c>
      <c r="D26" cm="1">
        <f t="array" ref="D26">_xlfn.IFS(YEAR($A26)&lt;=2009,ROUNDDOWN(D25+VLOOKUP(D$1,$J$1:$K$5,2,FALSE)*D25,0),YEAR($A26)=2010,D25,YEAR($A26)&gt;2010,ROUNDDOWN(D25-VLOOKUP(D$1,$J$1:$L$5,3,FALSE)*D25,0))</f>
        <v>343</v>
      </c>
      <c r="E26" cm="1">
        <f t="array" ref="E26">_xlfn.IFS(YEAR($A26)&lt;=2009,ROUNDDOWN(E25+VLOOKUP(E$1,$J$1:$K$5,2,FALSE)*E25,0),YEAR($A26)=2010,E25,YEAR($A26)&gt;2010,ROUNDDOWN(E25-VLOOKUP(E$1,$J$1:$L$5,3,FALSE)*E25,0))</f>
        <v>431</v>
      </c>
      <c r="F26">
        <f t="shared" si="1"/>
        <v>1</v>
      </c>
      <c r="G26">
        <f t="shared" si="2"/>
        <v>1</v>
      </c>
      <c r="H26">
        <f t="shared" si="3"/>
        <v>1</v>
      </c>
      <c r="I26">
        <f t="shared" si="4"/>
        <v>1</v>
      </c>
    </row>
    <row r="27" spans="1:9" x14ac:dyDescent="0.25">
      <c r="A27" s="3">
        <v>40724</v>
      </c>
      <c r="B27" cm="1">
        <f t="array" ref="B27">_xlfn.IFS(YEAR($A27)&lt;=2009,ROUNDDOWN(B26+VLOOKUP(B$1,$J$1:$K$5,2,FALSE)*B26,0),YEAR($A27)=2010,B26,YEAR($A27)&gt;2010,ROUNDDOWN(B26-VLOOKUP(B$1,$J$1:$L$5,3,FALSE)*B26,0))</f>
        <v>325</v>
      </c>
      <c r="C27" cm="1">
        <f t="array" ref="C27">_xlfn.IFS(YEAR($A27)&lt;=2009,ROUNDDOWN(C26+VLOOKUP(C$1,$J$1:$K$5,2,FALSE)*C26,0),YEAR($A27)=2010,C26,YEAR($A27)&gt;2010,ROUNDDOWN(C26-VLOOKUP(C$1,$J$1:$L$5,3,FALSE)*C26,0))</f>
        <v>308</v>
      </c>
      <c r="D27" cm="1">
        <f t="array" ref="D27">_xlfn.IFS(YEAR($A27)&lt;=2009,ROUNDDOWN(D26+VLOOKUP(D$1,$J$1:$K$5,2,FALSE)*D26,0),YEAR($A27)=2010,D26,YEAR($A27)&gt;2010,ROUNDDOWN(D26-VLOOKUP(D$1,$J$1:$L$5,3,FALSE)*D26,0))</f>
        <v>336</v>
      </c>
      <c r="E27" cm="1">
        <f t="array" ref="E27">_xlfn.IFS(YEAR($A27)&lt;=2009,ROUNDDOWN(E26+VLOOKUP(E$1,$J$1:$K$5,2,FALSE)*E26,0),YEAR($A27)=2010,E26,YEAR($A27)&gt;2010,ROUNDDOWN(E26-VLOOKUP(E$1,$J$1:$L$5,3,FALSE)*E26,0))</f>
        <v>420</v>
      </c>
      <c r="F27">
        <f t="shared" si="1"/>
        <v>1</v>
      </c>
      <c r="G27">
        <f t="shared" si="2"/>
        <v>1</v>
      </c>
      <c r="H27">
        <f t="shared" si="3"/>
        <v>1</v>
      </c>
      <c r="I27">
        <f t="shared" si="4"/>
        <v>1</v>
      </c>
    </row>
    <row r="28" spans="1:9" x14ac:dyDescent="0.25">
      <c r="A28" s="3">
        <v>40816</v>
      </c>
      <c r="B28" cm="1">
        <f t="array" ref="B28">_xlfn.IFS(YEAR($A28)&lt;=2009,ROUNDDOWN(B27+VLOOKUP(B$1,$J$1:$K$5,2,FALSE)*B27,0),YEAR($A28)=2010,B27,YEAR($A28)&gt;2010,ROUNDDOWN(B27-VLOOKUP(B$1,$J$1:$L$5,3,FALSE)*B27,0))</f>
        <v>321</v>
      </c>
      <c r="C28" cm="1">
        <f t="array" ref="C28">_xlfn.IFS(YEAR($A28)&lt;=2009,ROUNDDOWN(C27+VLOOKUP(C$1,$J$1:$K$5,2,FALSE)*C27,0),YEAR($A28)=2010,C27,YEAR($A28)&gt;2010,ROUNDDOWN(C27-VLOOKUP(C$1,$J$1:$L$5,3,FALSE)*C27,0))</f>
        <v>304</v>
      </c>
      <c r="D28" cm="1">
        <f t="array" ref="D28">_xlfn.IFS(YEAR($A28)&lt;=2009,ROUNDDOWN(D27+VLOOKUP(D$1,$J$1:$K$5,2,FALSE)*D27,0),YEAR($A28)=2010,D27,YEAR($A28)&gt;2010,ROUNDDOWN(D27-VLOOKUP(D$1,$J$1:$L$5,3,FALSE)*D27,0))</f>
        <v>329</v>
      </c>
      <c r="E28" cm="1">
        <f t="array" ref="E28">_xlfn.IFS(YEAR($A28)&lt;=2009,ROUNDDOWN(E27+VLOOKUP(E$1,$J$1:$K$5,2,FALSE)*E27,0),YEAR($A28)=2010,E27,YEAR($A28)&gt;2010,ROUNDDOWN(E27-VLOOKUP(E$1,$J$1:$L$5,3,FALSE)*E27,0))</f>
        <v>409</v>
      </c>
      <c r="F28">
        <f t="shared" si="1"/>
        <v>1</v>
      </c>
      <c r="G28">
        <f t="shared" si="2"/>
        <v>1</v>
      </c>
      <c r="H28">
        <f t="shared" si="3"/>
        <v>1</v>
      </c>
      <c r="I28">
        <f t="shared" si="4"/>
        <v>1</v>
      </c>
    </row>
    <row r="29" spans="1:9" x14ac:dyDescent="0.25">
      <c r="A29" s="3">
        <v>40908</v>
      </c>
      <c r="B29" cm="1">
        <f t="array" ref="B29">_xlfn.IFS(YEAR($A29)&lt;=2009,ROUNDDOWN(B28+VLOOKUP(B$1,$J$1:$K$5,2,FALSE)*B28,0),YEAR($A29)=2010,B28,YEAR($A29)&gt;2010,ROUNDDOWN(B28-VLOOKUP(B$1,$J$1:$L$5,3,FALSE)*B28,0))</f>
        <v>317</v>
      </c>
      <c r="C29" cm="1">
        <f t="array" ref="C29">_xlfn.IFS(YEAR($A29)&lt;=2009,ROUNDDOWN(C28+VLOOKUP(C$1,$J$1:$K$5,2,FALSE)*C28,0),YEAR($A29)=2010,C28,YEAR($A29)&gt;2010,ROUNDDOWN(C28-VLOOKUP(C$1,$J$1:$L$5,3,FALSE)*C28,0))</f>
        <v>300</v>
      </c>
      <c r="D29" cm="1">
        <f t="array" ref="D29">_xlfn.IFS(YEAR($A29)&lt;=2009,ROUNDDOWN(D28+VLOOKUP(D$1,$J$1:$K$5,2,FALSE)*D28,0),YEAR($A29)=2010,D28,YEAR($A29)&gt;2010,ROUNDDOWN(D28-VLOOKUP(D$1,$J$1:$L$5,3,FALSE)*D28,0))</f>
        <v>322</v>
      </c>
      <c r="E29" cm="1">
        <f t="array" ref="E29">_xlfn.IFS(YEAR($A29)&lt;=2009,ROUNDDOWN(E28+VLOOKUP(E$1,$J$1:$K$5,2,FALSE)*E28,0),YEAR($A29)=2010,E28,YEAR($A29)&gt;2010,ROUNDDOWN(E28-VLOOKUP(E$1,$J$1:$L$5,3,FALSE)*E28,0))</f>
        <v>398</v>
      </c>
      <c r="F29">
        <f t="shared" si="1"/>
        <v>1</v>
      </c>
      <c r="G29">
        <f t="shared" si="2"/>
        <v>0</v>
      </c>
      <c r="H29">
        <f t="shared" si="3"/>
        <v>1</v>
      </c>
      <c r="I29">
        <f t="shared" si="4"/>
        <v>1</v>
      </c>
    </row>
    <row r="30" spans="1:9" x14ac:dyDescent="0.25">
      <c r="A30" s="3">
        <v>40999</v>
      </c>
      <c r="B30" cm="1">
        <f t="array" ref="B30">_xlfn.IFS(YEAR($A30)&lt;=2009,ROUNDDOWN(B29+VLOOKUP(B$1,$J$1:$K$5,2,FALSE)*B29,0),YEAR($A30)=2010,B29,YEAR($A30)&gt;2010,ROUNDDOWN(B29-VLOOKUP(B$1,$J$1:$L$5,3,FALSE)*B29,0))</f>
        <v>313</v>
      </c>
      <c r="C30" cm="1">
        <f t="array" ref="C30">_xlfn.IFS(YEAR($A30)&lt;=2009,ROUNDDOWN(C29+VLOOKUP(C$1,$J$1:$K$5,2,FALSE)*C29,0),YEAR($A30)=2010,C29,YEAR($A30)&gt;2010,ROUNDDOWN(C29-VLOOKUP(C$1,$J$1:$L$5,3,FALSE)*C29,0))</f>
        <v>296</v>
      </c>
      <c r="D30" cm="1">
        <f t="array" ref="D30">_xlfn.IFS(YEAR($A30)&lt;=2009,ROUNDDOWN(D29+VLOOKUP(D$1,$J$1:$K$5,2,FALSE)*D29,0),YEAR($A30)=2010,D29,YEAR($A30)&gt;2010,ROUNDDOWN(D29-VLOOKUP(D$1,$J$1:$L$5,3,FALSE)*D29,0))</f>
        <v>315</v>
      </c>
      <c r="E30" cm="1">
        <f t="array" ref="E30">_xlfn.IFS(YEAR($A30)&lt;=2009,ROUNDDOWN(E29+VLOOKUP(E$1,$J$1:$K$5,2,FALSE)*E29,0),YEAR($A30)=2010,E29,YEAR($A30)&gt;2010,ROUNDDOWN(E29-VLOOKUP(E$1,$J$1:$L$5,3,FALSE)*E29,0))</f>
        <v>388</v>
      </c>
      <c r="F30">
        <f t="shared" si="1"/>
        <v>1</v>
      </c>
      <c r="G30">
        <f t="shared" si="2"/>
        <v>0</v>
      </c>
      <c r="H30">
        <f t="shared" si="3"/>
        <v>1</v>
      </c>
      <c r="I30">
        <f t="shared" si="4"/>
        <v>1</v>
      </c>
    </row>
    <row r="31" spans="1:9" x14ac:dyDescent="0.25">
      <c r="A31" s="3">
        <v>41090</v>
      </c>
      <c r="B31" cm="1">
        <f t="array" ref="B31">_xlfn.IFS(YEAR($A31)&lt;=2009,ROUNDDOWN(B30+VLOOKUP(B$1,$J$1:$K$5,2,FALSE)*B30,0),YEAR($A31)=2010,B30,YEAR($A31)&gt;2010,ROUNDDOWN(B30-VLOOKUP(B$1,$J$1:$L$5,3,FALSE)*B30,0))</f>
        <v>309</v>
      </c>
      <c r="C31" cm="1">
        <f t="array" ref="C31">_xlfn.IFS(YEAR($A31)&lt;=2009,ROUNDDOWN(C30+VLOOKUP(C$1,$J$1:$K$5,2,FALSE)*C30,0),YEAR($A31)=2010,C30,YEAR($A31)&gt;2010,ROUNDDOWN(C30-VLOOKUP(C$1,$J$1:$L$5,3,FALSE)*C30,0))</f>
        <v>292</v>
      </c>
      <c r="D31" cm="1">
        <f t="array" ref="D31">_xlfn.IFS(YEAR($A31)&lt;=2009,ROUNDDOWN(D30+VLOOKUP(D$1,$J$1:$K$5,2,FALSE)*D30,0),YEAR($A31)=2010,D30,YEAR($A31)&gt;2010,ROUNDDOWN(D30-VLOOKUP(D$1,$J$1:$L$5,3,FALSE)*D30,0))</f>
        <v>309</v>
      </c>
      <c r="E31" cm="1">
        <f t="array" ref="E31">_xlfn.IFS(YEAR($A31)&lt;=2009,ROUNDDOWN(E30+VLOOKUP(E$1,$J$1:$K$5,2,FALSE)*E30,0),YEAR($A31)=2010,E30,YEAR($A31)&gt;2010,ROUNDDOWN(E30-VLOOKUP(E$1,$J$1:$L$5,3,FALSE)*E30,0))</f>
        <v>378</v>
      </c>
      <c r="F31">
        <f t="shared" si="1"/>
        <v>1</v>
      </c>
      <c r="G31">
        <f t="shared" si="2"/>
        <v>0</v>
      </c>
      <c r="H31">
        <f t="shared" si="3"/>
        <v>1</v>
      </c>
      <c r="I31">
        <f t="shared" si="4"/>
        <v>1</v>
      </c>
    </row>
    <row r="32" spans="1:9" x14ac:dyDescent="0.25">
      <c r="A32" s="3">
        <v>41182</v>
      </c>
      <c r="B32" cm="1">
        <f t="array" ref="B32">_xlfn.IFS(YEAR($A32)&lt;=2009,ROUNDDOWN(B31+VLOOKUP(B$1,$J$1:$K$5,2,FALSE)*B31,0),YEAR($A32)=2010,B31,YEAR($A32)&gt;2010,ROUNDDOWN(B31-VLOOKUP(B$1,$J$1:$L$5,3,FALSE)*B31,0))</f>
        <v>305</v>
      </c>
      <c r="C32" cm="1">
        <f t="array" ref="C32">_xlfn.IFS(YEAR($A32)&lt;=2009,ROUNDDOWN(C31+VLOOKUP(C$1,$J$1:$K$5,2,FALSE)*C31,0),YEAR($A32)=2010,C31,YEAR($A32)&gt;2010,ROUNDDOWN(C31-VLOOKUP(C$1,$J$1:$L$5,3,FALSE)*C31,0))</f>
        <v>288</v>
      </c>
      <c r="D32" cm="1">
        <f t="array" ref="D32">_xlfn.IFS(YEAR($A32)&lt;=2009,ROUNDDOWN(D31+VLOOKUP(D$1,$J$1:$K$5,2,FALSE)*D31,0),YEAR($A32)=2010,D31,YEAR($A32)&gt;2010,ROUNDDOWN(D31-VLOOKUP(D$1,$J$1:$L$5,3,FALSE)*D31,0))</f>
        <v>303</v>
      </c>
      <c r="E32" cm="1">
        <f t="array" ref="E32">_xlfn.IFS(YEAR($A32)&lt;=2009,ROUNDDOWN(E31+VLOOKUP(E$1,$J$1:$K$5,2,FALSE)*E31,0),YEAR($A32)=2010,E31,YEAR($A32)&gt;2010,ROUNDDOWN(E31-VLOOKUP(E$1,$J$1:$L$5,3,FALSE)*E31,0))</f>
        <v>368</v>
      </c>
      <c r="F32">
        <f t="shared" si="1"/>
        <v>1</v>
      </c>
      <c r="G32">
        <f t="shared" si="2"/>
        <v>0</v>
      </c>
      <c r="H32">
        <f t="shared" si="3"/>
        <v>1</v>
      </c>
      <c r="I32">
        <f t="shared" si="4"/>
        <v>1</v>
      </c>
    </row>
    <row r="33" spans="1:9" x14ac:dyDescent="0.25">
      <c r="A33" s="3">
        <v>41274</v>
      </c>
      <c r="B33" cm="1">
        <f t="array" ref="B33">_xlfn.IFS(YEAR($A33)&lt;=2009,ROUNDDOWN(B32+VLOOKUP(B$1,$J$1:$K$5,2,FALSE)*B32,0),YEAR($A33)=2010,B32,YEAR($A33)&gt;2010,ROUNDDOWN(B32-VLOOKUP(B$1,$J$1:$L$5,3,FALSE)*B32,0))</f>
        <v>301</v>
      </c>
      <c r="C33" cm="1">
        <f t="array" ref="C33">_xlfn.IFS(YEAR($A33)&lt;=2009,ROUNDDOWN(C32+VLOOKUP(C$1,$J$1:$K$5,2,FALSE)*C32,0),YEAR($A33)=2010,C32,YEAR($A33)&gt;2010,ROUNDDOWN(C32-VLOOKUP(C$1,$J$1:$L$5,3,FALSE)*C32,0))</f>
        <v>284</v>
      </c>
      <c r="D33" cm="1">
        <f t="array" ref="D33">_xlfn.IFS(YEAR($A33)&lt;=2009,ROUNDDOWN(D32+VLOOKUP(D$1,$J$1:$K$5,2,FALSE)*D32,0),YEAR($A33)=2010,D32,YEAR($A33)&gt;2010,ROUNDDOWN(D32-VLOOKUP(D$1,$J$1:$L$5,3,FALSE)*D32,0))</f>
        <v>297</v>
      </c>
      <c r="E33" cm="1">
        <f t="array" ref="E33">_xlfn.IFS(YEAR($A33)&lt;=2009,ROUNDDOWN(E32+VLOOKUP(E$1,$J$1:$K$5,2,FALSE)*E32,0),YEAR($A33)=2010,E32,YEAR($A33)&gt;2010,ROUNDDOWN(E32-VLOOKUP(E$1,$J$1:$L$5,3,FALSE)*E32,0))</f>
        <v>358</v>
      </c>
      <c r="F33">
        <f t="shared" si="1"/>
        <v>1</v>
      </c>
      <c r="G33">
        <f t="shared" si="2"/>
        <v>0</v>
      </c>
      <c r="H33">
        <f t="shared" si="3"/>
        <v>0</v>
      </c>
      <c r="I33">
        <f t="shared" si="4"/>
        <v>1</v>
      </c>
    </row>
    <row r="34" spans="1:9" x14ac:dyDescent="0.25">
      <c r="E34" s="4" t="s">
        <v>20</v>
      </c>
      <c r="F34" s="4">
        <f>COUNTIF(F2:F33,"=1")</f>
        <v>18</v>
      </c>
      <c r="G34" s="4">
        <f t="shared" ref="G34:I34" si="5">COUNTIF(G2:G33,"=1")</f>
        <v>9</v>
      </c>
      <c r="H34" s="4">
        <f t="shared" si="5"/>
        <v>17</v>
      </c>
      <c r="I34" s="4">
        <f t="shared" si="5"/>
        <v>32</v>
      </c>
    </row>
    <row r="35" spans="1:9" x14ac:dyDescent="0.25">
      <c r="E35" s="4" t="s">
        <v>8</v>
      </c>
      <c r="F35" s="4" t="s">
        <v>0</v>
      </c>
      <c r="G35" s="4" t="s">
        <v>1</v>
      </c>
      <c r="H35" s="4" t="s">
        <v>2</v>
      </c>
      <c r="I35" s="4" t="s">
        <v>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299D-451E-4C98-8963-AB9936B6421B}">
  <sheetPr filterMode="1"/>
  <dimension ref="A1:L33"/>
  <sheetViews>
    <sheetView workbookViewId="0">
      <selection activeCell="J8" sqref="J8"/>
    </sheetView>
  </sheetViews>
  <sheetFormatPr defaultRowHeight="15" x14ac:dyDescent="0.25"/>
  <cols>
    <col min="1" max="1" width="10.140625" style="3" bestFit="1" customWidth="1"/>
    <col min="2" max="5" width="22.28515625" bestFit="1" customWidth="1"/>
    <col min="10" max="10" width="27.28515625" bestFit="1" customWidth="1"/>
    <col min="11" max="11" width="30.5703125" bestFit="1" customWidth="1"/>
    <col min="12" max="12" width="30.5703125" style="2" bestFit="1" customWidth="1"/>
  </cols>
  <sheetData>
    <row r="1" spans="1:12" x14ac:dyDescent="0.25">
      <c r="A1" s="3" t="s">
        <v>5</v>
      </c>
      <c r="B1" t="s">
        <v>0</v>
      </c>
      <c r="C1" t="s">
        <v>1</v>
      </c>
      <c r="D1" t="s">
        <v>2</v>
      </c>
      <c r="E1" t="s">
        <v>3</v>
      </c>
      <c r="J1" t="s">
        <v>8</v>
      </c>
      <c r="K1" t="s">
        <v>6</v>
      </c>
      <c r="L1" s="2" t="s">
        <v>7</v>
      </c>
    </row>
    <row r="2" spans="1:12" x14ac:dyDescent="0.25">
      <c r="A2" s="3">
        <v>38442</v>
      </c>
      <c r="B2">
        <v>237</v>
      </c>
      <c r="C2">
        <v>198</v>
      </c>
      <c r="D2">
        <v>207</v>
      </c>
      <c r="E2">
        <v>312</v>
      </c>
      <c r="J2" t="s">
        <v>0</v>
      </c>
      <c r="K2" s="1">
        <v>0.02</v>
      </c>
      <c r="L2" s="2">
        <v>0.01</v>
      </c>
    </row>
    <row r="3" spans="1:12" x14ac:dyDescent="0.25">
      <c r="A3" s="3">
        <v>38533</v>
      </c>
      <c r="B3" cm="1">
        <f t="array" ref="B3">_xlfn.IFS(YEAR($A3)&lt;=2009,ROUNDDOWN(B2+VLOOKUP(B$1,$J$1:$K$5,2,FALSE)*B2,0),YEAR($A3)=2010,B2,YEAR($A3)&gt;2010,ROUNDDOWN(B2-VLOOKUP(B$1,$J$1:$L$5,3,FALSE)*B2,0))</f>
        <v>241</v>
      </c>
      <c r="C3" cm="1">
        <f t="array" ref="C3">_xlfn.IFS(YEAR($A3)&lt;=2009,ROUNDDOWN(C2+VLOOKUP(C$1,$J$1:$K$5,2,FALSE)*C2,0),YEAR($A3)=2010,C2,YEAR($A3)&gt;2010,ROUNDDOWN(C2-VLOOKUP(C$1,$J$1:$L$5,3,FALSE)*C2,0))</f>
        <v>203</v>
      </c>
      <c r="D3" cm="1">
        <f t="array" ref="D3">_xlfn.IFS(YEAR($A3)&lt;=2009,ROUNDDOWN(D2+VLOOKUP(D$1,$J$1:$K$5,2,FALSE)*D2,0),YEAR($A3)=2010,D2,YEAR($A3)&gt;2010,ROUNDDOWN(D2-VLOOKUP(D$1,$J$1:$L$5,3,FALSE)*D2,0))</f>
        <v>213</v>
      </c>
      <c r="E3" cm="1">
        <f t="array" ref="E3">_xlfn.IFS(YEAR($A3)&lt;=2009,ROUNDDOWN(E2+VLOOKUP(E$1,$J$1:$K$5,2,FALSE)*E2,0),YEAR($A3)=2010,E2,YEAR($A3)&gt;2010,ROUNDDOWN(E2-VLOOKUP(E$1,$J$1:$L$5,3,FALSE)*E2,0))</f>
        <v>318</v>
      </c>
      <c r="J3" t="s">
        <v>1</v>
      </c>
      <c r="K3" s="2">
        <v>2.7E-2</v>
      </c>
      <c r="L3" s="2">
        <v>1.2E-2</v>
      </c>
    </row>
    <row r="4" spans="1:12" x14ac:dyDescent="0.25">
      <c r="A4" s="3">
        <v>38625</v>
      </c>
      <c r="B4" cm="1">
        <f t="array" ref="B4">_xlfn.IFS(YEAR($A4)&lt;=2009,ROUNDDOWN(B3+VLOOKUP(B$1,$J$1:$K$5,2,FALSE)*B3,0),YEAR($A4)=2010,B3,YEAR($A4)&gt;2010,ROUNDDOWN(B3-VLOOKUP(B$1,$J$1:$L$5,3,FALSE)*B3,0))</f>
        <v>245</v>
      </c>
      <c r="C4" cm="1">
        <f t="array" ref="C4">_xlfn.IFS(YEAR($A4)&lt;=2009,ROUNDDOWN(C3+VLOOKUP(C$1,$J$1:$K$5,2,FALSE)*C3,0),YEAR($A4)=2010,C3,YEAR($A4)&gt;2010,ROUNDDOWN(C3-VLOOKUP(C$1,$J$1:$L$5,3,FALSE)*C3,0))</f>
        <v>208</v>
      </c>
      <c r="D4" cm="1">
        <f t="array" ref="D4">_xlfn.IFS(YEAR($A4)&lt;=2009,ROUNDDOWN(D3+VLOOKUP(D$1,$J$1:$K$5,2,FALSE)*D3,0),YEAR($A4)=2010,D3,YEAR($A4)&gt;2010,ROUNDDOWN(D3-VLOOKUP(D$1,$J$1:$L$5,3,FALSE)*D3,0))</f>
        <v>219</v>
      </c>
      <c r="E4" cm="1">
        <f t="array" ref="E4">_xlfn.IFS(YEAR($A4)&lt;=2009,ROUNDDOWN(E3+VLOOKUP(E$1,$J$1:$K$5,2,FALSE)*E3,0),YEAR($A4)=2010,E3,YEAR($A4)&gt;2010,ROUNDDOWN(E3-VLOOKUP(E$1,$J$1:$L$5,3,FALSE)*E3,0))</f>
        <v>324</v>
      </c>
      <c r="J4" t="s">
        <v>2</v>
      </c>
      <c r="K4" s="1">
        <v>0.03</v>
      </c>
      <c r="L4" s="2">
        <v>1.9E-2</v>
      </c>
    </row>
    <row r="5" spans="1:12" x14ac:dyDescent="0.25">
      <c r="A5" s="3">
        <v>38717</v>
      </c>
      <c r="B5" cm="1">
        <f t="array" ref="B5">_xlfn.IFS(YEAR($A5)&lt;=2009,ROUNDDOWN(B4+VLOOKUP(B$1,$J$1:$K$5,2,FALSE)*B4,0),YEAR($A5)=2010,B4,YEAR($A5)&gt;2010,ROUNDDOWN(B4-VLOOKUP(B$1,$J$1:$L$5,3,FALSE)*B4,0))</f>
        <v>249</v>
      </c>
      <c r="C5" cm="1">
        <f t="array" ref="C5">_xlfn.IFS(YEAR($A5)&lt;=2009,ROUNDDOWN(C4+VLOOKUP(C$1,$J$1:$K$5,2,FALSE)*C4,0),YEAR($A5)=2010,C4,YEAR($A5)&gt;2010,ROUNDDOWN(C4-VLOOKUP(C$1,$J$1:$L$5,3,FALSE)*C4,0))</f>
        <v>213</v>
      </c>
      <c r="D5" cm="1">
        <f t="array" ref="D5">_xlfn.IFS(YEAR($A5)&lt;=2009,ROUNDDOWN(D4+VLOOKUP(D$1,$J$1:$K$5,2,FALSE)*D4,0),YEAR($A5)=2010,D4,YEAR($A5)&gt;2010,ROUNDDOWN(D4-VLOOKUP(D$1,$J$1:$L$5,3,FALSE)*D4,0))</f>
        <v>225</v>
      </c>
      <c r="E5" cm="1">
        <f t="array" ref="E5">_xlfn.IFS(YEAR($A5)&lt;=2009,ROUNDDOWN(E4+VLOOKUP(E$1,$J$1:$K$5,2,FALSE)*E4,0),YEAR($A5)=2010,E4,YEAR($A5)&gt;2010,ROUNDDOWN(E4-VLOOKUP(E$1,$J$1:$L$5,3,FALSE)*E4,0))</f>
        <v>330</v>
      </c>
      <c r="J5" t="s">
        <v>3</v>
      </c>
      <c r="K5" s="1">
        <v>0.02</v>
      </c>
      <c r="L5" s="2">
        <v>2.5000000000000001E-2</v>
      </c>
    </row>
    <row r="6" spans="1:12" x14ac:dyDescent="0.25">
      <c r="A6" s="3">
        <v>38807</v>
      </c>
      <c r="B6" cm="1">
        <f t="array" ref="B6">_xlfn.IFS(YEAR($A6)&lt;=2009,ROUNDDOWN(B5+VLOOKUP(B$1,$J$1:$K$5,2,FALSE)*B5,0),YEAR($A6)=2010,B5,YEAR($A6)&gt;2010,ROUNDDOWN(B5-VLOOKUP(B$1,$J$1:$L$5,3,FALSE)*B5,0))</f>
        <v>253</v>
      </c>
      <c r="C6" cm="1">
        <f t="array" ref="C6">_xlfn.IFS(YEAR($A6)&lt;=2009,ROUNDDOWN(C5+VLOOKUP(C$1,$J$1:$K$5,2,FALSE)*C5,0),YEAR($A6)=2010,C5,YEAR($A6)&gt;2010,ROUNDDOWN(C5-VLOOKUP(C$1,$J$1:$L$5,3,FALSE)*C5,0))</f>
        <v>218</v>
      </c>
      <c r="D6" cm="1">
        <f t="array" ref="D6">_xlfn.IFS(YEAR($A6)&lt;=2009,ROUNDDOWN(D5+VLOOKUP(D$1,$J$1:$K$5,2,FALSE)*D5,0),YEAR($A6)=2010,D5,YEAR($A6)&gt;2010,ROUNDDOWN(D5-VLOOKUP(D$1,$J$1:$L$5,3,FALSE)*D5,0))</f>
        <v>231</v>
      </c>
      <c r="E6" cm="1">
        <f t="array" ref="E6">_xlfn.IFS(YEAR($A6)&lt;=2009,ROUNDDOWN(E5+VLOOKUP(E$1,$J$1:$K$5,2,FALSE)*E5,0),YEAR($A6)=2010,E5,YEAR($A6)&gt;2010,ROUNDDOWN(E5-VLOOKUP(E$1,$J$1:$L$5,3,FALSE)*E5,0))</f>
        <v>336</v>
      </c>
    </row>
    <row r="7" spans="1:12" x14ac:dyDescent="0.25">
      <c r="A7" s="3">
        <v>38898</v>
      </c>
      <c r="B7" cm="1">
        <f t="array" ref="B7">_xlfn.IFS(YEAR($A7)&lt;=2009,ROUNDDOWN(B6+VLOOKUP(B$1,$J$1:$K$5,2,FALSE)*B6,0),YEAR($A7)=2010,B6,YEAR($A7)&gt;2010,ROUNDDOWN(B6-VLOOKUP(B$1,$J$1:$L$5,3,FALSE)*B6,0))</f>
        <v>258</v>
      </c>
      <c r="C7" cm="1">
        <f t="array" ref="C7">_xlfn.IFS(YEAR($A7)&lt;=2009,ROUNDDOWN(C6+VLOOKUP(C$1,$J$1:$K$5,2,FALSE)*C6,0),YEAR($A7)=2010,C6,YEAR($A7)&gt;2010,ROUNDDOWN(C6-VLOOKUP(C$1,$J$1:$L$5,3,FALSE)*C6,0))</f>
        <v>223</v>
      </c>
      <c r="D7" cm="1">
        <f t="array" ref="D7">_xlfn.IFS(YEAR($A7)&lt;=2009,ROUNDDOWN(D6+VLOOKUP(D$1,$J$1:$K$5,2,FALSE)*D6,0),YEAR($A7)=2010,D6,YEAR($A7)&gt;2010,ROUNDDOWN(D6-VLOOKUP(D$1,$J$1:$L$5,3,FALSE)*D6,0))</f>
        <v>237</v>
      </c>
      <c r="E7" cm="1">
        <f t="array" ref="E7">_xlfn.IFS(YEAR($A7)&lt;=2009,ROUNDDOWN(E6+VLOOKUP(E$1,$J$1:$K$5,2,FALSE)*E6,0),YEAR($A7)=2010,E6,YEAR($A7)&gt;2010,ROUNDDOWN(E6-VLOOKUP(E$1,$J$1:$L$5,3,FALSE)*E6,0))</f>
        <v>342</v>
      </c>
      <c r="J7" s="4" t="s">
        <v>21</v>
      </c>
    </row>
    <row r="8" spans="1:12" x14ac:dyDescent="0.25">
      <c r="A8" s="3">
        <v>38990</v>
      </c>
      <c r="B8" cm="1">
        <f t="array" ref="B8">_xlfn.IFS(YEAR($A8)&lt;=2009,ROUNDDOWN(B7+VLOOKUP(B$1,$J$1:$K$5,2,FALSE)*B7,0),YEAR($A8)=2010,B7,YEAR($A8)&gt;2010,ROUNDDOWN(B7-VLOOKUP(B$1,$J$1:$L$5,3,FALSE)*B7,0))</f>
        <v>263</v>
      </c>
      <c r="C8" cm="1">
        <f t="array" ref="C8">_xlfn.IFS(YEAR($A8)&lt;=2009,ROUNDDOWN(C7+VLOOKUP(C$1,$J$1:$K$5,2,FALSE)*C7,0),YEAR($A8)=2010,C7,YEAR($A8)&gt;2010,ROUNDDOWN(C7-VLOOKUP(C$1,$J$1:$L$5,3,FALSE)*C7,0))</f>
        <v>229</v>
      </c>
      <c r="D8" cm="1">
        <f t="array" ref="D8">_xlfn.IFS(YEAR($A8)&lt;=2009,ROUNDDOWN(D7+VLOOKUP(D$1,$J$1:$K$5,2,FALSE)*D7,0),YEAR($A8)=2010,D7,YEAR($A8)&gt;2010,ROUNDDOWN(D7-VLOOKUP(D$1,$J$1:$L$5,3,FALSE)*D7,0))</f>
        <v>244</v>
      </c>
      <c r="E8" cm="1">
        <f t="array" ref="E8">_xlfn.IFS(YEAR($A8)&lt;=2009,ROUNDDOWN(E7+VLOOKUP(E$1,$J$1:$K$5,2,FALSE)*E7,0),YEAR($A8)=2010,E7,YEAR($A8)&gt;2010,ROUNDDOWN(E7-VLOOKUP(E$1,$J$1:$L$5,3,FALSE)*E7,0))</f>
        <v>348</v>
      </c>
      <c r="J8" s="4">
        <f>SUM(B2:E25)</f>
        <v>29368</v>
      </c>
    </row>
    <row r="9" spans="1:12" x14ac:dyDescent="0.25">
      <c r="A9" s="3">
        <v>39082</v>
      </c>
      <c r="B9" cm="1">
        <f t="array" ref="B9">_xlfn.IFS(YEAR($A9)&lt;=2009,ROUNDDOWN(B8+VLOOKUP(B$1,$J$1:$K$5,2,FALSE)*B8,0),YEAR($A9)=2010,B8,YEAR($A9)&gt;2010,ROUNDDOWN(B8-VLOOKUP(B$1,$J$1:$L$5,3,FALSE)*B8,0))</f>
        <v>268</v>
      </c>
      <c r="C9" cm="1">
        <f t="array" ref="C9">_xlfn.IFS(YEAR($A9)&lt;=2009,ROUNDDOWN(C8+VLOOKUP(C$1,$J$1:$K$5,2,FALSE)*C8,0),YEAR($A9)=2010,C8,YEAR($A9)&gt;2010,ROUNDDOWN(C8-VLOOKUP(C$1,$J$1:$L$5,3,FALSE)*C8,0))</f>
        <v>235</v>
      </c>
      <c r="D9" cm="1">
        <f t="array" ref="D9">_xlfn.IFS(YEAR($A9)&lt;=2009,ROUNDDOWN(D8+VLOOKUP(D$1,$J$1:$K$5,2,FALSE)*D8,0),YEAR($A9)=2010,D8,YEAR($A9)&gt;2010,ROUNDDOWN(D8-VLOOKUP(D$1,$J$1:$L$5,3,FALSE)*D8,0))</f>
        <v>251</v>
      </c>
      <c r="E9" cm="1">
        <f t="array" ref="E9">_xlfn.IFS(YEAR($A9)&lt;=2009,ROUNDDOWN(E8+VLOOKUP(E$1,$J$1:$K$5,2,FALSE)*E8,0),YEAR($A9)=2010,E8,YEAR($A9)&gt;2010,ROUNDDOWN(E8-VLOOKUP(E$1,$J$1:$L$5,3,FALSE)*E8,0))</f>
        <v>354</v>
      </c>
    </row>
    <row r="10" spans="1:12" x14ac:dyDescent="0.25">
      <c r="A10" s="3">
        <v>39172</v>
      </c>
      <c r="B10" cm="1">
        <f t="array" ref="B10">_xlfn.IFS(YEAR($A10)&lt;=2009,ROUNDDOWN(B9+VLOOKUP(B$1,$J$1:$K$5,2,FALSE)*B9,0),YEAR($A10)=2010,B9,YEAR($A10)&gt;2010,ROUNDDOWN(B9-VLOOKUP(B$1,$J$1:$L$5,3,FALSE)*B9,0))</f>
        <v>273</v>
      </c>
      <c r="C10" cm="1">
        <f t="array" ref="C10">_xlfn.IFS(YEAR($A10)&lt;=2009,ROUNDDOWN(C9+VLOOKUP(C$1,$J$1:$K$5,2,FALSE)*C9,0),YEAR($A10)=2010,C9,YEAR($A10)&gt;2010,ROUNDDOWN(C9-VLOOKUP(C$1,$J$1:$L$5,3,FALSE)*C9,0))</f>
        <v>241</v>
      </c>
      <c r="D10" cm="1">
        <f t="array" ref="D10">_xlfn.IFS(YEAR($A10)&lt;=2009,ROUNDDOWN(D9+VLOOKUP(D$1,$J$1:$K$5,2,FALSE)*D9,0),YEAR($A10)=2010,D9,YEAR($A10)&gt;2010,ROUNDDOWN(D9-VLOOKUP(D$1,$J$1:$L$5,3,FALSE)*D9,0))</f>
        <v>258</v>
      </c>
      <c r="E10" cm="1">
        <f t="array" ref="E10">_xlfn.IFS(YEAR($A10)&lt;=2009,ROUNDDOWN(E9+VLOOKUP(E$1,$J$1:$K$5,2,FALSE)*E9,0),YEAR($A10)=2010,E9,YEAR($A10)&gt;2010,ROUNDDOWN(E9-VLOOKUP(E$1,$J$1:$L$5,3,FALSE)*E9,0))</f>
        <v>361</v>
      </c>
    </row>
    <row r="11" spans="1:12" x14ac:dyDescent="0.25">
      <c r="A11" s="3">
        <v>39263</v>
      </c>
      <c r="B11" cm="1">
        <f t="array" ref="B11">_xlfn.IFS(YEAR($A11)&lt;=2009,ROUNDDOWN(B10+VLOOKUP(B$1,$J$1:$K$5,2,FALSE)*B10,0),YEAR($A11)=2010,B10,YEAR($A11)&gt;2010,ROUNDDOWN(B10-VLOOKUP(B$1,$J$1:$L$5,3,FALSE)*B10,0))</f>
        <v>278</v>
      </c>
      <c r="C11" cm="1">
        <f t="array" ref="C11">_xlfn.IFS(YEAR($A11)&lt;=2009,ROUNDDOWN(C10+VLOOKUP(C$1,$J$1:$K$5,2,FALSE)*C10,0),YEAR($A11)=2010,C10,YEAR($A11)&gt;2010,ROUNDDOWN(C10-VLOOKUP(C$1,$J$1:$L$5,3,FALSE)*C10,0))</f>
        <v>247</v>
      </c>
      <c r="D11" cm="1">
        <f t="array" ref="D11">_xlfn.IFS(YEAR($A11)&lt;=2009,ROUNDDOWN(D10+VLOOKUP(D$1,$J$1:$K$5,2,FALSE)*D10,0),YEAR($A11)=2010,D10,YEAR($A11)&gt;2010,ROUNDDOWN(D10-VLOOKUP(D$1,$J$1:$L$5,3,FALSE)*D10,0))</f>
        <v>265</v>
      </c>
      <c r="E11" cm="1">
        <f t="array" ref="E11">_xlfn.IFS(YEAR($A11)&lt;=2009,ROUNDDOWN(E10+VLOOKUP(E$1,$J$1:$K$5,2,FALSE)*E10,0),YEAR($A11)=2010,E10,YEAR($A11)&gt;2010,ROUNDDOWN(E10-VLOOKUP(E$1,$J$1:$L$5,3,FALSE)*E10,0))</f>
        <v>368</v>
      </c>
    </row>
    <row r="12" spans="1:12" x14ac:dyDescent="0.25">
      <c r="A12" s="3">
        <v>39355</v>
      </c>
      <c r="B12" cm="1">
        <f t="array" ref="B12">_xlfn.IFS(YEAR($A12)&lt;=2009,ROUNDDOWN(B11+VLOOKUP(B$1,$J$1:$K$5,2,FALSE)*B11,0),YEAR($A12)=2010,B11,YEAR($A12)&gt;2010,ROUNDDOWN(B11-VLOOKUP(B$1,$J$1:$L$5,3,FALSE)*B11,0))</f>
        <v>283</v>
      </c>
      <c r="C12" cm="1">
        <f t="array" ref="C12">_xlfn.IFS(YEAR($A12)&lt;=2009,ROUNDDOWN(C11+VLOOKUP(C$1,$J$1:$K$5,2,FALSE)*C11,0),YEAR($A12)=2010,C11,YEAR($A12)&gt;2010,ROUNDDOWN(C11-VLOOKUP(C$1,$J$1:$L$5,3,FALSE)*C11,0))</f>
        <v>253</v>
      </c>
      <c r="D12" cm="1">
        <f t="array" ref="D12">_xlfn.IFS(YEAR($A12)&lt;=2009,ROUNDDOWN(D11+VLOOKUP(D$1,$J$1:$K$5,2,FALSE)*D11,0),YEAR($A12)=2010,D11,YEAR($A12)&gt;2010,ROUNDDOWN(D11-VLOOKUP(D$1,$J$1:$L$5,3,FALSE)*D11,0))</f>
        <v>272</v>
      </c>
      <c r="E12" cm="1">
        <f t="array" ref="E12">_xlfn.IFS(YEAR($A12)&lt;=2009,ROUNDDOWN(E11+VLOOKUP(E$1,$J$1:$K$5,2,FALSE)*E11,0),YEAR($A12)=2010,E11,YEAR($A12)&gt;2010,ROUNDDOWN(E11-VLOOKUP(E$1,$J$1:$L$5,3,FALSE)*E11,0))</f>
        <v>375</v>
      </c>
    </row>
    <row r="13" spans="1:12" x14ac:dyDescent="0.25">
      <c r="A13" s="3">
        <v>39447</v>
      </c>
      <c r="B13" cm="1">
        <f t="array" ref="B13">_xlfn.IFS(YEAR($A13)&lt;=2009,ROUNDDOWN(B12+VLOOKUP(B$1,$J$1:$K$5,2,FALSE)*B12,0),YEAR($A13)=2010,B12,YEAR($A13)&gt;2010,ROUNDDOWN(B12-VLOOKUP(B$1,$J$1:$L$5,3,FALSE)*B12,0))</f>
        <v>288</v>
      </c>
      <c r="C13" cm="1">
        <f t="array" ref="C13">_xlfn.IFS(YEAR($A13)&lt;=2009,ROUNDDOWN(C12+VLOOKUP(C$1,$J$1:$K$5,2,FALSE)*C12,0),YEAR($A13)=2010,C12,YEAR($A13)&gt;2010,ROUNDDOWN(C12-VLOOKUP(C$1,$J$1:$L$5,3,FALSE)*C12,0))</f>
        <v>259</v>
      </c>
      <c r="D13" cm="1">
        <f t="array" ref="D13">_xlfn.IFS(YEAR($A13)&lt;=2009,ROUNDDOWN(D12+VLOOKUP(D$1,$J$1:$K$5,2,FALSE)*D12,0),YEAR($A13)=2010,D12,YEAR($A13)&gt;2010,ROUNDDOWN(D12-VLOOKUP(D$1,$J$1:$L$5,3,FALSE)*D12,0))</f>
        <v>280</v>
      </c>
      <c r="E13" cm="1">
        <f t="array" ref="E13">_xlfn.IFS(YEAR($A13)&lt;=2009,ROUNDDOWN(E12+VLOOKUP(E$1,$J$1:$K$5,2,FALSE)*E12,0),YEAR($A13)=2010,E12,YEAR($A13)&gt;2010,ROUNDDOWN(E12-VLOOKUP(E$1,$J$1:$L$5,3,FALSE)*E12,0))</f>
        <v>382</v>
      </c>
    </row>
    <row r="14" spans="1:12" x14ac:dyDescent="0.25">
      <c r="A14" s="3">
        <v>39538</v>
      </c>
      <c r="B14" cm="1">
        <f t="array" ref="B14">_xlfn.IFS(YEAR($A14)&lt;=2009,ROUNDDOWN(B13+VLOOKUP(B$1,$J$1:$K$5,2,FALSE)*B13,0),YEAR($A14)=2010,B13,YEAR($A14)&gt;2010,ROUNDDOWN(B13-VLOOKUP(B$1,$J$1:$L$5,3,FALSE)*B13,0))</f>
        <v>293</v>
      </c>
      <c r="C14" cm="1">
        <f t="array" ref="C14">_xlfn.IFS(YEAR($A14)&lt;=2009,ROUNDDOWN(C13+VLOOKUP(C$1,$J$1:$K$5,2,FALSE)*C13,0),YEAR($A14)=2010,C13,YEAR($A14)&gt;2010,ROUNDDOWN(C13-VLOOKUP(C$1,$J$1:$L$5,3,FALSE)*C13,0))</f>
        <v>265</v>
      </c>
      <c r="D14" cm="1">
        <f t="array" ref="D14">_xlfn.IFS(YEAR($A14)&lt;=2009,ROUNDDOWN(D13+VLOOKUP(D$1,$J$1:$K$5,2,FALSE)*D13,0),YEAR($A14)=2010,D13,YEAR($A14)&gt;2010,ROUNDDOWN(D13-VLOOKUP(D$1,$J$1:$L$5,3,FALSE)*D13,0))</f>
        <v>288</v>
      </c>
      <c r="E14" cm="1">
        <f t="array" ref="E14">_xlfn.IFS(YEAR($A14)&lt;=2009,ROUNDDOWN(E13+VLOOKUP(E$1,$J$1:$K$5,2,FALSE)*E13,0),YEAR($A14)=2010,E13,YEAR($A14)&gt;2010,ROUNDDOWN(E13-VLOOKUP(E$1,$J$1:$L$5,3,FALSE)*E13,0))</f>
        <v>389</v>
      </c>
    </row>
    <row r="15" spans="1:12" x14ac:dyDescent="0.25">
      <c r="A15" s="3">
        <v>39629</v>
      </c>
      <c r="B15" cm="1">
        <f t="array" ref="B15">_xlfn.IFS(YEAR($A15)&lt;=2009,ROUNDDOWN(B14+VLOOKUP(B$1,$J$1:$K$5,2,FALSE)*B14,0),YEAR($A15)=2010,B14,YEAR($A15)&gt;2010,ROUNDDOWN(B14-VLOOKUP(B$1,$J$1:$L$5,3,FALSE)*B14,0))</f>
        <v>298</v>
      </c>
      <c r="C15" cm="1">
        <f t="array" ref="C15">_xlfn.IFS(YEAR($A15)&lt;=2009,ROUNDDOWN(C14+VLOOKUP(C$1,$J$1:$K$5,2,FALSE)*C14,0),YEAR($A15)=2010,C14,YEAR($A15)&gt;2010,ROUNDDOWN(C14-VLOOKUP(C$1,$J$1:$L$5,3,FALSE)*C14,0))</f>
        <v>272</v>
      </c>
      <c r="D15" cm="1">
        <f t="array" ref="D15">_xlfn.IFS(YEAR($A15)&lt;=2009,ROUNDDOWN(D14+VLOOKUP(D$1,$J$1:$K$5,2,FALSE)*D14,0),YEAR($A15)=2010,D14,YEAR($A15)&gt;2010,ROUNDDOWN(D14-VLOOKUP(D$1,$J$1:$L$5,3,FALSE)*D14,0))</f>
        <v>296</v>
      </c>
      <c r="E15" cm="1">
        <f t="array" ref="E15">_xlfn.IFS(YEAR($A15)&lt;=2009,ROUNDDOWN(E14+VLOOKUP(E$1,$J$1:$K$5,2,FALSE)*E14,0),YEAR($A15)=2010,E14,YEAR($A15)&gt;2010,ROUNDDOWN(E14-VLOOKUP(E$1,$J$1:$L$5,3,FALSE)*E14,0))</f>
        <v>396</v>
      </c>
    </row>
    <row r="16" spans="1:12" x14ac:dyDescent="0.25">
      <c r="A16" s="3">
        <v>39721</v>
      </c>
      <c r="B16" cm="1">
        <f t="array" ref="B16">_xlfn.IFS(YEAR($A16)&lt;=2009,ROUNDDOWN(B15+VLOOKUP(B$1,$J$1:$K$5,2,FALSE)*B15,0),YEAR($A16)=2010,B15,YEAR($A16)&gt;2010,ROUNDDOWN(B15-VLOOKUP(B$1,$J$1:$L$5,3,FALSE)*B15,0))</f>
        <v>303</v>
      </c>
      <c r="C16" cm="1">
        <f t="array" ref="C16">_xlfn.IFS(YEAR($A16)&lt;=2009,ROUNDDOWN(C15+VLOOKUP(C$1,$J$1:$K$5,2,FALSE)*C15,0),YEAR($A16)=2010,C15,YEAR($A16)&gt;2010,ROUNDDOWN(C15-VLOOKUP(C$1,$J$1:$L$5,3,FALSE)*C15,0))</f>
        <v>279</v>
      </c>
      <c r="D16" cm="1">
        <f t="array" ref="D16">_xlfn.IFS(YEAR($A16)&lt;=2009,ROUNDDOWN(D15+VLOOKUP(D$1,$J$1:$K$5,2,FALSE)*D15,0),YEAR($A16)=2010,D15,YEAR($A16)&gt;2010,ROUNDDOWN(D15-VLOOKUP(D$1,$J$1:$L$5,3,FALSE)*D15,0))</f>
        <v>304</v>
      </c>
      <c r="E16" cm="1">
        <f t="array" ref="E16">_xlfn.IFS(YEAR($A16)&lt;=2009,ROUNDDOWN(E15+VLOOKUP(E$1,$J$1:$K$5,2,FALSE)*E15,0),YEAR($A16)=2010,E15,YEAR($A16)&gt;2010,ROUNDDOWN(E15-VLOOKUP(E$1,$J$1:$L$5,3,FALSE)*E15,0))</f>
        <v>403</v>
      </c>
    </row>
    <row r="17" spans="1:5" x14ac:dyDescent="0.25">
      <c r="A17" s="3">
        <v>39813</v>
      </c>
      <c r="B17" cm="1">
        <f t="array" ref="B17">_xlfn.IFS(YEAR($A17)&lt;=2009,ROUNDDOWN(B16+VLOOKUP(B$1,$J$1:$K$5,2,FALSE)*B16,0),YEAR($A17)=2010,B16,YEAR($A17)&gt;2010,ROUNDDOWN(B16-VLOOKUP(B$1,$J$1:$L$5,3,FALSE)*B16,0))</f>
        <v>309</v>
      </c>
      <c r="C17" cm="1">
        <f t="array" ref="C17">_xlfn.IFS(YEAR($A17)&lt;=2009,ROUNDDOWN(C16+VLOOKUP(C$1,$J$1:$K$5,2,FALSE)*C16,0),YEAR($A17)=2010,C16,YEAR($A17)&gt;2010,ROUNDDOWN(C16-VLOOKUP(C$1,$J$1:$L$5,3,FALSE)*C16,0))</f>
        <v>286</v>
      </c>
      <c r="D17" cm="1">
        <f t="array" ref="D17">_xlfn.IFS(YEAR($A17)&lt;=2009,ROUNDDOWN(D16+VLOOKUP(D$1,$J$1:$K$5,2,FALSE)*D16,0),YEAR($A17)=2010,D16,YEAR($A17)&gt;2010,ROUNDDOWN(D16-VLOOKUP(D$1,$J$1:$L$5,3,FALSE)*D16,0))</f>
        <v>313</v>
      </c>
      <c r="E17" cm="1">
        <f t="array" ref="E17">_xlfn.IFS(YEAR($A17)&lt;=2009,ROUNDDOWN(E16+VLOOKUP(E$1,$J$1:$K$5,2,FALSE)*E16,0),YEAR($A17)=2010,E16,YEAR($A17)&gt;2010,ROUNDDOWN(E16-VLOOKUP(E$1,$J$1:$L$5,3,FALSE)*E16,0))</f>
        <v>411</v>
      </c>
    </row>
    <row r="18" spans="1:5" x14ac:dyDescent="0.25">
      <c r="A18" s="3">
        <v>39903</v>
      </c>
      <c r="B18" cm="1">
        <f t="array" ref="B18">_xlfn.IFS(YEAR($A18)&lt;=2009,ROUNDDOWN(B17+VLOOKUP(B$1,$J$1:$K$5,2,FALSE)*B17,0),YEAR($A18)=2010,B17,YEAR($A18)&gt;2010,ROUNDDOWN(B17-VLOOKUP(B$1,$J$1:$L$5,3,FALSE)*B17,0))</f>
        <v>315</v>
      </c>
      <c r="C18" cm="1">
        <f t="array" ref="C18">_xlfn.IFS(YEAR($A18)&lt;=2009,ROUNDDOWN(C17+VLOOKUP(C$1,$J$1:$K$5,2,FALSE)*C17,0),YEAR($A18)=2010,C17,YEAR($A18)&gt;2010,ROUNDDOWN(C17-VLOOKUP(C$1,$J$1:$L$5,3,FALSE)*C17,0))</f>
        <v>293</v>
      </c>
      <c r="D18" cm="1">
        <f t="array" ref="D18">_xlfn.IFS(YEAR($A18)&lt;=2009,ROUNDDOWN(D17+VLOOKUP(D$1,$J$1:$K$5,2,FALSE)*D17,0),YEAR($A18)=2010,D17,YEAR($A18)&gt;2010,ROUNDDOWN(D17-VLOOKUP(D$1,$J$1:$L$5,3,FALSE)*D17,0))</f>
        <v>322</v>
      </c>
      <c r="E18" cm="1">
        <f t="array" ref="E18">_xlfn.IFS(YEAR($A18)&lt;=2009,ROUNDDOWN(E17+VLOOKUP(E$1,$J$1:$K$5,2,FALSE)*E17,0),YEAR($A18)=2010,E17,YEAR($A18)&gt;2010,ROUNDDOWN(E17-VLOOKUP(E$1,$J$1:$L$5,3,FALSE)*E17,0))</f>
        <v>419</v>
      </c>
    </row>
    <row r="19" spans="1:5" x14ac:dyDescent="0.25">
      <c r="A19" s="3">
        <v>39994</v>
      </c>
      <c r="B19" cm="1">
        <f t="array" ref="B19">_xlfn.IFS(YEAR($A19)&lt;=2009,ROUNDDOWN(B18+VLOOKUP(B$1,$J$1:$K$5,2,FALSE)*B18,0),YEAR($A19)=2010,B18,YEAR($A19)&gt;2010,ROUNDDOWN(B18-VLOOKUP(B$1,$J$1:$L$5,3,FALSE)*B18,0))</f>
        <v>321</v>
      </c>
      <c r="C19" cm="1">
        <f t="array" ref="C19">_xlfn.IFS(YEAR($A19)&lt;=2009,ROUNDDOWN(C18+VLOOKUP(C$1,$J$1:$K$5,2,FALSE)*C18,0),YEAR($A19)=2010,C18,YEAR($A19)&gt;2010,ROUNDDOWN(C18-VLOOKUP(C$1,$J$1:$L$5,3,FALSE)*C18,0))</f>
        <v>300</v>
      </c>
      <c r="D19" cm="1">
        <f t="array" ref="D19">_xlfn.IFS(YEAR($A19)&lt;=2009,ROUNDDOWN(D18+VLOOKUP(D$1,$J$1:$K$5,2,FALSE)*D18,0),YEAR($A19)=2010,D18,YEAR($A19)&gt;2010,ROUNDDOWN(D18-VLOOKUP(D$1,$J$1:$L$5,3,FALSE)*D18,0))</f>
        <v>331</v>
      </c>
      <c r="E19" cm="1">
        <f t="array" ref="E19">_xlfn.IFS(YEAR($A19)&lt;=2009,ROUNDDOWN(E18+VLOOKUP(E$1,$J$1:$K$5,2,FALSE)*E18,0),YEAR($A19)=2010,E18,YEAR($A19)&gt;2010,ROUNDDOWN(E18-VLOOKUP(E$1,$J$1:$L$5,3,FALSE)*E18,0))</f>
        <v>427</v>
      </c>
    </row>
    <row r="20" spans="1:5" x14ac:dyDescent="0.25">
      <c r="A20" s="3">
        <v>40086</v>
      </c>
      <c r="B20" cm="1">
        <f t="array" ref="B20">_xlfn.IFS(YEAR($A20)&lt;=2009,ROUNDDOWN(B19+VLOOKUP(B$1,$J$1:$K$5,2,FALSE)*B19,0),YEAR($A20)=2010,B19,YEAR($A20)&gt;2010,ROUNDDOWN(B19-VLOOKUP(B$1,$J$1:$L$5,3,FALSE)*B19,0))</f>
        <v>327</v>
      </c>
      <c r="C20" cm="1">
        <f t="array" ref="C20">_xlfn.IFS(YEAR($A20)&lt;=2009,ROUNDDOWN(C19+VLOOKUP(C$1,$J$1:$K$5,2,FALSE)*C19,0),YEAR($A20)=2010,C19,YEAR($A20)&gt;2010,ROUNDDOWN(C19-VLOOKUP(C$1,$J$1:$L$5,3,FALSE)*C19,0))</f>
        <v>308</v>
      </c>
      <c r="D20" cm="1">
        <f t="array" ref="D20">_xlfn.IFS(YEAR($A20)&lt;=2009,ROUNDDOWN(D19+VLOOKUP(D$1,$J$1:$K$5,2,FALSE)*D19,0),YEAR($A20)=2010,D19,YEAR($A20)&gt;2010,ROUNDDOWN(D19-VLOOKUP(D$1,$J$1:$L$5,3,FALSE)*D19,0))</f>
        <v>340</v>
      </c>
      <c r="E20" cm="1">
        <f t="array" ref="E20">_xlfn.IFS(YEAR($A20)&lt;=2009,ROUNDDOWN(E19+VLOOKUP(E$1,$J$1:$K$5,2,FALSE)*E19,0),YEAR($A20)=2010,E19,YEAR($A20)&gt;2010,ROUNDDOWN(E19-VLOOKUP(E$1,$J$1:$L$5,3,FALSE)*E19,0))</f>
        <v>435</v>
      </c>
    </row>
    <row r="21" spans="1:5" x14ac:dyDescent="0.25">
      <c r="A21" s="3">
        <v>40178</v>
      </c>
      <c r="B21" cm="1">
        <f t="array" ref="B21">_xlfn.IFS(YEAR($A21)&lt;=2009,ROUNDDOWN(B20+VLOOKUP(B$1,$J$1:$K$5,2,FALSE)*B20,0),YEAR($A21)=2010,B20,YEAR($A21)&gt;2010,ROUNDDOWN(B20-VLOOKUP(B$1,$J$1:$L$5,3,FALSE)*B20,0))</f>
        <v>333</v>
      </c>
      <c r="C21" cm="1">
        <f t="array" ref="C21">_xlfn.IFS(YEAR($A21)&lt;=2009,ROUNDDOWN(C20+VLOOKUP(C$1,$J$1:$K$5,2,FALSE)*C20,0),YEAR($A21)=2010,C20,YEAR($A21)&gt;2010,ROUNDDOWN(C20-VLOOKUP(C$1,$J$1:$L$5,3,FALSE)*C20,0))</f>
        <v>316</v>
      </c>
      <c r="D21" cm="1">
        <f t="array" ref="D21">_xlfn.IFS(YEAR($A21)&lt;=2009,ROUNDDOWN(D20+VLOOKUP(D$1,$J$1:$K$5,2,FALSE)*D20,0),YEAR($A21)=2010,D20,YEAR($A21)&gt;2010,ROUNDDOWN(D20-VLOOKUP(D$1,$J$1:$L$5,3,FALSE)*D20,0))</f>
        <v>350</v>
      </c>
      <c r="E21" cm="1">
        <f t="array" ref="E21">_xlfn.IFS(YEAR($A21)&lt;=2009,ROUNDDOWN(E20+VLOOKUP(E$1,$J$1:$K$5,2,FALSE)*E20,0),YEAR($A21)=2010,E20,YEAR($A21)&gt;2010,ROUNDDOWN(E20-VLOOKUP(E$1,$J$1:$L$5,3,FALSE)*E20,0))</f>
        <v>443</v>
      </c>
    </row>
    <row r="22" spans="1:5" x14ac:dyDescent="0.25">
      <c r="A22" s="3">
        <v>40268</v>
      </c>
      <c r="B22" cm="1">
        <f t="array" ref="B22">_xlfn.IFS(YEAR($A22)&lt;=2009,ROUNDDOWN(B21+VLOOKUP(B$1,$J$1:$K$5,2,FALSE)*B21,0),YEAR($A22)=2010,B21,YEAR($A22)&gt;2010,ROUNDDOWN(B21-VLOOKUP(B$1,$J$1:$L$5,3,FALSE)*B21,0))</f>
        <v>333</v>
      </c>
      <c r="C22" cm="1">
        <f t="array" ref="C22">_xlfn.IFS(YEAR($A22)&lt;=2009,ROUNDDOWN(C21+VLOOKUP(C$1,$J$1:$K$5,2,FALSE)*C21,0),YEAR($A22)=2010,C21,YEAR($A22)&gt;2010,ROUNDDOWN(C21-VLOOKUP(C$1,$J$1:$L$5,3,FALSE)*C21,0))</f>
        <v>316</v>
      </c>
      <c r="D22" cm="1">
        <f t="array" ref="D22">_xlfn.IFS(YEAR($A22)&lt;=2009,ROUNDDOWN(D21+VLOOKUP(D$1,$J$1:$K$5,2,FALSE)*D21,0),YEAR($A22)=2010,D21,YEAR($A22)&gt;2010,ROUNDDOWN(D21-VLOOKUP(D$1,$J$1:$L$5,3,FALSE)*D21,0))</f>
        <v>350</v>
      </c>
      <c r="E22" cm="1">
        <f t="array" ref="E22">_xlfn.IFS(YEAR($A22)&lt;=2009,ROUNDDOWN(E21+VLOOKUP(E$1,$J$1:$K$5,2,FALSE)*E21,0),YEAR($A22)=2010,E21,YEAR($A22)&gt;2010,ROUNDDOWN(E21-VLOOKUP(E$1,$J$1:$L$5,3,FALSE)*E21,0))</f>
        <v>443</v>
      </c>
    </row>
    <row r="23" spans="1:5" x14ac:dyDescent="0.25">
      <c r="A23" s="3">
        <v>40359</v>
      </c>
      <c r="B23" cm="1">
        <f t="array" ref="B23">_xlfn.IFS(YEAR($A23)&lt;=2009,ROUNDDOWN(B22+VLOOKUP(B$1,$J$1:$K$5,2,FALSE)*B22,0),YEAR($A23)=2010,B22,YEAR($A23)&gt;2010,ROUNDDOWN(B22-VLOOKUP(B$1,$J$1:$L$5,3,FALSE)*B22,0))</f>
        <v>333</v>
      </c>
      <c r="C23" cm="1">
        <f t="array" ref="C23">_xlfn.IFS(YEAR($A23)&lt;=2009,ROUNDDOWN(C22+VLOOKUP(C$1,$J$1:$K$5,2,FALSE)*C22,0),YEAR($A23)=2010,C22,YEAR($A23)&gt;2010,ROUNDDOWN(C22-VLOOKUP(C$1,$J$1:$L$5,3,FALSE)*C22,0))</f>
        <v>316</v>
      </c>
      <c r="D23" cm="1">
        <f t="array" ref="D23">_xlfn.IFS(YEAR($A23)&lt;=2009,ROUNDDOWN(D22+VLOOKUP(D$1,$J$1:$K$5,2,FALSE)*D22,0),YEAR($A23)=2010,D22,YEAR($A23)&gt;2010,ROUNDDOWN(D22-VLOOKUP(D$1,$J$1:$L$5,3,FALSE)*D22,0))</f>
        <v>350</v>
      </c>
      <c r="E23" cm="1">
        <f t="array" ref="E23">_xlfn.IFS(YEAR($A23)&lt;=2009,ROUNDDOWN(E22+VLOOKUP(E$1,$J$1:$K$5,2,FALSE)*E22,0),YEAR($A23)=2010,E22,YEAR($A23)&gt;2010,ROUNDDOWN(E22-VLOOKUP(E$1,$J$1:$L$5,3,FALSE)*E22,0))</f>
        <v>443</v>
      </c>
    </row>
    <row r="24" spans="1:5" x14ac:dyDescent="0.25">
      <c r="A24" s="3">
        <v>40451</v>
      </c>
      <c r="B24" cm="1">
        <f t="array" ref="B24">_xlfn.IFS(YEAR($A24)&lt;=2009,ROUNDDOWN(B23+VLOOKUP(B$1,$J$1:$K$5,2,FALSE)*B23,0),YEAR($A24)=2010,B23,YEAR($A24)&gt;2010,ROUNDDOWN(B23-VLOOKUP(B$1,$J$1:$L$5,3,FALSE)*B23,0))</f>
        <v>333</v>
      </c>
      <c r="C24" cm="1">
        <f t="array" ref="C24">_xlfn.IFS(YEAR($A24)&lt;=2009,ROUNDDOWN(C23+VLOOKUP(C$1,$J$1:$K$5,2,FALSE)*C23,0),YEAR($A24)=2010,C23,YEAR($A24)&gt;2010,ROUNDDOWN(C23-VLOOKUP(C$1,$J$1:$L$5,3,FALSE)*C23,0))</f>
        <v>316</v>
      </c>
      <c r="D24" cm="1">
        <f t="array" ref="D24">_xlfn.IFS(YEAR($A24)&lt;=2009,ROUNDDOWN(D23+VLOOKUP(D$1,$J$1:$K$5,2,FALSE)*D23,0),YEAR($A24)=2010,D23,YEAR($A24)&gt;2010,ROUNDDOWN(D23-VLOOKUP(D$1,$J$1:$L$5,3,FALSE)*D23,0))</f>
        <v>350</v>
      </c>
      <c r="E24" cm="1">
        <f t="array" ref="E24">_xlfn.IFS(YEAR($A24)&lt;=2009,ROUNDDOWN(E23+VLOOKUP(E$1,$J$1:$K$5,2,FALSE)*E23,0),YEAR($A24)=2010,E23,YEAR($A24)&gt;2010,ROUNDDOWN(E23-VLOOKUP(E$1,$J$1:$L$5,3,FALSE)*E23,0))</f>
        <v>443</v>
      </c>
    </row>
    <row r="25" spans="1:5" x14ac:dyDescent="0.25">
      <c r="A25" s="3">
        <v>40543</v>
      </c>
      <c r="B25" cm="1">
        <f t="array" ref="B25">_xlfn.IFS(YEAR($A25)&lt;=2009,ROUNDDOWN(B24+VLOOKUP(B$1,$J$1:$K$5,2,FALSE)*B24,0),YEAR($A25)=2010,B24,YEAR($A25)&gt;2010,ROUNDDOWN(B24-VLOOKUP(B$1,$J$1:$L$5,3,FALSE)*B24,0))</f>
        <v>333</v>
      </c>
      <c r="C25" cm="1">
        <f t="array" ref="C25">_xlfn.IFS(YEAR($A25)&lt;=2009,ROUNDDOWN(C24+VLOOKUP(C$1,$J$1:$K$5,2,FALSE)*C24,0),YEAR($A25)=2010,C24,YEAR($A25)&gt;2010,ROUNDDOWN(C24-VLOOKUP(C$1,$J$1:$L$5,3,FALSE)*C24,0))</f>
        <v>316</v>
      </c>
      <c r="D25" cm="1">
        <f t="array" ref="D25">_xlfn.IFS(YEAR($A25)&lt;=2009,ROUNDDOWN(D24+VLOOKUP(D$1,$J$1:$K$5,2,FALSE)*D24,0),YEAR($A25)=2010,D24,YEAR($A25)&gt;2010,ROUNDDOWN(D24-VLOOKUP(D$1,$J$1:$L$5,3,FALSE)*D24,0))</f>
        <v>350</v>
      </c>
      <c r="E25" cm="1">
        <f t="array" ref="E25">_xlfn.IFS(YEAR($A25)&lt;=2009,ROUNDDOWN(E24+VLOOKUP(E$1,$J$1:$K$5,2,FALSE)*E24,0),YEAR($A25)=2010,E24,YEAR($A25)&gt;2010,ROUNDDOWN(E24-VLOOKUP(E$1,$J$1:$L$5,3,FALSE)*E24,0))</f>
        <v>443</v>
      </c>
    </row>
    <row r="26" spans="1:5" hidden="1" x14ac:dyDescent="0.25">
      <c r="A26" s="3">
        <v>40633</v>
      </c>
      <c r="B26" cm="1">
        <f t="array" ref="B26">_xlfn.IFS(YEAR($A26)&lt;=2009,ROUNDDOWN(B25+VLOOKUP(B$1,$J$1:$K$5,2,FALSE)*B25,0),YEAR($A26)=2010,B25,YEAR($A26)&gt;2010,ROUNDDOWN(B25-VLOOKUP(B$1,$J$1:$L$5,3,FALSE)*B25,0))</f>
        <v>329</v>
      </c>
      <c r="C26" cm="1">
        <f t="array" ref="C26">_xlfn.IFS(YEAR($A26)&lt;=2009,ROUNDDOWN(C25+VLOOKUP(C$1,$J$1:$K$5,2,FALSE)*C25,0),YEAR($A26)=2010,C25,YEAR($A26)&gt;2010,ROUNDDOWN(C25-VLOOKUP(C$1,$J$1:$L$5,3,FALSE)*C25,0))</f>
        <v>312</v>
      </c>
      <c r="D26" cm="1">
        <f t="array" ref="D26">_xlfn.IFS(YEAR($A26)&lt;=2009,ROUNDDOWN(D25+VLOOKUP(D$1,$J$1:$K$5,2,FALSE)*D25,0),YEAR($A26)=2010,D25,YEAR($A26)&gt;2010,ROUNDDOWN(D25-VLOOKUP(D$1,$J$1:$L$5,3,FALSE)*D25,0))</f>
        <v>343</v>
      </c>
      <c r="E26" cm="1">
        <f t="array" ref="E26">_xlfn.IFS(YEAR($A26)&lt;=2009,ROUNDDOWN(E25+VLOOKUP(E$1,$J$1:$K$5,2,FALSE)*E25,0),YEAR($A26)=2010,E25,YEAR($A26)&gt;2010,ROUNDDOWN(E25-VLOOKUP(E$1,$J$1:$L$5,3,FALSE)*E25,0))</f>
        <v>431</v>
      </c>
    </row>
    <row r="27" spans="1:5" hidden="1" x14ac:dyDescent="0.25">
      <c r="A27" s="3">
        <v>40724</v>
      </c>
      <c r="B27" cm="1">
        <f t="array" ref="B27">_xlfn.IFS(YEAR($A27)&lt;=2009,ROUNDDOWN(B26+VLOOKUP(B$1,$J$1:$K$5,2,FALSE)*B26,0),YEAR($A27)=2010,B26,YEAR($A27)&gt;2010,ROUNDDOWN(B26-VLOOKUP(B$1,$J$1:$L$5,3,FALSE)*B26,0))</f>
        <v>325</v>
      </c>
      <c r="C27" cm="1">
        <f t="array" ref="C27">_xlfn.IFS(YEAR($A27)&lt;=2009,ROUNDDOWN(C26+VLOOKUP(C$1,$J$1:$K$5,2,FALSE)*C26,0),YEAR($A27)=2010,C26,YEAR($A27)&gt;2010,ROUNDDOWN(C26-VLOOKUP(C$1,$J$1:$L$5,3,FALSE)*C26,0))</f>
        <v>308</v>
      </c>
      <c r="D27" cm="1">
        <f t="array" ref="D27">_xlfn.IFS(YEAR($A27)&lt;=2009,ROUNDDOWN(D26+VLOOKUP(D$1,$J$1:$K$5,2,FALSE)*D26,0),YEAR($A27)=2010,D26,YEAR($A27)&gt;2010,ROUNDDOWN(D26-VLOOKUP(D$1,$J$1:$L$5,3,FALSE)*D26,0))</f>
        <v>336</v>
      </c>
      <c r="E27" cm="1">
        <f t="array" ref="E27">_xlfn.IFS(YEAR($A27)&lt;=2009,ROUNDDOWN(E26+VLOOKUP(E$1,$J$1:$K$5,2,FALSE)*E26,0),YEAR($A27)=2010,E26,YEAR($A27)&gt;2010,ROUNDDOWN(E26-VLOOKUP(E$1,$J$1:$L$5,3,FALSE)*E26,0))</f>
        <v>420</v>
      </c>
    </row>
    <row r="28" spans="1:5" hidden="1" x14ac:dyDescent="0.25">
      <c r="A28" s="3">
        <v>40816</v>
      </c>
      <c r="B28" cm="1">
        <f t="array" ref="B28">_xlfn.IFS(YEAR($A28)&lt;=2009,ROUNDDOWN(B27+VLOOKUP(B$1,$J$1:$K$5,2,FALSE)*B27,0),YEAR($A28)=2010,B27,YEAR($A28)&gt;2010,ROUNDDOWN(B27-VLOOKUP(B$1,$J$1:$L$5,3,FALSE)*B27,0))</f>
        <v>321</v>
      </c>
      <c r="C28" cm="1">
        <f t="array" ref="C28">_xlfn.IFS(YEAR($A28)&lt;=2009,ROUNDDOWN(C27+VLOOKUP(C$1,$J$1:$K$5,2,FALSE)*C27,0),YEAR($A28)=2010,C27,YEAR($A28)&gt;2010,ROUNDDOWN(C27-VLOOKUP(C$1,$J$1:$L$5,3,FALSE)*C27,0))</f>
        <v>304</v>
      </c>
      <c r="D28" cm="1">
        <f t="array" ref="D28">_xlfn.IFS(YEAR($A28)&lt;=2009,ROUNDDOWN(D27+VLOOKUP(D$1,$J$1:$K$5,2,FALSE)*D27,0),YEAR($A28)=2010,D27,YEAR($A28)&gt;2010,ROUNDDOWN(D27-VLOOKUP(D$1,$J$1:$L$5,3,FALSE)*D27,0))</f>
        <v>329</v>
      </c>
      <c r="E28" cm="1">
        <f t="array" ref="E28">_xlfn.IFS(YEAR($A28)&lt;=2009,ROUNDDOWN(E27+VLOOKUP(E$1,$J$1:$K$5,2,FALSE)*E27,0),YEAR($A28)=2010,E27,YEAR($A28)&gt;2010,ROUNDDOWN(E27-VLOOKUP(E$1,$J$1:$L$5,3,FALSE)*E27,0))</f>
        <v>409</v>
      </c>
    </row>
    <row r="29" spans="1:5" hidden="1" x14ac:dyDescent="0.25">
      <c r="A29" s="3">
        <v>40908</v>
      </c>
      <c r="B29" cm="1">
        <f t="array" ref="B29">_xlfn.IFS(YEAR($A29)&lt;=2009,ROUNDDOWN(B28+VLOOKUP(B$1,$J$1:$K$5,2,FALSE)*B28,0),YEAR($A29)=2010,B28,YEAR($A29)&gt;2010,ROUNDDOWN(B28-VLOOKUP(B$1,$J$1:$L$5,3,FALSE)*B28,0))</f>
        <v>317</v>
      </c>
      <c r="C29" cm="1">
        <f t="array" ref="C29">_xlfn.IFS(YEAR($A29)&lt;=2009,ROUNDDOWN(C28+VLOOKUP(C$1,$J$1:$K$5,2,FALSE)*C28,0),YEAR($A29)=2010,C28,YEAR($A29)&gt;2010,ROUNDDOWN(C28-VLOOKUP(C$1,$J$1:$L$5,3,FALSE)*C28,0))</f>
        <v>300</v>
      </c>
      <c r="D29" cm="1">
        <f t="array" ref="D29">_xlfn.IFS(YEAR($A29)&lt;=2009,ROUNDDOWN(D28+VLOOKUP(D$1,$J$1:$K$5,2,FALSE)*D28,0),YEAR($A29)=2010,D28,YEAR($A29)&gt;2010,ROUNDDOWN(D28-VLOOKUP(D$1,$J$1:$L$5,3,FALSE)*D28,0))</f>
        <v>322</v>
      </c>
      <c r="E29" cm="1">
        <f t="array" ref="E29">_xlfn.IFS(YEAR($A29)&lt;=2009,ROUNDDOWN(E28+VLOOKUP(E$1,$J$1:$K$5,2,FALSE)*E28,0),YEAR($A29)=2010,E28,YEAR($A29)&gt;2010,ROUNDDOWN(E28-VLOOKUP(E$1,$J$1:$L$5,3,FALSE)*E28,0))</f>
        <v>398</v>
      </c>
    </row>
    <row r="30" spans="1:5" hidden="1" x14ac:dyDescent="0.25">
      <c r="A30" s="3">
        <v>40999</v>
      </c>
      <c r="B30" cm="1">
        <f t="array" ref="B30">_xlfn.IFS(YEAR($A30)&lt;=2009,ROUNDDOWN(B29+VLOOKUP(B$1,$J$1:$K$5,2,FALSE)*B29,0),YEAR($A30)=2010,B29,YEAR($A30)&gt;2010,ROUNDDOWN(B29-VLOOKUP(B$1,$J$1:$L$5,3,FALSE)*B29,0))</f>
        <v>313</v>
      </c>
      <c r="C30" cm="1">
        <f t="array" ref="C30">_xlfn.IFS(YEAR($A30)&lt;=2009,ROUNDDOWN(C29+VLOOKUP(C$1,$J$1:$K$5,2,FALSE)*C29,0),YEAR($A30)=2010,C29,YEAR($A30)&gt;2010,ROUNDDOWN(C29-VLOOKUP(C$1,$J$1:$L$5,3,FALSE)*C29,0))</f>
        <v>296</v>
      </c>
      <c r="D30" cm="1">
        <f t="array" ref="D30">_xlfn.IFS(YEAR($A30)&lt;=2009,ROUNDDOWN(D29+VLOOKUP(D$1,$J$1:$K$5,2,FALSE)*D29,0),YEAR($A30)=2010,D29,YEAR($A30)&gt;2010,ROUNDDOWN(D29-VLOOKUP(D$1,$J$1:$L$5,3,FALSE)*D29,0))</f>
        <v>315</v>
      </c>
      <c r="E30" cm="1">
        <f t="array" ref="E30">_xlfn.IFS(YEAR($A30)&lt;=2009,ROUNDDOWN(E29+VLOOKUP(E$1,$J$1:$K$5,2,FALSE)*E29,0),YEAR($A30)=2010,E29,YEAR($A30)&gt;2010,ROUNDDOWN(E29-VLOOKUP(E$1,$J$1:$L$5,3,FALSE)*E29,0))</f>
        <v>388</v>
      </c>
    </row>
    <row r="31" spans="1:5" hidden="1" x14ac:dyDescent="0.25">
      <c r="A31" s="3">
        <v>41090</v>
      </c>
      <c r="B31" cm="1">
        <f t="array" ref="B31">_xlfn.IFS(YEAR($A31)&lt;=2009,ROUNDDOWN(B30+VLOOKUP(B$1,$J$1:$K$5,2,FALSE)*B30,0),YEAR($A31)=2010,B30,YEAR($A31)&gt;2010,ROUNDDOWN(B30-VLOOKUP(B$1,$J$1:$L$5,3,FALSE)*B30,0))</f>
        <v>309</v>
      </c>
      <c r="C31" cm="1">
        <f t="array" ref="C31">_xlfn.IFS(YEAR($A31)&lt;=2009,ROUNDDOWN(C30+VLOOKUP(C$1,$J$1:$K$5,2,FALSE)*C30,0),YEAR($A31)=2010,C30,YEAR($A31)&gt;2010,ROUNDDOWN(C30-VLOOKUP(C$1,$J$1:$L$5,3,FALSE)*C30,0))</f>
        <v>292</v>
      </c>
      <c r="D31" cm="1">
        <f t="array" ref="D31">_xlfn.IFS(YEAR($A31)&lt;=2009,ROUNDDOWN(D30+VLOOKUP(D$1,$J$1:$K$5,2,FALSE)*D30,0),YEAR($A31)=2010,D30,YEAR($A31)&gt;2010,ROUNDDOWN(D30-VLOOKUP(D$1,$J$1:$L$5,3,FALSE)*D30,0))</f>
        <v>309</v>
      </c>
      <c r="E31" cm="1">
        <f t="array" ref="E31">_xlfn.IFS(YEAR($A31)&lt;=2009,ROUNDDOWN(E30+VLOOKUP(E$1,$J$1:$K$5,2,FALSE)*E30,0),YEAR($A31)=2010,E30,YEAR($A31)&gt;2010,ROUNDDOWN(E30-VLOOKUP(E$1,$J$1:$L$5,3,FALSE)*E30,0))</f>
        <v>378</v>
      </c>
    </row>
    <row r="32" spans="1:5" hidden="1" x14ac:dyDescent="0.25">
      <c r="A32" s="3">
        <v>41182</v>
      </c>
      <c r="B32" cm="1">
        <f t="array" ref="B32">_xlfn.IFS(YEAR($A32)&lt;=2009,ROUNDDOWN(B31+VLOOKUP(B$1,$J$1:$K$5,2,FALSE)*B31,0),YEAR($A32)=2010,B31,YEAR($A32)&gt;2010,ROUNDDOWN(B31-VLOOKUP(B$1,$J$1:$L$5,3,FALSE)*B31,0))</f>
        <v>305</v>
      </c>
      <c r="C32" cm="1">
        <f t="array" ref="C32">_xlfn.IFS(YEAR($A32)&lt;=2009,ROUNDDOWN(C31+VLOOKUP(C$1,$J$1:$K$5,2,FALSE)*C31,0),YEAR($A32)=2010,C31,YEAR($A32)&gt;2010,ROUNDDOWN(C31-VLOOKUP(C$1,$J$1:$L$5,3,FALSE)*C31,0))</f>
        <v>288</v>
      </c>
      <c r="D32" cm="1">
        <f t="array" ref="D32">_xlfn.IFS(YEAR($A32)&lt;=2009,ROUNDDOWN(D31+VLOOKUP(D$1,$J$1:$K$5,2,FALSE)*D31,0),YEAR($A32)=2010,D31,YEAR($A32)&gt;2010,ROUNDDOWN(D31-VLOOKUP(D$1,$J$1:$L$5,3,FALSE)*D31,0))</f>
        <v>303</v>
      </c>
      <c r="E32" cm="1">
        <f t="array" ref="E32">_xlfn.IFS(YEAR($A32)&lt;=2009,ROUNDDOWN(E31+VLOOKUP(E$1,$J$1:$K$5,2,FALSE)*E31,0),YEAR($A32)=2010,E31,YEAR($A32)&gt;2010,ROUNDDOWN(E31-VLOOKUP(E$1,$J$1:$L$5,3,FALSE)*E31,0))</f>
        <v>368</v>
      </c>
    </row>
    <row r="33" spans="1:5" hidden="1" x14ac:dyDescent="0.25">
      <c r="A33" s="3">
        <v>41274</v>
      </c>
      <c r="B33" cm="1">
        <f t="array" ref="B33">_xlfn.IFS(YEAR($A33)&lt;=2009,ROUNDDOWN(B32+VLOOKUP(B$1,$J$1:$K$5,2,FALSE)*B32,0),YEAR($A33)=2010,B32,YEAR($A33)&gt;2010,ROUNDDOWN(B32-VLOOKUP(B$1,$J$1:$L$5,3,FALSE)*B32,0))</f>
        <v>301</v>
      </c>
      <c r="C33" cm="1">
        <f t="array" ref="C33">_xlfn.IFS(YEAR($A33)&lt;=2009,ROUNDDOWN(C32+VLOOKUP(C$1,$J$1:$K$5,2,FALSE)*C32,0),YEAR($A33)=2010,C32,YEAR($A33)&gt;2010,ROUNDDOWN(C32-VLOOKUP(C$1,$J$1:$L$5,3,FALSE)*C32,0))</f>
        <v>284</v>
      </c>
      <c r="D33" cm="1">
        <f t="array" ref="D33">_xlfn.IFS(YEAR($A33)&lt;=2009,ROUNDDOWN(D32+VLOOKUP(D$1,$J$1:$K$5,2,FALSE)*D32,0),YEAR($A33)=2010,D32,YEAR($A33)&gt;2010,ROUNDDOWN(D32-VLOOKUP(D$1,$J$1:$L$5,3,FALSE)*D32,0))</f>
        <v>297</v>
      </c>
      <c r="E33" cm="1">
        <f t="array" ref="E33">_xlfn.IFS(YEAR($A33)&lt;=2009,ROUNDDOWN(E32+VLOOKUP(E$1,$J$1:$K$5,2,FALSE)*E32,0),YEAR($A33)=2010,E32,YEAR($A33)&gt;2010,ROUNDDOWN(E32-VLOOKUP(E$1,$J$1:$L$5,3,FALSE)*E32,0))</f>
        <v>358</v>
      </c>
    </row>
  </sheetData>
  <autoFilter ref="A1:A33" xr:uid="{92DE299D-451E-4C98-8963-AB9936B6421B}">
    <filterColumn colId="0">
      <filters>
        <dateGroupItem year="2010" dateTimeGrouping="year"/>
        <dateGroupItem year="2009" dateTimeGrouping="year"/>
        <dateGroupItem year="2008" dateTimeGrouping="year"/>
        <dateGroupItem year="2007" dateTimeGrouping="year"/>
        <dateGroupItem year="2006" dateTimeGrouping="year"/>
        <dateGroupItem year="2005" dateTimeGrouping="year"/>
      </filters>
    </filterColumn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59FF7-0FB0-47F0-8001-CAC304B8A7D0}">
  <dimension ref="A1:L33"/>
  <sheetViews>
    <sheetView tabSelected="1" topLeftCell="A7" zoomScale="80" zoomScaleNormal="80" workbookViewId="0">
      <selection activeCell="M45" sqref="M45"/>
    </sheetView>
  </sheetViews>
  <sheetFormatPr defaultRowHeight="15" x14ac:dyDescent="0.25"/>
  <cols>
    <col min="1" max="1" width="10.85546875" style="3" bestFit="1" customWidth="1"/>
    <col min="2" max="2" width="5.7109375" bestFit="1" customWidth="1"/>
    <col min="3" max="3" width="6.5703125" bestFit="1" customWidth="1"/>
    <col min="4" max="5" width="6.7109375" bestFit="1" customWidth="1"/>
    <col min="8" max="8" width="14.85546875" bestFit="1" customWidth="1"/>
    <col min="9" max="9" width="39.140625" bestFit="1" customWidth="1"/>
    <col min="10" max="10" width="40.28515625" bestFit="1" customWidth="1"/>
    <col min="11" max="11" width="40.5703125" bestFit="1" customWidth="1"/>
    <col min="12" max="12" width="40.140625" style="2" bestFit="1" customWidth="1"/>
  </cols>
  <sheetData>
    <row r="1" spans="1:12" x14ac:dyDescent="0.25">
      <c r="A1" s="3" t="s">
        <v>5</v>
      </c>
      <c r="B1" t="s">
        <v>0</v>
      </c>
      <c r="C1" t="s">
        <v>1</v>
      </c>
      <c r="D1" t="s">
        <v>2</v>
      </c>
      <c r="E1" t="s">
        <v>3</v>
      </c>
      <c r="J1" t="s">
        <v>8</v>
      </c>
      <c r="K1" t="s">
        <v>6</v>
      </c>
      <c r="L1" s="2" t="s">
        <v>7</v>
      </c>
    </row>
    <row r="2" spans="1:12" x14ac:dyDescent="0.25">
      <c r="A2" s="3">
        <v>38442</v>
      </c>
      <c r="B2">
        <v>237</v>
      </c>
      <c r="C2">
        <v>198</v>
      </c>
      <c r="D2">
        <v>207</v>
      </c>
      <c r="E2">
        <v>312</v>
      </c>
      <c r="J2" t="s">
        <v>0</v>
      </c>
      <c r="K2" s="1">
        <v>0.02</v>
      </c>
      <c r="L2" s="2">
        <v>0.01</v>
      </c>
    </row>
    <row r="3" spans="1:12" x14ac:dyDescent="0.25">
      <c r="A3" s="3">
        <v>38533</v>
      </c>
      <c r="B3" cm="1">
        <f t="array" ref="B3">_xlfn.IFS(YEAR($A3)&lt;=2009,ROUNDDOWN(B2+VLOOKUP(B$1,$J$1:$K$5,2,FALSE)*B2,0),YEAR($A3)=2010,B2,YEAR($A3)&gt;2010,ROUNDDOWN(B2-VLOOKUP(B$1,$J$1:$L$5,3,FALSE)*B2,0))</f>
        <v>241</v>
      </c>
      <c r="C3" cm="1">
        <f t="array" ref="C3">_xlfn.IFS(YEAR($A3)&lt;=2009,ROUNDDOWN(C2+VLOOKUP(C$1,$J$1:$K$5,2,FALSE)*C2,0),YEAR($A3)=2010,C2,YEAR($A3)&gt;2010,ROUNDDOWN(C2-VLOOKUP(C$1,$J$1:$L$5,3,FALSE)*C2,0))</f>
        <v>203</v>
      </c>
      <c r="D3" cm="1">
        <f t="array" ref="D3">_xlfn.IFS(YEAR($A3)&lt;=2009,ROUNDDOWN(D2+VLOOKUP(D$1,$J$1:$K$5,2,FALSE)*D2,0),YEAR($A3)=2010,D2,YEAR($A3)&gt;2010,ROUNDDOWN(D2-VLOOKUP(D$1,$J$1:$L$5,3,FALSE)*D2,0))</f>
        <v>213</v>
      </c>
      <c r="E3" cm="1">
        <f t="array" ref="E3">_xlfn.IFS(YEAR($A3)&lt;=2009,ROUNDDOWN(E2+VLOOKUP(E$1,$J$1:$K$5,2,FALSE)*E2,0),YEAR($A3)=2010,E2,YEAR($A3)&gt;2010,ROUNDDOWN(E2-VLOOKUP(E$1,$J$1:$L$5,3,FALSE)*E2,0))</f>
        <v>318</v>
      </c>
      <c r="J3" t="s">
        <v>1</v>
      </c>
      <c r="K3" s="2">
        <v>2.7E-2</v>
      </c>
      <c r="L3" s="2">
        <v>1.2E-2</v>
      </c>
    </row>
    <row r="4" spans="1:12" x14ac:dyDescent="0.25">
      <c r="A4" s="3">
        <v>38625</v>
      </c>
      <c r="B4" cm="1">
        <f t="array" ref="B4">_xlfn.IFS(YEAR($A4)&lt;=2009,ROUNDDOWN(B3+VLOOKUP(B$1,$J$1:$K$5,2,FALSE)*B3,0),YEAR($A4)=2010,B3,YEAR($A4)&gt;2010,ROUNDDOWN(B3-VLOOKUP(B$1,$J$1:$L$5,3,FALSE)*B3,0))</f>
        <v>245</v>
      </c>
      <c r="C4" cm="1">
        <f t="array" ref="C4">_xlfn.IFS(YEAR($A4)&lt;=2009,ROUNDDOWN(C3+VLOOKUP(C$1,$J$1:$K$5,2,FALSE)*C3,0),YEAR($A4)=2010,C3,YEAR($A4)&gt;2010,ROUNDDOWN(C3-VLOOKUP(C$1,$J$1:$L$5,3,FALSE)*C3,0))</f>
        <v>208</v>
      </c>
      <c r="D4" cm="1">
        <f t="array" ref="D4">_xlfn.IFS(YEAR($A4)&lt;=2009,ROUNDDOWN(D3+VLOOKUP(D$1,$J$1:$K$5,2,FALSE)*D3,0),YEAR($A4)=2010,D3,YEAR($A4)&gt;2010,ROUNDDOWN(D3-VLOOKUP(D$1,$J$1:$L$5,3,FALSE)*D3,0))</f>
        <v>219</v>
      </c>
      <c r="E4" cm="1">
        <f t="array" ref="E4">_xlfn.IFS(YEAR($A4)&lt;=2009,ROUNDDOWN(E3+VLOOKUP(E$1,$J$1:$K$5,2,FALSE)*E3,0),YEAR($A4)=2010,E3,YEAR($A4)&gt;2010,ROUNDDOWN(E3-VLOOKUP(E$1,$J$1:$L$5,3,FALSE)*E3,0))</f>
        <v>324</v>
      </c>
      <c r="J4" t="s">
        <v>2</v>
      </c>
      <c r="K4" s="1">
        <v>0.03</v>
      </c>
      <c r="L4" s="2">
        <v>1.9E-2</v>
      </c>
    </row>
    <row r="5" spans="1:12" x14ac:dyDescent="0.25">
      <c r="A5" s="3">
        <v>38717</v>
      </c>
      <c r="B5" cm="1">
        <f t="array" ref="B5">_xlfn.IFS(YEAR($A5)&lt;=2009,ROUNDDOWN(B4+VLOOKUP(B$1,$J$1:$K$5,2,FALSE)*B4,0),YEAR($A5)=2010,B4,YEAR($A5)&gt;2010,ROUNDDOWN(B4-VLOOKUP(B$1,$J$1:$L$5,3,FALSE)*B4,0))</f>
        <v>249</v>
      </c>
      <c r="C5" cm="1">
        <f t="array" ref="C5">_xlfn.IFS(YEAR($A5)&lt;=2009,ROUNDDOWN(C4+VLOOKUP(C$1,$J$1:$K$5,2,FALSE)*C4,0),YEAR($A5)=2010,C4,YEAR($A5)&gt;2010,ROUNDDOWN(C4-VLOOKUP(C$1,$J$1:$L$5,3,FALSE)*C4,0))</f>
        <v>213</v>
      </c>
      <c r="D5" cm="1">
        <f t="array" ref="D5">_xlfn.IFS(YEAR($A5)&lt;=2009,ROUNDDOWN(D4+VLOOKUP(D$1,$J$1:$K$5,2,FALSE)*D4,0),YEAR($A5)=2010,D4,YEAR($A5)&gt;2010,ROUNDDOWN(D4-VLOOKUP(D$1,$J$1:$L$5,3,FALSE)*D4,0))</f>
        <v>225</v>
      </c>
      <c r="E5" cm="1">
        <f t="array" ref="E5">_xlfn.IFS(YEAR($A5)&lt;=2009,ROUNDDOWN(E4+VLOOKUP(E$1,$J$1:$K$5,2,FALSE)*E4,0),YEAR($A5)=2010,E4,YEAR($A5)&gt;2010,ROUNDDOWN(E4-VLOOKUP(E$1,$J$1:$L$5,3,FALSE)*E4,0))</f>
        <v>330</v>
      </c>
      <c r="J5" t="s">
        <v>3</v>
      </c>
      <c r="K5" s="1">
        <v>0.02</v>
      </c>
      <c r="L5" s="2">
        <v>2.5000000000000001E-2</v>
      </c>
    </row>
    <row r="6" spans="1:12" x14ac:dyDescent="0.25">
      <c r="A6" s="3">
        <v>38807</v>
      </c>
      <c r="B6" cm="1">
        <f t="array" ref="B6">_xlfn.IFS(YEAR($A6)&lt;=2009,ROUNDDOWN(B5+VLOOKUP(B$1,$J$1:$K$5,2,FALSE)*B5,0),YEAR($A6)=2010,B5,YEAR($A6)&gt;2010,ROUNDDOWN(B5-VLOOKUP(B$1,$J$1:$L$5,3,FALSE)*B5,0))</f>
        <v>253</v>
      </c>
      <c r="C6" cm="1">
        <f t="array" ref="C6">_xlfn.IFS(YEAR($A6)&lt;=2009,ROUNDDOWN(C5+VLOOKUP(C$1,$J$1:$K$5,2,FALSE)*C5,0),YEAR($A6)=2010,C5,YEAR($A6)&gt;2010,ROUNDDOWN(C5-VLOOKUP(C$1,$J$1:$L$5,3,FALSE)*C5,0))</f>
        <v>218</v>
      </c>
      <c r="D6" cm="1">
        <f t="array" ref="D6">_xlfn.IFS(YEAR($A6)&lt;=2009,ROUNDDOWN(D5+VLOOKUP(D$1,$J$1:$K$5,2,FALSE)*D5,0),YEAR($A6)=2010,D5,YEAR($A6)&gt;2010,ROUNDDOWN(D5-VLOOKUP(D$1,$J$1:$L$5,3,FALSE)*D5,0))</f>
        <v>231</v>
      </c>
      <c r="E6" cm="1">
        <f t="array" ref="E6">_xlfn.IFS(YEAR($A6)&lt;=2009,ROUNDDOWN(E5+VLOOKUP(E$1,$J$1:$K$5,2,FALSE)*E5,0),YEAR($A6)=2010,E5,YEAR($A6)&gt;2010,ROUNDDOWN(E5-VLOOKUP(E$1,$J$1:$L$5,3,FALSE)*E5,0))</f>
        <v>336</v>
      </c>
    </row>
    <row r="7" spans="1:12" x14ac:dyDescent="0.25">
      <c r="A7" s="3">
        <v>38898</v>
      </c>
      <c r="B7" cm="1">
        <f t="array" ref="B7">_xlfn.IFS(YEAR($A7)&lt;=2009,ROUNDDOWN(B6+VLOOKUP(B$1,$J$1:$K$5,2,FALSE)*B6,0),YEAR($A7)=2010,B6,YEAR($A7)&gt;2010,ROUNDDOWN(B6-VLOOKUP(B$1,$J$1:$L$5,3,FALSE)*B6,0))</f>
        <v>258</v>
      </c>
      <c r="C7" cm="1">
        <f t="array" ref="C7">_xlfn.IFS(YEAR($A7)&lt;=2009,ROUNDDOWN(C6+VLOOKUP(C$1,$J$1:$K$5,2,FALSE)*C6,0),YEAR($A7)=2010,C6,YEAR($A7)&gt;2010,ROUNDDOWN(C6-VLOOKUP(C$1,$J$1:$L$5,3,FALSE)*C6,0))</f>
        <v>223</v>
      </c>
      <c r="D7" cm="1">
        <f t="array" ref="D7">_xlfn.IFS(YEAR($A7)&lt;=2009,ROUNDDOWN(D6+VLOOKUP(D$1,$J$1:$K$5,2,FALSE)*D6,0),YEAR($A7)=2010,D6,YEAR($A7)&gt;2010,ROUNDDOWN(D6-VLOOKUP(D$1,$J$1:$L$5,3,FALSE)*D6,0))</f>
        <v>237</v>
      </c>
      <c r="E7" cm="1">
        <f t="array" ref="E7">_xlfn.IFS(YEAR($A7)&lt;=2009,ROUNDDOWN(E6+VLOOKUP(E$1,$J$1:$K$5,2,FALSE)*E6,0),YEAR($A7)=2010,E6,YEAR($A7)&gt;2010,ROUNDDOWN(E6-VLOOKUP(E$1,$J$1:$L$5,3,FALSE)*E6,0))</f>
        <v>342</v>
      </c>
    </row>
    <row r="8" spans="1:12" x14ac:dyDescent="0.25">
      <c r="A8" s="3">
        <v>38990</v>
      </c>
      <c r="B8" cm="1">
        <f t="array" ref="B8">_xlfn.IFS(YEAR($A8)&lt;=2009,ROUNDDOWN(B7+VLOOKUP(B$1,$J$1:$K$5,2,FALSE)*B7,0),YEAR($A8)=2010,B7,YEAR($A8)&gt;2010,ROUNDDOWN(B7-VLOOKUP(B$1,$J$1:$L$5,3,FALSE)*B7,0))</f>
        <v>263</v>
      </c>
      <c r="C8" cm="1">
        <f t="array" ref="C8">_xlfn.IFS(YEAR($A8)&lt;=2009,ROUNDDOWN(C7+VLOOKUP(C$1,$J$1:$K$5,2,FALSE)*C7,0),YEAR($A8)=2010,C7,YEAR($A8)&gt;2010,ROUNDDOWN(C7-VLOOKUP(C$1,$J$1:$L$5,3,FALSE)*C7,0))</f>
        <v>229</v>
      </c>
      <c r="D8" cm="1">
        <f t="array" ref="D8">_xlfn.IFS(YEAR($A8)&lt;=2009,ROUNDDOWN(D7+VLOOKUP(D$1,$J$1:$K$5,2,FALSE)*D7,0),YEAR($A8)=2010,D7,YEAR($A8)&gt;2010,ROUNDDOWN(D7-VLOOKUP(D$1,$J$1:$L$5,3,FALSE)*D7,0))</f>
        <v>244</v>
      </c>
      <c r="E8" cm="1">
        <f t="array" ref="E8">_xlfn.IFS(YEAR($A8)&lt;=2009,ROUNDDOWN(E7+VLOOKUP(E$1,$J$1:$K$5,2,FALSE)*E7,0),YEAR($A8)=2010,E7,YEAR($A8)&gt;2010,ROUNDDOWN(E7-VLOOKUP(E$1,$J$1:$L$5,3,FALSE)*E7,0))</f>
        <v>348</v>
      </c>
    </row>
    <row r="9" spans="1:12" x14ac:dyDescent="0.25">
      <c r="A9" s="3">
        <v>39082</v>
      </c>
      <c r="B9" cm="1">
        <f t="array" ref="B9">_xlfn.IFS(YEAR($A9)&lt;=2009,ROUNDDOWN(B8+VLOOKUP(B$1,$J$1:$K$5,2,FALSE)*B8,0),YEAR($A9)=2010,B8,YEAR($A9)&gt;2010,ROUNDDOWN(B8-VLOOKUP(B$1,$J$1:$L$5,3,FALSE)*B8,0))</f>
        <v>268</v>
      </c>
      <c r="C9" cm="1">
        <f t="array" ref="C9">_xlfn.IFS(YEAR($A9)&lt;=2009,ROUNDDOWN(C8+VLOOKUP(C$1,$J$1:$K$5,2,FALSE)*C8,0),YEAR($A9)=2010,C8,YEAR($A9)&gt;2010,ROUNDDOWN(C8-VLOOKUP(C$1,$J$1:$L$5,3,FALSE)*C8,0))</f>
        <v>235</v>
      </c>
      <c r="D9" cm="1">
        <f t="array" ref="D9">_xlfn.IFS(YEAR($A9)&lt;=2009,ROUNDDOWN(D8+VLOOKUP(D$1,$J$1:$K$5,2,FALSE)*D8,0),YEAR($A9)=2010,D8,YEAR($A9)&gt;2010,ROUNDDOWN(D8-VLOOKUP(D$1,$J$1:$L$5,3,FALSE)*D8,0))</f>
        <v>251</v>
      </c>
      <c r="E9" cm="1">
        <f t="array" ref="E9">_xlfn.IFS(YEAR($A9)&lt;=2009,ROUNDDOWN(E8+VLOOKUP(E$1,$J$1:$K$5,2,FALSE)*E8,0),YEAR($A9)=2010,E8,YEAR($A9)&gt;2010,ROUNDDOWN(E8-VLOOKUP(E$1,$J$1:$L$5,3,FALSE)*E8,0))</f>
        <v>354</v>
      </c>
    </row>
    <row r="10" spans="1:12" x14ac:dyDescent="0.25">
      <c r="A10" s="3">
        <v>39172</v>
      </c>
      <c r="B10" cm="1">
        <f t="array" ref="B10">_xlfn.IFS(YEAR($A10)&lt;=2009,ROUNDDOWN(B9+VLOOKUP(B$1,$J$1:$K$5,2,FALSE)*B9,0),YEAR($A10)=2010,B9,YEAR($A10)&gt;2010,ROUNDDOWN(B9-VLOOKUP(B$1,$J$1:$L$5,3,FALSE)*B9,0))</f>
        <v>273</v>
      </c>
      <c r="C10" cm="1">
        <f t="array" ref="C10">_xlfn.IFS(YEAR($A10)&lt;=2009,ROUNDDOWN(C9+VLOOKUP(C$1,$J$1:$K$5,2,FALSE)*C9,0),YEAR($A10)=2010,C9,YEAR($A10)&gt;2010,ROUNDDOWN(C9-VLOOKUP(C$1,$J$1:$L$5,3,FALSE)*C9,0))</f>
        <v>241</v>
      </c>
      <c r="D10" cm="1">
        <f t="array" ref="D10">_xlfn.IFS(YEAR($A10)&lt;=2009,ROUNDDOWN(D9+VLOOKUP(D$1,$J$1:$K$5,2,FALSE)*D9,0),YEAR($A10)=2010,D9,YEAR($A10)&gt;2010,ROUNDDOWN(D9-VLOOKUP(D$1,$J$1:$L$5,3,FALSE)*D9,0))</f>
        <v>258</v>
      </c>
      <c r="E10" cm="1">
        <f t="array" ref="E10">_xlfn.IFS(YEAR($A10)&lt;=2009,ROUNDDOWN(E9+VLOOKUP(E$1,$J$1:$K$5,2,FALSE)*E9,0),YEAR($A10)=2010,E9,YEAR($A10)&gt;2010,ROUNDDOWN(E9-VLOOKUP(E$1,$J$1:$L$5,3,FALSE)*E9,0))</f>
        <v>361</v>
      </c>
      <c r="H10" s="8" t="s">
        <v>31</v>
      </c>
      <c r="I10" t="s">
        <v>32</v>
      </c>
      <c r="J10" t="s">
        <v>33</v>
      </c>
      <c r="K10" t="s">
        <v>34</v>
      </c>
      <c r="L10" t="s">
        <v>35</v>
      </c>
    </row>
    <row r="11" spans="1:12" x14ac:dyDescent="0.25">
      <c r="A11" s="3">
        <v>39263</v>
      </c>
      <c r="B11" cm="1">
        <f t="array" ref="B11">_xlfn.IFS(YEAR($A11)&lt;=2009,ROUNDDOWN(B10+VLOOKUP(B$1,$J$1:$K$5,2,FALSE)*B10,0),YEAR($A11)=2010,B10,YEAR($A11)&gt;2010,ROUNDDOWN(B10-VLOOKUP(B$1,$J$1:$L$5,3,FALSE)*B10,0))</f>
        <v>278</v>
      </c>
      <c r="C11" cm="1">
        <f t="array" ref="C11">_xlfn.IFS(YEAR($A11)&lt;=2009,ROUNDDOWN(C10+VLOOKUP(C$1,$J$1:$K$5,2,FALSE)*C10,0),YEAR($A11)=2010,C10,YEAR($A11)&gt;2010,ROUNDDOWN(C10-VLOOKUP(C$1,$J$1:$L$5,3,FALSE)*C10,0))</f>
        <v>247</v>
      </c>
      <c r="D11" cm="1">
        <f t="array" ref="D11">_xlfn.IFS(YEAR($A11)&lt;=2009,ROUNDDOWN(D10+VLOOKUP(D$1,$J$1:$K$5,2,FALSE)*D10,0),YEAR($A11)=2010,D10,YEAR($A11)&gt;2010,ROUNDDOWN(D10-VLOOKUP(D$1,$J$1:$L$5,3,FALSE)*D10,0))</f>
        <v>265</v>
      </c>
      <c r="E11" cm="1">
        <f t="array" ref="E11">_xlfn.IFS(YEAR($A11)&lt;=2009,ROUNDDOWN(E10+VLOOKUP(E$1,$J$1:$K$5,2,FALSE)*E10,0),YEAR($A11)=2010,E10,YEAR($A11)&gt;2010,ROUNDDOWN(E10-VLOOKUP(E$1,$J$1:$L$5,3,FALSE)*E10,0))</f>
        <v>368</v>
      </c>
      <c r="H11" s="9" t="s">
        <v>23</v>
      </c>
      <c r="I11" s="10">
        <v>972</v>
      </c>
      <c r="J11" s="10">
        <v>822</v>
      </c>
      <c r="K11" s="10">
        <v>864</v>
      </c>
      <c r="L11" s="10">
        <v>1284</v>
      </c>
    </row>
    <row r="12" spans="1:12" x14ac:dyDescent="0.25">
      <c r="A12" s="3">
        <v>39355</v>
      </c>
      <c r="B12" cm="1">
        <f t="array" ref="B12">_xlfn.IFS(YEAR($A12)&lt;=2009,ROUNDDOWN(B11+VLOOKUP(B$1,$J$1:$K$5,2,FALSE)*B11,0),YEAR($A12)=2010,B11,YEAR($A12)&gt;2010,ROUNDDOWN(B11-VLOOKUP(B$1,$J$1:$L$5,3,FALSE)*B11,0))</f>
        <v>283</v>
      </c>
      <c r="C12" cm="1">
        <f t="array" ref="C12">_xlfn.IFS(YEAR($A12)&lt;=2009,ROUNDDOWN(C11+VLOOKUP(C$1,$J$1:$K$5,2,FALSE)*C11,0),YEAR($A12)=2010,C11,YEAR($A12)&gt;2010,ROUNDDOWN(C11-VLOOKUP(C$1,$J$1:$L$5,3,FALSE)*C11,0))</f>
        <v>253</v>
      </c>
      <c r="D12" cm="1">
        <f t="array" ref="D12">_xlfn.IFS(YEAR($A12)&lt;=2009,ROUNDDOWN(D11+VLOOKUP(D$1,$J$1:$K$5,2,FALSE)*D11,0),YEAR($A12)=2010,D11,YEAR($A12)&gt;2010,ROUNDDOWN(D11-VLOOKUP(D$1,$J$1:$L$5,3,FALSE)*D11,0))</f>
        <v>272</v>
      </c>
      <c r="E12" cm="1">
        <f t="array" ref="E12">_xlfn.IFS(YEAR($A12)&lt;=2009,ROUNDDOWN(E11+VLOOKUP(E$1,$J$1:$K$5,2,FALSE)*E11,0),YEAR($A12)=2010,E11,YEAR($A12)&gt;2010,ROUNDDOWN(E11-VLOOKUP(E$1,$J$1:$L$5,3,FALSE)*E11,0))</f>
        <v>375</v>
      </c>
      <c r="H12" s="9" t="s">
        <v>24</v>
      </c>
      <c r="I12" s="10">
        <v>1042</v>
      </c>
      <c r="J12" s="10">
        <v>905</v>
      </c>
      <c r="K12" s="10">
        <v>963</v>
      </c>
      <c r="L12" s="10">
        <v>1380</v>
      </c>
    </row>
    <row r="13" spans="1:12" x14ac:dyDescent="0.25">
      <c r="A13" s="3">
        <v>39447</v>
      </c>
      <c r="B13" cm="1">
        <f t="array" ref="B13">_xlfn.IFS(YEAR($A13)&lt;=2009,ROUNDDOWN(B12+VLOOKUP(B$1,$J$1:$K$5,2,FALSE)*B12,0),YEAR($A13)=2010,B12,YEAR($A13)&gt;2010,ROUNDDOWN(B12-VLOOKUP(B$1,$J$1:$L$5,3,FALSE)*B12,0))</f>
        <v>288</v>
      </c>
      <c r="C13" cm="1">
        <f t="array" ref="C13">_xlfn.IFS(YEAR($A13)&lt;=2009,ROUNDDOWN(C12+VLOOKUP(C$1,$J$1:$K$5,2,FALSE)*C12,0),YEAR($A13)=2010,C12,YEAR($A13)&gt;2010,ROUNDDOWN(C12-VLOOKUP(C$1,$J$1:$L$5,3,FALSE)*C12,0))</f>
        <v>259</v>
      </c>
      <c r="D13" cm="1">
        <f t="array" ref="D13">_xlfn.IFS(YEAR($A13)&lt;=2009,ROUNDDOWN(D12+VLOOKUP(D$1,$J$1:$K$5,2,FALSE)*D12,0),YEAR($A13)=2010,D12,YEAR($A13)&gt;2010,ROUNDDOWN(D12-VLOOKUP(D$1,$J$1:$L$5,3,FALSE)*D12,0))</f>
        <v>280</v>
      </c>
      <c r="E13" cm="1">
        <f t="array" ref="E13">_xlfn.IFS(YEAR($A13)&lt;=2009,ROUNDDOWN(E12+VLOOKUP(E$1,$J$1:$K$5,2,FALSE)*E12,0),YEAR($A13)=2010,E12,YEAR($A13)&gt;2010,ROUNDDOWN(E12-VLOOKUP(E$1,$J$1:$L$5,3,FALSE)*E12,0))</f>
        <v>382</v>
      </c>
      <c r="H13" s="9" t="s">
        <v>25</v>
      </c>
      <c r="I13" s="10">
        <v>1122</v>
      </c>
      <c r="J13" s="10">
        <v>1000</v>
      </c>
      <c r="K13" s="10">
        <v>1075</v>
      </c>
      <c r="L13" s="10">
        <v>1486</v>
      </c>
    </row>
    <row r="14" spans="1:12" x14ac:dyDescent="0.25">
      <c r="A14" s="3">
        <v>39538</v>
      </c>
      <c r="B14" cm="1">
        <f t="array" ref="B14">_xlfn.IFS(YEAR($A14)&lt;=2009,ROUNDDOWN(B13+VLOOKUP(B$1,$J$1:$K$5,2,FALSE)*B13,0),YEAR($A14)=2010,B13,YEAR($A14)&gt;2010,ROUNDDOWN(B13-VLOOKUP(B$1,$J$1:$L$5,3,FALSE)*B13,0))</f>
        <v>293</v>
      </c>
      <c r="C14" cm="1">
        <f t="array" ref="C14">_xlfn.IFS(YEAR($A14)&lt;=2009,ROUNDDOWN(C13+VLOOKUP(C$1,$J$1:$K$5,2,FALSE)*C13,0),YEAR($A14)=2010,C13,YEAR($A14)&gt;2010,ROUNDDOWN(C13-VLOOKUP(C$1,$J$1:$L$5,3,FALSE)*C13,0))</f>
        <v>265</v>
      </c>
      <c r="D14" cm="1">
        <f t="array" ref="D14">_xlfn.IFS(YEAR($A14)&lt;=2009,ROUNDDOWN(D13+VLOOKUP(D$1,$J$1:$K$5,2,FALSE)*D13,0),YEAR($A14)=2010,D13,YEAR($A14)&gt;2010,ROUNDDOWN(D13-VLOOKUP(D$1,$J$1:$L$5,3,FALSE)*D13,0))</f>
        <v>288</v>
      </c>
      <c r="E14" cm="1">
        <f t="array" ref="E14">_xlfn.IFS(YEAR($A14)&lt;=2009,ROUNDDOWN(E13+VLOOKUP(E$1,$J$1:$K$5,2,FALSE)*E13,0),YEAR($A14)=2010,E13,YEAR($A14)&gt;2010,ROUNDDOWN(E13-VLOOKUP(E$1,$J$1:$L$5,3,FALSE)*E13,0))</f>
        <v>389</v>
      </c>
      <c r="H14" s="9" t="s">
        <v>26</v>
      </c>
      <c r="I14" s="10">
        <v>1203</v>
      </c>
      <c r="J14" s="10">
        <v>1102</v>
      </c>
      <c r="K14" s="10">
        <v>1201</v>
      </c>
      <c r="L14" s="10">
        <v>1599</v>
      </c>
    </row>
    <row r="15" spans="1:12" x14ac:dyDescent="0.25">
      <c r="A15" s="3">
        <v>39629</v>
      </c>
      <c r="B15" cm="1">
        <f t="array" ref="B15">_xlfn.IFS(YEAR($A15)&lt;=2009,ROUNDDOWN(B14+VLOOKUP(B$1,$J$1:$K$5,2,FALSE)*B14,0),YEAR($A15)=2010,B14,YEAR($A15)&gt;2010,ROUNDDOWN(B14-VLOOKUP(B$1,$J$1:$L$5,3,FALSE)*B14,0))</f>
        <v>298</v>
      </c>
      <c r="C15" cm="1">
        <f t="array" ref="C15">_xlfn.IFS(YEAR($A15)&lt;=2009,ROUNDDOWN(C14+VLOOKUP(C$1,$J$1:$K$5,2,FALSE)*C14,0),YEAR($A15)=2010,C14,YEAR($A15)&gt;2010,ROUNDDOWN(C14-VLOOKUP(C$1,$J$1:$L$5,3,FALSE)*C14,0))</f>
        <v>272</v>
      </c>
      <c r="D15" cm="1">
        <f t="array" ref="D15">_xlfn.IFS(YEAR($A15)&lt;=2009,ROUNDDOWN(D14+VLOOKUP(D$1,$J$1:$K$5,2,FALSE)*D14,0),YEAR($A15)=2010,D14,YEAR($A15)&gt;2010,ROUNDDOWN(D14-VLOOKUP(D$1,$J$1:$L$5,3,FALSE)*D14,0))</f>
        <v>296</v>
      </c>
      <c r="E15" cm="1">
        <f t="array" ref="E15">_xlfn.IFS(YEAR($A15)&lt;=2009,ROUNDDOWN(E14+VLOOKUP(E$1,$J$1:$K$5,2,FALSE)*E14,0),YEAR($A15)=2010,E14,YEAR($A15)&gt;2010,ROUNDDOWN(E14-VLOOKUP(E$1,$J$1:$L$5,3,FALSE)*E14,0))</f>
        <v>396</v>
      </c>
      <c r="H15" s="9" t="s">
        <v>27</v>
      </c>
      <c r="I15" s="10">
        <v>1296</v>
      </c>
      <c r="J15" s="10">
        <v>1217</v>
      </c>
      <c r="K15" s="10">
        <v>1343</v>
      </c>
      <c r="L15" s="10">
        <v>1724</v>
      </c>
    </row>
    <row r="16" spans="1:12" x14ac:dyDescent="0.25">
      <c r="A16" s="3">
        <v>39721</v>
      </c>
      <c r="B16" cm="1">
        <f t="array" ref="B16">_xlfn.IFS(YEAR($A16)&lt;=2009,ROUNDDOWN(B15+VLOOKUP(B$1,$J$1:$K$5,2,FALSE)*B15,0),YEAR($A16)=2010,B15,YEAR($A16)&gt;2010,ROUNDDOWN(B15-VLOOKUP(B$1,$J$1:$L$5,3,FALSE)*B15,0))</f>
        <v>303</v>
      </c>
      <c r="C16" cm="1">
        <f t="array" ref="C16">_xlfn.IFS(YEAR($A16)&lt;=2009,ROUNDDOWN(C15+VLOOKUP(C$1,$J$1:$K$5,2,FALSE)*C15,0),YEAR($A16)=2010,C15,YEAR($A16)&gt;2010,ROUNDDOWN(C15-VLOOKUP(C$1,$J$1:$L$5,3,FALSE)*C15,0))</f>
        <v>279</v>
      </c>
      <c r="D16" cm="1">
        <f t="array" ref="D16">_xlfn.IFS(YEAR($A16)&lt;=2009,ROUNDDOWN(D15+VLOOKUP(D$1,$J$1:$K$5,2,FALSE)*D15,0),YEAR($A16)=2010,D15,YEAR($A16)&gt;2010,ROUNDDOWN(D15-VLOOKUP(D$1,$J$1:$L$5,3,FALSE)*D15,0))</f>
        <v>304</v>
      </c>
      <c r="E16" cm="1">
        <f t="array" ref="E16">_xlfn.IFS(YEAR($A16)&lt;=2009,ROUNDDOWN(E15+VLOOKUP(E$1,$J$1:$K$5,2,FALSE)*E15,0),YEAR($A16)=2010,E15,YEAR($A16)&gt;2010,ROUNDDOWN(E15-VLOOKUP(E$1,$J$1:$L$5,3,FALSE)*E15,0))</f>
        <v>403</v>
      </c>
      <c r="H16" s="9" t="s">
        <v>28</v>
      </c>
      <c r="I16" s="10">
        <v>1332</v>
      </c>
      <c r="J16" s="10">
        <v>1264</v>
      </c>
      <c r="K16" s="10">
        <v>1400</v>
      </c>
      <c r="L16" s="10">
        <v>1772</v>
      </c>
    </row>
    <row r="17" spans="1:12" x14ac:dyDescent="0.25">
      <c r="A17" s="3">
        <v>39813</v>
      </c>
      <c r="B17" cm="1">
        <f t="array" ref="B17">_xlfn.IFS(YEAR($A17)&lt;=2009,ROUNDDOWN(B16+VLOOKUP(B$1,$J$1:$K$5,2,FALSE)*B16,0),YEAR($A17)=2010,B16,YEAR($A17)&gt;2010,ROUNDDOWN(B16-VLOOKUP(B$1,$J$1:$L$5,3,FALSE)*B16,0))</f>
        <v>309</v>
      </c>
      <c r="C17" cm="1">
        <f t="array" ref="C17">_xlfn.IFS(YEAR($A17)&lt;=2009,ROUNDDOWN(C16+VLOOKUP(C$1,$J$1:$K$5,2,FALSE)*C16,0),YEAR($A17)=2010,C16,YEAR($A17)&gt;2010,ROUNDDOWN(C16-VLOOKUP(C$1,$J$1:$L$5,3,FALSE)*C16,0))</f>
        <v>286</v>
      </c>
      <c r="D17" cm="1">
        <f t="array" ref="D17">_xlfn.IFS(YEAR($A17)&lt;=2009,ROUNDDOWN(D16+VLOOKUP(D$1,$J$1:$K$5,2,FALSE)*D16,0),YEAR($A17)=2010,D16,YEAR($A17)&gt;2010,ROUNDDOWN(D16-VLOOKUP(D$1,$J$1:$L$5,3,FALSE)*D16,0))</f>
        <v>313</v>
      </c>
      <c r="E17" cm="1">
        <f t="array" ref="E17">_xlfn.IFS(YEAR($A17)&lt;=2009,ROUNDDOWN(E16+VLOOKUP(E$1,$J$1:$K$5,2,FALSE)*E16,0),YEAR($A17)=2010,E16,YEAR($A17)&gt;2010,ROUNDDOWN(E16-VLOOKUP(E$1,$J$1:$L$5,3,FALSE)*E16,0))</f>
        <v>411</v>
      </c>
      <c r="H17" s="9" t="s">
        <v>29</v>
      </c>
      <c r="I17" s="10">
        <v>1292</v>
      </c>
      <c r="J17" s="10">
        <v>1224</v>
      </c>
      <c r="K17" s="10">
        <v>1330</v>
      </c>
      <c r="L17" s="10">
        <v>1658</v>
      </c>
    </row>
    <row r="18" spans="1:12" x14ac:dyDescent="0.25">
      <c r="A18" s="3">
        <v>39903</v>
      </c>
      <c r="B18" cm="1">
        <f t="array" ref="B18">_xlfn.IFS(YEAR($A18)&lt;=2009,ROUNDDOWN(B17+VLOOKUP(B$1,$J$1:$K$5,2,FALSE)*B17,0),YEAR($A18)=2010,B17,YEAR($A18)&gt;2010,ROUNDDOWN(B17-VLOOKUP(B$1,$J$1:$L$5,3,FALSE)*B17,0))</f>
        <v>315</v>
      </c>
      <c r="C18" cm="1">
        <f t="array" ref="C18">_xlfn.IFS(YEAR($A18)&lt;=2009,ROUNDDOWN(C17+VLOOKUP(C$1,$J$1:$K$5,2,FALSE)*C17,0),YEAR($A18)=2010,C17,YEAR($A18)&gt;2010,ROUNDDOWN(C17-VLOOKUP(C$1,$J$1:$L$5,3,FALSE)*C17,0))</f>
        <v>293</v>
      </c>
      <c r="D18" cm="1">
        <f t="array" ref="D18">_xlfn.IFS(YEAR($A18)&lt;=2009,ROUNDDOWN(D17+VLOOKUP(D$1,$J$1:$K$5,2,FALSE)*D17,0),YEAR($A18)=2010,D17,YEAR($A18)&gt;2010,ROUNDDOWN(D17-VLOOKUP(D$1,$J$1:$L$5,3,FALSE)*D17,0))</f>
        <v>322</v>
      </c>
      <c r="E18" cm="1">
        <f t="array" ref="E18">_xlfn.IFS(YEAR($A18)&lt;=2009,ROUNDDOWN(E17+VLOOKUP(E$1,$J$1:$K$5,2,FALSE)*E17,0),YEAR($A18)=2010,E17,YEAR($A18)&gt;2010,ROUNDDOWN(E17-VLOOKUP(E$1,$J$1:$L$5,3,FALSE)*E17,0))</f>
        <v>419</v>
      </c>
      <c r="H18" s="9" t="s">
        <v>30</v>
      </c>
      <c r="I18" s="10">
        <v>1228</v>
      </c>
      <c r="J18" s="10">
        <v>1160</v>
      </c>
      <c r="K18" s="10">
        <v>1224</v>
      </c>
      <c r="L18" s="10">
        <v>1492</v>
      </c>
    </row>
    <row r="19" spans="1:12" x14ac:dyDescent="0.25">
      <c r="A19" s="3">
        <v>39994</v>
      </c>
      <c r="B19" cm="1">
        <f t="array" ref="B19">_xlfn.IFS(YEAR($A19)&lt;=2009,ROUNDDOWN(B18+VLOOKUP(B$1,$J$1:$K$5,2,FALSE)*B18,0),YEAR($A19)=2010,B18,YEAR($A19)&gt;2010,ROUNDDOWN(B18-VLOOKUP(B$1,$J$1:$L$5,3,FALSE)*B18,0))</f>
        <v>321</v>
      </c>
      <c r="C19" cm="1">
        <f t="array" ref="C19">_xlfn.IFS(YEAR($A19)&lt;=2009,ROUNDDOWN(C18+VLOOKUP(C$1,$J$1:$K$5,2,FALSE)*C18,0),YEAR($A19)=2010,C18,YEAR($A19)&gt;2010,ROUNDDOWN(C18-VLOOKUP(C$1,$J$1:$L$5,3,FALSE)*C18,0))</f>
        <v>300</v>
      </c>
      <c r="D19" cm="1">
        <f t="array" ref="D19">_xlfn.IFS(YEAR($A19)&lt;=2009,ROUNDDOWN(D18+VLOOKUP(D$1,$J$1:$K$5,2,FALSE)*D18,0),YEAR($A19)=2010,D18,YEAR($A19)&gt;2010,ROUNDDOWN(D18-VLOOKUP(D$1,$J$1:$L$5,3,FALSE)*D18,0))</f>
        <v>331</v>
      </c>
      <c r="E19" cm="1">
        <f t="array" ref="E19">_xlfn.IFS(YEAR($A19)&lt;=2009,ROUNDDOWN(E18+VLOOKUP(E$1,$J$1:$K$5,2,FALSE)*E18,0),YEAR($A19)=2010,E18,YEAR($A19)&gt;2010,ROUNDDOWN(E18-VLOOKUP(E$1,$J$1:$L$5,3,FALSE)*E18,0))</f>
        <v>427</v>
      </c>
      <c r="H19" s="9" t="s">
        <v>22</v>
      </c>
      <c r="I19" s="10">
        <v>9487</v>
      </c>
      <c r="J19" s="10">
        <v>8694</v>
      </c>
      <c r="K19" s="10">
        <v>9400</v>
      </c>
      <c r="L19" s="10">
        <v>12395</v>
      </c>
    </row>
    <row r="20" spans="1:12" x14ac:dyDescent="0.25">
      <c r="A20" s="3">
        <v>40086</v>
      </c>
      <c r="B20" cm="1">
        <f t="array" ref="B20">_xlfn.IFS(YEAR($A20)&lt;=2009,ROUNDDOWN(B19+VLOOKUP(B$1,$J$1:$K$5,2,FALSE)*B19,0),YEAR($A20)=2010,B19,YEAR($A20)&gt;2010,ROUNDDOWN(B19-VLOOKUP(B$1,$J$1:$L$5,3,FALSE)*B19,0))</f>
        <v>327</v>
      </c>
      <c r="C20" cm="1">
        <f t="array" ref="C20">_xlfn.IFS(YEAR($A20)&lt;=2009,ROUNDDOWN(C19+VLOOKUP(C$1,$J$1:$K$5,2,FALSE)*C19,0),YEAR($A20)=2010,C19,YEAR($A20)&gt;2010,ROUNDDOWN(C19-VLOOKUP(C$1,$J$1:$L$5,3,FALSE)*C19,0))</f>
        <v>308</v>
      </c>
      <c r="D20" cm="1">
        <f t="array" ref="D20">_xlfn.IFS(YEAR($A20)&lt;=2009,ROUNDDOWN(D19+VLOOKUP(D$1,$J$1:$K$5,2,FALSE)*D19,0),YEAR($A20)=2010,D19,YEAR($A20)&gt;2010,ROUNDDOWN(D19-VLOOKUP(D$1,$J$1:$L$5,3,FALSE)*D19,0))</f>
        <v>340</v>
      </c>
      <c r="E20" cm="1">
        <f t="array" ref="E20">_xlfn.IFS(YEAR($A20)&lt;=2009,ROUNDDOWN(E19+VLOOKUP(E$1,$J$1:$K$5,2,FALSE)*E19,0),YEAR($A20)=2010,E19,YEAR($A20)&gt;2010,ROUNDDOWN(E19-VLOOKUP(E$1,$J$1:$L$5,3,FALSE)*E19,0))</f>
        <v>435</v>
      </c>
    </row>
    <row r="21" spans="1:12" x14ac:dyDescent="0.25">
      <c r="A21" s="3">
        <v>40178</v>
      </c>
      <c r="B21" cm="1">
        <f t="array" ref="B21">_xlfn.IFS(YEAR($A21)&lt;=2009,ROUNDDOWN(B20+VLOOKUP(B$1,$J$1:$K$5,2,FALSE)*B20,0),YEAR($A21)=2010,B20,YEAR($A21)&gt;2010,ROUNDDOWN(B20-VLOOKUP(B$1,$J$1:$L$5,3,FALSE)*B20,0))</f>
        <v>333</v>
      </c>
      <c r="C21" cm="1">
        <f t="array" ref="C21">_xlfn.IFS(YEAR($A21)&lt;=2009,ROUNDDOWN(C20+VLOOKUP(C$1,$J$1:$K$5,2,FALSE)*C20,0),YEAR($A21)=2010,C20,YEAR($A21)&gt;2010,ROUNDDOWN(C20-VLOOKUP(C$1,$J$1:$L$5,3,FALSE)*C20,0))</f>
        <v>316</v>
      </c>
      <c r="D21" cm="1">
        <f t="array" ref="D21">_xlfn.IFS(YEAR($A21)&lt;=2009,ROUNDDOWN(D20+VLOOKUP(D$1,$J$1:$K$5,2,FALSE)*D20,0),YEAR($A21)=2010,D20,YEAR($A21)&gt;2010,ROUNDDOWN(D20-VLOOKUP(D$1,$J$1:$L$5,3,FALSE)*D20,0))</f>
        <v>350</v>
      </c>
      <c r="E21" cm="1">
        <f t="array" ref="E21">_xlfn.IFS(YEAR($A21)&lt;=2009,ROUNDDOWN(E20+VLOOKUP(E$1,$J$1:$K$5,2,FALSE)*E20,0),YEAR($A21)=2010,E20,YEAR($A21)&gt;2010,ROUNDDOWN(E20-VLOOKUP(E$1,$J$1:$L$5,3,FALSE)*E20,0))</f>
        <v>443</v>
      </c>
    </row>
    <row r="22" spans="1:12" x14ac:dyDescent="0.25">
      <c r="A22" s="3">
        <v>40268</v>
      </c>
      <c r="B22" cm="1">
        <f t="array" ref="B22">_xlfn.IFS(YEAR($A22)&lt;=2009,ROUNDDOWN(B21+VLOOKUP(B$1,$J$1:$K$5,2,FALSE)*B21,0),YEAR($A22)=2010,B21,YEAR($A22)&gt;2010,ROUNDDOWN(B21-VLOOKUP(B$1,$J$1:$L$5,3,FALSE)*B21,0))</f>
        <v>333</v>
      </c>
      <c r="C22" cm="1">
        <f t="array" ref="C22">_xlfn.IFS(YEAR($A22)&lt;=2009,ROUNDDOWN(C21+VLOOKUP(C$1,$J$1:$K$5,2,FALSE)*C21,0),YEAR($A22)=2010,C21,YEAR($A22)&gt;2010,ROUNDDOWN(C21-VLOOKUP(C$1,$J$1:$L$5,3,FALSE)*C21,0))</f>
        <v>316</v>
      </c>
      <c r="D22" cm="1">
        <f t="array" ref="D22">_xlfn.IFS(YEAR($A22)&lt;=2009,ROUNDDOWN(D21+VLOOKUP(D$1,$J$1:$K$5,2,FALSE)*D21,0),YEAR($A22)=2010,D21,YEAR($A22)&gt;2010,ROUNDDOWN(D21-VLOOKUP(D$1,$J$1:$L$5,3,FALSE)*D21,0))</f>
        <v>350</v>
      </c>
      <c r="E22" cm="1">
        <f t="array" ref="E22">_xlfn.IFS(YEAR($A22)&lt;=2009,ROUNDDOWN(E21+VLOOKUP(E$1,$J$1:$K$5,2,FALSE)*E21,0),YEAR($A22)=2010,E21,YEAR($A22)&gt;2010,ROUNDDOWN(E21-VLOOKUP(E$1,$J$1:$L$5,3,FALSE)*E21,0))</f>
        <v>443</v>
      </c>
    </row>
    <row r="23" spans="1:12" x14ac:dyDescent="0.25">
      <c r="A23" s="3">
        <v>40359</v>
      </c>
      <c r="B23" cm="1">
        <f t="array" ref="B23">_xlfn.IFS(YEAR($A23)&lt;=2009,ROUNDDOWN(B22+VLOOKUP(B$1,$J$1:$K$5,2,FALSE)*B22,0),YEAR($A23)=2010,B22,YEAR($A23)&gt;2010,ROUNDDOWN(B22-VLOOKUP(B$1,$J$1:$L$5,3,FALSE)*B22,0))</f>
        <v>333</v>
      </c>
      <c r="C23" cm="1">
        <f t="array" ref="C23">_xlfn.IFS(YEAR($A23)&lt;=2009,ROUNDDOWN(C22+VLOOKUP(C$1,$J$1:$K$5,2,FALSE)*C22,0),YEAR($A23)=2010,C22,YEAR($A23)&gt;2010,ROUNDDOWN(C22-VLOOKUP(C$1,$J$1:$L$5,3,FALSE)*C22,0))</f>
        <v>316</v>
      </c>
      <c r="D23" cm="1">
        <f t="array" ref="D23">_xlfn.IFS(YEAR($A23)&lt;=2009,ROUNDDOWN(D22+VLOOKUP(D$1,$J$1:$K$5,2,FALSE)*D22,0),YEAR($A23)=2010,D22,YEAR($A23)&gt;2010,ROUNDDOWN(D22-VLOOKUP(D$1,$J$1:$L$5,3,FALSE)*D22,0))</f>
        <v>350</v>
      </c>
      <c r="E23" cm="1">
        <f t="array" ref="E23">_xlfn.IFS(YEAR($A23)&lt;=2009,ROUNDDOWN(E22+VLOOKUP(E$1,$J$1:$K$5,2,FALSE)*E22,0),YEAR($A23)=2010,E22,YEAR($A23)&gt;2010,ROUNDDOWN(E22-VLOOKUP(E$1,$J$1:$L$5,3,FALSE)*E22,0))</f>
        <v>443</v>
      </c>
    </row>
    <row r="24" spans="1:12" x14ac:dyDescent="0.25">
      <c r="A24" s="3">
        <v>40451</v>
      </c>
      <c r="B24" cm="1">
        <f t="array" ref="B24">_xlfn.IFS(YEAR($A24)&lt;=2009,ROUNDDOWN(B23+VLOOKUP(B$1,$J$1:$K$5,2,FALSE)*B23,0),YEAR($A24)=2010,B23,YEAR($A24)&gt;2010,ROUNDDOWN(B23-VLOOKUP(B$1,$J$1:$L$5,3,FALSE)*B23,0))</f>
        <v>333</v>
      </c>
      <c r="C24" cm="1">
        <f t="array" ref="C24">_xlfn.IFS(YEAR($A24)&lt;=2009,ROUNDDOWN(C23+VLOOKUP(C$1,$J$1:$K$5,2,FALSE)*C23,0),YEAR($A24)=2010,C23,YEAR($A24)&gt;2010,ROUNDDOWN(C23-VLOOKUP(C$1,$J$1:$L$5,3,FALSE)*C23,0))</f>
        <v>316</v>
      </c>
      <c r="D24" cm="1">
        <f t="array" ref="D24">_xlfn.IFS(YEAR($A24)&lt;=2009,ROUNDDOWN(D23+VLOOKUP(D$1,$J$1:$K$5,2,FALSE)*D23,0),YEAR($A24)=2010,D23,YEAR($A24)&gt;2010,ROUNDDOWN(D23-VLOOKUP(D$1,$J$1:$L$5,3,FALSE)*D23,0))</f>
        <v>350</v>
      </c>
      <c r="E24" cm="1">
        <f t="array" ref="E24">_xlfn.IFS(YEAR($A24)&lt;=2009,ROUNDDOWN(E23+VLOOKUP(E$1,$J$1:$K$5,2,FALSE)*E23,0),YEAR($A24)=2010,E23,YEAR($A24)&gt;2010,ROUNDDOWN(E23-VLOOKUP(E$1,$J$1:$L$5,3,FALSE)*E23,0))</f>
        <v>443</v>
      </c>
    </row>
    <row r="25" spans="1:12" x14ac:dyDescent="0.25">
      <c r="A25" s="3">
        <v>40543</v>
      </c>
      <c r="B25" cm="1">
        <f t="array" ref="B25">_xlfn.IFS(YEAR($A25)&lt;=2009,ROUNDDOWN(B24+VLOOKUP(B$1,$J$1:$K$5,2,FALSE)*B24,0),YEAR($A25)=2010,B24,YEAR($A25)&gt;2010,ROUNDDOWN(B24-VLOOKUP(B$1,$J$1:$L$5,3,FALSE)*B24,0))</f>
        <v>333</v>
      </c>
      <c r="C25" cm="1">
        <f t="array" ref="C25">_xlfn.IFS(YEAR($A25)&lt;=2009,ROUNDDOWN(C24+VLOOKUP(C$1,$J$1:$K$5,2,FALSE)*C24,0),YEAR($A25)=2010,C24,YEAR($A25)&gt;2010,ROUNDDOWN(C24-VLOOKUP(C$1,$J$1:$L$5,3,FALSE)*C24,0))</f>
        <v>316</v>
      </c>
      <c r="D25" cm="1">
        <f t="array" ref="D25">_xlfn.IFS(YEAR($A25)&lt;=2009,ROUNDDOWN(D24+VLOOKUP(D$1,$J$1:$K$5,2,FALSE)*D24,0),YEAR($A25)=2010,D24,YEAR($A25)&gt;2010,ROUNDDOWN(D24-VLOOKUP(D$1,$J$1:$L$5,3,FALSE)*D24,0))</f>
        <v>350</v>
      </c>
      <c r="E25" cm="1">
        <f t="array" ref="E25">_xlfn.IFS(YEAR($A25)&lt;=2009,ROUNDDOWN(E24+VLOOKUP(E$1,$J$1:$K$5,2,FALSE)*E24,0),YEAR($A25)=2010,E24,YEAR($A25)&gt;2010,ROUNDDOWN(E24-VLOOKUP(E$1,$J$1:$L$5,3,FALSE)*E24,0))</f>
        <v>443</v>
      </c>
    </row>
    <row r="26" spans="1:12" x14ac:dyDescent="0.25">
      <c r="A26" s="3">
        <v>40633</v>
      </c>
      <c r="B26" cm="1">
        <f t="array" ref="B26">_xlfn.IFS(YEAR($A26)&lt;=2009,ROUNDDOWN(B25+VLOOKUP(B$1,$J$1:$K$5,2,FALSE)*B25,0),YEAR($A26)=2010,B25,YEAR($A26)&gt;2010,ROUNDDOWN(B25-VLOOKUP(B$1,$J$1:$L$5,3,FALSE)*B25,0))</f>
        <v>329</v>
      </c>
      <c r="C26" cm="1">
        <f t="array" ref="C26">_xlfn.IFS(YEAR($A26)&lt;=2009,ROUNDDOWN(C25+VLOOKUP(C$1,$J$1:$K$5,2,FALSE)*C25,0),YEAR($A26)=2010,C25,YEAR($A26)&gt;2010,ROUNDDOWN(C25-VLOOKUP(C$1,$J$1:$L$5,3,FALSE)*C25,0))</f>
        <v>312</v>
      </c>
      <c r="D26" cm="1">
        <f t="array" ref="D26">_xlfn.IFS(YEAR($A26)&lt;=2009,ROUNDDOWN(D25+VLOOKUP(D$1,$J$1:$K$5,2,FALSE)*D25,0),YEAR($A26)=2010,D25,YEAR($A26)&gt;2010,ROUNDDOWN(D25-VLOOKUP(D$1,$J$1:$L$5,3,FALSE)*D25,0))</f>
        <v>343</v>
      </c>
      <c r="E26" cm="1">
        <f t="array" ref="E26">_xlfn.IFS(YEAR($A26)&lt;=2009,ROUNDDOWN(E25+VLOOKUP(E$1,$J$1:$K$5,2,FALSE)*E25,0),YEAR($A26)=2010,E25,YEAR($A26)&gt;2010,ROUNDDOWN(E25-VLOOKUP(E$1,$J$1:$L$5,3,FALSE)*E25,0))</f>
        <v>431</v>
      </c>
    </row>
    <row r="27" spans="1:12" x14ac:dyDescent="0.25">
      <c r="A27" s="3">
        <v>40724</v>
      </c>
      <c r="B27" cm="1">
        <f t="array" ref="B27">_xlfn.IFS(YEAR($A27)&lt;=2009,ROUNDDOWN(B26+VLOOKUP(B$1,$J$1:$K$5,2,FALSE)*B26,0),YEAR($A27)=2010,B26,YEAR($A27)&gt;2010,ROUNDDOWN(B26-VLOOKUP(B$1,$J$1:$L$5,3,FALSE)*B26,0))</f>
        <v>325</v>
      </c>
      <c r="C27" cm="1">
        <f t="array" ref="C27">_xlfn.IFS(YEAR($A27)&lt;=2009,ROUNDDOWN(C26+VLOOKUP(C$1,$J$1:$K$5,2,FALSE)*C26,0),YEAR($A27)=2010,C26,YEAR($A27)&gt;2010,ROUNDDOWN(C26-VLOOKUP(C$1,$J$1:$L$5,3,FALSE)*C26,0))</f>
        <v>308</v>
      </c>
      <c r="D27" cm="1">
        <f t="array" ref="D27">_xlfn.IFS(YEAR($A27)&lt;=2009,ROUNDDOWN(D26+VLOOKUP(D$1,$J$1:$K$5,2,FALSE)*D26,0),YEAR($A27)=2010,D26,YEAR($A27)&gt;2010,ROUNDDOWN(D26-VLOOKUP(D$1,$J$1:$L$5,3,FALSE)*D26,0))</f>
        <v>336</v>
      </c>
      <c r="E27" cm="1">
        <f t="array" ref="E27">_xlfn.IFS(YEAR($A27)&lt;=2009,ROUNDDOWN(E26+VLOOKUP(E$1,$J$1:$K$5,2,FALSE)*E26,0),YEAR($A27)=2010,E26,YEAR($A27)&gt;2010,ROUNDDOWN(E26-VLOOKUP(E$1,$J$1:$L$5,3,FALSE)*E26,0))</f>
        <v>420</v>
      </c>
    </row>
    <row r="28" spans="1:12" x14ac:dyDescent="0.25">
      <c r="A28" s="3">
        <v>40816</v>
      </c>
      <c r="B28" cm="1">
        <f t="array" ref="B28">_xlfn.IFS(YEAR($A28)&lt;=2009,ROUNDDOWN(B27+VLOOKUP(B$1,$J$1:$K$5,2,FALSE)*B27,0),YEAR($A28)=2010,B27,YEAR($A28)&gt;2010,ROUNDDOWN(B27-VLOOKUP(B$1,$J$1:$L$5,3,FALSE)*B27,0))</f>
        <v>321</v>
      </c>
      <c r="C28" cm="1">
        <f t="array" ref="C28">_xlfn.IFS(YEAR($A28)&lt;=2009,ROUNDDOWN(C27+VLOOKUP(C$1,$J$1:$K$5,2,FALSE)*C27,0),YEAR($A28)=2010,C27,YEAR($A28)&gt;2010,ROUNDDOWN(C27-VLOOKUP(C$1,$J$1:$L$5,3,FALSE)*C27,0))</f>
        <v>304</v>
      </c>
      <c r="D28" cm="1">
        <f t="array" ref="D28">_xlfn.IFS(YEAR($A28)&lt;=2009,ROUNDDOWN(D27+VLOOKUP(D$1,$J$1:$K$5,2,FALSE)*D27,0),YEAR($A28)=2010,D27,YEAR($A28)&gt;2010,ROUNDDOWN(D27-VLOOKUP(D$1,$J$1:$L$5,3,FALSE)*D27,0))</f>
        <v>329</v>
      </c>
      <c r="E28" cm="1">
        <f t="array" ref="E28">_xlfn.IFS(YEAR($A28)&lt;=2009,ROUNDDOWN(E27+VLOOKUP(E$1,$J$1:$K$5,2,FALSE)*E27,0),YEAR($A28)=2010,E27,YEAR($A28)&gt;2010,ROUNDDOWN(E27-VLOOKUP(E$1,$J$1:$L$5,3,FALSE)*E27,0))</f>
        <v>409</v>
      </c>
    </row>
    <row r="29" spans="1:12" x14ac:dyDescent="0.25">
      <c r="A29" s="3">
        <v>40908</v>
      </c>
      <c r="B29" cm="1">
        <f t="array" ref="B29">_xlfn.IFS(YEAR($A29)&lt;=2009,ROUNDDOWN(B28+VLOOKUP(B$1,$J$1:$K$5,2,FALSE)*B28,0),YEAR($A29)=2010,B28,YEAR($A29)&gt;2010,ROUNDDOWN(B28-VLOOKUP(B$1,$J$1:$L$5,3,FALSE)*B28,0))</f>
        <v>317</v>
      </c>
      <c r="C29" cm="1">
        <f t="array" ref="C29">_xlfn.IFS(YEAR($A29)&lt;=2009,ROUNDDOWN(C28+VLOOKUP(C$1,$J$1:$K$5,2,FALSE)*C28,0),YEAR($A29)=2010,C28,YEAR($A29)&gt;2010,ROUNDDOWN(C28-VLOOKUP(C$1,$J$1:$L$5,3,FALSE)*C28,0))</f>
        <v>300</v>
      </c>
      <c r="D29" cm="1">
        <f t="array" ref="D29">_xlfn.IFS(YEAR($A29)&lt;=2009,ROUNDDOWN(D28+VLOOKUP(D$1,$J$1:$K$5,2,FALSE)*D28,0),YEAR($A29)=2010,D28,YEAR($A29)&gt;2010,ROUNDDOWN(D28-VLOOKUP(D$1,$J$1:$L$5,3,FALSE)*D28,0))</f>
        <v>322</v>
      </c>
      <c r="E29" cm="1">
        <f t="array" ref="E29">_xlfn.IFS(YEAR($A29)&lt;=2009,ROUNDDOWN(E28+VLOOKUP(E$1,$J$1:$K$5,2,FALSE)*E28,0),YEAR($A29)=2010,E28,YEAR($A29)&gt;2010,ROUNDDOWN(E28-VLOOKUP(E$1,$J$1:$L$5,3,FALSE)*E28,0))</f>
        <v>398</v>
      </c>
    </row>
    <row r="30" spans="1:12" x14ac:dyDescent="0.25">
      <c r="A30" s="3">
        <v>40999</v>
      </c>
      <c r="B30" cm="1">
        <f t="array" ref="B30">_xlfn.IFS(YEAR($A30)&lt;=2009,ROUNDDOWN(B29+VLOOKUP(B$1,$J$1:$K$5,2,FALSE)*B29,0),YEAR($A30)=2010,B29,YEAR($A30)&gt;2010,ROUNDDOWN(B29-VLOOKUP(B$1,$J$1:$L$5,3,FALSE)*B29,0))</f>
        <v>313</v>
      </c>
      <c r="C30" cm="1">
        <f t="array" ref="C30">_xlfn.IFS(YEAR($A30)&lt;=2009,ROUNDDOWN(C29+VLOOKUP(C$1,$J$1:$K$5,2,FALSE)*C29,0),YEAR($A30)=2010,C29,YEAR($A30)&gt;2010,ROUNDDOWN(C29-VLOOKUP(C$1,$J$1:$L$5,3,FALSE)*C29,0))</f>
        <v>296</v>
      </c>
      <c r="D30" cm="1">
        <f t="array" ref="D30">_xlfn.IFS(YEAR($A30)&lt;=2009,ROUNDDOWN(D29+VLOOKUP(D$1,$J$1:$K$5,2,FALSE)*D29,0),YEAR($A30)=2010,D29,YEAR($A30)&gt;2010,ROUNDDOWN(D29-VLOOKUP(D$1,$J$1:$L$5,3,FALSE)*D29,0))</f>
        <v>315</v>
      </c>
      <c r="E30" cm="1">
        <f t="array" ref="E30">_xlfn.IFS(YEAR($A30)&lt;=2009,ROUNDDOWN(E29+VLOOKUP(E$1,$J$1:$K$5,2,FALSE)*E29,0),YEAR($A30)=2010,E29,YEAR($A30)&gt;2010,ROUNDDOWN(E29-VLOOKUP(E$1,$J$1:$L$5,3,FALSE)*E29,0))</f>
        <v>388</v>
      </c>
    </row>
    <row r="31" spans="1:12" x14ac:dyDescent="0.25">
      <c r="A31" s="3">
        <v>41090</v>
      </c>
      <c r="B31" cm="1">
        <f t="array" ref="B31">_xlfn.IFS(YEAR($A31)&lt;=2009,ROUNDDOWN(B30+VLOOKUP(B$1,$J$1:$K$5,2,FALSE)*B30,0),YEAR($A31)=2010,B30,YEAR($A31)&gt;2010,ROUNDDOWN(B30-VLOOKUP(B$1,$J$1:$L$5,3,FALSE)*B30,0))</f>
        <v>309</v>
      </c>
      <c r="C31" cm="1">
        <f t="array" ref="C31">_xlfn.IFS(YEAR($A31)&lt;=2009,ROUNDDOWN(C30+VLOOKUP(C$1,$J$1:$K$5,2,FALSE)*C30,0),YEAR($A31)=2010,C30,YEAR($A31)&gt;2010,ROUNDDOWN(C30-VLOOKUP(C$1,$J$1:$L$5,3,FALSE)*C30,0))</f>
        <v>292</v>
      </c>
      <c r="D31" cm="1">
        <f t="array" ref="D31">_xlfn.IFS(YEAR($A31)&lt;=2009,ROUNDDOWN(D30+VLOOKUP(D$1,$J$1:$K$5,2,FALSE)*D30,0),YEAR($A31)=2010,D30,YEAR($A31)&gt;2010,ROUNDDOWN(D30-VLOOKUP(D$1,$J$1:$L$5,3,FALSE)*D30,0))</f>
        <v>309</v>
      </c>
      <c r="E31" cm="1">
        <f t="array" ref="E31">_xlfn.IFS(YEAR($A31)&lt;=2009,ROUNDDOWN(E30+VLOOKUP(E$1,$J$1:$K$5,2,FALSE)*E30,0),YEAR($A31)=2010,E30,YEAR($A31)&gt;2010,ROUNDDOWN(E30-VLOOKUP(E$1,$J$1:$L$5,3,FALSE)*E30,0))</f>
        <v>378</v>
      </c>
    </row>
    <row r="32" spans="1:12" x14ac:dyDescent="0.25">
      <c r="A32" s="3">
        <v>41182</v>
      </c>
      <c r="B32" cm="1">
        <f t="array" ref="B32">_xlfn.IFS(YEAR($A32)&lt;=2009,ROUNDDOWN(B31+VLOOKUP(B$1,$J$1:$K$5,2,FALSE)*B31,0),YEAR($A32)=2010,B31,YEAR($A32)&gt;2010,ROUNDDOWN(B31-VLOOKUP(B$1,$J$1:$L$5,3,FALSE)*B31,0))</f>
        <v>305</v>
      </c>
      <c r="C32" cm="1">
        <f t="array" ref="C32">_xlfn.IFS(YEAR($A32)&lt;=2009,ROUNDDOWN(C31+VLOOKUP(C$1,$J$1:$K$5,2,FALSE)*C31,0),YEAR($A32)=2010,C31,YEAR($A32)&gt;2010,ROUNDDOWN(C31-VLOOKUP(C$1,$J$1:$L$5,3,FALSE)*C31,0))</f>
        <v>288</v>
      </c>
      <c r="D32" cm="1">
        <f t="array" ref="D32">_xlfn.IFS(YEAR($A32)&lt;=2009,ROUNDDOWN(D31+VLOOKUP(D$1,$J$1:$K$5,2,FALSE)*D31,0),YEAR($A32)=2010,D31,YEAR($A32)&gt;2010,ROUNDDOWN(D31-VLOOKUP(D$1,$J$1:$L$5,3,FALSE)*D31,0))</f>
        <v>303</v>
      </c>
      <c r="E32" cm="1">
        <f t="array" ref="E32">_xlfn.IFS(YEAR($A32)&lt;=2009,ROUNDDOWN(E31+VLOOKUP(E$1,$J$1:$K$5,2,FALSE)*E31,0),YEAR($A32)=2010,E31,YEAR($A32)&gt;2010,ROUNDDOWN(E31-VLOOKUP(E$1,$J$1:$L$5,3,FALSE)*E31,0))</f>
        <v>368</v>
      </c>
    </row>
    <row r="33" spans="1:5" x14ac:dyDescent="0.25">
      <c r="A33" s="3">
        <v>41274</v>
      </c>
      <c r="B33" cm="1">
        <f t="array" ref="B33">_xlfn.IFS(YEAR($A33)&lt;=2009,ROUNDDOWN(B32+VLOOKUP(B$1,$J$1:$K$5,2,FALSE)*B32,0),YEAR($A33)=2010,B32,YEAR($A33)&gt;2010,ROUNDDOWN(B32-VLOOKUP(B$1,$J$1:$L$5,3,FALSE)*B32,0))</f>
        <v>301</v>
      </c>
      <c r="C33" cm="1">
        <f t="array" ref="C33">_xlfn.IFS(YEAR($A33)&lt;=2009,ROUNDDOWN(C32+VLOOKUP(C$1,$J$1:$K$5,2,FALSE)*C32,0),YEAR($A33)=2010,C32,YEAR($A33)&gt;2010,ROUNDDOWN(C32-VLOOKUP(C$1,$J$1:$L$5,3,FALSE)*C32,0))</f>
        <v>284</v>
      </c>
      <c r="D33" cm="1">
        <f t="array" ref="D33">_xlfn.IFS(YEAR($A33)&lt;=2009,ROUNDDOWN(D32+VLOOKUP(D$1,$J$1:$K$5,2,FALSE)*D32,0),YEAR($A33)=2010,D32,YEAR($A33)&gt;2010,ROUNDDOWN(D32-VLOOKUP(D$1,$J$1:$L$5,3,FALSE)*D32,0))</f>
        <v>297</v>
      </c>
      <c r="E33" cm="1">
        <f t="array" ref="E33">_xlfn.IFS(YEAR($A33)&lt;=2009,ROUNDDOWN(E32+VLOOKUP(E$1,$J$1:$K$5,2,FALSE)*E32,0),YEAR($A33)=2010,E32,YEAR($A33)&gt;2010,ROUNDDOWN(E32-VLOOKUP(E$1,$J$1:$L$5,3,FALSE)*E32,0))</f>
        <v>358</v>
      </c>
    </row>
  </sheetData>
  <pageMargins left="0.7" right="0.7" top="0.75" bottom="0.75" header="0.3" footer="0.3"/>
  <pageSetup paperSize="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workbookViewId="0">
      <selection activeCell="E33" sqref="A1:E33"/>
    </sheetView>
  </sheetViews>
  <sheetFormatPr defaultRowHeight="15" x14ac:dyDescent="0.25"/>
  <cols>
    <col min="1" max="1" width="10.140625" style="3" bestFit="1" customWidth="1"/>
    <col min="2" max="2" width="6" bestFit="1" customWidth="1"/>
    <col min="3" max="3" width="6.85546875" bestFit="1" customWidth="1"/>
    <col min="4" max="5" width="7" bestFit="1" customWidth="1"/>
    <col min="10" max="10" width="12" bestFit="1" customWidth="1"/>
    <col min="11" max="11" width="32.5703125" bestFit="1" customWidth="1"/>
    <col min="12" max="12" width="32" style="2" bestFit="1" customWidth="1"/>
  </cols>
  <sheetData>
    <row r="1" spans="1:12" x14ac:dyDescent="0.25">
      <c r="A1" s="3" t="s">
        <v>5</v>
      </c>
      <c r="B1" t="s">
        <v>0</v>
      </c>
      <c r="C1" t="s">
        <v>1</v>
      </c>
      <c r="D1" t="s">
        <v>2</v>
      </c>
      <c r="E1" t="s">
        <v>3</v>
      </c>
      <c r="J1" t="s">
        <v>8</v>
      </c>
      <c r="K1" t="s">
        <v>6</v>
      </c>
      <c r="L1" s="2" t="s">
        <v>7</v>
      </c>
    </row>
    <row r="2" spans="1:12" x14ac:dyDescent="0.25">
      <c r="A2" s="3">
        <v>38442</v>
      </c>
      <c r="B2">
        <v>237</v>
      </c>
      <c r="C2">
        <v>198</v>
      </c>
      <c r="D2">
        <v>207</v>
      </c>
      <c r="E2">
        <v>312</v>
      </c>
      <c r="J2" t="s">
        <v>0</v>
      </c>
      <c r="K2" s="1">
        <v>0.02</v>
      </c>
      <c r="L2" s="2">
        <v>0.01</v>
      </c>
    </row>
    <row r="3" spans="1:12" x14ac:dyDescent="0.25">
      <c r="A3" s="3">
        <v>38533</v>
      </c>
      <c r="B3" cm="1">
        <f t="array" ref="B3">_xlfn.IFS(YEAR($A3)&lt;=2009,ROUNDDOWN(B2+VLOOKUP(B$1,$J$1:$K$5,2,FALSE)*B2,0),YEAR($A3)=2010,B2,YEAR($A3)&gt;2010,ROUNDDOWN(B2-VLOOKUP(B$1,$J$1:$L$5,3,FALSE)*B2,0))</f>
        <v>241</v>
      </c>
      <c r="C3" cm="1">
        <f t="array" ref="C3">_xlfn.IFS(YEAR($A3)&lt;=2009,ROUNDDOWN(C2+VLOOKUP(C$1,$J$1:$K$5,2,FALSE)*C2,0),YEAR($A3)=2010,C2,YEAR($A3)&gt;2010,ROUNDDOWN(C2-VLOOKUP(C$1,$J$1:$L$5,3,FALSE)*C2,0))</f>
        <v>203</v>
      </c>
      <c r="D3" cm="1">
        <f t="array" ref="D3">_xlfn.IFS(YEAR($A3)&lt;=2009,ROUNDDOWN(D2+VLOOKUP(D$1,$J$1:$K$5,2,FALSE)*D2,0),YEAR($A3)=2010,D2,YEAR($A3)&gt;2010,ROUNDDOWN(D2-VLOOKUP(D$1,$J$1:$L$5,3,FALSE)*D2,0))</f>
        <v>213</v>
      </c>
      <c r="E3" cm="1">
        <f t="array" ref="E3">_xlfn.IFS(YEAR($A3)&lt;=2009,ROUNDDOWN(E2+VLOOKUP(E$1,$J$1:$K$5,2,FALSE)*E2,0),YEAR($A3)=2010,E2,YEAR($A3)&gt;2010,ROUNDDOWN(E2-VLOOKUP(E$1,$J$1:$L$5,3,FALSE)*E2,0))</f>
        <v>318</v>
      </c>
      <c r="J3" t="s">
        <v>1</v>
      </c>
      <c r="K3" s="2">
        <v>2.7E-2</v>
      </c>
      <c r="L3" s="2">
        <v>1.2E-2</v>
      </c>
    </row>
    <row r="4" spans="1:12" x14ac:dyDescent="0.25">
      <c r="A4" s="3">
        <v>38625</v>
      </c>
      <c r="B4" cm="1">
        <f t="array" ref="B4">_xlfn.IFS(YEAR($A4)&lt;=2009,ROUNDDOWN(B3+VLOOKUP(B$1,$J$1:$K$5,2,FALSE)*B3,0),YEAR($A4)=2010,B3,YEAR($A4)&gt;2010,ROUNDDOWN(B3-VLOOKUP(B$1,$J$1:$L$5,3,FALSE)*B3,0))</f>
        <v>245</v>
      </c>
      <c r="C4" cm="1">
        <f t="array" ref="C4">_xlfn.IFS(YEAR($A4)&lt;=2009,ROUNDDOWN(C3+VLOOKUP(C$1,$J$1:$K$5,2,FALSE)*C3,0),YEAR($A4)=2010,C3,YEAR($A4)&gt;2010,ROUNDDOWN(C3-VLOOKUP(C$1,$J$1:$L$5,3,FALSE)*C3,0))</f>
        <v>208</v>
      </c>
      <c r="D4" cm="1">
        <f t="array" ref="D4">_xlfn.IFS(YEAR($A4)&lt;=2009,ROUNDDOWN(D3+VLOOKUP(D$1,$J$1:$K$5,2,FALSE)*D3,0),YEAR($A4)=2010,D3,YEAR($A4)&gt;2010,ROUNDDOWN(D3-VLOOKUP(D$1,$J$1:$L$5,3,FALSE)*D3,0))</f>
        <v>219</v>
      </c>
      <c r="E4" cm="1">
        <f t="array" ref="E4">_xlfn.IFS(YEAR($A4)&lt;=2009,ROUNDDOWN(E3+VLOOKUP(E$1,$J$1:$K$5,2,FALSE)*E3,0),YEAR($A4)=2010,E3,YEAR($A4)&gt;2010,ROUNDDOWN(E3-VLOOKUP(E$1,$J$1:$L$5,3,FALSE)*E3,0))</f>
        <v>324</v>
      </c>
      <c r="J4" t="s">
        <v>2</v>
      </c>
      <c r="K4" s="1">
        <v>0.03</v>
      </c>
      <c r="L4" s="2">
        <v>1.9E-2</v>
      </c>
    </row>
    <row r="5" spans="1:12" x14ac:dyDescent="0.25">
      <c r="A5" s="3">
        <v>38717</v>
      </c>
      <c r="B5" cm="1">
        <f t="array" ref="B5">_xlfn.IFS(YEAR($A5)&lt;=2009,ROUNDDOWN(B4+VLOOKUP(B$1,$J$1:$K$5,2,FALSE)*B4,0),YEAR($A5)=2010,B4,YEAR($A5)&gt;2010,ROUNDDOWN(B4-VLOOKUP(B$1,$J$1:$L$5,3,FALSE)*B4,0))</f>
        <v>249</v>
      </c>
      <c r="C5" cm="1">
        <f t="array" ref="C5">_xlfn.IFS(YEAR($A5)&lt;=2009,ROUNDDOWN(C4+VLOOKUP(C$1,$J$1:$K$5,2,FALSE)*C4,0),YEAR($A5)=2010,C4,YEAR($A5)&gt;2010,ROUNDDOWN(C4-VLOOKUP(C$1,$J$1:$L$5,3,FALSE)*C4,0))</f>
        <v>213</v>
      </c>
      <c r="D5" cm="1">
        <f t="array" ref="D5">_xlfn.IFS(YEAR($A5)&lt;=2009,ROUNDDOWN(D4+VLOOKUP(D$1,$J$1:$K$5,2,FALSE)*D4,0),YEAR($A5)=2010,D4,YEAR($A5)&gt;2010,ROUNDDOWN(D4-VLOOKUP(D$1,$J$1:$L$5,3,FALSE)*D4,0))</f>
        <v>225</v>
      </c>
      <c r="E5" cm="1">
        <f t="array" ref="E5">_xlfn.IFS(YEAR($A5)&lt;=2009,ROUNDDOWN(E4+VLOOKUP(E$1,$J$1:$K$5,2,FALSE)*E4,0),YEAR($A5)=2010,E4,YEAR($A5)&gt;2010,ROUNDDOWN(E4-VLOOKUP(E$1,$J$1:$L$5,3,FALSE)*E4,0))</f>
        <v>330</v>
      </c>
      <c r="J5" t="s">
        <v>3</v>
      </c>
      <c r="K5" s="1">
        <v>0.02</v>
      </c>
      <c r="L5" s="2">
        <v>2.5000000000000001E-2</v>
      </c>
    </row>
    <row r="6" spans="1:12" x14ac:dyDescent="0.25">
      <c r="A6" s="3">
        <v>38807</v>
      </c>
      <c r="B6" cm="1">
        <f t="array" ref="B6">_xlfn.IFS(YEAR($A6)&lt;=2009,ROUNDDOWN(B5+VLOOKUP(B$1,$J$1:$K$5,2,FALSE)*B5,0),YEAR($A6)=2010,B5,YEAR($A6)&gt;2010,ROUNDDOWN(B5-VLOOKUP(B$1,$J$1:$L$5,3,FALSE)*B5,0))</f>
        <v>253</v>
      </c>
      <c r="C6" cm="1">
        <f t="array" ref="C6">_xlfn.IFS(YEAR($A6)&lt;=2009,ROUNDDOWN(C5+VLOOKUP(C$1,$J$1:$K$5,2,FALSE)*C5,0),YEAR($A6)=2010,C5,YEAR($A6)&gt;2010,ROUNDDOWN(C5-VLOOKUP(C$1,$J$1:$L$5,3,FALSE)*C5,0))</f>
        <v>218</v>
      </c>
      <c r="D6" cm="1">
        <f t="array" ref="D6">_xlfn.IFS(YEAR($A6)&lt;=2009,ROUNDDOWN(D5+VLOOKUP(D$1,$J$1:$K$5,2,FALSE)*D5,0),YEAR($A6)=2010,D5,YEAR($A6)&gt;2010,ROUNDDOWN(D5-VLOOKUP(D$1,$J$1:$L$5,3,FALSE)*D5,0))</f>
        <v>231</v>
      </c>
      <c r="E6" cm="1">
        <f t="array" ref="E6">_xlfn.IFS(YEAR($A6)&lt;=2009,ROUNDDOWN(E5+VLOOKUP(E$1,$J$1:$K$5,2,FALSE)*E5,0),YEAR($A6)=2010,E5,YEAR($A6)&gt;2010,ROUNDDOWN(E5-VLOOKUP(E$1,$J$1:$L$5,3,FALSE)*E5,0))</f>
        <v>336</v>
      </c>
    </row>
    <row r="7" spans="1:12" x14ac:dyDescent="0.25">
      <c r="A7" s="3">
        <v>38898</v>
      </c>
      <c r="B7" cm="1">
        <f t="array" ref="B7">_xlfn.IFS(YEAR($A7)&lt;=2009,ROUNDDOWN(B6+VLOOKUP(B$1,$J$1:$K$5,2,FALSE)*B6,0),YEAR($A7)=2010,B6,YEAR($A7)&gt;2010,ROUNDDOWN(B6-VLOOKUP(B$1,$J$1:$L$5,3,FALSE)*B6,0))</f>
        <v>258</v>
      </c>
      <c r="C7" cm="1">
        <f t="array" ref="C7">_xlfn.IFS(YEAR($A7)&lt;=2009,ROUNDDOWN(C6+VLOOKUP(C$1,$J$1:$K$5,2,FALSE)*C6,0),YEAR($A7)=2010,C6,YEAR($A7)&gt;2010,ROUNDDOWN(C6-VLOOKUP(C$1,$J$1:$L$5,3,FALSE)*C6,0))</f>
        <v>223</v>
      </c>
      <c r="D7" cm="1">
        <f t="array" ref="D7">_xlfn.IFS(YEAR($A7)&lt;=2009,ROUNDDOWN(D6+VLOOKUP(D$1,$J$1:$K$5,2,FALSE)*D6,0),YEAR($A7)=2010,D6,YEAR($A7)&gt;2010,ROUNDDOWN(D6-VLOOKUP(D$1,$J$1:$L$5,3,FALSE)*D6,0))</f>
        <v>237</v>
      </c>
      <c r="E7" cm="1">
        <f t="array" ref="E7">_xlfn.IFS(YEAR($A7)&lt;=2009,ROUNDDOWN(E6+VLOOKUP(E$1,$J$1:$K$5,2,FALSE)*E6,0),YEAR($A7)=2010,E6,YEAR($A7)&gt;2010,ROUNDDOWN(E6-VLOOKUP(E$1,$J$1:$L$5,3,FALSE)*E6,0))</f>
        <v>342</v>
      </c>
    </row>
    <row r="8" spans="1:12" x14ac:dyDescent="0.25">
      <c r="A8" s="3">
        <v>38990</v>
      </c>
      <c r="B8" cm="1">
        <f t="array" ref="B8">_xlfn.IFS(YEAR($A8)&lt;=2009,ROUNDDOWN(B7+VLOOKUP(B$1,$J$1:$K$5,2,FALSE)*B7,0),YEAR($A8)=2010,B7,YEAR($A8)&gt;2010,ROUNDDOWN(B7-VLOOKUP(B$1,$J$1:$L$5,3,FALSE)*B7,0))</f>
        <v>263</v>
      </c>
      <c r="C8" cm="1">
        <f t="array" ref="C8">_xlfn.IFS(YEAR($A8)&lt;=2009,ROUNDDOWN(C7+VLOOKUP(C$1,$J$1:$K$5,2,FALSE)*C7,0),YEAR($A8)=2010,C7,YEAR($A8)&gt;2010,ROUNDDOWN(C7-VLOOKUP(C$1,$J$1:$L$5,3,FALSE)*C7,0))</f>
        <v>229</v>
      </c>
      <c r="D8" cm="1">
        <f t="array" ref="D8">_xlfn.IFS(YEAR($A8)&lt;=2009,ROUNDDOWN(D7+VLOOKUP(D$1,$J$1:$K$5,2,FALSE)*D7,0),YEAR($A8)=2010,D7,YEAR($A8)&gt;2010,ROUNDDOWN(D7-VLOOKUP(D$1,$J$1:$L$5,3,FALSE)*D7,0))</f>
        <v>244</v>
      </c>
      <c r="E8" cm="1">
        <f t="array" ref="E8">_xlfn.IFS(YEAR($A8)&lt;=2009,ROUNDDOWN(E7+VLOOKUP(E$1,$J$1:$K$5,2,FALSE)*E7,0),YEAR($A8)=2010,E7,YEAR($A8)&gt;2010,ROUNDDOWN(E7-VLOOKUP(E$1,$J$1:$L$5,3,FALSE)*E7,0))</f>
        <v>348</v>
      </c>
    </row>
    <row r="9" spans="1:12" x14ac:dyDescent="0.25">
      <c r="A9" s="3">
        <v>39082</v>
      </c>
      <c r="B9" cm="1">
        <f t="array" ref="B9">_xlfn.IFS(YEAR($A9)&lt;=2009,ROUNDDOWN(B8+VLOOKUP(B$1,$J$1:$K$5,2,FALSE)*B8,0),YEAR($A9)=2010,B8,YEAR($A9)&gt;2010,ROUNDDOWN(B8-VLOOKUP(B$1,$J$1:$L$5,3,FALSE)*B8,0))</f>
        <v>268</v>
      </c>
      <c r="C9" cm="1">
        <f t="array" ref="C9">_xlfn.IFS(YEAR($A9)&lt;=2009,ROUNDDOWN(C8+VLOOKUP(C$1,$J$1:$K$5,2,FALSE)*C8,0),YEAR($A9)=2010,C8,YEAR($A9)&gt;2010,ROUNDDOWN(C8-VLOOKUP(C$1,$J$1:$L$5,3,FALSE)*C8,0))</f>
        <v>235</v>
      </c>
      <c r="D9" cm="1">
        <f t="array" ref="D9">_xlfn.IFS(YEAR($A9)&lt;=2009,ROUNDDOWN(D8+VLOOKUP(D$1,$J$1:$K$5,2,FALSE)*D8,0),YEAR($A9)=2010,D8,YEAR($A9)&gt;2010,ROUNDDOWN(D8-VLOOKUP(D$1,$J$1:$L$5,3,FALSE)*D8,0))</f>
        <v>251</v>
      </c>
      <c r="E9" cm="1">
        <f t="array" ref="E9">_xlfn.IFS(YEAR($A9)&lt;=2009,ROUNDDOWN(E8+VLOOKUP(E$1,$J$1:$K$5,2,FALSE)*E8,0),YEAR($A9)=2010,E8,YEAR($A9)&gt;2010,ROUNDDOWN(E8-VLOOKUP(E$1,$J$1:$L$5,3,FALSE)*E8,0))</f>
        <v>354</v>
      </c>
    </row>
    <row r="10" spans="1:12" x14ac:dyDescent="0.25">
      <c r="A10" s="3">
        <v>39172</v>
      </c>
      <c r="B10" cm="1">
        <f t="array" ref="B10">_xlfn.IFS(YEAR($A10)&lt;=2009,ROUNDDOWN(B9+VLOOKUP(B$1,$J$1:$K$5,2,FALSE)*B9,0),YEAR($A10)=2010,B9,YEAR($A10)&gt;2010,ROUNDDOWN(B9-VLOOKUP(B$1,$J$1:$L$5,3,FALSE)*B9,0))</f>
        <v>273</v>
      </c>
      <c r="C10" cm="1">
        <f t="array" ref="C10">_xlfn.IFS(YEAR($A10)&lt;=2009,ROUNDDOWN(C9+VLOOKUP(C$1,$J$1:$K$5,2,FALSE)*C9,0),YEAR($A10)=2010,C9,YEAR($A10)&gt;2010,ROUNDDOWN(C9-VLOOKUP(C$1,$J$1:$L$5,3,FALSE)*C9,0))</f>
        <v>241</v>
      </c>
      <c r="D10" cm="1">
        <f t="array" ref="D10">_xlfn.IFS(YEAR($A10)&lt;=2009,ROUNDDOWN(D9+VLOOKUP(D$1,$J$1:$K$5,2,FALSE)*D9,0),YEAR($A10)=2010,D9,YEAR($A10)&gt;2010,ROUNDDOWN(D9-VLOOKUP(D$1,$J$1:$L$5,3,FALSE)*D9,0))</f>
        <v>258</v>
      </c>
      <c r="E10" cm="1">
        <f t="array" ref="E10">_xlfn.IFS(YEAR($A10)&lt;=2009,ROUNDDOWN(E9+VLOOKUP(E$1,$J$1:$K$5,2,FALSE)*E9,0),YEAR($A10)=2010,E9,YEAR($A10)&gt;2010,ROUNDDOWN(E9-VLOOKUP(E$1,$J$1:$L$5,3,FALSE)*E9,0))</f>
        <v>361</v>
      </c>
    </row>
    <row r="11" spans="1:12" x14ac:dyDescent="0.25">
      <c r="A11" s="3">
        <v>39263</v>
      </c>
      <c r="B11" cm="1">
        <f t="array" ref="B11">_xlfn.IFS(YEAR($A11)&lt;=2009,ROUNDDOWN(B10+VLOOKUP(B$1,$J$1:$K$5,2,FALSE)*B10,0),YEAR($A11)=2010,B10,YEAR($A11)&gt;2010,ROUNDDOWN(B10-VLOOKUP(B$1,$J$1:$L$5,3,FALSE)*B10,0))</f>
        <v>278</v>
      </c>
      <c r="C11" cm="1">
        <f t="array" ref="C11">_xlfn.IFS(YEAR($A11)&lt;=2009,ROUNDDOWN(C10+VLOOKUP(C$1,$J$1:$K$5,2,FALSE)*C10,0),YEAR($A11)=2010,C10,YEAR($A11)&gt;2010,ROUNDDOWN(C10-VLOOKUP(C$1,$J$1:$L$5,3,FALSE)*C10,0))</f>
        <v>247</v>
      </c>
      <c r="D11" cm="1">
        <f t="array" ref="D11">_xlfn.IFS(YEAR($A11)&lt;=2009,ROUNDDOWN(D10+VLOOKUP(D$1,$J$1:$K$5,2,FALSE)*D10,0),YEAR($A11)=2010,D10,YEAR($A11)&gt;2010,ROUNDDOWN(D10-VLOOKUP(D$1,$J$1:$L$5,3,FALSE)*D10,0))</f>
        <v>265</v>
      </c>
      <c r="E11" cm="1">
        <f t="array" ref="E11">_xlfn.IFS(YEAR($A11)&lt;=2009,ROUNDDOWN(E10+VLOOKUP(E$1,$J$1:$K$5,2,FALSE)*E10,0),YEAR($A11)=2010,E10,YEAR($A11)&gt;2010,ROUNDDOWN(E10-VLOOKUP(E$1,$J$1:$L$5,3,FALSE)*E10,0))</f>
        <v>368</v>
      </c>
    </row>
    <row r="12" spans="1:12" x14ac:dyDescent="0.25">
      <c r="A12" s="3">
        <v>39355</v>
      </c>
      <c r="B12" cm="1">
        <f t="array" ref="B12">_xlfn.IFS(YEAR($A12)&lt;=2009,ROUNDDOWN(B11+VLOOKUP(B$1,$J$1:$K$5,2,FALSE)*B11,0),YEAR($A12)=2010,B11,YEAR($A12)&gt;2010,ROUNDDOWN(B11-VLOOKUP(B$1,$J$1:$L$5,3,FALSE)*B11,0))</f>
        <v>283</v>
      </c>
      <c r="C12" cm="1">
        <f t="array" ref="C12">_xlfn.IFS(YEAR($A12)&lt;=2009,ROUNDDOWN(C11+VLOOKUP(C$1,$J$1:$K$5,2,FALSE)*C11,0),YEAR($A12)=2010,C11,YEAR($A12)&gt;2010,ROUNDDOWN(C11-VLOOKUP(C$1,$J$1:$L$5,3,FALSE)*C11,0))</f>
        <v>253</v>
      </c>
      <c r="D12" cm="1">
        <f t="array" ref="D12">_xlfn.IFS(YEAR($A12)&lt;=2009,ROUNDDOWN(D11+VLOOKUP(D$1,$J$1:$K$5,2,FALSE)*D11,0),YEAR($A12)=2010,D11,YEAR($A12)&gt;2010,ROUNDDOWN(D11-VLOOKUP(D$1,$J$1:$L$5,3,FALSE)*D11,0))</f>
        <v>272</v>
      </c>
      <c r="E12" cm="1">
        <f t="array" ref="E12">_xlfn.IFS(YEAR($A12)&lt;=2009,ROUNDDOWN(E11+VLOOKUP(E$1,$J$1:$K$5,2,FALSE)*E11,0),YEAR($A12)=2010,E11,YEAR($A12)&gt;2010,ROUNDDOWN(E11-VLOOKUP(E$1,$J$1:$L$5,3,FALSE)*E11,0))</f>
        <v>375</v>
      </c>
    </row>
    <row r="13" spans="1:12" x14ac:dyDescent="0.25">
      <c r="A13" s="3">
        <v>39447</v>
      </c>
      <c r="B13" cm="1">
        <f t="array" ref="B13">_xlfn.IFS(YEAR($A13)&lt;=2009,ROUNDDOWN(B12+VLOOKUP(B$1,$J$1:$K$5,2,FALSE)*B12,0),YEAR($A13)=2010,B12,YEAR($A13)&gt;2010,ROUNDDOWN(B12-VLOOKUP(B$1,$J$1:$L$5,3,FALSE)*B12,0))</f>
        <v>288</v>
      </c>
      <c r="C13" cm="1">
        <f t="array" ref="C13">_xlfn.IFS(YEAR($A13)&lt;=2009,ROUNDDOWN(C12+VLOOKUP(C$1,$J$1:$K$5,2,FALSE)*C12,0),YEAR($A13)=2010,C12,YEAR($A13)&gt;2010,ROUNDDOWN(C12-VLOOKUP(C$1,$J$1:$L$5,3,FALSE)*C12,0))</f>
        <v>259</v>
      </c>
      <c r="D13" cm="1">
        <f t="array" ref="D13">_xlfn.IFS(YEAR($A13)&lt;=2009,ROUNDDOWN(D12+VLOOKUP(D$1,$J$1:$K$5,2,FALSE)*D12,0),YEAR($A13)=2010,D12,YEAR($A13)&gt;2010,ROUNDDOWN(D12-VLOOKUP(D$1,$J$1:$L$5,3,FALSE)*D12,0))</f>
        <v>280</v>
      </c>
      <c r="E13" cm="1">
        <f t="array" ref="E13">_xlfn.IFS(YEAR($A13)&lt;=2009,ROUNDDOWN(E12+VLOOKUP(E$1,$J$1:$K$5,2,FALSE)*E12,0),YEAR($A13)=2010,E12,YEAR($A13)&gt;2010,ROUNDDOWN(E12-VLOOKUP(E$1,$J$1:$L$5,3,FALSE)*E12,0))</f>
        <v>382</v>
      </c>
    </row>
    <row r="14" spans="1:12" x14ac:dyDescent="0.25">
      <c r="A14" s="3">
        <v>39538</v>
      </c>
      <c r="B14" cm="1">
        <f t="array" ref="B14">_xlfn.IFS(YEAR($A14)&lt;=2009,ROUNDDOWN(B13+VLOOKUP(B$1,$J$1:$K$5,2,FALSE)*B13,0),YEAR($A14)=2010,B13,YEAR($A14)&gt;2010,ROUNDDOWN(B13-VLOOKUP(B$1,$J$1:$L$5,3,FALSE)*B13,0))</f>
        <v>293</v>
      </c>
      <c r="C14" cm="1">
        <f t="array" ref="C14">_xlfn.IFS(YEAR($A14)&lt;=2009,ROUNDDOWN(C13+VLOOKUP(C$1,$J$1:$K$5,2,FALSE)*C13,0),YEAR($A14)=2010,C13,YEAR($A14)&gt;2010,ROUNDDOWN(C13-VLOOKUP(C$1,$J$1:$L$5,3,FALSE)*C13,0))</f>
        <v>265</v>
      </c>
      <c r="D14" cm="1">
        <f t="array" ref="D14">_xlfn.IFS(YEAR($A14)&lt;=2009,ROUNDDOWN(D13+VLOOKUP(D$1,$J$1:$K$5,2,FALSE)*D13,0),YEAR($A14)=2010,D13,YEAR($A14)&gt;2010,ROUNDDOWN(D13-VLOOKUP(D$1,$J$1:$L$5,3,FALSE)*D13,0))</f>
        <v>288</v>
      </c>
      <c r="E14" cm="1">
        <f t="array" ref="E14">_xlfn.IFS(YEAR($A14)&lt;=2009,ROUNDDOWN(E13+VLOOKUP(E$1,$J$1:$K$5,2,FALSE)*E13,0),YEAR($A14)=2010,E13,YEAR($A14)&gt;2010,ROUNDDOWN(E13-VLOOKUP(E$1,$J$1:$L$5,3,FALSE)*E13,0))</f>
        <v>389</v>
      </c>
    </row>
    <row r="15" spans="1:12" x14ac:dyDescent="0.25">
      <c r="A15" s="3">
        <v>39629</v>
      </c>
      <c r="B15" cm="1">
        <f t="array" ref="B15">_xlfn.IFS(YEAR($A15)&lt;=2009,ROUNDDOWN(B14+VLOOKUP(B$1,$J$1:$K$5,2,FALSE)*B14,0),YEAR($A15)=2010,B14,YEAR($A15)&gt;2010,ROUNDDOWN(B14-VLOOKUP(B$1,$J$1:$L$5,3,FALSE)*B14,0))</f>
        <v>298</v>
      </c>
      <c r="C15" cm="1">
        <f t="array" ref="C15">_xlfn.IFS(YEAR($A15)&lt;=2009,ROUNDDOWN(C14+VLOOKUP(C$1,$J$1:$K$5,2,FALSE)*C14,0),YEAR($A15)=2010,C14,YEAR($A15)&gt;2010,ROUNDDOWN(C14-VLOOKUP(C$1,$J$1:$L$5,3,FALSE)*C14,0))</f>
        <v>272</v>
      </c>
      <c r="D15" cm="1">
        <f t="array" ref="D15">_xlfn.IFS(YEAR($A15)&lt;=2009,ROUNDDOWN(D14+VLOOKUP(D$1,$J$1:$K$5,2,FALSE)*D14,0),YEAR($A15)=2010,D14,YEAR($A15)&gt;2010,ROUNDDOWN(D14-VLOOKUP(D$1,$J$1:$L$5,3,FALSE)*D14,0))</f>
        <v>296</v>
      </c>
      <c r="E15" cm="1">
        <f t="array" ref="E15">_xlfn.IFS(YEAR($A15)&lt;=2009,ROUNDDOWN(E14+VLOOKUP(E$1,$J$1:$K$5,2,FALSE)*E14,0),YEAR($A15)=2010,E14,YEAR($A15)&gt;2010,ROUNDDOWN(E14-VLOOKUP(E$1,$J$1:$L$5,3,FALSE)*E14,0))</f>
        <v>396</v>
      </c>
    </row>
    <row r="16" spans="1:12" x14ac:dyDescent="0.25">
      <c r="A16" s="3">
        <v>39721</v>
      </c>
      <c r="B16" cm="1">
        <f t="array" ref="B16">_xlfn.IFS(YEAR($A16)&lt;=2009,ROUNDDOWN(B15+VLOOKUP(B$1,$J$1:$K$5,2,FALSE)*B15,0),YEAR($A16)=2010,B15,YEAR($A16)&gt;2010,ROUNDDOWN(B15-VLOOKUP(B$1,$J$1:$L$5,3,FALSE)*B15,0))</f>
        <v>303</v>
      </c>
      <c r="C16" cm="1">
        <f t="array" ref="C16">_xlfn.IFS(YEAR($A16)&lt;=2009,ROUNDDOWN(C15+VLOOKUP(C$1,$J$1:$K$5,2,FALSE)*C15,0),YEAR($A16)=2010,C15,YEAR($A16)&gt;2010,ROUNDDOWN(C15-VLOOKUP(C$1,$J$1:$L$5,3,FALSE)*C15,0))</f>
        <v>279</v>
      </c>
      <c r="D16" cm="1">
        <f t="array" ref="D16">_xlfn.IFS(YEAR($A16)&lt;=2009,ROUNDDOWN(D15+VLOOKUP(D$1,$J$1:$K$5,2,FALSE)*D15,0),YEAR($A16)=2010,D15,YEAR($A16)&gt;2010,ROUNDDOWN(D15-VLOOKUP(D$1,$J$1:$L$5,3,FALSE)*D15,0))</f>
        <v>304</v>
      </c>
      <c r="E16" cm="1">
        <f t="array" ref="E16">_xlfn.IFS(YEAR($A16)&lt;=2009,ROUNDDOWN(E15+VLOOKUP(E$1,$J$1:$K$5,2,FALSE)*E15,0),YEAR($A16)=2010,E15,YEAR($A16)&gt;2010,ROUNDDOWN(E15-VLOOKUP(E$1,$J$1:$L$5,3,FALSE)*E15,0))</f>
        <v>403</v>
      </c>
    </row>
    <row r="17" spans="1:5" x14ac:dyDescent="0.25">
      <c r="A17" s="3">
        <v>39813</v>
      </c>
      <c r="B17" cm="1">
        <f t="array" ref="B17">_xlfn.IFS(YEAR($A17)&lt;=2009,ROUNDDOWN(B16+VLOOKUP(B$1,$J$1:$K$5,2,FALSE)*B16,0),YEAR($A17)=2010,B16,YEAR($A17)&gt;2010,ROUNDDOWN(B16-VLOOKUP(B$1,$J$1:$L$5,3,FALSE)*B16,0))</f>
        <v>309</v>
      </c>
      <c r="C17" cm="1">
        <f t="array" ref="C17">_xlfn.IFS(YEAR($A17)&lt;=2009,ROUNDDOWN(C16+VLOOKUP(C$1,$J$1:$K$5,2,FALSE)*C16,0),YEAR($A17)=2010,C16,YEAR($A17)&gt;2010,ROUNDDOWN(C16-VLOOKUP(C$1,$J$1:$L$5,3,FALSE)*C16,0))</f>
        <v>286</v>
      </c>
      <c r="D17" cm="1">
        <f t="array" ref="D17">_xlfn.IFS(YEAR($A17)&lt;=2009,ROUNDDOWN(D16+VLOOKUP(D$1,$J$1:$K$5,2,FALSE)*D16,0),YEAR($A17)=2010,D16,YEAR($A17)&gt;2010,ROUNDDOWN(D16-VLOOKUP(D$1,$J$1:$L$5,3,FALSE)*D16,0))</f>
        <v>313</v>
      </c>
      <c r="E17" cm="1">
        <f t="array" ref="E17">_xlfn.IFS(YEAR($A17)&lt;=2009,ROUNDDOWN(E16+VLOOKUP(E$1,$J$1:$K$5,2,FALSE)*E16,0),YEAR($A17)=2010,E16,YEAR($A17)&gt;2010,ROUNDDOWN(E16-VLOOKUP(E$1,$J$1:$L$5,3,FALSE)*E16,0))</f>
        <v>411</v>
      </c>
    </row>
    <row r="18" spans="1:5" x14ac:dyDescent="0.25">
      <c r="A18" s="3">
        <v>39903</v>
      </c>
      <c r="B18" cm="1">
        <f t="array" ref="B18">_xlfn.IFS(YEAR($A18)&lt;=2009,ROUNDDOWN(B17+VLOOKUP(B$1,$J$1:$K$5,2,FALSE)*B17,0),YEAR($A18)=2010,B17,YEAR($A18)&gt;2010,ROUNDDOWN(B17-VLOOKUP(B$1,$J$1:$L$5,3,FALSE)*B17,0))</f>
        <v>315</v>
      </c>
      <c r="C18" cm="1">
        <f t="array" ref="C18">_xlfn.IFS(YEAR($A18)&lt;=2009,ROUNDDOWN(C17+VLOOKUP(C$1,$J$1:$K$5,2,FALSE)*C17,0),YEAR($A18)=2010,C17,YEAR($A18)&gt;2010,ROUNDDOWN(C17-VLOOKUP(C$1,$J$1:$L$5,3,FALSE)*C17,0))</f>
        <v>293</v>
      </c>
      <c r="D18" cm="1">
        <f t="array" ref="D18">_xlfn.IFS(YEAR($A18)&lt;=2009,ROUNDDOWN(D17+VLOOKUP(D$1,$J$1:$K$5,2,FALSE)*D17,0),YEAR($A18)=2010,D17,YEAR($A18)&gt;2010,ROUNDDOWN(D17-VLOOKUP(D$1,$J$1:$L$5,3,FALSE)*D17,0))</f>
        <v>322</v>
      </c>
      <c r="E18" cm="1">
        <f t="array" ref="E18">_xlfn.IFS(YEAR($A18)&lt;=2009,ROUNDDOWN(E17+VLOOKUP(E$1,$J$1:$K$5,2,FALSE)*E17,0),YEAR($A18)=2010,E17,YEAR($A18)&gt;2010,ROUNDDOWN(E17-VLOOKUP(E$1,$J$1:$L$5,3,FALSE)*E17,0))</f>
        <v>419</v>
      </c>
    </row>
    <row r="19" spans="1:5" x14ac:dyDescent="0.25">
      <c r="A19" s="3">
        <v>39994</v>
      </c>
      <c r="B19" cm="1">
        <f t="array" ref="B19">_xlfn.IFS(YEAR($A19)&lt;=2009,ROUNDDOWN(B18+VLOOKUP(B$1,$J$1:$K$5,2,FALSE)*B18,0),YEAR($A19)=2010,B18,YEAR($A19)&gt;2010,ROUNDDOWN(B18-VLOOKUP(B$1,$J$1:$L$5,3,FALSE)*B18,0))</f>
        <v>321</v>
      </c>
      <c r="C19" cm="1">
        <f t="array" ref="C19">_xlfn.IFS(YEAR($A19)&lt;=2009,ROUNDDOWN(C18+VLOOKUP(C$1,$J$1:$K$5,2,FALSE)*C18,0),YEAR($A19)=2010,C18,YEAR($A19)&gt;2010,ROUNDDOWN(C18-VLOOKUP(C$1,$J$1:$L$5,3,FALSE)*C18,0))</f>
        <v>300</v>
      </c>
      <c r="D19" cm="1">
        <f t="array" ref="D19">_xlfn.IFS(YEAR($A19)&lt;=2009,ROUNDDOWN(D18+VLOOKUP(D$1,$J$1:$K$5,2,FALSE)*D18,0),YEAR($A19)=2010,D18,YEAR($A19)&gt;2010,ROUNDDOWN(D18-VLOOKUP(D$1,$J$1:$L$5,3,FALSE)*D18,0))</f>
        <v>331</v>
      </c>
      <c r="E19" cm="1">
        <f t="array" ref="E19">_xlfn.IFS(YEAR($A19)&lt;=2009,ROUNDDOWN(E18+VLOOKUP(E$1,$J$1:$K$5,2,FALSE)*E18,0),YEAR($A19)=2010,E18,YEAR($A19)&gt;2010,ROUNDDOWN(E18-VLOOKUP(E$1,$J$1:$L$5,3,FALSE)*E18,0))</f>
        <v>427</v>
      </c>
    </row>
    <row r="20" spans="1:5" x14ac:dyDescent="0.25">
      <c r="A20" s="3">
        <v>40086</v>
      </c>
      <c r="B20" cm="1">
        <f t="array" ref="B20">_xlfn.IFS(YEAR($A20)&lt;=2009,ROUNDDOWN(B19+VLOOKUP(B$1,$J$1:$K$5,2,FALSE)*B19,0),YEAR($A20)=2010,B19,YEAR($A20)&gt;2010,ROUNDDOWN(B19-VLOOKUP(B$1,$J$1:$L$5,3,FALSE)*B19,0))</f>
        <v>327</v>
      </c>
      <c r="C20" cm="1">
        <f t="array" ref="C20">_xlfn.IFS(YEAR($A20)&lt;=2009,ROUNDDOWN(C19+VLOOKUP(C$1,$J$1:$K$5,2,FALSE)*C19,0),YEAR($A20)=2010,C19,YEAR($A20)&gt;2010,ROUNDDOWN(C19-VLOOKUP(C$1,$J$1:$L$5,3,FALSE)*C19,0))</f>
        <v>308</v>
      </c>
      <c r="D20" cm="1">
        <f t="array" ref="D20">_xlfn.IFS(YEAR($A20)&lt;=2009,ROUNDDOWN(D19+VLOOKUP(D$1,$J$1:$K$5,2,FALSE)*D19,0),YEAR($A20)=2010,D19,YEAR($A20)&gt;2010,ROUNDDOWN(D19-VLOOKUP(D$1,$J$1:$L$5,3,FALSE)*D19,0))</f>
        <v>340</v>
      </c>
      <c r="E20" cm="1">
        <f t="array" ref="E20">_xlfn.IFS(YEAR($A20)&lt;=2009,ROUNDDOWN(E19+VLOOKUP(E$1,$J$1:$K$5,2,FALSE)*E19,0),YEAR($A20)=2010,E19,YEAR($A20)&gt;2010,ROUNDDOWN(E19-VLOOKUP(E$1,$J$1:$L$5,3,FALSE)*E19,0))</f>
        <v>435</v>
      </c>
    </row>
    <row r="21" spans="1:5" x14ac:dyDescent="0.25">
      <c r="A21" s="3">
        <v>40178</v>
      </c>
      <c r="B21" cm="1">
        <f t="array" ref="B21">_xlfn.IFS(YEAR($A21)&lt;=2009,ROUNDDOWN(B20+VLOOKUP(B$1,$J$1:$K$5,2,FALSE)*B20,0),YEAR($A21)=2010,B20,YEAR($A21)&gt;2010,ROUNDDOWN(B20-VLOOKUP(B$1,$J$1:$L$5,3,FALSE)*B20,0))</f>
        <v>333</v>
      </c>
      <c r="C21" cm="1">
        <f t="array" ref="C21">_xlfn.IFS(YEAR($A21)&lt;=2009,ROUNDDOWN(C20+VLOOKUP(C$1,$J$1:$K$5,2,FALSE)*C20,0),YEAR($A21)=2010,C20,YEAR($A21)&gt;2010,ROUNDDOWN(C20-VLOOKUP(C$1,$J$1:$L$5,3,FALSE)*C20,0))</f>
        <v>316</v>
      </c>
      <c r="D21" cm="1">
        <f t="array" ref="D21">_xlfn.IFS(YEAR($A21)&lt;=2009,ROUNDDOWN(D20+VLOOKUP(D$1,$J$1:$K$5,2,FALSE)*D20,0),YEAR($A21)=2010,D20,YEAR($A21)&gt;2010,ROUNDDOWN(D20-VLOOKUP(D$1,$J$1:$L$5,3,FALSE)*D20,0))</f>
        <v>350</v>
      </c>
      <c r="E21" cm="1">
        <f t="array" ref="E21">_xlfn.IFS(YEAR($A21)&lt;=2009,ROUNDDOWN(E20+VLOOKUP(E$1,$J$1:$K$5,2,FALSE)*E20,0),YEAR($A21)=2010,E20,YEAR($A21)&gt;2010,ROUNDDOWN(E20-VLOOKUP(E$1,$J$1:$L$5,3,FALSE)*E20,0))</f>
        <v>443</v>
      </c>
    </row>
    <row r="22" spans="1:5" x14ac:dyDescent="0.25">
      <c r="A22" s="3">
        <v>40268</v>
      </c>
      <c r="B22" cm="1">
        <f t="array" ref="B22">_xlfn.IFS(YEAR($A22)&lt;=2009,ROUNDDOWN(B21+VLOOKUP(B$1,$J$1:$K$5,2,FALSE)*B21,0),YEAR($A22)=2010,B21,YEAR($A22)&gt;2010,ROUNDDOWN(B21-VLOOKUP(B$1,$J$1:$L$5,3,FALSE)*B21,0))</f>
        <v>333</v>
      </c>
      <c r="C22" cm="1">
        <f t="array" ref="C22">_xlfn.IFS(YEAR($A22)&lt;=2009,ROUNDDOWN(C21+VLOOKUP(C$1,$J$1:$K$5,2,FALSE)*C21,0),YEAR($A22)=2010,C21,YEAR($A22)&gt;2010,ROUNDDOWN(C21-VLOOKUP(C$1,$J$1:$L$5,3,FALSE)*C21,0))</f>
        <v>316</v>
      </c>
      <c r="D22" cm="1">
        <f t="array" ref="D22">_xlfn.IFS(YEAR($A22)&lt;=2009,ROUNDDOWN(D21+VLOOKUP(D$1,$J$1:$K$5,2,FALSE)*D21,0),YEAR($A22)=2010,D21,YEAR($A22)&gt;2010,ROUNDDOWN(D21-VLOOKUP(D$1,$J$1:$L$5,3,FALSE)*D21,0))</f>
        <v>350</v>
      </c>
      <c r="E22" cm="1">
        <f t="array" ref="E22">_xlfn.IFS(YEAR($A22)&lt;=2009,ROUNDDOWN(E21+VLOOKUP(E$1,$J$1:$K$5,2,FALSE)*E21,0),YEAR($A22)=2010,E21,YEAR($A22)&gt;2010,ROUNDDOWN(E21-VLOOKUP(E$1,$J$1:$L$5,3,FALSE)*E21,0))</f>
        <v>443</v>
      </c>
    </row>
    <row r="23" spans="1:5" x14ac:dyDescent="0.25">
      <c r="A23" s="3">
        <v>40359</v>
      </c>
      <c r="B23" cm="1">
        <f t="array" ref="B23">_xlfn.IFS(YEAR($A23)&lt;=2009,ROUNDDOWN(B22+VLOOKUP(B$1,$J$1:$K$5,2,FALSE)*B22,0),YEAR($A23)=2010,B22,YEAR($A23)&gt;2010,ROUNDDOWN(B22-VLOOKUP(B$1,$J$1:$L$5,3,FALSE)*B22,0))</f>
        <v>333</v>
      </c>
      <c r="C23" cm="1">
        <f t="array" ref="C23">_xlfn.IFS(YEAR($A23)&lt;=2009,ROUNDDOWN(C22+VLOOKUP(C$1,$J$1:$K$5,2,FALSE)*C22,0),YEAR($A23)=2010,C22,YEAR($A23)&gt;2010,ROUNDDOWN(C22-VLOOKUP(C$1,$J$1:$L$5,3,FALSE)*C22,0))</f>
        <v>316</v>
      </c>
      <c r="D23" cm="1">
        <f t="array" ref="D23">_xlfn.IFS(YEAR($A23)&lt;=2009,ROUNDDOWN(D22+VLOOKUP(D$1,$J$1:$K$5,2,FALSE)*D22,0),YEAR($A23)=2010,D22,YEAR($A23)&gt;2010,ROUNDDOWN(D22-VLOOKUP(D$1,$J$1:$L$5,3,FALSE)*D22,0))</f>
        <v>350</v>
      </c>
      <c r="E23" cm="1">
        <f t="array" ref="E23">_xlfn.IFS(YEAR($A23)&lt;=2009,ROUNDDOWN(E22+VLOOKUP(E$1,$J$1:$K$5,2,FALSE)*E22,0),YEAR($A23)=2010,E22,YEAR($A23)&gt;2010,ROUNDDOWN(E22-VLOOKUP(E$1,$J$1:$L$5,3,FALSE)*E22,0))</f>
        <v>443</v>
      </c>
    </row>
    <row r="24" spans="1:5" x14ac:dyDescent="0.25">
      <c r="A24" s="3">
        <v>40451</v>
      </c>
      <c r="B24" cm="1">
        <f t="array" ref="B24">_xlfn.IFS(YEAR($A24)&lt;=2009,ROUNDDOWN(B23+VLOOKUP(B$1,$J$1:$K$5,2,FALSE)*B23,0),YEAR($A24)=2010,B23,YEAR($A24)&gt;2010,ROUNDDOWN(B23-VLOOKUP(B$1,$J$1:$L$5,3,FALSE)*B23,0))</f>
        <v>333</v>
      </c>
      <c r="C24" cm="1">
        <f t="array" ref="C24">_xlfn.IFS(YEAR($A24)&lt;=2009,ROUNDDOWN(C23+VLOOKUP(C$1,$J$1:$K$5,2,FALSE)*C23,0),YEAR($A24)=2010,C23,YEAR($A24)&gt;2010,ROUNDDOWN(C23-VLOOKUP(C$1,$J$1:$L$5,3,FALSE)*C23,0))</f>
        <v>316</v>
      </c>
      <c r="D24" cm="1">
        <f t="array" ref="D24">_xlfn.IFS(YEAR($A24)&lt;=2009,ROUNDDOWN(D23+VLOOKUP(D$1,$J$1:$K$5,2,FALSE)*D23,0),YEAR($A24)=2010,D23,YEAR($A24)&gt;2010,ROUNDDOWN(D23-VLOOKUP(D$1,$J$1:$L$5,3,FALSE)*D23,0))</f>
        <v>350</v>
      </c>
      <c r="E24" cm="1">
        <f t="array" ref="E24">_xlfn.IFS(YEAR($A24)&lt;=2009,ROUNDDOWN(E23+VLOOKUP(E$1,$J$1:$K$5,2,FALSE)*E23,0),YEAR($A24)=2010,E23,YEAR($A24)&gt;2010,ROUNDDOWN(E23-VLOOKUP(E$1,$J$1:$L$5,3,FALSE)*E23,0))</f>
        <v>443</v>
      </c>
    </row>
    <row r="25" spans="1:5" x14ac:dyDescent="0.25">
      <c r="A25" s="3">
        <v>40543</v>
      </c>
      <c r="B25" cm="1">
        <f t="array" ref="B25">_xlfn.IFS(YEAR($A25)&lt;=2009,ROUNDDOWN(B24+VLOOKUP(B$1,$J$1:$K$5,2,FALSE)*B24,0),YEAR($A25)=2010,B24,YEAR($A25)&gt;2010,ROUNDDOWN(B24-VLOOKUP(B$1,$J$1:$L$5,3,FALSE)*B24,0))</f>
        <v>333</v>
      </c>
      <c r="C25" cm="1">
        <f t="array" ref="C25">_xlfn.IFS(YEAR($A25)&lt;=2009,ROUNDDOWN(C24+VLOOKUP(C$1,$J$1:$K$5,2,FALSE)*C24,0),YEAR($A25)=2010,C24,YEAR($A25)&gt;2010,ROUNDDOWN(C24-VLOOKUP(C$1,$J$1:$L$5,3,FALSE)*C24,0))</f>
        <v>316</v>
      </c>
      <c r="D25" cm="1">
        <f t="array" ref="D25">_xlfn.IFS(YEAR($A25)&lt;=2009,ROUNDDOWN(D24+VLOOKUP(D$1,$J$1:$K$5,2,FALSE)*D24,0),YEAR($A25)=2010,D24,YEAR($A25)&gt;2010,ROUNDDOWN(D24-VLOOKUP(D$1,$J$1:$L$5,3,FALSE)*D24,0))</f>
        <v>350</v>
      </c>
      <c r="E25" cm="1">
        <f t="array" ref="E25">_xlfn.IFS(YEAR($A25)&lt;=2009,ROUNDDOWN(E24+VLOOKUP(E$1,$J$1:$K$5,2,FALSE)*E24,0),YEAR($A25)=2010,E24,YEAR($A25)&gt;2010,ROUNDDOWN(E24-VLOOKUP(E$1,$J$1:$L$5,3,FALSE)*E24,0))</f>
        <v>443</v>
      </c>
    </row>
    <row r="26" spans="1:5" x14ac:dyDescent="0.25">
      <c r="A26" s="3">
        <v>40633</v>
      </c>
      <c r="B26" cm="1">
        <f t="array" ref="B26">_xlfn.IFS(YEAR($A26)&lt;=2009,ROUNDDOWN(B25+VLOOKUP(B$1,$J$1:$K$5,2,FALSE)*B25,0),YEAR($A26)=2010,B25,YEAR($A26)&gt;2010,ROUNDDOWN(B25-VLOOKUP(B$1,$J$1:$L$5,3,FALSE)*B25,0))</f>
        <v>329</v>
      </c>
      <c r="C26" cm="1">
        <f t="array" ref="C26">_xlfn.IFS(YEAR($A26)&lt;=2009,ROUNDDOWN(C25+VLOOKUP(C$1,$J$1:$K$5,2,FALSE)*C25,0),YEAR($A26)=2010,C25,YEAR($A26)&gt;2010,ROUNDDOWN(C25-VLOOKUP(C$1,$J$1:$L$5,3,FALSE)*C25,0))</f>
        <v>312</v>
      </c>
      <c r="D26" cm="1">
        <f t="array" ref="D26">_xlfn.IFS(YEAR($A26)&lt;=2009,ROUNDDOWN(D25+VLOOKUP(D$1,$J$1:$K$5,2,FALSE)*D25,0),YEAR($A26)=2010,D25,YEAR($A26)&gt;2010,ROUNDDOWN(D25-VLOOKUP(D$1,$J$1:$L$5,3,FALSE)*D25,0))</f>
        <v>343</v>
      </c>
      <c r="E26" cm="1">
        <f t="array" ref="E26">_xlfn.IFS(YEAR($A26)&lt;=2009,ROUNDDOWN(E25+VLOOKUP(E$1,$J$1:$K$5,2,FALSE)*E25,0),YEAR($A26)=2010,E25,YEAR($A26)&gt;2010,ROUNDDOWN(E25-VLOOKUP(E$1,$J$1:$L$5,3,FALSE)*E25,0))</f>
        <v>431</v>
      </c>
    </row>
    <row r="27" spans="1:5" x14ac:dyDescent="0.25">
      <c r="A27" s="3">
        <v>40724</v>
      </c>
      <c r="B27" cm="1">
        <f t="array" ref="B27">_xlfn.IFS(YEAR($A27)&lt;=2009,ROUNDDOWN(B26+VLOOKUP(B$1,$J$1:$K$5,2,FALSE)*B26,0),YEAR($A27)=2010,B26,YEAR($A27)&gt;2010,ROUNDDOWN(B26-VLOOKUP(B$1,$J$1:$L$5,3,FALSE)*B26,0))</f>
        <v>325</v>
      </c>
      <c r="C27" cm="1">
        <f t="array" ref="C27">_xlfn.IFS(YEAR($A27)&lt;=2009,ROUNDDOWN(C26+VLOOKUP(C$1,$J$1:$K$5,2,FALSE)*C26,0),YEAR($A27)=2010,C26,YEAR($A27)&gt;2010,ROUNDDOWN(C26-VLOOKUP(C$1,$J$1:$L$5,3,FALSE)*C26,0))</f>
        <v>308</v>
      </c>
      <c r="D27" cm="1">
        <f t="array" ref="D27">_xlfn.IFS(YEAR($A27)&lt;=2009,ROUNDDOWN(D26+VLOOKUP(D$1,$J$1:$K$5,2,FALSE)*D26,0),YEAR($A27)=2010,D26,YEAR($A27)&gt;2010,ROUNDDOWN(D26-VLOOKUP(D$1,$J$1:$L$5,3,FALSE)*D26,0))</f>
        <v>336</v>
      </c>
      <c r="E27" cm="1">
        <f t="array" ref="E27">_xlfn.IFS(YEAR($A27)&lt;=2009,ROUNDDOWN(E26+VLOOKUP(E$1,$J$1:$K$5,2,FALSE)*E26,0),YEAR($A27)=2010,E26,YEAR($A27)&gt;2010,ROUNDDOWN(E26-VLOOKUP(E$1,$J$1:$L$5,3,FALSE)*E26,0))</f>
        <v>420</v>
      </c>
    </row>
    <row r="28" spans="1:5" x14ac:dyDescent="0.25">
      <c r="A28" s="3">
        <v>40816</v>
      </c>
      <c r="B28" cm="1">
        <f t="array" ref="B28">_xlfn.IFS(YEAR($A28)&lt;=2009,ROUNDDOWN(B27+VLOOKUP(B$1,$J$1:$K$5,2,FALSE)*B27,0),YEAR($A28)=2010,B27,YEAR($A28)&gt;2010,ROUNDDOWN(B27-VLOOKUP(B$1,$J$1:$L$5,3,FALSE)*B27,0))</f>
        <v>321</v>
      </c>
      <c r="C28" cm="1">
        <f t="array" ref="C28">_xlfn.IFS(YEAR($A28)&lt;=2009,ROUNDDOWN(C27+VLOOKUP(C$1,$J$1:$K$5,2,FALSE)*C27,0),YEAR($A28)=2010,C27,YEAR($A28)&gt;2010,ROUNDDOWN(C27-VLOOKUP(C$1,$J$1:$L$5,3,FALSE)*C27,0))</f>
        <v>304</v>
      </c>
      <c r="D28" cm="1">
        <f t="array" ref="D28">_xlfn.IFS(YEAR($A28)&lt;=2009,ROUNDDOWN(D27+VLOOKUP(D$1,$J$1:$K$5,2,FALSE)*D27,0),YEAR($A28)=2010,D27,YEAR($A28)&gt;2010,ROUNDDOWN(D27-VLOOKUP(D$1,$J$1:$L$5,3,FALSE)*D27,0))</f>
        <v>329</v>
      </c>
      <c r="E28" cm="1">
        <f t="array" ref="E28">_xlfn.IFS(YEAR($A28)&lt;=2009,ROUNDDOWN(E27+VLOOKUP(E$1,$J$1:$K$5,2,FALSE)*E27,0),YEAR($A28)=2010,E27,YEAR($A28)&gt;2010,ROUNDDOWN(E27-VLOOKUP(E$1,$J$1:$L$5,3,FALSE)*E27,0))</f>
        <v>409</v>
      </c>
    </row>
    <row r="29" spans="1:5" x14ac:dyDescent="0.25">
      <c r="A29" s="3">
        <v>40908</v>
      </c>
      <c r="B29" cm="1">
        <f t="array" ref="B29">_xlfn.IFS(YEAR($A29)&lt;=2009,ROUNDDOWN(B28+VLOOKUP(B$1,$J$1:$K$5,2,FALSE)*B28,0),YEAR($A29)=2010,B28,YEAR($A29)&gt;2010,ROUNDDOWN(B28-VLOOKUP(B$1,$J$1:$L$5,3,FALSE)*B28,0))</f>
        <v>317</v>
      </c>
      <c r="C29" cm="1">
        <f t="array" ref="C29">_xlfn.IFS(YEAR($A29)&lt;=2009,ROUNDDOWN(C28+VLOOKUP(C$1,$J$1:$K$5,2,FALSE)*C28,0),YEAR($A29)=2010,C28,YEAR($A29)&gt;2010,ROUNDDOWN(C28-VLOOKUP(C$1,$J$1:$L$5,3,FALSE)*C28,0))</f>
        <v>300</v>
      </c>
      <c r="D29" cm="1">
        <f t="array" ref="D29">_xlfn.IFS(YEAR($A29)&lt;=2009,ROUNDDOWN(D28+VLOOKUP(D$1,$J$1:$K$5,2,FALSE)*D28,0),YEAR($A29)=2010,D28,YEAR($A29)&gt;2010,ROUNDDOWN(D28-VLOOKUP(D$1,$J$1:$L$5,3,FALSE)*D28,0))</f>
        <v>322</v>
      </c>
      <c r="E29" cm="1">
        <f t="array" ref="E29">_xlfn.IFS(YEAR($A29)&lt;=2009,ROUNDDOWN(E28+VLOOKUP(E$1,$J$1:$K$5,2,FALSE)*E28,0),YEAR($A29)=2010,E28,YEAR($A29)&gt;2010,ROUNDDOWN(E28-VLOOKUP(E$1,$J$1:$L$5,3,FALSE)*E28,0))</f>
        <v>398</v>
      </c>
    </row>
    <row r="30" spans="1:5" x14ac:dyDescent="0.25">
      <c r="A30" s="3">
        <v>40999</v>
      </c>
      <c r="B30" cm="1">
        <f t="array" ref="B30">_xlfn.IFS(YEAR($A30)&lt;=2009,ROUNDDOWN(B29+VLOOKUP(B$1,$J$1:$K$5,2,FALSE)*B29,0),YEAR($A30)=2010,B29,YEAR($A30)&gt;2010,ROUNDDOWN(B29-VLOOKUP(B$1,$J$1:$L$5,3,FALSE)*B29,0))</f>
        <v>313</v>
      </c>
      <c r="C30" cm="1">
        <f t="array" ref="C30">_xlfn.IFS(YEAR($A30)&lt;=2009,ROUNDDOWN(C29+VLOOKUP(C$1,$J$1:$K$5,2,FALSE)*C29,0),YEAR($A30)=2010,C29,YEAR($A30)&gt;2010,ROUNDDOWN(C29-VLOOKUP(C$1,$J$1:$L$5,3,FALSE)*C29,0))</f>
        <v>296</v>
      </c>
      <c r="D30" cm="1">
        <f t="array" ref="D30">_xlfn.IFS(YEAR($A30)&lt;=2009,ROUNDDOWN(D29+VLOOKUP(D$1,$J$1:$K$5,2,FALSE)*D29,0),YEAR($A30)=2010,D29,YEAR($A30)&gt;2010,ROUNDDOWN(D29-VLOOKUP(D$1,$J$1:$L$5,3,FALSE)*D29,0))</f>
        <v>315</v>
      </c>
      <c r="E30" cm="1">
        <f t="array" ref="E30">_xlfn.IFS(YEAR($A30)&lt;=2009,ROUNDDOWN(E29+VLOOKUP(E$1,$J$1:$K$5,2,FALSE)*E29,0),YEAR($A30)=2010,E29,YEAR($A30)&gt;2010,ROUNDDOWN(E29-VLOOKUP(E$1,$J$1:$L$5,3,FALSE)*E29,0))</f>
        <v>388</v>
      </c>
    </row>
    <row r="31" spans="1:5" x14ac:dyDescent="0.25">
      <c r="A31" s="3">
        <v>41090</v>
      </c>
      <c r="B31" cm="1">
        <f t="array" ref="B31">_xlfn.IFS(YEAR($A31)&lt;=2009,ROUNDDOWN(B30+VLOOKUP(B$1,$J$1:$K$5,2,FALSE)*B30,0),YEAR($A31)=2010,B30,YEAR($A31)&gt;2010,ROUNDDOWN(B30-VLOOKUP(B$1,$J$1:$L$5,3,FALSE)*B30,0))</f>
        <v>309</v>
      </c>
      <c r="C31" cm="1">
        <f t="array" ref="C31">_xlfn.IFS(YEAR($A31)&lt;=2009,ROUNDDOWN(C30+VLOOKUP(C$1,$J$1:$K$5,2,FALSE)*C30,0),YEAR($A31)=2010,C30,YEAR($A31)&gt;2010,ROUNDDOWN(C30-VLOOKUP(C$1,$J$1:$L$5,3,FALSE)*C30,0))</f>
        <v>292</v>
      </c>
      <c r="D31" cm="1">
        <f t="array" ref="D31">_xlfn.IFS(YEAR($A31)&lt;=2009,ROUNDDOWN(D30+VLOOKUP(D$1,$J$1:$K$5,2,FALSE)*D30,0),YEAR($A31)=2010,D30,YEAR($A31)&gt;2010,ROUNDDOWN(D30-VLOOKUP(D$1,$J$1:$L$5,3,FALSE)*D30,0))</f>
        <v>309</v>
      </c>
      <c r="E31" cm="1">
        <f t="array" ref="E31">_xlfn.IFS(YEAR($A31)&lt;=2009,ROUNDDOWN(E30+VLOOKUP(E$1,$J$1:$K$5,2,FALSE)*E30,0),YEAR($A31)=2010,E30,YEAR($A31)&gt;2010,ROUNDDOWN(E30-VLOOKUP(E$1,$J$1:$L$5,3,FALSE)*E30,0))</f>
        <v>378</v>
      </c>
    </row>
    <row r="32" spans="1:5" x14ac:dyDescent="0.25">
      <c r="A32" s="3">
        <v>41182</v>
      </c>
      <c r="B32" cm="1">
        <f t="array" ref="B32">_xlfn.IFS(YEAR($A32)&lt;=2009,ROUNDDOWN(B31+VLOOKUP(B$1,$J$1:$K$5,2,FALSE)*B31,0),YEAR($A32)=2010,B31,YEAR($A32)&gt;2010,ROUNDDOWN(B31-VLOOKUP(B$1,$J$1:$L$5,3,FALSE)*B31,0))</f>
        <v>305</v>
      </c>
      <c r="C32" cm="1">
        <f t="array" ref="C32">_xlfn.IFS(YEAR($A32)&lt;=2009,ROUNDDOWN(C31+VLOOKUP(C$1,$J$1:$K$5,2,FALSE)*C31,0),YEAR($A32)=2010,C31,YEAR($A32)&gt;2010,ROUNDDOWN(C31-VLOOKUP(C$1,$J$1:$L$5,3,FALSE)*C31,0))</f>
        <v>288</v>
      </c>
      <c r="D32" cm="1">
        <f t="array" ref="D32">_xlfn.IFS(YEAR($A32)&lt;=2009,ROUNDDOWN(D31+VLOOKUP(D$1,$J$1:$K$5,2,FALSE)*D31,0),YEAR($A32)=2010,D31,YEAR($A32)&gt;2010,ROUNDDOWN(D31-VLOOKUP(D$1,$J$1:$L$5,3,FALSE)*D31,0))</f>
        <v>303</v>
      </c>
      <c r="E32" cm="1">
        <f t="array" ref="E32">_xlfn.IFS(YEAR($A32)&lt;=2009,ROUNDDOWN(E31+VLOOKUP(E$1,$J$1:$K$5,2,FALSE)*E31,0),YEAR($A32)=2010,E31,YEAR($A32)&gt;2010,ROUNDDOWN(E31-VLOOKUP(E$1,$J$1:$L$5,3,FALSE)*E31,0))</f>
        <v>368</v>
      </c>
    </row>
    <row r="33" spans="1:5" x14ac:dyDescent="0.25">
      <c r="A33" s="3">
        <v>41274</v>
      </c>
      <c r="B33" cm="1">
        <f t="array" ref="B33">_xlfn.IFS(YEAR($A33)&lt;=2009,ROUNDDOWN(B32+VLOOKUP(B$1,$J$1:$K$5,2,FALSE)*B32,0),YEAR($A33)=2010,B32,YEAR($A33)&gt;2010,ROUNDDOWN(B32-VLOOKUP(B$1,$J$1:$L$5,3,FALSE)*B32,0))</f>
        <v>301</v>
      </c>
      <c r="C33" cm="1">
        <f t="array" ref="C33">_xlfn.IFS(YEAR($A33)&lt;=2009,ROUNDDOWN(C32+VLOOKUP(C$1,$J$1:$K$5,2,FALSE)*C32,0),YEAR($A33)=2010,C32,YEAR($A33)&gt;2010,ROUNDDOWN(C32-VLOOKUP(C$1,$J$1:$L$5,3,FALSE)*C32,0))</f>
        <v>284</v>
      </c>
      <c r="D33" cm="1">
        <f t="array" ref="D33">_xlfn.IFS(YEAR($A33)&lt;=2009,ROUNDDOWN(D32+VLOOKUP(D$1,$J$1:$K$5,2,FALSE)*D32,0),YEAR($A33)=2010,D32,YEAR($A33)&gt;2010,ROUNDDOWN(D32-VLOOKUP(D$1,$J$1:$L$5,3,FALSE)*D32,0))</f>
        <v>297</v>
      </c>
      <c r="E33" cm="1">
        <f t="array" ref="E33">_xlfn.IFS(YEAR($A33)&lt;=2009,ROUNDDOWN(E32+VLOOKUP(E$1,$J$1:$K$5,2,FALSE)*E32,0),YEAR($A33)=2010,E32,YEAR($A33)&gt;2010,ROUNDDOWN(E32-VLOOKUP(E$1,$J$1:$L$5,3,FALSE)*E32,0))</f>
        <v>358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1</vt:lpstr>
      <vt:lpstr>2</vt:lpstr>
      <vt:lpstr>3</vt:lpstr>
      <vt:lpstr>4</vt:lpstr>
      <vt:lpstr>5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robiz</dc:creator>
  <cp:lastModifiedBy>Robert Zając</cp:lastModifiedBy>
  <dcterms:created xsi:type="dcterms:W3CDTF">2015-06-05T18:19:34Z</dcterms:created>
  <dcterms:modified xsi:type="dcterms:W3CDTF">2025-11-02T13:39:15Z</dcterms:modified>
</cp:coreProperties>
</file>