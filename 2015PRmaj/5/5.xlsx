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5PRmaj\5\"/>
    </mc:Choice>
  </mc:AlternateContent>
  <xr:revisionPtr revIDLastSave="0" documentId="13_ncr:1_{D7F13094-DC79-4C7C-ACEA-581D6C3063A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5.1" sheetId="3" r:id="rId1"/>
    <sheet name="5.2" sheetId="4" r:id="rId2"/>
    <sheet name="5.3" sheetId="5" r:id="rId3"/>
    <sheet name="dane" sheetId="2" r:id="rId4"/>
  </sheets>
  <definedNames>
    <definedName name="ExternalData_1" localSheetId="0" hidden="1">'5.1'!$A$1:$E$51</definedName>
    <definedName name="ExternalData_1" localSheetId="1" hidden="1">'5.2'!$A$1:$E$51</definedName>
    <definedName name="ExternalData_1" localSheetId="2" hidden="1">'5.3'!$A$1:$E$51</definedName>
    <definedName name="ExternalData_1" localSheetId="3" hidden="1">dane!$A$1:$E$51</definedName>
  </definedNames>
  <calcPr calcId="191029"/>
  <pivotCaches>
    <pivotCache cacheId="6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H6" i="5" s="1"/>
  <c r="G7" i="5"/>
  <c r="G8" i="5"/>
  <c r="G9" i="5"/>
  <c r="G10" i="5"/>
  <c r="G11" i="5"/>
  <c r="G12" i="5"/>
  <c r="G13" i="5"/>
  <c r="G14" i="5"/>
  <c r="G15" i="5"/>
  <c r="G16" i="5"/>
  <c r="G17" i="5"/>
  <c r="G18" i="5"/>
  <c r="H18" i="5" s="1"/>
  <c r="G19" i="5"/>
  <c r="G20" i="5"/>
  <c r="G21" i="5"/>
  <c r="G22" i="5"/>
  <c r="G23" i="5"/>
  <c r="G24" i="5"/>
  <c r="G25" i="5"/>
  <c r="H25" i="5" s="1"/>
  <c r="G26" i="5"/>
  <c r="G27" i="5"/>
  <c r="G28" i="5"/>
  <c r="G29" i="5"/>
  <c r="G30" i="5"/>
  <c r="H30" i="5" s="1"/>
  <c r="G31" i="5"/>
  <c r="G32" i="5"/>
  <c r="G33" i="5"/>
  <c r="G34" i="5"/>
  <c r="G35" i="5"/>
  <c r="G36" i="5"/>
  <c r="G37" i="5"/>
  <c r="G38" i="5"/>
  <c r="G39" i="5"/>
  <c r="G40" i="5"/>
  <c r="G41" i="5"/>
  <c r="G42" i="5"/>
  <c r="H42" i="5" s="1"/>
  <c r="G43" i="5"/>
  <c r="G44" i="5"/>
  <c r="G45" i="5"/>
  <c r="G46" i="5"/>
  <c r="G47" i="5"/>
  <c r="G48" i="5"/>
  <c r="G49" i="5"/>
  <c r="G50" i="5"/>
  <c r="G5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I50" i="5" l="1"/>
  <c r="J50" i="5" s="1"/>
  <c r="K50" i="5" s="1"/>
  <c r="L50" i="5" s="1"/>
  <c r="M50" i="5" s="1"/>
  <c r="N50" i="5" s="1"/>
  <c r="O50" i="5" s="1"/>
  <c r="P50" i="5" s="1"/>
  <c r="Q50" i="5" s="1"/>
  <c r="R50" i="5" s="1"/>
  <c r="I26" i="5"/>
  <c r="J26" i="5" s="1"/>
  <c r="K26" i="5" s="1"/>
  <c r="L26" i="5" s="1"/>
  <c r="M26" i="5" s="1"/>
  <c r="N26" i="5" s="1"/>
  <c r="O26" i="5" s="1"/>
  <c r="P26" i="5" s="1"/>
  <c r="Q26" i="5" s="1"/>
  <c r="R26" i="5" s="1"/>
  <c r="I40" i="5"/>
  <c r="J40" i="5" s="1"/>
  <c r="K40" i="5" s="1"/>
  <c r="L40" i="5" s="1"/>
  <c r="M40" i="5" s="1"/>
  <c r="N40" i="5" s="1"/>
  <c r="O40" i="5" s="1"/>
  <c r="P40" i="5" s="1"/>
  <c r="Q40" i="5" s="1"/>
  <c r="R40" i="5" s="1"/>
  <c r="I48" i="5"/>
  <c r="J48" i="5" s="1"/>
  <c r="K48" i="5" s="1"/>
  <c r="L48" i="5" s="1"/>
  <c r="M48" i="5" s="1"/>
  <c r="N48" i="5" s="1"/>
  <c r="O48" i="5" s="1"/>
  <c r="P48" i="5" s="1"/>
  <c r="Q48" i="5" s="1"/>
  <c r="R48" i="5" s="1"/>
  <c r="I47" i="5"/>
  <c r="J47" i="5" s="1"/>
  <c r="K47" i="5" s="1"/>
  <c r="L47" i="5" s="1"/>
  <c r="M47" i="5" s="1"/>
  <c r="N47" i="5" s="1"/>
  <c r="O47" i="5" s="1"/>
  <c r="P47" i="5" s="1"/>
  <c r="Q47" i="5" s="1"/>
  <c r="R47" i="5" s="1"/>
  <c r="I35" i="5"/>
  <c r="J35" i="5" s="1"/>
  <c r="K35" i="5" s="1"/>
  <c r="L35" i="5" s="1"/>
  <c r="M35" i="5" s="1"/>
  <c r="N35" i="5" s="1"/>
  <c r="O35" i="5" s="1"/>
  <c r="P35" i="5" s="1"/>
  <c r="Q35" i="5" s="1"/>
  <c r="R35" i="5" s="1"/>
  <c r="I23" i="5"/>
  <c r="J23" i="5" s="1"/>
  <c r="K23" i="5" s="1"/>
  <c r="L23" i="5" s="1"/>
  <c r="M23" i="5" s="1"/>
  <c r="N23" i="5" s="1"/>
  <c r="O23" i="5" s="1"/>
  <c r="P23" i="5" s="1"/>
  <c r="Q23" i="5" s="1"/>
  <c r="R23" i="5" s="1"/>
  <c r="I41" i="5"/>
  <c r="J41" i="5" s="1"/>
  <c r="K41" i="5" s="1"/>
  <c r="L41" i="5" s="1"/>
  <c r="M41" i="5" s="1"/>
  <c r="N41" i="5" s="1"/>
  <c r="O41" i="5" s="1"/>
  <c r="P41" i="5" s="1"/>
  <c r="Q41" i="5" s="1"/>
  <c r="R41" i="5" s="1"/>
  <c r="H49" i="5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H37" i="5"/>
  <c r="I37" i="5"/>
  <c r="J37" i="5" s="1"/>
  <c r="K37" i="5" s="1"/>
  <c r="L37" i="5" s="1"/>
  <c r="M37" i="5" s="1"/>
  <c r="N37" i="5" s="1"/>
  <c r="O37" i="5" s="1"/>
  <c r="P37" i="5" s="1"/>
  <c r="Q37" i="5" s="1"/>
  <c r="R37" i="5" s="1"/>
  <c r="I25" i="5"/>
  <c r="J25" i="5" s="1"/>
  <c r="K25" i="5" s="1"/>
  <c r="L25" i="5" s="1"/>
  <c r="M25" i="5" s="1"/>
  <c r="N25" i="5" s="1"/>
  <c r="O25" i="5" s="1"/>
  <c r="P25" i="5" s="1"/>
  <c r="Q25" i="5" s="1"/>
  <c r="R25" i="5" s="1"/>
  <c r="I42" i="5"/>
  <c r="J42" i="5" s="1"/>
  <c r="K42" i="5" s="1"/>
  <c r="L42" i="5" s="1"/>
  <c r="M42" i="5" s="1"/>
  <c r="N42" i="5" s="1"/>
  <c r="O42" i="5" s="1"/>
  <c r="P42" i="5" s="1"/>
  <c r="Q42" i="5" s="1"/>
  <c r="R42" i="5" s="1"/>
  <c r="I30" i="5"/>
  <c r="J30" i="5" s="1"/>
  <c r="K30" i="5" s="1"/>
  <c r="L30" i="5" s="1"/>
  <c r="M30" i="5" s="1"/>
  <c r="N30" i="5" s="1"/>
  <c r="O30" i="5" s="1"/>
  <c r="P30" i="5" s="1"/>
  <c r="Q30" i="5" s="1"/>
  <c r="R30" i="5" s="1"/>
  <c r="I18" i="5"/>
  <c r="J18" i="5" s="1"/>
  <c r="K18" i="5" s="1"/>
  <c r="L18" i="5" s="1"/>
  <c r="M18" i="5" s="1"/>
  <c r="N18" i="5" s="1"/>
  <c r="O18" i="5" s="1"/>
  <c r="P18" i="5" s="1"/>
  <c r="Q18" i="5" s="1"/>
  <c r="R18" i="5" s="1"/>
  <c r="I6" i="5"/>
  <c r="J6" i="5" s="1"/>
  <c r="K6" i="5" s="1"/>
  <c r="L6" i="5" s="1"/>
  <c r="M6" i="5" s="1"/>
  <c r="N6" i="5" s="1"/>
  <c r="O6" i="5" s="1"/>
  <c r="P6" i="5" s="1"/>
  <c r="Q6" i="5" s="1"/>
  <c r="R6" i="5" s="1"/>
  <c r="H44" i="5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H43" i="5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H31" i="5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H19" i="5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H7" i="5"/>
  <c r="I7" i="5" s="1"/>
  <c r="J7" i="5" s="1"/>
  <c r="K7" i="5" s="1"/>
  <c r="L7" i="5" s="1"/>
  <c r="M7" i="5" s="1"/>
  <c r="N7" i="5" s="1"/>
  <c r="O7" i="5" s="1"/>
  <c r="P7" i="5" s="1"/>
  <c r="Q7" i="5" s="1"/>
  <c r="R7" i="5" s="1"/>
  <c r="H5" i="5"/>
  <c r="I5" i="5" s="1"/>
  <c r="J5" i="5" s="1"/>
  <c r="K5" i="5" s="1"/>
  <c r="L5" i="5" s="1"/>
  <c r="M5" i="5" s="1"/>
  <c r="N5" i="5" s="1"/>
  <c r="O5" i="5" s="1"/>
  <c r="P5" i="5" s="1"/>
  <c r="Q5" i="5" s="1"/>
  <c r="R5" i="5" s="1"/>
  <c r="H28" i="5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H16" i="5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H4" i="5"/>
  <c r="I4" i="5" s="1"/>
  <c r="J4" i="5" s="1"/>
  <c r="K4" i="5" s="1"/>
  <c r="L4" i="5" s="1"/>
  <c r="M4" i="5" s="1"/>
  <c r="N4" i="5" s="1"/>
  <c r="O4" i="5" s="1"/>
  <c r="P4" i="5" s="1"/>
  <c r="Q4" i="5" s="1"/>
  <c r="R4" i="5" s="1"/>
  <c r="H41" i="5"/>
  <c r="H51" i="5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H39" i="5"/>
  <c r="I39" i="5" s="1"/>
  <c r="J39" i="5" s="1"/>
  <c r="K39" i="5" s="1"/>
  <c r="L39" i="5" s="1"/>
  <c r="M39" i="5" s="1"/>
  <c r="N39" i="5" s="1"/>
  <c r="O39" i="5" s="1"/>
  <c r="P39" i="5" s="1"/>
  <c r="Q39" i="5" s="1"/>
  <c r="R39" i="5" s="1"/>
  <c r="H27" i="5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H15" i="5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H50" i="5"/>
  <c r="H38" i="5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H26" i="5"/>
  <c r="H14" i="5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H2" i="5"/>
  <c r="H29" i="5"/>
  <c r="I29" i="5" s="1"/>
  <c r="J29" i="5" s="1"/>
  <c r="K29" i="5" s="1"/>
  <c r="L29" i="5" s="1"/>
  <c r="M29" i="5" s="1"/>
  <c r="N29" i="5" s="1"/>
  <c r="O29" i="5" s="1"/>
  <c r="P29" i="5" s="1"/>
  <c r="Q29" i="5" s="1"/>
  <c r="R29" i="5" s="1"/>
  <c r="H13" i="5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H17" i="5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H12" i="5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H47" i="5"/>
  <c r="H35" i="5"/>
  <c r="H23" i="5"/>
  <c r="H11" i="5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H36" i="5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H46" i="5"/>
  <c r="I46" i="5" s="1"/>
  <c r="J46" i="5" s="1"/>
  <c r="K46" i="5" s="1"/>
  <c r="L46" i="5" s="1"/>
  <c r="M46" i="5" s="1"/>
  <c r="N46" i="5" s="1"/>
  <c r="O46" i="5" s="1"/>
  <c r="P46" i="5" s="1"/>
  <c r="Q46" i="5" s="1"/>
  <c r="R46" i="5" s="1"/>
  <c r="H34" i="5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H22" i="5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H10" i="5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H40" i="5"/>
  <c r="H48" i="5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H45" i="5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H33" i="5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H21" i="5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H9" i="5"/>
  <c r="I9" i="5" s="1"/>
  <c r="J9" i="5" s="1"/>
  <c r="K9" i="5" s="1"/>
  <c r="L9" i="5" s="1"/>
  <c r="M9" i="5" s="1"/>
  <c r="N9" i="5" s="1"/>
  <c r="O9" i="5" s="1"/>
  <c r="P9" i="5" s="1"/>
  <c r="Q9" i="5" s="1"/>
  <c r="R9" i="5" s="1"/>
  <c r="H32" i="5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H20" i="5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H8" i="5"/>
  <c r="I8" i="5" s="1"/>
  <c r="J8" i="5" s="1"/>
  <c r="K8" i="5" s="1"/>
  <c r="L8" i="5" s="1"/>
  <c r="M8" i="5" s="1"/>
  <c r="N8" i="5" s="1"/>
  <c r="O8" i="5" s="1"/>
  <c r="P8" i="5" s="1"/>
  <c r="Q8" i="5" s="1"/>
  <c r="R8" i="5" s="1"/>
  <c r="S19" i="5" l="1"/>
  <c r="T19" i="5" s="1"/>
  <c r="S49" i="5"/>
  <c r="T49" i="5" s="1"/>
  <c r="S37" i="5"/>
  <c r="T37" i="5" s="1"/>
  <c r="S7" i="5"/>
  <c r="T7" i="5" s="1"/>
  <c r="S9" i="5"/>
  <c r="T9" i="5" s="1"/>
  <c r="S11" i="5"/>
  <c r="T11" i="5" s="1"/>
  <c r="S38" i="5"/>
  <c r="T38" i="5" s="1"/>
  <c r="S15" i="5"/>
  <c r="T15" i="5" s="1"/>
  <c r="S43" i="5"/>
  <c r="T43" i="5" s="1"/>
  <c r="S41" i="5"/>
  <c r="T41" i="5" s="1"/>
  <c r="S5" i="5"/>
  <c r="T5" i="5" s="1"/>
  <c r="S33" i="5"/>
  <c r="T33" i="5" s="1"/>
  <c r="S27" i="5"/>
  <c r="T27" i="5" s="1"/>
  <c r="S44" i="5"/>
  <c r="T44" i="5" s="1"/>
  <c r="S23" i="5"/>
  <c r="T23" i="5" s="1"/>
  <c r="S21" i="5"/>
  <c r="T21" i="5" s="1"/>
  <c r="S12" i="5"/>
  <c r="T12" i="5" s="1"/>
  <c r="S39" i="5"/>
  <c r="T39" i="5" s="1"/>
  <c r="S6" i="5"/>
  <c r="T6" i="5" s="1"/>
  <c r="S35" i="5"/>
  <c r="T35" i="5" s="1"/>
  <c r="S20" i="5"/>
  <c r="T20" i="5" s="1"/>
  <c r="S3" i="5"/>
  <c r="T3" i="5" s="1"/>
  <c r="S17" i="5"/>
  <c r="T17" i="5" s="1"/>
  <c r="S51" i="5"/>
  <c r="T51" i="5" s="1"/>
  <c r="S18" i="5"/>
  <c r="T18" i="5" s="1"/>
  <c r="S47" i="5"/>
  <c r="T47" i="5" s="1"/>
  <c r="S32" i="5"/>
  <c r="T32" i="5" s="1"/>
  <c r="S45" i="5"/>
  <c r="T45" i="5" s="1"/>
  <c r="S13" i="5"/>
  <c r="T13" i="5" s="1"/>
  <c r="S30" i="5"/>
  <c r="T30" i="5" s="1"/>
  <c r="S48" i="5"/>
  <c r="T48" i="5" s="1"/>
  <c r="S36" i="5"/>
  <c r="T36" i="5" s="1"/>
  <c r="S24" i="5"/>
  <c r="T24" i="5" s="1"/>
  <c r="S29" i="5"/>
  <c r="T29" i="5" s="1"/>
  <c r="S4" i="5"/>
  <c r="T4" i="5" s="1"/>
  <c r="S42" i="5"/>
  <c r="T42" i="5" s="1"/>
  <c r="S40" i="5"/>
  <c r="T40" i="5" s="1"/>
  <c r="S46" i="5"/>
  <c r="T46" i="5" s="1"/>
  <c r="S31" i="5"/>
  <c r="T31" i="5" s="1"/>
  <c r="S10" i="5"/>
  <c r="T10" i="5" s="1"/>
  <c r="S22" i="5"/>
  <c r="T22" i="5" s="1"/>
  <c r="S16" i="5"/>
  <c r="T16" i="5" s="1"/>
  <c r="S26" i="5"/>
  <c r="T26" i="5" s="1"/>
  <c r="S8" i="5"/>
  <c r="T8" i="5" s="1"/>
  <c r="S34" i="5"/>
  <c r="T34" i="5" s="1"/>
  <c r="S14" i="5"/>
  <c r="T14" i="5" s="1"/>
  <c r="S28" i="5"/>
  <c r="T28" i="5" s="1"/>
  <c r="S25" i="5"/>
  <c r="T25" i="5" s="1"/>
  <c r="S50" i="5"/>
  <c r="T50" i="5" s="1"/>
  <c r="I2" i="5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l="1"/>
  <c r="W3" i="5" s="1"/>
  <c r="W1" i="5"/>
  <c r="W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1B070-935D-4BAA-AE41-9F4E47227906}" keepAlive="1" name="Zapytanie — kraina" description="Połączenie z zapytaniem „kraina” w skoroszycie." type="5" refreshedVersion="8" background="1" saveData="1">
    <dbPr connection="Provider=Microsoft.Mashup.OleDb.1;Data Source=$Workbook$;Location=kraina;Extended Properties=&quot;&quot;" command="SELECT * FROM [kraina]"/>
  </connection>
  <connection id="2" xr16:uid="{A9E02B94-1B3D-4BA3-BDC3-82F3EFBDA4B3}" keepAlive="1" name="Zapytanie — kraina (2)" description="Połączenie z zapytaniem „kraina (2)” w skoroszycie." type="5" refreshedVersion="8" background="1" saveData="1">
    <dbPr connection="Provider=Microsoft.Mashup.OleDb.1;Data Source=$Workbook$;Location=&quot;kraina (2)&quot;;Extended Properties=&quot;&quot;" command="SELECT * FROM [kraina (2)]"/>
  </connection>
  <connection id="3" xr16:uid="{AF1D1BFF-9C10-4CCA-9AC1-BD70D673641F}" keepAlive="1" name="Zapytanie — kraina (3)" description="Połączenie z zapytaniem „kraina (3)” w skoroszycie." type="5" refreshedVersion="8" background="1" saveData="1">
    <dbPr connection="Provider=Microsoft.Mashup.OleDb.1;Data Source=$Workbook$;Location=&quot;kraina (3)&quot;;Extended Properties=&quot;&quot;" command="SELECT * FROM [kraina (3)]"/>
  </connection>
  <connection id="4" xr16:uid="{07F663EA-DA1E-4E8C-B76A-1CAAF05024DC}" keepAlive="1" name="Zapytanie — kraina (4)" description="Połączenie z zapytaniem „kraina (4)” w skoroszycie." type="5" refreshedVersion="8" background="1" saveData="1">
    <dbPr connection="Provider=Microsoft.Mashup.OleDb.1;Data Source=$Workbook$;Location=&quot;kraina (4)&quot;;Extended Properties=&quot;&quot;" command="SELECT * FROM [kraina (4)]"/>
  </connection>
</connections>
</file>

<file path=xl/sharedStrings.xml><?xml version="1.0" encoding="utf-8"?>
<sst xmlns="http://schemas.openxmlformats.org/spreadsheetml/2006/main" count="265" uniqueCount="87">
  <si>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</si>
  <si>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</si>
  <si>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</si>
  <si>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</si>
  <si>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</si>
  <si>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</si>
  <si>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</si>
  <si>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</si>
  <si>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</si>
  <si>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</si>
  <si>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</si>
  <si>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</si>
  <si>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</si>
  <si>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</si>
  <si>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</si>
  <si>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</si>
  <si>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</si>
  <si>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</si>
  <si>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</si>
  <si>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</si>
  <si>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</si>
  <si>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</si>
  <si>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</si>
  <si>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</si>
  <si>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</si>
  <si>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</si>
  <si>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</si>
  <si>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</si>
  <si>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</si>
  <si>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</si>
  <si>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</si>
  <si>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</si>
  <si>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</si>
  <si>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</si>
  <si>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</si>
  <si>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</si>
  <si>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</si>
  <si>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</si>
  <si>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</si>
  <si>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</si>
  <si>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</si>
  <si>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</si>
  <si>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</si>
  <si>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</si>
  <si>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</si>
  <si>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</si>
  <si>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</si>
  <si>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</si>
  <si>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</si>
  <si>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</si>
  <si>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nazwa_wojew</t>
  </si>
  <si>
    <t>liczba_kobiet_2013</t>
  </si>
  <si>
    <t>liczba_mez_2013</t>
  </si>
  <si>
    <t>liczba_kobiet_2014</t>
  </si>
  <si>
    <t>liczba_mez_2014</t>
  </si>
  <si>
    <t>region</t>
  </si>
  <si>
    <t>suma_mieszkancow_2013</t>
  </si>
  <si>
    <t>A</t>
  </si>
  <si>
    <t>B</t>
  </si>
  <si>
    <t>C</t>
  </si>
  <si>
    <t>D</t>
  </si>
  <si>
    <t>Suma końcowa</t>
  </si>
  <si>
    <t>regiony</t>
  </si>
  <si>
    <t>Suma mieszkanców w 2013</t>
  </si>
  <si>
    <t>czyLiczbaKobietWzrosla</t>
  </si>
  <si>
    <t>czyLiczbaMenWieksza</t>
  </si>
  <si>
    <t>czyOba</t>
  </si>
  <si>
    <t>liczba wojewodztw</t>
  </si>
  <si>
    <t>w kraju</t>
  </si>
  <si>
    <t>tempo_wzrostu</t>
  </si>
  <si>
    <t>populacja_2013</t>
  </si>
  <si>
    <t>populacja_2014</t>
  </si>
  <si>
    <t>populacja_2015</t>
  </si>
  <si>
    <t>populacja_2016</t>
  </si>
  <si>
    <t>populacja_2017</t>
  </si>
  <si>
    <t>populacja_2018</t>
  </si>
  <si>
    <t>populacja_2019</t>
  </si>
  <si>
    <t>populacja_2020</t>
  </si>
  <si>
    <t>populacja_2021</t>
  </si>
  <si>
    <t>populacja_2022</t>
  </si>
  <si>
    <t>populacja_2023</t>
  </si>
  <si>
    <t>populacja_2024</t>
  </si>
  <si>
    <t>populacja_2025</t>
  </si>
  <si>
    <t>liczba_mieszkancow</t>
  </si>
  <si>
    <t>najbardziej zaludnione wojewodztwo</t>
  </si>
  <si>
    <t>liczba wojewodztw z efektem przeludnienia</t>
  </si>
  <si>
    <t>czyEfektPrzeludnienia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</si>
</sst>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" fillId="2" borderId="1" xfId="0" applyFont="1" applyFill="1" applyBorder="1"/>
  </cellXfs>
  <cellStyles count="1">
    <cellStyle name="Normalny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[5.xlsx]5.1!Tabela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Ludność</a:t>
            </a:r>
            <a:r>
              <a:rPr lang="pl-PL" baseline="0"/>
              <a:t> każdego z regionu w roku 2013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'5.1'!$J$1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'5.1'!$I$2:$I$6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'5.1'!$J$2:$J$6</c:f>
              <c:numCache>
                <c:formatCode>General</c:formatCode>
                <c:ptCount val="4"/>
                <c:pt idx="0">
                  <c:v>33929579</c:v>
                </c:pt>
                <c:pt idx="1">
                  <c:v>41736619</c:v>
                </c:pt>
                <c:pt idx="2">
                  <c:v>57649017</c:v>
                </c:pt>
                <c:pt idx="3">
                  <c:v>36530387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4-4773-8BA9-11B9524B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458159"/>
        <c:axId val="1928973471"/>
      </c:barChart>
      <c:catAx>
        <c:axId val="194245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regiony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8973471"/>
        <c:crosses val="autoZero"/>
        <c:auto val="1"/>
        <c:lblAlgn val="ctr"/>
        <c:lblOffset val="100"/>
        <c:noMultiLvlLbl val="0"/>
      </c:catAx>
      <c:valAx>
        <c:axId val="19289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mieszkanców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24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8</xdr:row>
      <xdr:rowOff>185737</xdr:rowOff>
    </xdr:from>
    <xdr:to>
      <xdr:col>17</xdr:col>
      <xdr:colOff>419100</xdr:colOff>
      <xdr:row>32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7D512B8-2B64-78D2-B6E2-22E3A1A6B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6.642204398151" createdVersion="8" refreshedVersion="8" minRefreshableVersion="3" recordCount="50" xr:uid="{E2ED4A14-023E-4ECA-B96C-9EA319331F34}">
  <cacheSource type="worksheet">
    <worksheetSource name="kraina3"/>
  </cacheSource>
  <cacheFields count="7">
    <cacheField name="nazwa_wojew" numFmtId="0">
      <sharedItems/>
    </cacheField>
    <cacheField name="liczba_kobiet_2013" numFmtId="0">
      <sharedItems containsSemiMixedTypes="0" containsString="0" containsNumber="1" containsInteger="1" minValue="76648" maxValue="3997724"/>
    </cacheField>
    <cacheField name="liczba_mez_2013" numFmtId="0">
      <sharedItems containsSemiMixedTypes="0" containsString="0" containsNumber="1" containsInteger="1" minValue="81385" maxValue="3848394"/>
    </cacheField>
    <cacheField name="liczba_kobiet_2014" numFmtId="0">
      <sharedItems containsSemiMixedTypes="0" containsString="0" containsNumber="1" containsInteger="1" minValue="15339" maxValue="4339393"/>
    </cacheField>
    <cacheField name="liczba_mez_2014" numFmtId="0">
      <sharedItems containsSemiMixedTypes="0" containsString="0" containsNumber="1" containsInteger="1" minValue="14652" maxValue="4639643"/>
    </cacheField>
    <cacheField name="region" numFmtId="0">
      <sharedItems count="4">
        <s v="D"/>
        <s v="C"/>
        <s v="A"/>
        <s v="B"/>
      </sharedItems>
    </cacheField>
    <cacheField name="suma_mieszkancow_2013" numFmtId="0">
      <sharedItems containsSemiMixedTypes="0" containsString="0" containsNumber="1" containsInteger="1" minValue="158033" maxValue="7689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6.645224768516" createdVersion="8" refreshedVersion="8" minRefreshableVersion="3" recordCount="50" xr:uid="{604AC74D-AB79-404C-9AC1-AEAF4AB0EFB0}">
  <cacheSource type="worksheet">
    <worksheetSource name="kraina4"/>
  </cacheSource>
  <cacheFields count="9">
    <cacheField name="nazwa_wojew" numFmtId="0">
      <sharedItems/>
    </cacheField>
    <cacheField name="liczba_kobiet_2013" numFmtId="0">
      <sharedItems containsSemiMixedTypes="0" containsString="0" containsNumber="1" containsInteger="1" minValue="76648" maxValue="3997724"/>
    </cacheField>
    <cacheField name="liczba_mez_2013" numFmtId="0">
      <sharedItems containsSemiMixedTypes="0" containsString="0" containsNumber="1" containsInteger="1" minValue="81385" maxValue="3848394"/>
    </cacheField>
    <cacheField name="liczba_kobiet_2014" numFmtId="0">
      <sharedItems containsSemiMixedTypes="0" containsString="0" containsNumber="1" containsInteger="1" minValue="15339" maxValue="4339393"/>
    </cacheField>
    <cacheField name="liczba_mez_2014" numFmtId="0">
      <sharedItems containsSemiMixedTypes="0" containsString="0" containsNumber="1" containsInteger="1" minValue="14652" maxValue="4639643"/>
    </cacheField>
    <cacheField name="region" numFmtId="0">
      <sharedItems count="4">
        <s v="D"/>
        <s v="C"/>
        <s v="A"/>
        <s v="B"/>
      </sharedItems>
    </cacheField>
    <cacheField name="czyLiczbaKobietWzrosla" numFmtId="0">
      <sharedItems containsSemiMixedTypes="0" containsString="0" containsNumber="1" containsInteger="1" minValue="0" maxValue="1"/>
    </cacheField>
    <cacheField name="czyLiczbaMenWieksza" numFmtId="0">
      <sharedItems containsSemiMixedTypes="0" containsString="0" containsNumber="1" containsInteger="1" minValue="0" maxValue="1"/>
    </cacheField>
    <cacheField name="czyOb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w01D"/>
    <n v="1415007"/>
    <n v="1397195"/>
    <n v="1499070"/>
    <n v="1481105"/>
    <x v="0"/>
    <n v="2812202"/>
  </r>
  <r>
    <s v="w02D"/>
    <n v="1711390"/>
    <n v="1641773"/>
    <n v="1522030"/>
    <n v="1618733"/>
    <x v="0"/>
    <n v="3353163"/>
  </r>
  <r>
    <s v="w03C"/>
    <n v="1165105"/>
    <n v="1278732"/>
    <n v="1299953"/>
    <n v="1191621"/>
    <x v="1"/>
    <n v="2443837"/>
  </r>
  <r>
    <s v="w04D"/>
    <n v="949065"/>
    <n v="1026050"/>
    <n v="688027"/>
    <n v="723233"/>
    <x v="0"/>
    <n v="1975115"/>
  </r>
  <r>
    <s v="w05A"/>
    <n v="2436107"/>
    <n v="2228622"/>
    <n v="1831600"/>
    <n v="1960624"/>
    <x v="2"/>
    <n v="4664729"/>
  </r>
  <r>
    <s v="w06D"/>
    <n v="1846928"/>
    <n v="1851433"/>
    <n v="2125113"/>
    <n v="2028635"/>
    <x v="0"/>
    <n v="3698361"/>
  </r>
  <r>
    <s v="w07B"/>
    <n v="3841577"/>
    <n v="3848394"/>
    <n v="3595975"/>
    <n v="3123039"/>
    <x v="3"/>
    <n v="7689971"/>
  </r>
  <r>
    <s v="w08A"/>
    <n v="679557"/>
    <n v="655500"/>
    <n v="1012012"/>
    <n v="1067022"/>
    <x v="2"/>
    <n v="1335057"/>
  </r>
  <r>
    <s v="w09C"/>
    <n v="1660998"/>
    <n v="1630345"/>
    <n v="1130119"/>
    <n v="1080238"/>
    <x v="1"/>
    <n v="3291343"/>
  </r>
  <r>
    <s v="w10C"/>
    <n v="1157622"/>
    <n v="1182345"/>
    <n v="830785"/>
    <n v="833779"/>
    <x v="1"/>
    <n v="2339967"/>
  </r>
  <r>
    <s v="w11D"/>
    <n v="1987047"/>
    <n v="1996208"/>
    <n v="2053892"/>
    <n v="1697247"/>
    <x v="0"/>
    <n v="3983255"/>
  </r>
  <r>
    <s v="w12C"/>
    <n v="3997724"/>
    <n v="3690756"/>
    <n v="4339393"/>
    <n v="4639643"/>
    <x v="1"/>
    <n v="7688480"/>
  </r>
  <r>
    <s v="w13A"/>
    <n v="996113"/>
    <n v="964279"/>
    <n v="1012487"/>
    <n v="1128940"/>
    <x v="2"/>
    <n v="1960392"/>
  </r>
  <r>
    <s v="w14A"/>
    <n v="1143634"/>
    <n v="1033836"/>
    <n v="909534"/>
    <n v="856349"/>
    <x v="2"/>
    <n v="2177470"/>
  </r>
  <r>
    <s v="w15A"/>
    <n v="2549276"/>
    <n v="2584751"/>
    <n v="2033079"/>
    <n v="2066918"/>
    <x v="2"/>
    <n v="5134027"/>
  </r>
  <r>
    <s v="w16C"/>
    <n v="1367212"/>
    <n v="1361389"/>
    <n v="1572320"/>
    <n v="1836258"/>
    <x v="1"/>
    <n v="2728601"/>
  </r>
  <r>
    <s v="w17A"/>
    <n v="2567464"/>
    <n v="2441857"/>
    <n v="1524132"/>
    <n v="1496810"/>
    <x v="2"/>
    <n v="5009321"/>
  </r>
  <r>
    <s v="w18D"/>
    <n v="1334060"/>
    <n v="1395231"/>
    <n v="578655"/>
    <n v="677663"/>
    <x v="0"/>
    <n v="2729291"/>
  </r>
  <r>
    <s v="w19C"/>
    <n v="2976209"/>
    <n v="3199665"/>
    <n v="1666477"/>
    <n v="1759240"/>
    <x v="1"/>
    <n v="6175874"/>
  </r>
  <r>
    <s v="w20C"/>
    <n v="1443351"/>
    <n v="1565539"/>
    <n v="1355276"/>
    <n v="1423414"/>
    <x v="1"/>
    <n v="3008890"/>
  </r>
  <r>
    <s v="w21A"/>
    <n v="2486640"/>
    <n v="2265936"/>
    <n v="297424"/>
    <n v="274759"/>
    <x v="2"/>
    <n v="4752576"/>
  </r>
  <r>
    <s v="w22B"/>
    <n v="685438"/>
    <n v="749124"/>
    <n v="2697677"/>
    <n v="2821550"/>
    <x v="3"/>
    <n v="1434562"/>
  </r>
  <r>
    <s v="w23B"/>
    <n v="2166753"/>
    <n v="2338698"/>
    <n v="1681433"/>
    <n v="1592443"/>
    <x v="3"/>
    <n v="4505451"/>
  </r>
  <r>
    <s v="w24C"/>
    <n v="643177"/>
    <n v="684187"/>
    <n v="796213"/>
    <n v="867904"/>
    <x v="1"/>
    <n v="1327364"/>
  </r>
  <r>
    <s v="w25B"/>
    <n v="450192"/>
    <n v="434755"/>
    <n v="1656446"/>
    <n v="1691000"/>
    <x v="3"/>
    <n v="884947"/>
  </r>
  <r>
    <s v="w26C"/>
    <n v="1037774"/>
    <n v="1113789"/>
    <n v="877464"/>
    <n v="990837"/>
    <x v="1"/>
    <n v="2151563"/>
  </r>
  <r>
    <s v="w27C"/>
    <n v="2351213"/>
    <n v="2358482"/>
    <n v="1098384"/>
    <n v="1121488"/>
    <x v="1"/>
    <n v="4709695"/>
  </r>
  <r>
    <s v="w28D"/>
    <n v="2613354"/>
    <n v="2837241"/>
    <n v="431144"/>
    <n v="434113"/>
    <x v="0"/>
    <n v="5450595"/>
  </r>
  <r>
    <s v="w29A"/>
    <n v="1859691"/>
    <n v="1844250"/>
    <n v="1460134"/>
    <n v="1585258"/>
    <x v="2"/>
    <n v="3703941"/>
  </r>
  <r>
    <s v="w30C"/>
    <n v="2478386"/>
    <n v="2562144"/>
    <n v="30035"/>
    <n v="29396"/>
    <x v="1"/>
    <n v="5040530"/>
  </r>
  <r>
    <s v="w31C"/>
    <n v="1938122"/>
    <n v="1816647"/>
    <n v="1602356"/>
    <n v="1875221"/>
    <x v="1"/>
    <n v="3754769"/>
  </r>
  <r>
    <s v="w32D"/>
    <n v="992523"/>
    <n v="1028501"/>
    <n v="1995446"/>
    <n v="1860524"/>
    <x v="0"/>
    <n v="2021024"/>
  </r>
  <r>
    <s v="w33B"/>
    <n v="2966291"/>
    <n v="2889963"/>
    <n v="462453"/>
    <n v="486354"/>
    <x v="3"/>
    <n v="5856254"/>
  </r>
  <r>
    <s v="w34C"/>
    <n v="76648"/>
    <n v="81385"/>
    <n v="1374708"/>
    <n v="1379567"/>
    <x v="1"/>
    <n v="158033"/>
  </r>
  <r>
    <s v="w35C"/>
    <n v="2574432"/>
    <n v="2409710"/>
    <n v="987486"/>
    <n v="999043"/>
    <x v="1"/>
    <n v="4984142"/>
  </r>
  <r>
    <s v="w36B"/>
    <n v="1778590"/>
    <n v="1874844"/>
    <n v="111191"/>
    <n v="117846"/>
    <x v="3"/>
    <n v="3653434"/>
  </r>
  <r>
    <s v="w37A"/>
    <n v="1506541"/>
    <n v="1414887"/>
    <n v="1216612"/>
    <n v="1166775"/>
    <x v="2"/>
    <n v="2921428"/>
  </r>
  <r>
    <s v="w38B"/>
    <n v="1598886"/>
    <n v="1687917"/>
    <n v="449788"/>
    <n v="427615"/>
    <x v="3"/>
    <n v="3286803"/>
  </r>
  <r>
    <s v="w39D"/>
    <n v="548989"/>
    <n v="514636"/>
    <n v="2770344"/>
    <n v="3187897"/>
    <x v="0"/>
    <n v="1063625"/>
  </r>
  <r>
    <s v="w40A"/>
    <n v="1175198"/>
    <n v="1095440"/>
    <n v="2657174"/>
    <n v="2491947"/>
    <x v="2"/>
    <n v="2270638"/>
  </r>
  <r>
    <s v="w41D"/>
    <n v="2115336"/>
    <n v="2202769"/>
    <n v="15339"/>
    <n v="14652"/>
    <x v="0"/>
    <n v="4318105"/>
  </r>
  <r>
    <s v="w42B"/>
    <n v="2346640"/>
    <n v="2197559"/>
    <n v="373470"/>
    <n v="353365"/>
    <x v="3"/>
    <n v="4544199"/>
  </r>
  <r>
    <s v="w43D"/>
    <n v="2548438"/>
    <n v="2577213"/>
    <n v="37986"/>
    <n v="37766"/>
    <x v="0"/>
    <n v="5125651"/>
  </r>
  <r>
    <s v="w44C"/>
    <n v="835495"/>
    <n v="837746"/>
    <n v="1106177"/>
    <n v="917781"/>
    <x v="1"/>
    <n v="1673241"/>
  </r>
  <r>
    <s v="w45B"/>
    <n v="1187448"/>
    <n v="1070426"/>
    <n v="1504608"/>
    <n v="1756990"/>
    <x v="3"/>
    <n v="2257874"/>
  </r>
  <r>
    <s v="w46C"/>
    <n v="140026"/>
    <n v="146354"/>
    <n v="2759991"/>
    <n v="2742120"/>
    <x v="1"/>
    <n v="286380"/>
  </r>
  <r>
    <s v="w47B"/>
    <n v="1198765"/>
    <n v="1304945"/>
    <n v="2786493"/>
    <n v="2602643"/>
    <x v="3"/>
    <n v="2503710"/>
  </r>
  <r>
    <s v="w48C"/>
    <n v="2619776"/>
    <n v="2749623"/>
    <n v="2888215"/>
    <n v="2800174"/>
    <x v="1"/>
    <n v="5369399"/>
  </r>
  <r>
    <s v="w49C"/>
    <n v="248398"/>
    <n v="268511"/>
    <n v="3110853"/>
    <n v="2986411"/>
    <x v="1"/>
    <n v="516909"/>
  </r>
  <r>
    <s v="w50B"/>
    <n v="2494207"/>
    <n v="2625207"/>
    <n v="1796293"/>
    <n v="1853602"/>
    <x v="3"/>
    <n v="51194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w01D"/>
    <n v="1415007"/>
    <n v="1397195"/>
    <n v="1499070"/>
    <n v="1481105"/>
    <x v="0"/>
    <n v="1"/>
    <n v="1"/>
    <n v="1"/>
  </r>
  <r>
    <s v="w02D"/>
    <n v="1711390"/>
    <n v="1641773"/>
    <n v="1522030"/>
    <n v="1618733"/>
    <x v="0"/>
    <n v="0"/>
    <n v="0"/>
    <n v="0"/>
  </r>
  <r>
    <s v="w03C"/>
    <n v="1165105"/>
    <n v="1278732"/>
    <n v="1299953"/>
    <n v="1191621"/>
    <x v="1"/>
    <n v="1"/>
    <n v="0"/>
    <n v="0"/>
  </r>
  <r>
    <s v="w04D"/>
    <n v="949065"/>
    <n v="1026050"/>
    <n v="688027"/>
    <n v="723233"/>
    <x v="0"/>
    <n v="0"/>
    <n v="0"/>
    <n v="0"/>
  </r>
  <r>
    <s v="w05A"/>
    <n v="2436107"/>
    <n v="2228622"/>
    <n v="1831600"/>
    <n v="1960624"/>
    <x v="2"/>
    <n v="0"/>
    <n v="0"/>
    <n v="0"/>
  </r>
  <r>
    <s v="w06D"/>
    <n v="1846928"/>
    <n v="1851433"/>
    <n v="2125113"/>
    <n v="2028635"/>
    <x v="0"/>
    <n v="1"/>
    <n v="1"/>
    <n v="1"/>
  </r>
  <r>
    <s v="w07B"/>
    <n v="3841577"/>
    <n v="3848394"/>
    <n v="3595975"/>
    <n v="3123039"/>
    <x v="3"/>
    <n v="0"/>
    <n v="0"/>
    <n v="0"/>
  </r>
  <r>
    <s v="w08A"/>
    <n v="679557"/>
    <n v="655500"/>
    <n v="1012012"/>
    <n v="1067022"/>
    <x v="2"/>
    <n v="1"/>
    <n v="1"/>
    <n v="1"/>
  </r>
  <r>
    <s v="w09C"/>
    <n v="1660998"/>
    <n v="1630345"/>
    <n v="1130119"/>
    <n v="1080238"/>
    <x v="1"/>
    <n v="0"/>
    <n v="0"/>
    <n v="0"/>
  </r>
  <r>
    <s v="w10C"/>
    <n v="1157622"/>
    <n v="1182345"/>
    <n v="830785"/>
    <n v="833779"/>
    <x v="1"/>
    <n v="0"/>
    <n v="0"/>
    <n v="0"/>
  </r>
  <r>
    <s v="w11D"/>
    <n v="1987047"/>
    <n v="1996208"/>
    <n v="2053892"/>
    <n v="1697247"/>
    <x v="0"/>
    <n v="1"/>
    <n v="0"/>
    <n v="0"/>
  </r>
  <r>
    <s v="w12C"/>
    <n v="3997724"/>
    <n v="3690756"/>
    <n v="4339393"/>
    <n v="4639643"/>
    <x v="1"/>
    <n v="1"/>
    <n v="1"/>
    <n v="1"/>
  </r>
  <r>
    <s v="w13A"/>
    <n v="996113"/>
    <n v="964279"/>
    <n v="1012487"/>
    <n v="1128940"/>
    <x v="2"/>
    <n v="1"/>
    <n v="1"/>
    <n v="1"/>
  </r>
  <r>
    <s v="w14A"/>
    <n v="1143634"/>
    <n v="1033836"/>
    <n v="909534"/>
    <n v="856349"/>
    <x v="2"/>
    <n v="0"/>
    <n v="0"/>
    <n v="0"/>
  </r>
  <r>
    <s v="w15A"/>
    <n v="2549276"/>
    <n v="2584751"/>
    <n v="2033079"/>
    <n v="2066918"/>
    <x v="2"/>
    <n v="0"/>
    <n v="0"/>
    <n v="0"/>
  </r>
  <r>
    <s v="w16C"/>
    <n v="1367212"/>
    <n v="1361389"/>
    <n v="1572320"/>
    <n v="1836258"/>
    <x v="1"/>
    <n v="1"/>
    <n v="1"/>
    <n v="1"/>
  </r>
  <r>
    <s v="w17A"/>
    <n v="2567464"/>
    <n v="2441857"/>
    <n v="1524132"/>
    <n v="1496810"/>
    <x v="2"/>
    <n v="0"/>
    <n v="0"/>
    <n v="0"/>
  </r>
  <r>
    <s v="w18D"/>
    <n v="1334060"/>
    <n v="1395231"/>
    <n v="578655"/>
    <n v="677663"/>
    <x v="0"/>
    <n v="0"/>
    <n v="0"/>
    <n v="0"/>
  </r>
  <r>
    <s v="w19C"/>
    <n v="2976209"/>
    <n v="3199665"/>
    <n v="1666477"/>
    <n v="1759240"/>
    <x v="1"/>
    <n v="0"/>
    <n v="0"/>
    <n v="0"/>
  </r>
  <r>
    <s v="w20C"/>
    <n v="1443351"/>
    <n v="1565539"/>
    <n v="1355276"/>
    <n v="1423414"/>
    <x v="1"/>
    <n v="0"/>
    <n v="0"/>
    <n v="0"/>
  </r>
  <r>
    <s v="w21A"/>
    <n v="2486640"/>
    <n v="2265936"/>
    <n v="297424"/>
    <n v="274759"/>
    <x v="2"/>
    <n v="0"/>
    <n v="0"/>
    <n v="0"/>
  </r>
  <r>
    <s v="w22B"/>
    <n v="685438"/>
    <n v="749124"/>
    <n v="2697677"/>
    <n v="2821550"/>
    <x v="3"/>
    <n v="1"/>
    <n v="1"/>
    <n v="1"/>
  </r>
  <r>
    <s v="w23B"/>
    <n v="2166753"/>
    <n v="2338698"/>
    <n v="1681433"/>
    <n v="1592443"/>
    <x v="3"/>
    <n v="0"/>
    <n v="0"/>
    <n v="0"/>
  </r>
  <r>
    <s v="w24C"/>
    <n v="643177"/>
    <n v="684187"/>
    <n v="796213"/>
    <n v="867904"/>
    <x v="1"/>
    <n v="1"/>
    <n v="1"/>
    <n v="1"/>
  </r>
  <r>
    <s v="w25B"/>
    <n v="450192"/>
    <n v="434755"/>
    <n v="1656446"/>
    <n v="1691000"/>
    <x v="3"/>
    <n v="1"/>
    <n v="1"/>
    <n v="1"/>
  </r>
  <r>
    <s v="w26C"/>
    <n v="1037774"/>
    <n v="1113789"/>
    <n v="877464"/>
    <n v="990837"/>
    <x v="1"/>
    <n v="0"/>
    <n v="0"/>
    <n v="0"/>
  </r>
  <r>
    <s v="w27C"/>
    <n v="2351213"/>
    <n v="2358482"/>
    <n v="1098384"/>
    <n v="1121488"/>
    <x v="1"/>
    <n v="0"/>
    <n v="0"/>
    <n v="0"/>
  </r>
  <r>
    <s v="w28D"/>
    <n v="2613354"/>
    <n v="2837241"/>
    <n v="431144"/>
    <n v="434113"/>
    <x v="0"/>
    <n v="0"/>
    <n v="0"/>
    <n v="0"/>
  </r>
  <r>
    <s v="w29A"/>
    <n v="1859691"/>
    <n v="1844250"/>
    <n v="1460134"/>
    <n v="1585258"/>
    <x v="2"/>
    <n v="0"/>
    <n v="0"/>
    <n v="0"/>
  </r>
  <r>
    <s v="w30C"/>
    <n v="2478386"/>
    <n v="2562144"/>
    <n v="30035"/>
    <n v="29396"/>
    <x v="1"/>
    <n v="0"/>
    <n v="0"/>
    <n v="0"/>
  </r>
  <r>
    <s v="w31C"/>
    <n v="1938122"/>
    <n v="1816647"/>
    <n v="1602356"/>
    <n v="1875221"/>
    <x v="1"/>
    <n v="0"/>
    <n v="1"/>
    <n v="0"/>
  </r>
  <r>
    <s v="w32D"/>
    <n v="992523"/>
    <n v="1028501"/>
    <n v="1995446"/>
    <n v="1860524"/>
    <x v="0"/>
    <n v="1"/>
    <n v="1"/>
    <n v="1"/>
  </r>
  <r>
    <s v="w33B"/>
    <n v="2966291"/>
    <n v="2889963"/>
    <n v="462453"/>
    <n v="486354"/>
    <x v="3"/>
    <n v="0"/>
    <n v="0"/>
    <n v="0"/>
  </r>
  <r>
    <s v="w34C"/>
    <n v="76648"/>
    <n v="81385"/>
    <n v="1374708"/>
    <n v="1379567"/>
    <x v="1"/>
    <n v="1"/>
    <n v="1"/>
    <n v="1"/>
  </r>
  <r>
    <s v="w35C"/>
    <n v="2574432"/>
    <n v="2409710"/>
    <n v="987486"/>
    <n v="999043"/>
    <x v="1"/>
    <n v="0"/>
    <n v="0"/>
    <n v="0"/>
  </r>
  <r>
    <s v="w36B"/>
    <n v="1778590"/>
    <n v="1874844"/>
    <n v="111191"/>
    <n v="117846"/>
    <x v="3"/>
    <n v="0"/>
    <n v="0"/>
    <n v="0"/>
  </r>
  <r>
    <s v="w37A"/>
    <n v="1506541"/>
    <n v="1414887"/>
    <n v="1216612"/>
    <n v="1166775"/>
    <x v="2"/>
    <n v="0"/>
    <n v="0"/>
    <n v="0"/>
  </r>
  <r>
    <s v="w38B"/>
    <n v="1598886"/>
    <n v="1687917"/>
    <n v="449788"/>
    <n v="427615"/>
    <x v="3"/>
    <n v="0"/>
    <n v="0"/>
    <n v="0"/>
  </r>
  <r>
    <s v="w39D"/>
    <n v="548989"/>
    <n v="514636"/>
    <n v="2770344"/>
    <n v="3187897"/>
    <x v="0"/>
    <n v="1"/>
    <n v="1"/>
    <n v="1"/>
  </r>
  <r>
    <s v="w40A"/>
    <n v="1175198"/>
    <n v="1095440"/>
    <n v="2657174"/>
    <n v="2491947"/>
    <x v="2"/>
    <n v="1"/>
    <n v="1"/>
    <n v="1"/>
  </r>
  <r>
    <s v="w41D"/>
    <n v="2115336"/>
    <n v="2202769"/>
    <n v="15339"/>
    <n v="14652"/>
    <x v="0"/>
    <n v="0"/>
    <n v="0"/>
    <n v="0"/>
  </r>
  <r>
    <s v="w42B"/>
    <n v="2346640"/>
    <n v="2197559"/>
    <n v="373470"/>
    <n v="353365"/>
    <x v="3"/>
    <n v="0"/>
    <n v="0"/>
    <n v="0"/>
  </r>
  <r>
    <s v="w43D"/>
    <n v="2548438"/>
    <n v="2577213"/>
    <n v="37986"/>
    <n v="37766"/>
    <x v="0"/>
    <n v="0"/>
    <n v="0"/>
    <n v="0"/>
  </r>
  <r>
    <s v="w44C"/>
    <n v="835495"/>
    <n v="837746"/>
    <n v="1106177"/>
    <n v="917781"/>
    <x v="1"/>
    <n v="1"/>
    <n v="1"/>
    <n v="1"/>
  </r>
  <r>
    <s v="w45B"/>
    <n v="1187448"/>
    <n v="1070426"/>
    <n v="1504608"/>
    <n v="1756990"/>
    <x v="3"/>
    <n v="1"/>
    <n v="1"/>
    <n v="1"/>
  </r>
  <r>
    <s v="w46C"/>
    <n v="140026"/>
    <n v="146354"/>
    <n v="2759991"/>
    <n v="2742120"/>
    <x v="1"/>
    <n v="1"/>
    <n v="1"/>
    <n v="1"/>
  </r>
  <r>
    <s v="w47B"/>
    <n v="1198765"/>
    <n v="1304945"/>
    <n v="2786493"/>
    <n v="2602643"/>
    <x v="3"/>
    <n v="1"/>
    <n v="1"/>
    <n v="1"/>
  </r>
  <r>
    <s v="w48C"/>
    <n v="2619776"/>
    <n v="2749623"/>
    <n v="2888215"/>
    <n v="2800174"/>
    <x v="1"/>
    <n v="1"/>
    <n v="1"/>
    <n v="1"/>
  </r>
  <r>
    <s v="w49C"/>
    <n v="248398"/>
    <n v="268511"/>
    <n v="3110853"/>
    <n v="2986411"/>
    <x v="1"/>
    <n v="1"/>
    <n v="1"/>
    <n v="1"/>
  </r>
  <r>
    <s v="w50B"/>
    <n v="2494207"/>
    <n v="2625207"/>
    <n v="1796293"/>
    <n v="1853602"/>
    <x v="3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54BB3-E6B1-4546-B458-6998999A7191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regiony">
  <location ref="I1:J6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mieszkanców w 2013" fld="6" baseField="0" baseItem="0"/>
  </dataFields>
  <formats count="4">
    <format dxfId="29">
      <pivotArea collapsedLevelsAreSubtotals="1" fieldPosition="0">
        <references count="1">
          <reference field="5" count="0"/>
        </references>
      </pivotArea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CC6EF-5B3B-40C9-A5CE-950D8AC1B776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egion">
  <location ref="K1:L6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wojewodztw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EB229B-87C0-4D62-866A-FE1D3A2C7A61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D782497-97F2-492A-A9AF-292434D7AE07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754D053-5980-41D3-BA84-88412C5D9A92}" autoFormatId="16" applyNumberFormats="0" applyBorderFormats="0" applyFontFormats="0" applyPatternFormats="0" applyAlignmentFormats="0" applyWidthHeightFormats="0">
  <queryTableRefresh nextId="22" unboundColumnsRight="15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35A6F6-3FA8-465F-827B-F945E582927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83491A-59FC-49F1-A01A-566BF4AAF585}" name="kraina3" displayName="kraina3" ref="A1:G51" tableType="queryTable" totalsRowShown="0">
  <autoFilter ref="A1:G51" xr:uid="{7DA2668D-7A51-4980-82DC-14065AF1125F}"/>
  <tableColumns count="7">
    <tableColumn id="1" xr3:uid="{10C74B15-AA31-4101-9EBF-335D752FB0FE}" uniqueName="1" name="nazwa_wojew" queryTableFieldId="1" dataDxfId="32"/>
    <tableColumn id="2" xr3:uid="{4885A5E6-AE8C-40B2-B8B8-C2EC05C87A52}" uniqueName="2" name="liczba_kobiet_2013" queryTableFieldId="2"/>
    <tableColumn id="3" xr3:uid="{F0AE415A-0775-4718-843A-23617CC1D8D7}" uniqueName="3" name="liczba_mez_2013" queryTableFieldId="3"/>
    <tableColumn id="4" xr3:uid="{768BC844-0899-4F4D-AE80-EE93670FF8AF}" uniqueName="4" name="liczba_kobiet_2014" queryTableFieldId="4"/>
    <tableColumn id="5" xr3:uid="{9E787774-4159-4CAD-9DB7-550A81330260}" uniqueName="5" name="liczba_mez_2014" queryTableFieldId="5"/>
    <tableColumn id="6" xr3:uid="{E25E0951-EFA3-417C-AE5E-AE208C93F520}" uniqueName="6" name="region" queryTableFieldId="6" dataDxfId="31">
      <calculatedColumnFormula>RIGHT(kraina3[[#This Row],[nazwa_wojew]],1)</calculatedColumnFormula>
    </tableColumn>
    <tableColumn id="7" xr3:uid="{394A7974-3F1E-4795-AC75-B7170801B7BF}" uniqueName="7" name="suma_mieszkancow_2013" queryTableFieldId="7" dataDxfId="30">
      <calculatedColumnFormula>SUM(kraina3[[#This Row],[liczba_kobiet_2013]:[liczba_mez_2013]])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8DA4E-9201-422A-8FF5-B97F914A793D}" name="kraina4" displayName="kraina4" ref="A1:I51" tableType="queryTable" totalsRowShown="0">
  <autoFilter ref="A1:I51" xr:uid="{7DA2668D-7A51-4980-82DC-14065AF1125F}"/>
  <tableColumns count="9">
    <tableColumn id="1" xr3:uid="{74146DA2-9D9F-469D-81B8-A941D7BAB688}" uniqueName="1" name="nazwa_wojew" queryTableFieldId="1" dataDxfId="25"/>
    <tableColumn id="2" xr3:uid="{AFF5F2ED-BDA7-4B0C-AD9A-9221D4C288B8}" uniqueName="2" name="liczba_kobiet_2013" queryTableFieldId="2"/>
    <tableColumn id="3" xr3:uid="{F7E8BF42-329F-4F59-AD8B-6D9CA6628EAF}" uniqueName="3" name="liczba_mez_2013" queryTableFieldId="3"/>
    <tableColumn id="4" xr3:uid="{A5FEF85E-977E-485A-9A30-365D38708C8C}" uniqueName="4" name="liczba_kobiet_2014" queryTableFieldId="4"/>
    <tableColumn id="5" xr3:uid="{2479E964-1C2A-425D-AE84-EDA52A30A4FB}" uniqueName="5" name="liczba_mez_2014" queryTableFieldId="5"/>
    <tableColumn id="6" xr3:uid="{3DB36125-CA3B-4C32-ABD1-FE69C54BD537}" uniqueName="6" name="region" queryTableFieldId="6" dataDxfId="24">
      <calculatedColumnFormula>RIGHT(kraina4[[#This Row],[nazwa_wojew]],1)</calculatedColumnFormula>
    </tableColumn>
    <tableColumn id="7" xr3:uid="{D3FAAD7E-6337-4C5D-BBA3-DF32B9737428}" uniqueName="7" name="czyLiczbaKobietWzrosla" queryTableFieldId="7" dataDxfId="23">
      <calculatedColumnFormula>IF(kraina4[[#This Row],[liczba_kobiet_2014]]&gt;kraina4[[#This Row],[liczba_kobiet_2013]],1,0)</calculatedColumnFormula>
    </tableColumn>
    <tableColumn id="8" xr3:uid="{D7413CD1-11E8-46B3-95C4-1805EEC35753}" uniqueName="8" name="czyLiczbaMenWieksza" queryTableFieldId="8" dataDxfId="22">
      <calculatedColumnFormula>IF(kraina4[[#This Row],[liczba_mez_2014]]&gt;kraina4[[#This Row],[liczba_mez_2013]],1,0)</calculatedColumnFormula>
    </tableColumn>
    <tableColumn id="9" xr3:uid="{35B108A2-6280-4625-9FB4-A87F0915E6B1}" uniqueName="9" name="czyOba" queryTableFieldId="9" dataDxfId="21">
      <calculatedColumnFormula>IF(AND(kraina4[[#This Row],[czyLiczbaKobietWzrosla]]=1,kraina4[[#This Row],[czyLiczbaMenWieksza]]=1),1,0)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C8D445-DE49-4A71-A090-661DA349D9A7}" name="kraina5" displayName="kraina5" ref="A1:T51" tableType="queryTable" totalsRowShown="0">
  <autoFilter ref="A1:T51" xr:uid="{7DA2668D-7A51-4980-82DC-14065AF1125F}"/>
  <tableColumns count="20">
    <tableColumn id="1" xr3:uid="{A12AA79E-CA9C-42AF-8EE3-91EEFDCD8F72}" uniqueName="1" name="nazwa_wojew" queryTableFieldId="1" dataDxfId="15"/>
    <tableColumn id="2" xr3:uid="{DBE65E86-6FA2-476B-AAB8-7718A37965E5}" uniqueName="2" name="liczba_kobiet_2013" queryTableFieldId="2"/>
    <tableColumn id="3" xr3:uid="{23CF3811-052A-4482-8F63-CCB8E0AFD9DE}" uniqueName="3" name="liczba_mez_2013" queryTableFieldId="3"/>
    <tableColumn id="4" xr3:uid="{C4056AFC-B0D3-4BB1-8A1E-556E1798C64B}" uniqueName="4" name="liczba_kobiet_2014" queryTableFieldId="4"/>
    <tableColumn id="5" xr3:uid="{28CBE41D-A692-427A-8306-20DE0E2429ED}" uniqueName="5" name="liczba_mez_2014" queryTableFieldId="5"/>
    <tableColumn id="7" xr3:uid="{8480EA5B-3E6F-46CF-9BAC-D61800034AF7}" uniqueName="7" name="populacja_2013" queryTableFieldId="7" dataDxfId="14">
      <calculatedColumnFormula>kraina5[[#This Row],[liczba_kobiet_2013]]+kraina5[[#This Row],[liczba_mez_2013]]</calculatedColumnFormula>
    </tableColumn>
    <tableColumn id="8" xr3:uid="{FE9FC03B-47AB-4A6E-BCFA-73E26871C3C2}" uniqueName="8" name="populacja_2014" queryTableFieldId="8" dataDxfId="13">
      <calculatedColumnFormula>SUM(kraina5[[#This Row],[liczba_kobiet_2014]:[liczba_mez_2014]])</calculatedColumnFormula>
    </tableColumn>
    <tableColumn id="9" xr3:uid="{CDFFAC1D-D6AF-4D3A-ADA0-3E9227F00BAA}" uniqueName="9" name="tempo_wzrostu" queryTableFieldId="9" dataDxfId="12">
      <calculatedColumnFormula>ROUNDDOWN(kraina5[[#This Row],[populacja_2014]]/kraina5[[#This Row],[populacja_2013]],4)</calculatedColumnFormula>
    </tableColumn>
    <tableColumn id="10" xr3:uid="{FDA20EC1-F713-4C01-A7C5-8C21A234C9B5}" uniqueName="10" name="populacja_2015" queryTableFieldId="10" dataDxfId="2">
      <calculatedColumnFormula>IF(kraina5[[#This Row],[populacja_2014]]&gt;2*kraina5[[#This Row],[populacja_2013]],kraina5[[#This Row],[populacja_2014]],ROUNDDOWN(kraina5[[#This Row],[populacja_2014]]*kraina5[[#This Row],[tempo_wzrostu]],0))</calculatedColumnFormula>
    </tableColumn>
    <tableColumn id="11" xr3:uid="{B1D4F577-4635-4EBA-B71B-4AE0B41A9966}" uniqueName="11" name="populacja_2016" queryTableFieldId="11" dataDxfId="1">
      <calculatedColumnFormula>IF(I2&gt;2*$F2,I2,ROUNDDOWN(I2*$H2,0))</calculatedColumnFormula>
    </tableColumn>
    <tableColumn id="12" xr3:uid="{285D581E-ABA1-469D-9AB3-5277B44C4EE9}" uniqueName="12" name="populacja_2017" queryTableFieldId="12" dataDxfId="11">
      <calculatedColumnFormula>IF(J2&gt;2*$F2,J2,ROUNDDOWN(J2*$H2,0))</calculatedColumnFormula>
    </tableColumn>
    <tableColumn id="13" xr3:uid="{792F46EC-579F-4BBB-AE3D-100BB0A5DD80}" uniqueName="13" name="populacja_2018" queryTableFieldId="13" dataDxfId="10">
      <calculatedColumnFormula>IF(K2&gt;2*$F2,K2,ROUNDDOWN(K2*$H2,0))</calculatedColumnFormula>
    </tableColumn>
    <tableColumn id="14" xr3:uid="{D0C28098-752A-4A37-8C16-7DB40FA1A9F7}" uniqueName="14" name="populacja_2019" queryTableFieldId="14" dataDxfId="9">
      <calculatedColumnFormula>IF(L2&gt;2*$F2,L2,ROUNDDOWN(L2*$H2,0))</calculatedColumnFormula>
    </tableColumn>
    <tableColumn id="15" xr3:uid="{3667486F-8016-4A3F-AD2A-5D5A534BFABC}" uniqueName="15" name="populacja_2020" queryTableFieldId="15" dataDxfId="8">
      <calculatedColumnFormula>IF(M2&gt;2*$F2,M2,ROUNDDOWN(M2*$H2,0))</calculatedColumnFormula>
    </tableColumn>
    <tableColumn id="16" xr3:uid="{4010BB9C-42E4-4C67-A96E-431DFC7CCCE9}" uniqueName="16" name="populacja_2021" queryTableFieldId="16" dataDxfId="7">
      <calculatedColumnFormula>IF(N2&gt;2*$F2,N2,ROUNDDOWN(N2*$H2,0))</calculatedColumnFormula>
    </tableColumn>
    <tableColumn id="17" xr3:uid="{C40EB25D-152E-4059-B36C-AB00AE6C0C00}" uniqueName="17" name="populacja_2022" queryTableFieldId="17" dataDxfId="6">
      <calculatedColumnFormula>IF(O2&gt;2*$F2,O2,ROUNDDOWN(O2*$H2,0))</calculatedColumnFormula>
    </tableColumn>
    <tableColumn id="18" xr3:uid="{5C2B522C-7CA4-4425-80EF-052BF71ACFDA}" uniqueName="18" name="populacja_2023" queryTableFieldId="18" dataDxfId="5">
      <calculatedColumnFormula>IF(P2&gt;2*$F2,P2,ROUNDDOWN(P2*$H2,0))</calculatedColumnFormula>
    </tableColumn>
    <tableColumn id="19" xr3:uid="{3FBC76FB-785C-458D-9E7A-CD1BB09544E7}" uniqueName="19" name="populacja_2024" queryTableFieldId="19" dataDxfId="4">
      <calculatedColumnFormula>IF(Q2&gt;2*$F2,Q2,ROUNDDOWN(Q2*$H2,0))</calculatedColumnFormula>
    </tableColumn>
    <tableColumn id="20" xr3:uid="{7E7E486F-88C1-4805-AC60-1E34FB057265}" uniqueName="20" name="populacja_2025" queryTableFieldId="20" dataDxfId="3">
      <calculatedColumnFormula>IF(R2&gt;2*$F2,R2,ROUNDDOWN(R2*$H2,0))</calculatedColumnFormula>
    </tableColumn>
    <tableColumn id="21" xr3:uid="{EC088013-8272-4F7A-B3C5-459EC9E02B5C}" uniqueName="21" name="czyEfektPrzeludnienia" queryTableFieldId="21" dataDxfId="0">
      <calculatedColumnFormula>IF(kraina5[[#This Row],[populacja_2025]]&gt;2*kraina5[[#This Row],[populacja_2013]],1,0)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2668D-7A51-4980-82DC-14065AF1125F}" name="kraina" displayName="kraina" ref="A1:E51" tableType="queryTable" totalsRowShown="0">
  <autoFilter ref="A1:E51" xr:uid="{7DA2668D-7A51-4980-82DC-14065AF1125F}"/>
  <tableColumns count="5">
    <tableColumn id="1" xr3:uid="{C34D5165-FF10-4AA9-90AC-DCE99E7F3181}" uniqueName="1" name="nazwa_wojew" queryTableFieldId="1" dataDxfId="33"/>
    <tableColumn id="2" xr3:uid="{99C22970-A4D4-4F09-AD4F-38B480531483}" uniqueName="2" name="liczba_kobiet_2013" queryTableFieldId="2"/>
    <tableColumn id="3" xr3:uid="{7E039B86-5425-4F7D-989D-55EB352AAAA7}" uniqueName="3" name="liczba_mez_2013" queryTableFieldId="3"/>
    <tableColumn id="4" xr3:uid="{E099E8E1-0F66-4ADF-97AE-D389288773A7}" uniqueName="4" name="liczba_kobiet_2014" queryTableFieldId="4"/>
    <tableColumn id="5" xr3:uid="{7076A2F5-427C-4828-9909-5E788BC18E32}" uniqueName="5" name="liczba_mez_2014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1569-FFB6-47CF-99D0-96EC22F883B4}">
  <dimension ref="A1:J51"/>
  <sheetViews>
    <sheetView topLeftCell="D1" workbookViewId="0">
      <selection activeCell="T33" sqref="T33"/>
    </sheetView>
  </sheetViews>
  <sheetFormatPr defaultRowHeight="15" x14ac:dyDescent="0.25"/>
  <cols>
    <col min="1" max="1" width="16" bestFit="1" customWidth="1"/>
    <col min="2" max="2" width="20.28515625" bestFit="1" customWidth="1"/>
    <col min="3" max="3" width="18.140625" bestFit="1" customWidth="1"/>
    <col min="4" max="4" width="20.28515625" bestFit="1" customWidth="1"/>
    <col min="5" max="5" width="18.140625" bestFit="1" customWidth="1"/>
    <col min="9" max="9" width="17.7109375" bestFit="1" customWidth="1"/>
    <col min="10" max="10" width="30.85546875" bestFit="1" customWidth="1"/>
  </cols>
  <sheetData>
    <row r="1" spans="1:10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I1" s="3" t="s">
        <v>62</v>
      </c>
      <c r="J1" s="3" t="s">
        <v>63</v>
      </c>
    </row>
    <row r="2" spans="1:10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  <c r="F2" t="str">
        <f>RIGHT(kraina3[[#This Row],[nazwa_wojew]],1)</f>
        <v>D</v>
      </c>
      <c r="G2">
        <f>SUM(kraina3[[#This Row],[liczba_kobiet_2013]:[liczba_mez_2013]])</f>
        <v>2812202</v>
      </c>
      <c r="I2" s="4" t="s">
        <v>57</v>
      </c>
      <c r="J2" s="5">
        <v>33929579</v>
      </c>
    </row>
    <row r="3" spans="1:10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  <c r="F3" t="str">
        <f>RIGHT(kraina3[[#This Row],[nazwa_wojew]],1)</f>
        <v>D</v>
      </c>
      <c r="G3">
        <f>SUM(kraina3[[#This Row],[liczba_kobiet_2013]:[liczba_mez_2013]])</f>
        <v>3353163</v>
      </c>
      <c r="I3" s="4" t="s">
        <v>58</v>
      </c>
      <c r="J3" s="5">
        <v>41736619</v>
      </c>
    </row>
    <row r="4" spans="1:10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  <c r="F4" t="str">
        <f>RIGHT(kraina3[[#This Row],[nazwa_wojew]],1)</f>
        <v>C</v>
      </c>
      <c r="G4">
        <f>SUM(kraina3[[#This Row],[liczba_kobiet_2013]:[liczba_mez_2013]])</f>
        <v>2443837</v>
      </c>
      <c r="I4" s="4" t="s">
        <v>59</v>
      </c>
      <c r="J4" s="5">
        <v>57649017</v>
      </c>
    </row>
    <row r="5" spans="1:10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  <c r="F5" t="str">
        <f>RIGHT(kraina3[[#This Row],[nazwa_wojew]],1)</f>
        <v>D</v>
      </c>
      <c r="G5">
        <f>SUM(kraina3[[#This Row],[liczba_kobiet_2013]:[liczba_mez_2013]])</f>
        <v>1975115</v>
      </c>
      <c r="I5" s="4" t="s">
        <v>60</v>
      </c>
      <c r="J5" s="5">
        <v>36530387</v>
      </c>
    </row>
    <row r="6" spans="1:10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  <c r="F6" t="str">
        <f>RIGHT(kraina3[[#This Row],[nazwa_wojew]],1)</f>
        <v>A</v>
      </c>
      <c r="G6">
        <f>SUM(kraina3[[#This Row],[liczba_kobiet_2013]:[liczba_mez_2013]])</f>
        <v>4664729</v>
      </c>
      <c r="I6" s="2" t="s">
        <v>61</v>
      </c>
      <c r="J6" s="1">
        <v>169845602</v>
      </c>
    </row>
    <row r="7" spans="1:10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  <c r="F7" t="str">
        <f>RIGHT(kraina3[[#This Row],[nazwa_wojew]],1)</f>
        <v>D</v>
      </c>
      <c r="G7">
        <f>SUM(kraina3[[#This Row],[liczba_kobiet_2013]:[liczba_mez_2013]])</f>
        <v>3698361</v>
      </c>
    </row>
    <row r="8" spans="1:10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  <c r="F8" t="str">
        <f>RIGHT(kraina3[[#This Row],[nazwa_wojew]],1)</f>
        <v>B</v>
      </c>
      <c r="G8">
        <f>SUM(kraina3[[#This Row],[liczba_kobiet_2013]:[liczba_mez_2013]])</f>
        <v>7689971</v>
      </c>
    </row>
    <row r="9" spans="1:10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  <c r="F9" t="str">
        <f>RIGHT(kraina3[[#This Row],[nazwa_wojew]],1)</f>
        <v>A</v>
      </c>
      <c r="G9">
        <f>SUM(kraina3[[#This Row],[liczba_kobiet_2013]:[liczba_mez_2013]])</f>
        <v>1335057</v>
      </c>
    </row>
    <row r="10" spans="1:10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  <c r="F10" t="str">
        <f>RIGHT(kraina3[[#This Row],[nazwa_wojew]],1)</f>
        <v>C</v>
      </c>
      <c r="G10">
        <f>SUM(kraina3[[#This Row],[liczba_kobiet_2013]:[liczba_mez_2013]])</f>
        <v>3291343</v>
      </c>
    </row>
    <row r="11" spans="1:10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  <c r="F11" t="str">
        <f>RIGHT(kraina3[[#This Row],[nazwa_wojew]],1)</f>
        <v>C</v>
      </c>
      <c r="G11">
        <f>SUM(kraina3[[#This Row],[liczba_kobiet_2013]:[liczba_mez_2013]])</f>
        <v>2339967</v>
      </c>
    </row>
    <row r="12" spans="1:10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  <c r="F12" t="str">
        <f>RIGHT(kraina3[[#This Row],[nazwa_wojew]],1)</f>
        <v>D</v>
      </c>
      <c r="G12">
        <f>SUM(kraina3[[#This Row],[liczba_kobiet_2013]:[liczba_mez_2013]])</f>
        <v>3983255</v>
      </c>
    </row>
    <row r="13" spans="1:10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  <c r="F13" t="str">
        <f>RIGHT(kraina3[[#This Row],[nazwa_wojew]],1)</f>
        <v>C</v>
      </c>
      <c r="G13">
        <f>SUM(kraina3[[#This Row],[liczba_kobiet_2013]:[liczba_mez_2013]])</f>
        <v>7688480</v>
      </c>
    </row>
    <row r="14" spans="1:10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  <c r="F14" t="str">
        <f>RIGHT(kraina3[[#This Row],[nazwa_wojew]],1)</f>
        <v>A</v>
      </c>
      <c r="G14">
        <f>SUM(kraina3[[#This Row],[liczba_kobiet_2013]:[liczba_mez_2013]])</f>
        <v>1960392</v>
      </c>
    </row>
    <row r="15" spans="1:10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  <c r="F15" t="str">
        <f>RIGHT(kraina3[[#This Row],[nazwa_wojew]],1)</f>
        <v>A</v>
      </c>
      <c r="G15">
        <f>SUM(kraina3[[#This Row],[liczba_kobiet_2013]:[liczba_mez_2013]])</f>
        <v>2177470</v>
      </c>
    </row>
    <row r="16" spans="1:10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  <c r="F16" t="str">
        <f>RIGHT(kraina3[[#This Row],[nazwa_wojew]],1)</f>
        <v>A</v>
      </c>
      <c r="G16">
        <f>SUM(kraina3[[#This Row],[liczba_kobiet_2013]:[liczba_mez_2013]])</f>
        <v>5134027</v>
      </c>
    </row>
    <row r="17" spans="1:7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  <c r="F17" t="str">
        <f>RIGHT(kraina3[[#This Row],[nazwa_wojew]],1)</f>
        <v>C</v>
      </c>
      <c r="G17">
        <f>SUM(kraina3[[#This Row],[liczba_kobiet_2013]:[liczba_mez_2013]])</f>
        <v>2728601</v>
      </c>
    </row>
    <row r="18" spans="1:7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  <c r="F18" t="str">
        <f>RIGHT(kraina3[[#This Row],[nazwa_wojew]],1)</f>
        <v>A</v>
      </c>
      <c r="G18">
        <f>SUM(kraina3[[#This Row],[liczba_kobiet_2013]:[liczba_mez_2013]])</f>
        <v>5009321</v>
      </c>
    </row>
    <row r="19" spans="1:7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  <c r="F19" t="str">
        <f>RIGHT(kraina3[[#This Row],[nazwa_wojew]],1)</f>
        <v>D</v>
      </c>
      <c r="G19">
        <f>SUM(kraina3[[#This Row],[liczba_kobiet_2013]:[liczba_mez_2013]])</f>
        <v>2729291</v>
      </c>
    </row>
    <row r="20" spans="1:7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  <c r="F20" t="str">
        <f>RIGHT(kraina3[[#This Row],[nazwa_wojew]],1)</f>
        <v>C</v>
      </c>
      <c r="G20">
        <f>SUM(kraina3[[#This Row],[liczba_kobiet_2013]:[liczba_mez_2013]])</f>
        <v>6175874</v>
      </c>
    </row>
    <row r="21" spans="1:7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  <c r="F21" t="str">
        <f>RIGHT(kraina3[[#This Row],[nazwa_wojew]],1)</f>
        <v>C</v>
      </c>
      <c r="G21">
        <f>SUM(kraina3[[#This Row],[liczba_kobiet_2013]:[liczba_mez_2013]])</f>
        <v>3008890</v>
      </c>
    </row>
    <row r="22" spans="1:7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  <c r="F22" t="str">
        <f>RIGHT(kraina3[[#This Row],[nazwa_wojew]],1)</f>
        <v>A</v>
      </c>
      <c r="G22">
        <f>SUM(kraina3[[#This Row],[liczba_kobiet_2013]:[liczba_mez_2013]])</f>
        <v>4752576</v>
      </c>
    </row>
    <row r="23" spans="1:7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  <c r="F23" t="str">
        <f>RIGHT(kraina3[[#This Row],[nazwa_wojew]],1)</f>
        <v>B</v>
      </c>
      <c r="G23">
        <f>SUM(kraina3[[#This Row],[liczba_kobiet_2013]:[liczba_mez_2013]])</f>
        <v>1434562</v>
      </c>
    </row>
    <row r="24" spans="1:7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  <c r="F24" t="str">
        <f>RIGHT(kraina3[[#This Row],[nazwa_wojew]],1)</f>
        <v>B</v>
      </c>
      <c r="G24">
        <f>SUM(kraina3[[#This Row],[liczba_kobiet_2013]:[liczba_mez_2013]])</f>
        <v>4505451</v>
      </c>
    </row>
    <row r="25" spans="1:7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  <c r="F25" t="str">
        <f>RIGHT(kraina3[[#This Row],[nazwa_wojew]],1)</f>
        <v>C</v>
      </c>
      <c r="G25">
        <f>SUM(kraina3[[#This Row],[liczba_kobiet_2013]:[liczba_mez_2013]])</f>
        <v>1327364</v>
      </c>
    </row>
    <row r="26" spans="1:7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  <c r="F26" t="str">
        <f>RIGHT(kraina3[[#This Row],[nazwa_wojew]],1)</f>
        <v>B</v>
      </c>
      <c r="G26">
        <f>SUM(kraina3[[#This Row],[liczba_kobiet_2013]:[liczba_mez_2013]])</f>
        <v>884947</v>
      </c>
    </row>
    <row r="27" spans="1:7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 t="str">
        <f>RIGHT(kraina3[[#This Row],[nazwa_wojew]],1)</f>
        <v>C</v>
      </c>
      <c r="G27">
        <f>SUM(kraina3[[#This Row],[liczba_kobiet_2013]:[liczba_mez_2013]])</f>
        <v>2151563</v>
      </c>
    </row>
    <row r="28" spans="1:7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  <c r="F28" t="str">
        <f>RIGHT(kraina3[[#This Row],[nazwa_wojew]],1)</f>
        <v>C</v>
      </c>
      <c r="G28">
        <f>SUM(kraina3[[#This Row],[liczba_kobiet_2013]:[liczba_mez_2013]])</f>
        <v>4709695</v>
      </c>
    </row>
    <row r="29" spans="1:7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  <c r="F29" t="str">
        <f>RIGHT(kraina3[[#This Row],[nazwa_wojew]],1)</f>
        <v>D</v>
      </c>
      <c r="G29">
        <f>SUM(kraina3[[#This Row],[liczba_kobiet_2013]:[liczba_mez_2013]])</f>
        <v>5450595</v>
      </c>
    </row>
    <row r="30" spans="1:7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  <c r="F30" t="str">
        <f>RIGHT(kraina3[[#This Row],[nazwa_wojew]],1)</f>
        <v>A</v>
      </c>
      <c r="G30">
        <f>SUM(kraina3[[#This Row],[liczba_kobiet_2013]:[liczba_mez_2013]])</f>
        <v>3703941</v>
      </c>
    </row>
    <row r="31" spans="1:7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  <c r="F31" t="str">
        <f>RIGHT(kraina3[[#This Row],[nazwa_wojew]],1)</f>
        <v>C</v>
      </c>
      <c r="G31">
        <f>SUM(kraina3[[#This Row],[liczba_kobiet_2013]:[liczba_mez_2013]])</f>
        <v>5040530</v>
      </c>
    </row>
    <row r="32" spans="1:7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  <c r="F32" t="str">
        <f>RIGHT(kraina3[[#This Row],[nazwa_wojew]],1)</f>
        <v>C</v>
      </c>
      <c r="G32">
        <f>SUM(kraina3[[#This Row],[liczba_kobiet_2013]:[liczba_mez_2013]])</f>
        <v>3754769</v>
      </c>
    </row>
    <row r="33" spans="1:7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  <c r="F33" t="str">
        <f>RIGHT(kraina3[[#This Row],[nazwa_wojew]],1)</f>
        <v>D</v>
      </c>
      <c r="G33">
        <f>SUM(kraina3[[#This Row],[liczba_kobiet_2013]:[liczba_mez_2013]])</f>
        <v>2021024</v>
      </c>
    </row>
    <row r="34" spans="1:7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  <c r="F34" t="str">
        <f>RIGHT(kraina3[[#This Row],[nazwa_wojew]],1)</f>
        <v>B</v>
      </c>
      <c r="G34">
        <f>SUM(kraina3[[#This Row],[liczba_kobiet_2013]:[liczba_mez_2013]])</f>
        <v>5856254</v>
      </c>
    </row>
    <row r="35" spans="1:7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  <c r="F35" t="str">
        <f>RIGHT(kraina3[[#This Row],[nazwa_wojew]],1)</f>
        <v>C</v>
      </c>
      <c r="G35">
        <f>SUM(kraina3[[#This Row],[liczba_kobiet_2013]:[liczba_mez_2013]])</f>
        <v>158033</v>
      </c>
    </row>
    <row r="36" spans="1:7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  <c r="F36" t="str">
        <f>RIGHT(kraina3[[#This Row],[nazwa_wojew]],1)</f>
        <v>C</v>
      </c>
      <c r="G36">
        <f>SUM(kraina3[[#This Row],[liczba_kobiet_2013]:[liczba_mez_2013]])</f>
        <v>4984142</v>
      </c>
    </row>
    <row r="37" spans="1:7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  <c r="F37" t="str">
        <f>RIGHT(kraina3[[#This Row],[nazwa_wojew]],1)</f>
        <v>B</v>
      </c>
      <c r="G37">
        <f>SUM(kraina3[[#This Row],[liczba_kobiet_2013]:[liczba_mez_2013]])</f>
        <v>3653434</v>
      </c>
    </row>
    <row r="38" spans="1:7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  <c r="F38" t="str">
        <f>RIGHT(kraina3[[#This Row],[nazwa_wojew]],1)</f>
        <v>A</v>
      </c>
      <c r="G38">
        <f>SUM(kraina3[[#This Row],[liczba_kobiet_2013]:[liczba_mez_2013]])</f>
        <v>2921428</v>
      </c>
    </row>
    <row r="39" spans="1:7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  <c r="F39" t="str">
        <f>RIGHT(kraina3[[#This Row],[nazwa_wojew]],1)</f>
        <v>B</v>
      </c>
      <c r="G39">
        <f>SUM(kraina3[[#This Row],[liczba_kobiet_2013]:[liczba_mez_2013]])</f>
        <v>3286803</v>
      </c>
    </row>
    <row r="40" spans="1:7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  <c r="F40" t="str">
        <f>RIGHT(kraina3[[#This Row],[nazwa_wojew]],1)</f>
        <v>D</v>
      </c>
      <c r="G40">
        <f>SUM(kraina3[[#This Row],[liczba_kobiet_2013]:[liczba_mez_2013]])</f>
        <v>1063625</v>
      </c>
    </row>
    <row r="41" spans="1:7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  <c r="F41" t="str">
        <f>RIGHT(kraina3[[#This Row],[nazwa_wojew]],1)</f>
        <v>A</v>
      </c>
      <c r="G41">
        <f>SUM(kraina3[[#This Row],[liczba_kobiet_2013]:[liczba_mez_2013]])</f>
        <v>2270638</v>
      </c>
    </row>
    <row r="42" spans="1:7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  <c r="F42" t="str">
        <f>RIGHT(kraina3[[#This Row],[nazwa_wojew]],1)</f>
        <v>D</v>
      </c>
      <c r="G42">
        <f>SUM(kraina3[[#This Row],[liczba_kobiet_2013]:[liczba_mez_2013]])</f>
        <v>4318105</v>
      </c>
    </row>
    <row r="43" spans="1:7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  <c r="F43" t="str">
        <f>RIGHT(kraina3[[#This Row],[nazwa_wojew]],1)</f>
        <v>B</v>
      </c>
      <c r="G43">
        <f>SUM(kraina3[[#This Row],[liczba_kobiet_2013]:[liczba_mez_2013]])</f>
        <v>4544199</v>
      </c>
    </row>
    <row r="44" spans="1:7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  <c r="F44" t="str">
        <f>RIGHT(kraina3[[#This Row],[nazwa_wojew]],1)</f>
        <v>D</v>
      </c>
      <c r="G44">
        <f>SUM(kraina3[[#This Row],[liczba_kobiet_2013]:[liczba_mez_2013]])</f>
        <v>5125651</v>
      </c>
    </row>
    <row r="45" spans="1:7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  <c r="F45" t="str">
        <f>RIGHT(kraina3[[#This Row],[nazwa_wojew]],1)</f>
        <v>C</v>
      </c>
      <c r="G45">
        <f>SUM(kraina3[[#This Row],[liczba_kobiet_2013]:[liczba_mez_2013]])</f>
        <v>1673241</v>
      </c>
    </row>
    <row r="46" spans="1:7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  <c r="F46" t="str">
        <f>RIGHT(kraina3[[#This Row],[nazwa_wojew]],1)</f>
        <v>B</v>
      </c>
      <c r="G46">
        <f>SUM(kraina3[[#This Row],[liczba_kobiet_2013]:[liczba_mez_2013]])</f>
        <v>2257874</v>
      </c>
    </row>
    <row r="47" spans="1:7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  <c r="F47" t="str">
        <f>RIGHT(kraina3[[#This Row],[nazwa_wojew]],1)</f>
        <v>C</v>
      </c>
      <c r="G47">
        <f>SUM(kraina3[[#This Row],[liczba_kobiet_2013]:[liczba_mez_2013]])</f>
        <v>286380</v>
      </c>
    </row>
    <row r="48" spans="1:7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  <c r="F48" t="str">
        <f>RIGHT(kraina3[[#This Row],[nazwa_wojew]],1)</f>
        <v>B</v>
      </c>
      <c r="G48">
        <f>SUM(kraina3[[#This Row],[liczba_kobiet_2013]:[liczba_mez_2013]])</f>
        <v>2503710</v>
      </c>
    </row>
    <row r="49" spans="1:7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  <c r="F49" t="str">
        <f>RIGHT(kraina3[[#This Row],[nazwa_wojew]],1)</f>
        <v>C</v>
      </c>
      <c r="G49">
        <f>SUM(kraina3[[#This Row],[liczba_kobiet_2013]:[liczba_mez_2013]])</f>
        <v>5369399</v>
      </c>
    </row>
    <row r="50" spans="1:7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  <c r="F50" t="str">
        <f>RIGHT(kraina3[[#This Row],[nazwa_wojew]],1)</f>
        <v>C</v>
      </c>
      <c r="G50">
        <f>SUM(kraina3[[#This Row],[liczba_kobiet_2013]:[liczba_mez_2013]])</f>
        <v>516909</v>
      </c>
    </row>
    <row r="51" spans="1:7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  <c r="F51" t="str">
        <f>RIGHT(kraina3[[#This Row],[nazwa_wojew]],1)</f>
        <v>B</v>
      </c>
      <c r="G51">
        <f>SUM(kraina3[[#This Row],[liczba_kobiet_2013]:[liczba_mez_2013]])</f>
        <v>5119414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8076-FED8-4C14-9C16-3C0C74EADC24}">
  <dimension ref="A1:L51"/>
  <sheetViews>
    <sheetView workbookViewId="0">
      <selection activeCell="K14" sqref="K14"/>
    </sheetView>
  </sheetViews>
  <sheetFormatPr defaultRowHeight="15" x14ac:dyDescent="0.25"/>
  <cols>
    <col min="1" max="1" width="16" bestFit="1" customWidth="1"/>
    <col min="2" max="2" width="20.28515625" bestFit="1" customWidth="1"/>
    <col min="3" max="3" width="18.140625" bestFit="1" customWidth="1"/>
    <col min="4" max="4" width="20.28515625" bestFit="1" customWidth="1"/>
    <col min="5" max="5" width="18.140625" bestFit="1" customWidth="1"/>
    <col min="8" max="8" width="23.140625" bestFit="1" customWidth="1"/>
    <col min="11" max="11" width="17.7109375" bestFit="1" customWidth="1"/>
    <col min="12" max="12" width="18.140625" bestFit="1" customWidth="1"/>
  </cols>
  <sheetData>
    <row r="1" spans="1:12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64</v>
      </c>
      <c r="H1" t="s">
        <v>65</v>
      </c>
      <c r="I1" t="s">
        <v>66</v>
      </c>
      <c r="K1" t="s">
        <v>55</v>
      </c>
      <c r="L1" t="s">
        <v>67</v>
      </c>
    </row>
    <row r="2" spans="1:12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  <c r="F2" t="str">
        <f>RIGHT(kraina4[[#This Row],[nazwa_wojew]],1)</f>
        <v>D</v>
      </c>
      <c r="G2">
        <f>IF(kraina4[[#This Row],[liczba_kobiet_2014]]&gt;kraina4[[#This Row],[liczba_kobiet_2013]],1,0)</f>
        <v>1</v>
      </c>
      <c r="H2">
        <f>IF(kraina4[[#This Row],[liczba_mez_2014]]&gt;kraina4[[#This Row],[liczba_mez_2013]],1,0)</f>
        <v>1</v>
      </c>
      <c r="I2" s="1">
        <f>IF(AND(kraina4[[#This Row],[czyLiczbaKobietWzrosla]]=1,kraina4[[#This Row],[czyLiczbaMenWieksza]]=1),1,0)</f>
        <v>1</v>
      </c>
      <c r="K2" t="s">
        <v>57</v>
      </c>
      <c r="L2">
        <v>3</v>
      </c>
    </row>
    <row r="3" spans="1:12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  <c r="F3" t="str">
        <f>RIGHT(kraina4[[#This Row],[nazwa_wojew]],1)</f>
        <v>D</v>
      </c>
      <c r="G3">
        <f>IF(kraina4[[#This Row],[liczba_kobiet_2014]]&gt;kraina4[[#This Row],[liczba_kobiet_2013]],1,0)</f>
        <v>0</v>
      </c>
      <c r="H3">
        <f>IF(kraina4[[#This Row],[liczba_mez_2014]]&gt;kraina4[[#This Row],[liczba_mez_2013]],1,0)</f>
        <v>0</v>
      </c>
      <c r="I3" s="1">
        <f>IF(AND(kraina4[[#This Row],[czyLiczbaKobietWzrosla]]=1,kraina4[[#This Row],[czyLiczbaMenWieksza]]=1),1,0)</f>
        <v>0</v>
      </c>
      <c r="K3" t="s">
        <v>58</v>
      </c>
      <c r="L3">
        <v>4</v>
      </c>
    </row>
    <row r="4" spans="1:12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  <c r="F4" t="str">
        <f>RIGHT(kraina4[[#This Row],[nazwa_wojew]],1)</f>
        <v>C</v>
      </c>
      <c r="G4">
        <f>IF(kraina4[[#This Row],[liczba_kobiet_2014]]&gt;kraina4[[#This Row],[liczba_kobiet_2013]],1,0)</f>
        <v>1</v>
      </c>
      <c r="H4">
        <f>IF(kraina4[[#This Row],[liczba_mez_2014]]&gt;kraina4[[#This Row],[liczba_mez_2013]],1,0)</f>
        <v>0</v>
      </c>
      <c r="I4" s="1">
        <f>IF(AND(kraina4[[#This Row],[czyLiczbaKobietWzrosla]]=1,kraina4[[#This Row],[czyLiczbaMenWieksza]]=1),1,0)</f>
        <v>0</v>
      </c>
      <c r="K4" t="s">
        <v>59</v>
      </c>
      <c r="L4">
        <v>8</v>
      </c>
    </row>
    <row r="5" spans="1:12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  <c r="F5" t="str">
        <f>RIGHT(kraina4[[#This Row],[nazwa_wojew]],1)</f>
        <v>D</v>
      </c>
      <c r="G5">
        <f>IF(kraina4[[#This Row],[liczba_kobiet_2014]]&gt;kraina4[[#This Row],[liczba_kobiet_2013]],1,0)</f>
        <v>0</v>
      </c>
      <c r="H5">
        <f>IF(kraina4[[#This Row],[liczba_mez_2014]]&gt;kraina4[[#This Row],[liczba_mez_2013]],1,0)</f>
        <v>0</v>
      </c>
      <c r="I5" s="1">
        <f>IF(AND(kraina4[[#This Row],[czyLiczbaKobietWzrosla]]=1,kraina4[[#This Row],[czyLiczbaMenWieksza]]=1),1,0)</f>
        <v>0</v>
      </c>
      <c r="K5" t="s">
        <v>60</v>
      </c>
      <c r="L5">
        <v>4</v>
      </c>
    </row>
    <row r="6" spans="1:12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  <c r="F6" t="str">
        <f>RIGHT(kraina4[[#This Row],[nazwa_wojew]],1)</f>
        <v>A</v>
      </c>
      <c r="G6">
        <f>IF(kraina4[[#This Row],[liczba_kobiet_2014]]&gt;kraina4[[#This Row],[liczba_kobiet_2013]],1,0)</f>
        <v>0</v>
      </c>
      <c r="H6">
        <f>IF(kraina4[[#This Row],[liczba_mez_2014]]&gt;kraina4[[#This Row],[liczba_mez_2013]],1,0)</f>
        <v>0</v>
      </c>
      <c r="I6" s="1">
        <f>IF(AND(kraina4[[#This Row],[czyLiczbaKobietWzrosla]]=1,kraina4[[#This Row],[czyLiczbaMenWieksza]]=1),1,0)</f>
        <v>0</v>
      </c>
      <c r="K6" s="2" t="s">
        <v>61</v>
      </c>
      <c r="L6" s="1">
        <v>19</v>
      </c>
    </row>
    <row r="7" spans="1:12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  <c r="F7" t="str">
        <f>RIGHT(kraina4[[#This Row],[nazwa_wojew]],1)</f>
        <v>D</v>
      </c>
      <c r="G7">
        <f>IF(kraina4[[#This Row],[liczba_kobiet_2014]]&gt;kraina4[[#This Row],[liczba_kobiet_2013]],1,0)</f>
        <v>1</v>
      </c>
      <c r="H7">
        <f>IF(kraina4[[#This Row],[liczba_mez_2014]]&gt;kraina4[[#This Row],[liczba_mez_2013]],1,0)</f>
        <v>1</v>
      </c>
      <c r="I7" s="1">
        <f>IF(AND(kraina4[[#This Row],[czyLiczbaKobietWzrosla]]=1,kraina4[[#This Row],[czyLiczbaMenWieksza]]=1),1,0)</f>
        <v>1</v>
      </c>
    </row>
    <row r="8" spans="1:12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  <c r="F8" t="str">
        <f>RIGHT(kraina4[[#This Row],[nazwa_wojew]],1)</f>
        <v>B</v>
      </c>
      <c r="G8">
        <f>IF(kraina4[[#This Row],[liczba_kobiet_2014]]&gt;kraina4[[#This Row],[liczba_kobiet_2013]],1,0)</f>
        <v>0</v>
      </c>
      <c r="H8">
        <f>IF(kraina4[[#This Row],[liczba_mez_2014]]&gt;kraina4[[#This Row],[liczba_mez_2013]],1,0)</f>
        <v>0</v>
      </c>
      <c r="I8" s="1">
        <f>IF(AND(kraina4[[#This Row],[czyLiczbaKobietWzrosla]]=1,kraina4[[#This Row],[czyLiczbaMenWieksza]]=1),1,0)</f>
        <v>0</v>
      </c>
      <c r="K8" s="3" t="s">
        <v>68</v>
      </c>
      <c r="L8" s="3">
        <v>19</v>
      </c>
    </row>
    <row r="9" spans="1:12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  <c r="F9" t="str">
        <f>RIGHT(kraina4[[#This Row],[nazwa_wojew]],1)</f>
        <v>A</v>
      </c>
      <c r="G9">
        <f>IF(kraina4[[#This Row],[liczba_kobiet_2014]]&gt;kraina4[[#This Row],[liczba_kobiet_2013]],1,0)</f>
        <v>1</v>
      </c>
      <c r="H9">
        <f>IF(kraina4[[#This Row],[liczba_mez_2014]]&gt;kraina4[[#This Row],[liczba_mez_2013]],1,0)</f>
        <v>1</v>
      </c>
      <c r="I9" s="1">
        <f>IF(AND(kraina4[[#This Row],[czyLiczbaKobietWzrosla]]=1,kraina4[[#This Row],[czyLiczbaMenWieksza]]=1),1,0)</f>
        <v>1</v>
      </c>
      <c r="K9" s="6" t="s">
        <v>55</v>
      </c>
      <c r="L9" s="6" t="s">
        <v>67</v>
      </c>
    </row>
    <row r="10" spans="1:12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  <c r="F10" t="str">
        <f>RIGHT(kraina4[[#This Row],[nazwa_wojew]],1)</f>
        <v>C</v>
      </c>
      <c r="G10">
        <f>IF(kraina4[[#This Row],[liczba_kobiet_2014]]&gt;kraina4[[#This Row],[liczba_kobiet_2013]],1,0)</f>
        <v>0</v>
      </c>
      <c r="H10">
        <f>IF(kraina4[[#This Row],[liczba_mez_2014]]&gt;kraina4[[#This Row],[liczba_mez_2013]],1,0)</f>
        <v>0</v>
      </c>
      <c r="I10" s="1">
        <f>IF(AND(kraina4[[#This Row],[czyLiczbaKobietWzrosla]]=1,kraina4[[#This Row],[czyLiczbaMenWieksza]]=1),1,0)</f>
        <v>0</v>
      </c>
      <c r="K10" s="4" t="s">
        <v>57</v>
      </c>
      <c r="L10" s="5">
        <v>3</v>
      </c>
    </row>
    <row r="11" spans="1:12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  <c r="F11" t="str">
        <f>RIGHT(kraina4[[#This Row],[nazwa_wojew]],1)</f>
        <v>C</v>
      </c>
      <c r="G11">
        <f>IF(kraina4[[#This Row],[liczba_kobiet_2014]]&gt;kraina4[[#This Row],[liczba_kobiet_2013]],1,0)</f>
        <v>0</v>
      </c>
      <c r="H11">
        <f>IF(kraina4[[#This Row],[liczba_mez_2014]]&gt;kraina4[[#This Row],[liczba_mez_2013]],1,0)</f>
        <v>0</v>
      </c>
      <c r="I11" s="1">
        <f>IF(AND(kraina4[[#This Row],[czyLiczbaKobietWzrosla]]=1,kraina4[[#This Row],[czyLiczbaMenWieksza]]=1),1,0)</f>
        <v>0</v>
      </c>
      <c r="K11" s="4" t="s">
        <v>58</v>
      </c>
      <c r="L11" s="5">
        <v>4</v>
      </c>
    </row>
    <row r="12" spans="1:12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  <c r="F12" t="str">
        <f>RIGHT(kraina4[[#This Row],[nazwa_wojew]],1)</f>
        <v>D</v>
      </c>
      <c r="G12">
        <f>IF(kraina4[[#This Row],[liczba_kobiet_2014]]&gt;kraina4[[#This Row],[liczba_kobiet_2013]],1,0)</f>
        <v>1</v>
      </c>
      <c r="H12">
        <f>IF(kraina4[[#This Row],[liczba_mez_2014]]&gt;kraina4[[#This Row],[liczba_mez_2013]],1,0)</f>
        <v>0</v>
      </c>
      <c r="I12" s="1">
        <f>IF(AND(kraina4[[#This Row],[czyLiczbaKobietWzrosla]]=1,kraina4[[#This Row],[czyLiczbaMenWieksza]]=1),1,0)</f>
        <v>0</v>
      </c>
      <c r="K12" s="4" t="s">
        <v>59</v>
      </c>
      <c r="L12" s="5">
        <v>8</v>
      </c>
    </row>
    <row r="13" spans="1:12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  <c r="F13" t="str">
        <f>RIGHT(kraina4[[#This Row],[nazwa_wojew]],1)</f>
        <v>C</v>
      </c>
      <c r="G13">
        <f>IF(kraina4[[#This Row],[liczba_kobiet_2014]]&gt;kraina4[[#This Row],[liczba_kobiet_2013]],1,0)</f>
        <v>1</v>
      </c>
      <c r="H13">
        <f>IF(kraina4[[#This Row],[liczba_mez_2014]]&gt;kraina4[[#This Row],[liczba_mez_2013]],1,0)</f>
        <v>1</v>
      </c>
      <c r="I13" s="1">
        <f>IF(AND(kraina4[[#This Row],[czyLiczbaKobietWzrosla]]=1,kraina4[[#This Row],[czyLiczbaMenWieksza]]=1),1,0)</f>
        <v>1</v>
      </c>
      <c r="K13" s="4" t="s">
        <v>60</v>
      </c>
      <c r="L13" s="5">
        <v>4</v>
      </c>
    </row>
    <row r="14" spans="1:12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  <c r="F14" t="str">
        <f>RIGHT(kraina4[[#This Row],[nazwa_wojew]],1)</f>
        <v>A</v>
      </c>
      <c r="G14">
        <f>IF(kraina4[[#This Row],[liczba_kobiet_2014]]&gt;kraina4[[#This Row],[liczba_kobiet_2013]],1,0)</f>
        <v>1</v>
      </c>
      <c r="H14">
        <f>IF(kraina4[[#This Row],[liczba_mez_2014]]&gt;kraina4[[#This Row],[liczba_mez_2013]],1,0)</f>
        <v>1</v>
      </c>
      <c r="I14" s="1">
        <f>IF(AND(kraina4[[#This Row],[czyLiczbaKobietWzrosla]]=1,kraina4[[#This Row],[czyLiczbaMenWieksza]]=1),1,0)</f>
        <v>1</v>
      </c>
    </row>
    <row r="15" spans="1:12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  <c r="F15" t="str">
        <f>RIGHT(kraina4[[#This Row],[nazwa_wojew]],1)</f>
        <v>A</v>
      </c>
      <c r="G15">
        <f>IF(kraina4[[#This Row],[liczba_kobiet_2014]]&gt;kraina4[[#This Row],[liczba_kobiet_2013]],1,0)</f>
        <v>0</v>
      </c>
      <c r="H15">
        <f>IF(kraina4[[#This Row],[liczba_mez_2014]]&gt;kraina4[[#This Row],[liczba_mez_2013]],1,0)</f>
        <v>0</v>
      </c>
      <c r="I15" s="1">
        <f>IF(AND(kraina4[[#This Row],[czyLiczbaKobietWzrosla]]=1,kraina4[[#This Row],[czyLiczbaMenWieksza]]=1),1,0)</f>
        <v>0</v>
      </c>
    </row>
    <row r="16" spans="1:12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  <c r="F16" t="str">
        <f>RIGHT(kraina4[[#This Row],[nazwa_wojew]],1)</f>
        <v>A</v>
      </c>
      <c r="G16">
        <f>IF(kraina4[[#This Row],[liczba_kobiet_2014]]&gt;kraina4[[#This Row],[liczba_kobiet_2013]],1,0)</f>
        <v>0</v>
      </c>
      <c r="H16">
        <f>IF(kraina4[[#This Row],[liczba_mez_2014]]&gt;kraina4[[#This Row],[liczba_mez_2013]],1,0)</f>
        <v>0</v>
      </c>
      <c r="I16" s="1">
        <f>IF(AND(kraina4[[#This Row],[czyLiczbaKobietWzrosla]]=1,kraina4[[#This Row],[czyLiczbaMenWieksza]]=1),1,0)</f>
        <v>0</v>
      </c>
    </row>
    <row r="17" spans="1:9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  <c r="F17" t="str">
        <f>RIGHT(kraina4[[#This Row],[nazwa_wojew]],1)</f>
        <v>C</v>
      </c>
      <c r="G17">
        <f>IF(kraina4[[#This Row],[liczba_kobiet_2014]]&gt;kraina4[[#This Row],[liczba_kobiet_2013]],1,0)</f>
        <v>1</v>
      </c>
      <c r="H17">
        <f>IF(kraina4[[#This Row],[liczba_mez_2014]]&gt;kraina4[[#This Row],[liczba_mez_2013]],1,0)</f>
        <v>1</v>
      </c>
      <c r="I17" s="1">
        <f>IF(AND(kraina4[[#This Row],[czyLiczbaKobietWzrosla]]=1,kraina4[[#This Row],[czyLiczbaMenWieksza]]=1),1,0)</f>
        <v>1</v>
      </c>
    </row>
    <row r="18" spans="1:9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  <c r="F18" t="str">
        <f>RIGHT(kraina4[[#This Row],[nazwa_wojew]],1)</f>
        <v>A</v>
      </c>
      <c r="G18">
        <f>IF(kraina4[[#This Row],[liczba_kobiet_2014]]&gt;kraina4[[#This Row],[liczba_kobiet_2013]],1,0)</f>
        <v>0</v>
      </c>
      <c r="H18">
        <f>IF(kraina4[[#This Row],[liczba_mez_2014]]&gt;kraina4[[#This Row],[liczba_mez_2013]],1,0)</f>
        <v>0</v>
      </c>
      <c r="I18" s="1">
        <f>IF(AND(kraina4[[#This Row],[czyLiczbaKobietWzrosla]]=1,kraina4[[#This Row],[czyLiczbaMenWieksza]]=1),1,0)</f>
        <v>0</v>
      </c>
    </row>
    <row r="19" spans="1:9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  <c r="F19" t="str">
        <f>RIGHT(kraina4[[#This Row],[nazwa_wojew]],1)</f>
        <v>D</v>
      </c>
      <c r="G19">
        <f>IF(kraina4[[#This Row],[liczba_kobiet_2014]]&gt;kraina4[[#This Row],[liczba_kobiet_2013]],1,0)</f>
        <v>0</v>
      </c>
      <c r="H19">
        <f>IF(kraina4[[#This Row],[liczba_mez_2014]]&gt;kraina4[[#This Row],[liczba_mez_2013]],1,0)</f>
        <v>0</v>
      </c>
      <c r="I19" s="1">
        <f>IF(AND(kraina4[[#This Row],[czyLiczbaKobietWzrosla]]=1,kraina4[[#This Row],[czyLiczbaMenWieksza]]=1),1,0)</f>
        <v>0</v>
      </c>
    </row>
    <row r="20" spans="1:9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  <c r="F20" t="str">
        <f>RIGHT(kraina4[[#This Row],[nazwa_wojew]],1)</f>
        <v>C</v>
      </c>
      <c r="G20">
        <f>IF(kraina4[[#This Row],[liczba_kobiet_2014]]&gt;kraina4[[#This Row],[liczba_kobiet_2013]],1,0)</f>
        <v>0</v>
      </c>
      <c r="H20">
        <f>IF(kraina4[[#This Row],[liczba_mez_2014]]&gt;kraina4[[#This Row],[liczba_mez_2013]],1,0)</f>
        <v>0</v>
      </c>
      <c r="I20" s="1">
        <f>IF(AND(kraina4[[#This Row],[czyLiczbaKobietWzrosla]]=1,kraina4[[#This Row],[czyLiczbaMenWieksza]]=1),1,0)</f>
        <v>0</v>
      </c>
    </row>
    <row r="21" spans="1:9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  <c r="F21" t="str">
        <f>RIGHT(kraina4[[#This Row],[nazwa_wojew]],1)</f>
        <v>C</v>
      </c>
      <c r="G21">
        <f>IF(kraina4[[#This Row],[liczba_kobiet_2014]]&gt;kraina4[[#This Row],[liczba_kobiet_2013]],1,0)</f>
        <v>0</v>
      </c>
      <c r="H21">
        <f>IF(kraina4[[#This Row],[liczba_mez_2014]]&gt;kraina4[[#This Row],[liczba_mez_2013]],1,0)</f>
        <v>0</v>
      </c>
      <c r="I21" s="1">
        <f>IF(AND(kraina4[[#This Row],[czyLiczbaKobietWzrosla]]=1,kraina4[[#This Row],[czyLiczbaMenWieksza]]=1),1,0)</f>
        <v>0</v>
      </c>
    </row>
    <row r="22" spans="1:9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  <c r="F22" t="str">
        <f>RIGHT(kraina4[[#This Row],[nazwa_wojew]],1)</f>
        <v>A</v>
      </c>
      <c r="G22">
        <f>IF(kraina4[[#This Row],[liczba_kobiet_2014]]&gt;kraina4[[#This Row],[liczba_kobiet_2013]],1,0)</f>
        <v>0</v>
      </c>
      <c r="H22">
        <f>IF(kraina4[[#This Row],[liczba_mez_2014]]&gt;kraina4[[#This Row],[liczba_mez_2013]],1,0)</f>
        <v>0</v>
      </c>
      <c r="I22" s="1">
        <f>IF(AND(kraina4[[#This Row],[czyLiczbaKobietWzrosla]]=1,kraina4[[#This Row],[czyLiczbaMenWieksza]]=1),1,0)</f>
        <v>0</v>
      </c>
    </row>
    <row r="23" spans="1:9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  <c r="F23" t="str">
        <f>RIGHT(kraina4[[#This Row],[nazwa_wojew]],1)</f>
        <v>B</v>
      </c>
      <c r="G23">
        <f>IF(kraina4[[#This Row],[liczba_kobiet_2014]]&gt;kraina4[[#This Row],[liczba_kobiet_2013]],1,0)</f>
        <v>1</v>
      </c>
      <c r="H23">
        <f>IF(kraina4[[#This Row],[liczba_mez_2014]]&gt;kraina4[[#This Row],[liczba_mez_2013]],1,0)</f>
        <v>1</v>
      </c>
      <c r="I23" s="1">
        <f>IF(AND(kraina4[[#This Row],[czyLiczbaKobietWzrosla]]=1,kraina4[[#This Row],[czyLiczbaMenWieksza]]=1),1,0)</f>
        <v>1</v>
      </c>
    </row>
    <row r="24" spans="1:9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  <c r="F24" t="str">
        <f>RIGHT(kraina4[[#This Row],[nazwa_wojew]],1)</f>
        <v>B</v>
      </c>
      <c r="G24">
        <f>IF(kraina4[[#This Row],[liczba_kobiet_2014]]&gt;kraina4[[#This Row],[liczba_kobiet_2013]],1,0)</f>
        <v>0</v>
      </c>
      <c r="H24">
        <f>IF(kraina4[[#This Row],[liczba_mez_2014]]&gt;kraina4[[#This Row],[liczba_mez_2013]],1,0)</f>
        <v>0</v>
      </c>
      <c r="I24" s="1">
        <f>IF(AND(kraina4[[#This Row],[czyLiczbaKobietWzrosla]]=1,kraina4[[#This Row],[czyLiczbaMenWieksza]]=1),1,0)</f>
        <v>0</v>
      </c>
    </row>
    <row r="25" spans="1:9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  <c r="F25" t="str">
        <f>RIGHT(kraina4[[#This Row],[nazwa_wojew]],1)</f>
        <v>C</v>
      </c>
      <c r="G25">
        <f>IF(kraina4[[#This Row],[liczba_kobiet_2014]]&gt;kraina4[[#This Row],[liczba_kobiet_2013]],1,0)</f>
        <v>1</v>
      </c>
      <c r="H25">
        <f>IF(kraina4[[#This Row],[liczba_mez_2014]]&gt;kraina4[[#This Row],[liczba_mez_2013]],1,0)</f>
        <v>1</v>
      </c>
      <c r="I25" s="1">
        <f>IF(AND(kraina4[[#This Row],[czyLiczbaKobietWzrosla]]=1,kraina4[[#This Row],[czyLiczbaMenWieksza]]=1),1,0)</f>
        <v>1</v>
      </c>
    </row>
    <row r="26" spans="1:9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  <c r="F26" t="str">
        <f>RIGHT(kraina4[[#This Row],[nazwa_wojew]],1)</f>
        <v>B</v>
      </c>
      <c r="G26">
        <f>IF(kraina4[[#This Row],[liczba_kobiet_2014]]&gt;kraina4[[#This Row],[liczba_kobiet_2013]],1,0)</f>
        <v>1</v>
      </c>
      <c r="H26">
        <f>IF(kraina4[[#This Row],[liczba_mez_2014]]&gt;kraina4[[#This Row],[liczba_mez_2013]],1,0)</f>
        <v>1</v>
      </c>
      <c r="I26" s="1">
        <f>IF(AND(kraina4[[#This Row],[czyLiczbaKobietWzrosla]]=1,kraina4[[#This Row],[czyLiczbaMenWieksza]]=1),1,0)</f>
        <v>1</v>
      </c>
    </row>
    <row r="27" spans="1:9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 t="str">
        <f>RIGHT(kraina4[[#This Row],[nazwa_wojew]],1)</f>
        <v>C</v>
      </c>
      <c r="G27">
        <f>IF(kraina4[[#This Row],[liczba_kobiet_2014]]&gt;kraina4[[#This Row],[liczba_kobiet_2013]],1,0)</f>
        <v>0</v>
      </c>
      <c r="H27">
        <f>IF(kraina4[[#This Row],[liczba_mez_2014]]&gt;kraina4[[#This Row],[liczba_mez_2013]],1,0)</f>
        <v>0</v>
      </c>
      <c r="I27" s="1">
        <f>IF(AND(kraina4[[#This Row],[czyLiczbaKobietWzrosla]]=1,kraina4[[#This Row],[czyLiczbaMenWieksza]]=1),1,0)</f>
        <v>0</v>
      </c>
    </row>
    <row r="28" spans="1:9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  <c r="F28" t="str">
        <f>RIGHT(kraina4[[#This Row],[nazwa_wojew]],1)</f>
        <v>C</v>
      </c>
      <c r="G28">
        <f>IF(kraina4[[#This Row],[liczba_kobiet_2014]]&gt;kraina4[[#This Row],[liczba_kobiet_2013]],1,0)</f>
        <v>0</v>
      </c>
      <c r="H28">
        <f>IF(kraina4[[#This Row],[liczba_mez_2014]]&gt;kraina4[[#This Row],[liczba_mez_2013]],1,0)</f>
        <v>0</v>
      </c>
      <c r="I28" s="1">
        <f>IF(AND(kraina4[[#This Row],[czyLiczbaKobietWzrosla]]=1,kraina4[[#This Row],[czyLiczbaMenWieksza]]=1),1,0)</f>
        <v>0</v>
      </c>
    </row>
    <row r="29" spans="1:9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  <c r="F29" t="str">
        <f>RIGHT(kraina4[[#This Row],[nazwa_wojew]],1)</f>
        <v>D</v>
      </c>
      <c r="G29">
        <f>IF(kraina4[[#This Row],[liczba_kobiet_2014]]&gt;kraina4[[#This Row],[liczba_kobiet_2013]],1,0)</f>
        <v>0</v>
      </c>
      <c r="H29">
        <f>IF(kraina4[[#This Row],[liczba_mez_2014]]&gt;kraina4[[#This Row],[liczba_mez_2013]],1,0)</f>
        <v>0</v>
      </c>
      <c r="I29" s="1">
        <f>IF(AND(kraina4[[#This Row],[czyLiczbaKobietWzrosla]]=1,kraina4[[#This Row],[czyLiczbaMenWieksza]]=1),1,0)</f>
        <v>0</v>
      </c>
    </row>
    <row r="30" spans="1:9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  <c r="F30" t="str">
        <f>RIGHT(kraina4[[#This Row],[nazwa_wojew]],1)</f>
        <v>A</v>
      </c>
      <c r="G30">
        <f>IF(kraina4[[#This Row],[liczba_kobiet_2014]]&gt;kraina4[[#This Row],[liczba_kobiet_2013]],1,0)</f>
        <v>0</v>
      </c>
      <c r="H30">
        <f>IF(kraina4[[#This Row],[liczba_mez_2014]]&gt;kraina4[[#This Row],[liczba_mez_2013]],1,0)</f>
        <v>0</v>
      </c>
      <c r="I30" s="1">
        <f>IF(AND(kraina4[[#This Row],[czyLiczbaKobietWzrosla]]=1,kraina4[[#This Row],[czyLiczbaMenWieksza]]=1),1,0)</f>
        <v>0</v>
      </c>
    </row>
    <row r="31" spans="1:9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  <c r="F31" t="str">
        <f>RIGHT(kraina4[[#This Row],[nazwa_wojew]],1)</f>
        <v>C</v>
      </c>
      <c r="G31">
        <f>IF(kraina4[[#This Row],[liczba_kobiet_2014]]&gt;kraina4[[#This Row],[liczba_kobiet_2013]],1,0)</f>
        <v>0</v>
      </c>
      <c r="H31">
        <f>IF(kraina4[[#This Row],[liczba_mez_2014]]&gt;kraina4[[#This Row],[liczba_mez_2013]],1,0)</f>
        <v>0</v>
      </c>
      <c r="I31" s="1">
        <f>IF(AND(kraina4[[#This Row],[czyLiczbaKobietWzrosla]]=1,kraina4[[#This Row],[czyLiczbaMenWieksza]]=1),1,0)</f>
        <v>0</v>
      </c>
    </row>
    <row r="32" spans="1:9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  <c r="F32" t="str">
        <f>RIGHT(kraina4[[#This Row],[nazwa_wojew]],1)</f>
        <v>C</v>
      </c>
      <c r="G32">
        <f>IF(kraina4[[#This Row],[liczba_kobiet_2014]]&gt;kraina4[[#This Row],[liczba_kobiet_2013]],1,0)</f>
        <v>0</v>
      </c>
      <c r="H32">
        <f>IF(kraina4[[#This Row],[liczba_mez_2014]]&gt;kraina4[[#This Row],[liczba_mez_2013]],1,0)</f>
        <v>1</v>
      </c>
      <c r="I32" s="1">
        <f>IF(AND(kraina4[[#This Row],[czyLiczbaKobietWzrosla]]=1,kraina4[[#This Row],[czyLiczbaMenWieksza]]=1),1,0)</f>
        <v>0</v>
      </c>
    </row>
    <row r="33" spans="1:9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  <c r="F33" t="str">
        <f>RIGHT(kraina4[[#This Row],[nazwa_wojew]],1)</f>
        <v>D</v>
      </c>
      <c r="G33">
        <f>IF(kraina4[[#This Row],[liczba_kobiet_2014]]&gt;kraina4[[#This Row],[liczba_kobiet_2013]],1,0)</f>
        <v>1</v>
      </c>
      <c r="H33">
        <f>IF(kraina4[[#This Row],[liczba_mez_2014]]&gt;kraina4[[#This Row],[liczba_mez_2013]],1,0)</f>
        <v>1</v>
      </c>
      <c r="I33" s="1">
        <f>IF(AND(kraina4[[#This Row],[czyLiczbaKobietWzrosla]]=1,kraina4[[#This Row],[czyLiczbaMenWieksza]]=1),1,0)</f>
        <v>1</v>
      </c>
    </row>
    <row r="34" spans="1:9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  <c r="F34" t="str">
        <f>RIGHT(kraina4[[#This Row],[nazwa_wojew]],1)</f>
        <v>B</v>
      </c>
      <c r="G34">
        <f>IF(kraina4[[#This Row],[liczba_kobiet_2014]]&gt;kraina4[[#This Row],[liczba_kobiet_2013]],1,0)</f>
        <v>0</v>
      </c>
      <c r="H34">
        <f>IF(kraina4[[#This Row],[liczba_mez_2014]]&gt;kraina4[[#This Row],[liczba_mez_2013]],1,0)</f>
        <v>0</v>
      </c>
      <c r="I34" s="1">
        <f>IF(AND(kraina4[[#This Row],[czyLiczbaKobietWzrosla]]=1,kraina4[[#This Row],[czyLiczbaMenWieksza]]=1),1,0)</f>
        <v>0</v>
      </c>
    </row>
    <row r="35" spans="1:9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  <c r="F35" t="str">
        <f>RIGHT(kraina4[[#This Row],[nazwa_wojew]],1)</f>
        <v>C</v>
      </c>
      <c r="G35">
        <f>IF(kraina4[[#This Row],[liczba_kobiet_2014]]&gt;kraina4[[#This Row],[liczba_kobiet_2013]],1,0)</f>
        <v>1</v>
      </c>
      <c r="H35">
        <f>IF(kraina4[[#This Row],[liczba_mez_2014]]&gt;kraina4[[#This Row],[liczba_mez_2013]],1,0)</f>
        <v>1</v>
      </c>
      <c r="I35" s="1">
        <f>IF(AND(kraina4[[#This Row],[czyLiczbaKobietWzrosla]]=1,kraina4[[#This Row],[czyLiczbaMenWieksza]]=1),1,0)</f>
        <v>1</v>
      </c>
    </row>
    <row r="36" spans="1:9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  <c r="F36" t="str">
        <f>RIGHT(kraina4[[#This Row],[nazwa_wojew]],1)</f>
        <v>C</v>
      </c>
      <c r="G36">
        <f>IF(kraina4[[#This Row],[liczba_kobiet_2014]]&gt;kraina4[[#This Row],[liczba_kobiet_2013]],1,0)</f>
        <v>0</v>
      </c>
      <c r="H36">
        <f>IF(kraina4[[#This Row],[liczba_mez_2014]]&gt;kraina4[[#This Row],[liczba_mez_2013]],1,0)</f>
        <v>0</v>
      </c>
      <c r="I36" s="1">
        <f>IF(AND(kraina4[[#This Row],[czyLiczbaKobietWzrosla]]=1,kraina4[[#This Row],[czyLiczbaMenWieksza]]=1),1,0)</f>
        <v>0</v>
      </c>
    </row>
    <row r="37" spans="1:9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  <c r="F37" t="str">
        <f>RIGHT(kraina4[[#This Row],[nazwa_wojew]],1)</f>
        <v>B</v>
      </c>
      <c r="G37">
        <f>IF(kraina4[[#This Row],[liczba_kobiet_2014]]&gt;kraina4[[#This Row],[liczba_kobiet_2013]],1,0)</f>
        <v>0</v>
      </c>
      <c r="H37">
        <f>IF(kraina4[[#This Row],[liczba_mez_2014]]&gt;kraina4[[#This Row],[liczba_mez_2013]],1,0)</f>
        <v>0</v>
      </c>
      <c r="I37" s="1">
        <f>IF(AND(kraina4[[#This Row],[czyLiczbaKobietWzrosla]]=1,kraina4[[#This Row],[czyLiczbaMenWieksza]]=1),1,0)</f>
        <v>0</v>
      </c>
    </row>
    <row r="38" spans="1:9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  <c r="F38" t="str">
        <f>RIGHT(kraina4[[#This Row],[nazwa_wojew]],1)</f>
        <v>A</v>
      </c>
      <c r="G38">
        <f>IF(kraina4[[#This Row],[liczba_kobiet_2014]]&gt;kraina4[[#This Row],[liczba_kobiet_2013]],1,0)</f>
        <v>0</v>
      </c>
      <c r="H38">
        <f>IF(kraina4[[#This Row],[liczba_mez_2014]]&gt;kraina4[[#This Row],[liczba_mez_2013]],1,0)</f>
        <v>0</v>
      </c>
      <c r="I38" s="1">
        <f>IF(AND(kraina4[[#This Row],[czyLiczbaKobietWzrosla]]=1,kraina4[[#This Row],[czyLiczbaMenWieksza]]=1),1,0)</f>
        <v>0</v>
      </c>
    </row>
    <row r="39" spans="1:9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  <c r="F39" t="str">
        <f>RIGHT(kraina4[[#This Row],[nazwa_wojew]],1)</f>
        <v>B</v>
      </c>
      <c r="G39">
        <f>IF(kraina4[[#This Row],[liczba_kobiet_2014]]&gt;kraina4[[#This Row],[liczba_kobiet_2013]],1,0)</f>
        <v>0</v>
      </c>
      <c r="H39">
        <f>IF(kraina4[[#This Row],[liczba_mez_2014]]&gt;kraina4[[#This Row],[liczba_mez_2013]],1,0)</f>
        <v>0</v>
      </c>
      <c r="I39" s="1">
        <f>IF(AND(kraina4[[#This Row],[czyLiczbaKobietWzrosla]]=1,kraina4[[#This Row],[czyLiczbaMenWieksza]]=1),1,0)</f>
        <v>0</v>
      </c>
    </row>
    <row r="40" spans="1:9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  <c r="F40" t="str">
        <f>RIGHT(kraina4[[#This Row],[nazwa_wojew]],1)</f>
        <v>D</v>
      </c>
      <c r="G40">
        <f>IF(kraina4[[#This Row],[liczba_kobiet_2014]]&gt;kraina4[[#This Row],[liczba_kobiet_2013]],1,0)</f>
        <v>1</v>
      </c>
      <c r="H40">
        <f>IF(kraina4[[#This Row],[liczba_mez_2014]]&gt;kraina4[[#This Row],[liczba_mez_2013]],1,0)</f>
        <v>1</v>
      </c>
      <c r="I40" s="1">
        <f>IF(AND(kraina4[[#This Row],[czyLiczbaKobietWzrosla]]=1,kraina4[[#This Row],[czyLiczbaMenWieksza]]=1),1,0)</f>
        <v>1</v>
      </c>
    </row>
    <row r="41" spans="1:9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  <c r="F41" t="str">
        <f>RIGHT(kraina4[[#This Row],[nazwa_wojew]],1)</f>
        <v>A</v>
      </c>
      <c r="G41">
        <f>IF(kraina4[[#This Row],[liczba_kobiet_2014]]&gt;kraina4[[#This Row],[liczba_kobiet_2013]],1,0)</f>
        <v>1</v>
      </c>
      <c r="H41">
        <f>IF(kraina4[[#This Row],[liczba_mez_2014]]&gt;kraina4[[#This Row],[liczba_mez_2013]],1,0)</f>
        <v>1</v>
      </c>
      <c r="I41" s="1">
        <f>IF(AND(kraina4[[#This Row],[czyLiczbaKobietWzrosla]]=1,kraina4[[#This Row],[czyLiczbaMenWieksza]]=1),1,0)</f>
        <v>1</v>
      </c>
    </row>
    <row r="42" spans="1:9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  <c r="F42" t="str">
        <f>RIGHT(kraina4[[#This Row],[nazwa_wojew]],1)</f>
        <v>D</v>
      </c>
      <c r="G42">
        <f>IF(kraina4[[#This Row],[liczba_kobiet_2014]]&gt;kraina4[[#This Row],[liczba_kobiet_2013]],1,0)</f>
        <v>0</v>
      </c>
      <c r="H42">
        <f>IF(kraina4[[#This Row],[liczba_mez_2014]]&gt;kraina4[[#This Row],[liczba_mez_2013]],1,0)</f>
        <v>0</v>
      </c>
      <c r="I42" s="1">
        <f>IF(AND(kraina4[[#This Row],[czyLiczbaKobietWzrosla]]=1,kraina4[[#This Row],[czyLiczbaMenWieksza]]=1),1,0)</f>
        <v>0</v>
      </c>
    </row>
    <row r="43" spans="1:9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  <c r="F43" t="str">
        <f>RIGHT(kraina4[[#This Row],[nazwa_wojew]],1)</f>
        <v>B</v>
      </c>
      <c r="G43">
        <f>IF(kraina4[[#This Row],[liczba_kobiet_2014]]&gt;kraina4[[#This Row],[liczba_kobiet_2013]],1,0)</f>
        <v>0</v>
      </c>
      <c r="H43">
        <f>IF(kraina4[[#This Row],[liczba_mez_2014]]&gt;kraina4[[#This Row],[liczba_mez_2013]],1,0)</f>
        <v>0</v>
      </c>
      <c r="I43" s="1">
        <f>IF(AND(kraina4[[#This Row],[czyLiczbaKobietWzrosla]]=1,kraina4[[#This Row],[czyLiczbaMenWieksza]]=1),1,0)</f>
        <v>0</v>
      </c>
    </row>
    <row r="44" spans="1:9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  <c r="F44" t="str">
        <f>RIGHT(kraina4[[#This Row],[nazwa_wojew]],1)</f>
        <v>D</v>
      </c>
      <c r="G44">
        <f>IF(kraina4[[#This Row],[liczba_kobiet_2014]]&gt;kraina4[[#This Row],[liczba_kobiet_2013]],1,0)</f>
        <v>0</v>
      </c>
      <c r="H44">
        <f>IF(kraina4[[#This Row],[liczba_mez_2014]]&gt;kraina4[[#This Row],[liczba_mez_2013]],1,0)</f>
        <v>0</v>
      </c>
      <c r="I44" s="1">
        <f>IF(AND(kraina4[[#This Row],[czyLiczbaKobietWzrosla]]=1,kraina4[[#This Row],[czyLiczbaMenWieksza]]=1),1,0)</f>
        <v>0</v>
      </c>
    </row>
    <row r="45" spans="1:9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  <c r="F45" t="str">
        <f>RIGHT(kraina4[[#This Row],[nazwa_wojew]],1)</f>
        <v>C</v>
      </c>
      <c r="G45">
        <f>IF(kraina4[[#This Row],[liczba_kobiet_2014]]&gt;kraina4[[#This Row],[liczba_kobiet_2013]],1,0)</f>
        <v>1</v>
      </c>
      <c r="H45">
        <f>IF(kraina4[[#This Row],[liczba_mez_2014]]&gt;kraina4[[#This Row],[liczba_mez_2013]],1,0)</f>
        <v>1</v>
      </c>
      <c r="I45" s="1">
        <f>IF(AND(kraina4[[#This Row],[czyLiczbaKobietWzrosla]]=1,kraina4[[#This Row],[czyLiczbaMenWieksza]]=1),1,0)</f>
        <v>1</v>
      </c>
    </row>
    <row r="46" spans="1:9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  <c r="F46" t="str">
        <f>RIGHT(kraina4[[#This Row],[nazwa_wojew]],1)</f>
        <v>B</v>
      </c>
      <c r="G46">
        <f>IF(kraina4[[#This Row],[liczba_kobiet_2014]]&gt;kraina4[[#This Row],[liczba_kobiet_2013]],1,0)</f>
        <v>1</v>
      </c>
      <c r="H46">
        <f>IF(kraina4[[#This Row],[liczba_mez_2014]]&gt;kraina4[[#This Row],[liczba_mez_2013]],1,0)</f>
        <v>1</v>
      </c>
      <c r="I46" s="1">
        <f>IF(AND(kraina4[[#This Row],[czyLiczbaKobietWzrosla]]=1,kraina4[[#This Row],[czyLiczbaMenWieksza]]=1),1,0)</f>
        <v>1</v>
      </c>
    </row>
    <row r="47" spans="1:9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  <c r="F47" t="str">
        <f>RIGHT(kraina4[[#This Row],[nazwa_wojew]],1)</f>
        <v>C</v>
      </c>
      <c r="G47">
        <f>IF(kraina4[[#This Row],[liczba_kobiet_2014]]&gt;kraina4[[#This Row],[liczba_kobiet_2013]],1,0)</f>
        <v>1</v>
      </c>
      <c r="H47">
        <f>IF(kraina4[[#This Row],[liczba_mez_2014]]&gt;kraina4[[#This Row],[liczba_mez_2013]],1,0)</f>
        <v>1</v>
      </c>
      <c r="I47" s="1">
        <f>IF(AND(kraina4[[#This Row],[czyLiczbaKobietWzrosla]]=1,kraina4[[#This Row],[czyLiczbaMenWieksza]]=1),1,0)</f>
        <v>1</v>
      </c>
    </row>
    <row r="48" spans="1:9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  <c r="F48" t="str">
        <f>RIGHT(kraina4[[#This Row],[nazwa_wojew]],1)</f>
        <v>B</v>
      </c>
      <c r="G48">
        <f>IF(kraina4[[#This Row],[liczba_kobiet_2014]]&gt;kraina4[[#This Row],[liczba_kobiet_2013]],1,0)</f>
        <v>1</v>
      </c>
      <c r="H48">
        <f>IF(kraina4[[#This Row],[liczba_mez_2014]]&gt;kraina4[[#This Row],[liczba_mez_2013]],1,0)</f>
        <v>1</v>
      </c>
      <c r="I48" s="1">
        <f>IF(AND(kraina4[[#This Row],[czyLiczbaKobietWzrosla]]=1,kraina4[[#This Row],[czyLiczbaMenWieksza]]=1),1,0)</f>
        <v>1</v>
      </c>
    </row>
    <row r="49" spans="1:9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  <c r="F49" t="str">
        <f>RIGHT(kraina4[[#This Row],[nazwa_wojew]],1)</f>
        <v>C</v>
      </c>
      <c r="G49">
        <f>IF(kraina4[[#This Row],[liczba_kobiet_2014]]&gt;kraina4[[#This Row],[liczba_kobiet_2013]],1,0)</f>
        <v>1</v>
      </c>
      <c r="H49">
        <f>IF(kraina4[[#This Row],[liczba_mez_2014]]&gt;kraina4[[#This Row],[liczba_mez_2013]],1,0)</f>
        <v>1</v>
      </c>
      <c r="I49" s="1">
        <f>IF(AND(kraina4[[#This Row],[czyLiczbaKobietWzrosla]]=1,kraina4[[#This Row],[czyLiczbaMenWieksza]]=1),1,0)</f>
        <v>1</v>
      </c>
    </row>
    <row r="50" spans="1:9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  <c r="F50" t="str">
        <f>RIGHT(kraina4[[#This Row],[nazwa_wojew]],1)</f>
        <v>C</v>
      </c>
      <c r="G50">
        <f>IF(kraina4[[#This Row],[liczba_kobiet_2014]]&gt;kraina4[[#This Row],[liczba_kobiet_2013]],1,0)</f>
        <v>1</v>
      </c>
      <c r="H50">
        <f>IF(kraina4[[#This Row],[liczba_mez_2014]]&gt;kraina4[[#This Row],[liczba_mez_2013]],1,0)</f>
        <v>1</v>
      </c>
      <c r="I50" s="1">
        <f>IF(AND(kraina4[[#This Row],[czyLiczbaKobietWzrosla]]=1,kraina4[[#This Row],[czyLiczbaMenWieksza]]=1),1,0)</f>
        <v>1</v>
      </c>
    </row>
    <row r="51" spans="1:9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  <c r="F51" t="str">
        <f>RIGHT(kraina4[[#This Row],[nazwa_wojew]],1)</f>
        <v>B</v>
      </c>
      <c r="G51">
        <f>IF(kraina4[[#This Row],[liczba_kobiet_2014]]&gt;kraina4[[#This Row],[liczba_kobiet_2013]],1,0)</f>
        <v>0</v>
      </c>
      <c r="H51">
        <f>IF(kraina4[[#This Row],[liczba_mez_2014]]&gt;kraina4[[#This Row],[liczba_mez_2013]],1,0)</f>
        <v>0</v>
      </c>
      <c r="I51" s="1">
        <f>IF(AND(kraina4[[#This Row],[czyLiczbaKobietWzrosla]]=1,kraina4[[#This Row],[czyLiczbaMenWieksza]]=1),1,0)</f>
        <v>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8FC8-9242-44FD-815B-9A0506EA968F}">
  <dimension ref="A1:W51"/>
  <sheetViews>
    <sheetView tabSelected="1" topLeftCell="D1" workbookViewId="0">
      <selection activeCell="U7" sqref="U7"/>
    </sheetView>
  </sheetViews>
  <sheetFormatPr defaultRowHeight="15" x14ac:dyDescent="0.25"/>
  <cols>
    <col min="1" max="1" width="16" bestFit="1" customWidth="1"/>
    <col min="2" max="2" width="20.28515625" bestFit="1" customWidth="1"/>
    <col min="3" max="3" width="18.140625" bestFit="1" customWidth="1"/>
    <col min="4" max="4" width="20.28515625" bestFit="1" customWidth="1"/>
    <col min="5" max="5" width="18.140625" bestFit="1" customWidth="1"/>
    <col min="9" max="9" width="9.85546875" bestFit="1" customWidth="1"/>
    <col min="11" max="11" width="17" bestFit="1" customWidth="1"/>
    <col min="21" max="21" width="26" customWidth="1"/>
    <col min="22" max="22" width="40.85546875" bestFit="1" customWidth="1"/>
    <col min="23" max="23" width="10" bestFit="1" customWidth="1"/>
  </cols>
  <sheetData>
    <row r="1" spans="1:23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70</v>
      </c>
      <c r="G1" t="s">
        <v>71</v>
      </c>
      <c r="H1" t="s">
        <v>69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86</v>
      </c>
      <c r="V1" s="3" t="s">
        <v>83</v>
      </c>
      <c r="W1" s="3">
        <f>SUM(kraina5[populacja_2025])</f>
        <v>125930205</v>
      </c>
    </row>
    <row r="2" spans="1:23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  <c r="F2">
        <f>kraina5[[#This Row],[liczba_kobiet_2013]]+kraina5[[#This Row],[liczba_mez_2013]]</f>
        <v>2812202</v>
      </c>
      <c r="G2">
        <f>SUM(kraina5[[#This Row],[liczba_kobiet_2014]:[liczba_mez_2014]])</f>
        <v>2980175</v>
      </c>
      <c r="H2">
        <f>ROUNDDOWN(kraina5[[#This Row],[populacja_2014]]/kraina5[[#This Row],[populacja_2013]],4)</f>
        <v>1.0597000000000001</v>
      </c>
      <c r="I2" s="1">
        <f>IF(kraina5[[#This Row],[populacja_2014]]&gt;2*kraina5[[#This Row],[populacja_2013]],kraina5[[#This Row],[populacja_2014]],ROUNDDOWN(kraina5[[#This Row],[populacja_2014]]*kraina5[[#This Row],[tempo_wzrostu]],0))</f>
        <v>3158091</v>
      </c>
      <c r="J2" s="1">
        <f t="shared" ref="J2:S33" si="0">IF(I2&gt;2*$F2,I2,ROUNDDOWN(I2*$H2,0))</f>
        <v>3346629</v>
      </c>
      <c r="K2" s="1">
        <f t="shared" si="0"/>
        <v>3546422</v>
      </c>
      <c r="L2" s="1">
        <f t="shared" si="0"/>
        <v>3758143</v>
      </c>
      <c r="M2" s="1">
        <f t="shared" si="0"/>
        <v>3982504</v>
      </c>
      <c r="N2" s="1">
        <f t="shared" si="0"/>
        <v>4220259</v>
      </c>
      <c r="O2" s="1">
        <f t="shared" si="0"/>
        <v>4472208</v>
      </c>
      <c r="P2" s="1">
        <f t="shared" si="0"/>
        <v>4739198</v>
      </c>
      <c r="Q2" s="1">
        <f t="shared" si="0"/>
        <v>5022128</v>
      </c>
      <c r="R2" s="1">
        <f t="shared" si="0"/>
        <v>5321949</v>
      </c>
      <c r="S2" s="1">
        <f>IF(R2&gt;2*$F2,R2,ROUNDDOWN(R2*$H2,0))</f>
        <v>5639669</v>
      </c>
      <c r="T2" s="1">
        <f>IF(kraina5[[#This Row],[populacja_2025]]&gt;2*kraina5[[#This Row],[populacja_2013]],1,0)</f>
        <v>1</v>
      </c>
      <c r="V2" s="3" t="s">
        <v>84</v>
      </c>
      <c r="W2" s="3" t="str">
        <f>INDEX(kraina5[],MATCH(MAX(kraina5[populacja_2025]),kraina5[populacja_2025],0),1)</f>
        <v>w12C</v>
      </c>
    </row>
    <row r="3" spans="1:23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  <c r="F3">
        <f>kraina5[[#This Row],[liczba_kobiet_2013]]+kraina5[[#This Row],[liczba_mez_2013]]</f>
        <v>3353163</v>
      </c>
      <c r="G3">
        <f>SUM(kraina5[[#This Row],[liczba_kobiet_2014]:[liczba_mez_2014]])</f>
        <v>3140763</v>
      </c>
      <c r="H3">
        <f>ROUNDDOWN(kraina5[[#This Row],[populacja_2014]]/kraina5[[#This Row],[populacja_2013]],4)</f>
        <v>0.93659999999999999</v>
      </c>
      <c r="I3" s="1">
        <f>IF(kraina5[[#This Row],[populacja_2014]]&gt;2*kraina5[[#This Row],[populacja_2013]],kraina5[[#This Row],[populacja_2014]],ROUNDDOWN(kraina5[[#This Row],[populacja_2014]]*kraina5[[#This Row],[tempo_wzrostu]],0))</f>
        <v>2941638</v>
      </c>
      <c r="J3" s="1">
        <f t="shared" ref="J3:S3" si="1">IF(I3&gt;2*$F3,I3,ROUNDDOWN(I3*$H3,0))</f>
        <v>2755138</v>
      </c>
      <c r="K3" s="1">
        <f t="shared" si="1"/>
        <v>2580462</v>
      </c>
      <c r="L3" s="1">
        <f t="shared" si="1"/>
        <v>2416860</v>
      </c>
      <c r="M3" s="1">
        <f t="shared" si="1"/>
        <v>2263631</v>
      </c>
      <c r="N3" s="1">
        <f t="shared" si="1"/>
        <v>2120116</v>
      </c>
      <c r="O3" s="1">
        <f t="shared" si="1"/>
        <v>1985700</v>
      </c>
      <c r="P3" s="1">
        <f t="shared" si="1"/>
        <v>1859806</v>
      </c>
      <c r="Q3" s="1">
        <f t="shared" si="1"/>
        <v>1741894</v>
      </c>
      <c r="R3" s="1">
        <f t="shared" si="1"/>
        <v>1631457</v>
      </c>
      <c r="S3" s="1">
        <f t="shared" si="1"/>
        <v>1528022</v>
      </c>
      <c r="T3" s="1">
        <f>IF(kraina5[[#This Row],[populacja_2025]]&gt;2*kraina5[[#This Row],[populacja_2013]],1,0)</f>
        <v>0</v>
      </c>
      <c r="V3" s="3" t="s">
        <v>85</v>
      </c>
      <c r="W3" s="3">
        <f>SUM(kraina5[czyEfektPrzeludnienia])</f>
        <v>18</v>
      </c>
    </row>
    <row r="4" spans="1:23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  <c r="F4">
        <f>kraina5[[#This Row],[liczba_kobiet_2013]]+kraina5[[#This Row],[liczba_mez_2013]]</f>
        <v>2443837</v>
      </c>
      <c r="G4">
        <f>SUM(kraina5[[#This Row],[liczba_kobiet_2014]:[liczba_mez_2014]])</f>
        <v>2491574</v>
      </c>
      <c r="H4">
        <f>ROUNDDOWN(kraina5[[#This Row],[populacja_2014]]/kraina5[[#This Row],[populacja_2013]],4)</f>
        <v>1.0195000000000001</v>
      </c>
      <c r="I4" s="1">
        <f>IF(kraina5[[#This Row],[populacja_2014]]&gt;2*kraina5[[#This Row],[populacja_2013]],kraina5[[#This Row],[populacja_2014]],ROUNDDOWN(kraina5[[#This Row],[populacja_2014]]*kraina5[[#This Row],[tempo_wzrostu]],0))</f>
        <v>2540159</v>
      </c>
      <c r="J4" s="1">
        <f t="shared" ref="J4:S4" si="2">IF(I4&gt;2*$F4,I4,ROUNDDOWN(I4*$H4,0))</f>
        <v>2589692</v>
      </c>
      <c r="K4" s="1">
        <f t="shared" si="2"/>
        <v>2640190</v>
      </c>
      <c r="L4" s="1">
        <f t="shared" si="2"/>
        <v>2691673</v>
      </c>
      <c r="M4" s="1">
        <f t="shared" si="2"/>
        <v>2744160</v>
      </c>
      <c r="N4" s="1">
        <f t="shared" si="2"/>
        <v>2797671</v>
      </c>
      <c r="O4" s="1">
        <f t="shared" si="2"/>
        <v>2852225</v>
      </c>
      <c r="P4" s="1">
        <f t="shared" si="2"/>
        <v>2907843</v>
      </c>
      <c r="Q4" s="1">
        <f t="shared" si="2"/>
        <v>2964545</v>
      </c>
      <c r="R4" s="1">
        <f t="shared" si="2"/>
        <v>3022353</v>
      </c>
      <c r="S4" s="1">
        <f t="shared" si="2"/>
        <v>3081288</v>
      </c>
      <c r="T4" s="1">
        <f>IF(kraina5[[#This Row],[populacja_2025]]&gt;2*kraina5[[#This Row],[populacja_2013]],1,0)</f>
        <v>0</v>
      </c>
    </row>
    <row r="5" spans="1:23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  <c r="F5">
        <f>kraina5[[#This Row],[liczba_kobiet_2013]]+kraina5[[#This Row],[liczba_mez_2013]]</f>
        <v>1975115</v>
      </c>
      <c r="G5">
        <f>SUM(kraina5[[#This Row],[liczba_kobiet_2014]:[liczba_mez_2014]])</f>
        <v>1411260</v>
      </c>
      <c r="H5">
        <f>ROUNDDOWN(kraina5[[#This Row],[populacja_2014]]/kraina5[[#This Row],[populacja_2013]],4)</f>
        <v>0.71450000000000002</v>
      </c>
      <c r="I5" s="1">
        <f>IF(kraina5[[#This Row],[populacja_2014]]&gt;2*kraina5[[#This Row],[populacja_2013]],kraina5[[#This Row],[populacja_2014]],ROUNDDOWN(kraina5[[#This Row],[populacja_2014]]*kraina5[[#This Row],[tempo_wzrostu]],0))</f>
        <v>1008345</v>
      </c>
      <c r="J5" s="1">
        <f t="shared" ref="J5:S5" si="3">IF(I5&gt;2*$F5,I5,ROUNDDOWN(I5*$H5,0))</f>
        <v>720462</v>
      </c>
      <c r="K5" s="1">
        <f t="shared" si="3"/>
        <v>514770</v>
      </c>
      <c r="L5" s="1">
        <f t="shared" si="3"/>
        <v>367803</v>
      </c>
      <c r="M5" s="1">
        <f t="shared" si="3"/>
        <v>262795</v>
      </c>
      <c r="N5" s="1">
        <f t="shared" si="3"/>
        <v>187767</v>
      </c>
      <c r="O5" s="1">
        <f t="shared" si="3"/>
        <v>134159</v>
      </c>
      <c r="P5" s="1">
        <f t="shared" si="3"/>
        <v>95856</v>
      </c>
      <c r="Q5" s="1">
        <f t="shared" si="3"/>
        <v>68489</v>
      </c>
      <c r="R5" s="1">
        <f t="shared" si="3"/>
        <v>48935</v>
      </c>
      <c r="S5" s="1">
        <f t="shared" si="3"/>
        <v>34964</v>
      </c>
      <c r="T5" s="1">
        <f>IF(kraina5[[#This Row],[populacja_2025]]&gt;2*kraina5[[#This Row],[populacja_2013]],1,0)</f>
        <v>0</v>
      </c>
    </row>
    <row r="6" spans="1:23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  <c r="F6">
        <f>kraina5[[#This Row],[liczba_kobiet_2013]]+kraina5[[#This Row],[liczba_mez_2013]]</f>
        <v>4664729</v>
      </c>
      <c r="G6">
        <f>SUM(kraina5[[#This Row],[liczba_kobiet_2014]:[liczba_mez_2014]])</f>
        <v>3792224</v>
      </c>
      <c r="H6">
        <f>ROUNDDOWN(kraina5[[#This Row],[populacja_2014]]/kraina5[[#This Row],[populacja_2013]],4)</f>
        <v>0.81289999999999996</v>
      </c>
      <c r="I6" s="1">
        <f>IF(kraina5[[#This Row],[populacja_2014]]&gt;2*kraina5[[#This Row],[populacja_2013]],kraina5[[#This Row],[populacja_2014]],ROUNDDOWN(kraina5[[#This Row],[populacja_2014]]*kraina5[[#This Row],[tempo_wzrostu]],0))</f>
        <v>3082698</v>
      </c>
      <c r="J6" s="1">
        <f t="shared" ref="J6:S6" si="4">IF(I6&gt;2*$F6,I6,ROUNDDOWN(I6*$H6,0))</f>
        <v>2505925</v>
      </c>
      <c r="K6" s="1">
        <f t="shared" si="4"/>
        <v>2037066</v>
      </c>
      <c r="L6" s="1">
        <f t="shared" si="4"/>
        <v>1655930</v>
      </c>
      <c r="M6" s="1">
        <f t="shared" si="4"/>
        <v>1346105</v>
      </c>
      <c r="N6" s="1">
        <f t="shared" si="4"/>
        <v>1094248</v>
      </c>
      <c r="O6" s="1">
        <f t="shared" si="4"/>
        <v>889514</v>
      </c>
      <c r="P6" s="1">
        <f t="shared" si="4"/>
        <v>723085</v>
      </c>
      <c r="Q6" s="1">
        <f t="shared" si="4"/>
        <v>587795</v>
      </c>
      <c r="R6" s="1">
        <f t="shared" si="4"/>
        <v>477818</v>
      </c>
      <c r="S6" s="1">
        <f t="shared" si="4"/>
        <v>388418</v>
      </c>
      <c r="T6" s="1">
        <f>IF(kraina5[[#This Row],[populacja_2025]]&gt;2*kraina5[[#This Row],[populacja_2013]],1,0)</f>
        <v>0</v>
      </c>
    </row>
    <row r="7" spans="1:23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  <c r="F7">
        <f>kraina5[[#This Row],[liczba_kobiet_2013]]+kraina5[[#This Row],[liczba_mez_2013]]</f>
        <v>3698361</v>
      </c>
      <c r="G7">
        <f>SUM(kraina5[[#This Row],[liczba_kobiet_2014]:[liczba_mez_2014]])</f>
        <v>4153748</v>
      </c>
      <c r="H7">
        <f>ROUNDDOWN(kraina5[[#This Row],[populacja_2014]]/kraina5[[#This Row],[populacja_2013]],4)</f>
        <v>1.1231</v>
      </c>
      <c r="I7" s="1">
        <f>IF(kraina5[[#This Row],[populacja_2014]]&gt;2*kraina5[[#This Row],[populacja_2013]],kraina5[[#This Row],[populacja_2014]],ROUNDDOWN(kraina5[[#This Row],[populacja_2014]]*kraina5[[#This Row],[tempo_wzrostu]],0))</f>
        <v>4665074</v>
      </c>
      <c r="J7" s="1">
        <f t="shared" ref="J7:S7" si="5">IF(I7&gt;2*$F7,I7,ROUNDDOWN(I7*$H7,0))</f>
        <v>5239344</v>
      </c>
      <c r="K7" s="1">
        <f t="shared" si="5"/>
        <v>5884307</v>
      </c>
      <c r="L7" s="1">
        <f t="shared" si="5"/>
        <v>6608665</v>
      </c>
      <c r="M7" s="1">
        <f t="shared" si="5"/>
        <v>7422191</v>
      </c>
      <c r="N7" s="1">
        <f t="shared" si="5"/>
        <v>7422191</v>
      </c>
      <c r="O7" s="1">
        <f t="shared" si="5"/>
        <v>7422191</v>
      </c>
      <c r="P7" s="1">
        <f t="shared" si="5"/>
        <v>7422191</v>
      </c>
      <c r="Q7" s="1">
        <f t="shared" si="5"/>
        <v>7422191</v>
      </c>
      <c r="R7" s="1">
        <f t="shared" si="5"/>
        <v>7422191</v>
      </c>
      <c r="S7" s="1">
        <f t="shared" si="5"/>
        <v>7422191</v>
      </c>
      <c r="T7" s="1">
        <f>IF(kraina5[[#This Row],[populacja_2025]]&gt;2*kraina5[[#This Row],[populacja_2013]],1,0)</f>
        <v>1</v>
      </c>
    </row>
    <row r="8" spans="1:23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  <c r="F8">
        <f>kraina5[[#This Row],[liczba_kobiet_2013]]+kraina5[[#This Row],[liczba_mez_2013]]</f>
        <v>7689971</v>
      </c>
      <c r="G8">
        <f>SUM(kraina5[[#This Row],[liczba_kobiet_2014]:[liczba_mez_2014]])</f>
        <v>6719014</v>
      </c>
      <c r="H8">
        <f>ROUNDDOWN(kraina5[[#This Row],[populacja_2014]]/kraina5[[#This Row],[populacja_2013]],4)</f>
        <v>0.87370000000000003</v>
      </c>
      <c r="I8" s="1">
        <f>IF(kraina5[[#This Row],[populacja_2014]]&gt;2*kraina5[[#This Row],[populacja_2013]],kraina5[[#This Row],[populacja_2014]],ROUNDDOWN(kraina5[[#This Row],[populacja_2014]]*kraina5[[#This Row],[tempo_wzrostu]],0))</f>
        <v>5870402</v>
      </c>
      <c r="J8" s="1">
        <f t="shared" ref="J8:S8" si="6">IF(I8&gt;2*$F8,I8,ROUNDDOWN(I8*$H8,0))</f>
        <v>5128970</v>
      </c>
      <c r="K8" s="1">
        <f t="shared" si="6"/>
        <v>4481181</v>
      </c>
      <c r="L8" s="1">
        <f t="shared" si="6"/>
        <v>3915207</v>
      </c>
      <c r="M8" s="1">
        <f t="shared" si="6"/>
        <v>3420716</v>
      </c>
      <c r="N8" s="1">
        <f t="shared" si="6"/>
        <v>2988679</v>
      </c>
      <c r="O8" s="1">
        <f t="shared" si="6"/>
        <v>2611208</v>
      </c>
      <c r="P8" s="1">
        <f t="shared" si="6"/>
        <v>2281412</v>
      </c>
      <c r="Q8" s="1">
        <f t="shared" si="6"/>
        <v>1993269</v>
      </c>
      <c r="R8" s="1">
        <f t="shared" si="6"/>
        <v>1741519</v>
      </c>
      <c r="S8" s="1">
        <f t="shared" si="6"/>
        <v>1521565</v>
      </c>
      <c r="T8" s="1">
        <f>IF(kraina5[[#This Row],[populacja_2025]]&gt;2*kraina5[[#This Row],[populacja_2013]],1,0)</f>
        <v>0</v>
      </c>
    </row>
    <row r="9" spans="1:23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  <c r="F9">
        <f>kraina5[[#This Row],[liczba_kobiet_2013]]+kraina5[[#This Row],[liczba_mez_2013]]</f>
        <v>1335057</v>
      </c>
      <c r="G9">
        <f>SUM(kraina5[[#This Row],[liczba_kobiet_2014]:[liczba_mez_2014]])</f>
        <v>2079034</v>
      </c>
      <c r="H9">
        <f>ROUNDDOWN(kraina5[[#This Row],[populacja_2014]]/kraina5[[#This Row],[populacja_2013]],4)</f>
        <v>1.5571999999999999</v>
      </c>
      <c r="I9" s="1">
        <f>IF(kraina5[[#This Row],[populacja_2014]]&gt;2*kraina5[[#This Row],[populacja_2013]],kraina5[[#This Row],[populacja_2014]],ROUNDDOWN(kraina5[[#This Row],[populacja_2014]]*kraina5[[#This Row],[tempo_wzrostu]],0))</f>
        <v>3237471</v>
      </c>
      <c r="J9" s="1">
        <f t="shared" ref="J9:S9" si="7">IF(I9&gt;2*$F9,I9,ROUNDDOWN(I9*$H9,0))</f>
        <v>3237471</v>
      </c>
      <c r="K9" s="1">
        <f t="shared" si="7"/>
        <v>3237471</v>
      </c>
      <c r="L9" s="1">
        <f t="shared" si="7"/>
        <v>3237471</v>
      </c>
      <c r="M9" s="1">
        <f t="shared" si="7"/>
        <v>3237471</v>
      </c>
      <c r="N9" s="1">
        <f t="shared" si="7"/>
        <v>3237471</v>
      </c>
      <c r="O9" s="1">
        <f t="shared" si="7"/>
        <v>3237471</v>
      </c>
      <c r="P9" s="1">
        <f t="shared" si="7"/>
        <v>3237471</v>
      </c>
      <c r="Q9" s="1">
        <f t="shared" si="7"/>
        <v>3237471</v>
      </c>
      <c r="R9" s="1">
        <f t="shared" si="7"/>
        <v>3237471</v>
      </c>
      <c r="S9" s="1">
        <f t="shared" si="7"/>
        <v>3237471</v>
      </c>
      <c r="T9" s="1">
        <f>IF(kraina5[[#This Row],[populacja_2025]]&gt;2*kraina5[[#This Row],[populacja_2013]],1,0)</f>
        <v>1</v>
      </c>
    </row>
    <row r="10" spans="1:23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  <c r="F10">
        <f>kraina5[[#This Row],[liczba_kobiet_2013]]+kraina5[[#This Row],[liczba_mez_2013]]</f>
        <v>3291343</v>
      </c>
      <c r="G10">
        <f>SUM(kraina5[[#This Row],[liczba_kobiet_2014]:[liczba_mez_2014]])</f>
        <v>2210357</v>
      </c>
      <c r="H10">
        <f>ROUNDDOWN(kraina5[[#This Row],[populacja_2014]]/kraina5[[#This Row],[populacja_2013]],4)</f>
        <v>0.67149999999999999</v>
      </c>
      <c r="I10" s="1">
        <f>IF(kraina5[[#This Row],[populacja_2014]]&gt;2*kraina5[[#This Row],[populacja_2013]],kraina5[[#This Row],[populacja_2014]],ROUNDDOWN(kraina5[[#This Row],[populacja_2014]]*kraina5[[#This Row],[tempo_wzrostu]],0))</f>
        <v>1484254</v>
      </c>
      <c r="J10" s="1">
        <f t="shared" ref="J10:S10" si="8">IF(I10&gt;2*$F10,I10,ROUNDDOWN(I10*$H10,0))</f>
        <v>996676</v>
      </c>
      <c r="K10" s="1">
        <f t="shared" si="8"/>
        <v>669267</v>
      </c>
      <c r="L10" s="1">
        <f t="shared" si="8"/>
        <v>449412</v>
      </c>
      <c r="M10" s="1">
        <f t="shared" si="8"/>
        <v>301780</v>
      </c>
      <c r="N10" s="1">
        <f t="shared" si="8"/>
        <v>202645</v>
      </c>
      <c r="O10" s="1">
        <f t="shared" si="8"/>
        <v>136076</v>
      </c>
      <c r="P10" s="1">
        <f t="shared" si="8"/>
        <v>91375</v>
      </c>
      <c r="Q10" s="1">
        <f t="shared" si="8"/>
        <v>61358</v>
      </c>
      <c r="R10" s="1">
        <f t="shared" si="8"/>
        <v>41201</v>
      </c>
      <c r="S10" s="1">
        <f t="shared" si="8"/>
        <v>27666</v>
      </c>
      <c r="T10" s="1">
        <f>IF(kraina5[[#This Row],[populacja_2025]]&gt;2*kraina5[[#This Row],[populacja_2013]],1,0)</f>
        <v>0</v>
      </c>
    </row>
    <row r="11" spans="1:23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  <c r="F11">
        <f>kraina5[[#This Row],[liczba_kobiet_2013]]+kraina5[[#This Row],[liczba_mez_2013]]</f>
        <v>2339967</v>
      </c>
      <c r="G11">
        <f>SUM(kraina5[[#This Row],[liczba_kobiet_2014]:[liczba_mez_2014]])</f>
        <v>1664564</v>
      </c>
      <c r="H11">
        <f>ROUNDDOWN(kraina5[[#This Row],[populacja_2014]]/kraina5[[#This Row],[populacja_2013]],4)</f>
        <v>0.71130000000000004</v>
      </c>
      <c r="I11" s="1">
        <f>IF(kraina5[[#This Row],[populacja_2014]]&gt;2*kraina5[[#This Row],[populacja_2013]],kraina5[[#This Row],[populacja_2014]],ROUNDDOWN(kraina5[[#This Row],[populacja_2014]]*kraina5[[#This Row],[tempo_wzrostu]],0))</f>
        <v>1184004</v>
      </c>
      <c r="J11" s="1">
        <f t="shared" ref="J11:S11" si="9">IF(I11&gt;2*$F11,I11,ROUNDDOWN(I11*$H11,0))</f>
        <v>842182</v>
      </c>
      <c r="K11" s="1">
        <f t="shared" si="9"/>
        <v>599044</v>
      </c>
      <c r="L11" s="1">
        <f t="shared" si="9"/>
        <v>426099</v>
      </c>
      <c r="M11" s="1">
        <f t="shared" si="9"/>
        <v>303084</v>
      </c>
      <c r="N11" s="1">
        <f t="shared" si="9"/>
        <v>215583</v>
      </c>
      <c r="O11" s="1">
        <f t="shared" si="9"/>
        <v>153344</v>
      </c>
      <c r="P11" s="1">
        <f t="shared" si="9"/>
        <v>109073</v>
      </c>
      <c r="Q11" s="1">
        <f t="shared" si="9"/>
        <v>77583</v>
      </c>
      <c r="R11" s="1">
        <f t="shared" si="9"/>
        <v>55184</v>
      </c>
      <c r="S11" s="1">
        <f t="shared" si="9"/>
        <v>39252</v>
      </c>
      <c r="T11" s="1">
        <f>IF(kraina5[[#This Row],[populacja_2025]]&gt;2*kraina5[[#This Row],[populacja_2013]],1,0)</f>
        <v>0</v>
      </c>
    </row>
    <row r="12" spans="1:23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  <c r="F12">
        <f>kraina5[[#This Row],[liczba_kobiet_2013]]+kraina5[[#This Row],[liczba_mez_2013]]</f>
        <v>3983255</v>
      </c>
      <c r="G12">
        <f>SUM(kraina5[[#This Row],[liczba_kobiet_2014]:[liczba_mez_2014]])</f>
        <v>3751139</v>
      </c>
      <c r="H12">
        <f>ROUNDDOWN(kraina5[[#This Row],[populacja_2014]]/kraina5[[#This Row],[populacja_2013]],4)</f>
        <v>0.94169999999999998</v>
      </c>
      <c r="I12" s="1">
        <f>IF(kraina5[[#This Row],[populacja_2014]]&gt;2*kraina5[[#This Row],[populacja_2013]],kraina5[[#This Row],[populacja_2014]],ROUNDDOWN(kraina5[[#This Row],[populacja_2014]]*kraina5[[#This Row],[tempo_wzrostu]],0))</f>
        <v>3532447</v>
      </c>
      <c r="J12" s="1">
        <f t="shared" ref="J12:S12" si="10">IF(I12&gt;2*$F12,I12,ROUNDDOWN(I12*$H12,0))</f>
        <v>3326505</v>
      </c>
      <c r="K12" s="1">
        <f t="shared" si="10"/>
        <v>3132569</v>
      </c>
      <c r="L12" s="1">
        <f t="shared" si="10"/>
        <v>2949940</v>
      </c>
      <c r="M12" s="1">
        <f t="shared" si="10"/>
        <v>2777958</v>
      </c>
      <c r="N12" s="1">
        <f t="shared" si="10"/>
        <v>2616003</v>
      </c>
      <c r="O12" s="1">
        <f t="shared" si="10"/>
        <v>2463490</v>
      </c>
      <c r="P12" s="1">
        <f t="shared" si="10"/>
        <v>2319868</v>
      </c>
      <c r="Q12" s="1">
        <f t="shared" si="10"/>
        <v>2184619</v>
      </c>
      <c r="R12" s="1">
        <f t="shared" si="10"/>
        <v>2057255</v>
      </c>
      <c r="S12" s="1">
        <f t="shared" si="10"/>
        <v>1937317</v>
      </c>
      <c r="T12" s="1">
        <f>IF(kraina5[[#This Row],[populacja_2025]]&gt;2*kraina5[[#This Row],[populacja_2013]],1,0)</f>
        <v>0</v>
      </c>
    </row>
    <row r="13" spans="1:23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  <c r="F13">
        <f>kraina5[[#This Row],[liczba_kobiet_2013]]+kraina5[[#This Row],[liczba_mez_2013]]</f>
        <v>7688480</v>
      </c>
      <c r="G13">
        <f>SUM(kraina5[[#This Row],[liczba_kobiet_2014]:[liczba_mez_2014]])</f>
        <v>8979036</v>
      </c>
      <c r="H13">
        <f>ROUNDDOWN(kraina5[[#This Row],[populacja_2014]]/kraina5[[#This Row],[populacja_2013]],4)</f>
        <v>1.1677999999999999</v>
      </c>
      <c r="I13" s="1">
        <f>IF(kraina5[[#This Row],[populacja_2014]]&gt;2*kraina5[[#This Row],[populacja_2013]],kraina5[[#This Row],[populacja_2014]],ROUNDDOWN(kraina5[[#This Row],[populacja_2014]]*kraina5[[#This Row],[tempo_wzrostu]],0))</f>
        <v>10485718</v>
      </c>
      <c r="J13" s="1">
        <f t="shared" ref="J13:S13" si="11">IF(I13&gt;2*$F13,I13,ROUNDDOWN(I13*$H13,0))</f>
        <v>12245221</v>
      </c>
      <c r="K13" s="1">
        <f t="shared" si="11"/>
        <v>14299969</v>
      </c>
      <c r="L13" s="1">
        <f t="shared" si="11"/>
        <v>16699503</v>
      </c>
      <c r="M13" s="1">
        <f t="shared" si="11"/>
        <v>16699503</v>
      </c>
      <c r="N13" s="1">
        <f t="shared" si="11"/>
        <v>16699503</v>
      </c>
      <c r="O13" s="1">
        <f t="shared" si="11"/>
        <v>16699503</v>
      </c>
      <c r="P13" s="1">
        <f t="shared" si="11"/>
        <v>16699503</v>
      </c>
      <c r="Q13" s="1">
        <f t="shared" si="11"/>
        <v>16699503</v>
      </c>
      <c r="R13" s="1">
        <f t="shared" si="11"/>
        <v>16699503</v>
      </c>
      <c r="S13" s="1">
        <f t="shared" si="11"/>
        <v>16699503</v>
      </c>
      <c r="T13" s="1">
        <f>IF(kraina5[[#This Row],[populacja_2025]]&gt;2*kraina5[[#This Row],[populacja_2013]],1,0)</f>
        <v>1</v>
      </c>
    </row>
    <row r="14" spans="1:23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  <c r="F14">
        <f>kraina5[[#This Row],[liczba_kobiet_2013]]+kraina5[[#This Row],[liczba_mez_2013]]</f>
        <v>1960392</v>
      </c>
      <c r="G14">
        <f>SUM(kraina5[[#This Row],[liczba_kobiet_2014]:[liczba_mez_2014]])</f>
        <v>2141427</v>
      </c>
      <c r="H14">
        <f>ROUNDDOWN(kraina5[[#This Row],[populacja_2014]]/kraina5[[#This Row],[populacja_2013]],4)</f>
        <v>1.0923</v>
      </c>
      <c r="I14" s="1">
        <f>IF(kraina5[[#This Row],[populacja_2014]]&gt;2*kraina5[[#This Row],[populacja_2013]],kraina5[[#This Row],[populacja_2014]],ROUNDDOWN(kraina5[[#This Row],[populacja_2014]]*kraina5[[#This Row],[tempo_wzrostu]],0))</f>
        <v>2339080</v>
      </c>
      <c r="J14" s="1">
        <f t="shared" ref="J14:S14" si="12">IF(I14&gt;2*$F14,I14,ROUNDDOWN(I14*$H14,0))</f>
        <v>2554977</v>
      </c>
      <c r="K14" s="1">
        <f t="shared" si="12"/>
        <v>2790801</v>
      </c>
      <c r="L14" s="1">
        <f t="shared" si="12"/>
        <v>3048391</v>
      </c>
      <c r="M14" s="1">
        <f t="shared" si="12"/>
        <v>3329757</v>
      </c>
      <c r="N14" s="1">
        <f t="shared" si="12"/>
        <v>3637093</v>
      </c>
      <c r="O14" s="1">
        <f t="shared" si="12"/>
        <v>3972796</v>
      </c>
      <c r="P14" s="1">
        <f t="shared" si="12"/>
        <v>3972796</v>
      </c>
      <c r="Q14" s="1">
        <f t="shared" si="12"/>
        <v>3972796</v>
      </c>
      <c r="R14" s="1">
        <f t="shared" si="12"/>
        <v>3972796</v>
      </c>
      <c r="S14" s="1">
        <f t="shared" si="12"/>
        <v>3972796</v>
      </c>
      <c r="T14" s="1">
        <f>IF(kraina5[[#This Row],[populacja_2025]]&gt;2*kraina5[[#This Row],[populacja_2013]],1,0)</f>
        <v>1</v>
      </c>
    </row>
    <row r="15" spans="1:23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  <c r="F15">
        <f>kraina5[[#This Row],[liczba_kobiet_2013]]+kraina5[[#This Row],[liczba_mez_2013]]</f>
        <v>2177470</v>
      </c>
      <c r="G15">
        <f>SUM(kraina5[[#This Row],[liczba_kobiet_2014]:[liczba_mez_2014]])</f>
        <v>1765883</v>
      </c>
      <c r="H15">
        <f>ROUNDDOWN(kraina5[[#This Row],[populacja_2014]]/kraina5[[#This Row],[populacja_2013]],4)</f>
        <v>0.81089999999999995</v>
      </c>
      <c r="I15" s="1">
        <f>IF(kraina5[[#This Row],[populacja_2014]]&gt;2*kraina5[[#This Row],[populacja_2013]],kraina5[[#This Row],[populacja_2014]],ROUNDDOWN(kraina5[[#This Row],[populacja_2014]]*kraina5[[#This Row],[tempo_wzrostu]],0))</f>
        <v>1431954</v>
      </c>
      <c r="J15" s="1">
        <f t="shared" ref="J15:S15" si="13">IF(I15&gt;2*$F15,I15,ROUNDDOWN(I15*$H15,0))</f>
        <v>1161171</v>
      </c>
      <c r="K15" s="1">
        <f t="shared" si="13"/>
        <v>941593</v>
      </c>
      <c r="L15" s="1">
        <f t="shared" si="13"/>
        <v>763537</v>
      </c>
      <c r="M15" s="1">
        <f t="shared" si="13"/>
        <v>619152</v>
      </c>
      <c r="N15" s="1">
        <f t="shared" si="13"/>
        <v>502070</v>
      </c>
      <c r="O15" s="1">
        <f t="shared" si="13"/>
        <v>407128</v>
      </c>
      <c r="P15" s="1">
        <f t="shared" si="13"/>
        <v>330140</v>
      </c>
      <c r="Q15" s="1">
        <f t="shared" si="13"/>
        <v>267710</v>
      </c>
      <c r="R15" s="1">
        <f t="shared" si="13"/>
        <v>217086</v>
      </c>
      <c r="S15" s="1">
        <f t="shared" si="13"/>
        <v>176035</v>
      </c>
      <c r="T15" s="1">
        <f>IF(kraina5[[#This Row],[populacja_2025]]&gt;2*kraina5[[#This Row],[populacja_2013]],1,0)</f>
        <v>0</v>
      </c>
    </row>
    <row r="16" spans="1:23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  <c r="F16">
        <f>kraina5[[#This Row],[liczba_kobiet_2013]]+kraina5[[#This Row],[liczba_mez_2013]]</f>
        <v>5134027</v>
      </c>
      <c r="G16">
        <f>SUM(kraina5[[#This Row],[liczba_kobiet_2014]:[liczba_mez_2014]])</f>
        <v>4099997</v>
      </c>
      <c r="H16">
        <f>ROUNDDOWN(kraina5[[#This Row],[populacja_2014]]/kraina5[[#This Row],[populacja_2013]],4)</f>
        <v>0.79849999999999999</v>
      </c>
      <c r="I16" s="1">
        <f>IF(kraina5[[#This Row],[populacja_2014]]&gt;2*kraina5[[#This Row],[populacja_2013]],kraina5[[#This Row],[populacja_2014]],ROUNDDOWN(kraina5[[#This Row],[populacja_2014]]*kraina5[[#This Row],[tempo_wzrostu]],0))</f>
        <v>3273847</v>
      </c>
      <c r="J16" s="1">
        <f t="shared" ref="J16:S16" si="14">IF(I16&gt;2*$F16,I16,ROUNDDOWN(I16*$H16,0))</f>
        <v>2614166</v>
      </c>
      <c r="K16" s="1">
        <f t="shared" si="14"/>
        <v>2087411</v>
      </c>
      <c r="L16" s="1">
        <f t="shared" si="14"/>
        <v>1666797</v>
      </c>
      <c r="M16" s="1">
        <f t="shared" si="14"/>
        <v>1330937</v>
      </c>
      <c r="N16" s="1">
        <f t="shared" si="14"/>
        <v>1062753</v>
      </c>
      <c r="O16" s="1">
        <f t="shared" si="14"/>
        <v>848608</v>
      </c>
      <c r="P16" s="1">
        <f t="shared" si="14"/>
        <v>677613</v>
      </c>
      <c r="Q16" s="1">
        <f t="shared" si="14"/>
        <v>541073</v>
      </c>
      <c r="R16" s="1">
        <f t="shared" si="14"/>
        <v>432046</v>
      </c>
      <c r="S16" s="1">
        <f t="shared" si="14"/>
        <v>344988</v>
      </c>
      <c r="T16" s="1">
        <f>IF(kraina5[[#This Row],[populacja_2025]]&gt;2*kraina5[[#This Row],[populacja_2013]],1,0)</f>
        <v>0</v>
      </c>
    </row>
    <row r="17" spans="1:20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  <c r="F17">
        <f>kraina5[[#This Row],[liczba_kobiet_2013]]+kraina5[[#This Row],[liczba_mez_2013]]</f>
        <v>2728601</v>
      </c>
      <c r="G17">
        <f>SUM(kraina5[[#This Row],[liczba_kobiet_2014]:[liczba_mez_2014]])</f>
        <v>3408578</v>
      </c>
      <c r="H17">
        <f>ROUNDDOWN(kraina5[[#This Row],[populacja_2014]]/kraina5[[#This Row],[populacja_2013]],4)</f>
        <v>1.2492000000000001</v>
      </c>
      <c r="I17" s="1">
        <f>IF(kraina5[[#This Row],[populacja_2014]]&gt;2*kraina5[[#This Row],[populacja_2013]],kraina5[[#This Row],[populacja_2014]],ROUNDDOWN(kraina5[[#This Row],[populacja_2014]]*kraina5[[#This Row],[tempo_wzrostu]],0))</f>
        <v>4257995</v>
      </c>
      <c r="J17" s="1">
        <f t="shared" ref="J17:S17" si="15">IF(I17&gt;2*$F17,I17,ROUNDDOWN(I17*$H17,0))</f>
        <v>5319087</v>
      </c>
      <c r="K17" s="1">
        <f t="shared" si="15"/>
        <v>6644603</v>
      </c>
      <c r="L17" s="1">
        <f t="shared" si="15"/>
        <v>6644603</v>
      </c>
      <c r="M17" s="1">
        <f t="shared" si="15"/>
        <v>6644603</v>
      </c>
      <c r="N17" s="1">
        <f t="shared" si="15"/>
        <v>6644603</v>
      </c>
      <c r="O17" s="1">
        <f t="shared" si="15"/>
        <v>6644603</v>
      </c>
      <c r="P17" s="1">
        <f t="shared" si="15"/>
        <v>6644603</v>
      </c>
      <c r="Q17" s="1">
        <f t="shared" si="15"/>
        <v>6644603</v>
      </c>
      <c r="R17" s="1">
        <f t="shared" si="15"/>
        <v>6644603</v>
      </c>
      <c r="S17" s="1">
        <f t="shared" si="15"/>
        <v>6644603</v>
      </c>
      <c r="T17" s="1">
        <f>IF(kraina5[[#This Row],[populacja_2025]]&gt;2*kraina5[[#This Row],[populacja_2013]],1,0)</f>
        <v>1</v>
      </c>
    </row>
    <row r="18" spans="1:20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  <c r="F18">
        <f>kraina5[[#This Row],[liczba_kobiet_2013]]+kraina5[[#This Row],[liczba_mez_2013]]</f>
        <v>5009321</v>
      </c>
      <c r="G18">
        <f>SUM(kraina5[[#This Row],[liczba_kobiet_2014]:[liczba_mez_2014]])</f>
        <v>3020942</v>
      </c>
      <c r="H18">
        <f>ROUNDDOWN(kraina5[[#This Row],[populacja_2014]]/kraina5[[#This Row],[populacja_2013]],4)</f>
        <v>0.60299999999999998</v>
      </c>
      <c r="I18" s="1">
        <f>IF(kraina5[[#This Row],[populacja_2014]]&gt;2*kraina5[[#This Row],[populacja_2013]],kraina5[[#This Row],[populacja_2014]],ROUNDDOWN(kraina5[[#This Row],[populacja_2014]]*kraina5[[#This Row],[tempo_wzrostu]],0))</f>
        <v>1821628</v>
      </c>
      <c r="J18" s="1">
        <f t="shared" ref="J18:S18" si="16">IF(I18&gt;2*$F18,I18,ROUNDDOWN(I18*$H18,0))</f>
        <v>1098441</v>
      </c>
      <c r="K18" s="1">
        <f t="shared" si="16"/>
        <v>662359</v>
      </c>
      <c r="L18" s="1">
        <f t="shared" si="16"/>
        <v>399402</v>
      </c>
      <c r="M18" s="1">
        <f t="shared" si="16"/>
        <v>240839</v>
      </c>
      <c r="N18" s="1">
        <f t="shared" si="16"/>
        <v>145225</v>
      </c>
      <c r="O18" s="1">
        <f t="shared" si="16"/>
        <v>87570</v>
      </c>
      <c r="P18" s="1">
        <f t="shared" si="16"/>
        <v>52804</v>
      </c>
      <c r="Q18" s="1">
        <f t="shared" si="16"/>
        <v>31840</v>
      </c>
      <c r="R18" s="1">
        <f t="shared" si="16"/>
        <v>19199</v>
      </c>
      <c r="S18" s="1">
        <f t="shared" si="16"/>
        <v>11576</v>
      </c>
      <c r="T18" s="1">
        <f>IF(kraina5[[#This Row],[populacja_2025]]&gt;2*kraina5[[#This Row],[populacja_2013]],1,0)</f>
        <v>0</v>
      </c>
    </row>
    <row r="19" spans="1:20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  <c r="F19">
        <f>kraina5[[#This Row],[liczba_kobiet_2013]]+kraina5[[#This Row],[liczba_mez_2013]]</f>
        <v>2729291</v>
      </c>
      <c r="G19">
        <f>SUM(kraina5[[#This Row],[liczba_kobiet_2014]:[liczba_mez_2014]])</f>
        <v>1256318</v>
      </c>
      <c r="H19">
        <f>ROUNDDOWN(kraina5[[#This Row],[populacja_2014]]/kraina5[[#This Row],[populacja_2013]],4)</f>
        <v>0.46029999999999999</v>
      </c>
      <c r="I19" s="1">
        <f>IF(kraina5[[#This Row],[populacja_2014]]&gt;2*kraina5[[#This Row],[populacja_2013]],kraina5[[#This Row],[populacja_2014]],ROUNDDOWN(kraina5[[#This Row],[populacja_2014]]*kraina5[[#This Row],[tempo_wzrostu]],0))</f>
        <v>578283</v>
      </c>
      <c r="J19" s="1">
        <f t="shared" ref="J19:S19" si="17">IF(I19&gt;2*$F19,I19,ROUNDDOWN(I19*$H19,0))</f>
        <v>266183</v>
      </c>
      <c r="K19" s="1">
        <f t="shared" si="17"/>
        <v>122524</v>
      </c>
      <c r="L19" s="1">
        <f t="shared" si="17"/>
        <v>56397</v>
      </c>
      <c r="M19" s="1">
        <f t="shared" si="17"/>
        <v>25959</v>
      </c>
      <c r="N19" s="1">
        <f t="shared" si="17"/>
        <v>11948</v>
      </c>
      <c r="O19" s="1">
        <f t="shared" si="17"/>
        <v>5499</v>
      </c>
      <c r="P19" s="1">
        <f t="shared" si="17"/>
        <v>2531</v>
      </c>
      <c r="Q19" s="1">
        <f t="shared" si="17"/>
        <v>1165</v>
      </c>
      <c r="R19" s="1">
        <f t="shared" si="17"/>
        <v>536</v>
      </c>
      <c r="S19" s="1">
        <f t="shared" si="17"/>
        <v>246</v>
      </c>
      <c r="T19" s="1">
        <f>IF(kraina5[[#This Row],[populacja_2025]]&gt;2*kraina5[[#This Row],[populacja_2013]],1,0)</f>
        <v>0</v>
      </c>
    </row>
    <row r="20" spans="1:20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  <c r="F20">
        <f>kraina5[[#This Row],[liczba_kobiet_2013]]+kraina5[[#This Row],[liczba_mez_2013]]</f>
        <v>6175874</v>
      </c>
      <c r="G20">
        <f>SUM(kraina5[[#This Row],[liczba_kobiet_2014]:[liczba_mez_2014]])</f>
        <v>3425717</v>
      </c>
      <c r="H20">
        <f>ROUNDDOWN(kraina5[[#This Row],[populacja_2014]]/kraina5[[#This Row],[populacja_2013]],4)</f>
        <v>0.55459999999999998</v>
      </c>
      <c r="I20" s="1">
        <f>IF(kraina5[[#This Row],[populacja_2014]]&gt;2*kraina5[[#This Row],[populacja_2013]],kraina5[[#This Row],[populacja_2014]],ROUNDDOWN(kraina5[[#This Row],[populacja_2014]]*kraina5[[#This Row],[tempo_wzrostu]],0))</f>
        <v>1899902</v>
      </c>
      <c r="J20" s="1">
        <f t="shared" ref="J20:S20" si="18">IF(I20&gt;2*$F20,I20,ROUNDDOWN(I20*$H20,0))</f>
        <v>1053685</v>
      </c>
      <c r="K20" s="1">
        <f t="shared" si="18"/>
        <v>584373</v>
      </c>
      <c r="L20" s="1">
        <f t="shared" si="18"/>
        <v>324093</v>
      </c>
      <c r="M20" s="1">
        <f t="shared" si="18"/>
        <v>179741</v>
      </c>
      <c r="N20" s="1">
        <f t="shared" si="18"/>
        <v>99684</v>
      </c>
      <c r="O20" s="1">
        <f t="shared" si="18"/>
        <v>55284</v>
      </c>
      <c r="P20" s="1">
        <f t="shared" si="18"/>
        <v>30660</v>
      </c>
      <c r="Q20" s="1">
        <f t="shared" si="18"/>
        <v>17004</v>
      </c>
      <c r="R20" s="1">
        <f t="shared" si="18"/>
        <v>9430</v>
      </c>
      <c r="S20" s="1">
        <f t="shared" si="18"/>
        <v>5229</v>
      </c>
      <c r="T20" s="1">
        <f>IF(kraina5[[#This Row],[populacja_2025]]&gt;2*kraina5[[#This Row],[populacja_2013]],1,0)</f>
        <v>0</v>
      </c>
    </row>
    <row r="21" spans="1:20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  <c r="F21">
        <f>kraina5[[#This Row],[liczba_kobiet_2013]]+kraina5[[#This Row],[liczba_mez_2013]]</f>
        <v>3008890</v>
      </c>
      <c r="G21">
        <f>SUM(kraina5[[#This Row],[liczba_kobiet_2014]:[liczba_mez_2014]])</f>
        <v>2778690</v>
      </c>
      <c r="H21">
        <f>ROUNDDOWN(kraina5[[#This Row],[populacja_2014]]/kraina5[[#This Row],[populacja_2013]],4)</f>
        <v>0.9234</v>
      </c>
      <c r="I21" s="1">
        <f>IF(kraina5[[#This Row],[populacja_2014]]&gt;2*kraina5[[#This Row],[populacja_2013]],kraina5[[#This Row],[populacja_2014]],ROUNDDOWN(kraina5[[#This Row],[populacja_2014]]*kraina5[[#This Row],[tempo_wzrostu]],0))</f>
        <v>2565842</v>
      </c>
      <c r="J21" s="1">
        <f t="shared" ref="J21:S21" si="19">IF(I21&gt;2*$F21,I21,ROUNDDOWN(I21*$H21,0))</f>
        <v>2369298</v>
      </c>
      <c r="K21" s="1">
        <f t="shared" si="19"/>
        <v>2187809</v>
      </c>
      <c r="L21" s="1">
        <f t="shared" si="19"/>
        <v>2020222</v>
      </c>
      <c r="M21" s="1">
        <f t="shared" si="19"/>
        <v>1865472</v>
      </c>
      <c r="N21" s="1">
        <f t="shared" si="19"/>
        <v>1722576</v>
      </c>
      <c r="O21" s="1">
        <f t="shared" si="19"/>
        <v>1590626</v>
      </c>
      <c r="P21" s="1">
        <f t="shared" si="19"/>
        <v>1468784</v>
      </c>
      <c r="Q21" s="1">
        <f t="shared" si="19"/>
        <v>1356275</v>
      </c>
      <c r="R21" s="1">
        <f t="shared" si="19"/>
        <v>1252384</v>
      </c>
      <c r="S21" s="1">
        <f t="shared" si="19"/>
        <v>1156451</v>
      </c>
      <c r="T21" s="1">
        <f>IF(kraina5[[#This Row],[populacja_2025]]&gt;2*kraina5[[#This Row],[populacja_2013]],1,0)</f>
        <v>0</v>
      </c>
    </row>
    <row r="22" spans="1:20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  <c r="F22">
        <f>kraina5[[#This Row],[liczba_kobiet_2013]]+kraina5[[#This Row],[liczba_mez_2013]]</f>
        <v>4752576</v>
      </c>
      <c r="G22">
        <f>SUM(kraina5[[#This Row],[liczba_kobiet_2014]:[liczba_mez_2014]])</f>
        <v>572183</v>
      </c>
      <c r="H22">
        <f>ROUNDDOWN(kraina5[[#This Row],[populacja_2014]]/kraina5[[#This Row],[populacja_2013]],4)</f>
        <v>0.1203</v>
      </c>
      <c r="I22" s="1">
        <f>IF(kraina5[[#This Row],[populacja_2014]]&gt;2*kraina5[[#This Row],[populacja_2013]],kraina5[[#This Row],[populacja_2014]],ROUNDDOWN(kraina5[[#This Row],[populacja_2014]]*kraina5[[#This Row],[tempo_wzrostu]],0))</f>
        <v>68833</v>
      </c>
      <c r="J22" s="1">
        <f t="shared" ref="J22:S22" si="20">IF(I22&gt;2*$F22,I22,ROUNDDOWN(I22*$H22,0))</f>
        <v>8280</v>
      </c>
      <c r="K22" s="1">
        <f t="shared" si="20"/>
        <v>996</v>
      </c>
      <c r="L22" s="1">
        <f t="shared" si="20"/>
        <v>119</v>
      </c>
      <c r="M22" s="1">
        <f t="shared" si="20"/>
        <v>14</v>
      </c>
      <c r="N22" s="1">
        <f t="shared" si="20"/>
        <v>1</v>
      </c>
      <c r="O22" s="1">
        <f t="shared" si="20"/>
        <v>0</v>
      </c>
      <c r="P22" s="1">
        <f t="shared" si="20"/>
        <v>0</v>
      </c>
      <c r="Q22" s="1">
        <f t="shared" si="20"/>
        <v>0</v>
      </c>
      <c r="R22" s="1">
        <f t="shared" si="20"/>
        <v>0</v>
      </c>
      <c r="S22" s="1">
        <f t="shared" si="20"/>
        <v>0</v>
      </c>
      <c r="T22" s="1">
        <f>IF(kraina5[[#This Row],[populacja_2025]]&gt;2*kraina5[[#This Row],[populacja_2013]],1,0)</f>
        <v>0</v>
      </c>
    </row>
    <row r="23" spans="1:20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  <c r="F23">
        <f>kraina5[[#This Row],[liczba_kobiet_2013]]+kraina5[[#This Row],[liczba_mez_2013]]</f>
        <v>1434562</v>
      </c>
      <c r="G23">
        <f>SUM(kraina5[[#This Row],[liczba_kobiet_2014]:[liczba_mez_2014]])</f>
        <v>5519227</v>
      </c>
      <c r="H23">
        <f>ROUNDDOWN(kraina5[[#This Row],[populacja_2014]]/kraina5[[#This Row],[populacja_2013]],4)</f>
        <v>3.8473000000000002</v>
      </c>
      <c r="I23" s="1">
        <f>IF(kraina5[[#This Row],[populacja_2014]]&gt;2*kraina5[[#This Row],[populacja_2013]],kraina5[[#This Row],[populacja_2014]],ROUNDDOWN(kraina5[[#This Row],[populacja_2014]]*kraina5[[#This Row],[tempo_wzrostu]],0))</f>
        <v>5519227</v>
      </c>
      <c r="J23" s="1">
        <f t="shared" ref="J23:S23" si="21">IF(I23&gt;2*$F23,I23,ROUNDDOWN(I23*$H23,0))</f>
        <v>5519227</v>
      </c>
      <c r="K23" s="1">
        <f t="shared" si="21"/>
        <v>5519227</v>
      </c>
      <c r="L23" s="1">
        <f t="shared" si="21"/>
        <v>5519227</v>
      </c>
      <c r="M23" s="1">
        <f t="shared" si="21"/>
        <v>5519227</v>
      </c>
      <c r="N23" s="1">
        <f t="shared" si="21"/>
        <v>5519227</v>
      </c>
      <c r="O23" s="1">
        <f t="shared" si="21"/>
        <v>5519227</v>
      </c>
      <c r="P23" s="1">
        <f t="shared" si="21"/>
        <v>5519227</v>
      </c>
      <c r="Q23" s="1">
        <f t="shared" si="21"/>
        <v>5519227</v>
      </c>
      <c r="R23" s="1">
        <f t="shared" si="21"/>
        <v>5519227</v>
      </c>
      <c r="S23" s="1">
        <f t="shared" si="21"/>
        <v>5519227</v>
      </c>
      <c r="T23" s="1">
        <f>IF(kraina5[[#This Row],[populacja_2025]]&gt;2*kraina5[[#This Row],[populacja_2013]],1,0)</f>
        <v>1</v>
      </c>
    </row>
    <row r="24" spans="1:20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  <c r="F24">
        <f>kraina5[[#This Row],[liczba_kobiet_2013]]+kraina5[[#This Row],[liczba_mez_2013]]</f>
        <v>4505451</v>
      </c>
      <c r="G24">
        <f>SUM(kraina5[[#This Row],[liczba_kobiet_2014]:[liczba_mez_2014]])</f>
        <v>3273876</v>
      </c>
      <c r="H24">
        <f>ROUNDDOWN(kraina5[[#This Row],[populacja_2014]]/kraina5[[#This Row],[populacja_2013]],4)</f>
        <v>0.72660000000000002</v>
      </c>
      <c r="I24" s="1">
        <f>IF(kraina5[[#This Row],[populacja_2014]]&gt;2*kraina5[[#This Row],[populacja_2013]],kraina5[[#This Row],[populacja_2014]],ROUNDDOWN(kraina5[[#This Row],[populacja_2014]]*kraina5[[#This Row],[tempo_wzrostu]],0))</f>
        <v>2378798</v>
      </c>
      <c r="J24" s="1">
        <f t="shared" ref="J24:S24" si="22">IF(I24&gt;2*$F24,I24,ROUNDDOWN(I24*$H24,0))</f>
        <v>1728434</v>
      </c>
      <c r="K24" s="1">
        <f t="shared" si="22"/>
        <v>1255880</v>
      </c>
      <c r="L24" s="1">
        <f t="shared" si="22"/>
        <v>912522</v>
      </c>
      <c r="M24" s="1">
        <f t="shared" si="22"/>
        <v>663038</v>
      </c>
      <c r="N24" s="1">
        <f t="shared" si="22"/>
        <v>481763</v>
      </c>
      <c r="O24" s="1">
        <f t="shared" si="22"/>
        <v>350048</v>
      </c>
      <c r="P24" s="1">
        <f t="shared" si="22"/>
        <v>254344</v>
      </c>
      <c r="Q24" s="1">
        <f t="shared" si="22"/>
        <v>184806</v>
      </c>
      <c r="R24" s="1">
        <f t="shared" si="22"/>
        <v>134280</v>
      </c>
      <c r="S24" s="1">
        <f t="shared" si="22"/>
        <v>97567</v>
      </c>
      <c r="T24" s="1">
        <f>IF(kraina5[[#This Row],[populacja_2025]]&gt;2*kraina5[[#This Row],[populacja_2013]],1,0)</f>
        <v>0</v>
      </c>
    </row>
    <row r="25" spans="1:20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  <c r="F25">
        <f>kraina5[[#This Row],[liczba_kobiet_2013]]+kraina5[[#This Row],[liczba_mez_2013]]</f>
        <v>1327364</v>
      </c>
      <c r="G25">
        <f>SUM(kraina5[[#This Row],[liczba_kobiet_2014]:[liczba_mez_2014]])</f>
        <v>1664117</v>
      </c>
      <c r="H25">
        <f>ROUNDDOWN(kraina5[[#This Row],[populacja_2014]]/kraina5[[#This Row],[populacja_2013]],4)</f>
        <v>1.2537</v>
      </c>
      <c r="I25" s="1">
        <f>IF(kraina5[[#This Row],[populacja_2014]]&gt;2*kraina5[[#This Row],[populacja_2013]],kraina5[[#This Row],[populacja_2014]],ROUNDDOWN(kraina5[[#This Row],[populacja_2014]]*kraina5[[#This Row],[tempo_wzrostu]],0))</f>
        <v>2086303</v>
      </c>
      <c r="J25" s="1">
        <f t="shared" ref="J25:S25" si="23">IF(I25&gt;2*$F25,I25,ROUNDDOWN(I25*$H25,0))</f>
        <v>2615598</v>
      </c>
      <c r="K25" s="1">
        <f t="shared" si="23"/>
        <v>3279175</v>
      </c>
      <c r="L25" s="1">
        <f t="shared" si="23"/>
        <v>3279175</v>
      </c>
      <c r="M25" s="1">
        <f t="shared" si="23"/>
        <v>3279175</v>
      </c>
      <c r="N25" s="1">
        <f t="shared" si="23"/>
        <v>3279175</v>
      </c>
      <c r="O25" s="1">
        <f t="shared" si="23"/>
        <v>3279175</v>
      </c>
      <c r="P25" s="1">
        <f t="shared" si="23"/>
        <v>3279175</v>
      </c>
      <c r="Q25" s="1">
        <f t="shared" si="23"/>
        <v>3279175</v>
      </c>
      <c r="R25" s="1">
        <f t="shared" si="23"/>
        <v>3279175</v>
      </c>
      <c r="S25" s="1">
        <f t="shared" si="23"/>
        <v>3279175</v>
      </c>
      <c r="T25" s="1">
        <f>IF(kraina5[[#This Row],[populacja_2025]]&gt;2*kraina5[[#This Row],[populacja_2013]],1,0)</f>
        <v>1</v>
      </c>
    </row>
    <row r="26" spans="1:20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  <c r="F26">
        <f>kraina5[[#This Row],[liczba_kobiet_2013]]+kraina5[[#This Row],[liczba_mez_2013]]</f>
        <v>884947</v>
      </c>
      <c r="G26">
        <f>SUM(kraina5[[#This Row],[liczba_kobiet_2014]:[liczba_mez_2014]])</f>
        <v>3347446</v>
      </c>
      <c r="H26">
        <f>ROUNDDOWN(kraina5[[#This Row],[populacja_2014]]/kraina5[[#This Row],[populacja_2013]],4)</f>
        <v>3.7826</v>
      </c>
      <c r="I26" s="1">
        <f>IF(kraina5[[#This Row],[populacja_2014]]&gt;2*kraina5[[#This Row],[populacja_2013]],kraina5[[#This Row],[populacja_2014]],ROUNDDOWN(kraina5[[#This Row],[populacja_2014]]*kraina5[[#This Row],[tempo_wzrostu]],0))</f>
        <v>3347446</v>
      </c>
      <c r="J26" s="1">
        <f t="shared" ref="J26:S26" si="24">IF(I26&gt;2*$F26,I26,ROUNDDOWN(I26*$H26,0))</f>
        <v>3347446</v>
      </c>
      <c r="K26" s="1">
        <f t="shared" si="24"/>
        <v>3347446</v>
      </c>
      <c r="L26" s="1">
        <f t="shared" si="24"/>
        <v>3347446</v>
      </c>
      <c r="M26" s="1">
        <f t="shared" si="24"/>
        <v>3347446</v>
      </c>
      <c r="N26" s="1">
        <f t="shared" si="24"/>
        <v>3347446</v>
      </c>
      <c r="O26" s="1">
        <f t="shared" si="24"/>
        <v>3347446</v>
      </c>
      <c r="P26" s="1">
        <f t="shared" si="24"/>
        <v>3347446</v>
      </c>
      <c r="Q26" s="1">
        <f t="shared" si="24"/>
        <v>3347446</v>
      </c>
      <c r="R26" s="1">
        <f t="shared" si="24"/>
        <v>3347446</v>
      </c>
      <c r="S26" s="1">
        <f t="shared" si="24"/>
        <v>3347446</v>
      </c>
      <c r="T26" s="1">
        <f>IF(kraina5[[#This Row],[populacja_2025]]&gt;2*kraina5[[#This Row],[populacja_2013]],1,0)</f>
        <v>1</v>
      </c>
    </row>
    <row r="27" spans="1:20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>
        <f>kraina5[[#This Row],[liczba_kobiet_2013]]+kraina5[[#This Row],[liczba_mez_2013]]</f>
        <v>2151563</v>
      </c>
      <c r="G27">
        <f>SUM(kraina5[[#This Row],[liczba_kobiet_2014]:[liczba_mez_2014]])</f>
        <v>1868301</v>
      </c>
      <c r="H27">
        <f>ROUNDDOWN(kraina5[[#This Row],[populacja_2014]]/kraina5[[#This Row],[populacja_2013]],4)</f>
        <v>0.86829999999999996</v>
      </c>
      <c r="I27" s="1">
        <f>IF(kraina5[[#This Row],[populacja_2014]]&gt;2*kraina5[[#This Row],[populacja_2013]],kraina5[[#This Row],[populacja_2014]],ROUNDDOWN(kraina5[[#This Row],[populacja_2014]]*kraina5[[#This Row],[tempo_wzrostu]],0))</f>
        <v>1622245</v>
      </c>
      <c r="J27" s="1">
        <f t="shared" ref="J27:S27" si="25">IF(I27&gt;2*$F27,I27,ROUNDDOWN(I27*$H27,0))</f>
        <v>1408595</v>
      </c>
      <c r="K27" s="1">
        <f t="shared" si="25"/>
        <v>1223083</v>
      </c>
      <c r="L27" s="1">
        <f t="shared" si="25"/>
        <v>1062002</v>
      </c>
      <c r="M27" s="1">
        <f t="shared" si="25"/>
        <v>922136</v>
      </c>
      <c r="N27" s="1">
        <f t="shared" si="25"/>
        <v>800690</v>
      </c>
      <c r="O27" s="1">
        <f t="shared" si="25"/>
        <v>695239</v>
      </c>
      <c r="P27" s="1">
        <f t="shared" si="25"/>
        <v>603676</v>
      </c>
      <c r="Q27" s="1">
        <f t="shared" si="25"/>
        <v>524171</v>
      </c>
      <c r="R27" s="1">
        <f t="shared" si="25"/>
        <v>455137</v>
      </c>
      <c r="S27" s="1">
        <f t="shared" si="25"/>
        <v>395195</v>
      </c>
      <c r="T27" s="1">
        <f>IF(kraina5[[#This Row],[populacja_2025]]&gt;2*kraina5[[#This Row],[populacja_2013]],1,0)</f>
        <v>0</v>
      </c>
    </row>
    <row r="28" spans="1:20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  <c r="F28">
        <f>kraina5[[#This Row],[liczba_kobiet_2013]]+kraina5[[#This Row],[liczba_mez_2013]]</f>
        <v>4709695</v>
      </c>
      <c r="G28">
        <f>SUM(kraina5[[#This Row],[liczba_kobiet_2014]:[liczba_mez_2014]])</f>
        <v>2219872</v>
      </c>
      <c r="H28">
        <f>ROUNDDOWN(kraina5[[#This Row],[populacja_2014]]/kraina5[[#This Row],[populacja_2013]],4)</f>
        <v>0.4713</v>
      </c>
      <c r="I28" s="1">
        <f>IF(kraina5[[#This Row],[populacja_2014]]&gt;2*kraina5[[#This Row],[populacja_2013]],kraina5[[#This Row],[populacja_2014]],ROUNDDOWN(kraina5[[#This Row],[populacja_2014]]*kraina5[[#This Row],[tempo_wzrostu]],0))</f>
        <v>1046225</v>
      </c>
      <c r="J28" s="1">
        <f t="shared" ref="J28:S28" si="26">IF(I28&gt;2*$F28,I28,ROUNDDOWN(I28*$H28,0))</f>
        <v>493085</v>
      </c>
      <c r="K28" s="1">
        <f t="shared" si="26"/>
        <v>232390</v>
      </c>
      <c r="L28" s="1">
        <f t="shared" si="26"/>
        <v>109525</v>
      </c>
      <c r="M28" s="1">
        <f t="shared" si="26"/>
        <v>51619</v>
      </c>
      <c r="N28" s="1">
        <f t="shared" si="26"/>
        <v>24328</v>
      </c>
      <c r="O28" s="1">
        <f t="shared" si="26"/>
        <v>11465</v>
      </c>
      <c r="P28" s="1">
        <f t="shared" si="26"/>
        <v>5403</v>
      </c>
      <c r="Q28" s="1">
        <f t="shared" si="26"/>
        <v>2546</v>
      </c>
      <c r="R28" s="1">
        <f t="shared" si="26"/>
        <v>1199</v>
      </c>
      <c r="S28" s="1">
        <f t="shared" si="26"/>
        <v>565</v>
      </c>
      <c r="T28" s="1">
        <f>IF(kraina5[[#This Row],[populacja_2025]]&gt;2*kraina5[[#This Row],[populacja_2013]],1,0)</f>
        <v>0</v>
      </c>
    </row>
    <row r="29" spans="1:20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  <c r="F29">
        <f>kraina5[[#This Row],[liczba_kobiet_2013]]+kraina5[[#This Row],[liczba_mez_2013]]</f>
        <v>5450595</v>
      </c>
      <c r="G29">
        <f>SUM(kraina5[[#This Row],[liczba_kobiet_2014]:[liczba_mez_2014]])</f>
        <v>865257</v>
      </c>
      <c r="H29">
        <f>ROUNDDOWN(kraina5[[#This Row],[populacja_2014]]/kraina5[[#This Row],[populacja_2013]],4)</f>
        <v>0.15870000000000001</v>
      </c>
      <c r="I29" s="1">
        <f>IF(kraina5[[#This Row],[populacja_2014]]&gt;2*kraina5[[#This Row],[populacja_2013]],kraina5[[#This Row],[populacja_2014]],ROUNDDOWN(kraina5[[#This Row],[populacja_2014]]*kraina5[[#This Row],[tempo_wzrostu]],0))</f>
        <v>137316</v>
      </c>
      <c r="J29" s="1">
        <f t="shared" ref="J29:S29" si="27">IF(I29&gt;2*$F29,I29,ROUNDDOWN(I29*$H29,0))</f>
        <v>21792</v>
      </c>
      <c r="K29" s="1">
        <f t="shared" si="27"/>
        <v>3458</v>
      </c>
      <c r="L29" s="1">
        <f t="shared" si="27"/>
        <v>548</v>
      </c>
      <c r="M29" s="1">
        <f t="shared" si="27"/>
        <v>86</v>
      </c>
      <c r="N29" s="1">
        <f t="shared" si="27"/>
        <v>13</v>
      </c>
      <c r="O29" s="1">
        <f t="shared" si="27"/>
        <v>2</v>
      </c>
      <c r="P29" s="1">
        <f t="shared" si="27"/>
        <v>0</v>
      </c>
      <c r="Q29" s="1">
        <f t="shared" si="27"/>
        <v>0</v>
      </c>
      <c r="R29" s="1">
        <f t="shared" si="27"/>
        <v>0</v>
      </c>
      <c r="S29" s="1">
        <f t="shared" si="27"/>
        <v>0</v>
      </c>
      <c r="T29" s="1">
        <f>IF(kraina5[[#This Row],[populacja_2025]]&gt;2*kraina5[[#This Row],[populacja_2013]],1,0)</f>
        <v>0</v>
      </c>
    </row>
    <row r="30" spans="1:20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  <c r="F30">
        <f>kraina5[[#This Row],[liczba_kobiet_2013]]+kraina5[[#This Row],[liczba_mez_2013]]</f>
        <v>3703941</v>
      </c>
      <c r="G30">
        <f>SUM(kraina5[[#This Row],[liczba_kobiet_2014]:[liczba_mez_2014]])</f>
        <v>3045392</v>
      </c>
      <c r="H30">
        <f>ROUNDDOWN(kraina5[[#This Row],[populacja_2014]]/kraina5[[#This Row],[populacja_2013]],4)</f>
        <v>0.82220000000000004</v>
      </c>
      <c r="I30" s="1">
        <f>IF(kraina5[[#This Row],[populacja_2014]]&gt;2*kraina5[[#This Row],[populacja_2013]],kraina5[[#This Row],[populacja_2014]],ROUNDDOWN(kraina5[[#This Row],[populacja_2014]]*kraina5[[#This Row],[tempo_wzrostu]],0))</f>
        <v>2503921</v>
      </c>
      <c r="J30" s="1">
        <f t="shared" ref="J30:S30" si="28">IF(I30&gt;2*$F30,I30,ROUNDDOWN(I30*$H30,0))</f>
        <v>2058723</v>
      </c>
      <c r="K30" s="1">
        <f t="shared" si="28"/>
        <v>1692682</v>
      </c>
      <c r="L30" s="1">
        <f t="shared" si="28"/>
        <v>1391723</v>
      </c>
      <c r="M30" s="1">
        <f t="shared" si="28"/>
        <v>1144274</v>
      </c>
      <c r="N30" s="1">
        <f t="shared" si="28"/>
        <v>940822</v>
      </c>
      <c r="O30" s="1">
        <f t="shared" si="28"/>
        <v>773543</v>
      </c>
      <c r="P30" s="1">
        <f t="shared" si="28"/>
        <v>636007</v>
      </c>
      <c r="Q30" s="1">
        <f t="shared" si="28"/>
        <v>522924</v>
      </c>
      <c r="R30" s="1">
        <f t="shared" si="28"/>
        <v>429948</v>
      </c>
      <c r="S30" s="1">
        <f t="shared" si="28"/>
        <v>353503</v>
      </c>
      <c r="T30" s="1">
        <f>IF(kraina5[[#This Row],[populacja_2025]]&gt;2*kraina5[[#This Row],[populacja_2013]],1,0)</f>
        <v>0</v>
      </c>
    </row>
    <row r="31" spans="1:20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  <c r="F31">
        <f>kraina5[[#This Row],[liczba_kobiet_2013]]+kraina5[[#This Row],[liczba_mez_2013]]</f>
        <v>5040530</v>
      </c>
      <c r="G31">
        <f>SUM(kraina5[[#This Row],[liczba_kobiet_2014]:[liczba_mez_2014]])</f>
        <v>59431</v>
      </c>
      <c r="H31">
        <f>ROUNDDOWN(kraina5[[#This Row],[populacja_2014]]/kraina5[[#This Row],[populacja_2013]],4)</f>
        <v>1.17E-2</v>
      </c>
      <c r="I31" s="1">
        <f>IF(kraina5[[#This Row],[populacja_2014]]&gt;2*kraina5[[#This Row],[populacja_2013]],kraina5[[#This Row],[populacja_2014]],ROUNDDOWN(kraina5[[#This Row],[populacja_2014]]*kraina5[[#This Row],[tempo_wzrostu]],0))</f>
        <v>695</v>
      </c>
      <c r="J31" s="1">
        <f t="shared" ref="J31:S31" si="29">IF(I31&gt;2*$F31,I31,ROUNDDOWN(I31*$H31,0))</f>
        <v>8</v>
      </c>
      <c r="K31" s="1">
        <f t="shared" si="29"/>
        <v>0</v>
      </c>
      <c r="L31" s="1">
        <f t="shared" si="29"/>
        <v>0</v>
      </c>
      <c r="M31" s="1">
        <f t="shared" si="29"/>
        <v>0</v>
      </c>
      <c r="N31" s="1">
        <f t="shared" si="29"/>
        <v>0</v>
      </c>
      <c r="O31" s="1">
        <f t="shared" si="29"/>
        <v>0</v>
      </c>
      <c r="P31" s="1">
        <f t="shared" si="29"/>
        <v>0</v>
      </c>
      <c r="Q31" s="1">
        <f t="shared" si="29"/>
        <v>0</v>
      </c>
      <c r="R31" s="1">
        <f t="shared" si="29"/>
        <v>0</v>
      </c>
      <c r="S31" s="1">
        <f t="shared" si="29"/>
        <v>0</v>
      </c>
      <c r="T31" s="1">
        <f>IF(kraina5[[#This Row],[populacja_2025]]&gt;2*kraina5[[#This Row],[populacja_2013]],1,0)</f>
        <v>0</v>
      </c>
    </row>
    <row r="32" spans="1:20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  <c r="F32">
        <f>kraina5[[#This Row],[liczba_kobiet_2013]]+kraina5[[#This Row],[liczba_mez_2013]]</f>
        <v>3754769</v>
      </c>
      <c r="G32">
        <f>SUM(kraina5[[#This Row],[liczba_kobiet_2014]:[liczba_mez_2014]])</f>
        <v>3477577</v>
      </c>
      <c r="H32">
        <f>ROUNDDOWN(kraina5[[#This Row],[populacja_2014]]/kraina5[[#This Row],[populacja_2013]],4)</f>
        <v>0.92610000000000003</v>
      </c>
      <c r="I32" s="1">
        <f>IF(kraina5[[#This Row],[populacja_2014]]&gt;2*kraina5[[#This Row],[populacja_2013]],kraina5[[#This Row],[populacja_2014]],ROUNDDOWN(kraina5[[#This Row],[populacja_2014]]*kraina5[[#This Row],[tempo_wzrostu]],0))</f>
        <v>3220584</v>
      </c>
      <c r="J32" s="1">
        <f t="shared" ref="J32:S32" si="30">IF(I32&gt;2*$F32,I32,ROUNDDOWN(I32*$H32,0))</f>
        <v>2982582</v>
      </c>
      <c r="K32" s="1">
        <f t="shared" si="30"/>
        <v>2762169</v>
      </c>
      <c r="L32" s="1">
        <f t="shared" si="30"/>
        <v>2558044</v>
      </c>
      <c r="M32" s="1">
        <f t="shared" si="30"/>
        <v>2369004</v>
      </c>
      <c r="N32" s="1">
        <f t="shared" si="30"/>
        <v>2193934</v>
      </c>
      <c r="O32" s="1">
        <f t="shared" si="30"/>
        <v>2031802</v>
      </c>
      <c r="P32" s="1">
        <f t="shared" si="30"/>
        <v>1881651</v>
      </c>
      <c r="Q32" s="1">
        <f t="shared" si="30"/>
        <v>1742596</v>
      </c>
      <c r="R32" s="1">
        <f t="shared" si="30"/>
        <v>1613818</v>
      </c>
      <c r="S32" s="1">
        <f t="shared" si="30"/>
        <v>1494556</v>
      </c>
      <c r="T32" s="1">
        <f>IF(kraina5[[#This Row],[populacja_2025]]&gt;2*kraina5[[#This Row],[populacja_2013]],1,0)</f>
        <v>0</v>
      </c>
    </row>
    <row r="33" spans="1:20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  <c r="F33">
        <f>kraina5[[#This Row],[liczba_kobiet_2013]]+kraina5[[#This Row],[liczba_mez_2013]]</f>
        <v>2021024</v>
      </c>
      <c r="G33">
        <f>SUM(kraina5[[#This Row],[liczba_kobiet_2014]:[liczba_mez_2014]])</f>
        <v>3855970</v>
      </c>
      <c r="H33">
        <f>ROUNDDOWN(kraina5[[#This Row],[populacja_2014]]/kraina5[[#This Row],[populacja_2013]],4)</f>
        <v>1.9078999999999999</v>
      </c>
      <c r="I33" s="1">
        <f>IF(kraina5[[#This Row],[populacja_2014]]&gt;2*kraina5[[#This Row],[populacja_2013]],kraina5[[#This Row],[populacja_2014]],ROUNDDOWN(kraina5[[#This Row],[populacja_2014]]*kraina5[[#This Row],[tempo_wzrostu]],0))</f>
        <v>7356805</v>
      </c>
      <c r="J33" s="1">
        <f t="shared" ref="J33:S33" si="31">IF(I33&gt;2*$F33,I33,ROUNDDOWN(I33*$H33,0))</f>
        <v>7356805</v>
      </c>
      <c r="K33" s="1">
        <f t="shared" si="31"/>
        <v>7356805</v>
      </c>
      <c r="L33" s="1">
        <f t="shared" si="31"/>
        <v>7356805</v>
      </c>
      <c r="M33" s="1">
        <f t="shared" si="31"/>
        <v>7356805</v>
      </c>
      <c r="N33" s="1">
        <f t="shared" si="31"/>
        <v>7356805</v>
      </c>
      <c r="O33" s="1">
        <f t="shared" si="31"/>
        <v>7356805</v>
      </c>
      <c r="P33" s="1">
        <f t="shared" si="31"/>
        <v>7356805</v>
      </c>
      <c r="Q33" s="1">
        <f t="shared" si="31"/>
        <v>7356805</v>
      </c>
      <c r="R33" s="1">
        <f t="shared" si="31"/>
        <v>7356805</v>
      </c>
      <c r="S33" s="1">
        <f t="shared" si="31"/>
        <v>7356805</v>
      </c>
      <c r="T33" s="1">
        <f>IF(kraina5[[#This Row],[populacja_2025]]&gt;2*kraina5[[#This Row],[populacja_2013]],1,0)</f>
        <v>1</v>
      </c>
    </row>
    <row r="34" spans="1:20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  <c r="F34">
        <f>kraina5[[#This Row],[liczba_kobiet_2013]]+kraina5[[#This Row],[liczba_mez_2013]]</f>
        <v>5856254</v>
      </c>
      <c r="G34">
        <f>SUM(kraina5[[#This Row],[liczba_kobiet_2014]:[liczba_mez_2014]])</f>
        <v>948807</v>
      </c>
      <c r="H34">
        <f>ROUNDDOWN(kraina5[[#This Row],[populacja_2014]]/kraina5[[#This Row],[populacja_2013]],4)</f>
        <v>0.16200000000000001</v>
      </c>
      <c r="I34" s="1">
        <f>IF(kraina5[[#This Row],[populacja_2014]]&gt;2*kraina5[[#This Row],[populacja_2013]],kraina5[[#This Row],[populacja_2014]],ROUNDDOWN(kraina5[[#This Row],[populacja_2014]]*kraina5[[#This Row],[tempo_wzrostu]],0))</f>
        <v>153706</v>
      </c>
      <c r="J34" s="1">
        <f t="shared" ref="J34:S34" si="32">IF(I34&gt;2*$F34,I34,ROUNDDOWN(I34*$H34,0))</f>
        <v>24900</v>
      </c>
      <c r="K34" s="1">
        <f t="shared" si="32"/>
        <v>4033</v>
      </c>
      <c r="L34" s="1">
        <f t="shared" si="32"/>
        <v>653</v>
      </c>
      <c r="M34" s="1">
        <f t="shared" si="32"/>
        <v>105</v>
      </c>
      <c r="N34" s="1">
        <f t="shared" si="32"/>
        <v>17</v>
      </c>
      <c r="O34" s="1">
        <f t="shared" si="32"/>
        <v>2</v>
      </c>
      <c r="P34" s="1">
        <f t="shared" si="32"/>
        <v>0</v>
      </c>
      <c r="Q34" s="1">
        <f t="shared" si="32"/>
        <v>0</v>
      </c>
      <c r="R34" s="1">
        <f t="shared" si="32"/>
        <v>0</v>
      </c>
      <c r="S34" s="1">
        <f t="shared" si="32"/>
        <v>0</v>
      </c>
      <c r="T34" s="1">
        <f>IF(kraina5[[#This Row],[populacja_2025]]&gt;2*kraina5[[#This Row],[populacja_2013]],1,0)</f>
        <v>0</v>
      </c>
    </row>
    <row r="35" spans="1:20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  <c r="F35">
        <f>kraina5[[#This Row],[liczba_kobiet_2013]]+kraina5[[#This Row],[liczba_mez_2013]]</f>
        <v>158033</v>
      </c>
      <c r="G35">
        <f>SUM(kraina5[[#This Row],[liczba_kobiet_2014]:[liczba_mez_2014]])</f>
        <v>2754275</v>
      </c>
      <c r="H35">
        <f>ROUNDDOWN(kraina5[[#This Row],[populacja_2014]]/kraina5[[#This Row],[populacja_2013]],4)</f>
        <v>17.4284</v>
      </c>
      <c r="I35" s="1">
        <f>IF(kraina5[[#This Row],[populacja_2014]]&gt;2*kraina5[[#This Row],[populacja_2013]],kraina5[[#This Row],[populacja_2014]],ROUNDDOWN(kraina5[[#This Row],[populacja_2014]]*kraina5[[#This Row],[tempo_wzrostu]],0))</f>
        <v>2754275</v>
      </c>
      <c r="J35" s="1">
        <f t="shared" ref="J35:S35" si="33">IF(I35&gt;2*$F35,I35,ROUNDDOWN(I35*$H35,0))</f>
        <v>2754275</v>
      </c>
      <c r="K35" s="1">
        <f t="shared" si="33"/>
        <v>2754275</v>
      </c>
      <c r="L35" s="1">
        <f t="shared" si="33"/>
        <v>2754275</v>
      </c>
      <c r="M35" s="1">
        <f t="shared" si="33"/>
        <v>2754275</v>
      </c>
      <c r="N35" s="1">
        <f t="shared" si="33"/>
        <v>2754275</v>
      </c>
      <c r="O35" s="1">
        <f t="shared" si="33"/>
        <v>2754275</v>
      </c>
      <c r="P35" s="1">
        <f t="shared" si="33"/>
        <v>2754275</v>
      </c>
      <c r="Q35" s="1">
        <f t="shared" si="33"/>
        <v>2754275</v>
      </c>
      <c r="R35" s="1">
        <f t="shared" si="33"/>
        <v>2754275</v>
      </c>
      <c r="S35" s="1">
        <f t="shared" si="33"/>
        <v>2754275</v>
      </c>
      <c r="T35" s="1">
        <f>IF(kraina5[[#This Row],[populacja_2025]]&gt;2*kraina5[[#This Row],[populacja_2013]],1,0)</f>
        <v>1</v>
      </c>
    </row>
    <row r="36" spans="1:20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  <c r="F36">
        <f>kraina5[[#This Row],[liczba_kobiet_2013]]+kraina5[[#This Row],[liczba_mez_2013]]</f>
        <v>4984142</v>
      </c>
      <c r="G36">
        <f>SUM(kraina5[[#This Row],[liczba_kobiet_2014]:[liczba_mez_2014]])</f>
        <v>1986529</v>
      </c>
      <c r="H36">
        <f>ROUNDDOWN(kraina5[[#This Row],[populacja_2014]]/kraina5[[#This Row],[populacja_2013]],4)</f>
        <v>0.39850000000000002</v>
      </c>
      <c r="I36" s="1">
        <f>IF(kraina5[[#This Row],[populacja_2014]]&gt;2*kraina5[[#This Row],[populacja_2013]],kraina5[[#This Row],[populacja_2014]],ROUNDDOWN(kraina5[[#This Row],[populacja_2014]]*kraina5[[#This Row],[tempo_wzrostu]],0))</f>
        <v>791631</v>
      </c>
      <c r="J36" s="1">
        <f t="shared" ref="J36:S36" si="34">IF(I36&gt;2*$F36,I36,ROUNDDOWN(I36*$H36,0))</f>
        <v>315464</v>
      </c>
      <c r="K36" s="1">
        <f t="shared" si="34"/>
        <v>125712</v>
      </c>
      <c r="L36" s="1">
        <f t="shared" si="34"/>
        <v>50096</v>
      </c>
      <c r="M36" s="1">
        <f t="shared" si="34"/>
        <v>19963</v>
      </c>
      <c r="N36" s="1">
        <f t="shared" si="34"/>
        <v>7955</v>
      </c>
      <c r="O36" s="1">
        <f t="shared" si="34"/>
        <v>3170</v>
      </c>
      <c r="P36" s="1">
        <f t="shared" si="34"/>
        <v>1263</v>
      </c>
      <c r="Q36" s="1">
        <f t="shared" si="34"/>
        <v>503</v>
      </c>
      <c r="R36" s="1">
        <f t="shared" si="34"/>
        <v>200</v>
      </c>
      <c r="S36" s="1">
        <f t="shared" si="34"/>
        <v>79</v>
      </c>
      <c r="T36" s="1">
        <f>IF(kraina5[[#This Row],[populacja_2025]]&gt;2*kraina5[[#This Row],[populacja_2013]],1,0)</f>
        <v>0</v>
      </c>
    </row>
    <row r="37" spans="1:20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  <c r="F37">
        <f>kraina5[[#This Row],[liczba_kobiet_2013]]+kraina5[[#This Row],[liczba_mez_2013]]</f>
        <v>3653434</v>
      </c>
      <c r="G37">
        <f>SUM(kraina5[[#This Row],[liczba_kobiet_2014]:[liczba_mez_2014]])</f>
        <v>229037</v>
      </c>
      <c r="H37">
        <f>ROUNDDOWN(kraina5[[#This Row],[populacja_2014]]/kraina5[[#This Row],[populacja_2013]],4)</f>
        <v>6.2600000000000003E-2</v>
      </c>
      <c r="I37" s="1">
        <f>IF(kraina5[[#This Row],[populacja_2014]]&gt;2*kraina5[[#This Row],[populacja_2013]],kraina5[[#This Row],[populacja_2014]],ROUNDDOWN(kraina5[[#This Row],[populacja_2014]]*kraina5[[#This Row],[tempo_wzrostu]],0))</f>
        <v>14337</v>
      </c>
      <c r="J37" s="1">
        <f t="shared" ref="J37:S37" si="35">IF(I37&gt;2*$F37,I37,ROUNDDOWN(I37*$H37,0))</f>
        <v>897</v>
      </c>
      <c r="K37" s="1">
        <f t="shared" si="35"/>
        <v>56</v>
      </c>
      <c r="L37" s="1">
        <f t="shared" si="35"/>
        <v>3</v>
      </c>
      <c r="M37" s="1">
        <f t="shared" si="35"/>
        <v>0</v>
      </c>
      <c r="N37" s="1">
        <f t="shared" si="35"/>
        <v>0</v>
      </c>
      <c r="O37" s="1">
        <f t="shared" si="35"/>
        <v>0</v>
      </c>
      <c r="P37" s="1">
        <f t="shared" si="35"/>
        <v>0</v>
      </c>
      <c r="Q37" s="1">
        <f t="shared" si="35"/>
        <v>0</v>
      </c>
      <c r="R37" s="1">
        <f t="shared" si="35"/>
        <v>0</v>
      </c>
      <c r="S37" s="1">
        <f t="shared" si="35"/>
        <v>0</v>
      </c>
      <c r="T37" s="1">
        <f>IF(kraina5[[#This Row],[populacja_2025]]&gt;2*kraina5[[#This Row],[populacja_2013]],1,0)</f>
        <v>0</v>
      </c>
    </row>
    <row r="38" spans="1:20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  <c r="F38">
        <f>kraina5[[#This Row],[liczba_kobiet_2013]]+kraina5[[#This Row],[liczba_mez_2013]]</f>
        <v>2921428</v>
      </c>
      <c r="G38">
        <f>SUM(kraina5[[#This Row],[liczba_kobiet_2014]:[liczba_mez_2014]])</f>
        <v>2383387</v>
      </c>
      <c r="H38">
        <f>ROUNDDOWN(kraina5[[#This Row],[populacja_2014]]/kraina5[[#This Row],[populacja_2013]],4)</f>
        <v>0.81579999999999997</v>
      </c>
      <c r="I38" s="1">
        <f>IF(kraina5[[#This Row],[populacja_2014]]&gt;2*kraina5[[#This Row],[populacja_2013]],kraina5[[#This Row],[populacja_2014]],ROUNDDOWN(kraina5[[#This Row],[populacja_2014]]*kraina5[[#This Row],[tempo_wzrostu]],0))</f>
        <v>1944367</v>
      </c>
      <c r="J38" s="1">
        <f t="shared" ref="J38:S38" si="36">IF(I38&gt;2*$F38,I38,ROUNDDOWN(I38*$H38,0))</f>
        <v>1586214</v>
      </c>
      <c r="K38" s="1">
        <f t="shared" si="36"/>
        <v>1294033</v>
      </c>
      <c r="L38" s="1">
        <f t="shared" si="36"/>
        <v>1055672</v>
      </c>
      <c r="M38" s="1">
        <f t="shared" si="36"/>
        <v>861217</v>
      </c>
      <c r="N38" s="1">
        <f t="shared" si="36"/>
        <v>702580</v>
      </c>
      <c r="O38" s="1">
        <f t="shared" si="36"/>
        <v>573164</v>
      </c>
      <c r="P38" s="1">
        <f t="shared" si="36"/>
        <v>467587</v>
      </c>
      <c r="Q38" s="1">
        <f t="shared" si="36"/>
        <v>381457</v>
      </c>
      <c r="R38" s="1">
        <f t="shared" si="36"/>
        <v>311192</v>
      </c>
      <c r="S38" s="1">
        <f t="shared" si="36"/>
        <v>253870</v>
      </c>
      <c r="T38" s="1">
        <f>IF(kraina5[[#This Row],[populacja_2025]]&gt;2*kraina5[[#This Row],[populacja_2013]],1,0)</f>
        <v>0</v>
      </c>
    </row>
    <row r="39" spans="1:20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  <c r="F39">
        <f>kraina5[[#This Row],[liczba_kobiet_2013]]+kraina5[[#This Row],[liczba_mez_2013]]</f>
        <v>3286803</v>
      </c>
      <c r="G39">
        <f>SUM(kraina5[[#This Row],[liczba_kobiet_2014]:[liczba_mez_2014]])</f>
        <v>877403</v>
      </c>
      <c r="H39">
        <f>ROUNDDOWN(kraina5[[#This Row],[populacja_2014]]/kraina5[[#This Row],[populacja_2013]],4)</f>
        <v>0.26690000000000003</v>
      </c>
      <c r="I39" s="1">
        <f>IF(kraina5[[#This Row],[populacja_2014]]&gt;2*kraina5[[#This Row],[populacja_2013]],kraina5[[#This Row],[populacja_2014]],ROUNDDOWN(kraina5[[#This Row],[populacja_2014]]*kraina5[[#This Row],[tempo_wzrostu]],0))</f>
        <v>234178</v>
      </c>
      <c r="J39" s="1">
        <f t="shared" ref="J39:S39" si="37">IF(I39&gt;2*$F39,I39,ROUNDDOWN(I39*$H39,0))</f>
        <v>62502</v>
      </c>
      <c r="K39" s="1">
        <f t="shared" si="37"/>
        <v>16681</v>
      </c>
      <c r="L39" s="1">
        <f t="shared" si="37"/>
        <v>4452</v>
      </c>
      <c r="M39" s="1">
        <f t="shared" si="37"/>
        <v>1188</v>
      </c>
      <c r="N39" s="1">
        <f t="shared" si="37"/>
        <v>317</v>
      </c>
      <c r="O39" s="1">
        <f t="shared" si="37"/>
        <v>84</v>
      </c>
      <c r="P39" s="1">
        <f t="shared" si="37"/>
        <v>22</v>
      </c>
      <c r="Q39" s="1">
        <f t="shared" si="37"/>
        <v>5</v>
      </c>
      <c r="R39" s="1">
        <f t="shared" si="37"/>
        <v>1</v>
      </c>
      <c r="S39" s="1">
        <f t="shared" si="37"/>
        <v>0</v>
      </c>
      <c r="T39" s="1">
        <f>IF(kraina5[[#This Row],[populacja_2025]]&gt;2*kraina5[[#This Row],[populacja_2013]],1,0)</f>
        <v>0</v>
      </c>
    </row>
    <row r="40" spans="1:20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  <c r="F40">
        <f>kraina5[[#This Row],[liczba_kobiet_2013]]+kraina5[[#This Row],[liczba_mez_2013]]</f>
        <v>1063625</v>
      </c>
      <c r="G40">
        <f>SUM(kraina5[[#This Row],[liczba_kobiet_2014]:[liczba_mez_2014]])</f>
        <v>5958241</v>
      </c>
      <c r="H40">
        <f>ROUNDDOWN(kraina5[[#This Row],[populacja_2014]]/kraina5[[#This Row],[populacja_2013]],4)</f>
        <v>5.6017999999999999</v>
      </c>
      <c r="I40" s="1">
        <f>IF(kraina5[[#This Row],[populacja_2014]]&gt;2*kraina5[[#This Row],[populacja_2013]],kraina5[[#This Row],[populacja_2014]],ROUNDDOWN(kraina5[[#This Row],[populacja_2014]]*kraina5[[#This Row],[tempo_wzrostu]],0))</f>
        <v>5958241</v>
      </c>
      <c r="J40" s="1">
        <f t="shared" ref="J40:S40" si="38">IF(I40&gt;2*$F40,I40,ROUNDDOWN(I40*$H40,0))</f>
        <v>5958241</v>
      </c>
      <c r="K40" s="1">
        <f t="shared" si="38"/>
        <v>5958241</v>
      </c>
      <c r="L40" s="1">
        <f t="shared" si="38"/>
        <v>5958241</v>
      </c>
      <c r="M40" s="1">
        <f t="shared" si="38"/>
        <v>5958241</v>
      </c>
      <c r="N40" s="1">
        <f t="shared" si="38"/>
        <v>5958241</v>
      </c>
      <c r="O40" s="1">
        <f t="shared" si="38"/>
        <v>5958241</v>
      </c>
      <c r="P40" s="1">
        <f t="shared" si="38"/>
        <v>5958241</v>
      </c>
      <c r="Q40" s="1">
        <f t="shared" si="38"/>
        <v>5958241</v>
      </c>
      <c r="R40" s="1">
        <f t="shared" si="38"/>
        <v>5958241</v>
      </c>
      <c r="S40" s="1">
        <f t="shared" si="38"/>
        <v>5958241</v>
      </c>
      <c r="T40" s="1">
        <f>IF(kraina5[[#This Row],[populacja_2025]]&gt;2*kraina5[[#This Row],[populacja_2013]],1,0)</f>
        <v>1</v>
      </c>
    </row>
    <row r="41" spans="1:20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  <c r="F41">
        <f>kraina5[[#This Row],[liczba_kobiet_2013]]+kraina5[[#This Row],[liczba_mez_2013]]</f>
        <v>2270638</v>
      </c>
      <c r="G41">
        <f>SUM(kraina5[[#This Row],[liczba_kobiet_2014]:[liczba_mez_2014]])</f>
        <v>5149121</v>
      </c>
      <c r="H41">
        <f>ROUNDDOWN(kraina5[[#This Row],[populacja_2014]]/kraina5[[#This Row],[populacja_2013]],4)</f>
        <v>2.2675999999999998</v>
      </c>
      <c r="I41" s="1">
        <f>IF(kraina5[[#This Row],[populacja_2014]]&gt;2*kraina5[[#This Row],[populacja_2013]],kraina5[[#This Row],[populacja_2014]],ROUNDDOWN(kraina5[[#This Row],[populacja_2014]]*kraina5[[#This Row],[tempo_wzrostu]],0))</f>
        <v>5149121</v>
      </c>
      <c r="J41" s="1">
        <f t="shared" ref="J41:S41" si="39">IF(I41&gt;2*$F41,I41,ROUNDDOWN(I41*$H41,0))</f>
        <v>5149121</v>
      </c>
      <c r="K41" s="1">
        <f t="shared" si="39"/>
        <v>5149121</v>
      </c>
      <c r="L41" s="1">
        <f t="shared" si="39"/>
        <v>5149121</v>
      </c>
      <c r="M41" s="1">
        <f t="shared" si="39"/>
        <v>5149121</v>
      </c>
      <c r="N41" s="1">
        <f t="shared" si="39"/>
        <v>5149121</v>
      </c>
      <c r="O41" s="1">
        <f t="shared" si="39"/>
        <v>5149121</v>
      </c>
      <c r="P41" s="1">
        <f t="shared" si="39"/>
        <v>5149121</v>
      </c>
      <c r="Q41" s="1">
        <f t="shared" si="39"/>
        <v>5149121</v>
      </c>
      <c r="R41" s="1">
        <f t="shared" si="39"/>
        <v>5149121</v>
      </c>
      <c r="S41" s="1">
        <f t="shared" si="39"/>
        <v>5149121</v>
      </c>
      <c r="T41" s="1">
        <f>IF(kraina5[[#This Row],[populacja_2025]]&gt;2*kraina5[[#This Row],[populacja_2013]],1,0)</f>
        <v>1</v>
      </c>
    </row>
    <row r="42" spans="1:20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  <c r="F42">
        <f>kraina5[[#This Row],[liczba_kobiet_2013]]+kraina5[[#This Row],[liczba_mez_2013]]</f>
        <v>4318105</v>
      </c>
      <c r="G42">
        <f>SUM(kraina5[[#This Row],[liczba_kobiet_2014]:[liczba_mez_2014]])</f>
        <v>29991</v>
      </c>
      <c r="H42">
        <f>ROUNDDOWN(kraina5[[#This Row],[populacja_2014]]/kraina5[[#This Row],[populacja_2013]],4)</f>
        <v>6.8999999999999999E-3</v>
      </c>
      <c r="I42" s="1">
        <f>IF(kraina5[[#This Row],[populacja_2014]]&gt;2*kraina5[[#This Row],[populacja_2013]],kraina5[[#This Row],[populacja_2014]],ROUNDDOWN(kraina5[[#This Row],[populacja_2014]]*kraina5[[#This Row],[tempo_wzrostu]],0))</f>
        <v>206</v>
      </c>
      <c r="J42" s="1">
        <f t="shared" ref="J42:S42" si="40">IF(I42&gt;2*$F42,I42,ROUNDDOWN(I42*$H42,0))</f>
        <v>1</v>
      </c>
      <c r="K42" s="1">
        <f t="shared" si="40"/>
        <v>0</v>
      </c>
      <c r="L42" s="1">
        <f t="shared" si="40"/>
        <v>0</v>
      </c>
      <c r="M42" s="1">
        <f t="shared" si="40"/>
        <v>0</v>
      </c>
      <c r="N42" s="1">
        <f t="shared" si="40"/>
        <v>0</v>
      </c>
      <c r="O42" s="1">
        <f t="shared" si="40"/>
        <v>0</v>
      </c>
      <c r="P42" s="1">
        <f t="shared" si="40"/>
        <v>0</v>
      </c>
      <c r="Q42" s="1">
        <f t="shared" si="40"/>
        <v>0</v>
      </c>
      <c r="R42" s="1">
        <f t="shared" si="40"/>
        <v>0</v>
      </c>
      <c r="S42" s="1">
        <f t="shared" si="40"/>
        <v>0</v>
      </c>
      <c r="T42" s="1">
        <f>IF(kraina5[[#This Row],[populacja_2025]]&gt;2*kraina5[[#This Row],[populacja_2013]],1,0)</f>
        <v>0</v>
      </c>
    </row>
    <row r="43" spans="1:20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  <c r="F43">
        <f>kraina5[[#This Row],[liczba_kobiet_2013]]+kraina5[[#This Row],[liczba_mez_2013]]</f>
        <v>4544199</v>
      </c>
      <c r="G43">
        <f>SUM(kraina5[[#This Row],[liczba_kobiet_2014]:[liczba_mez_2014]])</f>
        <v>726835</v>
      </c>
      <c r="H43">
        <f>ROUNDDOWN(kraina5[[#This Row],[populacja_2014]]/kraina5[[#This Row],[populacja_2013]],4)</f>
        <v>0.15989999999999999</v>
      </c>
      <c r="I43" s="1">
        <f>IF(kraina5[[#This Row],[populacja_2014]]&gt;2*kraina5[[#This Row],[populacja_2013]],kraina5[[#This Row],[populacja_2014]],ROUNDDOWN(kraina5[[#This Row],[populacja_2014]]*kraina5[[#This Row],[tempo_wzrostu]],0))</f>
        <v>116220</v>
      </c>
      <c r="J43" s="1">
        <f t="shared" ref="J43:S43" si="41">IF(I43&gt;2*$F43,I43,ROUNDDOWN(I43*$H43,0))</f>
        <v>18583</v>
      </c>
      <c r="K43" s="1">
        <f t="shared" si="41"/>
        <v>2971</v>
      </c>
      <c r="L43" s="1">
        <f t="shared" si="41"/>
        <v>475</v>
      </c>
      <c r="M43" s="1">
        <f t="shared" si="41"/>
        <v>75</v>
      </c>
      <c r="N43" s="1">
        <f t="shared" si="41"/>
        <v>11</v>
      </c>
      <c r="O43" s="1">
        <f t="shared" si="41"/>
        <v>1</v>
      </c>
      <c r="P43" s="1">
        <f t="shared" si="41"/>
        <v>0</v>
      </c>
      <c r="Q43" s="1">
        <f t="shared" si="41"/>
        <v>0</v>
      </c>
      <c r="R43" s="1">
        <f t="shared" si="41"/>
        <v>0</v>
      </c>
      <c r="S43" s="1">
        <f t="shared" si="41"/>
        <v>0</v>
      </c>
      <c r="T43" s="1">
        <f>IF(kraina5[[#This Row],[populacja_2025]]&gt;2*kraina5[[#This Row],[populacja_2013]],1,0)</f>
        <v>0</v>
      </c>
    </row>
    <row r="44" spans="1:20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  <c r="F44">
        <f>kraina5[[#This Row],[liczba_kobiet_2013]]+kraina5[[#This Row],[liczba_mez_2013]]</f>
        <v>5125651</v>
      </c>
      <c r="G44">
        <f>SUM(kraina5[[#This Row],[liczba_kobiet_2014]:[liczba_mez_2014]])</f>
        <v>75752</v>
      </c>
      <c r="H44">
        <f>ROUNDDOWN(kraina5[[#This Row],[populacja_2014]]/kraina5[[#This Row],[populacja_2013]],4)</f>
        <v>1.47E-2</v>
      </c>
      <c r="I44" s="1">
        <f>IF(kraina5[[#This Row],[populacja_2014]]&gt;2*kraina5[[#This Row],[populacja_2013]],kraina5[[#This Row],[populacja_2014]],ROUNDDOWN(kraina5[[#This Row],[populacja_2014]]*kraina5[[#This Row],[tempo_wzrostu]],0))</f>
        <v>1113</v>
      </c>
      <c r="J44" s="1">
        <f t="shared" ref="J44:S44" si="42">IF(I44&gt;2*$F44,I44,ROUNDDOWN(I44*$H44,0))</f>
        <v>16</v>
      </c>
      <c r="K44" s="1">
        <f t="shared" si="42"/>
        <v>0</v>
      </c>
      <c r="L44" s="1">
        <f t="shared" si="42"/>
        <v>0</v>
      </c>
      <c r="M44" s="1">
        <f t="shared" si="42"/>
        <v>0</v>
      </c>
      <c r="N44" s="1">
        <f t="shared" si="42"/>
        <v>0</v>
      </c>
      <c r="O44" s="1">
        <f t="shared" si="42"/>
        <v>0</v>
      </c>
      <c r="P44" s="1">
        <f t="shared" si="42"/>
        <v>0</v>
      </c>
      <c r="Q44" s="1">
        <f t="shared" si="42"/>
        <v>0</v>
      </c>
      <c r="R44" s="1">
        <f t="shared" si="42"/>
        <v>0</v>
      </c>
      <c r="S44" s="1">
        <f t="shared" si="42"/>
        <v>0</v>
      </c>
      <c r="T44" s="1">
        <f>IF(kraina5[[#This Row],[populacja_2025]]&gt;2*kraina5[[#This Row],[populacja_2013]],1,0)</f>
        <v>0</v>
      </c>
    </row>
    <row r="45" spans="1:20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  <c r="F45">
        <f>kraina5[[#This Row],[liczba_kobiet_2013]]+kraina5[[#This Row],[liczba_mez_2013]]</f>
        <v>1673241</v>
      </c>
      <c r="G45">
        <f>SUM(kraina5[[#This Row],[liczba_kobiet_2014]:[liczba_mez_2014]])</f>
        <v>2023958</v>
      </c>
      <c r="H45">
        <f>ROUNDDOWN(kraina5[[#This Row],[populacja_2014]]/kraina5[[#This Row],[populacja_2013]],4)</f>
        <v>1.2096</v>
      </c>
      <c r="I45" s="1">
        <f>IF(kraina5[[#This Row],[populacja_2014]]&gt;2*kraina5[[#This Row],[populacja_2013]],kraina5[[#This Row],[populacja_2014]],ROUNDDOWN(kraina5[[#This Row],[populacja_2014]]*kraina5[[#This Row],[tempo_wzrostu]],0))</f>
        <v>2448179</v>
      </c>
      <c r="J45" s="1">
        <f t="shared" ref="J45:S45" si="43">IF(I45&gt;2*$F45,I45,ROUNDDOWN(I45*$H45,0))</f>
        <v>2961317</v>
      </c>
      <c r="K45" s="1">
        <f t="shared" si="43"/>
        <v>3582009</v>
      </c>
      <c r="L45" s="1">
        <f t="shared" si="43"/>
        <v>3582009</v>
      </c>
      <c r="M45" s="1">
        <f t="shared" si="43"/>
        <v>3582009</v>
      </c>
      <c r="N45" s="1">
        <f t="shared" si="43"/>
        <v>3582009</v>
      </c>
      <c r="O45" s="1">
        <f t="shared" si="43"/>
        <v>3582009</v>
      </c>
      <c r="P45" s="1">
        <f t="shared" si="43"/>
        <v>3582009</v>
      </c>
      <c r="Q45" s="1">
        <f t="shared" si="43"/>
        <v>3582009</v>
      </c>
      <c r="R45" s="1">
        <f t="shared" si="43"/>
        <v>3582009</v>
      </c>
      <c r="S45" s="1">
        <f t="shared" si="43"/>
        <v>3582009</v>
      </c>
      <c r="T45" s="1">
        <f>IF(kraina5[[#This Row],[populacja_2025]]&gt;2*kraina5[[#This Row],[populacja_2013]],1,0)</f>
        <v>1</v>
      </c>
    </row>
    <row r="46" spans="1:20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  <c r="F46">
        <f>kraina5[[#This Row],[liczba_kobiet_2013]]+kraina5[[#This Row],[liczba_mez_2013]]</f>
        <v>2257874</v>
      </c>
      <c r="G46">
        <f>SUM(kraina5[[#This Row],[liczba_kobiet_2014]:[liczba_mez_2014]])</f>
        <v>3261598</v>
      </c>
      <c r="H46">
        <f>ROUNDDOWN(kraina5[[#This Row],[populacja_2014]]/kraina5[[#This Row],[populacja_2013]],4)</f>
        <v>1.4444999999999999</v>
      </c>
      <c r="I46" s="1">
        <f>IF(kraina5[[#This Row],[populacja_2014]]&gt;2*kraina5[[#This Row],[populacja_2013]],kraina5[[#This Row],[populacja_2014]],ROUNDDOWN(kraina5[[#This Row],[populacja_2014]]*kraina5[[#This Row],[tempo_wzrostu]],0))</f>
        <v>4711378</v>
      </c>
      <c r="J46" s="1">
        <f t="shared" ref="J46:S46" si="44">IF(I46&gt;2*$F46,I46,ROUNDDOWN(I46*$H46,0))</f>
        <v>4711378</v>
      </c>
      <c r="K46" s="1">
        <f t="shared" si="44"/>
        <v>4711378</v>
      </c>
      <c r="L46" s="1">
        <f t="shared" si="44"/>
        <v>4711378</v>
      </c>
      <c r="M46" s="1">
        <f t="shared" si="44"/>
        <v>4711378</v>
      </c>
      <c r="N46" s="1">
        <f t="shared" si="44"/>
        <v>4711378</v>
      </c>
      <c r="O46" s="1">
        <f t="shared" si="44"/>
        <v>4711378</v>
      </c>
      <c r="P46" s="1">
        <f t="shared" si="44"/>
        <v>4711378</v>
      </c>
      <c r="Q46" s="1">
        <f t="shared" si="44"/>
        <v>4711378</v>
      </c>
      <c r="R46" s="1">
        <f t="shared" si="44"/>
        <v>4711378</v>
      </c>
      <c r="S46" s="1">
        <f t="shared" si="44"/>
        <v>4711378</v>
      </c>
      <c r="T46" s="1">
        <f>IF(kraina5[[#This Row],[populacja_2025]]&gt;2*kraina5[[#This Row],[populacja_2013]],1,0)</f>
        <v>1</v>
      </c>
    </row>
    <row r="47" spans="1:20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  <c r="F47">
        <f>kraina5[[#This Row],[liczba_kobiet_2013]]+kraina5[[#This Row],[liczba_mez_2013]]</f>
        <v>286380</v>
      </c>
      <c r="G47">
        <f>SUM(kraina5[[#This Row],[liczba_kobiet_2014]:[liczba_mez_2014]])</f>
        <v>5502111</v>
      </c>
      <c r="H47">
        <f>ROUNDDOWN(kraina5[[#This Row],[populacja_2014]]/kraina5[[#This Row],[populacja_2013]],4)</f>
        <v>19.212599999999998</v>
      </c>
      <c r="I47" s="1">
        <f>IF(kraina5[[#This Row],[populacja_2014]]&gt;2*kraina5[[#This Row],[populacja_2013]],kraina5[[#This Row],[populacja_2014]],ROUNDDOWN(kraina5[[#This Row],[populacja_2014]]*kraina5[[#This Row],[tempo_wzrostu]],0))</f>
        <v>5502111</v>
      </c>
      <c r="J47" s="1">
        <f t="shared" ref="J47:S47" si="45">IF(I47&gt;2*$F47,I47,ROUNDDOWN(I47*$H47,0))</f>
        <v>5502111</v>
      </c>
      <c r="K47" s="1">
        <f t="shared" si="45"/>
        <v>5502111</v>
      </c>
      <c r="L47" s="1">
        <f t="shared" si="45"/>
        <v>5502111</v>
      </c>
      <c r="M47" s="1">
        <f t="shared" si="45"/>
        <v>5502111</v>
      </c>
      <c r="N47" s="1">
        <f t="shared" si="45"/>
        <v>5502111</v>
      </c>
      <c r="O47" s="1">
        <f t="shared" si="45"/>
        <v>5502111</v>
      </c>
      <c r="P47" s="1">
        <f t="shared" si="45"/>
        <v>5502111</v>
      </c>
      <c r="Q47" s="1">
        <f t="shared" si="45"/>
        <v>5502111</v>
      </c>
      <c r="R47" s="1">
        <f t="shared" si="45"/>
        <v>5502111</v>
      </c>
      <c r="S47" s="1">
        <f t="shared" si="45"/>
        <v>5502111</v>
      </c>
      <c r="T47" s="1">
        <f>IF(kraina5[[#This Row],[populacja_2025]]&gt;2*kraina5[[#This Row],[populacja_2013]],1,0)</f>
        <v>1</v>
      </c>
    </row>
    <row r="48" spans="1:20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  <c r="F48">
        <f>kraina5[[#This Row],[liczba_kobiet_2013]]+kraina5[[#This Row],[liczba_mez_2013]]</f>
        <v>2503710</v>
      </c>
      <c r="G48">
        <f>SUM(kraina5[[#This Row],[liczba_kobiet_2014]:[liczba_mez_2014]])</f>
        <v>5389136</v>
      </c>
      <c r="H48">
        <f>ROUNDDOWN(kraina5[[#This Row],[populacja_2014]]/kraina5[[#This Row],[populacja_2013]],4)</f>
        <v>2.1524000000000001</v>
      </c>
      <c r="I48" s="1">
        <f>IF(kraina5[[#This Row],[populacja_2014]]&gt;2*kraina5[[#This Row],[populacja_2013]],kraina5[[#This Row],[populacja_2014]],ROUNDDOWN(kraina5[[#This Row],[populacja_2014]]*kraina5[[#This Row],[tempo_wzrostu]],0))</f>
        <v>5389136</v>
      </c>
      <c r="J48" s="1">
        <f t="shared" ref="J48:S48" si="46">IF(I48&gt;2*$F48,I48,ROUNDDOWN(I48*$H48,0))</f>
        <v>5389136</v>
      </c>
      <c r="K48" s="1">
        <f t="shared" si="46"/>
        <v>5389136</v>
      </c>
      <c r="L48" s="1">
        <f t="shared" si="46"/>
        <v>5389136</v>
      </c>
      <c r="M48" s="1">
        <f t="shared" si="46"/>
        <v>5389136</v>
      </c>
      <c r="N48" s="1">
        <f t="shared" si="46"/>
        <v>5389136</v>
      </c>
      <c r="O48" s="1">
        <f t="shared" si="46"/>
        <v>5389136</v>
      </c>
      <c r="P48" s="1">
        <f t="shared" si="46"/>
        <v>5389136</v>
      </c>
      <c r="Q48" s="1">
        <f t="shared" si="46"/>
        <v>5389136</v>
      </c>
      <c r="R48" s="1">
        <f t="shared" si="46"/>
        <v>5389136</v>
      </c>
      <c r="S48" s="1">
        <f t="shared" si="46"/>
        <v>5389136</v>
      </c>
      <c r="T48" s="1">
        <f>IF(kraina5[[#This Row],[populacja_2025]]&gt;2*kraina5[[#This Row],[populacja_2013]],1,0)</f>
        <v>1</v>
      </c>
    </row>
    <row r="49" spans="1:20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  <c r="F49">
        <f>kraina5[[#This Row],[liczba_kobiet_2013]]+kraina5[[#This Row],[liczba_mez_2013]]</f>
        <v>5369399</v>
      </c>
      <c r="G49">
        <f>SUM(kraina5[[#This Row],[liczba_kobiet_2014]:[liczba_mez_2014]])</f>
        <v>5688389</v>
      </c>
      <c r="H49">
        <f>ROUNDDOWN(kraina5[[#This Row],[populacja_2014]]/kraina5[[#This Row],[populacja_2013]],4)</f>
        <v>1.0593999999999999</v>
      </c>
      <c r="I49" s="1">
        <f>IF(kraina5[[#This Row],[populacja_2014]]&gt;2*kraina5[[#This Row],[populacja_2013]],kraina5[[#This Row],[populacja_2014]],ROUNDDOWN(kraina5[[#This Row],[populacja_2014]]*kraina5[[#This Row],[tempo_wzrostu]],0))</f>
        <v>6026279</v>
      </c>
      <c r="J49" s="1">
        <f t="shared" ref="J49:S49" si="47">IF(I49&gt;2*$F49,I49,ROUNDDOWN(I49*$H49,0))</f>
        <v>6384239</v>
      </c>
      <c r="K49" s="1">
        <f t="shared" si="47"/>
        <v>6763462</v>
      </c>
      <c r="L49" s="1">
        <f t="shared" si="47"/>
        <v>7165211</v>
      </c>
      <c r="M49" s="1">
        <f t="shared" si="47"/>
        <v>7590824</v>
      </c>
      <c r="N49" s="1">
        <f t="shared" si="47"/>
        <v>8041718</v>
      </c>
      <c r="O49" s="1">
        <f t="shared" si="47"/>
        <v>8519396</v>
      </c>
      <c r="P49" s="1">
        <f t="shared" si="47"/>
        <v>9025448</v>
      </c>
      <c r="Q49" s="1">
        <f t="shared" si="47"/>
        <v>9561559</v>
      </c>
      <c r="R49" s="1">
        <f t="shared" si="47"/>
        <v>10129515</v>
      </c>
      <c r="S49" s="1">
        <f t="shared" si="47"/>
        <v>10731208</v>
      </c>
      <c r="T49" s="1">
        <f>IF(kraina5[[#This Row],[populacja_2025]]&gt;2*kraina5[[#This Row],[populacja_2013]],1,0)</f>
        <v>0</v>
      </c>
    </row>
    <row r="50" spans="1:20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  <c r="F50">
        <f>kraina5[[#This Row],[liczba_kobiet_2013]]+kraina5[[#This Row],[liczba_mez_2013]]</f>
        <v>516909</v>
      </c>
      <c r="G50">
        <f>SUM(kraina5[[#This Row],[liczba_kobiet_2014]:[liczba_mez_2014]])</f>
        <v>6097264</v>
      </c>
      <c r="H50">
        <f>ROUNDDOWN(kraina5[[#This Row],[populacja_2014]]/kraina5[[#This Row],[populacja_2013]],4)</f>
        <v>11.7956</v>
      </c>
      <c r="I50" s="1">
        <f>IF(kraina5[[#This Row],[populacja_2014]]&gt;2*kraina5[[#This Row],[populacja_2013]],kraina5[[#This Row],[populacja_2014]],ROUNDDOWN(kraina5[[#This Row],[populacja_2014]]*kraina5[[#This Row],[tempo_wzrostu]],0))</f>
        <v>6097264</v>
      </c>
      <c r="J50" s="1">
        <f t="shared" ref="J50:S50" si="48">IF(I50&gt;2*$F50,I50,ROUNDDOWN(I50*$H50,0))</f>
        <v>6097264</v>
      </c>
      <c r="K50" s="1">
        <f t="shared" si="48"/>
        <v>6097264</v>
      </c>
      <c r="L50" s="1">
        <f t="shared" si="48"/>
        <v>6097264</v>
      </c>
      <c r="M50" s="1">
        <f t="shared" si="48"/>
        <v>6097264</v>
      </c>
      <c r="N50" s="1">
        <f t="shared" si="48"/>
        <v>6097264</v>
      </c>
      <c r="O50" s="1">
        <f t="shared" si="48"/>
        <v>6097264</v>
      </c>
      <c r="P50" s="1">
        <f t="shared" si="48"/>
        <v>6097264</v>
      </c>
      <c r="Q50" s="1">
        <f t="shared" si="48"/>
        <v>6097264</v>
      </c>
      <c r="R50" s="1">
        <f t="shared" si="48"/>
        <v>6097264</v>
      </c>
      <c r="S50" s="1">
        <f t="shared" si="48"/>
        <v>6097264</v>
      </c>
      <c r="T50" s="1">
        <f>IF(kraina5[[#This Row],[populacja_2025]]&gt;2*kraina5[[#This Row],[populacja_2013]],1,0)</f>
        <v>1</v>
      </c>
    </row>
    <row r="51" spans="1:20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  <c r="F51">
        <f>kraina5[[#This Row],[liczba_kobiet_2013]]+kraina5[[#This Row],[liczba_mez_2013]]</f>
        <v>5119414</v>
      </c>
      <c r="G51">
        <f>SUM(kraina5[[#This Row],[liczba_kobiet_2014]:[liczba_mez_2014]])</f>
        <v>3649895</v>
      </c>
      <c r="H51">
        <f>ROUNDDOWN(kraina5[[#This Row],[populacja_2014]]/kraina5[[#This Row],[populacja_2013]],4)</f>
        <v>0.71289999999999998</v>
      </c>
      <c r="I51" s="1">
        <f>IF(kraina5[[#This Row],[populacja_2014]]&gt;2*kraina5[[#This Row],[populacja_2013]],kraina5[[#This Row],[populacja_2014]],ROUNDDOWN(kraina5[[#This Row],[populacja_2014]]*kraina5[[#This Row],[tempo_wzrostu]],0))</f>
        <v>2602010</v>
      </c>
      <c r="J51" s="1">
        <f t="shared" ref="J51:S51" si="49">IF(I51&gt;2*$F51,I51,ROUNDDOWN(I51*$H51,0))</f>
        <v>1854972</v>
      </c>
      <c r="K51" s="1">
        <f t="shared" si="49"/>
        <v>1322409</v>
      </c>
      <c r="L51" s="1">
        <f t="shared" si="49"/>
        <v>942745</v>
      </c>
      <c r="M51" s="1">
        <f t="shared" si="49"/>
        <v>672082</v>
      </c>
      <c r="N51" s="1">
        <f t="shared" si="49"/>
        <v>479127</v>
      </c>
      <c r="O51" s="1">
        <f t="shared" si="49"/>
        <v>341569</v>
      </c>
      <c r="P51" s="1">
        <f t="shared" si="49"/>
        <v>243504</v>
      </c>
      <c r="Q51" s="1">
        <f t="shared" si="49"/>
        <v>173594</v>
      </c>
      <c r="R51" s="1">
        <f t="shared" si="49"/>
        <v>123755</v>
      </c>
      <c r="S51" s="1">
        <f t="shared" si="49"/>
        <v>88224</v>
      </c>
      <c r="T51" s="1">
        <f>IF(kraina5[[#This Row],[populacja_2025]]&gt;2*kraina5[[#This Row],[populacja_2013]],1,0)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F16B-7CCE-43E7-B4EE-F826CB6E191A}">
  <dimension ref="A1:E51"/>
  <sheetViews>
    <sheetView workbookViewId="0">
      <selection activeCell="F2" sqref="F2"/>
    </sheetView>
  </sheetViews>
  <sheetFormatPr defaultRowHeight="15" x14ac:dyDescent="0.25"/>
  <cols>
    <col min="1" max="1" width="16" bestFit="1" customWidth="1"/>
    <col min="2" max="2" width="20.28515625" bestFit="1" customWidth="1"/>
    <col min="3" max="3" width="18.140625" bestFit="1" customWidth="1"/>
    <col min="4" max="4" width="20.28515625" bestFit="1" customWidth="1"/>
    <col min="5" max="5" width="18.140625" bestFit="1" customWidth="1"/>
  </cols>
  <sheetData>
    <row r="1" spans="1: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</row>
    <row r="3" spans="1:5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</row>
    <row r="4" spans="1:5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</row>
    <row r="5" spans="1:5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</row>
    <row r="6" spans="1:5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</row>
    <row r="7" spans="1:5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</row>
    <row r="8" spans="1:5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</row>
    <row r="9" spans="1:5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</row>
    <row r="10" spans="1:5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</row>
    <row r="11" spans="1:5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</row>
    <row r="12" spans="1:5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</row>
    <row r="13" spans="1:5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</row>
    <row r="14" spans="1:5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</row>
    <row r="15" spans="1:5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</row>
    <row r="16" spans="1:5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</row>
    <row r="17" spans="1:5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</row>
    <row r="18" spans="1:5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</row>
    <row r="19" spans="1:5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</row>
    <row r="20" spans="1:5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</row>
    <row r="21" spans="1:5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</row>
    <row r="22" spans="1:5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</row>
    <row r="23" spans="1:5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</row>
    <row r="24" spans="1:5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</row>
    <row r="25" spans="1:5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</row>
    <row r="26" spans="1:5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</row>
    <row r="27" spans="1:5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</row>
    <row r="28" spans="1:5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</row>
    <row r="29" spans="1:5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</row>
    <row r="30" spans="1:5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</row>
    <row r="31" spans="1:5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</row>
    <row r="32" spans="1:5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</row>
    <row r="33" spans="1:5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</row>
    <row r="34" spans="1:5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</row>
    <row r="35" spans="1:5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</row>
    <row r="36" spans="1:5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</row>
    <row r="37" spans="1:5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</row>
    <row r="38" spans="1:5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</row>
    <row r="39" spans="1:5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</row>
    <row r="40" spans="1:5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</row>
    <row r="41" spans="1:5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</row>
    <row r="42" spans="1:5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</row>
    <row r="43" spans="1:5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</row>
    <row r="44" spans="1:5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</row>
    <row r="45" spans="1:5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</row>
    <row r="46" spans="1:5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</row>
    <row r="47" spans="1:5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</row>
    <row r="48" spans="1:5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</row>
    <row r="49" spans="1:5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</row>
    <row r="50" spans="1:5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</row>
    <row r="51" spans="1:5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9F087-A6AF-4E9E-9532-BD11E19F9F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5.1</vt:lpstr>
      <vt:lpstr>5.2</vt:lpstr>
      <vt:lpstr>5.3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2026-02-03T14:51:19Z</dcterms:modified>
</cp:coreProperties>
</file>