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1PRCZERWIEC\"/>
    </mc:Choice>
  </mc:AlternateContent>
  <xr:revisionPtr revIDLastSave="0" documentId="13_ncr:1_{3753E3FA-3C86-48D8-94A7-22FFAC70DF7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dane" sheetId="1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5" l="1"/>
  <c r="G4" i="5"/>
  <c r="G3" i="5"/>
  <c r="H3" i="5" s="1"/>
  <c r="H2" i="5"/>
  <c r="F2" i="5"/>
  <c r="F614" i="5"/>
  <c r="F619" i="5"/>
  <c r="F703" i="5"/>
  <c r="B732" i="5"/>
  <c r="F732" i="5" s="1"/>
  <c r="B731" i="5"/>
  <c r="F731" i="5" s="1"/>
  <c r="B730" i="5"/>
  <c r="E730" i="5" s="1"/>
  <c r="B729" i="5"/>
  <c r="E729" i="5" s="1"/>
  <c r="B728" i="5"/>
  <c r="F728" i="5" s="1"/>
  <c r="B727" i="5"/>
  <c r="F727" i="5" s="1"/>
  <c r="B726" i="5"/>
  <c r="F726" i="5" s="1"/>
  <c r="B725" i="5"/>
  <c r="F725" i="5" s="1"/>
  <c r="B724" i="5"/>
  <c r="F724" i="5" s="1"/>
  <c r="B723" i="5"/>
  <c r="E723" i="5" s="1"/>
  <c r="B722" i="5"/>
  <c r="F722" i="5" s="1"/>
  <c r="B721" i="5"/>
  <c r="F721" i="5" s="1"/>
  <c r="B720" i="5"/>
  <c r="F720" i="5" s="1"/>
  <c r="B719" i="5"/>
  <c r="F719" i="5" s="1"/>
  <c r="B718" i="5"/>
  <c r="F718" i="5" s="1"/>
  <c r="B717" i="5"/>
  <c r="F717" i="5" s="1"/>
  <c r="B716" i="5"/>
  <c r="E716" i="5" s="1"/>
  <c r="B715" i="5"/>
  <c r="E715" i="5" s="1"/>
  <c r="B714" i="5"/>
  <c r="F714" i="5" s="1"/>
  <c r="B713" i="5"/>
  <c r="F713" i="5" s="1"/>
  <c r="B712" i="5"/>
  <c r="F712" i="5" s="1"/>
  <c r="B711" i="5"/>
  <c r="F711" i="5" s="1"/>
  <c r="B710" i="5"/>
  <c r="F710" i="5" s="1"/>
  <c r="B709" i="5"/>
  <c r="E709" i="5" s="1"/>
  <c r="B708" i="5"/>
  <c r="F708" i="5" s="1"/>
  <c r="B707" i="5"/>
  <c r="F707" i="5" s="1"/>
  <c r="B706" i="5"/>
  <c r="F706" i="5" s="1"/>
  <c r="B705" i="5"/>
  <c r="F705" i="5" s="1"/>
  <c r="B704" i="5"/>
  <c r="F704" i="5" s="1"/>
  <c r="B703" i="5"/>
  <c r="B702" i="5"/>
  <c r="E702" i="5" s="1"/>
  <c r="B701" i="5"/>
  <c r="F701" i="5" s="1"/>
  <c r="B700" i="5"/>
  <c r="F700" i="5" s="1"/>
  <c r="B699" i="5"/>
  <c r="F699" i="5" s="1"/>
  <c r="B698" i="5"/>
  <c r="F698" i="5" s="1"/>
  <c r="B697" i="5"/>
  <c r="F697" i="5" s="1"/>
  <c r="B696" i="5"/>
  <c r="F696" i="5" s="1"/>
  <c r="B695" i="5"/>
  <c r="E695" i="5" s="1"/>
  <c r="B694" i="5"/>
  <c r="F694" i="5" s="1"/>
  <c r="B693" i="5"/>
  <c r="F693" i="5" s="1"/>
  <c r="B692" i="5"/>
  <c r="F692" i="5" s="1"/>
  <c r="B691" i="5"/>
  <c r="F691" i="5" s="1"/>
  <c r="B690" i="5"/>
  <c r="F690" i="5" s="1"/>
  <c r="B689" i="5"/>
  <c r="F689" i="5" s="1"/>
  <c r="B688" i="5"/>
  <c r="E688" i="5" s="1"/>
  <c r="B687" i="5"/>
  <c r="E687" i="5" s="1"/>
  <c r="B686" i="5"/>
  <c r="F686" i="5" s="1"/>
  <c r="B685" i="5"/>
  <c r="F685" i="5" s="1"/>
  <c r="B684" i="5"/>
  <c r="F684" i="5" s="1"/>
  <c r="B683" i="5"/>
  <c r="F683" i="5" s="1"/>
  <c r="B682" i="5"/>
  <c r="F682" i="5" s="1"/>
  <c r="B681" i="5"/>
  <c r="E681" i="5" s="1"/>
  <c r="B680" i="5"/>
  <c r="F680" i="5" s="1"/>
  <c r="B679" i="5"/>
  <c r="F679" i="5" s="1"/>
  <c r="B678" i="5"/>
  <c r="F678" i="5" s="1"/>
  <c r="B677" i="5"/>
  <c r="F677" i="5" s="1"/>
  <c r="B676" i="5"/>
  <c r="F676" i="5" s="1"/>
  <c r="B675" i="5"/>
  <c r="F675" i="5" s="1"/>
  <c r="B674" i="5"/>
  <c r="E674" i="5" s="1"/>
  <c r="B673" i="5"/>
  <c r="E673" i="5" s="1"/>
  <c r="B672" i="5"/>
  <c r="F672" i="5" s="1"/>
  <c r="B671" i="5"/>
  <c r="F671" i="5" s="1"/>
  <c r="B670" i="5"/>
  <c r="F670" i="5" s="1"/>
  <c r="B669" i="5"/>
  <c r="F669" i="5" s="1"/>
  <c r="B668" i="5"/>
  <c r="F668" i="5" s="1"/>
  <c r="B667" i="5"/>
  <c r="E667" i="5" s="1"/>
  <c r="B666" i="5"/>
  <c r="F666" i="5" s="1"/>
  <c r="B665" i="5"/>
  <c r="F665" i="5" s="1"/>
  <c r="B664" i="5"/>
  <c r="F664" i="5" s="1"/>
  <c r="B663" i="5"/>
  <c r="F663" i="5" s="1"/>
  <c r="B662" i="5"/>
  <c r="F662" i="5" s="1"/>
  <c r="B661" i="5"/>
  <c r="F661" i="5" s="1"/>
  <c r="B660" i="5"/>
  <c r="E660" i="5" s="1"/>
  <c r="B659" i="5"/>
  <c r="E659" i="5" s="1"/>
  <c r="B658" i="5"/>
  <c r="F658" i="5" s="1"/>
  <c r="B657" i="5"/>
  <c r="F657" i="5" s="1"/>
  <c r="B656" i="5"/>
  <c r="F656" i="5" s="1"/>
  <c r="B655" i="5"/>
  <c r="F655" i="5" s="1"/>
  <c r="B654" i="5"/>
  <c r="F654" i="5" s="1"/>
  <c r="B653" i="5"/>
  <c r="E653" i="5" s="1"/>
  <c r="B652" i="5"/>
  <c r="F652" i="5" s="1"/>
  <c r="B651" i="5"/>
  <c r="F651" i="5" s="1"/>
  <c r="B650" i="5"/>
  <c r="F650" i="5" s="1"/>
  <c r="B649" i="5"/>
  <c r="F649" i="5" s="1"/>
  <c r="B648" i="5"/>
  <c r="F648" i="5" s="1"/>
  <c r="B647" i="5"/>
  <c r="F647" i="5" s="1"/>
  <c r="B646" i="5"/>
  <c r="E646" i="5" s="1"/>
  <c r="B645" i="5"/>
  <c r="E645" i="5" s="1"/>
  <c r="B644" i="5"/>
  <c r="F644" i="5" s="1"/>
  <c r="B643" i="5"/>
  <c r="F643" i="5" s="1"/>
  <c r="B642" i="5"/>
  <c r="F642" i="5" s="1"/>
  <c r="B641" i="5"/>
  <c r="F641" i="5" s="1"/>
  <c r="B640" i="5"/>
  <c r="F640" i="5" s="1"/>
  <c r="B639" i="5"/>
  <c r="E639" i="5" s="1"/>
  <c r="B638" i="5"/>
  <c r="F638" i="5" s="1"/>
  <c r="B637" i="5"/>
  <c r="F637" i="5" s="1"/>
  <c r="B636" i="5"/>
  <c r="F636" i="5" s="1"/>
  <c r="B635" i="5"/>
  <c r="F635" i="5" s="1"/>
  <c r="B634" i="5"/>
  <c r="F634" i="5" s="1"/>
  <c r="B633" i="5"/>
  <c r="F633" i="5" s="1"/>
  <c r="B632" i="5"/>
  <c r="E632" i="5" s="1"/>
  <c r="B631" i="5"/>
  <c r="E631" i="5" s="1"/>
  <c r="B630" i="5"/>
  <c r="F630" i="5" s="1"/>
  <c r="B629" i="5"/>
  <c r="F629" i="5" s="1"/>
  <c r="B628" i="5"/>
  <c r="F628" i="5" s="1"/>
  <c r="B627" i="5"/>
  <c r="F627" i="5" s="1"/>
  <c r="B626" i="5"/>
  <c r="F626" i="5" s="1"/>
  <c r="B625" i="5"/>
  <c r="E625" i="5" s="1"/>
  <c r="B624" i="5"/>
  <c r="F624" i="5" s="1"/>
  <c r="B623" i="5"/>
  <c r="F623" i="5" s="1"/>
  <c r="B622" i="5"/>
  <c r="F622" i="5" s="1"/>
  <c r="B621" i="5"/>
  <c r="F621" i="5" s="1"/>
  <c r="B620" i="5"/>
  <c r="F620" i="5" s="1"/>
  <c r="B619" i="5"/>
  <c r="B618" i="5"/>
  <c r="E618" i="5" s="1"/>
  <c r="B617" i="5"/>
  <c r="F617" i="5" s="1"/>
  <c r="B616" i="5"/>
  <c r="F616" i="5" s="1"/>
  <c r="B615" i="5"/>
  <c r="F615" i="5" s="1"/>
  <c r="B614" i="5"/>
  <c r="B613" i="5"/>
  <c r="F613" i="5" s="1"/>
  <c r="B612" i="5"/>
  <c r="F612" i="5" s="1"/>
  <c r="B611" i="5"/>
  <c r="E611" i="5" s="1"/>
  <c r="B610" i="5"/>
  <c r="F610" i="5" s="1"/>
  <c r="B609" i="5"/>
  <c r="F609" i="5" s="1"/>
  <c r="B608" i="5"/>
  <c r="F608" i="5" s="1"/>
  <c r="B607" i="5"/>
  <c r="F607" i="5" s="1"/>
  <c r="B606" i="5"/>
  <c r="F606" i="5" s="1"/>
  <c r="B605" i="5"/>
  <c r="F605" i="5" s="1"/>
  <c r="B604" i="5"/>
  <c r="E604" i="5" s="1"/>
  <c r="B603" i="5"/>
  <c r="E603" i="5" s="1"/>
  <c r="B602" i="5"/>
  <c r="F602" i="5" s="1"/>
  <c r="B601" i="5"/>
  <c r="F601" i="5" s="1"/>
  <c r="B600" i="5"/>
  <c r="F600" i="5" s="1"/>
  <c r="B599" i="5"/>
  <c r="F599" i="5" s="1"/>
  <c r="B598" i="5"/>
  <c r="F598" i="5" s="1"/>
  <c r="B597" i="5"/>
  <c r="E597" i="5" s="1"/>
  <c r="B596" i="5"/>
  <c r="F596" i="5" s="1"/>
  <c r="B595" i="5"/>
  <c r="F595" i="5" s="1"/>
  <c r="B594" i="5"/>
  <c r="F594" i="5" s="1"/>
  <c r="B593" i="5"/>
  <c r="F593" i="5" s="1"/>
  <c r="B592" i="5"/>
  <c r="F592" i="5" s="1"/>
  <c r="B591" i="5"/>
  <c r="F591" i="5" s="1"/>
  <c r="B590" i="5"/>
  <c r="E590" i="5" s="1"/>
  <c r="B589" i="5"/>
  <c r="E589" i="5" s="1"/>
  <c r="B588" i="5"/>
  <c r="F588" i="5" s="1"/>
  <c r="B587" i="5"/>
  <c r="F587" i="5" s="1"/>
  <c r="B586" i="5"/>
  <c r="F586" i="5" s="1"/>
  <c r="B585" i="5"/>
  <c r="F585" i="5" s="1"/>
  <c r="B584" i="5"/>
  <c r="F584" i="5" s="1"/>
  <c r="B583" i="5"/>
  <c r="E583" i="5" s="1"/>
  <c r="B582" i="5"/>
  <c r="F582" i="5" s="1"/>
  <c r="B581" i="5"/>
  <c r="F581" i="5" s="1"/>
  <c r="B580" i="5"/>
  <c r="F580" i="5" s="1"/>
  <c r="B579" i="5"/>
  <c r="F579" i="5" s="1"/>
  <c r="B578" i="5"/>
  <c r="F578" i="5" s="1"/>
  <c r="B577" i="5"/>
  <c r="F577" i="5" s="1"/>
  <c r="B576" i="5"/>
  <c r="E576" i="5" s="1"/>
  <c r="B575" i="5"/>
  <c r="E575" i="5" s="1"/>
  <c r="B574" i="5"/>
  <c r="F574" i="5" s="1"/>
  <c r="B573" i="5"/>
  <c r="F573" i="5" s="1"/>
  <c r="B572" i="5"/>
  <c r="F572" i="5" s="1"/>
  <c r="B571" i="5"/>
  <c r="F571" i="5" s="1"/>
  <c r="B570" i="5"/>
  <c r="F570" i="5" s="1"/>
  <c r="B569" i="5"/>
  <c r="E569" i="5" s="1"/>
  <c r="B568" i="5"/>
  <c r="F568" i="5" s="1"/>
  <c r="B567" i="5"/>
  <c r="F567" i="5" s="1"/>
  <c r="B566" i="5"/>
  <c r="F566" i="5" s="1"/>
  <c r="B565" i="5"/>
  <c r="F565" i="5" s="1"/>
  <c r="B564" i="5"/>
  <c r="F564" i="5" s="1"/>
  <c r="B563" i="5"/>
  <c r="F563" i="5" s="1"/>
  <c r="B562" i="5"/>
  <c r="E562" i="5" s="1"/>
  <c r="B561" i="5"/>
  <c r="E561" i="5" s="1"/>
  <c r="B560" i="5"/>
  <c r="F560" i="5" s="1"/>
  <c r="B559" i="5"/>
  <c r="F559" i="5" s="1"/>
  <c r="B558" i="5"/>
  <c r="F558" i="5" s="1"/>
  <c r="B557" i="5"/>
  <c r="F557" i="5" s="1"/>
  <c r="B556" i="5"/>
  <c r="F556" i="5" s="1"/>
  <c r="B555" i="5"/>
  <c r="E555" i="5" s="1"/>
  <c r="B554" i="5"/>
  <c r="F554" i="5" s="1"/>
  <c r="B553" i="5"/>
  <c r="F553" i="5" s="1"/>
  <c r="B552" i="5"/>
  <c r="F552" i="5" s="1"/>
  <c r="B551" i="5"/>
  <c r="F551" i="5" s="1"/>
  <c r="B550" i="5"/>
  <c r="F550" i="5" s="1"/>
  <c r="B549" i="5"/>
  <c r="F549" i="5" s="1"/>
  <c r="B548" i="5"/>
  <c r="E548" i="5" s="1"/>
  <c r="B547" i="5"/>
  <c r="E547" i="5" s="1"/>
  <c r="B546" i="5"/>
  <c r="F546" i="5" s="1"/>
  <c r="B545" i="5"/>
  <c r="F545" i="5" s="1"/>
  <c r="B544" i="5"/>
  <c r="F544" i="5" s="1"/>
  <c r="B543" i="5"/>
  <c r="F543" i="5" s="1"/>
  <c r="B542" i="5"/>
  <c r="F542" i="5" s="1"/>
  <c r="B541" i="5"/>
  <c r="E541" i="5" s="1"/>
  <c r="B540" i="5"/>
  <c r="F540" i="5" s="1"/>
  <c r="B539" i="5"/>
  <c r="F539" i="5" s="1"/>
  <c r="B538" i="5"/>
  <c r="F538" i="5" s="1"/>
  <c r="B537" i="5"/>
  <c r="F537" i="5" s="1"/>
  <c r="B536" i="5"/>
  <c r="F536" i="5" s="1"/>
  <c r="B535" i="5"/>
  <c r="F535" i="5" s="1"/>
  <c r="B534" i="5"/>
  <c r="E534" i="5" s="1"/>
  <c r="B533" i="5"/>
  <c r="F533" i="5" s="1"/>
  <c r="B532" i="5"/>
  <c r="F532" i="5" s="1"/>
  <c r="B531" i="5"/>
  <c r="F531" i="5" s="1"/>
  <c r="B530" i="5"/>
  <c r="F530" i="5" s="1"/>
  <c r="B529" i="5"/>
  <c r="F529" i="5" s="1"/>
  <c r="B528" i="5"/>
  <c r="F528" i="5" s="1"/>
  <c r="B527" i="5"/>
  <c r="E527" i="5" s="1"/>
  <c r="B526" i="5"/>
  <c r="F526" i="5" s="1"/>
  <c r="B525" i="5"/>
  <c r="F525" i="5" s="1"/>
  <c r="B524" i="5"/>
  <c r="F524" i="5" s="1"/>
  <c r="B523" i="5"/>
  <c r="F523" i="5" s="1"/>
  <c r="B522" i="5"/>
  <c r="F522" i="5" s="1"/>
  <c r="B521" i="5"/>
  <c r="F521" i="5" s="1"/>
  <c r="B520" i="5"/>
  <c r="E520" i="5" s="1"/>
  <c r="B519" i="5"/>
  <c r="E519" i="5" s="1"/>
  <c r="B518" i="5"/>
  <c r="F518" i="5" s="1"/>
  <c r="B517" i="5"/>
  <c r="F517" i="5" s="1"/>
  <c r="B516" i="5"/>
  <c r="F516" i="5" s="1"/>
  <c r="B515" i="5"/>
  <c r="F515" i="5" s="1"/>
  <c r="B514" i="5"/>
  <c r="F514" i="5" s="1"/>
  <c r="B513" i="5"/>
  <c r="E513" i="5" s="1"/>
  <c r="B512" i="5"/>
  <c r="F512" i="5" s="1"/>
  <c r="B511" i="5"/>
  <c r="F511" i="5" s="1"/>
  <c r="B510" i="5"/>
  <c r="F510" i="5" s="1"/>
  <c r="B509" i="5"/>
  <c r="F509" i="5" s="1"/>
  <c r="B508" i="5"/>
  <c r="F508" i="5" s="1"/>
  <c r="B507" i="5"/>
  <c r="F507" i="5" s="1"/>
  <c r="B506" i="5"/>
  <c r="E506" i="5" s="1"/>
  <c r="B505" i="5"/>
  <c r="E505" i="5" s="1"/>
  <c r="B504" i="5"/>
  <c r="F504" i="5" s="1"/>
  <c r="B503" i="5"/>
  <c r="F503" i="5" s="1"/>
  <c r="B502" i="5"/>
  <c r="F502" i="5" s="1"/>
  <c r="B501" i="5"/>
  <c r="F501" i="5" s="1"/>
  <c r="B500" i="5"/>
  <c r="F500" i="5" s="1"/>
  <c r="B499" i="5"/>
  <c r="E499" i="5" s="1"/>
  <c r="B498" i="5"/>
  <c r="F498" i="5" s="1"/>
  <c r="B497" i="5"/>
  <c r="F497" i="5" s="1"/>
  <c r="B496" i="5"/>
  <c r="F496" i="5" s="1"/>
  <c r="B495" i="5"/>
  <c r="F495" i="5" s="1"/>
  <c r="B494" i="5"/>
  <c r="F494" i="5" s="1"/>
  <c r="B493" i="5"/>
  <c r="F493" i="5" s="1"/>
  <c r="B492" i="5"/>
  <c r="E492" i="5" s="1"/>
  <c r="B491" i="5"/>
  <c r="F491" i="5" s="1"/>
  <c r="B490" i="5"/>
  <c r="F490" i="5" s="1"/>
  <c r="B489" i="5"/>
  <c r="F489" i="5" s="1"/>
  <c r="B488" i="5"/>
  <c r="F488" i="5" s="1"/>
  <c r="B487" i="5"/>
  <c r="F487" i="5" s="1"/>
  <c r="B486" i="5"/>
  <c r="F486" i="5" s="1"/>
  <c r="B485" i="5"/>
  <c r="E485" i="5" s="1"/>
  <c r="B484" i="5"/>
  <c r="F484" i="5" s="1"/>
  <c r="B483" i="5"/>
  <c r="F483" i="5" s="1"/>
  <c r="B482" i="5"/>
  <c r="F482" i="5" s="1"/>
  <c r="B481" i="5"/>
  <c r="F481" i="5" s="1"/>
  <c r="B480" i="5"/>
  <c r="F480" i="5" s="1"/>
  <c r="B479" i="5"/>
  <c r="F479" i="5" s="1"/>
  <c r="B478" i="5"/>
  <c r="E478" i="5" s="1"/>
  <c r="B477" i="5"/>
  <c r="E477" i="5" s="1"/>
  <c r="B476" i="5"/>
  <c r="F476" i="5" s="1"/>
  <c r="B475" i="5"/>
  <c r="F475" i="5" s="1"/>
  <c r="B474" i="5"/>
  <c r="F474" i="5" s="1"/>
  <c r="B473" i="5"/>
  <c r="F473" i="5" s="1"/>
  <c r="B472" i="5"/>
  <c r="F472" i="5" s="1"/>
  <c r="B471" i="5"/>
  <c r="E471" i="5" s="1"/>
  <c r="B470" i="5"/>
  <c r="F470" i="5" s="1"/>
  <c r="B469" i="5"/>
  <c r="F469" i="5" s="1"/>
  <c r="B468" i="5"/>
  <c r="F468" i="5" s="1"/>
  <c r="B467" i="5"/>
  <c r="F467" i="5" s="1"/>
  <c r="B466" i="5"/>
  <c r="F466" i="5" s="1"/>
  <c r="B465" i="5"/>
  <c r="F465" i="5" s="1"/>
  <c r="B464" i="5"/>
  <c r="E464" i="5" s="1"/>
  <c r="B463" i="5"/>
  <c r="E463" i="5" s="1"/>
  <c r="B462" i="5"/>
  <c r="F462" i="5" s="1"/>
  <c r="B461" i="5"/>
  <c r="F461" i="5" s="1"/>
  <c r="B460" i="5"/>
  <c r="F460" i="5" s="1"/>
  <c r="B459" i="5"/>
  <c r="F459" i="5" s="1"/>
  <c r="B458" i="5"/>
  <c r="F458" i="5" s="1"/>
  <c r="B457" i="5"/>
  <c r="E457" i="5" s="1"/>
  <c r="B456" i="5"/>
  <c r="F456" i="5" s="1"/>
  <c r="B455" i="5"/>
  <c r="F455" i="5" s="1"/>
  <c r="B454" i="5"/>
  <c r="F454" i="5" s="1"/>
  <c r="B453" i="5"/>
  <c r="F453" i="5" s="1"/>
  <c r="B452" i="5"/>
  <c r="F452" i="5" s="1"/>
  <c r="B451" i="5"/>
  <c r="F451" i="5" s="1"/>
  <c r="B450" i="5"/>
  <c r="E450" i="5" s="1"/>
  <c r="B449" i="5"/>
  <c r="F449" i="5" s="1"/>
  <c r="B448" i="5"/>
  <c r="F448" i="5" s="1"/>
  <c r="B447" i="5"/>
  <c r="F447" i="5" s="1"/>
  <c r="B446" i="5"/>
  <c r="F446" i="5" s="1"/>
  <c r="B445" i="5"/>
  <c r="F445" i="5" s="1"/>
  <c r="B444" i="5"/>
  <c r="F444" i="5" s="1"/>
  <c r="B443" i="5"/>
  <c r="E443" i="5" s="1"/>
  <c r="B442" i="5"/>
  <c r="F442" i="5" s="1"/>
  <c r="B441" i="5"/>
  <c r="F441" i="5" s="1"/>
  <c r="B440" i="5"/>
  <c r="F440" i="5" s="1"/>
  <c r="B439" i="5"/>
  <c r="F439" i="5" s="1"/>
  <c r="B438" i="5"/>
  <c r="F438" i="5" s="1"/>
  <c r="B437" i="5"/>
  <c r="F437" i="5" s="1"/>
  <c r="B436" i="5"/>
  <c r="E436" i="5" s="1"/>
  <c r="B435" i="5"/>
  <c r="E435" i="5" s="1"/>
  <c r="B434" i="5"/>
  <c r="F434" i="5" s="1"/>
  <c r="B433" i="5"/>
  <c r="F433" i="5" s="1"/>
  <c r="B432" i="5"/>
  <c r="F432" i="5" s="1"/>
  <c r="B431" i="5"/>
  <c r="F431" i="5" s="1"/>
  <c r="B430" i="5"/>
  <c r="F430" i="5" s="1"/>
  <c r="B429" i="5"/>
  <c r="E429" i="5" s="1"/>
  <c r="B428" i="5"/>
  <c r="F428" i="5" s="1"/>
  <c r="B427" i="5"/>
  <c r="F427" i="5" s="1"/>
  <c r="B426" i="5"/>
  <c r="F426" i="5" s="1"/>
  <c r="B425" i="5"/>
  <c r="F425" i="5" s="1"/>
  <c r="B424" i="5"/>
  <c r="F424" i="5" s="1"/>
  <c r="B423" i="5"/>
  <c r="F423" i="5" s="1"/>
  <c r="B422" i="5"/>
  <c r="E422" i="5" s="1"/>
  <c r="B421" i="5"/>
  <c r="E421" i="5" s="1"/>
  <c r="B420" i="5"/>
  <c r="F420" i="5" s="1"/>
  <c r="B419" i="5"/>
  <c r="F419" i="5" s="1"/>
  <c r="B418" i="5"/>
  <c r="F418" i="5" s="1"/>
  <c r="B417" i="5"/>
  <c r="F417" i="5" s="1"/>
  <c r="B416" i="5"/>
  <c r="F416" i="5" s="1"/>
  <c r="B415" i="5"/>
  <c r="E415" i="5" s="1"/>
  <c r="B414" i="5"/>
  <c r="F414" i="5" s="1"/>
  <c r="B413" i="5"/>
  <c r="F413" i="5" s="1"/>
  <c r="B412" i="5"/>
  <c r="F412" i="5" s="1"/>
  <c r="B411" i="5"/>
  <c r="F411" i="5" s="1"/>
  <c r="B410" i="5"/>
  <c r="F410" i="5" s="1"/>
  <c r="B409" i="5"/>
  <c r="F409" i="5" s="1"/>
  <c r="B408" i="5"/>
  <c r="E408" i="5" s="1"/>
  <c r="B407" i="5"/>
  <c r="F407" i="5" s="1"/>
  <c r="B406" i="5"/>
  <c r="F406" i="5" s="1"/>
  <c r="B405" i="5"/>
  <c r="F405" i="5" s="1"/>
  <c r="B404" i="5"/>
  <c r="F404" i="5" s="1"/>
  <c r="B403" i="5"/>
  <c r="F403" i="5" s="1"/>
  <c r="B402" i="5"/>
  <c r="F402" i="5" s="1"/>
  <c r="B401" i="5"/>
  <c r="E401" i="5" s="1"/>
  <c r="B400" i="5"/>
  <c r="F400" i="5" s="1"/>
  <c r="B399" i="5"/>
  <c r="F399" i="5" s="1"/>
  <c r="B398" i="5"/>
  <c r="F398" i="5" s="1"/>
  <c r="B397" i="5"/>
  <c r="F397" i="5" s="1"/>
  <c r="B396" i="5"/>
  <c r="F396" i="5" s="1"/>
  <c r="B395" i="5"/>
  <c r="F395" i="5" s="1"/>
  <c r="B394" i="5"/>
  <c r="E394" i="5" s="1"/>
  <c r="B393" i="5"/>
  <c r="E393" i="5" s="1"/>
  <c r="B392" i="5"/>
  <c r="F392" i="5" s="1"/>
  <c r="B391" i="5"/>
  <c r="F391" i="5" s="1"/>
  <c r="B390" i="5"/>
  <c r="F390" i="5" s="1"/>
  <c r="B389" i="5"/>
  <c r="F389" i="5" s="1"/>
  <c r="B388" i="5"/>
  <c r="F388" i="5" s="1"/>
  <c r="B387" i="5"/>
  <c r="E387" i="5" s="1"/>
  <c r="B386" i="5"/>
  <c r="F386" i="5" s="1"/>
  <c r="B385" i="5"/>
  <c r="F385" i="5" s="1"/>
  <c r="B384" i="5"/>
  <c r="F384" i="5" s="1"/>
  <c r="B383" i="5"/>
  <c r="F383" i="5" s="1"/>
  <c r="B382" i="5"/>
  <c r="F382" i="5" s="1"/>
  <c r="B381" i="5"/>
  <c r="F381" i="5" s="1"/>
  <c r="B380" i="5"/>
  <c r="E380" i="5" s="1"/>
  <c r="B379" i="5"/>
  <c r="E379" i="5" s="1"/>
  <c r="B378" i="5"/>
  <c r="F378" i="5" s="1"/>
  <c r="B377" i="5"/>
  <c r="F377" i="5" s="1"/>
  <c r="B376" i="5"/>
  <c r="F376" i="5" s="1"/>
  <c r="B375" i="5"/>
  <c r="F375" i="5" s="1"/>
  <c r="B374" i="5"/>
  <c r="F374" i="5" s="1"/>
  <c r="B373" i="5"/>
  <c r="E373" i="5" s="1"/>
  <c r="B372" i="5"/>
  <c r="F372" i="5" s="1"/>
  <c r="B371" i="5"/>
  <c r="F371" i="5" s="1"/>
  <c r="B370" i="5"/>
  <c r="F370" i="5" s="1"/>
  <c r="B369" i="5"/>
  <c r="F369" i="5" s="1"/>
  <c r="B368" i="5"/>
  <c r="F368" i="5" s="1"/>
  <c r="B367" i="5"/>
  <c r="F367" i="5" s="1"/>
  <c r="B366" i="5"/>
  <c r="E366" i="5" s="1"/>
  <c r="B365" i="5"/>
  <c r="F365" i="5" s="1"/>
  <c r="B364" i="5"/>
  <c r="F364" i="5" s="1"/>
  <c r="B363" i="5"/>
  <c r="F363" i="5" s="1"/>
  <c r="B362" i="5"/>
  <c r="F362" i="5" s="1"/>
  <c r="B361" i="5"/>
  <c r="F361" i="5" s="1"/>
  <c r="B360" i="5"/>
  <c r="F360" i="5" s="1"/>
  <c r="B359" i="5"/>
  <c r="E359" i="5" s="1"/>
  <c r="B358" i="5"/>
  <c r="F358" i="5" s="1"/>
  <c r="B357" i="5"/>
  <c r="F357" i="5" s="1"/>
  <c r="B356" i="5"/>
  <c r="F356" i="5" s="1"/>
  <c r="B355" i="5"/>
  <c r="F355" i="5" s="1"/>
  <c r="B354" i="5"/>
  <c r="F354" i="5" s="1"/>
  <c r="B353" i="5"/>
  <c r="F353" i="5" s="1"/>
  <c r="B352" i="5"/>
  <c r="E352" i="5" s="1"/>
  <c r="B351" i="5"/>
  <c r="E351" i="5" s="1"/>
  <c r="B350" i="5"/>
  <c r="F350" i="5" s="1"/>
  <c r="B349" i="5"/>
  <c r="F349" i="5" s="1"/>
  <c r="B348" i="5"/>
  <c r="F348" i="5" s="1"/>
  <c r="B347" i="5"/>
  <c r="F347" i="5" s="1"/>
  <c r="B346" i="5"/>
  <c r="F346" i="5" s="1"/>
  <c r="B345" i="5"/>
  <c r="E345" i="5" s="1"/>
  <c r="B344" i="5"/>
  <c r="F344" i="5" s="1"/>
  <c r="B343" i="5"/>
  <c r="F343" i="5" s="1"/>
  <c r="B342" i="5"/>
  <c r="F342" i="5" s="1"/>
  <c r="B341" i="5"/>
  <c r="F341" i="5" s="1"/>
  <c r="B340" i="5"/>
  <c r="F340" i="5" s="1"/>
  <c r="B339" i="5"/>
  <c r="F339" i="5" s="1"/>
  <c r="B338" i="5"/>
  <c r="E338" i="5" s="1"/>
  <c r="B337" i="5"/>
  <c r="E337" i="5" s="1"/>
  <c r="B336" i="5"/>
  <c r="F336" i="5" s="1"/>
  <c r="B335" i="5"/>
  <c r="F335" i="5" s="1"/>
  <c r="B334" i="5"/>
  <c r="F334" i="5" s="1"/>
  <c r="B333" i="5"/>
  <c r="F333" i="5" s="1"/>
  <c r="B332" i="5"/>
  <c r="F332" i="5" s="1"/>
  <c r="B331" i="5"/>
  <c r="E331" i="5" s="1"/>
  <c r="B330" i="5"/>
  <c r="F330" i="5" s="1"/>
  <c r="B329" i="5"/>
  <c r="F329" i="5" s="1"/>
  <c r="B328" i="5"/>
  <c r="F328" i="5" s="1"/>
  <c r="B327" i="5"/>
  <c r="F327" i="5" s="1"/>
  <c r="B326" i="5"/>
  <c r="F326" i="5" s="1"/>
  <c r="B325" i="5"/>
  <c r="F325" i="5" s="1"/>
  <c r="B324" i="5"/>
  <c r="E324" i="5" s="1"/>
  <c r="B323" i="5"/>
  <c r="F323" i="5" s="1"/>
  <c r="B322" i="5"/>
  <c r="F322" i="5" s="1"/>
  <c r="B321" i="5"/>
  <c r="F321" i="5" s="1"/>
  <c r="B320" i="5"/>
  <c r="F320" i="5" s="1"/>
  <c r="B319" i="5"/>
  <c r="F319" i="5" s="1"/>
  <c r="B318" i="5"/>
  <c r="F318" i="5" s="1"/>
  <c r="B317" i="5"/>
  <c r="E317" i="5" s="1"/>
  <c r="B316" i="5"/>
  <c r="F316" i="5" s="1"/>
  <c r="B315" i="5"/>
  <c r="F315" i="5" s="1"/>
  <c r="B314" i="5"/>
  <c r="F314" i="5" s="1"/>
  <c r="B313" i="5"/>
  <c r="F313" i="5" s="1"/>
  <c r="B312" i="5"/>
  <c r="F312" i="5" s="1"/>
  <c r="B311" i="5"/>
  <c r="F311" i="5" s="1"/>
  <c r="B310" i="5"/>
  <c r="E310" i="5" s="1"/>
  <c r="B309" i="5"/>
  <c r="E309" i="5" s="1"/>
  <c r="B308" i="5"/>
  <c r="F308" i="5" s="1"/>
  <c r="B307" i="5"/>
  <c r="F307" i="5" s="1"/>
  <c r="B306" i="5"/>
  <c r="F306" i="5" s="1"/>
  <c r="B305" i="5"/>
  <c r="F305" i="5" s="1"/>
  <c r="B304" i="5"/>
  <c r="F304" i="5" s="1"/>
  <c r="B303" i="5"/>
  <c r="E303" i="5" s="1"/>
  <c r="B302" i="5"/>
  <c r="F302" i="5" s="1"/>
  <c r="B301" i="5"/>
  <c r="F301" i="5" s="1"/>
  <c r="B300" i="5"/>
  <c r="F300" i="5" s="1"/>
  <c r="B299" i="5"/>
  <c r="F299" i="5" s="1"/>
  <c r="B298" i="5"/>
  <c r="F298" i="5" s="1"/>
  <c r="B297" i="5"/>
  <c r="F297" i="5" s="1"/>
  <c r="B296" i="5"/>
  <c r="E296" i="5" s="1"/>
  <c r="B295" i="5"/>
  <c r="E295" i="5" s="1"/>
  <c r="B294" i="5"/>
  <c r="F294" i="5" s="1"/>
  <c r="B293" i="5"/>
  <c r="F293" i="5" s="1"/>
  <c r="B292" i="5"/>
  <c r="F292" i="5" s="1"/>
  <c r="B291" i="5"/>
  <c r="F291" i="5" s="1"/>
  <c r="B290" i="5"/>
  <c r="F290" i="5" s="1"/>
  <c r="B289" i="5"/>
  <c r="E289" i="5" s="1"/>
  <c r="B288" i="5"/>
  <c r="F288" i="5" s="1"/>
  <c r="B287" i="5"/>
  <c r="F287" i="5" s="1"/>
  <c r="B286" i="5"/>
  <c r="F286" i="5" s="1"/>
  <c r="B285" i="5"/>
  <c r="F285" i="5" s="1"/>
  <c r="B284" i="5"/>
  <c r="F284" i="5" s="1"/>
  <c r="B283" i="5"/>
  <c r="F283" i="5" s="1"/>
  <c r="B282" i="5"/>
  <c r="E282" i="5" s="1"/>
  <c r="B281" i="5"/>
  <c r="F281" i="5" s="1"/>
  <c r="B280" i="5"/>
  <c r="F280" i="5" s="1"/>
  <c r="B279" i="5"/>
  <c r="F279" i="5" s="1"/>
  <c r="B278" i="5"/>
  <c r="F278" i="5" s="1"/>
  <c r="B277" i="5"/>
  <c r="F277" i="5" s="1"/>
  <c r="B276" i="5"/>
  <c r="F276" i="5" s="1"/>
  <c r="B275" i="5"/>
  <c r="E275" i="5" s="1"/>
  <c r="B274" i="5"/>
  <c r="F274" i="5" s="1"/>
  <c r="B273" i="5"/>
  <c r="F273" i="5" s="1"/>
  <c r="B272" i="5"/>
  <c r="F272" i="5" s="1"/>
  <c r="B271" i="5"/>
  <c r="F271" i="5" s="1"/>
  <c r="B270" i="5"/>
  <c r="F270" i="5" s="1"/>
  <c r="B269" i="5"/>
  <c r="F269" i="5" s="1"/>
  <c r="B268" i="5"/>
  <c r="E268" i="5" s="1"/>
  <c r="B267" i="5"/>
  <c r="E267" i="5" s="1"/>
  <c r="B266" i="5"/>
  <c r="F266" i="5" s="1"/>
  <c r="B265" i="5"/>
  <c r="F265" i="5" s="1"/>
  <c r="B264" i="5"/>
  <c r="F264" i="5" s="1"/>
  <c r="B263" i="5"/>
  <c r="F263" i="5" s="1"/>
  <c r="B262" i="5"/>
  <c r="F262" i="5" s="1"/>
  <c r="B261" i="5"/>
  <c r="E261" i="5" s="1"/>
  <c r="B260" i="5"/>
  <c r="F260" i="5" s="1"/>
  <c r="B259" i="5"/>
  <c r="F259" i="5" s="1"/>
  <c r="B258" i="5"/>
  <c r="F258" i="5" s="1"/>
  <c r="B257" i="5"/>
  <c r="F257" i="5" s="1"/>
  <c r="B256" i="5"/>
  <c r="F256" i="5" s="1"/>
  <c r="B255" i="5"/>
  <c r="F255" i="5" s="1"/>
  <c r="B254" i="5"/>
  <c r="E254" i="5" s="1"/>
  <c r="B253" i="5"/>
  <c r="E253" i="5" s="1"/>
  <c r="B252" i="5"/>
  <c r="F252" i="5" s="1"/>
  <c r="B251" i="5"/>
  <c r="F251" i="5" s="1"/>
  <c r="B250" i="5"/>
  <c r="F250" i="5" s="1"/>
  <c r="B249" i="5"/>
  <c r="F249" i="5" s="1"/>
  <c r="B248" i="5"/>
  <c r="F248" i="5" s="1"/>
  <c r="B247" i="5"/>
  <c r="E247" i="5" s="1"/>
  <c r="B246" i="5"/>
  <c r="F246" i="5" s="1"/>
  <c r="B245" i="5"/>
  <c r="F245" i="5" s="1"/>
  <c r="B244" i="5"/>
  <c r="F244" i="5" s="1"/>
  <c r="B243" i="5"/>
  <c r="F243" i="5" s="1"/>
  <c r="B242" i="5"/>
  <c r="F242" i="5" s="1"/>
  <c r="B241" i="5"/>
  <c r="F241" i="5" s="1"/>
  <c r="B240" i="5"/>
  <c r="E240" i="5" s="1"/>
  <c r="B239" i="5"/>
  <c r="F239" i="5" s="1"/>
  <c r="B238" i="5"/>
  <c r="F238" i="5" s="1"/>
  <c r="B237" i="5"/>
  <c r="F237" i="5" s="1"/>
  <c r="B236" i="5"/>
  <c r="F236" i="5" s="1"/>
  <c r="B235" i="5"/>
  <c r="F235" i="5" s="1"/>
  <c r="B234" i="5"/>
  <c r="F234" i="5" s="1"/>
  <c r="B233" i="5"/>
  <c r="E233" i="5" s="1"/>
  <c r="B232" i="5"/>
  <c r="F232" i="5" s="1"/>
  <c r="B231" i="5"/>
  <c r="F231" i="5" s="1"/>
  <c r="B230" i="5"/>
  <c r="F230" i="5" s="1"/>
  <c r="B229" i="5"/>
  <c r="F229" i="5" s="1"/>
  <c r="B228" i="5"/>
  <c r="F228" i="5" s="1"/>
  <c r="B227" i="5"/>
  <c r="F227" i="5" s="1"/>
  <c r="B226" i="5"/>
  <c r="E226" i="5" s="1"/>
  <c r="B225" i="5"/>
  <c r="E225" i="5" s="1"/>
  <c r="B224" i="5"/>
  <c r="F224" i="5" s="1"/>
  <c r="B223" i="5"/>
  <c r="F223" i="5" s="1"/>
  <c r="B222" i="5"/>
  <c r="F222" i="5" s="1"/>
  <c r="B221" i="5"/>
  <c r="F221" i="5" s="1"/>
  <c r="B220" i="5"/>
  <c r="F220" i="5" s="1"/>
  <c r="B219" i="5"/>
  <c r="E219" i="5" s="1"/>
  <c r="B218" i="5"/>
  <c r="F218" i="5" s="1"/>
  <c r="B217" i="5"/>
  <c r="F217" i="5" s="1"/>
  <c r="B216" i="5"/>
  <c r="F216" i="5" s="1"/>
  <c r="B215" i="5"/>
  <c r="F215" i="5" s="1"/>
  <c r="B214" i="5"/>
  <c r="F214" i="5" s="1"/>
  <c r="B213" i="5"/>
  <c r="F213" i="5" s="1"/>
  <c r="B212" i="5"/>
  <c r="E212" i="5" s="1"/>
  <c r="B211" i="5"/>
  <c r="E211" i="5" s="1"/>
  <c r="B210" i="5"/>
  <c r="F210" i="5" s="1"/>
  <c r="B209" i="5"/>
  <c r="F209" i="5" s="1"/>
  <c r="B208" i="5"/>
  <c r="F208" i="5" s="1"/>
  <c r="B207" i="5"/>
  <c r="F207" i="5" s="1"/>
  <c r="B206" i="5"/>
  <c r="F206" i="5" s="1"/>
  <c r="B205" i="5"/>
  <c r="E205" i="5" s="1"/>
  <c r="B204" i="5"/>
  <c r="F204" i="5" s="1"/>
  <c r="B203" i="5"/>
  <c r="F203" i="5" s="1"/>
  <c r="B202" i="5"/>
  <c r="F202" i="5" s="1"/>
  <c r="B201" i="5"/>
  <c r="F201" i="5" s="1"/>
  <c r="B200" i="5"/>
  <c r="F200" i="5" s="1"/>
  <c r="B199" i="5"/>
  <c r="F199" i="5" s="1"/>
  <c r="B198" i="5"/>
  <c r="E198" i="5" s="1"/>
  <c r="B197" i="5"/>
  <c r="F197" i="5" s="1"/>
  <c r="B196" i="5"/>
  <c r="F196" i="5" s="1"/>
  <c r="B195" i="5"/>
  <c r="F195" i="5" s="1"/>
  <c r="B194" i="5"/>
  <c r="F194" i="5" s="1"/>
  <c r="B193" i="5"/>
  <c r="F193" i="5" s="1"/>
  <c r="B192" i="5"/>
  <c r="F192" i="5" s="1"/>
  <c r="B191" i="5"/>
  <c r="E191" i="5" s="1"/>
  <c r="B190" i="5"/>
  <c r="F190" i="5" s="1"/>
  <c r="B189" i="5"/>
  <c r="F189" i="5" s="1"/>
  <c r="B188" i="5"/>
  <c r="F188" i="5" s="1"/>
  <c r="B187" i="5"/>
  <c r="F187" i="5" s="1"/>
  <c r="B186" i="5"/>
  <c r="F186" i="5" s="1"/>
  <c r="B185" i="5"/>
  <c r="F185" i="5" s="1"/>
  <c r="B184" i="5"/>
  <c r="E184" i="5" s="1"/>
  <c r="B183" i="5"/>
  <c r="E183" i="5" s="1"/>
  <c r="B182" i="5"/>
  <c r="F182" i="5" s="1"/>
  <c r="B181" i="5"/>
  <c r="F181" i="5" s="1"/>
  <c r="B180" i="5"/>
  <c r="F180" i="5" s="1"/>
  <c r="B179" i="5"/>
  <c r="F179" i="5" s="1"/>
  <c r="B178" i="5"/>
  <c r="F178" i="5" s="1"/>
  <c r="B177" i="5"/>
  <c r="E177" i="5" s="1"/>
  <c r="B176" i="5"/>
  <c r="F176" i="5" s="1"/>
  <c r="B175" i="5"/>
  <c r="F175" i="5" s="1"/>
  <c r="B174" i="5"/>
  <c r="F174" i="5" s="1"/>
  <c r="B173" i="5"/>
  <c r="F173" i="5" s="1"/>
  <c r="B172" i="5"/>
  <c r="F172" i="5" s="1"/>
  <c r="B171" i="5"/>
  <c r="F171" i="5" s="1"/>
  <c r="B170" i="5"/>
  <c r="E170" i="5" s="1"/>
  <c r="B169" i="5"/>
  <c r="E169" i="5" s="1"/>
  <c r="B168" i="5"/>
  <c r="F168" i="5" s="1"/>
  <c r="B167" i="5"/>
  <c r="F167" i="5" s="1"/>
  <c r="B166" i="5"/>
  <c r="F166" i="5" s="1"/>
  <c r="B165" i="5"/>
  <c r="F165" i="5" s="1"/>
  <c r="B164" i="5"/>
  <c r="F164" i="5" s="1"/>
  <c r="B163" i="5"/>
  <c r="E163" i="5" s="1"/>
  <c r="B162" i="5"/>
  <c r="F162" i="5" s="1"/>
  <c r="B161" i="5"/>
  <c r="F161" i="5" s="1"/>
  <c r="B160" i="5"/>
  <c r="F160" i="5" s="1"/>
  <c r="B159" i="5"/>
  <c r="F159" i="5" s="1"/>
  <c r="B158" i="5"/>
  <c r="F158" i="5" s="1"/>
  <c r="B157" i="5"/>
  <c r="F157" i="5" s="1"/>
  <c r="B156" i="5"/>
  <c r="E156" i="5" s="1"/>
  <c r="B155" i="5"/>
  <c r="F155" i="5" s="1"/>
  <c r="B154" i="5"/>
  <c r="F154" i="5" s="1"/>
  <c r="B153" i="5"/>
  <c r="F153" i="5" s="1"/>
  <c r="B152" i="5"/>
  <c r="F152" i="5" s="1"/>
  <c r="B151" i="5"/>
  <c r="F151" i="5" s="1"/>
  <c r="B150" i="5"/>
  <c r="F150" i="5" s="1"/>
  <c r="B149" i="5"/>
  <c r="E149" i="5" s="1"/>
  <c r="B148" i="5"/>
  <c r="F148" i="5" s="1"/>
  <c r="B147" i="5"/>
  <c r="F147" i="5" s="1"/>
  <c r="B146" i="5"/>
  <c r="F146" i="5" s="1"/>
  <c r="B145" i="5"/>
  <c r="F145" i="5" s="1"/>
  <c r="B144" i="5"/>
  <c r="F144" i="5" s="1"/>
  <c r="B143" i="5"/>
  <c r="F143" i="5" s="1"/>
  <c r="B142" i="5"/>
  <c r="E142" i="5" s="1"/>
  <c r="B141" i="5"/>
  <c r="E141" i="5" s="1"/>
  <c r="B140" i="5"/>
  <c r="F140" i="5" s="1"/>
  <c r="B139" i="5"/>
  <c r="F139" i="5" s="1"/>
  <c r="B138" i="5"/>
  <c r="F138" i="5" s="1"/>
  <c r="B137" i="5"/>
  <c r="F137" i="5" s="1"/>
  <c r="B136" i="5"/>
  <c r="F136" i="5" s="1"/>
  <c r="B135" i="5"/>
  <c r="E135" i="5" s="1"/>
  <c r="B134" i="5"/>
  <c r="F134" i="5" s="1"/>
  <c r="B133" i="5"/>
  <c r="F133" i="5" s="1"/>
  <c r="B132" i="5"/>
  <c r="F132" i="5" s="1"/>
  <c r="B131" i="5"/>
  <c r="F131" i="5" s="1"/>
  <c r="B130" i="5"/>
  <c r="F130" i="5" s="1"/>
  <c r="B129" i="5"/>
  <c r="F129" i="5" s="1"/>
  <c r="B128" i="5"/>
  <c r="E128" i="5" s="1"/>
  <c r="B127" i="5"/>
  <c r="E127" i="5" s="1"/>
  <c r="B126" i="5"/>
  <c r="F126" i="5" s="1"/>
  <c r="B125" i="5"/>
  <c r="F125" i="5" s="1"/>
  <c r="B124" i="5"/>
  <c r="F124" i="5" s="1"/>
  <c r="B123" i="5"/>
  <c r="F123" i="5" s="1"/>
  <c r="B122" i="5"/>
  <c r="F122" i="5" s="1"/>
  <c r="B121" i="5"/>
  <c r="E121" i="5" s="1"/>
  <c r="B120" i="5"/>
  <c r="F120" i="5" s="1"/>
  <c r="B119" i="5"/>
  <c r="F119" i="5" s="1"/>
  <c r="B118" i="5"/>
  <c r="F118" i="5" s="1"/>
  <c r="B117" i="5"/>
  <c r="F117" i="5" s="1"/>
  <c r="B116" i="5"/>
  <c r="F116" i="5" s="1"/>
  <c r="B115" i="5"/>
  <c r="F115" i="5" s="1"/>
  <c r="B114" i="5"/>
  <c r="E114" i="5" s="1"/>
  <c r="B113" i="5"/>
  <c r="F113" i="5" s="1"/>
  <c r="B112" i="5"/>
  <c r="F112" i="5" s="1"/>
  <c r="B111" i="5"/>
  <c r="F111" i="5" s="1"/>
  <c r="B110" i="5"/>
  <c r="F110" i="5" s="1"/>
  <c r="B109" i="5"/>
  <c r="F109" i="5" s="1"/>
  <c r="B108" i="5"/>
  <c r="F108" i="5" s="1"/>
  <c r="B107" i="5"/>
  <c r="E107" i="5" s="1"/>
  <c r="B106" i="5"/>
  <c r="F106" i="5" s="1"/>
  <c r="B105" i="5"/>
  <c r="F105" i="5" s="1"/>
  <c r="B104" i="5"/>
  <c r="F104" i="5" s="1"/>
  <c r="B103" i="5"/>
  <c r="F103" i="5" s="1"/>
  <c r="B102" i="5"/>
  <c r="F102" i="5" s="1"/>
  <c r="B101" i="5"/>
  <c r="F101" i="5" s="1"/>
  <c r="B100" i="5"/>
  <c r="E100" i="5" s="1"/>
  <c r="B99" i="5"/>
  <c r="E99" i="5" s="1"/>
  <c r="B98" i="5"/>
  <c r="F98" i="5" s="1"/>
  <c r="B97" i="5"/>
  <c r="F97" i="5" s="1"/>
  <c r="B96" i="5"/>
  <c r="F96" i="5" s="1"/>
  <c r="B95" i="5"/>
  <c r="F95" i="5" s="1"/>
  <c r="B94" i="5"/>
  <c r="F94" i="5" s="1"/>
  <c r="B93" i="5"/>
  <c r="E93" i="5" s="1"/>
  <c r="B92" i="5"/>
  <c r="F92" i="5" s="1"/>
  <c r="B91" i="5"/>
  <c r="F91" i="5" s="1"/>
  <c r="B90" i="5"/>
  <c r="F90" i="5" s="1"/>
  <c r="B89" i="5"/>
  <c r="F89" i="5" s="1"/>
  <c r="B88" i="5"/>
  <c r="F88" i="5" s="1"/>
  <c r="B87" i="5"/>
  <c r="F87" i="5" s="1"/>
  <c r="B86" i="5"/>
  <c r="E86" i="5" s="1"/>
  <c r="B85" i="5"/>
  <c r="E85" i="5" s="1"/>
  <c r="B84" i="5"/>
  <c r="F84" i="5" s="1"/>
  <c r="B83" i="5"/>
  <c r="F83" i="5" s="1"/>
  <c r="B82" i="5"/>
  <c r="F82" i="5" s="1"/>
  <c r="B81" i="5"/>
  <c r="F81" i="5" s="1"/>
  <c r="B80" i="5"/>
  <c r="F80" i="5" s="1"/>
  <c r="B79" i="5"/>
  <c r="E79" i="5" s="1"/>
  <c r="B78" i="5"/>
  <c r="F78" i="5" s="1"/>
  <c r="B77" i="5"/>
  <c r="F77" i="5" s="1"/>
  <c r="B76" i="5"/>
  <c r="F76" i="5" s="1"/>
  <c r="B75" i="5"/>
  <c r="F75" i="5" s="1"/>
  <c r="B74" i="5"/>
  <c r="F74" i="5" s="1"/>
  <c r="B73" i="5"/>
  <c r="F73" i="5" s="1"/>
  <c r="B72" i="5"/>
  <c r="E72" i="5" s="1"/>
  <c r="B71" i="5"/>
  <c r="F71" i="5" s="1"/>
  <c r="B70" i="5"/>
  <c r="F70" i="5" s="1"/>
  <c r="B69" i="5"/>
  <c r="F69" i="5" s="1"/>
  <c r="B68" i="5"/>
  <c r="F68" i="5" s="1"/>
  <c r="B67" i="5"/>
  <c r="F67" i="5" s="1"/>
  <c r="B66" i="5"/>
  <c r="F66" i="5" s="1"/>
  <c r="B65" i="5"/>
  <c r="E65" i="5" s="1"/>
  <c r="B64" i="5"/>
  <c r="F64" i="5" s="1"/>
  <c r="B63" i="5"/>
  <c r="F63" i="5" s="1"/>
  <c r="B62" i="5"/>
  <c r="F62" i="5" s="1"/>
  <c r="B61" i="5"/>
  <c r="F61" i="5" s="1"/>
  <c r="B60" i="5"/>
  <c r="F60" i="5" s="1"/>
  <c r="B59" i="5"/>
  <c r="F59" i="5" s="1"/>
  <c r="B58" i="5"/>
  <c r="E58" i="5" s="1"/>
  <c r="B57" i="5"/>
  <c r="E57" i="5" s="1"/>
  <c r="B56" i="5"/>
  <c r="F56" i="5" s="1"/>
  <c r="B55" i="5"/>
  <c r="F55" i="5" s="1"/>
  <c r="B54" i="5"/>
  <c r="F54" i="5" s="1"/>
  <c r="B53" i="5"/>
  <c r="F53" i="5" s="1"/>
  <c r="B52" i="5"/>
  <c r="F52" i="5" s="1"/>
  <c r="B51" i="5"/>
  <c r="E51" i="5" s="1"/>
  <c r="B50" i="5"/>
  <c r="F50" i="5" s="1"/>
  <c r="B49" i="5"/>
  <c r="F49" i="5" s="1"/>
  <c r="B48" i="5"/>
  <c r="F48" i="5" s="1"/>
  <c r="B47" i="5"/>
  <c r="F47" i="5" s="1"/>
  <c r="B46" i="5"/>
  <c r="F46" i="5" s="1"/>
  <c r="B45" i="5"/>
  <c r="F45" i="5" s="1"/>
  <c r="B44" i="5"/>
  <c r="E44" i="5" s="1"/>
  <c r="B43" i="5"/>
  <c r="E43" i="5" s="1"/>
  <c r="B42" i="5"/>
  <c r="F42" i="5" s="1"/>
  <c r="B41" i="5"/>
  <c r="F41" i="5" s="1"/>
  <c r="B40" i="5"/>
  <c r="F40" i="5" s="1"/>
  <c r="B39" i="5"/>
  <c r="F39" i="5" s="1"/>
  <c r="B38" i="5"/>
  <c r="F38" i="5" s="1"/>
  <c r="B37" i="5"/>
  <c r="E37" i="5" s="1"/>
  <c r="B36" i="5"/>
  <c r="F36" i="5" s="1"/>
  <c r="B35" i="5"/>
  <c r="F35" i="5" s="1"/>
  <c r="B34" i="5"/>
  <c r="F34" i="5" s="1"/>
  <c r="B33" i="5"/>
  <c r="F33" i="5" s="1"/>
  <c r="B32" i="5"/>
  <c r="F32" i="5" s="1"/>
  <c r="B31" i="5"/>
  <c r="F31" i="5" s="1"/>
  <c r="B30" i="5"/>
  <c r="E30" i="5" s="1"/>
  <c r="B29" i="5"/>
  <c r="F29" i="5" s="1"/>
  <c r="B28" i="5"/>
  <c r="F28" i="5" s="1"/>
  <c r="B27" i="5"/>
  <c r="F27" i="5" s="1"/>
  <c r="B26" i="5"/>
  <c r="F26" i="5" s="1"/>
  <c r="B25" i="5"/>
  <c r="F25" i="5" s="1"/>
  <c r="B24" i="5"/>
  <c r="F24" i="5" s="1"/>
  <c r="B23" i="5"/>
  <c r="E23" i="5" s="1"/>
  <c r="B22" i="5"/>
  <c r="F22" i="5" s="1"/>
  <c r="B21" i="5"/>
  <c r="F21" i="5" s="1"/>
  <c r="B20" i="5"/>
  <c r="F20" i="5" s="1"/>
  <c r="B19" i="5"/>
  <c r="F19" i="5" s="1"/>
  <c r="B18" i="5"/>
  <c r="F18" i="5" s="1"/>
  <c r="B17" i="5"/>
  <c r="F17" i="5" s="1"/>
  <c r="B16" i="5"/>
  <c r="E16" i="5" s="1"/>
  <c r="B15" i="5"/>
  <c r="E15" i="5" s="1"/>
  <c r="B14" i="5"/>
  <c r="F14" i="5" s="1"/>
  <c r="B13" i="5"/>
  <c r="F13" i="5" s="1"/>
  <c r="B12" i="5"/>
  <c r="F12" i="5" s="1"/>
  <c r="B11" i="5"/>
  <c r="F11" i="5" s="1"/>
  <c r="B10" i="5"/>
  <c r="F10" i="5" s="1"/>
  <c r="B9" i="5"/>
  <c r="E9" i="5" s="1"/>
  <c r="B8" i="5"/>
  <c r="F8" i="5" s="1"/>
  <c r="B7" i="5"/>
  <c r="F7" i="5" s="1"/>
  <c r="B6" i="5"/>
  <c r="F6" i="5" s="1"/>
  <c r="B5" i="5"/>
  <c r="F5" i="5" s="1"/>
  <c r="B4" i="5"/>
  <c r="B3" i="5"/>
  <c r="F3" i="5" s="1"/>
  <c r="B2" i="5"/>
  <c r="B732" i="4"/>
  <c r="E732" i="4" s="1"/>
  <c r="B731" i="4"/>
  <c r="E731" i="4" s="1"/>
  <c r="B730" i="4"/>
  <c r="E730" i="4" s="1"/>
  <c r="B729" i="4"/>
  <c r="E729" i="4" s="1"/>
  <c r="B728" i="4"/>
  <c r="E728" i="4" s="1"/>
  <c r="B727" i="4"/>
  <c r="E727" i="4" s="1"/>
  <c r="B726" i="4"/>
  <c r="E726" i="4" s="1"/>
  <c r="E725" i="4"/>
  <c r="B725" i="4"/>
  <c r="D725" i="4" s="1"/>
  <c r="F725" i="4" s="1"/>
  <c r="D724" i="4"/>
  <c r="F724" i="4" s="1"/>
  <c r="B724" i="4"/>
  <c r="E724" i="4" s="1"/>
  <c r="B723" i="4"/>
  <c r="E723" i="4" s="1"/>
  <c r="E722" i="4"/>
  <c r="B722" i="4"/>
  <c r="D722" i="4" s="1"/>
  <c r="E721" i="4"/>
  <c r="B721" i="4"/>
  <c r="D721" i="4" s="1"/>
  <c r="F721" i="4" s="1"/>
  <c r="B720" i="4"/>
  <c r="E720" i="4" s="1"/>
  <c r="E719" i="4"/>
  <c r="B719" i="4"/>
  <c r="D719" i="4" s="1"/>
  <c r="F719" i="4" s="1"/>
  <c r="B718" i="4"/>
  <c r="B717" i="4"/>
  <c r="E717" i="4" s="1"/>
  <c r="E716" i="4"/>
  <c r="B716" i="4"/>
  <c r="D716" i="4" s="1"/>
  <c r="F716" i="4" s="1"/>
  <c r="D715" i="4"/>
  <c r="B715" i="4"/>
  <c r="E715" i="4" s="1"/>
  <c r="B714" i="4"/>
  <c r="E714" i="4" s="1"/>
  <c r="E713" i="4"/>
  <c r="B713" i="4"/>
  <c r="D713" i="4" s="1"/>
  <c r="B712" i="4"/>
  <c r="D712" i="4" s="1"/>
  <c r="B711" i="4"/>
  <c r="E711" i="4" s="1"/>
  <c r="E710" i="4"/>
  <c r="B710" i="4"/>
  <c r="D710" i="4" s="1"/>
  <c r="F710" i="4" s="1"/>
  <c r="B709" i="4"/>
  <c r="E709" i="4" s="1"/>
  <c r="B708" i="4"/>
  <c r="E708" i="4" s="1"/>
  <c r="E707" i="4"/>
  <c r="B707" i="4"/>
  <c r="D707" i="4" s="1"/>
  <c r="F707" i="4" s="1"/>
  <c r="E706" i="4"/>
  <c r="D706" i="4"/>
  <c r="F706" i="4" s="1"/>
  <c r="B706" i="4"/>
  <c r="B705" i="4"/>
  <c r="E705" i="4" s="1"/>
  <c r="E704" i="4"/>
  <c r="B704" i="4"/>
  <c r="D704" i="4" s="1"/>
  <c r="F704" i="4" s="1"/>
  <c r="E703" i="4"/>
  <c r="D703" i="4"/>
  <c r="B703" i="4"/>
  <c r="B702" i="4"/>
  <c r="E702" i="4" s="1"/>
  <c r="E701" i="4"/>
  <c r="B701" i="4"/>
  <c r="D701" i="4" s="1"/>
  <c r="F701" i="4" s="1"/>
  <c r="B700" i="4"/>
  <c r="E700" i="4" s="1"/>
  <c r="B699" i="4"/>
  <c r="E699" i="4" s="1"/>
  <c r="E698" i="4"/>
  <c r="B698" i="4"/>
  <c r="D698" i="4" s="1"/>
  <c r="F698" i="4" s="1"/>
  <c r="D697" i="4"/>
  <c r="B697" i="4"/>
  <c r="E697" i="4" s="1"/>
  <c r="B696" i="4"/>
  <c r="E696" i="4" s="1"/>
  <c r="E695" i="4"/>
  <c r="B695" i="4"/>
  <c r="D695" i="4" s="1"/>
  <c r="B694" i="4"/>
  <c r="E694" i="4" s="1"/>
  <c r="B693" i="4"/>
  <c r="E693" i="4" s="1"/>
  <c r="E692" i="4"/>
  <c r="B692" i="4"/>
  <c r="D692" i="4" s="1"/>
  <c r="B691" i="4"/>
  <c r="E691" i="4" s="1"/>
  <c r="B690" i="4"/>
  <c r="E690" i="4" s="1"/>
  <c r="E689" i="4"/>
  <c r="B689" i="4"/>
  <c r="D689" i="4" s="1"/>
  <c r="F689" i="4" s="1"/>
  <c r="E688" i="4"/>
  <c r="D688" i="4"/>
  <c r="F688" i="4" s="1"/>
  <c r="B688" i="4"/>
  <c r="B687" i="4"/>
  <c r="E687" i="4" s="1"/>
  <c r="E686" i="4"/>
  <c r="B686" i="4"/>
  <c r="D686" i="4" s="1"/>
  <c r="E685" i="4"/>
  <c r="B685" i="4"/>
  <c r="D685" i="4" s="1"/>
  <c r="F685" i="4" s="1"/>
  <c r="B684" i="4"/>
  <c r="E684" i="4" s="1"/>
  <c r="E683" i="4"/>
  <c r="B683" i="4"/>
  <c r="D683" i="4" s="1"/>
  <c r="F683" i="4" s="1"/>
  <c r="B682" i="4"/>
  <c r="B681" i="4"/>
  <c r="E681" i="4" s="1"/>
  <c r="E680" i="4"/>
  <c r="B680" i="4"/>
  <c r="D680" i="4" s="1"/>
  <c r="F680" i="4" s="1"/>
  <c r="D679" i="4"/>
  <c r="B679" i="4"/>
  <c r="E679" i="4" s="1"/>
  <c r="B678" i="4"/>
  <c r="E678" i="4" s="1"/>
  <c r="E677" i="4"/>
  <c r="B677" i="4"/>
  <c r="D677" i="4" s="1"/>
  <c r="B676" i="4"/>
  <c r="B675" i="4"/>
  <c r="E675" i="4" s="1"/>
  <c r="E674" i="4"/>
  <c r="B674" i="4"/>
  <c r="D674" i="4" s="1"/>
  <c r="F674" i="4" s="1"/>
  <c r="B673" i="4"/>
  <c r="E673" i="4" s="1"/>
  <c r="B672" i="4"/>
  <c r="E672" i="4" s="1"/>
  <c r="B671" i="4"/>
  <c r="E670" i="4"/>
  <c r="D670" i="4"/>
  <c r="B670" i="4"/>
  <c r="B669" i="4"/>
  <c r="E669" i="4" s="1"/>
  <c r="E668" i="4"/>
  <c r="B668" i="4"/>
  <c r="D668" i="4" s="1"/>
  <c r="F668" i="4" s="1"/>
  <c r="E667" i="4"/>
  <c r="D667" i="4"/>
  <c r="B667" i="4"/>
  <c r="B666" i="4"/>
  <c r="E666" i="4" s="1"/>
  <c r="B665" i="4"/>
  <c r="B664" i="4"/>
  <c r="E664" i="4" s="1"/>
  <c r="B663" i="4"/>
  <c r="E663" i="4" s="1"/>
  <c r="B662" i="4"/>
  <c r="D662" i="4" s="1"/>
  <c r="D661" i="4"/>
  <c r="F661" i="4" s="1"/>
  <c r="B661" i="4"/>
  <c r="E661" i="4" s="1"/>
  <c r="B660" i="4"/>
  <c r="E660" i="4" s="1"/>
  <c r="E659" i="4"/>
  <c r="B659" i="4"/>
  <c r="D659" i="4" s="1"/>
  <c r="B658" i="4"/>
  <c r="E658" i="4" s="1"/>
  <c r="B657" i="4"/>
  <c r="E657" i="4" s="1"/>
  <c r="E656" i="4"/>
  <c r="B656" i="4"/>
  <c r="D656" i="4" s="1"/>
  <c r="B655" i="4"/>
  <c r="E655" i="4" s="1"/>
  <c r="B654" i="4"/>
  <c r="E654" i="4" s="1"/>
  <c r="B653" i="4"/>
  <c r="D653" i="4" s="1"/>
  <c r="E652" i="4"/>
  <c r="D652" i="4"/>
  <c r="F652" i="4" s="1"/>
  <c r="B652" i="4"/>
  <c r="B651" i="4"/>
  <c r="E651" i="4" s="1"/>
  <c r="E650" i="4"/>
  <c r="B650" i="4"/>
  <c r="D650" i="4" s="1"/>
  <c r="E649" i="4"/>
  <c r="B649" i="4"/>
  <c r="D649" i="4" s="1"/>
  <c r="F649" i="4" s="1"/>
  <c r="B648" i="4"/>
  <c r="E648" i="4" s="1"/>
  <c r="B647" i="4"/>
  <c r="D647" i="4" s="1"/>
  <c r="B646" i="4"/>
  <c r="B645" i="4"/>
  <c r="E644" i="4"/>
  <c r="B644" i="4"/>
  <c r="D644" i="4" s="1"/>
  <c r="D643" i="4"/>
  <c r="B643" i="4"/>
  <c r="E643" i="4" s="1"/>
  <c r="B642" i="4"/>
  <c r="E641" i="4"/>
  <c r="B641" i="4"/>
  <c r="D641" i="4" s="1"/>
  <c r="B640" i="4"/>
  <c r="D640" i="4" s="1"/>
  <c r="B639" i="4"/>
  <c r="B638" i="4"/>
  <c r="D638" i="4" s="1"/>
  <c r="B637" i="4"/>
  <c r="E637" i="4" s="1"/>
  <c r="B636" i="4"/>
  <c r="B635" i="4"/>
  <c r="E634" i="4"/>
  <c r="D634" i="4"/>
  <c r="F634" i="4" s="1"/>
  <c r="B634" i="4"/>
  <c r="B633" i="4"/>
  <c r="E632" i="4"/>
  <c r="B632" i="4"/>
  <c r="D632" i="4" s="1"/>
  <c r="E631" i="4"/>
  <c r="D631" i="4"/>
  <c r="F631" i="4" s="1"/>
  <c r="B631" i="4"/>
  <c r="B630" i="4"/>
  <c r="B629" i="4"/>
  <c r="B628" i="4"/>
  <c r="E628" i="4" s="1"/>
  <c r="B627" i="4"/>
  <c r="B626" i="4"/>
  <c r="D626" i="4" s="1"/>
  <c r="D625" i="4"/>
  <c r="F625" i="4" s="1"/>
  <c r="B625" i="4"/>
  <c r="E625" i="4" s="1"/>
  <c r="B624" i="4"/>
  <c r="E623" i="4"/>
  <c r="B623" i="4"/>
  <c r="D623" i="4" s="1"/>
  <c r="B622" i="4"/>
  <c r="E622" i="4" s="1"/>
  <c r="B621" i="4"/>
  <c r="E620" i="4"/>
  <c r="B620" i="4"/>
  <c r="D620" i="4" s="1"/>
  <c r="B619" i="4"/>
  <c r="E619" i="4" s="1"/>
  <c r="B618" i="4"/>
  <c r="B617" i="4"/>
  <c r="D617" i="4" s="1"/>
  <c r="B616" i="4"/>
  <c r="E616" i="4" s="1"/>
  <c r="B615" i="4"/>
  <c r="E614" i="4"/>
  <c r="B614" i="4"/>
  <c r="D614" i="4" s="1"/>
  <c r="E613" i="4"/>
  <c r="D613" i="4"/>
  <c r="B613" i="4"/>
  <c r="B612" i="4"/>
  <c r="B611" i="4"/>
  <c r="D611" i="4" s="1"/>
  <c r="B610" i="4"/>
  <c r="B609" i="4"/>
  <c r="B608" i="4"/>
  <c r="D608" i="4" s="1"/>
  <c r="D607" i="4"/>
  <c r="F607" i="4" s="1"/>
  <c r="B607" i="4"/>
  <c r="E607" i="4" s="1"/>
  <c r="B606" i="4"/>
  <c r="B605" i="4"/>
  <c r="D605" i="4" s="1"/>
  <c r="B604" i="4"/>
  <c r="E604" i="4" s="1"/>
  <c r="B603" i="4"/>
  <c r="E602" i="4"/>
  <c r="B602" i="4"/>
  <c r="D602" i="4" s="1"/>
  <c r="B601" i="4"/>
  <c r="E601" i="4" s="1"/>
  <c r="B600" i="4"/>
  <c r="B599" i="4"/>
  <c r="E598" i="4"/>
  <c r="D598" i="4"/>
  <c r="B598" i="4"/>
  <c r="B597" i="4"/>
  <c r="E596" i="4"/>
  <c r="B596" i="4"/>
  <c r="D596" i="4" s="1"/>
  <c r="E595" i="4"/>
  <c r="D595" i="4"/>
  <c r="F595" i="4" s="1"/>
  <c r="B595" i="4"/>
  <c r="B594" i="4"/>
  <c r="B593" i="4"/>
  <c r="B592" i="4"/>
  <c r="B591" i="4"/>
  <c r="B590" i="4"/>
  <c r="D590" i="4" s="1"/>
  <c r="B589" i="4"/>
  <c r="E589" i="4" s="1"/>
  <c r="B588" i="4"/>
  <c r="E587" i="4"/>
  <c r="B587" i="4"/>
  <c r="D587" i="4" s="1"/>
  <c r="E586" i="4"/>
  <c r="B586" i="4"/>
  <c r="D586" i="4" s="1"/>
  <c r="B585" i="4"/>
  <c r="E584" i="4"/>
  <c r="B584" i="4"/>
  <c r="D584" i="4" s="1"/>
  <c r="B583" i="4"/>
  <c r="E583" i="4" s="1"/>
  <c r="B582" i="4"/>
  <c r="B581" i="4"/>
  <c r="B580" i="4"/>
  <c r="E580" i="4" s="1"/>
  <c r="B579" i="4"/>
  <c r="B578" i="4"/>
  <c r="B577" i="4"/>
  <c r="B576" i="4"/>
  <c r="B575" i="4"/>
  <c r="E575" i="4" s="1"/>
  <c r="E574" i="4"/>
  <c r="B574" i="4"/>
  <c r="D574" i="4" s="1"/>
  <c r="F574" i="4" s="1"/>
  <c r="B573" i="4"/>
  <c r="B572" i="4"/>
  <c r="B571" i="4"/>
  <c r="E571" i="4" s="1"/>
  <c r="B570" i="4"/>
  <c r="E569" i="4"/>
  <c r="D569" i="4"/>
  <c r="B569" i="4"/>
  <c r="B568" i="4"/>
  <c r="B567" i="4"/>
  <c r="B566" i="4"/>
  <c r="E566" i="4" s="1"/>
  <c r="B565" i="4"/>
  <c r="E565" i="4" s="1"/>
  <c r="B564" i="4"/>
  <c r="B563" i="4"/>
  <c r="B562" i="4"/>
  <c r="E562" i="4" s="1"/>
  <c r="B561" i="4"/>
  <c r="B560" i="4"/>
  <c r="E560" i="4" s="1"/>
  <c r="D559" i="4"/>
  <c r="F559" i="4" s="1"/>
  <c r="B559" i="4"/>
  <c r="E559" i="4" s="1"/>
  <c r="B558" i="4"/>
  <c r="B557" i="4"/>
  <c r="E556" i="4"/>
  <c r="D556" i="4"/>
  <c r="B556" i="4"/>
  <c r="B555" i="4"/>
  <c r="B554" i="4"/>
  <c r="E554" i="4" s="1"/>
  <c r="D553" i="4"/>
  <c r="F553" i="4" s="1"/>
  <c r="B553" i="4"/>
  <c r="E553" i="4" s="1"/>
  <c r="B552" i="4"/>
  <c r="B551" i="4"/>
  <c r="B550" i="4"/>
  <c r="E550" i="4" s="1"/>
  <c r="B549" i="4"/>
  <c r="B548" i="4"/>
  <c r="E548" i="4" s="1"/>
  <c r="D547" i="4"/>
  <c r="B547" i="4"/>
  <c r="E547" i="4" s="1"/>
  <c r="B546" i="4"/>
  <c r="B545" i="4"/>
  <c r="E544" i="4"/>
  <c r="D544" i="4"/>
  <c r="F544" i="4" s="1"/>
  <c r="B544" i="4"/>
  <c r="B543" i="4"/>
  <c r="B542" i="4"/>
  <c r="E542" i="4" s="1"/>
  <c r="B541" i="4"/>
  <c r="E541" i="4" s="1"/>
  <c r="B540" i="4"/>
  <c r="B539" i="4"/>
  <c r="B538" i="4"/>
  <c r="E538" i="4" s="1"/>
  <c r="B537" i="4"/>
  <c r="E536" i="4"/>
  <c r="D536" i="4"/>
  <c r="F536" i="4" s="1"/>
  <c r="B536" i="4"/>
  <c r="D535" i="4"/>
  <c r="B535" i="4"/>
  <c r="E535" i="4" s="1"/>
  <c r="B534" i="4"/>
  <c r="B533" i="4"/>
  <c r="E532" i="4"/>
  <c r="D532" i="4"/>
  <c r="F532" i="4" s="1"/>
  <c r="B532" i="4"/>
  <c r="B531" i="4"/>
  <c r="B530" i="4"/>
  <c r="E530" i="4" s="1"/>
  <c r="D529" i="4"/>
  <c r="F529" i="4" s="1"/>
  <c r="B529" i="4"/>
  <c r="E529" i="4" s="1"/>
  <c r="B528" i="4"/>
  <c r="B527" i="4"/>
  <c r="B526" i="4"/>
  <c r="E526" i="4" s="1"/>
  <c r="B525" i="4"/>
  <c r="B524" i="4"/>
  <c r="D523" i="4"/>
  <c r="F523" i="4" s="1"/>
  <c r="B523" i="4"/>
  <c r="E523" i="4" s="1"/>
  <c r="B522" i="4"/>
  <c r="B521" i="4"/>
  <c r="D521" i="4" s="1"/>
  <c r="E520" i="4"/>
  <c r="D520" i="4"/>
  <c r="F520" i="4" s="1"/>
  <c r="B520" i="4"/>
  <c r="B519" i="4"/>
  <c r="B518" i="4"/>
  <c r="E518" i="4" s="1"/>
  <c r="D517" i="4"/>
  <c r="F517" i="4" s="1"/>
  <c r="B517" i="4"/>
  <c r="E517" i="4" s="1"/>
  <c r="B516" i="4"/>
  <c r="B515" i="4"/>
  <c r="B514" i="4"/>
  <c r="B513" i="4"/>
  <c r="E512" i="4"/>
  <c r="D512" i="4"/>
  <c r="B512" i="4"/>
  <c r="E511" i="4"/>
  <c r="B511" i="4"/>
  <c r="D511" i="4" s="1"/>
  <c r="B510" i="4"/>
  <c r="B509" i="4"/>
  <c r="E509" i="4" s="1"/>
  <c r="B508" i="4"/>
  <c r="B507" i="4"/>
  <c r="E507" i="4" s="1"/>
  <c r="B506" i="4"/>
  <c r="E505" i="4"/>
  <c r="D505" i="4"/>
  <c r="F505" i="4" s="1"/>
  <c r="B505" i="4"/>
  <c r="B504" i="4"/>
  <c r="E504" i="4" s="1"/>
  <c r="B503" i="4"/>
  <c r="D503" i="4" s="1"/>
  <c r="E502" i="4"/>
  <c r="D502" i="4"/>
  <c r="F502" i="4" s="1"/>
  <c r="B502" i="4"/>
  <c r="D501" i="4"/>
  <c r="F501" i="4" s="1"/>
  <c r="B501" i="4"/>
  <c r="E501" i="4" s="1"/>
  <c r="E500" i="4"/>
  <c r="D500" i="4"/>
  <c r="F500" i="4" s="1"/>
  <c r="B500" i="4"/>
  <c r="D499" i="4"/>
  <c r="B499" i="4"/>
  <c r="E499" i="4" s="1"/>
  <c r="B498" i="4"/>
  <c r="B497" i="4"/>
  <c r="E496" i="4"/>
  <c r="D496" i="4"/>
  <c r="F496" i="4" s="1"/>
  <c r="B496" i="4"/>
  <c r="D495" i="4"/>
  <c r="F495" i="4" s="1"/>
  <c r="B495" i="4"/>
  <c r="E495" i="4" s="1"/>
  <c r="B494" i="4"/>
  <c r="E494" i="4" s="1"/>
  <c r="B493" i="4"/>
  <c r="E493" i="4" s="1"/>
  <c r="D492" i="4"/>
  <c r="F492" i="4" s="1"/>
  <c r="B492" i="4"/>
  <c r="E492" i="4" s="1"/>
  <c r="E491" i="4"/>
  <c r="B491" i="4"/>
  <c r="D491" i="4" s="1"/>
  <c r="B490" i="4"/>
  <c r="D490" i="4" s="1"/>
  <c r="B489" i="4"/>
  <c r="E489" i="4" s="1"/>
  <c r="D488" i="4"/>
  <c r="B488" i="4"/>
  <c r="E488" i="4" s="1"/>
  <c r="E487" i="4"/>
  <c r="D487" i="4"/>
  <c r="F487" i="4" s="1"/>
  <c r="B487" i="4"/>
  <c r="B486" i="4"/>
  <c r="E486" i="4" s="1"/>
  <c r="B485" i="4"/>
  <c r="B484" i="4"/>
  <c r="D483" i="4"/>
  <c r="F483" i="4" s="1"/>
  <c r="B483" i="4"/>
  <c r="E483" i="4" s="1"/>
  <c r="E482" i="4"/>
  <c r="D482" i="4"/>
  <c r="F482" i="4" s="1"/>
  <c r="B482" i="4"/>
  <c r="B481" i="4"/>
  <c r="E481" i="4" s="1"/>
  <c r="B480" i="4"/>
  <c r="E479" i="4"/>
  <c r="D479" i="4"/>
  <c r="F479" i="4" s="1"/>
  <c r="B479" i="4"/>
  <c r="E478" i="4"/>
  <c r="B478" i="4"/>
  <c r="D478" i="4" s="1"/>
  <c r="B477" i="4"/>
  <c r="D477" i="4" s="1"/>
  <c r="E476" i="4"/>
  <c r="D476" i="4"/>
  <c r="F476" i="4" s="1"/>
  <c r="B476" i="4"/>
  <c r="E475" i="4"/>
  <c r="B475" i="4"/>
  <c r="D475" i="4" s="1"/>
  <c r="E474" i="4"/>
  <c r="B474" i="4"/>
  <c r="D474" i="4" s="1"/>
  <c r="E473" i="4"/>
  <c r="D473" i="4"/>
  <c r="F473" i="4" s="1"/>
  <c r="B473" i="4"/>
  <c r="E472" i="4"/>
  <c r="B472" i="4"/>
  <c r="D472" i="4" s="1"/>
  <c r="B471" i="4"/>
  <c r="D471" i="4" s="1"/>
  <c r="E470" i="4"/>
  <c r="D470" i="4"/>
  <c r="F470" i="4" s="1"/>
  <c r="B470" i="4"/>
  <c r="E469" i="4"/>
  <c r="B469" i="4"/>
  <c r="D469" i="4" s="1"/>
  <c r="E468" i="4"/>
  <c r="B468" i="4"/>
  <c r="D468" i="4" s="1"/>
  <c r="B467" i="4"/>
  <c r="E467" i="4" s="1"/>
  <c r="E466" i="4"/>
  <c r="B466" i="4"/>
  <c r="D466" i="4" s="1"/>
  <c r="F466" i="4" s="1"/>
  <c r="E465" i="4"/>
  <c r="B465" i="4"/>
  <c r="D465" i="4" s="1"/>
  <c r="F465" i="4" s="1"/>
  <c r="E464" i="4"/>
  <c r="D464" i="4"/>
  <c r="B464" i="4"/>
  <c r="B463" i="4"/>
  <c r="D463" i="4" s="1"/>
  <c r="B462" i="4"/>
  <c r="D462" i="4" s="1"/>
  <c r="B461" i="4"/>
  <c r="E460" i="4"/>
  <c r="B460" i="4"/>
  <c r="D460" i="4" s="1"/>
  <c r="B459" i="4"/>
  <c r="D459" i="4" s="1"/>
  <c r="D458" i="4"/>
  <c r="F458" i="4" s="1"/>
  <c r="B458" i="4"/>
  <c r="E458" i="4" s="1"/>
  <c r="E457" i="4"/>
  <c r="B457" i="4"/>
  <c r="D457" i="4" s="1"/>
  <c r="E456" i="4"/>
  <c r="B456" i="4"/>
  <c r="D456" i="4" s="1"/>
  <c r="F456" i="4" s="1"/>
  <c r="B455" i="4"/>
  <c r="E455" i="4" s="1"/>
  <c r="B454" i="4"/>
  <c r="D454" i="4" s="1"/>
  <c r="E453" i="4"/>
  <c r="B453" i="4"/>
  <c r="D453" i="4" s="1"/>
  <c r="F453" i="4" s="1"/>
  <c r="E452" i="4"/>
  <c r="D452" i="4"/>
  <c r="F452" i="4" s="1"/>
  <c r="B452" i="4"/>
  <c r="B451" i="4"/>
  <c r="D451" i="4" s="1"/>
  <c r="B450" i="4"/>
  <c r="D450" i="4" s="1"/>
  <c r="B449" i="4"/>
  <c r="E448" i="4"/>
  <c r="B448" i="4"/>
  <c r="D448" i="4" s="1"/>
  <c r="B447" i="4"/>
  <c r="D446" i="4"/>
  <c r="B446" i="4"/>
  <c r="E446" i="4" s="1"/>
  <c r="E445" i="4"/>
  <c r="B445" i="4"/>
  <c r="D445" i="4" s="1"/>
  <c r="E444" i="4"/>
  <c r="B444" i="4"/>
  <c r="D444" i="4" s="1"/>
  <c r="F444" i="4" s="1"/>
  <c r="D443" i="4"/>
  <c r="F443" i="4" s="1"/>
  <c r="B443" i="4"/>
  <c r="E443" i="4" s="1"/>
  <c r="B442" i="4"/>
  <c r="D442" i="4" s="1"/>
  <c r="B441" i="4"/>
  <c r="D441" i="4" s="1"/>
  <c r="E440" i="4"/>
  <c r="D440" i="4"/>
  <c r="B440" i="4"/>
  <c r="B439" i="4"/>
  <c r="B438" i="4"/>
  <c r="D438" i="4" s="1"/>
  <c r="B437" i="4"/>
  <c r="E436" i="4"/>
  <c r="B436" i="4"/>
  <c r="D436" i="4" s="1"/>
  <c r="B435" i="4"/>
  <c r="D434" i="4"/>
  <c r="B434" i="4"/>
  <c r="E434" i="4" s="1"/>
  <c r="B433" i="4"/>
  <c r="D433" i="4" s="1"/>
  <c r="E432" i="4"/>
  <c r="B432" i="4"/>
  <c r="D432" i="4" s="1"/>
  <c r="D431" i="4"/>
  <c r="F431" i="4" s="1"/>
  <c r="B431" i="4"/>
  <c r="E431" i="4" s="1"/>
  <c r="B430" i="4"/>
  <c r="D430" i="4" s="1"/>
  <c r="B429" i="4"/>
  <c r="D429" i="4" s="1"/>
  <c r="E428" i="4"/>
  <c r="D428" i="4"/>
  <c r="F428" i="4" s="1"/>
  <c r="B428" i="4"/>
  <c r="B427" i="4"/>
  <c r="B426" i="4"/>
  <c r="B425" i="4"/>
  <c r="E424" i="4"/>
  <c r="B424" i="4"/>
  <c r="D424" i="4" s="1"/>
  <c r="B423" i="4"/>
  <c r="D422" i="4"/>
  <c r="B422" i="4"/>
  <c r="E422" i="4" s="1"/>
  <c r="B421" i="4"/>
  <c r="D421" i="4" s="1"/>
  <c r="E420" i="4"/>
  <c r="B420" i="4"/>
  <c r="D420" i="4" s="1"/>
  <c r="D419" i="4"/>
  <c r="B419" i="4"/>
  <c r="E419" i="4" s="1"/>
  <c r="B418" i="4"/>
  <c r="B417" i="4"/>
  <c r="E416" i="4"/>
  <c r="D416" i="4"/>
  <c r="F416" i="4" s="1"/>
  <c r="B416" i="4"/>
  <c r="B415" i="4"/>
  <c r="B414" i="4"/>
  <c r="B413" i="4"/>
  <c r="E413" i="4" s="1"/>
  <c r="E412" i="4"/>
  <c r="B412" i="4"/>
  <c r="D412" i="4" s="1"/>
  <c r="B411" i="4"/>
  <c r="D410" i="4"/>
  <c r="F410" i="4" s="1"/>
  <c r="B410" i="4"/>
  <c r="E410" i="4" s="1"/>
  <c r="B409" i="4"/>
  <c r="E408" i="4"/>
  <c r="B408" i="4"/>
  <c r="D408" i="4" s="1"/>
  <c r="D407" i="4"/>
  <c r="F407" i="4" s="1"/>
  <c r="B407" i="4"/>
  <c r="E407" i="4" s="1"/>
  <c r="B406" i="4"/>
  <c r="B405" i="4"/>
  <c r="E404" i="4"/>
  <c r="D404" i="4"/>
  <c r="B404" i="4"/>
  <c r="B403" i="4"/>
  <c r="B402" i="4"/>
  <c r="B401" i="4"/>
  <c r="E401" i="4" s="1"/>
  <c r="E400" i="4"/>
  <c r="B400" i="4"/>
  <c r="D400" i="4" s="1"/>
  <c r="B399" i="4"/>
  <c r="D398" i="4"/>
  <c r="B398" i="4"/>
  <c r="E398" i="4" s="1"/>
  <c r="B397" i="4"/>
  <c r="E396" i="4"/>
  <c r="B396" i="4"/>
  <c r="D396" i="4" s="1"/>
  <c r="F396" i="4" s="1"/>
  <c r="D395" i="4"/>
  <c r="B395" i="4"/>
  <c r="E395" i="4" s="1"/>
  <c r="B394" i="4"/>
  <c r="B393" i="4"/>
  <c r="E392" i="4"/>
  <c r="D392" i="4"/>
  <c r="B392" i="4"/>
  <c r="B391" i="4"/>
  <c r="B390" i="4"/>
  <c r="D389" i="4"/>
  <c r="F389" i="4" s="1"/>
  <c r="B389" i="4"/>
  <c r="E389" i="4" s="1"/>
  <c r="E388" i="4"/>
  <c r="B388" i="4"/>
  <c r="D388" i="4" s="1"/>
  <c r="B387" i="4"/>
  <c r="D386" i="4"/>
  <c r="F386" i="4" s="1"/>
  <c r="B386" i="4"/>
  <c r="E386" i="4" s="1"/>
  <c r="B385" i="4"/>
  <c r="E385" i="4" s="1"/>
  <c r="E384" i="4"/>
  <c r="B384" i="4"/>
  <c r="D384" i="4" s="1"/>
  <c r="F384" i="4" s="1"/>
  <c r="E383" i="4"/>
  <c r="D383" i="4"/>
  <c r="B383" i="4"/>
  <c r="E382" i="4"/>
  <c r="B382" i="4"/>
  <c r="D382" i="4" s="1"/>
  <c r="F382" i="4" s="1"/>
  <c r="B381" i="4"/>
  <c r="D381" i="4" s="1"/>
  <c r="B380" i="4"/>
  <c r="B379" i="4"/>
  <c r="B378" i="4"/>
  <c r="E377" i="4"/>
  <c r="D377" i="4"/>
  <c r="F377" i="4" s="1"/>
  <c r="B377" i="4"/>
  <c r="D376" i="4"/>
  <c r="F376" i="4" s="1"/>
  <c r="B376" i="4"/>
  <c r="E376" i="4" s="1"/>
  <c r="E375" i="4"/>
  <c r="B375" i="4"/>
  <c r="D375" i="4" s="1"/>
  <c r="F375" i="4" s="1"/>
  <c r="D374" i="4"/>
  <c r="F374" i="4" s="1"/>
  <c r="B374" i="4"/>
  <c r="E374" i="4" s="1"/>
  <c r="E373" i="4"/>
  <c r="D373" i="4"/>
  <c r="B373" i="4"/>
  <c r="E372" i="4"/>
  <c r="B372" i="4"/>
  <c r="D372" i="4" s="1"/>
  <c r="B371" i="4"/>
  <c r="E371" i="4" s="1"/>
  <c r="B370" i="4"/>
  <c r="E370" i="4" s="1"/>
  <c r="B369" i="4"/>
  <c r="D368" i="4"/>
  <c r="F368" i="4" s="1"/>
  <c r="B368" i="4"/>
  <c r="E368" i="4" s="1"/>
  <c r="E367" i="4"/>
  <c r="D367" i="4"/>
  <c r="B367" i="4"/>
  <c r="E366" i="4"/>
  <c r="B366" i="4"/>
  <c r="D366" i="4" s="1"/>
  <c r="E365" i="4"/>
  <c r="D365" i="4"/>
  <c r="F365" i="4" s="1"/>
  <c r="B365" i="4"/>
  <c r="E364" i="4"/>
  <c r="B364" i="4"/>
  <c r="D364" i="4" s="1"/>
  <c r="E363" i="4"/>
  <c r="B363" i="4"/>
  <c r="D363" i="4" s="1"/>
  <c r="F363" i="4" s="1"/>
  <c r="B362" i="4"/>
  <c r="B361" i="4"/>
  <c r="D361" i="4" s="1"/>
  <c r="B360" i="4"/>
  <c r="D360" i="4" s="1"/>
  <c r="E359" i="4"/>
  <c r="D359" i="4"/>
  <c r="F359" i="4" s="1"/>
  <c r="B359" i="4"/>
  <c r="D358" i="4"/>
  <c r="F358" i="4" s="1"/>
  <c r="B358" i="4"/>
  <c r="E358" i="4" s="1"/>
  <c r="E357" i="4"/>
  <c r="B357" i="4"/>
  <c r="D357" i="4" s="1"/>
  <c r="F357" i="4" s="1"/>
  <c r="B356" i="4"/>
  <c r="E356" i="4" s="1"/>
  <c r="E355" i="4"/>
  <c r="D355" i="4"/>
  <c r="B355" i="4"/>
  <c r="E354" i="4"/>
  <c r="B354" i="4"/>
  <c r="D354" i="4" s="1"/>
  <c r="B353" i="4"/>
  <c r="E353" i="4" s="1"/>
  <c r="E352" i="4"/>
  <c r="D352" i="4"/>
  <c r="F352" i="4" s="1"/>
  <c r="B352" i="4"/>
  <c r="B351" i="4"/>
  <c r="B350" i="4"/>
  <c r="E350" i="4" s="1"/>
  <c r="B349" i="4"/>
  <c r="E349" i="4" s="1"/>
  <c r="E348" i="4"/>
  <c r="B348" i="4"/>
  <c r="D348" i="4" s="1"/>
  <c r="E347" i="4"/>
  <c r="D347" i="4"/>
  <c r="B347" i="4"/>
  <c r="B346" i="4"/>
  <c r="E346" i="4" s="1"/>
  <c r="B345" i="4"/>
  <c r="D345" i="4" s="1"/>
  <c r="B344" i="4"/>
  <c r="E343" i="4"/>
  <c r="B343" i="4"/>
  <c r="D343" i="4" s="1"/>
  <c r="E342" i="4"/>
  <c r="D342" i="4"/>
  <c r="F342" i="4" s="1"/>
  <c r="B342" i="4"/>
  <c r="E341" i="4"/>
  <c r="D341" i="4"/>
  <c r="F341" i="4" s="1"/>
  <c r="B341" i="4"/>
  <c r="E340" i="4"/>
  <c r="D340" i="4"/>
  <c r="F340" i="4" s="1"/>
  <c r="B340" i="4"/>
  <c r="E339" i="4"/>
  <c r="D339" i="4"/>
  <c r="F339" i="4" s="1"/>
  <c r="B339" i="4"/>
  <c r="E338" i="4"/>
  <c r="D338" i="4"/>
  <c r="F338" i="4" s="1"/>
  <c r="B338" i="4"/>
  <c r="B337" i="4"/>
  <c r="E337" i="4" s="1"/>
  <c r="B336" i="4"/>
  <c r="E336" i="4" s="1"/>
  <c r="E335" i="4"/>
  <c r="D335" i="4"/>
  <c r="F335" i="4" s="1"/>
  <c r="B335" i="4"/>
  <c r="B334" i="4"/>
  <c r="B333" i="4"/>
  <c r="E333" i="4" s="1"/>
  <c r="B332" i="4"/>
  <c r="E332" i="4" s="1"/>
  <c r="E331" i="4"/>
  <c r="D331" i="4"/>
  <c r="B331" i="4"/>
  <c r="E330" i="4"/>
  <c r="D330" i="4"/>
  <c r="F330" i="4" s="1"/>
  <c r="B330" i="4"/>
  <c r="B329" i="4"/>
  <c r="E328" i="4"/>
  <c r="D328" i="4"/>
  <c r="B328" i="4"/>
  <c r="B327" i="4"/>
  <c r="E327" i="4" s="1"/>
  <c r="B326" i="4"/>
  <c r="E326" i="4" s="1"/>
  <c r="B325" i="4"/>
  <c r="E325" i="4" s="1"/>
  <c r="D324" i="4"/>
  <c r="F324" i="4" s="1"/>
  <c r="B324" i="4"/>
  <c r="E324" i="4" s="1"/>
  <c r="D323" i="4"/>
  <c r="F323" i="4" s="1"/>
  <c r="B323" i="4"/>
  <c r="E323" i="4" s="1"/>
  <c r="B322" i="4"/>
  <c r="E322" i="4" s="1"/>
  <c r="B321" i="4"/>
  <c r="E320" i="4"/>
  <c r="D320" i="4"/>
  <c r="F320" i="4" s="1"/>
  <c r="B320" i="4"/>
  <c r="D319" i="4"/>
  <c r="B319" i="4"/>
  <c r="E319" i="4" s="1"/>
  <c r="E318" i="4"/>
  <c r="D318" i="4"/>
  <c r="B318" i="4"/>
  <c r="E317" i="4"/>
  <c r="D317" i="4"/>
  <c r="F317" i="4" s="1"/>
  <c r="B317" i="4"/>
  <c r="B316" i="4"/>
  <c r="E316" i="4" s="1"/>
  <c r="E315" i="4"/>
  <c r="D315" i="4"/>
  <c r="F315" i="4" s="1"/>
  <c r="B315" i="4"/>
  <c r="B314" i="4"/>
  <c r="E314" i="4" s="1"/>
  <c r="E313" i="4"/>
  <c r="D313" i="4"/>
  <c r="B313" i="4"/>
  <c r="E312" i="4"/>
  <c r="D312" i="4"/>
  <c r="F312" i="4" s="1"/>
  <c r="B312" i="4"/>
  <c r="B311" i="4"/>
  <c r="E311" i="4" s="1"/>
  <c r="B310" i="4"/>
  <c r="E310" i="4" s="1"/>
  <c r="E309" i="4"/>
  <c r="D309" i="4"/>
  <c r="F309" i="4" s="1"/>
  <c r="B309" i="4"/>
  <c r="B308" i="4"/>
  <c r="B307" i="4"/>
  <c r="E307" i="4" s="1"/>
  <c r="E306" i="4"/>
  <c r="D306" i="4"/>
  <c r="F306" i="4" s="1"/>
  <c r="B306" i="4"/>
  <c r="B305" i="4"/>
  <c r="B304" i="4"/>
  <c r="E304" i="4" s="1"/>
  <c r="B303" i="4"/>
  <c r="E303" i="4" s="1"/>
  <c r="B302" i="4"/>
  <c r="D301" i="4"/>
  <c r="B301" i="4"/>
  <c r="E301" i="4" s="1"/>
  <c r="B300" i="4"/>
  <c r="E300" i="4" s="1"/>
  <c r="B299" i="4"/>
  <c r="E298" i="4"/>
  <c r="D298" i="4"/>
  <c r="F298" i="4" s="1"/>
  <c r="B298" i="4"/>
  <c r="B297" i="4"/>
  <c r="E297" i="4" s="1"/>
  <c r="B296" i="4"/>
  <c r="E295" i="4"/>
  <c r="D295" i="4"/>
  <c r="B295" i="4"/>
  <c r="D294" i="4"/>
  <c r="F294" i="4" s="1"/>
  <c r="B294" i="4"/>
  <c r="E294" i="4" s="1"/>
  <c r="B293" i="4"/>
  <c r="D293" i="4" s="1"/>
  <c r="E292" i="4"/>
  <c r="D292" i="4"/>
  <c r="F292" i="4" s="1"/>
  <c r="B292" i="4"/>
  <c r="B291" i="4"/>
  <c r="E291" i="4" s="1"/>
  <c r="B290" i="4"/>
  <c r="D290" i="4" s="1"/>
  <c r="B289" i="4"/>
  <c r="E289" i="4" s="1"/>
  <c r="E288" i="4"/>
  <c r="D288" i="4"/>
  <c r="F288" i="4" s="1"/>
  <c r="B288" i="4"/>
  <c r="E287" i="4"/>
  <c r="B287" i="4"/>
  <c r="D287" i="4" s="1"/>
  <c r="F287" i="4" s="1"/>
  <c r="B286" i="4"/>
  <c r="E285" i="4"/>
  <c r="D285" i="4"/>
  <c r="F285" i="4" s="1"/>
  <c r="B285" i="4"/>
  <c r="E284" i="4"/>
  <c r="B284" i="4"/>
  <c r="D284" i="4" s="1"/>
  <c r="F284" i="4" s="1"/>
  <c r="B283" i="4"/>
  <c r="E283" i="4" s="1"/>
  <c r="E282" i="4"/>
  <c r="D282" i="4"/>
  <c r="B282" i="4"/>
  <c r="B281" i="4"/>
  <c r="D281" i="4" s="1"/>
  <c r="B280" i="4"/>
  <c r="E280" i="4" s="1"/>
  <c r="E279" i="4"/>
  <c r="D279" i="4"/>
  <c r="F279" i="4" s="1"/>
  <c r="B279" i="4"/>
  <c r="E278" i="4"/>
  <c r="B278" i="4"/>
  <c r="D278" i="4" s="1"/>
  <c r="F278" i="4" s="1"/>
  <c r="B277" i="4"/>
  <c r="E277" i="4" s="1"/>
  <c r="D276" i="4"/>
  <c r="F276" i="4" s="1"/>
  <c r="B276" i="4"/>
  <c r="E276" i="4" s="1"/>
  <c r="E275" i="4"/>
  <c r="B275" i="4"/>
  <c r="D275" i="4" s="1"/>
  <c r="F275" i="4" s="1"/>
  <c r="E274" i="4"/>
  <c r="D274" i="4"/>
  <c r="F274" i="4" s="1"/>
  <c r="B274" i="4"/>
  <c r="B273" i="4"/>
  <c r="E272" i="4"/>
  <c r="B272" i="4"/>
  <c r="D272" i="4" s="1"/>
  <c r="F272" i="4" s="1"/>
  <c r="D271" i="4"/>
  <c r="F271" i="4" s="1"/>
  <c r="B271" i="4"/>
  <c r="E271" i="4" s="1"/>
  <c r="B270" i="4"/>
  <c r="E270" i="4" s="1"/>
  <c r="E269" i="4"/>
  <c r="B269" i="4"/>
  <c r="D269" i="4" s="1"/>
  <c r="F269" i="4" s="1"/>
  <c r="B268" i="4"/>
  <c r="E268" i="4" s="1"/>
  <c r="B267" i="4"/>
  <c r="E267" i="4" s="1"/>
  <c r="E266" i="4"/>
  <c r="B266" i="4"/>
  <c r="D266" i="4" s="1"/>
  <c r="E265" i="4"/>
  <c r="D265" i="4"/>
  <c r="F265" i="4" s="1"/>
  <c r="B265" i="4"/>
  <c r="B264" i="4"/>
  <c r="E264" i="4" s="1"/>
  <c r="B263" i="4"/>
  <c r="E262" i="4"/>
  <c r="D262" i="4"/>
  <c r="F262" i="4" s="1"/>
  <c r="B262" i="4"/>
  <c r="E261" i="4"/>
  <c r="D261" i="4"/>
  <c r="F261" i="4" s="1"/>
  <c r="B261" i="4"/>
  <c r="B260" i="4"/>
  <c r="D260" i="4" s="1"/>
  <c r="E259" i="4"/>
  <c r="D259" i="4"/>
  <c r="F259" i="4" s="1"/>
  <c r="B259" i="4"/>
  <c r="D258" i="4"/>
  <c r="B258" i="4"/>
  <c r="E258" i="4" s="1"/>
  <c r="B257" i="4"/>
  <c r="D257" i="4" s="1"/>
  <c r="E256" i="4"/>
  <c r="D256" i="4"/>
  <c r="F256" i="4" s="1"/>
  <c r="B256" i="4"/>
  <c r="B255" i="4"/>
  <c r="E255" i="4" s="1"/>
  <c r="B254" i="4"/>
  <c r="D254" i="4" s="1"/>
  <c r="D253" i="4"/>
  <c r="F253" i="4" s="1"/>
  <c r="B253" i="4"/>
  <c r="E253" i="4" s="1"/>
  <c r="E252" i="4"/>
  <c r="D252" i="4"/>
  <c r="F252" i="4" s="1"/>
  <c r="B252" i="4"/>
  <c r="E251" i="4"/>
  <c r="B251" i="4"/>
  <c r="D251" i="4" s="1"/>
  <c r="F251" i="4" s="1"/>
  <c r="B250" i="4"/>
  <c r="E249" i="4"/>
  <c r="D249" i="4"/>
  <c r="F249" i="4" s="1"/>
  <c r="B249" i="4"/>
  <c r="E248" i="4"/>
  <c r="B248" i="4"/>
  <c r="D248" i="4" s="1"/>
  <c r="F248" i="4" s="1"/>
  <c r="B247" i="4"/>
  <c r="E247" i="4" s="1"/>
  <c r="E246" i="4"/>
  <c r="D246" i="4"/>
  <c r="B246" i="4"/>
  <c r="B245" i="4"/>
  <c r="D245" i="4" s="1"/>
  <c r="B244" i="4"/>
  <c r="E244" i="4" s="1"/>
  <c r="E243" i="4"/>
  <c r="D243" i="4"/>
  <c r="F243" i="4" s="1"/>
  <c r="B243" i="4"/>
  <c r="E242" i="4"/>
  <c r="B242" i="4"/>
  <c r="D242" i="4" s="1"/>
  <c r="F242" i="4" s="1"/>
  <c r="B241" i="4"/>
  <c r="E241" i="4" s="1"/>
  <c r="B240" i="4"/>
  <c r="E240" i="4" s="1"/>
  <c r="E239" i="4"/>
  <c r="B239" i="4"/>
  <c r="D239" i="4" s="1"/>
  <c r="F239" i="4" s="1"/>
  <c r="E238" i="4"/>
  <c r="D238" i="4"/>
  <c r="F238" i="4" s="1"/>
  <c r="B238" i="4"/>
  <c r="B237" i="4"/>
  <c r="E236" i="4"/>
  <c r="B236" i="4"/>
  <c r="D236" i="4" s="1"/>
  <c r="F236" i="4" s="1"/>
  <c r="D235" i="4"/>
  <c r="B235" i="4"/>
  <c r="E235" i="4" s="1"/>
  <c r="B234" i="4"/>
  <c r="E234" i="4" s="1"/>
  <c r="E233" i="4"/>
  <c r="B233" i="4"/>
  <c r="D233" i="4" s="1"/>
  <c r="F233" i="4" s="1"/>
  <c r="B232" i="4"/>
  <c r="E232" i="4" s="1"/>
  <c r="B231" i="4"/>
  <c r="E231" i="4" s="1"/>
  <c r="B230" i="4"/>
  <c r="D230" i="4" s="1"/>
  <c r="E229" i="4"/>
  <c r="D229" i="4"/>
  <c r="F229" i="4" s="1"/>
  <c r="B229" i="4"/>
  <c r="B228" i="4"/>
  <c r="E228" i="4" s="1"/>
  <c r="B227" i="4"/>
  <c r="E226" i="4"/>
  <c r="D226" i="4"/>
  <c r="F226" i="4" s="1"/>
  <c r="B226" i="4"/>
  <c r="E225" i="4"/>
  <c r="D225" i="4"/>
  <c r="F225" i="4" s="1"/>
  <c r="B225" i="4"/>
  <c r="B224" i="4"/>
  <c r="E223" i="4"/>
  <c r="D223" i="4"/>
  <c r="B223" i="4"/>
  <c r="D222" i="4"/>
  <c r="F222" i="4" s="1"/>
  <c r="B222" i="4"/>
  <c r="E222" i="4" s="1"/>
  <c r="B221" i="4"/>
  <c r="D221" i="4" s="1"/>
  <c r="E220" i="4"/>
  <c r="D220" i="4"/>
  <c r="F220" i="4" s="1"/>
  <c r="B220" i="4"/>
  <c r="B219" i="4"/>
  <c r="E219" i="4" s="1"/>
  <c r="B218" i="4"/>
  <c r="D218" i="4" s="1"/>
  <c r="E217" i="4"/>
  <c r="D217" i="4"/>
  <c r="F217" i="4" s="1"/>
  <c r="B217" i="4"/>
  <c r="E216" i="4"/>
  <c r="D216" i="4"/>
  <c r="F216" i="4" s="1"/>
  <c r="B216" i="4"/>
  <c r="E215" i="4"/>
  <c r="B215" i="4"/>
  <c r="D215" i="4" s="1"/>
  <c r="F215" i="4" s="1"/>
  <c r="B214" i="4"/>
  <c r="E214" i="4" s="1"/>
  <c r="E213" i="4"/>
  <c r="D213" i="4"/>
  <c r="F213" i="4" s="1"/>
  <c r="B213" i="4"/>
  <c r="E212" i="4"/>
  <c r="B212" i="4"/>
  <c r="D212" i="4" s="1"/>
  <c r="F212" i="4" s="1"/>
  <c r="B211" i="4"/>
  <c r="E210" i="4"/>
  <c r="D210" i="4"/>
  <c r="B210" i="4"/>
  <c r="B209" i="4"/>
  <c r="D209" i="4" s="1"/>
  <c r="B208" i="4"/>
  <c r="E208" i="4" s="1"/>
  <c r="E207" i="4"/>
  <c r="D207" i="4"/>
  <c r="F207" i="4" s="1"/>
  <c r="B207" i="4"/>
  <c r="B206" i="4"/>
  <c r="E206" i="4" s="1"/>
  <c r="B205" i="4"/>
  <c r="E205" i="4" s="1"/>
  <c r="E204" i="4"/>
  <c r="D204" i="4"/>
  <c r="F204" i="4" s="1"/>
  <c r="B204" i="4"/>
  <c r="B203" i="4"/>
  <c r="E203" i="4" s="1"/>
  <c r="B202" i="4"/>
  <c r="E202" i="4" s="1"/>
  <c r="E201" i="4"/>
  <c r="D201" i="4"/>
  <c r="F201" i="4" s="1"/>
  <c r="B201" i="4"/>
  <c r="B200" i="4"/>
  <c r="E200" i="4" s="1"/>
  <c r="B199" i="4"/>
  <c r="E199" i="4" s="1"/>
  <c r="E198" i="4"/>
  <c r="D198" i="4"/>
  <c r="F198" i="4" s="1"/>
  <c r="B198" i="4"/>
  <c r="B197" i="4"/>
  <c r="E197" i="4" s="1"/>
  <c r="B196" i="4"/>
  <c r="E196" i="4" s="1"/>
  <c r="E195" i="4"/>
  <c r="D195" i="4"/>
  <c r="F195" i="4" s="1"/>
  <c r="B195" i="4"/>
  <c r="B194" i="4"/>
  <c r="E194" i="4" s="1"/>
  <c r="B193" i="4"/>
  <c r="E193" i="4" s="1"/>
  <c r="E192" i="4"/>
  <c r="D192" i="4"/>
  <c r="F192" i="4" s="1"/>
  <c r="B192" i="4"/>
  <c r="B191" i="4"/>
  <c r="E191" i="4" s="1"/>
  <c r="B190" i="4"/>
  <c r="E189" i="4"/>
  <c r="D189" i="4"/>
  <c r="F189" i="4" s="1"/>
  <c r="B189" i="4"/>
  <c r="B188" i="4"/>
  <c r="E188" i="4" s="1"/>
  <c r="B187" i="4"/>
  <c r="E186" i="4"/>
  <c r="B186" i="4"/>
  <c r="D186" i="4" s="1"/>
  <c r="F186" i="4" s="1"/>
  <c r="B185" i="4"/>
  <c r="E185" i="4" s="1"/>
  <c r="B184" i="4"/>
  <c r="E183" i="4"/>
  <c r="D183" i="4"/>
  <c r="F183" i="4" s="1"/>
  <c r="B183" i="4"/>
  <c r="B182" i="4"/>
  <c r="E182" i="4" s="1"/>
  <c r="B181" i="4"/>
  <c r="E180" i="4"/>
  <c r="B180" i="4"/>
  <c r="D180" i="4" s="1"/>
  <c r="F180" i="4" s="1"/>
  <c r="B179" i="4"/>
  <c r="E179" i="4" s="1"/>
  <c r="B178" i="4"/>
  <c r="E177" i="4"/>
  <c r="D177" i="4"/>
  <c r="F177" i="4" s="1"/>
  <c r="B177" i="4"/>
  <c r="B176" i="4"/>
  <c r="E176" i="4" s="1"/>
  <c r="B175" i="4"/>
  <c r="E174" i="4"/>
  <c r="B174" i="4"/>
  <c r="D174" i="4" s="1"/>
  <c r="F174" i="4" s="1"/>
  <c r="B173" i="4"/>
  <c r="B172" i="4"/>
  <c r="E171" i="4"/>
  <c r="D171" i="4"/>
  <c r="F171" i="4" s="1"/>
  <c r="B171" i="4"/>
  <c r="B170" i="4"/>
  <c r="B169" i="4"/>
  <c r="E168" i="4"/>
  <c r="B168" i="4"/>
  <c r="D168" i="4" s="1"/>
  <c r="F168" i="4" s="1"/>
  <c r="B167" i="4"/>
  <c r="B166" i="4"/>
  <c r="E165" i="4"/>
  <c r="D165" i="4"/>
  <c r="F165" i="4" s="1"/>
  <c r="B165" i="4"/>
  <c r="B164" i="4"/>
  <c r="B163" i="4"/>
  <c r="E162" i="4"/>
  <c r="B162" i="4"/>
  <c r="D162" i="4" s="1"/>
  <c r="F162" i="4" s="1"/>
  <c r="B161" i="4"/>
  <c r="B160" i="4"/>
  <c r="E159" i="4"/>
  <c r="D159" i="4"/>
  <c r="F159" i="4" s="1"/>
  <c r="B159" i="4"/>
  <c r="B158" i="4"/>
  <c r="B157" i="4"/>
  <c r="E156" i="4"/>
  <c r="B156" i="4"/>
  <c r="D156" i="4" s="1"/>
  <c r="F156" i="4" s="1"/>
  <c r="B155" i="4"/>
  <c r="B154" i="4"/>
  <c r="E153" i="4"/>
  <c r="D153" i="4"/>
  <c r="F153" i="4" s="1"/>
  <c r="B153" i="4"/>
  <c r="B152" i="4"/>
  <c r="B151" i="4"/>
  <c r="E150" i="4"/>
  <c r="B150" i="4"/>
  <c r="D150" i="4" s="1"/>
  <c r="F150" i="4" s="1"/>
  <c r="B149" i="4"/>
  <c r="B148" i="4"/>
  <c r="E147" i="4"/>
  <c r="D147" i="4"/>
  <c r="F147" i="4" s="1"/>
  <c r="B147" i="4"/>
  <c r="B146" i="4"/>
  <c r="B145" i="4"/>
  <c r="E144" i="4"/>
  <c r="B144" i="4"/>
  <c r="D144" i="4" s="1"/>
  <c r="F144" i="4" s="1"/>
  <c r="B143" i="4"/>
  <c r="B142" i="4"/>
  <c r="E141" i="4"/>
  <c r="D141" i="4"/>
  <c r="F141" i="4" s="1"/>
  <c r="B141" i="4"/>
  <c r="B140" i="4"/>
  <c r="B139" i="4"/>
  <c r="E138" i="4"/>
  <c r="B138" i="4"/>
  <c r="D138" i="4" s="1"/>
  <c r="F138" i="4" s="1"/>
  <c r="B137" i="4"/>
  <c r="B136" i="4"/>
  <c r="E135" i="4"/>
  <c r="D135" i="4"/>
  <c r="F135" i="4" s="1"/>
  <c r="B135" i="4"/>
  <c r="B134" i="4"/>
  <c r="B133" i="4"/>
  <c r="E132" i="4"/>
  <c r="B132" i="4"/>
  <c r="D132" i="4" s="1"/>
  <c r="F132" i="4" s="1"/>
  <c r="B131" i="4"/>
  <c r="B130" i="4"/>
  <c r="E129" i="4"/>
  <c r="D129" i="4"/>
  <c r="F129" i="4" s="1"/>
  <c r="B129" i="4"/>
  <c r="B128" i="4"/>
  <c r="B127" i="4"/>
  <c r="E126" i="4"/>
  <c r="B126" i="4"/>
  <c r="D126" i="4" s="1"/>
  <c r="F126" i="4" s="1"/>
  <c r="B125" i="4"/>
  <c r="B124" i="4"/>
  <c r="E124" i="4" s="1"/>
  <c r="B123" i="4"/>
  <c r="E123" i="4" s="1"/>
  <c r="B122" i="4"/>
  <c r="B121" i="4"/>
  <c r="E121" i="4" s="1"/>
  <c r="B120" i="4"/>
  <c r="E120" i="4" s="1"/>
  <c r="B119" i="4"/>
  <c r="D118" i="4"/>
  <c r="F118" i="4" s="1"/>
  <c r="B118" i="4"/>
  <c r="E118" i="4" s="1"/>
  <c r="E117" i="4"/>
  <c r="B117" i="4"/>
  <c r="D117" i="4" s="1"/>
  <c r="F117" i="4" s="1"/>
  <c r="B116" i="4"/>
  <c r="B115" i="4"/>
  <c r="E115" i="4" s="1"/>
  <c r="E114" i="4"/>
  <c r="D114" i="4"/>
  <c r="F114" i="4" s="1"/>
  <c r="B114" i="4"/>
  <c r="B113" i="4"/>
  <c r="B112" i="4"/>
  <c r="E112" i="4" s="1"/>
  <c r="D111" i="4"/>
  <c r="B111" i="4"/>
  <c r="E111" i="4" s="1"/>
  <c r="B110" i="4"/>
  <c r="B109" i="4"/>
  <c r="E109" i="4" s="1"/>
  <c r="E108" i="4"/>
  <c r="D108" i="4"/>
  <c r="F108" i="4" s="1"/>
  <c r="B108" i="4"/>
  <c r="B107" i="4"/>
  <c r="B106" i="4"/>
  <c r="E106" i="4" s="1"/>
  <c r="B105" i="4"/>
  <c r="E105" i="4" s="1"/>
  <c r="B104" i="4"/>
  <c r="D103" i="4"/>
  <c r="F103" i="4" s="1"/>
  <c r="B103" i="4"/>
  <c r="E103" i="4" s="1"/>
  <c r="D102" i="4"/>
  <c r="B102" i="4"/>
  <c r="E102" i="4" s="1"/>
  <c r="B101" i="4"/>
  <c r="D100" i="4"/>
  <c r="F100" i="4" s="1"/>
  <c r="B100" i="4"/>
  <c r="E100" i="4" s="1"/>
  <c r="B99" i="4"/>
  <c r="E99" i="4" s="1"/>
  <c r="B98" i="4"/>
  <c r="B97" i="4"/>
  <c r="E97" i="4" s="1"/>
  <c r="D96" i="4"/>
  <c r="B96" i="4"/>
  <c r="E96" i="4" s="1"/>
  <c r="B95" i="4"/>
  <c r="B94" i="4"/>
  <c r="E94" i="4" s="1"/>
  <c r="B93" i="4"/>
  <c r="E93" i="4" s="1"/>
  <c r="B92" i="4"/>
  <c r="D91" i="4"/>
  <c r="F91" i="4" s="1"/>
  <c r="B91" i="4"/>
  <c r="E91" i="4" s="1"/>
  <c r="B90" i="4"/>
  <c r="D90" i="4" s="1"/>
  <c r="B89" i="4"/>
  <c r="B88" i="4"/>
  <c r="E88" i="4" s="1"/>
  <c r="D87" i="4"/>
  <c r="F87" i="4" s="1"/>
  <c r="B87" i="4"/>
  <c r="E87" i="4" s="1"/>
  <c r="B86" i="4"/>
  <c r="B85" i="4"/>
  <c r="E85" i="4" s="1"/>
  <c r="B84" i="4"/>
  <c r="E84" i="4" s="1"/>
  <c r="B83" i="4"/>
  <c r="B82" i="4"/>
  <c r="E82" i="4" s="1"/>
  <c r="E81" i="4"/>
  <c r="D81" i="4"/>
  <c r="F81" i="4" s="1"/>
  <c r="B81" i="4"/>
  <c r="B80" i="4"/>
  <c r="B79" i="4"/>
  <c r="E79" i="4" s="1"/>
  <c r="B78" i="4"/>
  <c r="E78" i="4" s="1"/>
  <c r="E77" i="4"/>
  <c r="B77" i="4"/>
  <c r="D77" i="4" s="1"/>
  <c r="B76" i="4"/>
  <c r="E76" i="4" s="1"/>
  <c r="D75" i="4"/>
  <c r="F75" i="4" s="1"/>
  <c r="B75" i="4"/>
  <c r="E75" i="4" s="1"/>
  <c r="B74" i="4"/>
  <c r="D74" i="4" s="1"/>
  <c r="D73" i="4"/>
  <c r="F73" i="4" s="1"/>
  <c r="B73" i="4"/>
  <c r="E73" i="4" s="1"/>
  <c r="E72" i="4"/>
  <c r="B72" i="4"/>
  <c r="D72" i="4" s="1"/>
  <c r="F72" i="4" s="1"/>
  <c r="B71" i="4"/>
  <c r="D71" i="4" s="1"/>
  <c r="B70" i="4"/>
  <c r="E70" i="4" s="1"/>
  <c r="B69" i="4"/>
  <c r="E69" i="4" s="1"/>
  <c r="B68" i="4"/>
  <c r="D68" i="4" s="1"/>
  <c r="B67" i="4"/>
  <c r="E67" i="4" s="1"/>
  <c r="E66" i="4"/>
  <c r="D66" i="4"/>
  <c r="B66" i="4"/>
  <c r="E65" i="4"/>
  <c r="B65" i="4"/>
  <c r="D65" i="4" s="1"/>
  <c r="F65" i="4" s="1"/>
  <c r="B64" i="4"/>
  <c r="E64" i="4" s="1"/>
  <c r="E63" i="4"/>
  <c r="D63" i="4"/>
  <c r="F63" i="4" s="1"/>
  <c r="B63" i="4"/>
  <c r="B62" i="4"/>
  <c r="D62" i="4" s="1"/>
  <c r="D61" i="4"/>
  <c r="B61" i="4"/>
  <c r="E61" i="4" s="1"/>
  <c r="B60" i="4"/>
  <c r="E60" i="4" s="1"/>
  <c r="E59" i="4"/>
  <c r="B59" i="4"/>
  <c r="D59" i="4" s="1"/>
  <c r="F59" i="4" s="1"/>
  <c r="B58" i="4"/>
  <c r="E58" i="4" s="1"/>
  <c r="B57" i="4"/>
  <c r="E57" i="4" s="1"/>
  <c r="E56" i="4"/>
  <c r="B56" i="4"/>
  <c r="D56" i="4" s="1"/>
  <c r="F56" i="4" s="1"/>
  <c r="E55" i="4"/>
  <c r="B55" i="4"/>
  <c r="D55" i="4" s="1"/>
  <c r="F55" i="4" s="1"/>
  <c r="B54" i="4"/>
  <c r="E54" i="4" s="1"/>
  <c r="E53" i="4"/>
  <c r="B53" i="4"/>
  <c r="D53" i="4" s="1"/>
  <c r="D52" i="4"/>
  <c r="B52" i="4"/>
  <c r="E52" i="4" s="1"/>
  <c r="B51" i="4"/>
  <c r="E51" i="4" s="1"/>
  <c r="B50" i="4"/>
  <c r="D50" i="4" s="1"/>
  <c r="B49" i="4"/>
  <c r="E49" i="4" s="1"/>
  <c r="D48" i="4"/>
  <c r="F48" i="4" s="1"/>
  <c r="B48" i="4"/>
  <c r="E48" i="4" s="1"/>
  <c r="B47" i="4"/>
  <c r="D47" i="4" s="1"/>
  <c r="E46" i="4"/>
  <c r="D46" i="4"/>
  <c r="F46" i="4" s="1"/>
  <c r="B46" i="4"/>
  <c r="B45" i="4"/>
  <c r="E45" i="4" s="1"/>
  <c r="B44" i="4"/>
  <c r="D44" i="4" s="1"/>
  <c r="E43" i="4"/>
  <c r="D43" i="4"/>
  <c r="B43" i="4"/>
  <c r="E42" i="4"/>
  <c r="B42" i="4"/>
  <c r="D42" i="4" s="1"/>
  <c r="F42" i="4" s="1"/>
  <c r="B41" i="4"/>
  <c r="D41" i="4" s="1"/>
  <c r="E40" i="4"/>
  <c r="D40" i="4"/>
  <c r="F40" i="4" s="1"/>
  <c r="B40" i="4"/>
  <c r="D39" i="4"/>
  <c r="B39" i="4"/>
  <c r="E39" i="4" s="1"/>
  <c r="E38" i="4"/>
  <c r="B38" i="4"/>
  <c r="D38" i="4" s="1"/>
  <c r="F38" i="4" s="1"/>
  <c r="B37" i="4"/>
  <c r="E37" i="4" s="1"/>
  <c r="B36" i="4"/>
  <c r="E36" i="4" s="1"/>
  <c r="B35" i="4"/>
  <c r="D35" i="4" s="1"/>
  <c r="B34" i="4"/>
  <c r="E34" i="4" s="1"/>
  <c r="E33" i="4"/>
  <c r="D33" i="4"/>
  <c r="F33" i="4" s="1"/>
  <c r="B33" i="4"/>
  <c r="B32" i="4"/>
  <c r="E32" i="4" s="1"/>
  <c r="B31" i="4"/>
  <c r="E31" i="4" s="1"/>
  <c r="E30" i="4"/>
  <c r="D30" i="4"/>
  <c r="F30" i="4" s="1"/>
  <c r="B30" i="4"/>
  <c r="B29" i="4"/>
  <c r="E29" i="4" s="1"/>
  <c r="B28" i="4"/>
  <c r="E28" i="4" s="1"/>
  <c r="E27" i="4"/>
  <c r="D27" i="4"/>
  <c r="F27" i="4" s="1"/>
  <c r="B27" i="4"/>
  <c r="B26" i="4"/>
  <c r="E26" i="4" s="1"/>
  <c r="B25" i="4"/>
  <c r="E25" i="4" s="1"/>
  <c r="E24" i="4"/>
  <c r="D24" i="4"/>
  <c r="F24" i="4" s="1"/>
  <c r="B24" i="4"/>
  <c r="B23" i="4"/>
  <c r="E23" i="4" s="1"/>
  <c r="B22" i="4"/>
  <c r="E22" i="4" s="1"/>
  <c r="E21" i="4"/>
  <c r="D21" i="4"/>
  <c r="F21" i="4" s="1"/>
  <c r="B21" i="4"/>
  <c r="B20" i="4"/>
  <c r="E20" i="4" s="1"/>
  <c r="B19" i="4"/>
  <c r="E19" i="4" s="1"/>
  <c r="E18" i="4"/>
  <c r="D18" i="4"/>
  <c r="F18" i="4" s="1"/>
  <c r="B18" i="4"/>
  <c r="B17" i="4"/>
  <c r="E17" i="4" s="1"/>
  <c r="B16" i="4"/>
  <c r="E16" i="4" s="1"/>
  <c r="E15" i="4"/>
  <c r="D15" i="4"/>
  <c r="F15" i="4" s="1"/>
  <c r="B15" i="4"/>
  <c r="B14" i="4"/>
  <c r="E14" i="4" s="1"/>
  <c r="B13" i="4"/>
  <c r="E13" i="4" s="1"/>
  <c r="E12" i="4"/>
  <c r="D12" i="4"/>
  <c r="F12" i="4" s="1"/>
  <c r="B12" i="4"/>
  <c r="B11" i="4"/>
  <c r="E11" i="4" s="1"/>
  <c r="B10" i="4"/>
  <c r="E10" i="4" s="1"/>
  <c r="E9" i="4"/>
  <c r="D9" i="4"/>
  <c r="F9" i="4" s="1"/>
  <c r="B9" i="4"/>
  <c r="B8" i="4"/>
  <c r="E8" i="4" s="1"/>
  <c r="B7" i="4"/>
  <c r="E7" i="4" s="1"/>
  <c r="E6" i="4"/>
  <c r="D6" i="4"/>
  <c r="F6" i="4" s="1"/>
  <c r="B6" i="4"/>
  <c r="B5" i="4"/>
  <c r="E5" i="4" s="1"/>
  <c r="B4" i="4"/>
  <c r="E4" i="4" s="1"/>
  <c r="E3" i="4"/>
  <c r="D3" i="4"/>
  <c r="F3" i="4" s="1"/>
  <c r="B3" i="4"/>
  <c r="F2" i="4"/>
  <c r="E2" i="4"/>
  <c r="B2" i="4"/>
  <c r="B732" i="3"/>
  <c r="E732" i="3" s="1"/>
  <c r="B731" i="3"/>
  <c r="E731" i="3" s="1"/>
  <c r="B730" i="3"/>
  <c r="E730" i="3" s="1"/>
  <c r="B729" i="3"/>
  <c r="E729" i="3" s="1"/>
  <c r="B728" i="3"/>
  <c r="E728" i="3" s="1"/>
  <c r="D727" i="3"/>
  <c r="F727" i="3" s="1"/>
  <c r="B727" i="3"/>
  <c r="E727" i="3" s="1"/>
  <c r="B726" i="3"/>
  <c r="E726" i="3" s="1"/>
  <c r="B725" i="3"/>
  <c r="E725" i="3" s="1"/>
  <c r="E724" i="3"/>
  <c r="B724" i="3"/>
  <c r="D724" i="3" s="1"/>
  <c r="F724" i="3" s="1"/>
  <c r="B723" i="3"/>
  <c r="E723" i="3" s="1"/>
  <c r="B722" i="3"/>
  <c r="E721" i="3"/>
  <c r="D721" i="3"/>
  <c r="B721" i="3"/>
  <c r="B720" i="3"/>
  <c r="E720" i="3" s="1"/>
  <c r="B719" i="3"/>
  <c r="E718" i="3"/>
  <c r="D718" i="3"/>
  <c r="F718" i="3" s="1"/>
  <c r="B718" i="3"/>
  <c r="B717" i="3"/>
  <c r="E717" i="3" s="1"/>
  <c r="B716" i="3"/>
  <c r="D715" i="3"/>
  <c r="F715" i="3" s="1"/>
  <c r="B715" i="3"/>
  <c r="E715" i="3" s="1"/>
  <c r="B714" i="3"/>
  <c r="E714" i="3" s="1"/>
  <c r="B713" i="3"/>
  <c r="E712" i="3"/>
  <c r="D712" i="3"/>
  <c r="F712" i="3" s="1"/>
  <c r="B712" i="3"/>
  <c r="B711" i="3"/>
  <c r="E711" i="3" s="1"/>
  <c r="B710" i="3"/>
  <c r="D709" i="3"/>
  <c r="F709" i="3" s="1"/>
  <c r="B709" i="3"/>
  <c r="E709" i="3" s="1"/>
  <c r="B708" i="3"/>
  <c r="E708" i="3" s="1"/>
  <c r="B707" i="3"/>
  <c r="E706" i="3"/>
  <c r="D706" i="3"/>
  <c r="F706" i="3" s="1"/>
  <c r="B706" i="3"/>
  <c r="B705" i="3"/>
  <c r="B704" i="3"/>
  <c r="D703" i="3"/>
  <c r="F703" i="3" s="1"/>
  <c r="B703" i="3"/>
  <c r="E703" i="3" s="1"/>
  <c r="B702" i="3"/>
  <c r="B701" i="3"/>
  <c r="E700" i="3"/>
  <c r="D700" i="3"/>
  <c r="F700" i="3" s="1"/>
  <c r="B700" i="3"/>
  <c r="B699" i="3"/>
  <c r="B698" i="3"/>
  <c r="D697" i="3"/>
  <c r="F697" i="3" s="1"/>
  <c r="B697" i="3"/>
  <c r="E697" i="3" s="1"/>
  <c r="B696" i="3"/>
  <c r="B695" i="3"/>
  <c r="E694" i="3"/>
  <c r="D694" i="3"/>
  <c r="F694" i="3" s="1"/>
  <c r="B694" i="3"/>
  <c r="B693" i="3"/>
  <c r="B692" i="3"/>
  <c r="D691" i="3"/>
  <c r="F691" i="3" s="1"/>
  <c r="B691" i="3"/>
  <c r="E691" i="3" s="1"/>
  <c r="B690" i="3"/>
  <c r="D689" i="3"/>
  <c r="F689" i="3" s="1"/>
  <c r="B689" i="3"/>
  <c r="E689" i="3" s="1"/>
  <c r="E688" i="3"/>
  <c r="F688" i="3" s="1"/>
  <c r="D688" i="3"/>
  <c r="B688" i="3"/>
  <c r="B687" i="3"/>
  <c r="B686" i="3"/>
  <c r="E686" i="3" s="1"/>
  <c r="B685" i="3"/>
  <c r="B684" i="3"/>
  <c r="B683" i="3"/>
  <c r="E683" i="3" s="1"/>
  <c r="B682" i="3"/>
  <c r="E682" i="3" s="1"/>
  <c r="B681" i="3"/>
  <c r="D680" i="3"/>
  <c r="F680" i="3" s="1"/>
  <c r="B680" i="3"/>
  <c r="E680" i="3" s="1"/>
  <c r="B679" i="3"/>
  <c r="D679" i="3" s="1"/>
  <c r="B678" i="3"/>
  <c r="D677" i="3"/>
  <c r="F677" i="3" s="1"/>
  <c r="B677" i="3"/>
  <c r="E677" i="3" s="1"/>
  <c r="B676" i="3"/>
  <c r="E676" i="3" s="1"/>
  <c r="B675" i="3"/>
  <c r="B674" i="3"/>
  <c r="E673" i="3"/>
  <c r="D673" i="3"/>
  <c r="B673" i="3"/>
  <c r="B672" i="3"/>
  <c r="B671" i="3"/>
  <c r="E671" i="3" s="1"/>
  <c r="E670" i="3"/>
  <c r="D670" i="3"/>
  <c r="F670" i="3" s="1"/>
  <c r="B670" i="3"/>
  <c r="B669" i="3"/>
  <c r="B668" i="3"/>
  <c r="E667" i="3"/>
  <c r="B667" i="3"/>
  <c r="D667" i="3" s="1"/>
  <c r="F667" i="3" s="1"/>
  <c r="B666" i="3"/>
  <c r="B665" i="3"/>
  <c r="E665" i="3" s="1"/>
  <c r="D664" i="3"/>
  <c r="F664" i="3" s="1"/>
  <c r="B664" i="3"/>
  <c r="E664" i="3" s="1"/>
  <c r="B663" i="3"/>
  <c r="E662" i="3"/>
  <c r="D662" i="3"/>
  <c r="B662" i="3"/>
  <c r="B661" i="3"/>
  <c r="E661" i="3" s="1"/>
  <c r="B660" i="3"/>
  <c r="D659" i="3"/>
  <c r="B659" i="3"/>
  <c r="E659" i="3" s="1"/>
  <c r="E658" i="3"/>
  <c r="F658" i="3" s="1"/>
  <c r="D658" i="3"/>
  <c r="B658" i="3"/>
  <c r="B657" i="3"/>
  <c r="B656" i="3"/>
  <c r="E656" i="3" s="1"/>
  <c r="D655" i="3"/>
  <c r="B655" i="3"/>
  <c r="E655" i="3" s="1"/>
  <c r="B654" i="3"/>
  <c r="E653" i="3"/>
  <c r="D653" i="3"/>
  <c r="B653" i="3"/>
  <c r="B652" i="3"/>
  <c r="E652" i="3" s="1"/>
  <c r="B651" i="3"/>
  <c r="D650" i="3"/>
  <c r="F650" i="3" s="1"/>
  <c r="B650" i="3"/>
  <c r="E650" i="3" s="1"/>
  <c r="E649" i="3"/>
  <c r="F649" i="3" s="1"/>
  <c r="D649" i="3"/>
  <c r="B649" i="3"/>
  <c r="B648" i="3"/>
  <c r="B647" i="3"/>
  <c r="E647" i="3" s="1"/>
  <c r="D646" i="3"/>
  <c r="B646" i="3"/>
  <c r="E646" i="3" s="1"/>
  <c r="B645" i="3"/>
  <c r="E644" i="3"/>
  <c r="D644" i="3"/>
  <c r="B644" i="3"/>
  <c r="B643" i="3"/>
  <c r="B642" i="3"/>
  <c r="D641" i="3"/>
  <c r="B641" i="3"/>
  <c r="E641" i="3" s="1"/>
  <c r="F640" i="3"/>
  <c r="E640" i="3"/>
  <c r="D640" i="3"/>
  <c r="B640" i="3"/>
  <c r="B639" i="3"/>
  <c r="B638" i="3"/>
  <c r="D637" i="3"/>
  <c r="F637" i="3" s="1"/>
  <c r="B637" i="3"/>
  <c r="E637" i="3" s="1"/>
  <c r="B636" i="3"/>
  <c r="E635" i="3"/>
  <c r="D635" i="3"/>
  <c r="B635" i="3"/>
  <c r="B634" i="3"/>
  <c r="B633" i="3"/>
  <c r="D632" i="3"/>
  <c r="B632" i="3"/>
  <c r="E632" i="3" s="1"/>
  <c r="E631" i="3"/>
  <c r="F631" i="3" s="1"/>
  <c r="D631" i="3"/>
  <c r="B631" i="3"/>
  <c r="B630" i="3"/>
  <c r="D629" i="3"/>
  <c r="F629" i="3" s="1"/>
  <c r="B629" i="3"/>
  <c r="E629" i="3" s="1"/>
  <c r="B628" i="3"/>
  <c r="D628" i="3" s="1"/>
  <c r="B627" i="3"/>
  <c r="B626" i="3"/>
  <c r="E626" i="3" s="1"/>
  <c r="E625" i="3"/>
  <c r="D625" i="3"/>
  <c r="B625" i="3"/>
  <c r="B624" i="3"/>
  <c r="E623" i="3"/>
  <c r="D623" i="3"/>
  <c r="F623" i="3" s="1"/>
  <c r="B623" i="3"/>
  <c r="E622" i="3"/>
  <c r="D622" i="3"/>
  <c r="F622" i="3" s="1"/>
  <c r="B622" i="3"/>
  <c r="B621" i="3"/>
  <c r="D620" i="3"/>
  <c r="B620" i="3"/>
  <c r="E620" i="3" s="1"/>
  <c r="E619" i="3"/>
  <c r="F619" i="3" s="1"/>
  <c r="D619" i="3"/>
  <c r="B619" i="3"/>
  <c r="B618" i="3"/>
  <c r="D617" i="3"/>
  <c r="F617" i="3" s="1"/>
  <c r="B617" i="3"/>
  <c r="E617" i="3" s="1"/>
  <c r="B616" i="3"/>
  <c r="D616" i="3" s="1"/>
  <c r="B615" i="3"/>
  <c r="B614" i="3"/>
  <c r="E614" i="3" s="1"/>
  <c r="E613" i="3"/>
  <c r="D613" i="3"/>
  <c r="B613" i="3"/>
  <c r="B612" i="3"/>
  <c r="E611" i="3"/>
  <c r="D611" i="3"/>
  <c r="F611" i="3" s="1"/>
  <c r="B611" i="3"/>
  <c r="E610" i="3"/>
  <c r="D610" i="3"/>
  <c r="F610" i="3" s="1"/>
  <c r="B610" i="3"/>
  <c r="B609" i="3"/>
  <c r="D608" i="3"/>
  <c r="F608" i="3" s="1"/>
  <c r="B608" i="3"/>
  <c r="E608" i="3" s="1"/>
  <c r="E607" i="3"/>
  <c r="F607" i="3" s="1"/>
  <c r="D607" i="3"/>
  <c r="B607" i="3"/>
  <c r="B606" i="3"/>
  <c r="D605" i="3"/>
  <c r="F605" i="3" s="1"/>
  <c r="B605" i="3"/>
  <c r="E605" i="3" s="1"/>
  <c r="B604" i="3"/>
  <c r="D604" i="3" s="1"/>
  <c r="B603" i="3"/>
  <c r="B602" i="3"/>
  <c r="E602" i="3" s="1"/>
  <c r="E601" i="3"/>
  <c r="D601" i="3"/>
  <c r="B601" i="3"/>
  <c r="B600" i="3"/>
  <c r="E599" i="3"/>
  <c r="D599" i="3"/>
  <c r="F599" i="3" s="1"/>
  <c r="B599" i="3"/>
  <c r="E598" i="3"/>
  <c r="D598" i="3"/>
  <c r="F598" i="3" s="1"/>
  <c r="B598" i="3"/>
  <c r="B597" i="3"/>
  <c r="D596" i="3"/>
  <c r="F596" i="3" s="1"/>
  <c r="B596" i="3"/>
  <c r="E596" i="3" s="1"/>
  <c r="E595" i="3"/>
  <c r="F595" i="3" s="1"/>
  <c r="D595" i="3"/>
  <c r="B595" i="3"/>
  <c r="B594" i="3"/>
  <c r="D593" i="3"/>
  <c r="B593" i="3"/>
  <c r="E593" i="3" s="1"/>
  <c r="E592" i="3"/>
  <c r="B592" i="3"/>
  <c r="D592" i="3" s="1"/>
  <c r="B591" i="3"/>
  <c r="B590" i="3"/>
  <c r="E590" i="3" s="1"/>
  <c r="E589" i="3"/>
  <c r="D589" i="3"/>
  <c r="B589" i="3"/>
  <c r="B588" i="3"/>
  <c r="E587" i="3"/>
  <c r="D587" i="3"/>
  <c r="F587" i="3" s="1"/>
  <c r="B587" i="3"/>
  <c r="E586" i="3"/>
  <c r="D586" i="3"/>
  <c r="F586" i="3" s="1"/>
  <c r="B586" i="3"/>
  <c r="B585" i="3"/>
  <c r="D584" i="3"/>
  <c r="F584" i="3" s="1"/>
  <c r="B584" i="3"/>
  <c r="E584" i="3" s="1"/>
  <c r="E583" i="3"/>
  <c r="D583" i="3"/>
  <c r="F583" i="3" s="1"/>
  <c r="B583" i="3"/>
  <c r="B582" i="3"/>
  <c r="D581" i="3"/>
  <c r="B581" i="3"/>
  <c r="E581" i="3" s="1"/>
  <c r="E580" i="3"/>
  <c r="B580" i="3"/>
  <c r="D580" i="3" s="1"/>
  <c r="B579" i="3"/>
  <c r="B578" i="3"/>
  <c r="E578" i="3" s="1"/>
  <c r="E577" i="3"/>
  <c r="D577" i="3"/>
  <c r="F577" i="3" s="1"/>
  <c r="B577" i="3"/>
  <c r="B576" i="3"/>
  <c r="B575" i="3"/>
  <c r="E574" i="3"/>
  <c r="D574" i="3"/>
  <c r="F574" i="3" s="1"/>
  <c r="B574" i="3"/>
  <c r="B573" i="3"/>
  <c r="D572" i="3"/>
  <c r="F572" i="3" s="1"/>
  <c r="B572" i="3"/>
  <c r="E572" i="3" s="1"/>
  <c r="E571" i="3"/>
  <c r="D571" i="3"/>
  <c r="F571" i="3" s="1"/>
  <c r="B571" i="3"/>
  <c r="B570" i="3"/>
  <c r="D569" i="3"/>
  <c r="B569" i="3"/>
  <c r="E569" i="3" s="1"/>
  <c r="E568" i="3"/>
  <c r="B568" i="3"/>
  <c r="D568" i="3" s="1"/>
  <c r="B567" i="3"/>
  <c r="B566" i="3"/>
  <c r="E566" i="3" s="1"/>
  <c r="E565" i="3"/>
  <c r="D565" i="3"/>
  <c r="F565" i="3" s="1"/>
  <c r="B565" i="3"/>
  <c r="B564" i="3"/>
  <c r="B563" i="3"/>
  <c r="E563" i="3" s="1"/>
  <c r="E562" i="3"/>
  <c r="D562" i="3"/>
  <c r="F562" i="3" s="1"/>
  <c r="B562" i="3"/>
  <c r="B561" i="3"/>
  <c r="D560" i="3"/>
  <c r="B560" i="3"/>
  <c r="E560" i="3" s="1"/>
  <c r="E559" i="3"/>
  <c r="D559" i="3"/>
  <c r="F559" i="3" s="1"/>
  <c r="B559" i="3"/>
  <c r="B558" i="3"/>
  <c r="E558" i="3" s="1"/>
  <c r="E557" i="3"/>
  <c r="D557" i="3"/>
  <c r="F557" i="3" s="1"/>
  <c r="B557" i="3"/>
  <c r="D556" i="3"/>
  <c r="F556" i="3" s="1"/>
  <c r="B556" i="3"/>
  <c r="E556" i="3" s="1"/>
  <c r="D555" i="3"/>
  <c r="F555" i="3" s="1"/>
  <c r="B555" i="3"/>
  <c r="E555" i="3" s="1"/>
  <c r="B554" i="3"/>
  <c r="D553" i="3"/>
  <c r="B553" i="3"/>
  <c r="E553" i="3" s="1"/>
  <c r="E552" i="3"/>
  <c r="D552" i="3"/>
  <c r="F552" i="3" s="1"/>
  <c r="B552" i="3"/>
  <c r="E551" i="3"/>
  <c r="D551" i="3"/>
  <c r="F551" i="3" s="1"/>
  <c r="B551" i="3"/>
  <c r="E550" i="3"/>
  <c r="B550" i="3"/>
  <c r="D550" i="3" s="1"/>
  <c r="F550" i="3" s="1"/>
  <c r="B549" i="3"/>
  <c r="B548" i="3"/>
  <c r="E548" i="3" s="1"/>
  <c r="E547" i="3"/>
  <c r="D547" i="3"/>
  <c r="B547" i="3"/>
  <c r="E546" i="3"/>
  <c r="B546" i="3"/>
  <c r="D546" i="3" s="1"/>
  <c r="E545" i="3"/>
  <c r="B545" i="3"/>
  <c r="D545" i="3" s="1"/>
  <c r="F545" i="3" s="1"/>
  <c r="B544" i="3"/>
  <c r="D543" i="3"/>
  <c r="F543" i="3" s="1"/>
  <c r="B543" i="3"/>
  <c r="E543" i="3" s="1"/>
  <c r="F542" i="3"/>
  <c r="E542" i="3"/>
  <c r="D542" i="3"/>
  <c r="B542" i="3"/>
  <c r="B541" i="3"/>
  <c r="B540" i="3"/>
  <c r="D540" i="3" s="1"/>
  <c r="B539" i="3"/>
  <c r="E538" i="3"/>
  <c r="D538" i="3"/>
  <c r="F538" i="3" s="1"/>
  <c r="B538" i="3"/>
  <c r="E537" i="3"/>
  <c r="D537" i="3"/>
  <c r="F537" i="3" s="1"/>
  <c r="B537" i="3"/>
  <c r="B536" i="3"/>
  <c r="E536" i="3" s="1"/>
  <c r="B535" i="3"/>
  <c r="E535" i="3" s="1"/>
  <c r="B534" i="3"/>
  <c r="E534" i="3" s="1"/>
  <c r="B533" i="3"/>
  <c r="D533" i="3" s="1"/>
  <c r="E532" i="3"/>
  <c r="B532" i="3"/>
  <c r="D532" i="3" s="1"/>
  <c r="F532" i="3" s="1"/>
  <c r="B531" i="3"/>
  <c r="D530" i="3"/>
  <c r="F530" i="3" s="1"/>
  <c r="B530" i="3"/>
  <c r="E530" i="3" s="1"/>
  <c r="E529" i="3"/>
  <c r="D529" i="3"/>
  <c r="F529" i="3" s="1"/>
  <c r="B529" i="3"/>
  <c r="E528" i="3"/>
  <c r="D528" i="3"/>
  <c r="F528" i="3" s="1"/>
  <c r="B528" i="3"/>
  <c r="B527" i="3"/>
  <c r="D527" i="3" s="1"/>
  <c r="E526" i="3"/>
  <c r="B526" i="3"/>
  <c r="D526" i="3" s="1"/>
  <c r="F526" i="3" s="1"/>
  <c r="B525" i="3"/>
  <c r="E525" i="3" s="1"/>
  <c r="E524" i="3"/>
  <c r="D524" i="3"/>
  <c r="B524" i="3"/>
  <c r="B523" i="3"/>
  <c r="E523" i="3" s="1"/>
  <c r="E522" i="3"/>
  <c r="B522" i="3"/>
  <c r="D522" i="3" s="1"/>
  <c r="F522" i="3" s="1"/>
  <c r="D521" i="3"/>
  <c r="F521" i="3" s="1"/>
  <c r="B521" i="3"/>
  <c r="E521" i="3" s="1"/>
  <c r="B520" i="3"/>
  <c r="E519" i="3"/>
  <c r="D519" i="3"/>
  <c r="B519" i="3"/>
  <c r="B518" i="3"/>
  <c r="D517" i="3"/>
  <c r="F517" i="3" s="1"/>
  <c r="B517" i="3"/>
  <c r="E517" i="3" s="1"/>
  <c r="E516" i="3"/>
  <c r="D516" i="3"/>
  <c r="F516" i="3" s="1"/>
  <c r="B516" i="3"/>
  <c r="E515" i="3"/>
  <c r="D515" i="3"/>
  <c r="F515" i="3" s="1"/>
  <c r="B515" i="3"/>
  <c r="F514" i="3"/>
  <c r="E514" i="3"/>
  <c r="B514" i="3"/>
  <c r="D514" i="3" s="1"/>
  <c r="B513" i="3"/>
  <c r="E513" i="3" s="1"/>
  <c r="B512" i="3"/>
  <c r="E512" i="3" s="1"/>
  <c r="E511" i="3"/>
  <c r="D511" i="3"/>
  <c r="B511" i="3"/>
  <c r="B510" i="3"/>
  <c r="D510" i="3" s="1"/>
  <c r="E509" i="3"/>
  <c r="F509" i="3" s="1"/>
  <c r="B509" i="3"/>
  <c r="D509" i="3" s="1"/>
  <c r="B508" i="3"/>
  <c r="E508" i="3" s="1"/>
  <c r="D507" i="3"/>
  <c r="B507" i="3"/>
  <c r="E507" i="3" s="1"/>
  <c r="F506" i="3"/>
  <c r="E506" i="3"/>
  <c r="D506" i="3"/>
  <c r="B506" i="3"/>
  <c r="B505" i="3"/>
  <c r="E504" i="3"/>
  <c r="B504" i="3"/>
  <c r="D504" i="3" s="1"/>
  <c r="B503" i="3"/>
  <c r="E503" i="3" s="1"/>
  <c r="E502" i="3"/>
  <c r="D502" i="3"/>
  <c r="F502" i="3" s="1"/>
  <c r="B502" i="3"/>
  <c r="E501" i="3"/>
  <c r="D501" i="3"/>
  <c r="F501" i="3" s="1"/>
  <c r="B501" i="3"/>
  <c r="B500" i="3"/>
  <c r="E500" i="3" s="1"/>
  <c r="B499" i="3"/>
  <c r="E499" i="3" s="1"/>
  <c r="D498" i="3"/>
  <c r="F498" i="3" s="1"/>
  <c r="B498" i="3"/>
  <c r="E498" i="3" s="1"/>
  <c r="B497" i="3"/>
  <c r="D497" i="3" s="1"/>
  <c r="E496" i="3"/>
  <c r="B496" i="3"/>
  <c r="D496" i="3" s="1"/>
  <c r="F496" i="3" s="1"/>
  <c r="B495" i="3"/>
  <c r="F494" i="3"/>
  <c r="D494" i="3"/>
  <c r="B494" i="3"/>
  <c r="E494" i="3" s="1"/>
  <c r="E493" i="3"/>
  <c r="F493" i="3" s="1"/>
  <c r="D493" i="3"/>
  <c r="B493" i="3"/>
  <c r="E492" i="3"/>
  <c r="D492" i="3"/>
  <c r="F492" i="3" s="1"/>
  <c r="B492" i="3"/>
  <c r="E491" i="3"/>
  <c r="B491" i="3"/>
  <c r="D491" i="3" s="1"/>
  <c r="E490" i="3"/>
  <c r="B490" i="3"/>
  <c r="D490" i="3" s="1"/>
  <c r="B489" i="3"/>
  <c r="E489" i="3" s="1"/>
  <c r="E488" i="3"/>
  <c r="D488" i="3"/>
  <c r="F488" i="3" s="1"/>
  <c r="B488" i="3"/>
  <c r="B487" i="3"/>
  <c r="E486" i="3"/>
  <c r="B486" i="3"/>
  <c r="D486" i="3" s="1"/>
  <c r="F486" i="3" s="1"/>
  <c r="D485" i="3"/>
  <c r="F485" i="3" s="1"/>
  <c r="B485" i="3"/>
  <c r="E485" i="3" s="1"/>
  <c r="B484" i="3"/>
  <c r="D484" i="3" s="1"/>
  <c r="E483" i="3"/>
  <c r="D483" i="3"/>
  <c r="F483" i="3" s="1"/>
  <c r="B483" i="3"/>
  <c r="B482" i="3"/>
  <c r="D481" i="3"/>
  <c r="F481" i="3" s="1"/>
  <c r="B481" i="3"/>
  <c r="E481" i="3" s="1"/>
  <c r="E480" i="3"/>
  <c r="D480" i="3"/>
  <c r="F480" i="3" s="1"/>
  <c r="B480" i="3"/>
  <c r="E479" i="3"/>
  <c r="D479" i="3"/>
  <c r="F479" i="3" s="1"/>
  <c r="B479" i="3"/>
  <c r="E478" i="3"/>
  <c r="F478" i="3" s="1"/>
  <c r="B478" i="3"/>
  <c r="D478" i="3" s="1"/>
  <c r="B477" i="3"/>
  <c r="E477" i="3" s="1"/>
  <c r="E476" i="3"/>
  <c r="D476" i="3"/>
  <c r="F476" i="3" s="1"/>
  <c r="B476" i="3"/>
  <c r="B475" i="3"/>
  <c r="D475" i="3" s="1"/>
  <c r="B474" i="3"/>
  <c r="E473" i="3"/>
  <c r="D473" i="3"/>
  <c r="F473" i="3" s="1"/>
  <c r="B473" i="3"/>
  <c r="B472" i="3"/>
  <c r="D472" i="3" s="1"/>
  <c r="E471" i="3"/>
  <c r="D471" i="3"/>
  <c r="F471" i="3" s="1"/>
  <c r="B471" i="3"/>
  <c r="E470" i="3"/>
  <c r="D470" i="3"/>
  <c r="F470" i="3" s="1"/>
  <c r="B470" i="3"/>
  <c r="F469" i="3"/>
  <c r="E469" i="3"/>
  <c r="B469" i="3"/>
  <c r="D469" i="3" s="1"/>
  <c r="E468" i="3"/>
  <c r="B468" i="3"/>
  <c r="D468" i="3" s="1"/>
  <c r="F468" i="3" s="1"/>
  <c r="E467" i="3"/>
  <c r="D467" i="3"/>
  <c r="F467" i="3" s="1"/>
  <c r="B467" i="3"/>
  <c r="F466" i="3"/>
  <c r="E466" i="3"/>
  <c r="B466" i="3"/>
  <c r="D466" i="3" s="1"/>
  <c r="B465" i="3"/>
  <c r="E465" i="3" s="1"/>
  <c r="E464" i="3"/>
  <c r="D464" i="3"/>
  <c r="F464" i="3" s="1"/>
  <c r="B464" i="3"/>
  <c r="B463" i="3"/>
  <c r="E462" i="3"/>
  <c r="D462" i="3"/>
  <c r="F462" i="3" s="1"/>
  <c r="B462" i="3"/>
  <c r="E461" i="3"/>
  <c r="D461" i="3"/>
  <c r="F461" i="3" s="1"/>
  <c r="B461" i="3"/>
  <c r="E460" i="3"/>
  <c r="F460" i="3" s="1"/>
  <c r="B460" i="3"/>
  <c r="D460" i="3" s="1"/>
  <c r="E459" i="3"/>
  <c r="D459" i="3"/>
  <c r="F459" i="3" s="1"/>
  <c r="B459" i="3"/>
  <c r="D458" i="3"/>
  <c r="F458" i="3" s="1"/>
  <c r="B458" i="3"/>
  <c r="E458" i="3" s="1"/>
  <c r="E457" i="3"/>
  <c r="F457" i="3" s="1"/>
  <c r="B457" i="3"/>
  <c r="D457" i="3" s="1"/>
  <c r="E456" i="3"/>
  <c r="B456" i="3"/>
  <c r="D456" i="3" s="1"/>
  <c r="F456" i="3" s="1"/>
  <c r="D455" i="3"/>
  <c r="B455" i="3"/>
  <c r="E455" i="3" s="1"/>
  <c r="E454" i="3"/>
  <c r="F454" i="3" s="1"/>
  <c r="B454" i="3"/>
  <c r="D454" i="3" s="1"/>
  <c r="E453" i="3"/>
  <c r="B453" i="3"/>
  <c r="D453" i="3" s="1"/>
  <c r="F453" i="3" s="1"/>
  <c r="D452" i="3"/>
  <c r="F452" i="3" s="1"/>
  <c r="B452" i="3"/>
  <c r="E452" i="3" s="1"/>
  <c r="E451" i="3"/>
  <c r="B451" i="3"/>
  <c r="D451" i="3" s="1"/>
  <c r="E450" i="3"/>
  <c r="B450" i="3"/>
  <c r="D450" i="3" s="1"/>
  <c r="F450" i="3" s="1"/>
  <c r="D449" i="3"/>
  <c r="F449" i="3" s="1"/>
  <c r="B449" i="3"/>
  <c r="E449" i="3" s="1"/>
  <c r="E448" i="3"/>
  <c r="F448" i="3" s="1"/>
  <c r="B448" i="3"/>
  <c r="D448" i="3" s="1"/>
  <c r="B447" i="3"/>
  <c r="E447" i="3" s="1"/>
  <c r="D446" i="3"/>
  <c r="F446" i="3" s="1"/>
  <c r="B446" i="3"/>
  <c r="E446" i="3" s="1"/>
  <c r="E445" i="3"/>
  <c r="F445" i="3" s="1"/>
  <c r="B445" i="3"/>
  <c r="D445" i="3" s="1"/>
  <c r="E444" i="3"/>
  <c r="F444" i="3" s="1"/>
  <c r="D444" i="3"/>
  <c r="B444" i="3"/>
  <c r="D443" i="3"/>
  <c r="F443" i="3" s="1"/>
  <c r="B443" i="3"/>
  <c r="E443" i="3" s="1"/>
  <c r="F442" i="3"/>
  <c r="E442" i="3"/>
  <c r="B442" i="3"/>
  <c r="D442" i="3" s="1"/>
  <c r="E441" i="3"/>
  <c r="B441" i="3"/>
  <c r="D441" i="3" s="1"/>
  <c r="F441" i="3" s="1"/>
  <c r="D440" i="3"/>
  <c r="F440" i="3" s="1"/>
  <c r="B440" i="3"/>
  <c r="E440" i="3" s="1"/>
  <c r="E439" i="3"/>
  <c r="B439" i="3"/>
  <c r="D439" i="3" s="1"/>
  <c r="E438" i="3"/>
  <c r="F438" i="3" s="1"/>
  <c r="B438" i="3"/>
  <c r="D438" i="3" s="1"/>
  <c r="D437" i="3"/>
  <c r="F437" i="3" s="1"/>
  <c r="B437" i="3"/>
  <c r="E437" i="3" s="1"/>
  <c r="E436" i="3"/>
  <c r="B436" i="3"/>
  <c r="D436" i="3" s="1"/>
  <c r="F436" i="3" s="1"/>
  <c r="B435" i="3"/>
  <c r="E435" i="3" s="1"/>
  <c r="D434" i="3"/>
  <c r="F434" i="3" s="1"/>
  <c r="B434" i="3"/>
  <c r="E434" i="3" s="1"/>
  <c r="E433" i="3"/>
  <c r="B433" i="3"/>
  <c r="D433" i="3" s="1"/>
  <c r="F433" i="3" s="1"/>
  <c r="E432" i="3"/>
  <c r="D432" i="3"/>
  <c r="F432" i="3" s="1"/>
  <c r="B432" i="3"/>
  <c r="D431" i="3"/>
  <c r="B431" i="3"/>
  <c r="E431" i="3" s="1"/>
  <c r="F430" i="3"/>
  <c r="E430" i="3"/>
  <c r="B430" i="3"/>
  <c r="D430" i="3" s="1"/>
  <c r="E429" i="3"/>
  <c r="B429" i="3"/>
  <c r="D429" i="3" s="1"/>
  <c r="F429" i="3" s="1"/>
  <c r="D428" i="3"/>
  <c r="F428" i="3" s="1"/>
  <c r="B428" i="3"/>
  <c r="E428" i="3" s="1"/>
  <c r="E427" i="3"/>
  <c r="B427" i="3"/>
  <c r="D427" i="3" s="1"/>
  <c r="E426" i="3"/>
  <c r="B426" i="3"/>
  <c r="D426" i="3" s="1"/>
  <c r="F426" i="3" s="1"/>
  <c r="D425" i="3"/>
  <c r="F425" i="3" s="1"/>
  <c r="B425" i="3"/>
  <c r="E425" i="3" s="1"/>
  <c r="E424" i="3"/>
  <c r="B424" i="3"/>
  <c r="D424" i="3" s="1"/>
  <c r="F424" i="3" s="1"/>
  <c r="D423" i="3"/>
  <c r="F423" i="3" s="1"/>
  <c r="B423" i="3"/>
  <c r="E423" i="3" s="1"/>
  <c r="D422" i="3"/>
  <c r="F422" i="3" s="1"/>
  <c r="B422" i="3"/>
  <c r="E422" i="3" s="1"/>
  <c r="E421" i="3"/>
  <c r="B421" i="3"/>
  <c r="D421" i="3" s="1"/>
  <c r="F421" i="3" s="1"/>
  <c r="E420" i="3"/>
  <c r="D420" i="3"/>
  <c r="F420" i="3" s="1"/>
  <c r="B420" i="3"/>
  <c r="D419" i="3"/>
  <c r="B419" i="3"/>
  <c r="E419" i="3" s="1"/>
  <c r="E418" i="3"/>
  <c r="F418" i="3" s="1"/>
  <c r="B418" i="3"/>
  <c r="D418" i="3" s="1"/>
  <c r="E417" i="3"/>
  <c r="B417" i="3"/>
  <c r="D417" i="3" s="1"/>
  <c r="F417" i="3" s="1"/>
  <c r="D416" i="3"/>
  <c r="F416" i="3" s="1"/>
  <c r="B416" i="3"/>
  <c r="E416" i="3" s="1"/>
  <c r="E415" i="3"/>
  <c r="B415" i="3"/>
  <c r="D415" i="3" s="1"/>
  <c r="F415" i="3" s="1"/>
  <c r="E414" i="3"/>
  <c r="B414" i="3"/>
  <c r="D414" i="3" s="1"/>
  <c r="F414" i="3" s="1"/>
  <c r="D413" i="3"/>
  <c r="F413" i="3" s="1"/>
  <c r="B413" i="3"/>
  <c r="E413" i="3" s="1"/>
  <c r="E412" i="3"/>
  <c r="B412" i="3"/>
  <c r="D412" i="3" s="1"/>
  <c r="F412" i="3" s="1"/>
  <c r="B411" i="3"/>
  <c r="E411" i="3" s="1"/>
  <c r="D410" i="3"/>
  <c r="F410" i="3" s="1"/>
  <c r="B410" i="3"/>
  <c r="E410" i="3" s="1"/>
  <c r="E409" i="3"/>
  <c r="B409" i="3"/>
  <c r="D409" i="3" s="1"/>
  <c r="F409" i="3" s="1"/>
  <c r="E408" i="3"/>
  <c r="D408" i="3"/>
  <c r="F408" i="3" s="1"/>
  <c r="B408" i="3"/>
  <c r="D407" i="3"/>
  <c r="F407" i="3" s="1"/>
  <c r="B407" i="3"/>
  <c r="E407" i="3" s="1"/>
  <c r="F406" i="3"/>
  <c r="E406" i="3"/>
  <c r="B406" i="3"/>
  <c r="D406" i="3" s="1"/>
  <c r="E405" i="3"/>
  <c r="B405" i="3"/>
  <c r="D405" i="3" s="1"/>
  <c r="F405" i="3" s="1"/>
  <c r="B404" i="3"/>
  <c r="E404" i="3" s="1"/>
  <c r="B403" i="3"/>
  <c r="E402" i="3"/>
  <c r="B402" i="3"/>
  <c r="D402" i="3" s="1"/>
  <c r="F402" i="3" s="1"/>
  <c r="D401" i="3"/>
  <c r="F401" i="3" s="1"/>
  <c r="B401" i="3"/>
  <c r="E401" i="3" s="1"/>
  <c r="B400" i="3"/>
  <c r="D400" i="3" s="1"/>
  <c r="B399" i="3"/>
  <c r="E399" i="3" s="1"/>
  <c r="D398" i="3"/>
  <c r="F398" i="3" s="1"/>
  <c r="B398" i="3"/>
  <c r="E398" i="3" s="1"/>
  <c r="E397" i="3"/>
  <c r="B397" i="3"/>
  <c r="D397" i="3" s="1"/>
  <c r="F397" i="3" s="1"/>
  <c r="E396" i="3"/>
  <c r="D396" i="3"/>
  <c r="F396" i="3" s="1"/>
  <c r="B396" i="3"/>
  <c r="D395" i="3"/>
  <c r="F395" i="3" s="1"/>
  <c r="B395" i="3"/>
  <c r="E395" i="3" s="1"/>
  <c r="E394" i="3"/>
  <c r="F394" i="3" s="1"/>
  <c r="B394" i="3"/>
  <c r="D394" i="3" s="1"/>
  <c r="E393" i="3"/>
  <c r="B393" i="3"/>
  <c r="D393" i="3" s="1"/>
  <c r="F393" i="3" s="1"/>
  <c r="B392" i="3"/>
  <c r="B391" i="3"/>
  <c r="F390" i="3"/>
  <c r="E390" i="3"/>
  <c r="D390" i="3"/>
  <c r="B390" i="3"/>
  <c r="D389" i="3"/>
  <c r="F389" i="3" s="1"/>
  <c r="B389" i="3"/>
  <c r="E389" i="3" s="1"/>
  <c r="E388" i="3"/>
  <c r="B388" i="3"/>
  <c r="D388" i="3" s="1"/>
  <c r="E387" i="3"/>
  <c r="D387" i="3"/>
  <c r="F387" i="3" s="1"/>
  <c r="B387" i="3"/>
  <c r="D386" i="3"/>
  <c r="F386" i="3" s="1"/>
  <c r="B386" i="3"/>
  <c r="E386" i="3" s="1"/>
  <c r="E385" i="3"/>
  <c r="B385" i="3"/>
  <c r="D385" i="3" s="1"/>
  <c r="E384" i="3"/>
  <c r="D384" i="3"/>
  <c r="F384" i="3" s="1"/>
  <c r="B384" i="3"/>
  <c r="D383" i="3"/>
  <c r="F383" i="3" s="1"/>
  <c r="B383" i="3"/>
  <c r="E383" i="3" s="1"/>
  <c r="E382" i="3"/>
  <c r="F382" i="3" s="1"/>
  <c r="B382" i="3"/>
  <c r="D382" i="3" s="1"/>
  <c r="E381" i="3"/>
  <c r="B381" i="3"/>
  <c r="D381" i="3" s="1"/>
  <c r="F381" i="3" s="1"/>
  <c r="D380" i="3"/>
  <c r="F380" i="3" s="1"/>
  <c r="B380" i="3"/>
  <c r="E380" i="3" s="1"/>
  <c r="B379" i="3"/>
  <c r="D379" i="3" s="1"/>
  <c r="E378" i="3"/>
  <c r="F378" i="3" s="1"/>
  <c r="D378" i="3"/>
  <c r="B378" i="3"/>
  <c r="D377" i="3"/>
  <c r="F377" i="3" s="1"/>
  <c r="B377" i="3"/>
  <c r="E377" i="3" s="1"/>
  <c r="E376" i="3"/>
  <c r="F376" i="3" s="1"/>
  <c r="B376" i="3"/>
  <c r="D376" i="3" s="1"/>
  <c r="B375" i="3"/>
  <c r="E375" i="3" s="1"/>
  <c r="D374" i="3"/>
  <c r="F374" i="3" s="1"/>
  <c r="B374" i="3"/>
  <c r="E374" i="3" s="1"/>
  <c r="E373" i="3"/>
  <c r="B373" i="3"/>
  <c r="D373" i="3" s="1"/>
  <c r="F373" i="3" s="1"/>
  <c r="F372" i="3"/>
  <c r="E372" i="3"/>
  <c r="D372" i="3"/>
  <c r="B372" i="3"/>
  <c r="D371" i="3"/>
  <c r="F371" i="3" s="1"/>
  <c r="B371" i="3"/>
  <c r="E371" i="3" s="1"/>
  <c r="E370" i="3"/>
  <c r="F370" i="3" s="1"/>
  <c r="B370" i="3"/>
  <c r="D370" i="3" s="1"/>
  <c r="E369" i="3"/>
  <c r="B369" i="3"/>
  <c r="D369" i="3" s="1"/>
  <c r="B368" i="3"/>
  <c r="B367" i="3"/>
  <c r="F366" i="3"/>
  <c r="E366" i="3"/>
  <c r="D366" i="3"/>
  <c r="B366" i="3"/>
  <c r="D365" i="3"/>
  <c r="F365" i="3" s="1"/>
  <c r="B365" i="3"/>
  <c r="E365" i="3" s="1"/>
  <c r="B364" i="3"/>
  <c r="D364" i="3" s="1"/>
  <c r="B363" i="3"/>
  <c r="D362" i="3"/>
  <c r="F362" i="3" s="1"/>
  <c r="B362" i="3"/>
  <c r="E362" i="3" s="1"/>
  <c r="E361" i="3"/>
  <c r="B361" i="3"/>
  <c r="D361" i="3" s="1"/>
  <c r="E360" i="3"/>
  <c r="D360" i="3"/>
  <c r="F360" i="3" s="1"/>
  <c r="B360" i="3"/>
  <c r="B359" i="3"/>
  <c r="E358" i="3"/>
  <c r="F358" i="3" s="1"/>
  <c r="B358" i="3"/>
  <c r="D358" i="3" s="1"/>
  <c r="E357" i="3"/>
  <c r="B357" i="3"/>
  <c r="D357" i="3" s="1"/>
  <c r="B356" i="3"/>
  <c r="E356" i="3" s="1"/>
  <c r="B355" i="3"/>
  <c r="D355" i="3" s="1"/>
  <c r="E354" i="3"/>
  <c r="F354" i="3" s="1"/>
  <c r="D354" i="3"/>
  <c r="B354" i="3"/>
  <c r="D353" i="3"/>
  <c r="F353" i="3" s="1"/>
  <c r="B353" i="3"/>
  <c r="E353" i="3" s="1"/>
  <c r="F352" i="3"/>
  <c r="E352" i="3"/>
  <c r="B352" i="3"/>
  <c r="D352" i="3" s="1"/>
  <c r="B351" i="3"/>
  <c r="E351" i="3" s="1"/>
  <c r="D350" i="3"/>
  <c r="F350" i="3" s="1"/>
  <c r="B350" i="3"/>
  <c r="E350" i="3" s="1"/>
  <c r="E349" i="3"/>
  <c r="B349" i="3"/>
  <c r="D349" i="3" s="1"/>
  <c r="F348" i="3"/>
  <c r="E348" i="3"/>
  <c r="B348" i="3"/>
  <c r="D348" i="3" s="1"/>
  <c r="D347" i="3"/>
  <c r="F347" i="3" s="1"/>
  <c r="B347" i="3"/>
  <c r="E347" i="3" s="1"/>
  <c r="B346" i="3"/>
  <c r="B345" i="3"/>
  <c r="E345" i="3" s="1"/>
  <c r="D344" i="3"/>
  <c r="F344" i="3" s="1"/>
  <c r="B344" i="3"/>
  <c r="E344" i="3" s="1"/>
  <c r="E343" i="3"/>
  <c r="F343" i="3" s="1"/>
  <c r="D343" i="3"/>
  <c r="B343" i="3"/>
  <c r="B342" i="3"/>
  <c r="D342" i="3" s="1"/>
  <c r="B341" i="3"/>
  <c r="E341" i="3" s="1"/>
  <c r="E340" i="3"/>
  <c r="D340" i="3"/>
  <c r="F340" i="3" s="1"/>
  <c r="B340" i="3"/>
  <c r="B339" i="3"/>
  <c r="B338" i="3"/>
  <c r="B337" i="3"/>
  <c r="E337" i="3" s="1"/>
  <c r="E336" i="3"/>
  <c r="D336" i="3"/>
  <c r="F336" i="3" s="1"/>
  <c r="B336" i="3"/>
  <c r="B335" i="3"/>
  <c r="E334" i="3"/>
  <c r="D334" i="3"/>
  <c r="F334" i="3" s="1"/>
  <c r="B334" i="3"/>
  <c r="B333" i="3"/>
  <c r="E333" i="3" s="1"/>
  <c r="D332" i="3"/>
  <c r="F332" i="3" s="1"/>
  <c r="B332" i="3"/>
  <c r="E332" i="3" s="1"/>
  <c r="B331" i="3"/>
  <c r="E330" i="3"/>
  <c r="D330" i="3"/>
  <c r="F330" i="3" s="1"/>
  <c r="B330" i="3"/>
  <c r="D329" i="3"/>
  <c r="F329" i="3" s="1"/>
  <c r="B329" i="3"/>
  <c r="E329" i="3" s="1"/>
  <c r="B328" i="3"/>
  <c r="B327" i="3"/>
  <c r="E327" i="3" s="1"/>
  <c r="D326" i="3"/>
  <c r="F326" i="3" s="1"/>
  <c r="B326" i="3"/>
  <c r="E326" i="3" s="1"/>
  <c r="E325" i="3"/>
  <c r="F325" i="3" s="1"/>
  <c r="D325" i="3"/>
  <c r="B325" i="3"/>
  <c r="B324" i="3"/>
  <c r="D324" i="3" s="1"/>
  <c r="B323" i="3"/>
  <c r="E323" i="3" s="1"/>
  <c r="E322" i="3"/>
  <c r="D322" i="3"/>
  <c r="F322" i="3" s="1"/>
  <c r="B322" i="3"/>
  <c r="B321" i="3"/>
  <c r="B320" i="3"/>
  <c r="B319" i="3"/>
  <c r="E319" i="3" s="1"/>
  <c r="E318" i="3"/>
  <c r="D318" i="3"/>
  <c r="F318" i="3" s="1"/>
  <c r="B318" i="3"/>
  <c r="B317" i="3"/>
  <c r="E316" i="3"/>
  <c r="D316" i="3"/>
  <c r="F316" i="3" s="1"/>
  <c r="B316" i="3"/>
  <c r="B315" i="3"/>
  <c r="E315" i="3" s="1"/>
  <c r="D314" i="3"/>
  <c r="F314" i="3" s="1"/>
  <c r="B314" i="3"/>
  <c r="E314" i="3" s="1"/>
  <c r="B313" i="3"/>
  <c r="E312" i="3"/>
  <c r="D312" i="3"/>
  <c r="F312" i="3" s="1"/>
  <c r="B312" i="3"/>
  <c r="E311" i="3"/>
  <c r="D311" i="3"/>
  <c r="F311" i="3" s="1"/>
  <c r="B311" i="3"/>
  <c r="E310" i="3"/>
  <c r="B310" i="3"/>
  <c r="D310" i="3" s="1"/>
  <c r="B309" i="3"/>
  <c r="D309" i="3" s="1"/>
  <c r="F308" i="3"/>
  <c r="E308" i="3"/>
  <c r="D308" i="3"/>
  <c r="B308" i="3"/>
  <c r="B307" i="3"/>
  <c r="D307" i="3" s="1"/>
  <c r="B306" i="3"/>
  <c r="E305" i="3"/>
  <c r="D305" i="3"/>
  <c r="B305" i="3"/>
  <c r="E304" i="3"/>
  <c r="B304" i="3"/>
  <c r="D304" i="3" s="1"/>
  <c r="E303" i="3"/>
  <c r="D303" i="3"/>
  <c r="F303" i="3" s="1"/>
  <c r="B303" i="3"/>
  <c r="B302" i="3"/>
  <c r="D302" i="3" s="1"/>
  <c r="E301" i="3"/>
  <c r="B301" i="3"/>
  <c r="D301" i="3" s="1"/>
  <c r="B300" i="3"/>
  <c r="E300" i="3" s="1"/>
  <c r="B299" i="3"/>
  <c r="B298" i="3"/>
  <c r="F297" i="3"/>
  <c r="E297" i="3"/>
  <c r="D297" i="3"/>
  <c r="B297" i="3"/>
  <c r="E296" i="3"/>
  <c r="D296" i="3"/>
  <c r="F296" i="3" s="1"/>
  <c r="B296" i="3"/>
  <c r="B295" i="3"/>
  <c r="E294" i="3"/>
  <c r="D294" i="3"/>
  <c r="F294" i="3" s="1"/>
  <c r="B294" i="3"/>
  <c r="B293" i="3"/>
  <c r="E293" i="3" s="1"/>
  <c r="E292" i="3"/>
  <c r="B292" i="3"/>
  <c r="D292" i="3" s="1"/>
  <c r="B291" i="3"/>
  <c r="D291" i="3" s="1"/>
  <c r="F290" i="3"/>
  <c r="E290" i="3"/>
  <c r="D290" i="3"/>
  <c r="B290" i="3"/>
  <c r="B289" i="3"/>
  <c r="D289" i="3" s="1"/>
  <c r="B288" i="3"/>
  <c r="E287" i="3"/>
  <c r="D287" i="3"/>
  <c r="F287" i="3" s="1"/>
  <c r="B287" i="3"/>
  <c r="E286" i="3"/>
  <c r="B286" i="3"/>
  <c r="D286" i="3" s="1"/>
  <c r="E285" i="3"/>
  <c r="D285" i="3"/>
  <c r="F285" i="3" s="1"/>
  <c r="B285" i="3"/>
  <c r="B284" i="3"/>
  <c r="E283" i="3"/>
  <c r="B283" i="3"/>
  <c r="D283" i="3" s="1"/>
  <c r="B282" i="3"/>
  <c r="E282" i="3" s="1"/>
  <c r="B281" i="3"/>
  <c r="B280" i="3"/>
  <c r="F279" i="3"/>
  <c r="E279" i="3"/>
  <c r="D279" i="3"/>
  <c r="B279" i="3"/>
  <c r="E278" i="3"/>
  <c r="D278" i="3"/>
  <c r="F278" i="3" s="1"/>
  <c r="B278" i="3"/>
  <c r="B277" i="3"/>
  <c r="E276" i="3"/>
  <c r="D276" i="3"/>
  <c r="B276" i="3"/>
  <c r="B275" i="3"/>
  <c r="E275" i="3" s="1"/>
  <c r="E274" i="3"/>
  <c r="B274" i="3"/>
  <c r="D274" i="3" s="1"/>
  <c r="B273" i="3"/>
  <c r="D273" i="3" s="1"/>
  <c r="F272" i="3"/>
  <c r="E272" i="3"/>
  <c r="D272" i="3"/>
  <c r="B272" i="3"/>
  <c r="B271" i="3"/>
  <c r="D271" i="3" s="1"/>
  <c r="B270" i="3"/>
  <c r="E269" i="3"/>
  <c r="D269" i="3"/>
  <c r="B269" i="3"/>
  <c r="E268" i="3"/>
  <c r="B268" i="3"/>
  <c r="D268" i="3" s="1"/>
  <c r="E267" i="3"/>
  <c r="D267" i="3"/>
  <c r="F267" i="3" s="1"/>
  <c r="B267" i="3"/>
  <c r="E266" i="3"/>
  <c r="B266" i="3"/>
  <c r="D266" i="3" s="1"/>
  <c r="E265" i="3"/>
  <c r="B265" i="3"/>
  <c r="D265" i="3" s="1"/>
  <c r="B264" i="3"/>
  <c r="E264" i="3" s="1"/>
  <c r="B263" i="3"/>
  <c r="B262" i="3"/>
  <c r="F261" i="3"/>
  <c r="E261" i="3"/>
  <c r="D261" i="3"/>
  <c r="B261" i="3"/>
  <c r="E260" i="3"/>
  <c r="B260" i="3"/>
  <c r="D260" i="3" s="1"/>
  <c r="F260" i="3" s="1"/>
  <c r="B259" i="3"/>
  <c r="E258" i="3"/>
  <c r="D258" i="3"/>
  <c r="B258" i="3"/>
  <c r="B257" i="3"/>
  <c r="E257" i="3" s="1"/>
  <c r="B256" i="3"/>
  <c r="E256" i="3" s="1"/>
  <c r="B255" i="3"/>
  <c r="E255" i="3" s="1"/>
  <c r="B254" i="3"/>
  <c r="E254" i="3" s="1"/>
  <c r="E253" i="3"/>
  <c r="B253" i="3"/>
  <c r="D253" i="3" s="1"/>
  <c r="F253" i="3" s="1"/>
  <c r="B252" i="3"/>
  <c r="D252" i="3" s="1"/>
  <c r="F251" i="3"/>
  <c r="E251" i="3"/>
  <c r="D251" i="3"/>
  <c r="B251" i="3"/>
  <c r="D250" i="3"/>
  <c r="B250" i="3"/>
  <c r="E250" i="3" s="1"/>
  <c r="E249" i="3"/>
  <c r="D249" i="3"/>
  <c r="F249" i="3" s="1"/>
  <c r="B249" i="3"/>
  <c r="F248" i="3"/>
  <c r="E248" i="3"/>
  <c r="D248" i="3"/>
  <c r="B248" i="3"/>
  <c r="B247" i="3"/>
  <c r="E247" i="3" s="1"/>
  <c r="B246" i="3"/>
  <c r="E245" i="3"/>
  <c r="D245" i="3"/>
  <c r="F245" i="3" s="1"/>
  <c r="B245" i="3"/>
  <c r="B244" i="3"/>
  <c r="E244" i="3" s="1"/>
  <c r="B243" i="3"/>
  <c r="E243" i="3" s="1"/>
  <c r="D242" i="3"/>
  <c r="F242" i="3" s="1"/>
  <c r="B242" i="3"/>
  <c r="E242" i="3" s="1"/>
  <c r="E241" i="3"/>
  <c r="D241" i="3"/>
  <c r="B241" i="3"/>
  <c r="E240" i="3"/>
  <c r="B240" i="3"/>
  <c r="D240" i="3" s="1"/>
  <c r="F240" i="3" s="1"/>
  <c r="E239" i="3"/>
  <c r="B239" i="3"/>
  <c r="D239" i="3" s="1"/>
  <c r="E238" i="3"/>
  <c r="D238" i="3"/>
  <c r="B238" i="3"/>
  <c r="D237" i="3"/>
  <c r="F237" i="3" s="1"/>
  <c r="B237" i="3"/>
  <c r="E237" i="3" s="1"/>
  <c r="E236" i="3"/>
  <c r="D236" i="3"/>
  <c r="F236" i="3" s="1"/>
  <c r="B236" i="3"/>
  <c r="E235" i="3"/>
  <c r="D235" i="3"/>
  <c r="B235" i="3"/>
  <c r="B234" i="3"/>
  <c r="E234" i="3" s="1"/>
  <c r="B233" i="3"/>
  <c r="B232" i="3"/>
  <c r="E232" i="3" s="1"/>
  <c r="B231" i="3"/>
  <c r="E231" i="3" s="1"/>
  <c r="B230" i="3"/>
  <c r="E230" i="3" s="1"/>
  <c r="B229" i="3"/>
  <c r="D229" i="3" s="1"/>
  <c r="F228" i="3"/>
  <c r="E228" i="3"/>
  <c r="D228" i="3"/>
  <c r="B228" i="3"/>
  <c r="E227" i="3"/>
  <c r="B227" i="3"/>
  <c r="D227" i="3" s="1"/>
  <c r="E226" i="3"/>
  <c r="D226" i="3"/>
  <c r="F226" i="3" s="1"/>
  <c r="B226" i="3"/>
  <c r="F225" i="3"/>
  <c r="E225" i="3"/>
  <c r="D225" i="3"/>
  <c r="B225" i="3"/>
  <c r="D224" i="3"/>
  <c r="B224" i="3"/>
  <c r="E224" i="3" s="1"/>
  <c r="B223" i="3"/>
  <c r="E222" i="3"/>
  <c r="D222" i="3"/>
  <c r="B222" i="3"/>
  <c r="B221" i="3"/>
  <c r="B220" i="3"/>
  <c r="E220" i="3" s="1"/>
  <c r="B219" i="3"/>
  <c r="E219" i="3" s="1"/>
  <c r="B218" i="3"/>
  <c r="E218" i="3" s="1"/>
  <c r="E217" i="3"/>
  <c r="B217" i="3"/>
  <c r="D217" i="3" s="1"/>
  <c r="F217" i="3" s="1"/>
  <c r="B216" i="3"/>
  <c r="D216" i="3" s="1"/>
  <c r="F215" i="3"/>
  <c r="E215" i="3"/>
  <c r="D215" i="3"/>
  <c r="B215" i="3"/>
  <c r="D214" i="3"/>
  <c r="F214" i="3" s="1"/>
  <c r="B214" i="3"/>
  <c r="E214" i="3" s="1"/>
  <c r="E213" i="3"/>
  <c r="D213" i="3"/>
  <c r="F213" i="3" s="1"/>
  <c r="B213" i="3"/>
  <c r="E212" i="3"/>
  <c r="D212" i="3"/>
  <c r="F212" i="3" s="1"/>
  <c r="B212" i="3"/>
  <c r="B211" i="3"/>
  <c r="B210" i="3"/>
  <c r="E209" i="3"/>
  <c r="D209" i="3"/>
  <c r="F209" i="3" s="1"/>
  <c r="B209" i="3"/>
  <c r="E208" i="3"/>
  <c r="B208" i="3"/>
  <c r="D208" i="3" s="1"/>
  <c r="F208" i="3" s="1"/>
  <c r="B207" i="3"/>
  <c r="E207" i="3" s="1"/>
  <c r="D206" i="3"/>
  <c r="F206" i="3" s="1"/>
  <c r="B206" i="3"/>
  <c r="E206" i="3" s="1"/>
  <c r="E205" i="3"/>
  <c r="D205" i="3"/>
  <c r="B205" i="3"/>
  <c r="E204" i="3"/>
  <c r="B204" i="3"/>
  <c r="D204" i="3" s="1"/>
  <c r="E203" i="3"/>
  <c r="B203" i="3"/>
  <c r="D203" i="3" s="1"/>
  <c r="E202" i="3"/>
  <c r="D202" i="3"/>
  <c r="F202" i="3" s="1"/>
  <c r="B202" i="3"/>
  <c r="D201" i="3"/>
  <c r="F201" i="3" s="1"/>
  <c r="B201" i="3"/>
  <c r="E201" i="3" s="1"/>
  <c r="E200" i="3"/>
  <c r="D200" i="3"/>
  <c r="F200" i="3" s="1"/>
  <c r="B200" i="3"/>
  <c r="B199" i="3"/>
  <c r="E199" i="3" s="1"/>
  <c r="B198" i="3"/>
  <c r="B197" i="3"/>
  <c r="D196" i="3"/>
  <c r="F196" i="3" s="1"/>
  <c r="B196" i="3"/>
  <c r="E196" i="3" s="1"/>
  <c r="E195" i="3"/>
  <c r="B195" i="3"/>
  <c r="D195" i="3" s="1"/>
  <c r="F195" i="3" s="1"/>
  <c r="B194" i="3"/>
  <c r="B193" i="3"/>
  <c r="E193" i="3" s="1"/>
  <c r="E192" i="3"/>
  <c r="B192" i="3"/>
  <c r="D192" i="3" s="1"/>
  <c r="F192" i="3" s="1"/>
  <c r="B191" i="3"/>
  <c r="B190" i="3"/>
  <c r="F189" i="3"/>
  <c r="E189" i="3"/>
  <c r="B189" i="3"/>
  <c r="D189" i="3" s="1"/>
  <c r="B188" i="3"/>
  <c r="D187" i="3"/>
  <c r="F187" i="3" s="1"/>
  <c r="B187" i="3"/>
  <c r="E187" i="3" s="1"/>
  <c r="B186" i="3"/>
  <c r="E186" i="3" s="1"/>
  <c r="B185" i="3"/>
  <c r="D184" i="3"/>
  <c r="F184" i="3" s="1"/>
  <c r="B184" i="3"/>
  <c r="E184" i="3" s="1"/>
  <c r="B183" i="3"/>
  <c r="E183" i="3" s="1"/>
  <c r="B182" i="3"/>
  <c r="D181" i="3"/>
  <c r="F181" i="3" s="1"/>
  <c r="B181" i="3"/>
  <c r="E181" i="3" s="1"/>
  <c r="B180" i="3"/>
  <c r="E180" i="3" s="1"/>
  <c r="B179" i="3"/>
  <c r="D178" i="3"/>
  <c r="F178" i="3" s="1"/>
  <c r="B178" i="3"/>
  <c r="E178" i="3" s="1"/>
  <c r="B177" i="3"/>
  <c r="E177" i="3" s="1"/>
  <c r="B176" i="3"/>
  <c r="B175" i="3"/>
  <c r="B174" i="3"/>
  <c r="E174" i="3" s="1"/>
  <c r="B173" i="3"/>
  <c r="B172" i="3"/>
  <c r="E172" i="3" s="1"/>
  <c r="B171" i="3"/>
  <c r="E171" i="3" s="1"/>
  <c r="B170" i="3"/>
  <c r="B169" i="3"/>
  <c r="E169" i="3" s="1"/>
  <c r="B168" i="3"/>
  <c r="E168" i="3" s="1"/>
  <c r="B167" i="3"/>
  <c r="B166" i="3"/>
  <c r="E166" i="3" s="1"/>
  <c r="B165" i="3"/>
  <c r="E165" i="3" s="1"/>
  <c r="B164" i="3"/>
  <c r="B163" i="3"/>
  <c r="E163" i="3" s="1"/>
  <c r="B162" i="3"/>
  <c r="B161" i="3"/>
  <c r="E161" i="3" s="1"/>
  <c r="B160" i="3"/>
  <c r="B159" i="3"/>
  <c r="D158" i="3"/>
  <c r="F158" i="3" s="1"/>
  <c r="B158" i="3"/>
  <c r="E158" i="3" s="1"/>
  <c r="D157" i="3"/>
  <c r="F157" i="3" s="1"/>
  <c r="B157" i="3"/>
  <c r="E157" i="3" s="1"/>
  <c r="B156" i="3"/>
  <c r="D155" i="3"/>
  <c r="F155" i="3" s="1"/>
  <c r="B155" i="3"/>
  <c r="E155" i="3" s="1"/>
  <c r="D154" i="3"/>
  <c r="F154" i="3" s="1"/>
  <c r="B154" i="3"/>
  <c r="E154" i="3" s="1"/>
  <c r="B153" i="3"/>
  <c r="D152" i="3"/>
  <c r="F152" i="3" s="1"/>
  <c r="B152" i="3"/>
  <c r="E152" i="3" s="1"/>
  <c r="E151" i="3"/>
  <c r="B151" i="3"/>
  <c r="D151" i="3" s="1"/>
  <c r="F151" i="3" s="1"/>
  <c r="B150" i="3"/>
  <c r="B149" i="3"/>
  <c r="E149" i="3" s="1"/>
  <c r="B148" i="3"/>
  <c r="E148" i="3" s="1"/>
  <c r="B147" i="3"/>
  <c r="B146" i="3"/>
  <c r="E146" i="3" s="1"/>
  <c r="D145" i="3"/>
  <c r="B145" i="3"/>
  <c r="E145" i="3" s="1"/>
  <c r="B144" i="3"/>
  <c r="D143" i="3"/>
  <c r="F143" i="3" s="1"/>
  <c r="B143" i="3"/>
  <c r="E143" i="3" s="1"/>
  <c r="D142" i="3"/>
  <c r="B142" i="3"/>
  <c r="E142" i="3" s="1"/>
  <c r="B141" i="3"/>
  <c r="B140" i="3"/>
  <c r="E140" i="3" s="1"/>
  <c r="F139" i="3"/>
  <c r="E139" i="3"/>
  <c r="D139" i="3"/>
  <c r="B139" i="3"/>
  <c r="B138" i="3"/>
  <c r="B137" i="3"/>
  <c r="E137" i="3" s="1"/>
  <c r="E136" i="3"/>
  <c r="D136" i="3"/>
  <c r="F136" i="3" s="1"/>
  <c r="B136" i="3"/>
  <c r="B135" i="3"/>
  <c r="B134" i="3"/>
  <c r="E134" i="3" s="1"/>
  <c r="B133" i="3"/>
  <c r="E133" i="3" s="1"/>
  <c r="B132" i="3"/>
  <c r="D131" i="3"/>
  <c r="B131" i="3"/>
  <c r="E131" i="3" s="1"/>
  <c r="B130" i="3"/>
  <c r="E130" i="3" s="1"/>
  <c r="B129" i="3"/>
  <c r="F128" i="3"/>
  <c r="E128" i="3"/>
  <c r="D128" i="3"/>
  <c r="B128" i="3"/>
  <c r="B127" i="3"/>
  <c r="E127" i="3" s="1"/>
  <c r="E126" i="3"/>
  <c r="F126" i="3" s="1"/>
  <c r="B126" i="3"/>
  <c r="D126" i="3" s="1"/>
  <c r="E125" i="3"/>
  <c r="B125" i="3"/>
  <c r="D125" i="3" s="1"/>
  <c r="E124" i="3"/>
  <c r="D124" i="3"/>
  <c r="F124" i="3" s="1"/>
  <c r="B124" i="3"/>
  <c r="B123" i="3"/>
  <c r="D123" i="3" s="1"/>
  <c r="E122" i="3"/>
  <c r="D122" i="3"/>
  <c r="F122" i="3" s="1"/>
  <c r="B122" i="3"/>
  <c r="D121" i="3"/>
  <c r="B121" i="3"/>
  <c r="E121" i="3" s="1"/>
  <c r="E120" i="3"/>
  <c r="B120" i="3"/>
  <c r="D120" i="3" s="1"/>
  <c r="F120" i="3" s="1"/>
  <c r="B119" i="3"/>
  <c r="B118" i="3"/>
  <c r="E118" i="3" s="1"/>
  <c r="B117" i="3"/>
  <c r="D117" i="3" s="1"/>
  <c r="E116" i="3"/>
  <c r="B116" i="3"/>
  <c r="D116" i="3" s="1"/>
  <c r="F116" i="3" s="1"/>
  <c r="F115" i="3"/>
  <c r="E115" i="3"/>
  <c r="D115" i="3"/>
  <c r="B115" i="3"/>
  <c r="F114" i="3"/>
  <c r="E114" i="3"/>
  <c r="B114" i="3"/>
  <c r="D114" i="3" s="1"/>
  <c r="E113" i="3"/>
  <c r="D113" i="3"/>
  <c r="F113" i="3" s="1"/>
  <c r="B113" i="3"/>
  <c r="E112" i="3"/>
  <c r="B112" i="3"/>
  <c r="D112" i="3" s="1"/>
  <c r="F112" i="3" s="1"/>
  <c r="E111" i="3"/>
  <c r="B111" i="3"/>
  <c r="D111" i="3" s="1"/>
  <c r="F111" i="3" s="1"/>
  <c r="B110" i="3"/>
  <c r="E109" i="3"/>
  <c r="D109" i="3"/>
  <c r="F109" i="3" s="1"/>
  <c r="B109" i="3"/>
  <c r="B108" i="3"/>
  <c r="D108" i="3" s="1"/>
  <c r="D107" i="3"/>
  <c r="F107" i="3" s="1"/>
  <c r="B107" i="3"/>
  <c r="E107" i="3" s="1"/>
  <c r="B106" i="3"/>
  <c r="E105" i="3"/>
  <c r="F105" i="3" s="1"/>
  <c r="B105" i="3"/>
  <c r="D105" i="3" s="1"/>
  <c r="B104" i="3"/>
  <c r="E104" i="3" s="1"/>
  <c r="E103" i="3"/>
  <c r="B103" i="3"/>
  <c r="D103" i="3" s="1"/>
  <c r="B102" i="3"/>
  <c r="D102" i="3" s="1"/>
  <c r="E101" i="3"/>
  <c r="D101" i="3"/>
  <c r="F101" i="3" s="1"/>
  <c r="B101" i="3"/>
  <c r="E100" i="3"/>
  <c r="D100" i="3"/>
  <c r="F100" i="3" s="1"/>
  <c r="B100" i="3"/>
  <c r="E99" i="3"/>
  <c r="F99" i="3" s="1"/>
  <c r="B99" i="3"/>
  <c r="D99" i="3" s="1"/>
  <c r="D98" i="3"/>
  <c r="F98" i="3" s="1"/>
  <c r="B98" i="3"/>
  <c r="E98" i="3" s="1"/>
  <c r="B97" i="3"/>
  <c r="E97" i="3" s="1"/>
  <c r="B96" i="3"/>
  <c r="B95" i="3"/>
  <c r="E95" i="3" s="1"/>
  <c r="E94" i="3"/>
  <c r="D94" i="3"/>
  <c r="F94" i="3" s="1"/>
  <c r="B94" i="3"/>
  <c r="B93" i="3"/>
  <c r="D93" i="3" s="1"/>
  <c r="F92" i="3"/>
  <c r="E92" i="3"/>
  <c r="D92" i="3"/>
  <c r="B92" i="3"/>
  <c r="D91" i="3"/>
  <c r="B91" i="3"/>
  <c r="E91" i="3" s="1"/>
  <c r="F91" i="3" s="1"/>
  <c r="E90" i="3"/>
  <c r="F90" i="3" s="1"/>
  <c r="B90" i="3"/>
  <c r="D90" i="3" s="1"/>
  <c r="E89" i="3"/>
  <c r="B89" i="3"/>
  <c r="D89" i="3" s="1"/>
  <c r="E88" i="3"/>
  <c r="B88" i="3"/>
  <c r="D88" i="3" s="1"/>
  <c r="F88" i="3" s="1"/>
  <c r="B87" i="3"/>
  <c r="D87" i="3" s="1"/>
  <c r="E86" i="3"/>
  <c r="D86" i="3"/>
  <c r="F86" i="3" s="1"/>
  <c r="B86" i="3"/>
  <c r="D85" i="3"/>
  <c r="B85" i="3"/>
  <c r="E85" i="3" s="1"/>
  <c r="F84" i="3"/>
  <c r="E84" i="3"/>
  <c r="B84" i="3"/>
  <c r="D84" i="3" s="1"/>
  <c r="B83" i="3"/>
  <c r="B82" i="3"/>
  <c r="E82" i="3" s="1"/>
  <c r="E81" i="3"/>
  <c r="B81" i="3"/>
  <c r="D81" i="3" s="1"/>
  <c r="F81" i="3" s="1"/>
  <c r="B80" i="3"/>
  <c r="E80" i="3" s="1"/>
  <c r="F79" i="3"/>
  <c r="E79" i="3"/>
  <c r="D79" i="3"/>
  <c r="B79" i="3"/>
  <c r="B78" i="3"/>
  <c r="D78" i="3" s="1"/>
  <c r="E77" i="3"/>
  <c r="D77" i="3"/>
  <c r="F77" i="3" s="1"/>
  <c r="B77" i="3"/>
  <c r="E76" i="3"/>
  <c r="B76" i="3"/>
  <c r="D76" i="3" s="1"/>
  <c r="F76" i="3" s="1"/>
  <c r="E75" i="3"/>
  <c r="B75" i="3"/>
  <c r="D75" i="3" s="1"/>
  <c r="F75" i="3" s="1"/>
  <c r="B74" i="3"/>
  <c r="E74" i="3" s="1"/>
  <c r="E73" i="3"/>
  <c r="D73" i="3"/>
  <c r="F73" i="3" s="1"/>
  <c r="B73" i="3"/>
  <c r="B72" i="3"/>
  <c r="D72" i="3" s="1"/>
  <c r="E71" i="3"/>
  <c r="D71" i="3"/>
  <c r="F71" i="3" s="1"/>
  <c r="B71" i="3"/>
  <c r="B70" i="3"/>
  <c r="E70" i="3" s="1"/>
  <c r="E69" i="3"/>
  <c r="F69" i="3" s="1"/>
  <c r="B69" i="3"/>
  <c r="D69" i="3" s="1"/>
  <c r="D68" i="3"/>
  <c r="B68" i="3"/>
  <c r="E68" i="3" s="1"/>
  <c r="F68" i="3" s="1"/>
  <c r="B67" i="3"/>
  <c r="D67" i="3" s="1"/>
  <c r="F66" i="3"/>
  <c r="E66" i="3"/>
  <c r="D66" i="3"/>
  <c r="B66" i="3"/>
  <c r="D65" i="3"/>
  <c r="B65" i="3"/>
  <c r="E65" i="3" s="1"/>
  <c r="F65" i="3" s="1"/>
  <c r="B64" i="3"/>
  <c r="F63" i="3"/>
  <c r="E63" i="3"/>
  <c r="D63" i="3"/>
  <c r="B63" i="3"/>
  <c r="D62" i="3"/>
  <c r="B62" i="3"/>
  <c r="E62" i="3" s="1"/>
  <c r="F62" i="3" s="1"/>
  <c r="B61" i="3"/>
  <c r="F60" i="3"/>
  <c r="E60" i="3"/>
  <c r="D60" i="3"/>
  <c r="B60" i="3"/>
  <c r="D59" i="3"/>
  <c r="B59" i="3"/>
  <c r="E59" i="3" s="1"/>
  <c r="F59" i="3" s="1"/>
  <c r="B58" i="3"/>
  <c r="F57" i="3"/>
  <c r="E57" i="3"/>
  <c r="D57" i="3"/>
  <c r="B57" i="3"/>
  <c r="D56" i="3"/>
  <c r="B56" i="3"/>
  <c r="E56" i="3" s="1"/>
  <c r="F56" i="3" s="1"/>
  <c r="B55" i="3"/>
  <c r="F54" i="3"/>
  <c r="E54" i="3"/>
  <c r="D54" i="3"/>
  <c r="B54" i="3"/>
  <c r="D53" i="3"/>
  <c r="B53" i="3"/>
  <c r="E53" i="3" s="1"/>
  <c r="F53" i="3" s="1"/>
  <c r="B52" i="3"/>
  <c r="F51" i="3"/>
  <c r="D51" i="3"/>
  <c r="B51" i="3"/>
  <c r="E51" i="3" s="1"/>
  <c r="D50" i="3"/>
  <c r="B50" i="3"/>
  <c r="E50" i="3" s="1"/>
  <c r="F50" i="3" s="1"/>
  <c r="B49" i="3"/>
  <c r="D48" i="3"/>
  <c r="B48" i="3"/>
  <c r="E48" i="3" s="1"/>
  <c r="F48" i="3" s="1"/>
  <c r="D47" i="3"/>
  <c r="B47" i="3"/>
  <c r="E47" i="3" s="1"/>
  <c r="F47" i="3" s="1"/>
  <c r="B46" i="3"/>
  <c r="F45" i="3"/>
  <c r="D45" i="3"/>
  <c r="B45" i="3"/>
  <c r="E45" i="3" s="1"/>
  <c r="D44" i="3"/>
  <c r="B44" i="3"/>
  <c r="E44" i="3" s="1"/>
  <c r="B43" i="3"/>
  <c r="D42" i="3"/>
  <c r="B42" i="3"/>
  <c r="E42" i="3" s="1"/>
  <c r="F42" i="3" s="1"/>
  <c r="D41" i="3"/>
  <c r="B41" i="3"/>
  <c r="E41" i="3" s="1"/>
  <c r="F41" i="3" s="1"/>
  <c r="B40" i="3"/>
  <c r="F39" i="3"/>
  <c r="D39" i="3"/>
  <c r="B39" i="3"/>
  <c r="E39" i="3" s="1"/>
  <c r="D38" i="3"/>
  <c r="B38" i="3"/>
  <c r="E38" i="3" s="1"/>
  <c r="F38" i="3" s="1"/>
  <c r="B37" i="3"/>
  <c r="D36" i="3"/>
  <c r="B36" i="3"/>
  <c r="E36" i="3" s="1"/>
  <c r="F36" i="3" s="1"/>
  <c r="D35" i="3"/>
  <c r="B35" i="3"/>
  <c r="E35" i="3" s="1"/>
  <c r="F35" i="3" s="1"/>
  <c r="B34" i="3"/>
  <c r="F33" i="3"/>
  <c r="D33" i="3"/>
  <c r="B33" i="3"/>
  <c r="E33" i="3" s="1"/>
  <c r="D32" i="3"/>
  <c r="B32" i="3"/>
  <c r="E32" i="3" s="1"/>
  <c r="F32" i="3" s="1"/>
  <c r="B31" i="3"/>
  <c r="D30" i="3"/>
  <c r="B30" i="3"/>
  <c r="E30" i="3" s="1"/>
  <c r="F30" i="3" s="1"/>
  <c r="D29" i="3"/>
  <c r="B29" i="3"/>
  <c r="E29" i="3" s="1"/>
  <c r="F29" i="3" s="1"/>
  <c r="B28" i="3"/>
  <c r="F27" i="3"/>
  <c r="D27" i="3"/>
  <c r="B27" i="3"/>
  <c r="E27" i="3" s="1"/>
  <c r="D26" i="3"/>
  <c r="B26" i="3"/>
  <c r="E26" i="3" s="1"/>
  <c r="F26" i="3" s="1"/>
  <c r="B25" i="3"/>
  <c r="D24" i="3"/>
  <c r="B24" i="3"/>
  <c r="E24" i="3" s="1"/>
  <c r="F24" i="3" s="1"/>
  <c r="D23" i="3"/>
  <c r="B23" i="3"/>
  <c r="E23" i="3" s="1"/>
  <c r="F23" i="3" s="1"/>
  <c r="B22" i="3"/>
  <c r="F21" i="3"/>
  <c r="D21" i="3"/>
  <c r="B21" i="3"/>
  <c r="E21" i="3" s="1"/>
  <c r="D20" i="3"/>
  <c r="B20" i="3"/>
  <c r="E20" i="3" s="1"/>
  <c r="F20" i="3" s="1"/>
  <c r="B19" i="3"/>
  <c r="D18" i="3"/>
  <c r="B18" i="3"/>
  <c r="E18" i="3" s="1"/>
  <c r="F18" i="3" s="1"/>
  <c r="D17" i="3"/>
  <c r="B17" i="3"/>
  <c r="E17" i="3" s="1"/>
  <c r="F17" i="3" s="1"/>
  <c r="B16" i="3"/>
  <c r="F15" i="3"/>
  <c r="D15" i="3"/>
  <c r="B15" i="3"/>
  <c r="E15" i="3" s="1"/>
  <c r="D14" i="3"/>
  <c r="B14" i="3"/>
  <c r="E14" i="3" s="1"/>
  <c r="F14" i="3" s="1"/>
  <c r="B13" i="3"/>
  <c r="D12" i="3"/>
  <c r="B12" i="3"/>
  <c r="E12" i="3" s="1"/>
  <c r="F12" i="3" s="1"/>
  <c r="D11" i="3"/>
  <c r="B11" i="3"/>
  <c r="E11" i="3" s="1"/>
  <c r="F11" i="3" s="1"/>
  <c r="B10" i="3"/>
  <c r="F9" i="3"/>
  <c r="D9" i="3"/>
  <c r="B9" i="3"/>
  <c r="E9" i="3" s="1"/>
  <c r="D8" i="3"/>
  <c r="B8" i="3"/>
  <c r="E8" i="3" s="1"/>
  <c r="F8" i="3" s="1"/>
  <c r="E7" i="3"/>
  <c r="B7" i="3"/>
  <c r="D7" i="3" s="1"/>
  <c r="F7" i="3" s="1"/>
  <c r="D6" i="3"/>
  <c r="B6" i="3"/>
  <c r="E6" i="3" s="1"/>
  <c r="F6" i="3" s="1"/>
  <c r="D5" i="3"/>
  <c r="B5" i="3"/>
  <c r="E5" i="3" s="1"/>
  <c r="F5" i="3" s="1"/>
  <c r="B4" i="3"/>
  <c r="D4" i="3" s="1"/>
  <c r="D3" i="3"/>
  <c r="B3" i="3"/>
  <c r="E3" i="3" s="1"/>
  <c r="F3" i="3" s="1"/>
  <c r="F2" i="3"/>
  <c r="E2" i="3"/>
  <c r="B2" i="3"/>
  <c r="J3" i="2" a="1"/>
  <c r="J3" i="2" s="1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3" i="2"/>
  <c r="B732" i="2"/>
  <c r="E732" i="2" s="1"/>
  <c r="B731" i="2"/>
  <c r="E731" i="2" s="1"/>
  <c r="B730" i="2"/>
  <c r="E730" i="2" s="1"/>
  <c r="E729" i="2"/>
  <c r="D729" i="2"/>
  <c r="F729" i="2" s="1"/>
  <c r="B729" i="2"/>
  <c r="E728" i="2"/>
  <c r="D728" i="2"/>
  <c r="F728" i="2" s="1"/>
  <c r="B728" i="2"/>
  <c r="E727" i="2"/>
  <c r="D727" i="2"/>
  <c r="F727" i="2" s="1"/>
  <c r="B727" i="2"/>
  <c r="E726" i="2"/>
  <c r="D726" i="2"/>
  <c r="F726" i="2" s="1"/>
  <c r="B726" i="2"/>
  <c r="E725" i="2"/>
  <c r="D725" i="2"/>
  <c r="F725" i="2" s="1"/>
  <c r="B725" i="2"/>
  <c r="E724" i="2"/>
  <c r="D724" i="2"/>
  <c r="F724" i="2" s="1"/>
  <c r="B724" i="2"/>
  <c r="E723" i="2"/>
  <c r="D723" i="2"/>
  <c r="F723" i="2" s="1"/>
  <c r="B723" i="2"/>
  <c r="E722" i="2"/>
  <c r="D722" i="2"/>
  <c r="F722" i="2" s="1"/>
  <c r="B722" i="2"/>
  <c r="E721" i="2"/>
  <c r="D721" i="2"/>
  <c r="F721" i="2" s="1"/>
  <c r="B721" i="2"/>
  <c r="E720" i="2"/>
  <c r="D720" i="2"/>
  <c r="F720" i="2" s="1"/>
  <c r="B720" i="2"/>
  <c r="E719" i="2"/>
  <c r="D719" i="2"/>
  <c r="F719" i="2" s="1"/>
  <c r="B719" i="2"/>
  <c r="E718" i="2"/>
  <c r="D718" i="2"/>
  <c r="F718" i="2" s="1"/>
  <c r="B718" i="2"/>
  <c r="E717" i="2"/>
  <c r="D717" i="2"/>
  <c r="F717" i="2" s="1"/>
  <c r="B717" i="2"/>
  <c r="E716" i="2"/>
  <c r="D716" i="2"/>
  <c r="F716" i="2" s="1"/>
  <c r="B716" i="2"/>
  <c r="E715" i="2"/>
  <c r="D715" i="2"/>
  <c r="F715" i="2" s="1"/>
  <c r="B715" i="2"/>
  <c r="E714" i="2"/>
  <c r="D714" i="2"/>
  <c r="F714" i="2" s="1"/>
  <c r="B714" i="2"/>
  <c r="E713" i="2"/>
  <c r="D713" i="2"/>
  <c r="F713" i="2" s="1"/>
  <c r="B713" i="2"/>
  <c r="E712" i="2"/>
  <c r="D712" i="2"/>
  <c r="F712" i="2" s="1"/>
  <c r="B712" i="2"/>
  <c r="E711" i="2"/>
  <c r="D711" i="2"/>
  <c r="F711" i="2" s="1"/>
  <c r="B711" i="2"/>
  <c r="E710" i="2"/>
  <c r="D710" i="2"/>
  <c r="F710" i="2" s="1"/>
  <c r="B710" i="2"/>
  <c r="E709" i="2"/>
  <c r="D709" i="2"/>
  <c r="F709" i="2" s="1"/>
  <c r="B709" i="2"/>
  <c r="E708" i="2"/>
  <c r="D708" i="2"/>
  <c r="F708" i="2" s="1"/>
  <c r="B708" i="2"/>
  <c r="E707" i="2"/>
  <c r="D707" i="2"/>
  <c r="F707" i="2" s="1"/>
  <c r="B707" i="2"/>
  <c r="E706" i="2"/>
  <c r="D706" i="2"/>
  <c r="F706" i="2" s="1"/>
  <c r="B706" i="2"/>
  <c r="E705" i="2"/>
  <c r="D705" i="2"/>
  <c r="F705" i="2" s="1"/>
  <c r="B705" i="2"/>
  <c r="E704" i="2"/>
  <c r="D704" i="2"/>
  <c r="F704" i="2" s="1"/>
  <c r="B704" i="2"/>
  <c r="E703" i="2"/>
  <c r="D703" i="2"/>
  <c r="F703" i="2" s="1"/>
  <c r="B703" i="2"/>
  <c r="E702" i="2"/>
  <c r="D702" i="2"/>
  <c r="F702" i="2" s="1"/>
  <c r="B702" i="2"/>
  <c r="E701" i="2"/>
  <c r="D701" i="2"/>
  <c r="F701" i="2" s="1"/>
  <c r="B701" i="2"/>
  <c r="E700" i="2"/>
  <c r="D700" i="2"/>
  <c r="F700" i="2" s="1"/>
  <c r="B700" i="2"/>
  <c r="E699" i="2"/>
  <c r="D699" i="2"/>
  <c r="F699" i="2" s="1"/>
  <c r="B699" i="2"/>
  <c r="E698" i="2"/>
  <c r="D698" i="2"/>
  <c r="F698" i="2" s="1"/>
  <c r="B698" i="2"/>
  <c r="E697" i="2"/>
  <c r="D697" i="2"/>
  <c r="F697" i="2" s="1"/>
  <c r="B697" i="2"/>
  <c r="E696" i="2"/>
  <c r="D696" i="2"/>
  <c r="F696" i="2" s="1"/>
  <c r="B696" i="2"/>
  <c r="E695" i="2"/>
  <c r="D695" i="2"/>
  <c r="F695" i="2" s="1"/>
  <c r="B695" i="2"/>
  <c r="E694" i="2"/>
  <c r="D694" i="2"/>
  <c r="F694" i="2" s="1"/>
  <c r="B694" i="2"/>
  <c r="E693" i="2"/>
  <c r="D693" i="2"/>
  <c r="F693" i="2" s="1"/>
  <c r="B693" i="2"/>
  <c r="E692" i="2"/>
  <c r="D692" i="2"/>
  <c r="F692" i="2" s="1"/>
  <c r="B692" i="2"/>
  <c r="E691" i="2"/>
  <c r="D691" i="2"/>
  <c r="F691" i="2" s="1"/>
  <c r="B691" i="2"/>
  <c r="E690" i="2"/>
  <c r="D690" i="2"/>
  <c r="F690" i="2" s="1"/>
  <c r="B690" i="2"/>
  <c r="E689" i="2"/>
  <c r="D689" i="2"/>
  <c r="F689" i="2" s="1"/>
  <c r="B689" i="2"/>
  <c r="E688" i="2"/>
  <c r="D688" i="2"/>
  <c r="F688" i="2" s="1"/>
  <c r="B688" i="2"/>
  <c r="E687" i="2"/>
  <c r="D687" i="2"/>
  <c r="F687" i="2" s="1"/>
  <c r="B687" i="2"/>
  <c r="E686" i="2"/>
  <c r="D686" i="2"/>
  <c r="F686" i="2" s="1"/>
  <c r="B686" i="2"/>
  <c r="E685" i="2"/>
  <c r="D685" i="2"/>
  <c r="F685" i="2" s="1"/>
  <c r="B685" i="2"/>
  <c r="E684" i="2"/>
  <c r="D684" i="2"/>
  <c r="F684" i="2" s="1"/>
  <c r="B684" i="2"/>
  <c r="E683" i="2"/>
  <c r="D683" i="2"/>
  <c r="F683" i="2" s="1"/>
  <c r="B683" i="2"/>
  <c r="E682" i="2"/>
  <c r="D682" i="2"/>
  <c r="F682" i="2" s="1"/>
  <c r="B682" i="2"/>
  <c r="E681" i="2"/>
  <c r="D681" i="2"/>
  <c r="F681" i="2" s="1"/>
  <c r="B681" i="2"/>
  <c r="E680" i="2"/>
  <c r="D680" i="2"/>
  <c r="F680" i="2" s="1"/>
  <c r="B680" i="2"/>
  <c r="E679" i="2"/>
  <c r="D679" i="2"/>
  <c r="F679" i="2" s="1"/>
  <c r="B679" i="2"/>
  <c r="E678" i="2"/>
  <c r="D678" i="2"/>
  <c r="F678" i="2" s="1"/>
  <c r="B678" i="2"/>
  <c r="E677" i="2"/>
  <c r="D677" i="2"/>
  <c r="F677" i="2" s="1"/>
  <c r="B677" i="2"/>
  <c r="E676" i="2"/>
  <c r="D676" i="2"/>
  <c r="F676" i="2" s="1"/>
  <c r="B676" i="2"/>
  <c r="E675" i="2"/>
  <c r="D675" i="2"/>
  <c r="F675" i="2" s="1"/>
  <c r="B675" i="2"/>
  <c r="E674" i="2"/>
  <c r="D674" i="2"/>
  <c r="F674" i="2" s="1"/>
  <c r="B674" i="2"/>
  <c r="E673" i="2"/>
  <c r="D673" i="2"/>
  <c r="F673" i="2" s="1"/>
  <c r="B673" i="2"/>
  <c r="E672" i="2"/>
  <c r="D672" i="2"/>
  <c r="F672" i="2" s="1"/>
  <c r="B672" i="2"/>
  <c r="E671" i="2"/>
  <c r="D671" i="2"/>
  <c r="F671" i="2" s="1"/>
  <c r="B671" i="2"/>
  <c r="E670" i="2"/>
  <c r="D670" i="2"/>
  <c r="F670" i="2" s="1"/>
  <c r="B670" i="2"/>
  <c r="E669" i="2"/>
  <c r="D669" i="2"/>
  <c r="F669" i="2" s="1"/>
  <c r="B669" i="2"/>
  <c r="E668" i="2"/>
  <c r="D668" i="2"/>
  <c r="F668" i="2" s="1"/>
  <c r="B668" i="2"/>
  <c r="E667" i="2"/>
  <c r="D667" i="2"/>
  <c r="F667" i="2" s="1"/>
  <c r="B667" i="2"/>
  <c r="E666" i="2"/>
  <c r="D666" i="2"/>
  <c r="F666" i="2" s="1"/>
  <c r="B666" i="2"/>
  <c r="E665" i="2"/>
  <c r="D665" i="2"/>
  <c r="F665" i="2" s="1"/>
  <c r="B665" i="2"/>
  <c r="E664" i="2"/>
  <c r="D664" i="2"/>
  <c r="F664" i="2" s="1"/>
  <c r="B664" i="2"/>
  <c r="E663" i="2"/>
  <c r="D663" i="2"/>
  <c r="F663" i="2" s="1"/>
  <c r="B663" i="2"/>
  <c r="E662" i="2"/>
  <c r="D662" i="2"/>
  <c r="F662" i="2" s="1"/>
  <c r="B662" i="2"/>
  <c r="E661" i="2"/>
  <c r="D661" i="2"/>
  <c r="F661" i="2" s="1"/>
  <c r="B661" i="2"/>
  <c r="E660" i="2"/>
  <c r="D660" i="2"/>
  <c r="F660" i="2" s="1"/>
  <c r="B660" i="2"/>
  <c r="E659" i="2"/>
  <c r="D659" i="2"/>
  <c r="F659" i="2" s="1"/>
  <c r="B659" i="2"/>
  <c r="E658" i="2"/>
  <c r="D658" i="2"/>
  <c r="F658" i="2" s="1"/>
  <c r="B658" i="2"/>
  <c r="E657" i="2"/>
  <c r="D657" i="2"/>
  <c r="F657" i="2" s="1"/>
  <c r="B657" i="2"/>
  <c r="E656" i="2"/>
  <c r="D656" i="2"/>
  <c r="F656" i="2" s="1"/>
  <c r="B656" i="2"/>
  <c r="E655" i="2"/>
  <c r="D655" i="2"/>
  <c r="F655" i="2" s="1"/>
  <c r="B655" i="2"/>
  <c r="E654" i="2"/>
  <c r="D654" i="2"/>
  <c r="F654" i="2" s="1"/>
  <c r="B654" i="2"/>
  <c r="E653" i="2"/>
  <c r="D653" i="2"/>
  <c r="F653" i="2" s="1"/>
  <c r="B653" i="2"/>
  <c r="E652" i="2"/>
  <c r="D652" i="2"/>
  <c r="F652" i="2" s="1"/>
  <c r="B652" i="2"/>
  <c r="E651" i="2"/>
  <c r="D651" i="2"/>
  <c r="F651" i="2" s="1"/>
  <c r="B651" i="2"/>
  <c r="E650" i="2"/>
  <c r="D650" i="2"/>
  <c r="F650" i="2" s="1"/>
  <c r="B650" i="2"/>
  <c r="E649" i="2"/>
  <c r="D649" i="2"/>
  <c r="F649" i="2" s="1"/>
  <c r="B649" i="2"/>
  <c r="E648" i="2"/>
  <c r="D648" i="2"/>
  <c r="F648" i="2" s="1"/>
  <c r="B648" i="2"/>
  <c r="E647" i="2"/>
  <c r="D647" i="2"/>
  <c r="F647" i="2" s="1"/>
  <c r="B647" i="2"/>
  <c r="E646" i="2"/>
  <c r="D646" i="2"/>
  <c r="F646" i="2" s="1"/>
  <c r="B646" i="2"/>
  <c r="E645" i="2"/>
  <c r="D645" i="2"/>
  <c r="F645" i="2" s="1"/>
  <c r="B645" i="2"/>
  <c r="E644" i="2"/>
  <c r="D644" i="2"/>
  <c r="F644" i="2" s="1"/>
  <c r="B644" i="2"/>
  <c r="E643" i="2"/>
  <c r="D643" i="2"/>
  <c r="F643" i="2" s="1"/>
  <c r="B643" i="2"/>
  <c r="E642" i="2"/>
  <c r="D642" i="2"/>
  <c r="F642" i="2" s="1"/>
  <c r="B642" i="2"/>
  <c r="E641" i="2"/>
  <c r="D641" i="2"/>
  <c r="F641" i="2" s="1"/>
  <c r="B641" i="2"/>
  <c r="E640" i="2"/>
  <c r="D640" i="2"/>
  <c r="F640" i="2" s="1"/>
  <c r="B640" i="2"/>
  <c r="E639" i="2"/>
  <c r="D639" i="2"/>
  <c r="F639" i="2" s="1"/>
  <c r="B639" i="2"/>
  <c r="E638" i="2"/>
  <c r="D638" i="2"/>
  <c r="F638" i="2" s="1"/>
  <c r="B638" i="2"/>
  <c r="E637" i="2"/>
  <c r="D637" i="2"/>
  <c r="F637" i="2" s="1"/>
  <c r="B637" i="2"/>
  <c r="E636" i="2"/>
  <c r="D636" i="2"/>
  <c r="F636" i="2" s="1"/>
  <c r="B636" i="2"/>
  <c r="E635" i="2"/>
  <c r="D635" i="2"/>
  <c r="F635" i="2" s="1"/>
  <c r="B635" i="2"/>
  <c r="E634" i="2"/>
  <c r="D634" i="2"/>
  <c r="F634" i="2" s="1"/>
  <c r="B634" i="2"/>
  <c r="E633" i="2"/>
  <c r="D633" i="2"/>
  <c r="F633" i="2" s="1"/>
  <c r="B633" i="2"/>
  <c r="E632" i="2"/>
  <c r="D632" i="2"/>
  <c r="F632" i="2" s="1"/>
  <c r="B632" i="2"/>
  <c r="E631" i="2"/>
  <c r="D631" i="2"/>
  <c r="F631" i="2" s="1"/>
  <c r="B631" i="2"/>
  <c r="E630" i="2"/>
  <c r="D630" i="2"/>
  <c r="F630" i="2" s="1"/>
  <c r="B630" i="2"/>
  <c r="E629" i="2"/>
  <c r="D629" i="2"/>
  <c r="F629" i="2" s="1"/>
  <c r="B629" i="2"/>
  <c r="E628" i="2"/>
  <c r="D628" i="2"/>
  <c r="F628" i="2" s="1"/>
  <c r="B628" i="2"/>
  <c r="E627" i="2"/>
  <c r="D627" i="2"/>
  <c r="F627" i="2" s="1"/>
  <c r="B627" i="2"/>
  <c r="E626" i="2"/>
  <c r="D626" i="2"/>
  <c r="F626" i="2" s="1"/>
  <c r="B626" i="2"/>
  <c r="D625" i="2"/>
  <c r="B625" i="2"/>
  <c r="E625" i="2" s="1"/>
  <c r="E624" i="2"/>
  <c r="D624" i="2"/>
  <c r="F624" i="2" s="1"/>
  <c r="B624" i="2"/>
  <c r="E623" i="2"/>
  <c r="D623" i="2"/>
  <c r="F623" i="2" s="1"/>
  <c r="B623" i="2"/>
  <c r="D622" i="2"/>
  <c r="F622" i="2" s="1"/>
  <c r="B622" i="2"/>
  <c r="E622" i="2" s="1"/>
  <c r="E621" i="2"/>
  <c r="D621" i="2"/>
  <c r="B621" i="2"/>
  <c r="E620" i="2"/>
  <c r="D620" i="2"/>
  <c r="B620" i="2"/>
  <c r="D619" i="2"/>
  <c r="F619" i="2" s="1"/>
  <c r="B619" i="2"/>
  <c r="E619" i="2" s="1"/>
  <c r="E618" i="2"/>
  <c r="D618" i="2"/>
  <c r="F618" i="2" s="1"/>
  <c r="B618" i="2"/>
  <c r="E617" i="2"/>
  <c r="D617" i="2"/>
  <c r="F617" i="2" s="1"/>
  <c r="B617" i="2"/>
  <c r="D616" i="2"/>
  <c r="B616" i="2"/>
  <c r="E616" i="2" s="1"/>
  <c r="E615" i="2"/>
  <c r="D615" i="2"/>
  <c r="F615" i="2" s="1"/>
  <c r="B615" i="2"/>
  <c r="E614" i="2"/>
  <c r="D614" i="2"/>
  <c r="F614" i="2" s="1"/>
  <c r="B614" i="2"/>
  <c r="D613" i="2"/>
  <c r="F613" i="2" s="1"/>
  <c r="B613" i="2"/>
  <c r="E613" i="2" s="1"/>
  <c r="E612" i="2"/>
  <c r="D612" i="2"/>
  <c r="B612" i="2"/>
  <c r="E611" i="2"/>
  <c r="D611" i="2"/>
  <c r="B611" i="2"/>
  <c r="D610" i="2"/>
  <c r="F610" i="2" s="1"/>
  <c r="B610" i="2"/>
  <c r="E610" i="2" s="1"/>
  <c r="E609" i="2"/>
  <c r="D609" i="2"/>
  <c r="F609" i="2" s="1"/>
  <c r="B609" i="2"/>
  <c r="E608" i="2"/>
  <c r="D608" i="2"/>
  <c r="F608" i="2" s="1"/>
  <c r="B608" i="2"/>
  <c r="D607" i="2"/>
  <c r="B607" i="2"/>
  <c r="E607" i="2" s="1"/>
  <c r="E606" i="2"/>
  <c r="D606" i="2"/>
  <c r="F606" i="2" s="1"/>
  <c r="B606" i="2"/>
  <c r="E605" i="2"/>
  <c r="D605" i="2"/>
  <c r="F605" i="2" s="1"/>
  <c r="B605" i="2"/>
  <c r="D604" i="2"/>
  <c r="F604" i="2" s="1"/>
  <c r="B604" i="2"/>
  <c r="E604" i="2" s="1"/>
  <c r="E603" i="2"/>
  <c r="D603" i="2"/>
  <c r="B603" i="2"/>
  <c r="E602" i="2"/>
  <c r="D602" i="2"/>
  <c r="B602" i="2"/>
  <c r="D601" i="2"/>
  <c r="F601" i="2" s="1"/>
  <c r="B601" i="2"/>
  <c r="E601" i="2" s="1"/>
  <c r="E600" i="2"/>
  <c r="D600" i="2"/>
  <c r="F600" i="2" s="1"/>
  <c r="B600" i="2"/>
  <c r="E599" i="2"/>
  <c r="D599" i="2"/>
  <c r="F599" i="2" s="1"/>
  <c r="B599" i="2"/>
  <c r="D598" i="2"/>
  <c r="B598" i="2"/>
  <c r="E598" i="2" s="1"/>
  <c r="E597" i="2"/>
  <c r="D597" i="2"/>
  <c r="F597" i="2" s="1"/>
  <c r="B597" i="2"/>
  <c r="E596" i="2"/>
  <c r="D596" i="2"/>
  <c r="F596" i="2" s="1"/>
  <c r="B596" i="2"/>
  <c r="D595" i="2"/>
  <c r="F595" i="2" s="1"/>
  <c r="B595" i="2"/>
  <c r="E595" i="2" s="1"/>
  <c r="E594" i="2"/>
  <c r="D594" i="2"/>
  <c r="B594" i="2"/>
  <c r="E593" i="2"/>
  <c r="D593" i="2"/>
  <c r="B593" i="2"/>
  <c r="D592" i="2"/>
  <c r="F592" i="2" s="1"/>
  <c r="B592" i="2"/>
  <c r="E592" i="2" s="1"/>
  <c r="E591" i="2"/>
  <c r="D591" i="2"/>
  <c r="F591" i="2" s="1"/>
  <c r="B591" i="2"/>
  <c r="E590" i="2"/>
  <c r="D590" i="2"/>
  <c r="F590" i="2" s="1"/>
  <c r="B590" i="2"/>
  <c r="D589" i="2"/>
  <c r="B589" i="2"/>
  <c r="E589" i="2" s="1"/>
  <c r="E588" i="2"/>
  <c r="D588" i="2"/>
  <c r="F588" i="2" s="1"/>
  <c r="B588" i="2"/>
  <c r="E587" i="2"/>
  <c r="D587" i="2"/>
  <c r="F587" i="2" s="1"/>
  <c r="B587" i="2"/>
  <c r="D586" i="2"/>
  <c r="F586" i="2" s="1"/>
  <c r="B586" i="2"/>
  <c r="E586" i="2" s="1"/>
  <c r="E585" i="2"/>
  <c r="D585" i="2"/>
  <c r="B585" i="2"/>
  <c r="E584" i="2"/>
  <c r="D584" i="2"/>
  <c r="B584" i="2"/>
  <c r="D583" i="2"/>
  <c r="F583" i="2" s="1"/>
  <c r="B583" i="2"/>
  <c r="E583" i="2" s="1"/>
  <c r="E582" i="2"/>
  <c r="D582" i="2"/>
  <c r="F582" i="2" s="1"/>
  <c r="B582" i="2"/>
  <c r="E581" i="2"/>
  <c r="D581" i="2"/>
  <c r="F581" i="2" s="1"/>
  <c r="B581" i="2"/>
  <c r="D580" i="2"/>
  <c r="B580" i="2"/>
  <c r="E580" i="2" s="1"/>
  <c r="E579" i="2"/>
  <c r="D579" i="2"/>
  <c r="F579" i="2" s="1"/>
  <c r="B579" i="2"/>
  <c r="E578" i="2"/>
  <c r="D578" i="2"/>
  <c r="F578" i="2" s="1"/>
  <c r="B578" i="2"/>
  <c r="D577" i="2"/>
  <c r="F577" i="2" s="1"/>
  <c r="B577" i="2"/>
  <c r="E577" i="2" s="1"/>
  <c r="E576" i="2"/>
  <c r="D576" i="2"/>
  <c r="B576" i="2"/>
  <c r="E575" i="2"/>
  <c r="D575" i="2"/>
  <c r="B575" i="2"/>
  <c r="D574" i="2"/>
  <c r="F574" i="2" s="1"/>
  <c r="B574" i="2"/>
  <c r="E574" i="2" s="1"/>
  <c r="E573" i="2"/>
  <c r="D573" i="2"/>
  <c r="F573" i="2" s="1"/>
  <c r="B573" i="2"/>
  <c r="E572" i="2"/>
  <c r="D572" i="2"/>
  <c r="F572" i="2" s="1"/>
  <c r="B572" i="2"/>
  <c r="D571" i="2"/>
  <c r="B571" i="2"/>
  <c r="E571" i="2" s="1"/>
  <c r="E570" i="2"/>
  <c r="D570" i="2"/>
  <c r="F570" i="2" s="1"/>
  <c r="B570" i="2"/>
  <c r="E569" i="2"/>
  <c r="D569" i="2"/>
  <c r="F569" i="2" s="1"/>
  <c r="B569" i="2"/>
  <c r="D568" i="2"/>
  <c r="F568" i="2" s="1"/>
  <c r="B568" i="2"/>
  <c r="E568" i="2" s="1"/>
  <c r="E567" i="2"/>
  <c r="D567" i="2"/>
  <c r="B567" i="2"/>
  <c r="E566" i="2"/>
  <c r="D566" i="2"/>
  <c r="B566" i="2"/>
  <c r="D565" i="2"/>
  <c r="F565" i="2" s="1"/>
  <c r="B565" i="2"/>
  <c r="E565" i="2" s="1"/>
  <c r="E564" i="2"/>
  <c r="D564" i="2"/>
  <c r="F564" i="2" s="1"/>
  <c r="B564" i="2"/>
  <c r="E563" i="2"/>
  <c r="D563" i="2"/>
  <c r="F563" i="2" s="1"/>
  <c r="B563" i="2"/>
  <c r="D562" i="2"/>
  <c r="B562" i="2"/>
  <c r="E562" i="2" s="1"/>
  <c r="E561" i="2"/>
  <c r="D561" i="2"/>
  <c r="F561" i="2" s="1"/>
  <c r="B561" i="2"/>
  <c r="E560" i="2"/>
  <c r="D560" i="2"/>
  <c r="F560" i="2" s="1"/>
  <c r="B560" i="2"/>
  <c r="D559" i="2"/>
  <c r="F559" i="2" s="1"/>
  <c r="B559" i="2"/>
  <c r="E559" i="2" s="1"/>
  <c r="E558" i="2"/>
  <c r="D558" i="2"/>
  <c r="B558" i="2"/>
  <c r="E557" i="2"/>
  <c r="D557" i="2"/>
  <c r="B557" i="2"/>
  <c r="D556" i="2"/>
  <c r="F556" i="2" s="1"/>
  <c r="B556" i="2"/>
  <c r="E556" i="2" s="1"/>
  <c r="E555" i="2"/>
  <c r="D555" i="2"/>
  <c r="F555" i="2" s="1"/>
  <c r="B555" i="2"/>
  <c r="E554" i="2"/>
  <c r="D554" i="2"/>
  <c r="F554" i="2" s="1"/>
  <c r="B554" i="2"/>
  <c r="D553" i="2"/>
  <c r="B553" i="2"/>
  <c r="E553" i="2" s="1"/>
  <c r="E552" i="2"/>
  <c r="D552" i="2"/>
  <c r="F552" i="2" s="1"/>
  <c r="B552" i="2"/>
  <c r="E551" i="2"/>
  <c r="D551" i="2"/>
  <c r="F551" i="2" s="1"/>
  <c r="B551" i="2"/>
  <c r="D550" i="2"/>
  <c r="F550" i="2" s="1"/>
  <c r="B550" i="2"/>
  <c r="E550" i="2" s="1"/>
  <c r="E549" i="2"/>
  <c r="D549" i="2"/>
  <c r="B549" i="2"/>
  <c r="E548" i="2"/>
  <c r="D548" i="2"/>
  <c r="B548" i="2"/>
  <c r="D547" i="2"/>
  <c r="F547" i="2" s="1"/>
  <c r="B547" i="2"/>
  <c r="E547" i="2" s="1"/>
  <c r="E546" i="2"/>
  <c r="D546" i="2"/>
  <c r="F546" i="2" s="1"/>
  <c r="B546" i="2"/>
  <c r="D545" i="2"/>
  <c r="B545" i="2"/>
  <c r="E545" i="2" s="1"/>
  <c r="B544" i="2"/>
  <c r="E544" i="2" s="1"/>
  <c r="E543" i="2"/>
  <c r="D543" i="2"/>
  <c r="F543" i="2" s="1"/>
  <c r="B543" i="2"/>
  <c r="B542" i="2"/>
  <c r="D541" i="2"/>
  <c r="F541" i="2" s="1"/>
  <c r="B541" i="2"/>
  <c r="E541" i="2" s="1"/>
  <c r="E540" i="2"/>
  <c r="D540" i="2"/>
  <c r="B540" i="2"/>
  <c r="E539" i="2"/>
  <c r="B539" i="2"/>
  <c r="D539" i="2" s="1"/>
  <c r="F539" i="2" s="1"/>
  <c r="D538" i="2"/>
  <c r="F538" i="2" s="1"/>
  <c r="B538" i="2"/>
  <c r="E538" i="2" s="1"/>
  <c r="E537" i="2"/>
  <c r="D537" i="2"/>
  <c r="F537" i="2" s="1"/>
  <c r="B537" i="2"/>
  <c r="D536" i="2"/>
  <c r="B536" i="2"/>
  <c r="E536" i="2" s="1"/>
  <c r="B535" i="2"/>
  <c r="E535" i="2" s="1"/>
  <c r="E534" i="2"/>
  <c r="D534" i="2"/>
  <c r="F534" i="2" s="1"/>
  <c r="B534" i="2"/>
  <c r="B533" i="2"/>
  <c r="D532" i="2"/>
  <c r="F532" i="2" s="1"/>
  <c r="B532" i="2"/>
  <c r="E532" i="2" s="1"/>
  <c r="E531" i="2"/>
  <c r="D531" i="2"/>
  <c r="B531" i="2"/>
  <c r="E530" i="2"/>
  <c r="B530" i="2"/>
  <c r="D530" i="2" s="1"/>
  <c r="F530" i="2" s="1"/>
  <c r="D529" i="2"/>
  <c r="F529" i="2" s="1"/>
  <c r="B529" i="2"/>
  <c r="E529" i="2" s="1"/>
  <c r="E528" i="2"/>
  <c r="D528" i="2"/>
  <c r="F528" i="2" s="1"/>
  <c r="B528" i="2"/>
  <c r="D527" i="2"/>
  <c r="B527" i="2"/>
  <c r="E527" i="2" s="1"/>
  <c r="B526" i="2"/>
  <c r="E526" i="2" s="1"/>
  <c r="E525" i="2"/>
  <c r="D525" i="2"/>
  <c r="F525" i="2" s="1"/>
  <c r="B525" i="2"/>
  <c r="B524" i="2"/>
  <c r="D523" i="2"/>
  <c r="F523" i="2" s="1"/>
  <c r="B523" i="2"/>
  <c r="E523" i="2" s="1"/>
  <c r="E522" i="2"/>
  <c r="D522" i="2"/>
  <c r="B522" i="2"/>
  <c r="E521" i="2"/>
  <c r="B521" i="2"/>
  <c r="D521" i="2" s="1"/>
  <c r="F521" i="2" s="1"/>
  <c r="D520" i="2"/>
  <c r="F520" i="2" s="1"/>
  <c r="B520" i="2"/>
  <c r="E520" i="2" s="1"/>
  <c r="E519" i="2"/>
  <c r="D519" i="2"/>
  <c r="F519" i="2" s="1"/>
  <c r="B519" i="2"/>
  <c r="D518" i="2"/>
  <c r="B518" i="2"/>
  <c r="E518" i="2" s="1"/>
  <c r="B517" i="2"/>
  <c r="E517" i="2" s="1"/>
  <c r="B516" i="2"/>
  <c r="E516" i="2" s="1"/>
  <c r="B515" i="2"/>
  <c r="D514" i="2"/>
  <c r="F514" i="2" s="1"/>
  <c r="B514" i="2"/>
  <c r="E514" i="2" s="1"/>
  <c r="E513" i="2"/>
  <c r="D513" i="2"/>
  <c r="B513" i="2"/>
  <c r="E512" i="2"/>
  <c r="B512" i="2"/>
  <c r="D512" i="2" s="1"/>
  <c r="F512" i="2" s="1"/>
  <c r="D511" i="2"/>
  <c r="F511" i="2" s="1"/>
  <c r="B511" i="2"/>
  <c r="E511" i="2" s="1"/>
  <c r="E510" i="2"/>
  <c r="D510" i="2"/>
  <c r="F510" i="2" s="1"/>
  <c r="B510" i="2"/>
  <c r="D509" i="2"/>
  <c r="B509" i="2"/>
  <c r="E509" i="2" s="1"/>
  <c r="B508" i="2"/>
  <c r="E508" i="2" s="1"/>
  <c r="B507" i="2"/>
  <c r="B506" i="2"/>
  <c r="D505" i="2"/>
  <c r="F505" i="2" s="1"/>
  <c r="B505" i="2"/>
  <c r="E505" i="2" s="1"/>
  <c r="E504" i="2"/>
  <c r="D504" i="2"/>
  <c r="B504" i="2"/>
  <c r="E503" i="2"/>
  <c r="B503" i="2"/>
  <c r="D503" i="2" s="1"/>
  <c r="F503" i="2" s="1"/>
  <c r="D502" i="2"/>
  <c r="F502" i="2" s="1"/>
  <c r="B502" i="2"/>
  <c r="E502" i="2" s="1"/>
  <c r="E501" i="2"/>
  <c r="D501" i="2"/>
  <c r="F501" i="2" s="1"/>
  <c r="B501" i="2"/>
  <c r="D500" i="2"/>
  <c r="B500" i="2"/>
  <c r="E500" i="2" s="1"/>
  <c r="B499" i="2"/>
  <c r="E499" i="2" s="1"/>
  <c r="B498" i="2"/>
  <c r="B497" i="2"/>
  <c r="D496" i="2"/>
  <c r="F496" i="2" s="1"/>
  <c r="B496" i="2"/>
  <c r="E496" i="2" s="1"/>
  <c r="E495" i="2"/>
  <c r="D495" i="2"/>
  <c r="B495" i="2"/>
  <c r="B494" i="2"/>
  <c r="D493" i="2"/>
  <c r="F493" i="2" s="1"/>
  <c r="B493" i="2"/>
  <c r="E493" i="2" s="1"/>
  <c r="E492" i="2"/>
  <c r="D492" i="2"/>
  <c r="F492" i="2" s="1"/>
  <c r="B492" i="2"/>
  <c r="D491" i="2"/>
  <c r="B491" i="2"/>
  <c r="E491" i="2" s="1"/>
  <c r="B490" i="2"/>
  <c r="E490" i="2" s="1"/>
  <c r="B489" i="2"/>
  <c r="E489" i="2" s="1"/>
  <c r="B488" i="2"/>
  <c r="D487" i="2"/>
  <c r="F487" i="2" s="1"/>
  <c r="B487" i="2"/>
  <c r="E487" i="2" s="1"/>
  <c r="E486" i="2"/>
  <c r="D486" i="2"/>
  <c r="B486" i="2"/>
  <c r="B485" i="2"/>
  <c r="D484" i="2"/>
  <c r="F484" i="2" s="1"/>
  <c r="B484" i="2"/>
  <c r="E484" i="2" s="1"/>
  <c r="E483" i="2"/>
  <c r="D483" i="2"/>
  <c r="F483" i="2" s="1"/>
  <c r="B483" i="2"/>
  <c r="D482" i="2"/>
  <c r="B482" i="2"/>
  <c r="E482" i="2" s="1"/>
  <c r="D481" i="2"/>
  <c r="B481" i="2"/>
  <c r="E481" i="2" s="1"/>
  <c r="E480" i="2"/>
  <c r="D480" i="2"/>
  <c r="F480" i="2" s="1"/>
  <c r="B480" i="2"/>
  <c r="E479" i="2"/>
  <c r="D479" i="2"/>
  <c r="F479" i="2" s="1"/>
  <c r="B479" i="2"/>
  <c r="E478" i="2"/>
  <c r="D478" i="2"/>
  <c r="F478" i="2" s="1"/>
  <c r="B478" i="2"/>
  <c r="B477" i="2"/>
  <c r="E477" i="2" s="1"/>
  <c r="E476" i="2"/>
  <c r="D476" i="2"/>
  <c r="F476" i="2" s="1"/>
  <c r="B476" i="2"/>
  <c r="E475" i="2"/>
  <c r="D475" i="2"/>
  <c r="F475" i="2" s="1"/>
  <c r="B475" i="2"/>
  <c r="F474" i="2"/>
  <c r="D474" i="2"/>
  <c r="B474" i="2"/>
  <c r="E474" i="2" s="1"/>
  <c r="E473" i="2"/>
  <c r="D473" i="2"/>
  <c r="F473" i="2" s="1"/>
  <c r="B473" i="2"/>
  <c r="E472" i="2"/>
  <c r="D472" i="2"/>
  <c r="F472" i="2" s="1"/>
  <c r="B472" i="2"/>
  <c r="B471" i="2"/>
  <c r="E471" i="2" s="1"/>
  <c r="E470" i="2"/>
  <c r="D470" i="2"/>
  <c r="F470" i="2" s="1"/>
  <c r="B470" i="2"/>
  <c r="E469" i="2"/>
  <c r="D469" i="2"/>
  <c r="F469" i="2" s="1"/>
  <c r="B469" i="2"/>
  <c r="B468" i="2"/>
  <c r="E467" i="2"/>
  <c r="D467" i="2"/>
  <c r="F467" i="2" s="1"/>
  <c r="B467" i="2"/>
  <c r="E466" i="2"/>
  <c r="D466" i="2"/>
  <c r="F466" i="2" s="1"/>
  <c r="B466" i="2"/>
  <c r="B465" i="2"/>
  <c r="E465" i="2" s="1"/>
  <c r="E464" i="2"/>
  <c r="D464" i="2"/>
  <c r="F464" i="2" s="1"/>
  <c r="B464" i="2"/>
  <c r="E463" i="2"/>
  <c r="D463" i="2"/>
  <c r="F463" i="2" s="1"/>
  <c r="B463" i="2"/>
  <c r="D462" i="2"/>
  <c r="F462" i="2" s="1"/>
  <c r="B462" i="2"/>
  <c r="E462" i="2" s="1"/>
  <c r="D461" i="2"/>
  <c r="B461" i="2"/>
  <c r="E461" i="2" s="1"/>
  <c r="E460" i="2"/>
  <c r="D460" i="2"/>
  <c r="F460" i="2" s="1"/>
  <c r="B460" i="2"/>
  <c r="F459" i="2"/>
  <c r="D459" i="2"/>
  <c r="B459" i="2"/>
  <c r="E459" i="2" s="1"/>
  <c r="E458" i="2"/>
  <c r="B458" i="2"/>
  <c r="D458" i="2" s="1"/>
  <c r="F458" i="2" s="1"/>
  <c r="E457" i="2"/>
  <c r="D457" i="2"/>
  <c r="F457" i="2" s="1"/>
  <c r="B457" i="2"/>
  <c r="B456" i="2"/>
  <c r="E456" i="2" s="1"/>
  <c r="E455" i="2"/>
  <c r="D455" i="2"/>
  <c r="B455" i="2"/>
  <c r="E454" i="2"/>
  <c r="D454" i="2"/>
  <c r="B454" i="2"/>
  <c r="B453" i="2"/>
  <c r="E453" i="2" s="1"/>
  <c r="E452" i="2"/>
  <c r="B452" i="2"/>
  <c r="D452" i="2" s="1"/>
  <c r="F452" i="2" s="1"/>
  <c r="E451" i="2"/>
  <c r="D451" i="2"/>
  <c r="B451" i="2"/>
  <c r="B450" i="2"/>
  <c r="E450" i="2" s="1"/>
  <c r="B449" i="2"/>
  <c r="E449" i="2" s="1"/>
  <c r="E448" i="2"/>
  <c r="D448" i="2"/>
  <c r="B448" i="2"/>
  <c r="F447" i="2"/>
  <c r="D447" i="2"/>
  <c r="B447" i="2"/>
  <c r="E447" i="2" s="1"/>
  <c r="E446" i="2"/>
  <c r="B446" i="2"/>
  <c r="D446" i="2" s="1"/>
  <c r="F446" i="2" s="1"/>
  <c r="E445" i="2"/>
  <c r="D445" i="2"/>
  <c r="F445" i="2" s="1"/>
  <c r="B445" i="2"/>
  <c r="B444" i="2"/>
  <c r="E444" i="2" s="1"/>
  <c r="E443" i="2"/>
  <c r="D443" i="2"/>
  <c r="B443" i="2"/>
  <c r="E442" i="2"/>
  <c r="D442" i="2"/>
  <c r="B442" i="2"/>
  <c r="B441" i="2"/>
  <c r="E441" i="2" s="1"/>
  <c r="E440" i="2"/>
  <c r="B440" i="2"/>
  <c r="D440" i="2" s="1"/>
  <c r="F440" i="2" s="1"/>
  <c r="E439" i="2"/>
  <c r="D439" i="2"/>
  <c r="B439" i="2"/>
  <c r="B438" i="2"/>
  <c r="E438" i="2" s="1"/>
  <c r="B437" i="2"/>
  <c r="E437" i="2" s="1"/>
  <c r="E436" i="2"/>
  <c r="D436" i="2"/>
  <c r="B436" i="2"/>
  <c r="F435" i="2"/>
  <c r="D435" i="2"/>
  <c r="B435" i="2"/>
  <c r="E435" i="2" s="1"/>
  <c r="E434" i="2"/>
  <c r="B434" i="2"/>
  <c r="D434" i="2" s="1"/>
  <c r="F434" i="2" s="1"/>
  <c r="E433" i="2"/>
  <c r="D433" i="2"/>
  <c r="F433" i="2" s="1"/>
  <c r="B433" i="2"/>
  <c r="D432" i="2"/>
  <c r="F432" i="2" s="1"/>
  <c r="B432" i="2"/>
  <c r="E432" i="2" s="1"/>
  <c r="E431" i="2"/>
  <c r="D431" i="2"/>
  <c r="B431" i="2"/>
  <c r="E430" i="2"/>
  <c r="D430" i="2"/>
  <c r="B430" i="2"/>
  <c r="B429" i="2"/>
  <c r="E429" i="2" s="1"/>
  <c r="E428" i="2"/>
  <c r="D428" i="2"/>
  <c r="F428" i="2" s="1"/>
  <c r="B428" i="2"/>
  <c r="E427" i="2"/>
  <c r="D427" i="2"/>
  <c r="B427" i="2"/>
  <c r="B426" i="2"/>
  <c r="E426" i="2" s="1"/>
  <c r="B425" i="2"/>
  <c r="E425" i="2" s="1"/>
  <c r="E424" i="2"/>
  <c r="D424" i="2"/>
  <c r="F424" i="2" s="1"/>
  <c r="B424" i="2"/>
  <c r="F423" i="2"/>
  <c r="D423" i="2"/>
  <c r="B423" i="2"/>
  <c r="E423" i="2" s="1"/>
  <c r="E422" i="2"/>
  <c r="B422" i="2"/>
  <c r="D422" i="2" s="1"/>
  <c r="F422" i="2" s="1"/>
  <c r="E421" i="2"/>
  <c r="D421" i="2"/>
  <c r="F421" i="2" s="1"/>
  <c r="B421" i="2"/>
  <c r="D420" i="2"/>
  <c r="F420" i="2" s="1"/>
  <c r="B420" i="2"/>
  <c r="E420" i="2" s="1"/>
  <c r="E419" i="2"/>
  <c r="D419" i="2"/>
  <c r="B419" i="2"/>
  <c r="E418" i="2"/>
  <c r="D418" i="2"/>
  <c r="B418" i="2"/>
  <c r="B417" i="2"/>
  <c r="E417" i="2" s="1"/>
  <c r="E416" i="2"/>
  <c r="D416" i="2"/>
  <c r="F416" i="2" s="1"/>
  <c r="B416" i="2"/>
  <c r="E415" i="2"/>
  <c r="D415" i="2"/>
  <c r="B415" i="2"/>
  <c r="B414" i="2"/>
  <c r="E414" i="2" s="1"/>
  <c r="B413" i="2"/>
  <c r="E413" i="2" s="1"/>
  <c r="E412" i="2"/>
  <c r="D412" i="2"/>
  <c r="F412" i="2" s="1"/>
  <c r="B412" i="2"/>
  <c r="F411" i="2"/>
  <c r="D411" i="2"/>
  <c r="B411" i="2"/>
  <c r="E411" i="2" s="1"/>
  <c r="E410" i="2"/>
  <c r="B410" i="2"/>
  <c r="D410" i="2" s="1"/>
  <c r="F410" i="2" s="1"/>
  <c r="B409" i="2"/>
  <c r="E409" i="2" s="1"/>
  <c r="D408" i="2"/>
  <c r="F408" i="2" s="1"/>
  <c r="B408" i="2"/>
  <c r="E408" i="2" s="1"/>
  <c r="E407" i="2"/>
  <c r="D407" i="2"/>
  <c r="B407" i="2"/>
  <c r="E406" i="2"/>
  <c r="B406" i="2"/>
  <c r="D406" i="2" s="1"/>
  <c r="F406" i="2" s="1"/>
  <c r="B405" i="2"/>
  <c r="E405" i="2" s="1"/>
  <c r="E404" i="2"/>
  <c r="D404" i="2"/>
  <c r="F404" i="2" s="1"/>
  <c r="B404" i="2"/>
  <c r="E403" i="2"/>
  <c r="D403" i="2"/>
  <c r="B403" i="2"/>
  <c r="B402" i="2"/>
  <c r="E402" i="2" s="1"/>
  <c r="B401" i="2"/>
  <c r="E401" i="2" s="1"/>
  <c r="E400" i="2"/>
  <c r="D400" i="2"/>
  <c r="F400" i="2" s="1"/>
  <c r="B400" i="2"/>
  <c r="F399" i="2"/>
  <c r="D399" i="2"/>
  <c r="B399" i="2"/>
  <c r="E399" i="2" s="1"/>
  <c r="E398" i="2"/>
  <c r="B398" i="2"/>
  <c r="D398" i="2" s="1"/>
  <c r="F398" i="2" s="1"/>
  <c r="B397" i="2"/>
  <c r="E397" i="2" s="1"/>
  <c r="D396" i="2"/>
  <c r="F396" i="2" s="1"/>
  <c r="B396" i="2"/>
  <c r="E396" i="2" s="1"/>
  <c r="E395" i="2"/>
  <c r="D395" i="2"/>
  <c r="B395" i="2"/>
  <c r="E394" i="2"/>
  <c r="B394" i="2"/>
  <c r="D394" i="2" s="1"/>
  <c r="F394" i="2" s="1"/>
  <c r="B393" i="2"/>
  <c r="E393" i="2" s="1"/>
  <c r="E392" i="2"/>
  <c r="D392" i="2"/>
  <c r="F392" i="2" s="1"/>
  <c r="B392" i="2"/>
  <c r="E391" i="2"/>
  <c r="D391" i="2"/>
  <c r="B391" i="2"/>
  <c r="B390" i="2"/>
  <c r="E390" i="2" s="1"/>
  <c r="B389" i="2"/>
  <c r="E389" i="2" s="1"/>
  <c r="E388" i="2"/>
  <c r="D388" i="2"/>
  <c r="F388" i="2" s="1"/>
  <c r="B388" i="2"/>
  <c r="F387" i="2"/>
  <c r="D387" i="2"/>
  <c r="B387" i="2"/>
  <c r="E387" i="2" s="1"/>
  <c r="E386" i="2"/>
  <c r="B386" i="2"/>
  <c r="D386" i="2" s="1"/>
  <c r="F386" i="2" s="1"/>
  <c r="B385" i="2"/>
  <c r="E385" i="2" s="1"/>
  <c r="D384" i="2"/>
  <c r="F384" i="2" s="1"/>
  <c r="B384" i="2"/>
  <c r="E384" i="2" s="1"/>
  <c r="E383" i="2"/>
  <c r="D383" i="2"/>
  <c r="B383" i="2"/>
  <c r="E382" i="2"/>
  <c r="B382" i="2"/>
  <c r="D382" i="2" s="1"/>
  <c r="F382" i="2" s="1"/>
  <c r="B381" i="2"/>
  <c r="E381" i="2" s="1"/>
  <c r="E380" i="2"/>
  <c r="D380" i="2"/>
  <c r="F380" i="2" s="1"/>
  <c r="B380" i="2"/>
  <c r="E379" i="2"/>
  <c r="D379" i="2"/>
  <c r="B379" i="2"/>
  <c r="B378" i="2"/>
  <c r="E378" i="2" s="1"/>
  <c r="B377" i="2"/>
  <c r="E377" i="2" s="1"/>
  <c r="E376" i="2"/>
  <c r="D376" i="2"/>
  <c r="F376" i="2" s="1"/>
  <c r="B376" i="2"/>
  <c r="F375" i="2"/>
  <c r="D375" i="2"/>
  <c r="B375" i="2"/>
  <c r="E375" i="2" s="1"/>
  <c r="E374" i="2"/>
  <c r="B374" i="2"/>
  <c r="D374" i="2" s="1"/>
  <c r="F374" i="2" s="1"/>
  <c r="B373" i="2"/>
  <c r="E373" i="2" s="1"/>
  <c r="D372" i="2"/>
  <c r="F372" i="2" s="1"/>
  <c r="B372" i="2"/>
  <c r="E372" i="2" s="1"/>
  <c r="E371" i="2"/>
  <c r="D371" i="2"/>
  <c r="B371" i="2"/>
  <c r="E370" i="2"/>
  <c r="B370" i="2"/>
  <c r="D370" i="2" s="1"/>
  <c r="F370" i="2" s="1"/>
  <c r="B369" i="2"/>
  <c r="E369" i="2" s="1"/>
  <c r="E368" i="2"/>
  <c r="D368" i="2"/>
  <c r="F368" i="2" s="1"/>
  <c r="B368" i="2"/>
  <c r="E367" i="2"/>
  <c r="D367" i="2"/>
  <c r="F367" i="2" s="1"/>
  <c r="B367" i="2"/>
  <c r="B366" i="2"/>
  <c r="E366" i="2" s="1"/>
  <c r="B365" i="2"/>
  <c r="E365" i="2" s="1"/>
  <c r="E364" i="2"/>
  <c r="D364" i="2"/>
  <c r="F364" i="2" s="1"/>
  <c r="B364" i="2"/>
  <c r="D363" i="2"/>
  <c r="F363" i="2" s="1"/>
  <c r="B363" i="2"/>
  <c r="E363" i="2" s="1"/>
  <c r="E362" i="2"/>
  <c r="B362" i="2"/>
  <c r="D362" i="2" s="1"/>
  <c r="F362" i="2" s="1"/>
  <c r="B361" i="2"/>
  <c r="E361" i="2" s="1"/>
  <c r="D360" i="2"/>
  <c r="F360" i="2" s="1"/>
  <c r="B360" i="2"/>
  <c r="E360" i="2" s="1"/>
  <c r="E359" i="2"/>
  <c r="D359" i="2"/>
  <c r="B359" i="2"/>
  <c r="B358" i="2"/>
  <c r="E358" i="2" s="1"/>
  <c r="B357" i="2"/>
  <c r="E357" i="2" s="1"/>
  <c r="E356" i="2"/>
  <c r="D356" i="2"/>
  <c r="F356" i="2" s="1"/>
  <c r="B356" i="2"/>
  <c r="E355" i="2"/>
  <c r="D355" i="2"/>
  <c r="F355" i="2" s="1"/>
  <c r="B355" i="2"/>
  <c r="B354" i="2"/>
  <c r="E354" i="2" s="1"/>
  <c r="B353" i="2"/>
  <c r="E353" i="2" s="1"/>
  <c r="E352" i="2"/>
  <c r="D352" i="2"/>
  <c r="F352" i="2" s="1"/>
  <c r="B352" i="2"/>
  <c r="D351" i="2"/>
  <c r="F351" i="2" s="1"/>
  <c r="B351" i="2"/>
  <c r="E351" i="2" s="1"/>
  <c r="B350" i="2"/>
  <c r="E350" i="2" s="1"/>
  <c r="B349" i="2"/>
  <c r="E349" i="2" s="1"/>
  <c r="D348" i="2"/>
  <c r="F348" i="2" s="1"/>
  <c r="B348" i="2"/>
  <c r="E348" i="2" s="1"/>
  <c r="E347" i="2"/>
  <c r="D347" i="2"/>
  <c r="B347" i="2"/>
  <c r="B346" i="2"/>
  <c r="E346" i="2" s="1"/>
  <c r="B345" i="2"/>
  <c r="E345" i="2" s="1"/>
  <c r="E344" i="2"/>
  <c r="D344" i="2"/>
  <c r="F344" i="2" s="1"/>
  <c r="B344" i="2"/>
  <c r="E343" i="2"/>
  <c r="D343" i="2"/>
  <c r="B343" i="2"/>
  <c r="B342" i="2"/>
  <c r="E342" i="2" s="1"/>
  <c r="B341" i="2"/>
  <c r="E341" i="2" s="1"/>
  <c r="E340" i="2"/>
  <c r="D340" i="2"/>
  <c r="F340" i="2" s="1"/>
  <c r="B340" i="2"/>
  <c r="D339" i="2"/>
  <c r="F339" i="2" s="1"/>
  <c r="B339" i="2"/>
  <c r="E339" i="2" s="1"/>
  <c r="B338" i="2"/>
  <c r="E338" i="2" s="1"/>
  <c r="B337" i="2"/>
  <c r="E337" i="2" s="1"/>
  <c r="D336" i="2"/>
  <c r="F336" i="2" s="1"/>
  <c r="B336" i="2"/>
  <c r="E336" i="2" s="1"/>
  <c r="E335" i="2"/>
  <c r="D335" i="2"/>
  <c r="B335" i="2"/>
  <c r="B334" i="2"/>
  <c r="E334" i="2" s="1"/>
  <c r="B333" i="2"/>
  <c r="E333" i="2" s="1"/>
  <c r="E332" i="2"/>
  <c r="D332" i="2"/>
  <c r="F332" i="2" s="1"/>
  <c r="B332" i="2"/>
  <c r="E331" i="2"/>
  <c r="D331" i="2"/>
  <c r="F331" i="2" s="1"/>
  <c r="B331" i="2"/>
  <c r="B330" i="2"/>
  <c r="E330" i="2" s="1"/>
  <c r="B329" i="2"/>
  <c r="E329" i="2" s="1"/>
  <c r="E328" i="2"/>
  <c r="D328" i="2"/>
  <c r="F328" i="2" s="1"/>
  <c r="B328" i="2"/>
  <c r="D327" i="2"/>
  <c r="F327" i="2" s="1"/>
  <c r="B327" i="2"/>
  <c r="E327" i="2" s="1"/>
  <c r="B326" i="2"/>
  <c r="E326" i="2" s="1"/>
  <c r="B325" i="2"/>
  <c r="E325" i="2" s="1"/>
  <c r="D324" i="2"/>
  <c r="F324" i="2" s="1"/>
  <c r="B324" i="2"/>
  <c r="E324" i="2" s="1"/>
  <c r="E323" i="2"/>
  <c r="D323" i="2"/>
  <c r="F323" i="2" s="1"/>
  <c r="B323" i="2"/>
  <c r="B322" i="2"/>
  <c r="E322" i="2" s="1"/>
  <c r="B321" i="2"/>
  <c r="E321" i="2" s="1"/>
  <c r="E320" i="2"/>
  <c r="D320" i="2"/>
  <c r="F320" i="2" s="1"/>
  <c r="B320" i="2"/>
  <c r="E319" i="2"/>
  <c r="D319" i="2"/>
  <c r="B319" i="2"/>
  <c r="B318" i="2"/>
  <c r="E318" i="2" s="1"/>
  <c r="B317" i="2"/>
  <c r="E317" i="2" s="1"/>
  <c r="E316" i="2"/>
  <c r="D316" i="2"/>
  <c r="F316" i="2" s="1"/>
  <c r="B316" i="2"/>
  <c r="D315" i="2"/>
  <c r="F315" i="2" s="1"/>
  <c r="B315" i="2"/>
  <c r="E315" i="2" s="1"/>
  <c r="B314" i="2"/>
  <c r="E314" i="2" s="1"/>
  <c r="B313" i="2"/>
  <c r="E313" i="2" s="1"/>
  <c r="D312" i="2"/>
  <c r="F312" i="2" s="1"/>
  <c r="B312" i="2"/>
  <c r="E312" i="2" s="1"/>
  <c r="E311" i="2"/>
  <c r="D311" i="2"/>
  <c r="F311" i="2" s="1"/>
  <c r="B311" i="2"/>
  <c r="B310" i="2"/>
  <c r="E310" i="2" s="1"/>
  <c r="B309" i="2"/>
  <c r="E309" i="2" s="1"/>
  <c r="E308" i="2"/>
  <c r="D308" i="2"/>
  <c r="F308" i="2" s="1"/>
  <c r="B308" i="2"/>
  <c r="E307" i="2"/>
  <c r="D307" i="2"/>
  <c r="F307" i="2" s="1"/>
  <c r="B307" i="2"/>
  <c r="B306" i="2"/>
  <c r="E306" i="2" s="1"/>
  <c r="B305" i="2"/>
  <c r="E305" i="2" s="1"/>
  <c r="E304" i="2"/>
  <c r="D304" i="2"/>
  <c r="F304" i="2" s="1"/>
  <c r="B304" i="2"/>
  <c r="F303" i="2"/>
  <c r="D303" i="2"/>
  <c r="B303" i="2"/>
  <c r="E303" i="2" s="1"/>
  <c r="E302" i="2"/>
  <c r="D302" i="2"/>
  <c r="F302" i="2" s="1"/>
  <c r="B302" i="2"/>
  <c r="B301" i="2"/>
  <c r="E301" i="2" s="1"/>
  <c r="B300" i="2"/>
  <c r="F299" i="2"/>
  <c r="E299" i="2"/>
  <c r="D299" i="2"/>
  <c r="B299" i="2"/>
  <c r="E298" i="2"/>
  <c r="B298" i="2"/>
  <c r="D298" i="2" s="1"/>
  <c r="F298" i="2" s="1"/>
  <c r="B297" i="2"/>
  <c r="E297" i="2" s="1"/>
  <c r="E296" i="2"/>
  <c r="D296" i="2"/>
  <c r="F296" i="2" s="1"/>
  <c r="B296" i="2"/>
  <c r="B295" i="2"/>
  <c r="E295" i="2" s="1"/>
  <c r="B294" i="2"/>
  <c r="E294" i="2" s="1"/>
  <c r="B293" i="2"/>
  <c r="E292" i="2"/>
  <c r="D292" i="2"/>
  <c r="B292" i="2"/>
  <c r="D291" i="2"/>
  <c r="F291" i="2" s="1"/>
  <c r="B291" i="2"/>
  <c r="E291" i="2" s="1"/>
  <c r="B290" i="2"/>
  <c r="E290" i="2" s="1"/>
  <c r="B289" i="2"/>
  <c r="E289" i="2" s="1"/>
  <c r="F288" i="2"/>
  <c r="D288" i="2"/>
  <c r="B288" i="2"/>
  <c r="E288" i="2" s="1"/>
  <c r="B287" i="2"/>
  <c r="E287" i="2" s="1"/>
  <c r="E286" i="2"/>
  <c r="D286" i="2"/>
  <c r="F286" i="2" s="1"/>
  <c r="B286" i="2"/>
  <c r="F285" i="2"/>
  <c r="D285" i="2"/>
  <c r="B285" i="2"/>
  <c r="E285" i="2" s="1"/>
  <c r="E284" i="2"/>
  <c r="D284" i="2"/>
  <c r="F284" i="2" s="1"/>
  <c r="B284" i="2"/>
  <c r="B283" i="2"/>
  <c r="E283" i="2" s="1"/>
  <c r="D282" i="2"/>
  <c r="F282" i="2" s="1"/>
  <c r="B282" i="2"/>
  <c r="E282" i="2" s="1"/>
  <c r="B281" i="2"/>
  <c r="E281" i="2" s="1"/>
  <c r="B280" i="2"/>
  <c r="E280" i="2" s="1"/>
  <c r="B279" i="2"/>
  <c r="F278" i="2"/>
  <c r="E278" i="2"/>
  <c r="D278" i="2"/>
  <c r="B278" i="2"/>
  <c r="E277" i="2"/>
  <c r="B277" i="2"/>
  <c r="D277" i="2" s="1"/>
  <c r="F277" i="2" s="1"/>
  <c r="E276" i="2"/>
  <c r="D276" i="2"/>
  <c r="F276" i="2" s="1"/>
  <c r="B276" i="2"/>
  <c r="E275" i="2"/>
  <c r="F275" i="2" s="1"/>
  <c r="D275" i="2"/>
  <c r="B275" i="2"/>
  <c r="E274" i="2"/>
  <c r="D274" i="2"/>
  <c r="F274" i="2" s="1"/>
  <c r="B274" i="2"/>
  <c r="B273" i="2"/>
  <c r="E273" i="2" s="1"/>
  <c r="E272" i="2"/>
  <c r="D272" i="2"/>
  <c r="B272" i="2"/>
  <c r="B271" i="2"/>
  <c r="E271" i="2" s="1"/>
  <c r="B270" i="2"/>
  <c r="E270" i="2" s="1"/>
  <c r="D269" i="2"/>
  <c r="F269" i="2" s="1"/>
  <c r="B269" i="2"/>
  <c r="E269" i="2" s="1"/>
  <c r="E268" i="2"/>
  <c r="D268" i="2"/>
  <c r="B268" i="2"/>
  <c r="B267" i="2"/>
  <c r="E267" i="2" s="1"/>
  <c r="B266" i="2"/>
  <c r="E265" i="2"/>
  <c r="D265" i="2"/>
  <c r="B265" i="2"/>
  <c r="E264" i="2"/>
  <c r="B264" i="2"/>
  <c r="D264" i="2" s="1"/>
  <c r="F264" i="2" s="1"/>
  <c r="E263" i="2"/>
  <c r="D263" i="2"/>
  <c r="F263" i="2" s="1"/>
  <c r="B263" i="2"/>
  <c r="E262" i="2"/>
  <c r="D262" i="2"/>
  <c r="F262" i="2" s="1"/>
  <c r="B262" i="2"/>
  <c r="E261" i="2"/>
  <c r="D261" i="2"/>
  <c r="F261" i="2" s="1"/>
  <c r="B261" i="2"/>
  <c r="B260" i="2"/>
  <c r="E260" i="2" s="1"/>
  <c r="B259" i="2"/>
  <c r="E259" i="2" s="1"/>
  <c r="B258" i="2"/>
  <c r="E258" i="2" s="1"/>
  <c r="B257" i="2"/>
  <c r="E257" i="2" s="1"/>
  <c r="B256" i="2"/>
  <c r="F255" i="2"/>
  <c r="E255" i="2"/>
  <c r="D255" i="2"/>
  <c r="B255" i="2"/>
  <c r="B254" i="2"/>
  <c r="E254" i="2" s="1"/>
  <c r="E253" i="2"/>
  <c r="D253" i="2"/>
  <c r="F253" i="2" s="1"/>
  <c r="B253" i="2"/>
  <c r="E252" i="2"/>
  <c r="F252" i="2" s="1"/>
  <c r="D252" i="2"/>
  <c r="B252" i="2"/>
  <c r="E251" i="2"/>
  <c r="B251" i="2"/>
  <c r="D251" i="2" s="1"/>
  <c r="F251" i="2" s="1"/>
  <c r="B250" i="2"/>
  <c r="E249" i="2"/>
  <c r="D249" i="2"/>
  <c r="F249" i="2" s="1"/>
  <c r="B249" i="2"/>
  <c r="E248" i="2"/>
  <c r="D248" i="2"/>
  <c r="F248" i="2" s="1"/>
  <c r="B248" i="2"/>
  <c r="B247" i="2"/>
  <c r="E247" i="2" s="1"/>
  <c r="F246" i="2"/>
  <c r="D246" i="2"/>
  <c r="B246" i="2"/>
  <c r="E246" i="2" s="1"/>
  <c r="B245" i="2"/>
  <c r="E245" i="2" s="1"/>
  <c r="B244" i="2"/>
  <c r="E244" i="2" s="1"/>
  <c r="B243" i="2"/>
  <c r="D243" i="2" s="1"/>
  <c r="F242" i="2"/>
  <c r="E242" i="2"/>
  <c r="D242" i="2"/>
  <c r="B242" i="2"/>
  <c r="E241" i="2"/>
  <c r="B241" i="2"/>
  <c r="D241" i="2" s="1"/>
  <c r="F241" i="2" s="1"/>
  <c r="E240" i="2"/>
  <c r="D240" i="2"/>
  <c r="F240" i="2" s="1"/>
  <c r="B240" i="2"/>
  <c r="E239" i="2"/>
  <c r="F239" i="2" s="1"/>
  <c r="D239" i="2"/>
  <c r="B239" i="2"/>
  <c r="E238" i="2"/>
  <c r="D238" i="2"/>
  <c r="F238" i="2" s="1"/>
  <c r="B238" i="2"/>
  <c r="B237" i="2"/>
  <c r="E236" i="2"/>
  <c r="D236" i="2"/>
  <c r="B236" i="2"/>
  <c r="B235" i="2"/>
  <c r="E235" i="2" s="1"/>
  <c r="B234" i="2"/>
  <c r="E234" i="2" s="1"/>
  <c r="D233" i="2"/>
  <c r="F233" i="2" s="1"/>
  <c r="B233" i="2"/>
  <c r="E233" i="2" s="1"/>
  <c r="E232" i="2"/>
  <c r="D232" i="2"/>
  <c r="B232" i="2"/>
  <c r="B231" i="2"/>
  <c r="E231" i="2" s="1"/>
  <c r="E230" i="2"/>
  <c r="B230" i="2"/>
  <c r="D230" i="2" s="1"/>
  <c r="E229" i="2"/>
  <c r="D229" i="2"/>
  <c r="B229" i="2"/>
  <c r="E228" i="2"/>
  <c r="B228" i="2"/>
  <c r="D228" i="2" s="1"/>
  <c r="F228" i="2" s="1"/>
  <c r="E227" i="2"/>
  <c r="D227" i="2"/>
  <c r="F227" i="2" s="1"/>
  <c r="B227" i="2"/>
  <c r="E226" i="2"/>
  <c r="D226" i="2"/>
  <c r="F226" i="2" s="1"/>
  <c r="B226" i="2"/>
  <c r="E225" i="2"/>
  <c r="D225" i="2"/>
  <c r="F225" i="2" s="1"/>
  <c r="B225" i="2"/>
  <c r="B224" i="2"/>
  <c r="B223" i="2"/>
  <c r="E223" i="2" s="1"/>
  <c r="B222" i="2"/>
  <c r="E222" i="2" s="1"/>
  <c r="B221" i="2"/>
  <c r="E221" i="2" s="1"/>
  <c r="B220" i="2"/>
  <c r="D220" i="2" s="1"/>
  <c r="F219" i="2"/>
  <c r="E219" i="2"/>
  <c r="D219" i="2"/>
  <c r="B219" i="2"/>
  <c r="B218" i="2"/>
  <c r="E218" i="2" s="1"/>
  <c r="E217" i="2"/>
  <c r="D217" i="2"/>
  <c r="F217" i="2" s="1"/>
  <c r="B217" i="2"/>
  <c r="E216" i="2"/>
  <c r="F216" i="2" s="1"/>
  <c r="D216" i="2"/>
  <c r="B216" i="2"/>
  <c r="E215" i="2"/>
  <c r="B215" i="2"/>
  <c r="D215" i="2" s="1"/>
  <c r="F215" i="2" s="1"/>
  <c r="B214" i="2"/>
  <c r="E213" i="2"/>
  <c r="D213" i="2"/>
  <c r="F213" i="2" s="1"/>
  <c r="B213" i="2"/>
  <c r="E212" i="2"/>
  <c r="D212" i="2"/>
  <c r="F212" i="2" s="1"/>
  <c r="B212" i="2"/>
  <c r="B211" i="2"/>
  <c r="E211" i="2" s="1"/>
  <c r="B210" i="2"/>
  <c r="E210" i="2" s="1"/>
  <c r="B209" i="2"/>
  <c r="E209" i="2" s="1"/>
  <c r="B208" i="2"/>
  <c r="E208" i="2" s="1"/>
  <c r="B207" i="2"/>
  <c r="D207" i="2" s="1"/>
  <c r="F206" i="2"/>
  <c r="E206" i="2"/>
  <c r="D206" i="2"/>
  <c r="B206" i="2"/>
  <c r="E205" i="2"/>
  <c r="B205" i="2"/>
  <c r="D205" i="2" s="1"/>
  <c r="F205" i="2" s="1"/>
  <c r="E204" i="2"/>
  <c r="D204" i="2"/>
  <c r="F204" i="2" s="1"/>
  <c r="B204" i="2"/>
  <c r="F203" i="2"/>
  <c r="E203" i="2"/>
  <c r="D203" i="2"/>
  <c r="B203" i="2"/>
  <c r="E202" i="2"/>
  <c r="D202" i="2"/>
  <c r="F202" i="2" s="1"/>
  <c r="B202" i="2"/>
  <c r="B201" i="2"/>
  <c r="E200" i="2"/>
  <c r="D200" i="2"/>
  <c r="F200" i="2" s="1"/>
  <c r="B200" i="2"/>
  <c r="B199" i="2"/>
  <c r="E199" i="2" s="1"/>
  <c r="B198" i="2"/>
  <c r="E198" i="2" s="1"/>
  <c r="D197" i="2"/>
  <c r="F197" i="2" s="1"/>
  <c r="B197" i="2"/>
  <c r="E197" i="2" s="1"/>
  <c r="E196" i="2"/>
  <c r="D196" i="2"/>
  <c r="B196" i="2"/>
  <c r="B195" i="2"/>
  <c r="E195" i="2" s="1"/>
  <c r="B194" i="2"/>
  <c r="D194" i="2" s="1"/>
  <c r="E193" i="2"/>
  <c r="D193" i="2"/>
  <c r="B193" i="2"/>
  <c r="E192" i="2"/>
  <c r="B192" i="2"/>
  <c r="D192" i="2" s="1"/>
  <c r="F192" i="2" s="1"/>
  <c r="E191" i="2"/>
  <c r="D191" i="2"/>
  <c r="F191" i="2" s="1"/>
  <c r="B191" i="2"/>
  <c r="E190" i="2"/>
  <c r="D190" i="2"/>
  <c r="F190" i="2" s="1"/>
  <c r="B190" i="2"/>
  <c r="E189" i="2"/>
  <c r="D189" i="2"/>
  <c r="F189" i="2" s="1"/>
  <c r="B189" i="2"/>
  <c r="B188" i="2"/>
  <c r="B187" i="2"/>
  <c r="E187" i="2" s="1"/>
  <c r="B186" i="2"/>
  <c r="E186" i="2" s="1"/>
  <c r="B185" i="2"/>
  <c r="E185" i="2" s="1"/>
  <c r="E184" i="2"/>
  <c r="B184" i="2"/>
  <c r="D184" i="2" s="1"/>
  <c r="F183" i="2"/>
  <c r="E183" i="2"/>
  <c r="D183" i="2"/>
  <c r="B183" i="2"/>
  <c r="B182" i="2"/>
  <c r="E182" i="2" s="1"/>
  <c r="E181" i="2"/>
  <c r="D181" i="2"/>
  <c r="F181" i="2" s="1"/>
  <c r="B181" i="2"/>
  <c r="E180" i="2"/>
  <c r="F180" i="2" s="1"/>
  <c r="D180" i="2"/>
  <c r="B180" i="2"/>
  <c r="E179" i="2"/>
  <c r="B179" i="2"/>
  <c r="D179" i="2" s="1"/>
  <c r="F179" i="2" s="1"/>
  <c r="B178" i="2"/>
  <c r="E177" i="2"/>
  <c r="D177" i="2"/>
  <c r="B177" i="2"/>
  <c r="E176" i="2"/>
  <c r="D176" i="2"/>
  <c r="F176" i="2" s="1"/>
  <c r="B176" i="2"/>
  <c r="B175" i="2"/>
  <c r="E175" i="2" s="1"/>
  <c r="B174" i="2"/>
  <c r="E174" i="2" s="1"/>
  <c r="B173" i="2"/>
  <c r="E173" i="2" s="1"/>
  <c r="B172" i="2"/>
  <c r="E172" i="2" s="1"/>
  <c r="E171" i="2"/>
  <c r="B171" i="2"/>
  <c r="D171" i="2" s="1"/>
  <c r="F170" i="2"/>
  <c r="E170" i="2"/>
  <c r="D170" i="2"/>
  <c r="B170" i="2"/>
  <c r="B169" i="2"/>
  <c r="E169" i="2" s="1"/>
  <c r="E168" i="2"/>
  <c r="B168" i="2"/>
  <c r="D168" i="2" s="1"/>
  <c r="F167" i="2"/>
  <c r="E167" i="2"/>
  <c r="D167" i="2"/>
  <c r="B167" i="2"/>
  <c r="B166" i="2"/>
  <c r="E166" i="2" s="1"/>
  <c r="E165" i="2"/>
  <c r="B165" i="2"/>
  <c r="D165" i="2" s="1"/>
  <c r="F164" i="2"/>
  <c r="E164" i="2"/>
  <c r="D164" i="2"/>
  <c r="B164" i="2"/>
  <c r="B163" i="2"/>
  <c r="E163" i="2" s="1"/>
  <c r="E162" i="2"/>
  <c r="B162" i="2"/>
  <c r="D162" i="2" s="1"/>
  <c r="F161" i="2"/>
  <c r="E161" i="2"/>
  <c r="D161" i="2"/>
  <c r="B161" i="2"/>
  <c r="B160" i="2"/>
  <c r="E160" i="2" s="1"/>
  <c r="E159" i="2"/>
  <c r="B159" i="2"/>
  <c r="D159" i="2" s="1"/>
  <c r="F158" i="2"/>
  <c r="E158" i="2"/>
  <c r="D158" i="2"/>
  <c r="B158" i="2"/>
  <c r="B157" i="2"/>
  <c r="E157" i="2" s="1"/>
  <c r="B156" i="2"/>
  <c r="D156" i="2" s="1"/>
  <c r="F155" i="2"/>
  <c r="E155" i="2"/>
  <c r="D155" i="2"/>
  <c r="B155" i="2"/>
  <c r="B154" i="2"/>
  <c r="E154" i="2" s="1"/>
  <c r="B153" i="2"/>
  <c r="D153" i="2" s="1"/>
  <c r="F152" i="2"/>
  <c r="E152" i="2"/>
  <c r="D152" i="2"/>
  <c r="B152" i="2"/>
  <c r="B151" i="2"/>
  <c r="E151" i="2" s="1"/>
  <c r="E150" i="2"/>
  <c r="B150" i="2"/>
  <c r="D150" i="2" s="1"/>
  <c r="F149" i="2"/>
  <c r="E149" i="2"/>
  <c r="D149" i="2"/>
  <c r="B149" i="2"/>
  <c r="B148" i="2"/>
  <c r="E148" i="2" s="1"/>
  <c r="B147" i="2"/>
  <c r="D147" i="2" s="1"/>
  <c r="F146" i="2"/>
  <c r="E146" i="2"/>
  <c r="D146" i="2"/>
  <c r="B146" i="2"/>
  <c r="B145" i="2"/>
  <c r="E145" i="2" s="1"/>
  <c r="B144" i="2"/>
  <c r="D144" i="2" s="1"/>
  <c r="F143" i="2"/>
  <c r="E143" i="2"/>
  <c r="D143" i="2"/>
  <c r="B143" i="2"/>
  <c r="B142" i="2"/>
  <c r="E142" i="2" s="1"/>
  <c r="B141" i="2"/>
  <c r="D141" i="2" s="1"/>
  <c r="F140" i="2"/>
  <c r="E140" i="2"/>
  <c r="D140" i="2"/>
  <c r="B140" i="2"/>
  <c r="B139" i="2"/>
  <c r="E139" i="2" s="1"/>
  <c r="B138" i="2"/>
  <c r="D138" i="2" s="1"/>
  <c r="F137" i="2"/>
  <c r="E137" i="2"/>
  <c r="D137" i="2"/>
  <c r="B137" i="2"/>
  <c r="B136" i="2"/>
  <c r="E136" i="2" s="1"/>
  <c r="E135" i="2"/>
  <c r="B135" i="2"/>
  <c r="D135" i="2" s="1"/>
  <c r="F134" i="2"/>
  <c r="E134" i="2"/>
  <c r="D134" i="2"/>
  <c r="B134" i="2"/>
  <c r="B133" i="2"/>
  <c r="E133" i="2" s="1"/>
  <c r="E132" i="2"/>
  <c r="B132" i="2"/>
  <c r="D132" i="2" s="1"/>
  <c r="F131" i="2"/>
  <c r="E131" i="2"/>
  <c r="D131" i="2"/>
  <c r="B131" i="2"/>
  <c r="B130" i="2"/>
  <c r="E130" i="2" s="1"/>
  <c r="E129" i="2"/>
  <c r="B129" i="2"/>
  <c r="D129" i="2" s="1"/>
  <c r="F128" i="2"/>
  <c r="E128" i="2"/>
  <c r="D128" i="2"/>
  <c r="B128" i="2"/>
  <c r="B127" i="2"/>
  <c r="E127" i="2" s="1"/>
  <c r="E126" i="2"/>
  <c r="B126" i="2"/>
  <c r="D126" i="2" s="1"/>
  <c r="F125" i="2"/>
  <c r="E125" i="2"/>
  <c r="D125" i="2"/>
  <c r="B125" i="2"/>
  <c r="B124" i="2"/>
  <c r="E123" i="2"/>
  <c r="B123" i="2"/>
  <c r="D123" i="2" s="1"/>
  <c r="F122" i="2"/>
  <c r="E122" i="2"/>
  <c r="D122" i="2"/>
  <c r="B122" i="2"/>
  <c r="B121" i="2"/>
  <c r="E121" i="2" s="1"/>
  <c r="B120" i="2"/>
  <c r="D120" i="2" s="1"/>
  <c r="F119" i="2"/>
  <c r="E119" i="2"/>
  <c r="D119" i="2"/>
  <c r="B119" i="2"/>
  <c r="B118" i="2"/>
  <c r="E118" i="2" s="1"/>
  <c r="B117" i="2"/>
  <c r="D117" i="2" s="1"/>
  <c r="F116" i="2"/>
  <c r="E116" i="2"/>
  <c r="D116" i="2"/>
  <c r="B116" i="2"/>
  <c r="B115" i="2"/>
  <c r="E115" i="2" s="1"/>
  <c r="E114" i="2"/>
  <c r="B114" i="2"/>
  <c r="D114" i="2" s="1"/>
  <c r="F113" i="2"/>
  <c r="E113" i="2"/>
  <c r="D113" i="2"/>
  <c r="B113" i="2"/>
  <c r="B112" i="2"/>
  <c r="E112" i="2" s="1"/>
  <c r="B111" i="2"/>
  <c r="D111" i="2" s="1"/>
  <c r="F110" i="2"/>
  <c r="E110" i="2"/>
  <c r="D110" i="2"/>
  <c r="B110" i="2"/>
  <c r="B109" i="2"/>
  <c r="E109" i="2" s="1"/>
  <c r="B108" i="2"/>
  <c r="D108" i="2" s="1"/>
  <c r="F107" i="2"/>
  <c r="E107" i="2"/>
  <c r="D107" i="2"/>
  <c r="B107" i="2"/>
  <c r="B106" i="2"/>
  <c r="E106" i="2" s="1"/>
  <c r="B105" i="2"/>
  <c r="D105" i="2" s="1"/>
  <c r="F104" i="2"/>
  <c r="E104" i="2"/>
  <c r="D104" i="2"/>
  <c r="B104" i="2"/>
  <c r="B103" i="2"/>
  <c r="E103" i="2" s="1"/>
  <c r="B102" i="2"/>
  <c r="D102" i="2" s="1"/>
  <c r="F101" i="2"/>
  <c r="E101" i="2"/>
  <c r="D101" i="2"/>
  <c r="B101" i="2"/>
  <c r="B100" i="2"/>
  <c r="E99" i="2"/>
  <c r="B99" i="2"/>
  <c r="D99" i="2" s="1"/>
  <c r="F98" i="2"/>
  <c r="E98" i="2"/>
  <c r="D98" i="2"/>
  <c r="B98" i="2"/>
  <c r="B97" i="2"/>
  <c r="E97" i="2" s="1"/>
  <c r="E96" i="2"/>
  <c r="B96" i="2"/>
  <c r="D96" i="2" s="1"/>
  <c r="F95" i="2"/>
  <c r="E95" i="2"/>
  <c r="D95" i="2"/>
  <c r="B95" i="2"/>
  <c r="B94" i="2"/>
  <c r="E94" i="2" s="1"/>
  <c r="B93" i="2"/>
  <c r="D93" i="2" s="1"/>
  <c r="F92" i="2"/>
  <c r="E92" i="2"/>
  <c r="D92" i="2"/>
  <c r="B92" i="2"/>
  <c r="B91" i="2"/>
  <c r="E91" i="2" s="1"/>
  <c r="E90" i="2"/>
  <c r="B90" i="2"/>
  <c r="D90" i="2" s="1"/>
  <c r="F89" i="2"/>
  <c r="E89" i="2"/>
  <c r="D89" i="2"/>
  <c r="B89" i="2"/>
  <c r="B88" i="2"/>
  <c r="E87" i="2"/>
  <c r="B87" i="2"/>
  <c r="D87" i="2" s="1"/>
  <c r="F86" i="2"/>
  <c r="E86" i="2"/>
  <c r="D86" i="2"/>
  <c r="B86" i="2"/>
  <c r="B85" i="2"/>
  <c r="B84" i="2"/>
  <c r="D84" i="2" s="1"/>
  <c r="F83" i="2"/>
  <c r="E83" i="2"/>
  <c r="D83" i="2"/>
  <c r="B83" i="2"/>
  <c r="B82" i="2"/>
  <c r="B81" i="2"/>
  <c r="D81" i="2" s="1"/>
  <c r="F80" i="2"/>
  <c r="E80" i="2"/>
  <c r="D80" i="2"/>
  <c r="B80" i="2"/>
  <c r="B79" i="2"/>
  <c r="E78" i="2"/>
  <c r="B78" i="2"/>
  <c r="D78" i="2" s="1"/>
  <c r="F77" i="2"/>
  <c r="E77" i="2"/>
  <c r="D77" i="2"/>
  <c r="B77" i="2"/>
  <c r="B76" i="2"/>
  <c r="B75" i="2"/>
  <c r="D75" i="2" s="1"/>
  <c r="F74" i="2"/>
  <c r="E74" i="2"/>
  <c r="D74" i="2"/>
  <c r="B74" i="2"/>
  <c r="B73" i="2"/>
  <c r="B72" i="2"/>
  <c r="D72" i="2" s="1"/>
  <c r="F71" i="2"/>
  <c r="E71" i="2"/>
  <c r="D71" i="2"/>
  <c r="B71" i="2"/>
  <c r="B70" i="2"/>
  <c r="B69" i="2"/>
  <c r="D69" i="2" s="1"/>
  <c r="F68" i="2"/>
  <c r="E68" i="2"/>
  <c r="D68" i="2"/>
  <c r="B68" i="2"/>
  <c r="B67" i="2"/>
  <c r="B66" i="2"/>
  <c r="D66" i="2" s="1"/>
  <c r="F65" i="2"/>
  <c r="E65" i="2"/>
  <c r="D65" i="2"/>
  <c r="B65" i="2"/>
  <c r="B64" i="2"/>
  <c r="E63" i="2"/>
  <c r="B63" i="2"/>
  <c r="D63" i="2" s="1"/>
  <c r="F62" i="2"/>
  <c r="E62" i="2"/>
  <c r="D62" i="2"/>
  <c r="B62" i="2"/>
  <c r="B61" i="2"/>
  <c r="E60" i="2"/>
  <c r="B60" i="2"/>
  <c r="D60" i="2" s="1"/>
  <c r="F59" i="2"/>
  <c r="E59" i="2"/>
  <c r="D59" i="2"/>
  <c r="B59" i="2"/>
  <c r="B58" i="2"/>
  <c r="B57" i="2"/>
  <c r="D57" i="2" s="1"/>
  <c r="F56" i="2"/>
  <c r="E56" i="2"/>
  <c r="D56" i="2"/>
  <c r="B56" i="2"/>
  <c r="B55" i="2"/>
  <c r="E54" i="2"/>
  <c r="B54" i="2"/>
  <c r="D54" i="2" s="1"/>
  <c r="F53" i="2"/>
  <c r="E53" i="2"/>
  <c r="D53" i="2"/>
  <c r="B53" i="2"/>
  <c r="B52" i="2"/>
  <c r="E51" i="2"/>
  <c r="B51" i="2"/>
  <c r="D51" i="2" s="1"/>
  <c r="F50" i="2"/>
  <c r="E50" i="2"/>
  <c r="D50" i="2"/>
  <c r="B50" i="2"/>
  <c r="B49" i="2"/>
  <c r="B48" i="2"/>
  <c r="D48" i="2" s="1"/>
  <c r="F47" i="2"/>
  <c r="E47" i="2"/>
  <c r="D47" i="2"/>
  <c r="B47" i="2"/>
  <c r="B46" i="2"/>
  <c r="B45" i="2"/>
  <c r="D45" i="2" s="1"/>
  <c r="F44" i="2"/>
  <c r="E44" i="2"/>
  <c r="D44" i="2"/>
  <c r="B44" i="2"/>
  <c r="B43" i="2"/>
  <c r="E42" i="2"/>
  <c r="B42" i="2"/>
  <c r="D42" i="2" s="1"/>
  <c r="F41" i="2"/>
  <c r="E41" i="2"/>
  <c r="D41" i="2"/>
  <c r="B41" i="2"/>
  <c r="B40" i="2"/>
  <c r="B39" i="2"/>
  <c r="D39" i="2" s="1"/>
  <c r="F38" i="2"/>
  <c r="E38" i="2"/>
  <c r="D38" i="2"/>
  <c r="B38" i="2"/>
  <c r="B37" i="2"/>
  <c r="E36" i="2"/>
  <c r="B36" i="2"/>
  <c r="D36" i="2" s="1"/>
  <c r="F35" i="2"/>
  <c r="E35" i="2"/>
  <c r="D35" i="2"/>
  <c r="B35" i="2"/>
  <c r="B34" i="2"/>
  <c r="B33" i="2"/>
  <c r="D33" i="2" s="1"/>
  <c r="F32" i="2"/>
  <c r="E32" i="2"/>
  <c r="D32" i="2"/>
  <c r="B32" i="2"/>
  <c r="B31" i="2"/>
  <c r="B30" i="2"/>
  <c r="D30" i="2" s="1"/>
  <c r="F29" i="2"/>
  <c r="E29" i="2"/>
  <c r="D29" i="2"/>
  <c r="B29" i="2"/>
  <c r="B28" i="2"/>
  <c r="E27" i="2"/>
  <c r="B27" i="2"/>
  <c r="D27" i="2" s="1"/>
  <c r="E26" i="2"/>
  <c r="D26" i="2"/>
  <c r="F26" i="2" s="1"/>
  <c r="B26" i="2"/>
  <c r="B25" i="2"/>
  <c r="E24" i="2"/>
  <c r="B24" i="2"/>
  <c r="D24" i="2" s="1"/>
  <c r="E23" i="2"/>
  <c r="D23" i="2"/>
  <c r="F23" i="2" s="1"/>
  <c r="B23" i="2"/>
  <c r="B22" i="2"/>
  <c r="B21" i="2"/>
  <c r="D21" i="2" s="1"/>
  <c r="F20" i="2"/>
  <c r="E20" i="2"/>
  <c r="D20" i="2"/>
  <c r="B20" i="2"/>
  <c r="B19" i="2"/>
  <c r="E18" i="2"/>
  <c r="B18" i="2"/>
  <c r="D18" i="2" s="1"/>
  <c r="F17" i="2"/>
  <c r="E17" i="2"/>
  <c r="D17" i="2"/>
  <c r="B17" i="2"/>
  <c r="B16" i="2"/>
  <c r="E15" i="2"/>
  <c r="B15" i="2"/>
  <c r="D15" i="2" s="1"/>
  <c r="E14" i="2"/>
  <c r="D14" i="2"/>
  <c r="F14" i="2" s="1"/>
  <c r="B14" i="2"/>
  <c r="B13" i="2"/>
  <c r="E12" i="2"/>
  <c r="D12" i="2"/>
  <c r="F12" i="2" s="1"/>
  <c r="B12" i="2"/>
  <c r="E11" i="2"/>
  <c r="D11" i="2"/>
  <c r="F11" i="2" s="1"/>
  <c r="B11" i="2"/>
  <c r="B10" i="2"/>
  <c r="D9" i="2"/>
  <c r="B9" i="2"/>
  <c r="E9" i="2" s="1"/>
  <c r="F9" i="2" s="1"/>
  <c r="E8" i="2"/>
  <c r="F8" i="2" s="1"/>
  <c r="D8" i="2"/>
  <c r="B8" i="2"/>
  <c r="B7" i="2"/>
  <c r="B6" i="2"/>
  <c r="E6" i="2" s="1"/>
  <c r="E5" i="2"/>
  <c r="D5" i="2"/>
  <c r="F5" i="2" s="1"/>
  <c r="B5" i="2"/>
  <c r="B4" i="2"/>
  <c r="B3" i="2"/>
  <c r="E3" i="2" s="1"/>
  <c r="E2" i="2"/>
  <c r="F2" i="2" s="1"/>
  <c r="B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3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2" i="1"/>
  <c r="F673" i="5" l="1"/>
  <c r="E484" i="5"/>
  <c r="E400" i="5"/>
  <c r="E358" i="5"/>
  <c r="E442" i="5"/>
  <c r="E316" i="5"/>
  <c r="F659" i="5"/>
  <c r="E3" i="5"/>
  <c r="I3" i="5" s="1"/>
  <c r="D4" i="5" s="1"/>
  <c r="E4" i="5" s="1"/>
  <c r="E274" i="5"/>
  <c r="F729" i="5"/>
  <c r="F687" i="5"/>
  <c r="F589" i="5"/>
  <c r="E232" i="5"/>
  <c r="E694" i="5"/>
  <c r="E190" i="5"/>
  <c r="E652" i="5"/>
  <c r="E148" i="5"/>
  <c r="E610" i="5"/>
  <c r="E106" i="5"/>
  <c r="F575" i="5"/>
  <c r="E568" i="5"/>
  <c r="E64" i="5"/>
  <c r="E526" i="5"/>
  <c r="E22" i="5"/>
  <c r="E708" i="5"/>
  <c r="E666" i="5"/>
  <c r="E624" i="5"/>
  <c r="E582" i="5"/>
  <c r="E540" i="5"/>
  <c r="E498" i="5"/>
  <c r="E456" i="5"/>
  <c r="E414" i="5"/>
  <c r="E372" i="5"/>
  <c r="E330" i="5"/>
  <c r="E288" i="5"/>
  <c r="E246" i="5"/>
  <c r="E204" i="5"/>
  <c r="E162" i="5"/>
  <c r="E120" i="5"/>
  <c r="E78" i="5"/>
  <c r="E36" i="5"/>
  <c r="E701" i="5"/>
  <c r="E617" i="5"/>
  <c r="E533" i="5"/>
  <c r="E491" i="5"/>
  <c r="E449" i="5"/>
  <c r="E407" i="5"/>
  <c r="E365" i="5"/>
  <c r="E323" i="5"/>
  <c r="E281" i="5"/>
  <c r="E239" i="5"/>
  <c r="E197" i="5"/>
  <c r="E155" i="5"/>
  <c r="E113" i="5"/>
  <c r="E71" i="5"/>
  <c r="E29" i="5"/>
  <c r="F4" i="5"/>
  <c r="F715" i="5"/>
  <c r="F645" i="5"/>
  <c r="F631" i="5"/>
  <c r="F603" i="5"/>
  <c r="F561" i="5"/>
  <c r="F547" i="5"/>
  <c r="F519" i="5"/>
  <c r="F505" i="5"/>
  <c r="F477" i="5"/>
  <c r="F463" i="5"/>
  <c r="F435" i="5"/>
  <c r="F421" i="5"/>
  <c r="F393" i="5"/>
  <c r="F379" i="5"/>
  <c r="F351" i="5"/>
  <c r="F337" i="5"/>
  <c r="F309" i="5"/>
  <c r="F295" i="5"/>
  <c r="F267" i="5"/>
  <c r="F253" i="5"/>
  <c r="F225" i="5"/>
  <c r="F211" i="5"/>
  <c r="F183" i="5"/>
  <c r="F169" i="5"/>
  <c r="F141" i="5"/>
  <c r="F127" i="5"/>
  <c r="F99" i="5"/>
  <c r="F85" i="5"/>
  <c r="F57" i="5"/>
  <c r="F43" i="5"/>
  <c r="F15" i="5"/>
  <c r="E722" i="5"/>
  <c r="E680" i="5"/>
  <c r="E638" i="5"/>
  <c r="E596" i="5"/>
  <c r="E554" i="5"/>
  <c r="E512" i="5"/>
  <c r="E470" i="5"/>
  <c r="E428" i="5"/>
  <c r="E386" i="5"/>
  <c r="E344" i="5"/>
  <c r="E302" i="5"/>
  <c r="E260" i="5"/>
  <c r="E218" i="5"/>
  <c r="E176" i="5"/>
  <c r="E134" i="5"/>
  <c r="E92" i="5"/>
  <c r="E50" i="5"/>
  <c r="E8" i="5"/>
  <c r="F408" i="4"/>
  <c r="F53" i="4"/>
  <c r="F613" i="4"/>
  <c r="F404" i="4"/>
  <c r="F43" i="4"/>
  <c r="F282" i="4"/>
  <c r="F499" i="4"/>
  <c r="F703" i="4"/>
  <c r="F66" i="4"/>
  <c r="F354" i="4"/>
  <c r="F366" i="4"/>
  <c r="F468" i="4"/>
  <c r="F223" i="4"/>
  <c r="F432" i="4"/>
  <c r="F440" i="4"/>
  <c r="F210" i="4"/>
  <c r="F295" i="4"/>
  <c r="F246" i="4"/>
  <c r="F420" i="4"/>
  <c r="F464" i="4"/>
  <c r="F372" i="4"/>
  <c r="F77" i="4"/>
  <c r="F667" i="4"/>
  <c r="F318" i="4"/>
  <c r="F392" i="4"/>
  <c r="F598" i="4"/>
  <c r="F512" i="4"/>
  <c r="F348" i="4"/>
  <c r="F52" i="4"/>
  <c r="F39" i="4"/>
  <c r="F102" i="4"/>
  <c r="F61" i="4"/>
  <c r="F111" i="4"/>
  <c r="F41" i="4"/>
  <c r="F96" i="4"/>
  <c r="D37" i="4"/>
  <c r="F37" i="4" s="1"/>
  <c r="E130" i="4"/>
  <c r="D130" i="4"/>
  <c r="F130" i="4" s="1"/>
  <c r="E172" i="4"/>
  <c r="D172" i="4"/>
  <c r="F172" i="4" s="1"/>
  <c r="E89" i="4"/>
  <c r="D89" i="4"/>
  <c r="F89" i="4" s="1"/>
  <c r="E98" i="4"/>
  <c r="D98" i="4"/>
  <c r="D227" i="4"/>
  <c r="E227" i="4"/>
  <c r="E250" i="4"/>
  <c r="D250" i="4"/>
  <c r="F250" i="4" s="1"/>
  <c r="F266" i="4"/>
  <c r="D417" i="4"/>
  <c r="F417" i="4" s="1"/>
  <c r="E417" i="4"/>
  <c r="E425" i="4"/>
  <c r="D425" i="4"/>
  <c r="E50" i="4"/>
  <c r="F50" i="4" s="1"/>
  <c r="D60" i="4"/>
  <c r="F60" i="4" s="1"/>
  <c r="D99" i="4"/>
  <c r="F99" i="4" s="1"/>
  <c r="E148" i="4"/>
  <c r="D148" i="4"/>
  <c r="F148" i="4" s="1"/>
  <c r="E190" i="4"/>
  <c r="D190" i="4"/>
  <c r="F190" i="4" s="1"/>
  <c r="D411" i="4"/>
  <c r="E411" i="4"/>
  <c r="D4" i="4"/>
  <c r="F4" i="4" s="1"/>
  <c r="D7" i="4"/>
  <c r="F7" i="4" s="1"/>
  <c r="D10" i="4"/>
  <c r="F10" i="4" s="1"/>
  <c r="D13" i="4"/>
  <c r="F13" i="4" s="1"/>
  <c r="D16" i="4"/>
  <c r="F16" i="4" s="1"/>
  <c r="D19" i="4"/>
  <c r="F19" i="4" s="1"/>
  <c r="D22" i="4"/>
  <c r="F22" i="4" s="1"/>
  <c r="D25" i="4"/>
  <c r="F25" i="4" s="1"/>
  <c r="D28" i="4"/>
  <c r="F28" i="4" s="1"/>
  <c r="D31" i="4"/>
  <c r="F31" i="4" s="1"/>
  <c r="D34" i="4"/>
  <c r="F34" i="4" s="1"/>
  <c r="E47" i="4"/>
  <c r="F47" i="4" s="1"/>
  <c r="D57" i="4"/>
  <c r="F57" i="4" s="1"/>
  <c r="E74" i="4"/>
  <c r="F74" i="4" s="1"/>
  <c r="E90" i="4"/>
  <c r="F90" i="4" s="1"/>
  <c r="D109" i="4"/>
  <c r="F109" i="4" s="1"/>
  <c r="D120" i="4"/>
  <c r="F120" i="4" s="1"/>
  <c r="E125" i="4"/>
  <c r="D125" i="4"/>
  <c r="E131" i="4"/>
  <c r="D131" i="4"/>
  <c r="F131" i="4" s="1"/>
  <c r="E137" i="4"/>
  <c r="D137" i="4"/>
  <c r="F137" i="4" s="1"/>
  <c r="E143" i="4"/>
  <c r="D143" i="4"/>
  <c r="E149" i="4"/>
  <c r="D149" i="4"/>
  <c r="E155" i="4"/>
  <c r="D155" i="4"/>
  <c r="E161" i="4"/>
  <c r="D161" i="4"/>
  <c r="E167" i="4"/>
  <c r="D167" i="4"/>
  <c r="F167" i="4" s="1"/>
  <c r="E173" i="4"/>
  <c r="D173" i="4"/>
  <c r="F173" i="4" s="1"/>
  <c r="F235" i="4"/>
  <c r="D240" i="4"/>
  <c r="F240" i="4" s="1"/>
  <c r="D289" i="4"/>
  <c r="F289" i="4" s="1"/>
  <c r="D336" i="4"/>
  <c r="F336" i="4" s="1"/>
  <c r="E119" i="4"/>
  <c r="D119" i="4"/>
  <c r="F119" i="4" s="1"/>
  <c r="D629" i="4"/>
  <c r="F629" i="4" s="1"/>
  <c r="E629" i="4"/>
  <c r="E136" i="4"/>
  <c r="D136" i="4"/>
  <c r="F136" i="4" s="1"/>
  <c r="E178" i="4"/>
  <c r="D178" i="4"/>
  <c r="F178" i="4" s="1"/>
  <c r="E44" i="4"/>
  <c r="F44" i="4" s="1"/>
  <c r="D54" i="4"/>
  <c r="F54" i="4" s="1"/>
  <c r="D67" i="4"/>
  <c r="F67" i="4" s="1"/>
  <c r="D78" i="4"/>
  <c r="F78" i="4" s="1"/>
  <c r="E86" i="4"/>
  <c r="D86" i="4"/>
  <c r="F86" i="4" s="1"/>
  <c r="E95" i="4"/>
  <c r="D95" i="4"/>
  <c r="D105" i="4"/>
  <c r="F105" i="4" s="1"/>
  <c r="E110" i="4"/>
  <c r="D110" i="4"/>
  <c r="D214" i="4"/>
  <c r="F214" i="4" s="1"/>
  <c r="D224" i="4"/>
  <c r="F224" i="4" s="1"/>
  <c r="E224" i="4"/>
  <c r="D314" i="4"/>
  <c r="F314" i="4" s="1"/>
  <c r="D370" i="4"/>
  <c r="F370" i="4" s="1"/>
  <c r="D418" i="4"/>
  <c r="E418" i="4"/>
  <c r="D85" i="4"/>
  <c r="F85" i="4" s="1"/>
  <c r="E154" i="4"/>
  <c r="D154" i="4"/>
  <c r="F154" i="4" s="1"/>
  <c r="E630" i="4"/>
  <c r="D630" i="4"/>
  <c r="F630" i="4" s="1"/>
  <c r="E41" i="4"/>
  <c r="D51" i="4"/>
  <c r="F51" i="4" s="1"/>
  <c r="D64" i="4"/>
  <c r="F64" i="4" s="1"/>
  <c r="E71" i="4"/>
  <c r="F71" i="4" s="1"/>
  <c r="D82" i="4"/>
  <c r="F82" i="4" s="1"/>
  <c r="D115" i="4"/>
  <c r="F115" i="4" s="1"/>
  <c r="F258" i="4"/>
  <c r="D303" i="4"/>
  <c r="F303" i="4" s="1"/>
  <c r="D325" i="4"/>
  <c r="F325" i="4" s="1"/>
  <c r="D390" i="4"/>
  <c r="F390" i="4" s="1"/>
  <c r="E390" i="4"/>
  <c r="D397" i="4"/>
  <c r="F397" i="4" s="1"/>
  <c r="E397" i="4"/>
  <c r="E116" i="4"/>
  <c r="D116" i="4"/>
  <c r="F230" i="4"/>
  <c r="D263" i="4"/>
  <c r="E263" i="4"/>
  <c r="E286" i="4"/>
  <c r="D286" i="4"/>
  <c r="F286" i="4" s="1"/>
  <c r="D391" i="4"/>
  <c r="F391" i="4" s="1"/>
  <c r="E391" i="4"/>
  <c r="E578" i="4"/>
  <c r="D578" i="4"/>
  <c r="E104" i="4"/>
  <c r="D104" i="4"/>
  <c r="E160" i="4"/>
  <c r="D160" i="4"/>
  <c r="F160" i="4" s="1"/>
  <c r="D5" i="4"/>
  <c r="F5" i="4" s="1"/>
  <c r="D8" i="4"/>
  <c r="F8" i="4" s="1"/>
  <c r="D11" i="4"/>
  <c r="F11" i="4" s="1"/>
  <c r="D14" i="4"/>
  <c r="F14" i="4" s="1"/>
  <c r="D17" i="4"/>
  <c r="F17" i="4" s="1"/>
  <c r="D20" i="4"/>
  <c r="F20" i="4" s="1"/>
  <c r="D23" i="4"/>
  <c r="F23" i="4" s="1"/>
  <c r="D26" i="4"/>
  <c r="F26" i="4" s="1"/>
  <c r="D29" i="4"/>
  <c r="F29" i="4" s="1"/>
  <c r="D32" i="4"/>
  <c r="F32" i="4" s="1"/>
  <c r="E35" i="4"/>
  <c r="F35" i="4" s="1"/>
  <c r="D45" i="4"/>
  <c r="F45" i="4" s="1"/>
  <c r="D58" i="4"/>
  <c r="F58" i="4" s="1"/>
  <c r="E68" i="4"/>
  <c r="F68" i="4" s="1"/>
  <c r="E83" i="4"/>
  <c r="D83" i="4"/>
  <c r="F83" i="4" s="1"/>
  <c r="E101" i="4"/>
  <c r="D101" i="4"/>
  <c r="F101" i="4" s="1"/>
  <c r="D121" i="4"/>
  <c r="F121" i="4" s="1"/>
  <c r="E230" i="4"/>
  <c r="E237" i="4"/>
  <c r="D237" i="4"/>
  <c r="F237" i="4" s="1"/>
  <c r="D310" i="4"/>
  <c r="F310" i="4" s="1"/>
  <c r="D332" i="4"/>
  <c r="F332" i="4" s="1"/>
  <c r="F360" i="4"/>
  <c r="E524" i="4"/>
  <c r="D524" i="4"/>
  <c r="F524" i="4" s="1"/>
  <c r="D79" i="4"/>
  <c r="F79" i="4" s="1"/>
  <c r="E92" i="4"/>
  <c r="D92" i="4"/>
  <c r="F92" i="4" s="1"/>
  <c r="D106" i="4"/>
  <c r="F106" i="4" s="1"/>
  <c r="E122" i="4"/>
  <c r="D122" i="4"/>
  <c r="E127" i="4"/>
  <c r="D127" i="4"/>
  <c r="F127" i="4" s="1"/>
  <c r="E133" i="4"/>
  <c r="D133" i="4"/>
  <c r="F133" i="4" s="1"/>
  <c r="E139" i="4"/>
  <c r="D139" i="4"/>
  <c r="F139" i="4" s="1"/>
  <c r="E145" i="4"/>
  <c r="D145" i="4"/>
  <c r="E151" i="4"/>
  <c r="D151" i="4"/>
  <c r="E157" i="4"/>
  <c r="D157" i="4"/>
  <c r="E163" i="4"/>
  <c r="D163" i="4"/>
  <c r="F163" i="4" s="1"/>
  <c r="E169" i="4"/>
  <c r="D169" i="4"/>
  <c r="F169" i="4" s="1"/>
  <c r="E175" i="4"/>
  <c r="D175" i="4"/>
  <c r="F175" i="4" s="1"/>
  <c r="E181" i="4"/>
  <c r="D181" i="4"/>
  <c r="E187" i="4"/>
  <c r="D187" i="4"/>
  <c r="E211" i="4"/>
  <c r="D211" i="4"/>
  <c r="E360" i="4"/>
  <c r="D124" i="4"/>
  <c r="F124" i="4" s="1"/>
  <c r="E166" i="4"/>
  <c r="D166" i="4"/>
  <c r="F166" i="4" s="1"/>
  <c r="E107" i="4"/>
  <c r="D107" i="4"/>
  <c r="F107" i="4" s="1"/>
  <c r="E128" i="4"/>
  <c r="D128" i="4"/>
  <c r="E134" i="4"/>
  <c r="D134" i="4"/>
  <c r="E140" i="4"/>
  <c r="D140" i="4"/>
  <c r="E146" i="4"/>
  <c r="D146" i="4"/>
  <c r="F146" i="4" s="1"/>
  <c r="E152" i="4"/>
  <c r="D152" i="4"/>
  <c r="F152" i="4" s="1"/>
  <c r="E158" i="4"/>
  <c r="D158" i="4"/>
  <c r="F158" i="4" s="1"/>
  <c r="E164" i="4"/>
  <c r="D164" i="4"/>
  <c r="E170" i="4"/>
  <c r="D170" i="4"/>
  <c r="D378" i="4"/>
  <c r="E378" i="4"/>
  <c r="E273" i="4"/>
  <c r="D273" i="4"/>
  <c r="D70" i="4"/>
  <c r="F70" i="4" s="1"/>
  <c r="D94" i="4"/>
  <c r="F94" i="4" s="1"/>
  <c r="E142" i="4"/>
  <c r="D142" i="4"/>
  <c r="F142" i="4" s="1"/>
  <c r="E184" i="4"/>
  <c r="D184" i="4"/>
  <c r="F301" i="4"/>
  <c r="D36" i="4"/>
  <c r="F36" i="4" s="1"/>
  <c r="D49" i="4"/>
  <c r="F49" i="4" s="1"/>
  <c r="E62" i="4"/>
  <c r="F62" i="4" s="1"/>
  <c r="D69" i="4"/>
  <c r="F69" i="4" s="1"/>
  <c r="D76" i="4"/>
  <c r="F76" i="4" s="1"/>
  <c r="E80" i="4"/>
  <c r="D80" i="4"/>
  <c r="F80" i="4" s="1"/>
  <c r="D84" i="4"/>
  <c r="F84" i="4" s="1"/>
  <c r="D88" i="4"/>
  <c r="F88" i="4" s="1"/>
  <c r="D93" i="4"/>
  <c r="F93" i="4" s="1"/>
  <c r="D97" i="4"/>
  <c r="F97" i="4" s="1"/>
  <c r="D112" i="4"/>
  <c r="F112" i="4" s="1"/>
  <c r="D123" i="4"/>
  <c r="F123" i="4" s="1"/>
  <c r="F254" i="4"/>
  <c r="E299" i="4"/>
  <c r="D299" i="4"/>
  <c r="E321" i="4"/>
  <c r="D321" i="4"/>
  <c r="F321" i="4" s="1"/>
  <c r="D356" i="4"/>
  <c r="F356" i="4" s="1"/>
  <c r="D379" i="4"/>
  <c r="F379" i="4" s="1"/>
  <c r="E379" i="4"/>
  <c r="E113" i="4"/>
  <c r="D113" i="4"/>
  <c r="E329" i="4"/>
  <c r="D329" i="4"/>
  <c r="F329" i="4" s="1"/>
  <c r="F343" i="4"/>
  <c r="F328" i="4"/>
  <c r="F347" i="4"/>
  <c r="D369" i="4"/>
  <c r="E369" i="4"/>
  <c r="D439" i="4"/>
  <c r="E439" i="4"/>
  <c r="E296" i="4"/>
  <c r="D296" i="4"/>
  <c r="E344" i="4"/>
  <c r="D344" i="4"/>
  <c r="F344" i="4" s="1"/>
  <c r="D426" i="4"/>
  <c r="E426" i="4"/>
  <c r="F446" i="4"/>
  <c r="F477" i="4"/>
  <c r="D234" i="4"/>
  <c r="F234" i="4" s="1"/>
  <c r="D247" i="4"/>
  <c r="F247" i="4" s="1"/>
  <c r="E260" i="4"/>
  <c r="F260" i="4" s="1"/>
  <c r="D270" i="4"/>
  <c r="F270" i="4" s="1"/>
  <c r="D283" i="4"/>
  <c r="F283" i="4" s="1"/>
  <c r="D300" i="4"/>
  <c r="F300" i="4" s="1"/>
  <c r="D307" i="4"/>
  <c r="F307" i="4" s="1"/>
  <c r="D353" i="4"/>
  <c r="F353" i="4" s="1"/>
  <c r="E361" i="4"/>
  <c r="F361" i="4" s="1"/>
  <c r="E380" i="4"/>
  <c r="D380" i="4"/>
  <c r="F398" i="4"/>
  <c r="D405" i="4"/>
  <c r="F405" i="4" s="1"/>
  <c r="E405" i="4"/>
  <c r="F419" i="4"/>
  <c r="D427" i="4"/>
  <c r="F427" i="4" s="1"/>
  <c r="E427" i="4"/>
  <c r="D447" i="4"/>
  <c r="E447" i="4"/>
  <c r="E461" i="4"/>
  <c r="D461" i="4"/>
  <c r="F461" i="4" s="1"/>
  <c r="E477" i="4"/>
  <c r="E718" i="4"/>
  <c r="D718" i="4"/>
  <c r="F718" i="4" s="1"/>
  <c r="D193" i="4"/>
  <c r="F193" i="4" s="1"/>
  <c r="D196" i="4"/>
  <c r="F196" i="4" s="1"/>
  <c r="D199" i="4"/>
  <c r="F199" i="4" s="1"/>
  <c r="D202" i="4"/>
  <c r="F202" i="4" s="1"/>
  <c r="D205" i="4"/>
  <c r="F205" i="4" s="1"/>
  <c r="D208" i="4"/>
  <c r="F208" i="4" s="1"/>
  <c r="E221" i="4"/>
  <c r="F221" i="4" s="1"/>
  <c r="D231" i="4"/>
  <c r="F231" i="4" s="1"/>
  <c r="D244" i="4"/>
  <c r="F244" i="4" s="1"/>
  <c r="E257" i="4"/>
  <c r="F257" i="4" s="1"/>
  <c r="D267" i="4"/>
  <c r="F267" i="4" s="1"/>
  <c r="D280" i="4"/>
  <c r="F280" i="4" s="1"/>
  <c r="E293" i="4"/>
  <c r="F293" i="4" s="1"/>
  <c r="D311" i="4"/>
  <c r="F311" i="4" s="1"/>
  <c r="D322" i="4"/>
  <c r="F322" i="4" s="1"/>
  <c r="D326" i="4"/>
  <c r="F326" i="4" s="1"/>
  <c r="D337" i="4"/>
  <c r="F337" i="4" s="1"/>
  <c r="E362" i="4"/>
  <c r="D362" i="4"/>
  <c r="F362" i="4" s="1"/>
  <c r="D371" i="4"/>
  <c r="F371" i="4" s="1"/>
  <c r="D385" i="4"/>
  <c r="F385" i="4" s="1"/>
  <c r="D399" i="4"/>
  <c r="F399" i="4" s="1"/>
  <c r="E399" i="4"/>
  <c r="D406" i="4"/>
  <c r="E406" i="4"/>
  <c r="F441" i="4"/>
  <c r="E218" i="4"/>
  <c r="F218" i="4" s="1"/>
  <c r="D228" i="4"/>
  <c r="F228" i="4" s="1"/>
  <c r="D241" i="4"/>
  <c r="F241" i="4" s="1"/>
  <c r="E254" i="4"/>
  <c r="D264" i="4"/>
  <c r="F264" i="4" s="1"/>
  <c r="D277" i="4"/>
  <c r="F277" i="4" s="1"/>
  <c r="E290" i="4"/>
  <c r="F290" i="4" s="1"/>
  <c r="D297" i="4"/>
  <c r="F297" i="4" s="1"/>
  <c r="D304" i="4"/>
  <c r="F304" i="4" s="1"/>
  <c r="D333" i="4"/>
  <c r="F333" i="4" s="1"/>
  <c r="E345" i="4"/>
  <c r="F345" i="4" s="1"/>
  <c r="D349" i="4"/>
  <c r="F349" i="4" s="1"/>
  <c r="E381" i="4"/>
  <c r="F381" i="4" s="1"/>
  <c r="D413" i="4"/>
  <c r="F413" i="4" s="1"/>
  <c r="F434" i="4"/>
  <c r="E308" i="4"/>
  <c r="D308" i="4"/>
  <c r="F308" i="4" s="1"/>
  <c r="F367" i="4"/>
  <c r="D393" i="4"/>
  <c r="E393" i="4"/>
  <c r="D414" i="4"/>
  <c r="E414" i="4"/>
  <c r="D435" i="4"/>
  <c r="F435" i="4" s="1"/>
  <c r="E435" i="4"/>
  <c r="E449" i="4"/>
  <c r="D449" i="4"/>
  <c r="F319" i="4"/>
  <c r="E334" i="4"/>
  <c r="D334" i="4"/>
  <c r="F334" i="4" s="1"/>
  <c r="D387" i="4"/>
  <c r="F387" i="4" s="1"/>
  <c r="E387" i="4"/>
  <c r="D394" i="4"/>
  <c r="F394" i="4" s="1"/>
  <c r="E394" i="4"/>
  <c r="D415" i="4"/>
  <c r="E415" i="4"/>
  <c r="F450" i="4"/>
  <c r="E563" i="4"/>
  <c r="D563" i="4"/>
  <c r="D176" i="4"/>
  <c r="F176" i="4" s="1"/>
  <c r="D179" i="4"/>
  <c r="F179" i="4" s="1"/>
  <c r="D182" i="4"/>
  <c r="F182" i="4" s="1"/>
  <c r="D185" i="4"/>
  <c r="F185" i="4" s="1"/>
  <c r="D188" i="4"/>
  <c r="F188" i="4" s="1"/>
  <c r="D191" i="4"/>
  <c r="F191" i="4" s="1"/>
  <c r="D194" i="4"/>
  <c r="F194" i="4" s="1"/>
  <c r="D197" i="4"/>
  <c r="F197" i="4" s="1"/>
  <c r="D200" i="4"/>
  <c r="F200" i="4" s="1"/>
  <c r="D203" i="4"/>
  <c r="F203" i="4" s="1"/>
  <c r="D206" i="4"/>
  <c r="F206" i="4" s="1"/>
  <c r="E209" i="4"/>
  <c r="F209" i="4" s="1"/>
  <c r="D219" i="4"/>
  <c r="F219" i="4" s="1"/>
  <c r="D232" i="4"/>
  <c r="F232" i="4" s="1"/>
  <c r="E245" i="4"/>
  <c r="F245" i="4" s="1"/>
  <c r="D255" i="4"/>
  <c r="F255" i="4" s="1"/>
  <c r="D268" i="4"/>
  <c r="F268" i="4" s="1"/>
  <c r="E281" i="4"/>
  <c r="F281" i="4" s="1"/>
  <c r="D291" i="4"/>
  <c r="F291" i="4" s="1"/>
  <c r="E305" i="4"/>
  <c r="D305" i="4"/>
  <c r="F305" i="4" s="1"/>
  <c r="D316" i="4"/>
  <c r="F316" i="4" s="1"/>
  <c r="D327" i="4"/>
  <c r="F327" i="4" s="1"/>
  <c r="D346" i="4"/>
  <c r="F346" i="4" s="1"/>
  <c r="D350" i="4"/>
  <c r="F350" i="4" s="1"/>
  <c r="D401" i="4"/>
  <c r="F401" i="4" s="1"/>
  <c r="F429" i="4"/>
  <c r="F364" i="4"/>
  <c r="F395" i="4"/>
  <c r="D402" i="4"/>
  <c r="E402" i="4"/>
  <c r="F422" i="4"/>
  <c r="F430" i="4"/>
  <c r="E437" i="4"/>
  <c r="D437" i="4"/>
  <c r="D593" i="4"/>
  <c r="F593" i="4" s="1"/>
  <c r="E593" i="4"/>
  <c r="D676" i="4"/>
  <c r="E676" i="4"/>
  <c r="E302" i="4"/>
  <c r="D302" i="4"/>
  <c r="F302" i="4" s="1"/>
  <c r="F313" i="4"/>
  <c r="D351" i="4"/>
  <c r="E351" i="4"/>
  <c r="F383" i="4"/>
  <c r="D403" i="4"/>
  <c r="F403" i="4" s="1"/>
  <c r="E403" i="4"/>
  <c r="D409" i="4"/>
  <c r="F409" i="4" s="1"/>
  <c r="E409" i="4"/>
  <c r="D423" i="4"/>
  <c r="F423" i="4" s="1"/>
  <c r="E423" i="4"/>
  <c r="E506" i="4"/>
  <c r="D506" i="4"/>
  <c r="F556" i="4"/>
  <c r="F421" i="4"/>
  <c r="F433" i="4"/>
  <c r="F445" i="4"/>
  <c r="F457" i="4"/>
  <c r="F469" i="4"/>
  <c r="F478" i="4"/>
  <c r="E497" i="4"/>
  <c r="D497" i="4"/>
  <c r="F497" i="4" s="1"/>
  <c r="E564" i="4"/>
  <c r="D564" i="4"/>
  <c r="F564" i="4" s="1"/>
  <c r="F586" i="4"/>
  <c r="D599" i="4"/>
  <c r="E599" i="4"/>
  <c r="E646" i="4"/>
  <c r="D646" i="4"/>
  <c r="F646" i="4" s="1"/>
  <c r="F697" i="4"/>
  <c r="E421" i="4"/>
  <c r="E429" i="4"/>
  <c r="E433" i="4"/>
  <c r="E441" i="4"/>
  <c r="E498" i="4"/>
  <c r="D498" i="4"/>
  <c r="F498" i="4" s="1"/>
  <c r="E551" i="4"/>
  <c r="D551" i="4"/>
  <c r="F551" i="4" s="1"/>
  <c r="E557" i="4"/>
  <c r="D557" i="4"/>
  <c r="E572" i="4"/>
  <c r="D572" i="4"/>
  <c r="E594" i="4"/>
  <c r="D594" i="4"/>
  <c r="E639" i="4"/>
  <c r="D639" i="4"/>
  <c r="F639" i="4" s="1"/>
  <c r="F474" i="4"/>
  <c r="F488" i="4"/>
  <c r="D493" i="4"/>
  <c r="F493" i="4" s="1"/>
  <c r="D565" i="4"/>
  <c r="F565" i="4" s="1"/>
  <c r="E573" i="4"/>
  <c r="D573" i="4"/>
  <c r="F573" i="4" s="1"/>
  <c r="F608" i="4"/>
  <c r="D691" i="4"/>
  <c r="F691" i="4" s="1"/>
  <c r="E712" i="4"/>
  <c r="F712" i="4" s="1"/>
  <c r="E508" i="4"/>
  <c r="D508" i="4"/>
  <c r="F508" i="4" s="1"/>
  <c r="E513" i="4"/>
  <c r="D513" i="4"/>
  <c r="E539" i="4"/>
  <c r="D539" i="4"/>
  <c r="E545" i="4"/>
  <c r="D545" i="4"/>
  <c r="E552" i="4"/>
  <c r="D552" i="4"/>
  <c r="F552" i="4" s="1"/>
  <c r="D581" i="4"/>
  <c r="E581" i="4"/>
  <c r="E608" i="4"/>
  <c r="E624" i="4"/>
  <c r="D624" i="4"/>
  <c r="F624" i="4" s="1"/>
  <c r="E640" i="4"/>
  <c r="F640" i="4" s="1"/>
  <c r="D655" i="4"/>
  <c r="F655" i="4" s="1"/>
  <c r="F670" i="4"/>
  <c r="D727" i="4"/>
  <c r="F727" i="4" s="1"/>
  <c r="E430" i="4"/>
  <c r="E438" i="4"/>
  <c r="F438" i="4" s="1"/>
  <c r="E442" i="4"/>
  <c r="F442" i="4" s="1"/>
  <c r="E450" i="4"/>
  <c r="E454" i="4"/>
  <c r="F454" i="4" s="1"/>
  <c r="E462" i="4"/>
  <c r="F462" i="4" s="1"/>
  <c r="F475" i="4"/>
  <c r="E484" i="4"/>
  <c r="D484" i="4"/>
  <c r="D489" i="4"/>
  <c r="F489" i="4" s="1"/>
  <c r="E503" i="4"/>
  <c r="F503" i="4" s="1"/>
  <c r="E514" i="4"/>
  <c r="D514" i="4"/>
  <c r="E588" i="4"/>
  <c r="D588" i="4"/>
  <c r="F588" i="4" s="1"/>
  <c r="E609" i="4"/>
  <c r="D609" i="4"/>
  <c r="F609" i="4" s="1"/>
  <c r="E485" i="4"/>
  <c r="D485" i="4"/>
  <c r="F485" i="4" s="1"/>
  <c r="E515" i="4"/>
  <c r="D515" i="4"/>
  <c r="E527" i="4"/>
  <c r="D527" i="4"/>
  <c r="E533" i="4"/>
  <c r="D533" i="4"/>
  <c r="E540" i="4"/>
  <c r="D540" i="4"/>
  <c r="F540" i="4" s="1"/>
  <c r="E610" i="4"/>
  <c r="D610" i="4"/>
  <c r="F610" i="4" s="1"/>
  <c r="D671" i="4"/>
  <c r="E671" i="4"/>
  <c r="F679" i="4"/>
  <c r="D455" i="4"/>
  <c r="F455" i="4" s="1"/>
  <c r="F463" i="4"/>
  <c r="D467" i="4"/>
  <c r="F467" i="4" s="1"/>
  <c r="E480" i="4"/>
  <c r="D480" i="4"/>
  <c r="F480" i="4" s="1"/>
  <c r="D509" i="4"/>
  <c r="F509" i="4" s="1"/>
  <c r="F547" i="4"/>
  <c r="D560" i="4"/>
  <c r="F560" i="4" s="1"/>
  <c r="E568" i="4"/>
  <c r="D568" i="4"/>
  <c r="D583" i="4"/>
  <c r="F583" i="4" s="1"/>
  <c r="D589" i="4"/>
  <c r="F589" i="4" s="1"/>
  <c r="E603" i="4"/>
  <c r="D603" i="4"/>
  <c r="D665" i="4"/>
  <c r="E665" i="4"/>
  <c r="E451" i="4"/>
  <c r="F451" i="4" s="1"/>
  <c r="E459" i="4"/>
  <c r="F459" i="4" s="1"/>
  <c r="E463" i="4"/>
  <c r="E471" i="4"/>
  <c r="F471" i="4" s="1"/>
  <c r="E490" i="4"/>
  <c r="F490" i="4" s="1"/>
  <c r="E516" i="4"/>
  <c r="D516" i="4"/>
  <c r="F516" i="4" s="1"/>
  <c r="E521" i="4"/>
  <c r="F521" i="4" s="1"/>
  <c r="E528" i="4"/>
  <c r="D528" i="4"/>
  <c r="D541" i="4"/>
  <c r="F541" i="4" s="1"/>
  <c r="D619" i="4"/>
  <c r="F619" i="4" s="1"/>
  <c r="F715" i="4"/>
  <c r="F331" i="4"/>
  <c r="F355" i="4"/>
  <c r="F373" i="4"/>
  <c r="F472" i="4"/>
  <c r="D486" i="4"/>
  <c r="F486" i="4" s="1"/>
  <c r="F491" i="4"/>
  <c r="E510" i="4"/>
  <c r="D510" i="4"/>
  <c r="F535" i="4"/>
  <c r="D548" i="4"/>
  <c r="F548" i="4" s="1"/>
  <c r="E577" i="4"/>
  <c r="D577" i="4"/>
  <c r="D604" i="4"/>
  <c r="F604" i="4" s="1"/>
  <c r="F643" i="4"/>
  <c r="F388" i="4"/>
  <c r="F400" i="4"/>
  <c r="F412" i="4"/>
  <c r="F424" i="4"/>
  <c r="F436" i="4"/>
  <c r="F448" i="4"/>
  <c r="F460" i="4"/>
  <c r="F511" i="4"/>
  <c r="F569" i="4"/>
  <c r="E592" i="4"/>
  <c r="D592" i="4"/>
  <c r="F592" i="4" s="1"/>
  <c r="D635" i="4"/>
  <c r="E635" i="4"/>
  <c r="F644" i="4"/>
  <c r="E682" i="4"/>
  <c r="D682" i="4"/>
  <c r="F682" i="4" s="1"/>
  <c r="F614" i="4"/>
  <c r="E645" i="4"/>
  <c r="D645" i="4"/>
  <c r="F650" i="4"/>
  <c r="F686" i="4"/>
  <c r="F722" i="4"/>
  <c r="E525" i="4"/>
  <c r="D525" i="4"/>
  <c r="E537" i="4"/>
  <c r="D537" i="4"/>
  <c r="F537" i="4" s="1"/>
  <c r="E549" i="4"/>
  <c r="D549" i="4"/>
  <c r="F549" i="4" s="1"/>
  <c r="E561" i="4"/>
  <c r="D561" i="4"/>
  <c r="E570" i="4"/>
  <c r="D570" i="4"/>
  <c r="F570" i="4" s="1"/>
  <c r="E579" i="4"/>
  <c r="D579" i="4"/>
  <c r="F584" i="4"/>
  <c r="E615" i="4"/>
  <c r="D615" i="4"/>
  <c r="F615" i="4" s="1"/>
  <c r="F620" i="4"/>
  <c r="F656" i="4"/>
  <c r="F692" i="4"/>
  <c r="E600" i="4"/>
  <c r="D600" i="4"/>
  <c r="E636" i="4"/>
  <c r="D636" i="4"/>
  <c r="F641" i="4"/>
  <c r="F677" i="4"/>
  <c r="F713" i="4"/>
  <c r="D526" i="4"/>
  <c r="F526" i="4" s="1"/>
  <c r="D538" i="4"/>
  <c r="F538" i="4" s="1"/>
  <c r="D550" i="4"/>
  <c r="F550" i="4" s="1"/>
  <c r="D562" i="4"/>
  <c r="F562" i="4" s="1"/>
  <c r="D566" i="4"/>
  <c r="F566" i="4" s="1"/>
  <c r="D571" i="4"/>
  <c r="F571" i="4" s="1"/>
  <c r="D575" i="4"/>
  <c r="F575" i="4" s="1"/>
  <c r="D580" i="4"/>
  <c r="F580" i="4" s="1"/>
  <c r="E585" i="4"/>
  <c r="D585" i="4"/>
  <c r="E605" i="4"/>
  <c r="F605" i="4" s="1"/>
  <c r="D616" i="4"/>
  <c r="F616" i="4" s="1"/>
  <c r="E621" i="4"/>
  <c r="D621" i="4"/>
  <c r="F626" i="4"/>
  <c r="F662" i="4"/>
  <c r="D481" i="4"/>
  <c r="F481" i="4" s="1"/>
  <c r="D494" i="4"/>
  <c r="F494" i="4" s="1"/>
  <c r="D507" i="4"/>
  <c r="F507" i="4" s="1"/>
  <c r="D518" i="4"/>
  <c r="F518" i="4" s="1"/>
  <c r="E522" i="4"/>
  <c r="D522" i="4"/>
  <c r="F522" i="4" s="1"/>
  <c r="D530" i="4"/>
  <c r="F530" i="4" s="1"/>
  <c r="E534" i="4"/>
  <c r="D534" i="4"/>
  <c r="D542" i="4"/>
  <c r="F542" i="4" s="1"/>
  <c r="E546" i="4"/>
  <c r="D546" i="4"/>
  <c r="D554" i="4"/>
  <c r="F554" i="4" s="1"/>
  <c r="E558" i="4"/>
  <c r="D558" i="4"/>
  <c r="F558" i="4" s="1"/>
  <c r="E590" i="4"/>
  <c r="F590" i="4" s="1"/>
  <c r="D601" i="4"/>
  <c r="F601" i="4" s="1"/>
  <c r="E606" i="4"/>
  <c r="D606" i="4"/>
  <c r="F611" i="4"/>
  <c r="E626" i="4"/>
  <c r="D637" i="4"/>
  <c r="F637" i="4" s="1"/>
  <c r="E642" i="4"/>
  <c r="D642" i="4"/>
  <c r="E662" i="4"/>
  <c r="D673" i="4"/>
  <c r="F673" i="4" s="1"/>
  <c r="D709" i="4"/>
  <c r="F709" i="4" s="1"/>
  <c r="D730" i="4"/>
  <c r="F730" i="4" s="1"/>
  <c r="D504" i="4"/>
  <c r="F504" i="4" s="1"/>
  <c r="E567" i="4"/>
  <c r="D567" i="4"/>
  <c r="F567" i="4" s="1"/>
  <c r="E576" i="4"/>
  <c r="D576" i="4"/>
  <c r="E591" i="4"/>
  <c r="D591" i="4"/>
  <c r="F596" i="4"/>
  <c r="E611" i="4"/>
  <c r="D622" i="4"/>
  <c r="F622" i="4" s="1"/>
  <c r="E627" i="4"/>
  <c r="D627" i="4"/>
  <c r="F632" i="4"/>
  <c r="E647" i="4"/>
  <c r="F647" i="4" s="1"/>
  <c r="D658" i="4"/>
  <c r="F658" i="4" s="1"/>
  <c r="D694" i="4"/>
  <c r="F694" i="4" s="1"/>
  <c r="E612" i="4"/>
  <c r="D612" i="4"/>
  <c r="F612" i="4" s="1"/>
  <c r="F617" i="4"/>
  <c r="E519" i="4"/>
  <c r="D519" i="4"/>
  <c r="F519" i="4" s="1"/>
  <c r="E531" i="4"/>
  <c r="D531" i="4"/>
  <c r="E543" i="4"/>
  <c r="D543" i="4"/>
  <c r="E555" i="4"/>
  <c r="D555" i="4"/>
  <c r="E597" i="4"/>
  <c r="D597" i="4"/>
  <c r="F597" i="4" s="1"/>
  <c r="F602" i="4"/>
  <c r="E617" i="4"/>
  <c r="D628" i="4"/>
  <c r="F628" i="4" s="1"/>
  <c r="E633" i="4"/>
  <c r="D633" i="4"/>
  <c r="E653" i="4"/>
  <c r="F653" i="4" s="1"/>
  <c r="D664" i="4"/>
  <c r="F664" i="4" s="1"/>
  <c r="D700" i="4"/>
  <c r="F700" i="4" s="1"/>
  <c r="E582" i="4"/>
  <c r="D582" i="4"/>
  <c r="F587" i="4"/>
  <c r="E618" i="4"/>
  <c r="D618" i="4"/>
  <c r="F623" i="4"/>
  <c r="E638" i="4"/>
  <c r="F638" i="4" s="1"/>
  <c r="F659" i="4"/>
  <c r="F695" i="4"/>
  <c r="D728" i="4"/>
  <c r="F728" i="4" s="1"/>
  <c r="D731" i="4"/>
  <c r="F731" i="4" s="1"/>
  <c r="D648" i="4"/>
  <c r="F648" i="4" s="1"/>
  <c r="D651" i="4"/>
  <c r="F651" i="4" s="1"/>
  <c r="D654" i="4"/>
  <c r="F654" i="4" s="1"/>
  <c r="D657" i="4"/>
  <c r="F657" i="4" s="1"/>
  <c r="D660" i="4"/>
  <c r="F660" i="4" s="1"/>
  <c r="D663" i="4"/>
  <c r="F663" i="4" s="1"/>
  <c r="D666" i="4"/>
  <c r="F666" i="4" s="1"/>
  <c r="D669" i="4"/>
  <c r="F669" i="4" s="1"/>
  <c r="D672" i="4"/>
  <c r="F672" i="4" s="1"/>
  <c r="D675" i="4"/>
  <c r="F675" i="4" s="1"/>
  <c r="D678" i="4"/>
  <c r="F678" i="4" s="1"/>
  <c r="D681" i="4"/>
  <c r="F681" i="4" s="1"/>
  <c r="D684" i="4"/>
  <c r="F684" i="4" s="1"/>
  <c r="D687" i="4"/>
  <c r="F687" i="4" s="1"/>
  <c r="D690" i="4"/>
  <c r="F690" i="4" s="1"/>
  <c r="D693" i="4"/>
  <c r="F693" i="4" s="1"/>
  <c r="D696" i="4"/>
  <c r="F696" i="4" s="1"/>
  <c r="D699" i="4"/>
  <c r="F699" i="4" s="1"/>
  <c r="D702" i="4"/>
  <c r="F702" i="4" s="1"/>
  <c r="D705" i="4"/>
  <c r="F705" i="4" s="1"/>
  <c r="D708" i="4"/>
  <c r="F708" i="4" s="1"/>
  <c r="D711" i="4"/>
  <c r="F711" i="4" s="1"/>
  <c r="D714" i="4"/>
  <c r="F714" i="4" s="1"/>
  <c r="D717" i="4"/>
  <c r="F717" i="4" s="1"/>
  <c r="D720" i="4"/>
  <c r="F720" i="4" s="1"/>
  <c r="D723" i="4"/>
  <c r="F723" i="4" s="1"/>
  <c r="D726" i="4"/>
  <c r="F726" i="4" s="1"/>
  <c r="D729" i="4"/>
  <c r="F729" i="4" s="1"/>
  <c r="D732" i="4"/>
  <c r="F732" i="4" s="1"/>
  <c r="E10" i="3"/>
  <c r="D10" i="3"/>
  <c r="F10" i="3" s="1"/>
  <c r="E16" i="3"/>
  <c r="D16" i="3"/>
  <c r="F16" i="3" s="1"/>
  <c r="E22" i="3"/>
  <c r="D22" i="3"/>
  <c r="F22" i="3" s="1"/>
  <c r="E34" i="3"/>
  <c r="D34" i="3"/>
  <c r="F34" i="3" s="1"/>
  <c r="E40" i="3"/>
  <c r="D40" i="3"/>
  <c r="F40" i="3" s="1"/>
  <c r="E46" i="3"/>
  <c r="D46" i="3"/>
  <c r="F46" i="3" s="1"/>
  <c r="E52" i="3"/>
  <c r="D52" i="3"/>
  <c r="F52" i="3" s="1"/>
  <c r="E67" i="3"/>
  <c r="F67" i="3" s="1"/>
  <c r="E185" i="3"/>
  <c r="D185" i="3"/>
  <c r="F185" i="3" s="1"/>
  <c r="F85" i="3"/>
  <c r="F103" i="3"/>
  <c r="F121" i="3"/>
  <c r="D363" i="3"/>
  <c r="E363" i="3"/>
  <c r="E28" i="3"/>
  <c r="D28" i="3"/>
  <c r="F28" i="3" s="1"/>
  <c r="E58" i="3"/>
  <c r="D58" i="3"/>
  <c r="E110" i="3"/>
  <c r="D110" i="3"/>
  <c r="F110" i="3" s="1"/>
  <c r="D96" i="3"/>
  <c r="F96" i="3" s="1"/>
  <c r="E96" i="3"/>
  <c r="F142" i="3"/>
  <c r="D331" i="3"/>
  <c r="E331" i="3"/>
  <c r="E64" i="3"/>
  <c r="D64" i="3"/>
  <c r="F64" i="3" s="1"/>
  <c r="E175" i="3"/>
  <c r="D175" i="3"/>
  <c r="F175" i="3" s="1"/>
  <c r="E221" i="3"/>
  <c r="D221" i="3"/>
  <c r="F221" i="3" s="1"/>
  <c r="E707" i="3"/>
  <c r="D707" i="3"/>
  <c r="F707" i="3" s="1"/>
  <c r="E13" i="3"/>
  <c r="D13" i="3"/>
  <c r="F13" i="3" s="1"/>
  <c r="E19" i="3"/>
  <c r="D19" i="3"/>
  <c r="F19" i="3" s="1"/>
  <c r="E25" i="3"/>
  <c r="D25" i="3"/>
  <c r="F25" i="3" s="1"/>
  <c r="E31" i="3"/>
  <c r="D31" i="3"/>
  <c r="F31" i="3" s="1"/>
  <c r="E37" i="3"/>
  <c r="D37" i="3"/>
  <c r="F37" i="3" s="1"/>
  <c r="E43" i="3"/>
  <c r="D43" i="3"/>
  <c r="F43" i="3" s="1"/>
  <c r="E49" i="3"/>
  <c r="D49" i="3"/>
  <c r="F49" i="3" s="1"/>
  <c r="D70" i="3"/>
  <c r="F70" i="3" s="1"/>
  <c r="E106" i="3"/>
  <c r="D106" i="3"/>
  <c r="F106" i="3" s="1"/>
  <c r="E160" i="3"/>
  <c r="D160" i="3"/>
  <c r="F160" i="3" s="1"/>
  <c r="F72" i="3"/>
  <c r="E55" i="3"/>
  <c r="D55" i="3"/>
  <c r="F117" i="3"/>
  <c r="D295" i="3"/>
  <c r="E295" i="3"/>
  <c r="F44" i="3"/>
  <c r="E83" i="3"/>
  <c r="D83" i="3"/>
  <c r="F83" i="3" s="1"/>
  <c r="F89" i="3"/>
  <c r="F145" i="3"/>
  <c r="E190" i="3"/>
  <c r="D190" i="3"/>
  <c r="F190" i="3" s="1"/>
  <c r="E4" i="3"/>
  <c r="F4" i="3" s="1"/>
  <c r="E61" i="3"/>
  <c r="D61" i="3"/>
  <c r="F61" i="3" s="1"/>
  <c r="E119" i="3"/>
  <c r="D119" i="3"/>
  <c r="F119" i="3" s="1"/>
  <c r="F125" i="3"/>
  <c r="F131" i="3"/>
  <c r="E210" i="3"/>
  <c r="D210" i="3"/>
  <c r="F210" i="3" s="1"/>
  <c r="D284" i="3"/>
  <c r="E284" i="3"/>
  <c r="E129" i="3"/>
  <c r="D129" i="3"/>
  <c r="F129" i="3" s="1"/>
  <c r="E170" i="3"/>
  <c r="D170" i="3"/>
  <c r="F170" i="3" s="1"/>
  <c r="E211" i="3"/>
  <c r="D211" i="3"/>
  <c r="F211" i="3" s="1"/>
  <c r="E339" i="3"/>
  <c r="D339" i="3"/>
  <c r="F339" i="3" s="1"/>
  <c r="D391" i="3"/>
  <c r="F391" i="3" s="1"/>
  <c r="E391" i="3"/>
  <c r="E495" i="3"/>
  <c r="D495" i="3"/>
  <c r="F495" i="3" s="1"/>
  <c r="D80" i="3"/>
  <c r="F80" i="3" s="1"/>
  <c r="E93" i="3"/>
  <c r="F93" i="3" s="1"/>
  <c r="D133" i="3"/>
  <c r="F133" i="3" s="1"/>
  <c r="D140" i="3"/>
  <c r="F140" i="3" s="1"/>
  <c r="E144" i="3"/>
  <c r="D144" i="3"/>
  <c r="D148" i="3"/>
  <c r="F148" i="3" s="1"/>
  <c r="E156" i="3"/>
  <c r="D156" i="3"/>
  <c r="F156" i="3" s="1"/>
  <c r="F222" i="3"/>
  <c r="F227" i="3"/>
  <c r="D232" i="3"/>
  <c r="F232" i="3" s="1"/>
  <c r="E302" i="3"/>
  <c r="F302" i="3" s="1"/>
  <c r="E392" i="3"/>
  <c r="D392" i="3"/>
  <c r="F491" i="3"/>
  <c r="E191" i="3"/>
  <c r="D191" i="3"/>
  <c r="F191" i="3" s="1"/>
  <c r="E233" i="3"/>
  <c r="D233" i="3"/>
  <c r="F273" i="3"/>
  <c r="D313" i="3"/>
  <c r="E313" i="3"/>
  <c r="E668" i="3"/>
  <c r="D668" i="3"/>
  <c r="F668" i="3" s="1"/>
  <c r="E701" i="3"/>
  <c r="D701" i="3"/>
  <c r="F701" i="3" s="1"/>
  <c r="D74" i="3"/>
  <c r="F74" i="3" s="1"/>
  <c r="E87" i="3"/>
  <c r="F87" i="3" s="1"/>
  <c r="D97" i="3"/>
  <c r="F97" i="3" s="1"/>
  <c r="E123" i="3"/>
  <c r="F123" i="3" s="1"/>
  <c r="D130" i="3"/>
  <c r="F130" i="3" s="1"/>
  <c r="D137" i="3"/>
  <c r="F137" i="3" s="1"/>
  <c r="D161" i="3"/>
  <c r="F161" i="3" s="1"/>
  <c r="D166" i="3"/>
  <c r="F166" i="3" s="1"/>
  <c r="E216" i="3"/>
  <c r="F216" i="3" s="1"/>
  <c r="E223" i="3"/>
  <c r="D223" i="3"/>
  <c r="F239" i="3"/>
  <c r="D255" i="3"/>
  <c r="F255" i="3" s="1"/>
  <c r="E273" i="3"/>
  <c r="F291" i="3"/>
  <c r="E321" i="3"/>
  <c r="D321" i="3"/>
  <c r="E359" i="3"/>
  <c r="D359" i="3"/>
  <c r="F359" i="3" s="1"/>
  <c r="F593" i="3"/>
  <c r="E176" i="3"/>
  <c r="D176" i="3"/>
  <c r="F176" i="3" s="1"/>
  <c r="E141" i="3"/>
  <c r="D141" i="3"/>
  <c r="F141" i="3" s="1"/>
  <c r="E153" i="3"/>
  <c r="D153" i="3"/>
  <c r="F153" i="3" s="1"/>
  <c r="E182" i="3"/>
  <c r="D182" i="3"/>
  <c r="F182" i="3" s="1"/>
  <c r="E291" i="3"/>
  <c r="D104" i="3"/>
  <c r="F104" i="3" s="1"/>
  <c r="E117" i="3"/>
  <c r="D127" i="3"/>
  <c r="F127" i="3" s="1"/>
  <c r="D134" i="3"/>
  <c r="F134" i="3" s="1"/>
  <c r="D149" i="3"/>
  <c r="F149" i="3" s="1"/>
  <c r="E162" i="3"/>
  <c r="D162" i="3"/>
  <c r="E167" i="3"/>
  <c r="D167" i="3"/>
  <c r="F167" i="3" s="1"/>
  <c r="D172" i="3"/>
  <c r="F172" i="3" s="1"/>
  <c r="E197" i="3"/>
  <c r="D197" i="3"/>
  <c r="F197" i="3" s="1"/>
  <c r="F224" i="3"/>
  <c r="F235" i="3"/>
  <c r="D262" i="3"/>
  <c r="E262" i="3"/>
  <c r="E309" i="3"/>
  <c r="F309" i="3" s="1"/>
  <c r="E78" i="3"/>
  <c r="F78" i="3" s="1"/>
  <c r="E138" i="3"/>
  <c r="D138" i="3"/>
  <c r="F138" i="3" s="1"/>
  <c r="E188" i="3"/>
  <c r="D188" i="3"/>
  <c r="F188" i="3" s="1"/>
  <c r="E198" i="3"/>
  <c r="D198" i="3"/>
  <c r="F198" i="3" s="1"/>
  <c r="F203" i="3"/>
  <c r="E246" i="3"/>
  <c r="D246" i="3"/>
  <c r="E263" i="3"/>
  <c r="D263" i="3"/>
  <c r="F269" i="3"/>
  <c r="D280" i="3"/>
  <c r="E280" i="3"/>
  <c r="E575" i="3"/>
  <c r="D575" i="3"/>
  <c r="F575" i="3" s="1"/>
  <c r="E281" i="3"/>
  <c r="D281" i="3"/>
  <c r="F281" i="3" s="1"/>
  <c r="D298" i="3"/>
  <c r="F298" i="3" s="1"/>
  <c r="E298" i="3"/>
  <c r="E544" i="3"/>
  <c r="D544" i="3"/>
  <c r="E173" i="3"/>
  <c r="D173" i="3"/>
  <c r="E72" i="3"/>
  <c r="D82" i="3"/>
  <c r="F82" i="3" s="1"/>
  <c r="D95" i="3"/>
  <c r="F95" i="3" s="1"/>
  <c r="E108" i="3"/>
  <c r="F108" i="3" s="1"/>
  <c r="D118" i="3"/>
  <c r="F118" i="3" s="1"/>
  <c r="E135" i="3"/>
  <c r="D135" i="3"/>
  <c r="F135" i="3" s="1"/>
  <c r="D146" i="3"/>
  <c r="F146" i="3" s="1"/>
  <c r="D163" i="3"/>
  <c r="F163" i="3" s="1"/>
  <c r="D193" i="3"/>
  <c r="F193" i="3" s="1"/>
  <c r="D199" i="3"/>
  <c r="F199" i="3" s="1"/>
  <c r="F204" i="3"/>
  <c r="D219" i="3"/>
  <c r="F219" i="3" s="1"/>
  <c r="E229" i="3"/>
  <c r="F229" i="3" s="1"/>
  <c r="F258" i="3"/>
  <c r="E270" i="3"/>
  <c r="D270" i="3"/>
  <c r="F270" i="3" s="1"/>
  <c r="F276" i="3"/>
  <c r="E299" i="3"/>
  <c r="D299" i="3"/>
  <c r="F305" i="3"/>
  <c r="D367" i="3"/>
  <c r="E367" i="3"/>
  <c r="E150" i="3"/>
  <c r="D150" i="3"/>
  <c r="F150" i="3" s="1"/>
  <c r="E159" i="3"/>
  <c r="D159" i="3"/>
  <c r="F159" i="3" s="1"/>
  <c r="E179" i="3"/>
  <c r="D179" i="3"/>
  <c r="F179" i="3" s="1"/>
  <c r="E288" i="3"/>
  <c r="D288" i="3"/>
  <c r="E368" i="3"/>
  <c r="D368" i="3"/>
  <c r="D403" i="3"/>
  <c r="F403" i="3" s="1"/>
  <c r="E403" i="3"/>
  <c r="E102" i="3"/>
  <c r="F102" i="3" s="1"/>
  <c r="E132" i="3"/>
  <c r="D132" i="3"/>
  <c r="F132" i="3" s="1"/>
  <c r="E147" i="3"/>
  <c r="D147" i="3"/>
  <c r="F147" i="3" s="1"/>
  <c r="E164" i="3"/>
  <c r="D164" i="3"/>
  <c r="F164" i="3" s="1"/>
  <c r="D169" i="3"/>
  <c r="F169" i="3" s="1"/>
  <c r="E194" i="3"/>
  <c r="D194" i="3"/>
  <c r="E252" i="3"/>
  <c r="F252" i="3" s="1"/>
  <c r="D259" i="3"/>
  <c r="E259" i="3"/>
  <c r="F266" i="3"/>
  <c r="D277" i="3"/>
  <c r="F277" i="3" s="1"/>
  <c r="E277" i="3"/>
  <c r="E306" i="3"/>
  <c r="D306" i="3"/>
  <c r="F306" i="3" s="1"/>
  <c r="E317" i="3"/>
  <c r="D317" i="3"/>
  <c r="E335" i="3"/>
  <c r="D335" i="3"/>
  <c r="F349" i="3"/>
  <c r="F439" i="3"/>
  <c r="E474" i="3"/>
  <c r="D474" i="3"/>
  <c r="F474" i="3" s="1"/>
  <c r="F519" i="3"/>
  <c r="F581" i="3"/>
  <c r="E685" i="3"/>
  <c r="D685" i="3"/>
  <c r="F685" i="3" s="1"/>
  <c r="F419" i="3"/>
  <c r="F455" i="3"/>
  <c r="D520" i="3"/>
  <c r="F520" i="3" s="1"/>
  <c r="E520" i="3"/>
  <c r="F533" i="3"/>
  <c r="E539" i="3"/>
  <c r="D539" i="3"/>
  <c r="F539" i="3" s="1"/>
  <c r="F569" i="3"/>
  <c r="E669" i="3"/>
  <c r="D669" i="3"/>
  <c r="D207" i="3"/>
  <c r="F207" i="3" s="1"/>
  <c r="D220" i="3"/>
  <c r="F220" i="3" s="1"/>
  <c r="D230" i="3"/>
  <c r="F230" i="3" s="1"/>
  <c r="D243" i="3"/>
  <c r="F243" i="3" s="1"/>
  <c r="D256" i="3"/>
  <c r="F256" i="3" s="1"/>
  <c r="F274" i="3"/>
  <c r="F292" i="3"/>
  <c r="F310" i="3"/>
  <c r="D327" i="3"/>
  <c r="F327" i="3" s="1"/>
  <c r="D345" i="3"/>
  <c r="F345" i="3" s="1"/>
  <c r="E364" i="3"/>
  <c r="F364" i="3" s="1"/>
  <c r="F369" i="3"/>
  <c r="F388" i="3"/>
  <c r="D435" i="3"/>
  <c r="F435" i="3" s="1"/>
  <c r="E487" i="3"/>
  <c r="D487" i="3"/>
  <c r="F504" i="3"/>
  <c r="E533" i="3"/>
  <c r="D563" i="3"/>
  <c r="F563" i="3" s="1"/>
  <c r="E654" i="3"/>
  <c r="D654" i="3"/>
  <c r="F654" i="3" s="1"/>
  <c r="F451" i="3"/>
  <c r="F510" i="3"/>
  <c r="E634" i="3"/>
  <c r="D634" i="3"/>
  <c r="F634" i="3" s="1"/>
  <c r="E678" i="3"/>
  <c r="D678" i="3"/>
  <c r="F250" i="3"/>
  <c r="F271" i="3"/>
  <c r="D323" i="3"/>
  <c r="F323" i="3" s="1"/>
  <c r="E328" i="3"/>
  <c r="D328" i="3"/>
  <c r="F328" i="3" s="1"/>
  <c r="D341" i="3"/>
  <c r="F341" i="3" s="1"/>
  <c r="E346" i="3"/>
  <c r="D346" i="3"/>
  <c r="F346" i="3" s="1"/>
  <c r="D351" i="3"/>
  <c r="F351" i="3" s="1"/>
  <c r="E355" i="3"/>
  <c r="F355" i="3" s="1"/>
  <c r="D399" i="3"/>
  <c r="F399" i="3" s="1"/>
  <c r="E505" i="3"/>
  <c r="D505" i="3"/>
  <c r="F505" i="3" s="1"/>
  <c r="E510" i="3"/>
  <c r="D534" i="3"/>
  <c r="F534" i="3" s="1"/>
  <c r="F655" i="3"/>
  <c r="D234" i="3"/>
  <c r="F234" i="3" s="1"/>
  <c r="D247" i="3"/>
  <c r="F247" i="3" s="1"/>
  <c r="D257" i="3"/>
  <c r="F257" i="3" s="1"/>
  <c r="D264" i="3"/>
  <c r="F264" i="3" s="1"/>
  <c r="E271" i="3"/>
  <c r="D275" i="3"/>
  <c r="F275" i="3" s="1"/>
  <c r="D282" i="3"/>
  <c r="F282" i="3" s="1"/>
  <c r="E289" i="3"/>
  <c r="F289" i="3" s="1"/>
  <c r="D293" i="3"/>
  <c r="F293" i="3" s="1"/>
  <c r="D300" i="3"/>
  <c r="F300" i="3" s="1"/>
  <c r="E307" i="3"/>
  <c r="F307" i="3" s="1"/>
  <c r="D315" i="3"/>
  <c r="F315" i="3" s="1"/>
  <c r="D319" i="3"/>
  <c r="F319" i="3" s="1"/>
  <c r="D333" i="3"/>
  <c r="F333" i="3" s="1"/>
  <c r="D337" i="3"/>
  <c r="F337" i="3" s="1"/>
  <c r="F379" i="3"/>
  <c r="F431" i="3"/>
  <c r="D477" i="3"/>
  <c r="F477" i="3" s="1"/>
  <c r="D500" i="3"/>
  <c r="F500" i="3" s="1"/>
  <c r="E628" i="3"/>
  <c r="F628" i="3" s="1"/>
  <c r="F641" i="3"/>
  <c r="D165" i="3"/>
  <c r="F165" i="3" s="1"/>
  <c r="D168" i="3"/>
  <c r="F168" i="3" s="1"/>
  <c r="D171" i="3"/>
  <c r="F171" i="3" s="1"/>
  <c r="D174" i="3"/>
  <c r="F174" i="3" s="1"/>
  <c r="D177" i="3"/>
  <c r="F177" i="3" s="1"/>
  <c r="D180" i="3"/>
  <c r="F180" i="3" s="1"/>
  <c r="D183" i="3"/>
  <c r="F183" i="3" s="1"/>
  <c r="D186" i="3"/>
  <c r="F186" i="3" s="1"/>
  <c r="D218" i="3"/>
  <c r="F218" i="3" s="1"/>
  <c r="D231" i="3"/>
  <c r="F231" i="3" s="1"/>
  <c r="D244" i="3"/>
  <c r="F244" i="3" s="1"/>
  <c r="D254" i="3"/>
  <c r="F254" i="3" s="1"/>
  <c r="F268" i="3"/>
  <c r="F286" i="3"/>
  <c r="F304" i="3"/>
  <c r="E324" i="3"/>
  <c r="F324" i="3" s="1"/>
  <c r="E342" i="3"/>
  <c r="F342" i="3" s="1"/>
  <c r="D356" i="3"/>
  <c r="F356" i="3" s="1"/>
  <c r="F361" i="3"/>
  <c r="D375" i="3"/>
  <c r="F375" i="3" s="1"/>
  <c r="E379" i="3"/>
  <c r="D411" i="3"/>
  <c r="F411" i="3" s="1"/>
  <c r="D447" i="3"/>
  <c r="F447" i="3" s="1"/>
  <c r="F553" i="3"/>
  <c r="E616" i="3"/>
  <c r="F616" i="3" s="1"/>
  <c r="F205" i="3"/>
  <c r="F241" i="3"/>
  <c r="F357" i="3"/>
  <c r="F385" i="3"/>
  <c r="F427" i="3"/>
  <c r="F490" i="3"/>
  <c r="F592" i="3"/>
  <c r="E604" i="3"/>
  <c r="F604" i="3" s="1"/>
  <c r="F238" i="3"/>
  <c r="F265" i="3"/>
  <c r="F283" i="3"/>
  <c r="F301" i="3"/>
  <c r="E320" i="3"/>
  <c r="D320" i="3"/>
  <c r="F320" i="3" s="1"/>
  <c r="E338" i="3"/>
  <c r="D338" i="3"/>
  <c r="F338" i="3" s="1"/>
  <c r="D463" i="3"/>
  <c r="E463" i="3"/>
  <c r="F524" i="3"/>
  <c r="E549" i="3"/>
  <c r="D549" i="3"/>
  <c r="F580" i="3"/>
  <c r="E564" i="3"/>
  <c r="D564" i="3"/>
  <c r="F564" i="3" s="1"/>
  <c r="E636" i="3"/>
  <c r="D636" i="3"/>
  <c r="F636" i="3" s="1"/>
  <c r="E643" i="3"/>
  <c r="D643" i="3"/>
  <c r="F643" i="3" s="1"/>
  <c r="E663" i="3"/>
  <c r="D663" i="3"/>
  <c r="F663" i="3" s="1"/>
  <c r="E482" i="3"/>
  <c r="D482" i="3"/>
  <c r="F511" i="3"/>
  <c r="E554" i="3"/>
  <c r="D554" i="3"/>
  <c r="F554" i="3" s="1"/>
  <c r="E576" i="3"/>
  <c r="D576" i="3"/>
  <c r="F576" i="3" s="1"/>
  <c r="E679" i="3"/>
  <c r="F679" i="3" s="1"/>
  <c r="E400" i="3"/>
  <c r="F400" i="3" s="1"/>
  <c r="D404" i="3"/>
  <c r="F404" i="3" s="1"/>
  <c r="E588" i="3"/>
  <c r="D588" i="3"/>
  <c r="E600" i="3"/>
  <c r="D600" i="3"/>
  <c r="F600" i="3" s="1"/>
  <c r="E612" i="3"/>
  <c r="D612" i="3"/>
  <c r="E624" i="3"/>
  <c r="D624" i="3"/>
  <c r="E695" i="3"/>
  <c r="D695" i="3"/>
  <c r="E497" i="3"/>
  <c r="F497" i="3" s="1"/>
  <c r="D536" i="3"/>
  <c r="F536" i="3" s="1"/>
  <c r="E540" i="3"/>
  <c r="F540" i="3" s="1"/>
  <c r="E638" i="3"/>
  <c r="D638" i="3"/>
  <c r="F638" i="3" s="1"/>
  <c r="E475" i="3"/>
  <c r="F475" i="3" s="1"/>
  <c r="F507" i="3"/>
  <c r="E527" i="3"/>
  <c r="F527" i="3" s="1"/>
  <c r="E531" i="3"/>
  <c r="D531" i="3"/>
  <c r="E541" i="3"/>
  <c r="D541" i="3"/>
  <c r="F546" i="3"/>
  <c r="F560" i="3"/>
  <c r="F589" i="3"/>
  <c r="F601" i="3"/>
  <c r="F613" i="3"/>
  <c r="F625" i="3"/>
  <c r="E645" i="3"/>
  <c r="D645" i="3"/>
  <c r="F673" i="3"/>
  <c r="F484" i="3"/>
  <c r="E561" i="3"/>
  <c r="D561" i="3"/>
  <c r="E713" i="3"/>
  <c r="D713" i="3"/>
  <c r="F713" i="3" s="1"/>
  <c r="D465" i="3"/>
  <c r="F465" i="3" s="1"/>
  <c r="E472" i="3"/>
  <c r="F472" i="3" s="1"/>
  <c r="E484" i="3"/>
  <c r="D503" i="3"/>
  <c r="F503" i="3" s="1"/>
  <c r="D508" i="3"/>
  <c r="F508" i="3" s="1"/>
  <c r="D513" i="3"/>
  <c r="F513" i="3" s="1"/>
  <c r="D523" i="3"/>
  <c r="F523" i="3" s="1"/>
  <c r="E567" i="3"/>
  <c r="D567" i="3"/>
  <c r="F567" i="3" s="1"/>
  <c r="E573" i="3"/>
  <c r="D573" i="3"/>
  <c r="F573" i="3" s="1"/>
  <c r="F620" i="3"/>
  <c r="F632" i="3"/>
  <c r="F646" i="3"/>
  <c r="F659" i="3"/>
  <c r="E674" i="3"/>
  <c r="D674" i="3"/>
  <c r="F674" i="3" s="1"/>
  <c r="E518" i="3"/>
  <c r="D518" i="3"/>
  <c r="F518" i="3" s="1"/>
  <c r="F547" i="3"/>
  <c r="F568" i="3"/>
  <c r="E579" i="3"/>
  <c r="D579" i="3"/>
  <c r="F579" i="3" s="1"/>
  <c r="E585" i="3"/>
  <c r="D585" i="3"/>
  <c r="F585" i="3" s="1"/>
  <c r="E591" i="3"/>
  <c r="D591" i="3"/>
  <c r="F591" i="3" s="1"/>
  <c r="E597" i="3"/>
  <c r="D597" i="3"/>
  <c r="F597" i="3" s="1"/>
  <c r="E603" i="3"/>
  <c r="D603" i="3"/>
  <c r="F603" i="3" s="1"/>
  <c r="E609" i="3"/>
  <c r="D609" i="3"/>
  <c r="F609" i="3" s="1"/>
  <c r="E615" i="3"/>
  <c r="D615" i="3"/>
  <c r="F615" i="3" s="1"/>
  <c r="E621" i="3"/>
  <c r="D621" i="3"/>
  <c r="F621" i="3" s="1"/>
  <c r="E627" i="3"/>
  <c r="D627" i="3"/>
  <c r="F627" i="3" s="1"/>
  <c r="D683" i="3"/>
  <c r="F683" i="3" s="1"/>
  <c r="F635" i="3"/>
  <c r="F644" i="3"/>
  <c r="F653" i="3"/>
  <c r="F662" i="3"/>
  <c r="E684" i="3"/>
  <c r="D684" i="3"/>
  <c r="E719" i="3"/>
  <c r="D719" i="3"/>
  <c r="F719" i="3" s="1"/>
  <c r="E690" i="3"/>
  <c r="D690" i="3"/>
  <c r="E696" i="3"/>
  <c r="D696" i="3"/>
  <c r="F696" i="3" s="1"/>
  <c r="E702" i="3"/>
  <c r="D702" i="3"/>
  <c r="E633" i="3"/>
  <c r="D633" i="3"/>
  <c r="F633" i="3" s="1"/>
  <c r="E642" i="3"/>
  <c r="D642" i="3"/>
  <c r="E651" i="3"/>
  <c r="D651" i="3"/>
  <c r="F651" i="3" s="1"/>
  <c r="E660" i="3"/>
  <c r="D660" i="3"/>
  <c r="E675" i="3"/>
  <c r="D675" i="3"/>
  <c r="F675" i="3" s="1"/>
  <c r="F721" i="3"/>
  <c r="D647" i="3"/>
  <c r="F647" i="3" s="1"/>
  <c r="D652" i="3"/>
  <c r="F652" i="3" s="1"/>
  <c r="D656" i="3"/>
  <c r="F656" i="3" s="1"/>
  <c r="D661" i="3"/>
  <c r="F661" i="3" s="1"/>
  <c r="D665" i="3"/>
  <c r="F665" i="3" s="1"/>
  <c r="D676" i="3"/>
  <c r="F676" i="3" s="1"/>
  <c r="E681" i="3"/>
  <c r="D681" i="3"/>
  <c r="F681" i="3" s="1"/>
  <c r="E722" i="3"/>
  <c r="D722" i="3"/>
  <c r="F722" i="3" s="1"/>
  <c r="E666" i="3"/>
  <c r="D666" i="3"/>
  <c r="F666" i="3" s="1"/>
  <c r="D686" i="3"/>
  <c r="F686" i="3" s="1"/>
  <c r="D730" i="3"/>
  <c r="F730" i="3" s="1"/>
  <c r="D489" i="3"/>
  <c r="F489" i="3" s="1"/>
  <c r="D499" i="3"/>
  <c r="F499" i="3" s="1"/>
  <c r="D512" i="3"/>
  <c r="F512" i="3" s="1"/>
  <c r="D525" i="3"/>
  <c r="F525" i="3" s="1"/>
  <c r="D535" i="3"/>
  <c r="F535" i="3" s="1"/>
  <c r="D548" i="3"/>
  <c r="F548" i="3" s="1"/>
  <c r="D558" i="3"/>
  <c r="F558" i="3" s="1"/>
  <c r="D566" i="3"/>
  <c r="F566" i="3" s="1"/>
  <c r="E570" i="3"/>
  <c r="D570" i="3"/>
  <c r="F570" i="3" s="1"/>
  <c r="D578" i="3"/>
  <c r="F578" i="3" s="1"/>
  <c r="E582" i="3"/>
  <c r="D582" i="3"/>
  <c r="F582" i="3" s="1"/>
  <c r="D590" i="3"/>
  <c r="F590" i="3" s="1"/>
  <c r="E594" i="3"/>
  <c r="D594" i="3"/>
  <c r="F594" i="3" s="1"/>
  <c r="D602" i="3"/>
  <c r="F602" i="3" s="1"/>
  <c r="E606" i="3"/>
  <c r="D606" i="3"/>
  <c r="D614" i="3"/>
  <c r="F614" i="3" s="1"/>
  <c r="E618" i="3"/>
  <c r="D618" i="3"/>
  <c r="F618" i="3" s="1"/>
  <c r="D626" i="3"/>
  <c r="F626" i="3" s="1"/>
  <c r="E630" i="3"/>
  <c r="D630" i="3"/>
  <c r="F630" i="3" s="1"/>
  <c r="E639" i="3"/>
  <c r="D639" i="3"/>
  <c r="E648" i="3"/>
  <c r="D648" i="3"/>
  <c r="F648" i="3" s="1"/>
  <c r="E657" i="3"/>
  <c r="D657" i="3"/>
  <c r="D671" i="3"/>
  <c r="F671" i="3" s="1"/>
  <c r="D682" i="3"/>
  <c r="F682" i="3" s="1"/>
  <c r="E687" i="3"/>
  <c r="D687" i="3"/>
  <c r="E692" i="3"/>
  <c r="D692" i="3"/>
  <c r="F692" i="3" s="1"/>
  <c r="E698" i="3"/>
  <c r="D698" i="3"/>
  <c r="E704" i="3"/>
  <c r="D704" i="3"/>
  <c r="F704" i="3" s="1"/>
  <c r="E710" i="3"/>
  <c r="D710" i="3"/>
  <c r="E716" i="3"/>
  <c r="D716" i="3"/>
  <c r="F716" i="3" s="1"/>
  <c r="E672" i="3"/>
  <c r="D672" i="3"/>
  <c r="E693" i="3"/>
  <c r="D693" i="3"/>
  <c r="F693" i="3" s="1"/>
  <c r="E699" i="3"/>
  <c r="D699" i="3"/>
  <c r="E705" i="3"/>
  <c r="D705" i="3"/>
  <c r="F705" i="3" s="1"/>
  <c r="D725" i="3"/>
  <c r="F725" i="3" s="1"/>
  <c r="D728" i="3"/>
  <c r="F728" i="3" s="1"/>
  <c r="D731" i="3"/>
  <c r="F731" i="3" s="1"/>
  <c r="D708" i="3"/>
  <c r="F708" i="3" s="1"/>
  <c r="D711" i="3"/>
  <c r="F711" i="3" s="1"/>
  <c r="D714" i="3"/>
  <c r="F714" i="3" s="1"/>
  <c r="D717" i="3"/>
  <c r="F717" i="3" s="1"/>
  <c r="D720" i="3"/>
  <c r="F720" i="3" s="1"/>
  <c r="D723" i="3"/>
  <c r="F723" i="3" s="1"/>
  <c r="D726" i="3"/>
  <c r="F726" i="3" s="1"/>
  <c r="D729" i="3"/>
  <c r="F729" i="3" s="1"/>
  <c r="D732" i="3"/>
  <c r="F732" i="3" s="1"/>
  <c r="E76" i="2"/>
  <c r="D76" i="2"/>
  <c r="F76" i="2" s="1"/>
  <c r="E22" i="2"/>
  <c r="D22" i="2"/>
  <c r="F22" i="2" s="1"/>
  <c r="F27" i="2"/>
  <c r="E58" i="2"/>
  <c r="D58" i="2"/>
  <c r="F58" i="2" s="1"/>
  <c r="F63" i="2"/>
  <c r="F99" i="2"/>
  <c r="F135" i="2"/>
  <c r="F171" i="2"/>
  <c r="F177" i="2"/>
  <c r="E279" i="2"/>
  <c r="D279" i="2"/>
  <c r="F279" i="2" s="1"/>
  <c r="F335" i="2"/>
  <c r="E48" i="2"/>
  <c r="E485" i="2"/>
  <c r="D485" i="2"/>
  <c r="E13" i="2"/>
  <c r="D13" i="2"/>
  <c r="F13" i="2" s="1"/>
  <c r="F18" i="2"/>
  <c r="E33" i="2"/>
  <c r="F33" i="2" s="1"/>
  <c r="E49" i="2"/>
  <c r="D49" i="2"/>
  <c r="F49" i="2" s="1"/>
  <c r="F54" i="2"/>
  <c r="E69" i="2"/>
  <c r="E85" i="2"/>
  <c r="D85" i="2"/>
  <c r="F85" i="2" s="1"/>
  <c r="F90" i="2"/>
  <c r="E105" i="2"/>
  <c r="F105" i="2" s="1"/>
  <c r="F126" i="2"/>
  <c r="E141" i="2"/>
  <c r="F162" i="2"/>
  <c r="E194" i="2"/>
  <c r="F194" i="2" s="1"/>
  <c r="E220" i="2"/>
  <c r="D259" i="2"/>
  <c r="F259" i="2" s="1"/>
  <c r="E293" i="2"/>
  <c r="D293" i="2"/>
  <c r="F293" i="2" s="1"/>
  <c r="F343" i="2"/>
  <c r="E4" i="2"/>
  <c r="D4" i="2"/>
  <c r="F4" i="2" s="1"/>
  <c r="D210" i="2"/>
  <c r="F210" i="2" s="1"/>
  <c r="E34" i="2"/>
  <c r="D34" i="2"/>
  <c r="F34" i="2" s="1"/>
  <c r="E70" i="2"/>
  <c r="D70" i="2"/>
  <c r="F70" i="2" s="1"/>
  <c r="F147" i="2"/>
  <c r="E201" i="2"/>
  <c r="D201" i="2"/>
  <c r="F201" i="2" s="1"/>
  <c r="E300" i="2"/>
  <c r="D300" i="2"/>
  <c r="F300" i="2" s="1"/>
  <c r="F69" i="2"/>
  <c r="F220" i="2"/>
  <c r="E19" i="2"/>
  <c r="D19" i="2"/>
  <c r="F19" i="2" s="1"/>
  <c r="F24" i="2"/>
  <c r="E39" i="2"/>
  <c r="F39" i="2" s="1"/>
  <c r="E55" i="2"/>
  <c r="D55" i="2"/>
  <c r="F55" i="2" s="1"/>
  <c r="F60" i="2"/>
  <c r="E75" i="2"/>
  <c r="F75" i="2" s="1"/>
  <c r="F96" i="2"/>
  <c r="E111" i="2"/>
  <c r="F111" i="2" s="1"/>
  <c r="F132" i="2"/>
  <c r="E147" i="2"/>
  <c r="F168" i="2"/>
  <c r="D174" i="2"/>
  <c r="F174" i="2" s="1"/>
  <c r="F184" i="2"/>
  <c r="F272" i="2"/>
  <c r="F319" i="2"/>
  <c r="E43" i="2"/>
  <c r="D43" i="2"/>
  <c r="E64" i="2"/>
  <c r="D64" i="2"/>
  <c r="F141" i="2"/>
  <c r="F117" i="2"/>
  <c r="E10" i="2"/>
  <c r="D10" i="2"/>
  <c r="F10" i="2" s="1"/>
  <c r="E25" i="2"/>
  <c r="D25" i="2"/>
  <c r="F25" i="2" s="1"/>
  <c r="E45" i="2"/>
  <c r="F45" i="2" s="1"/>
  <c r="E61" i="2"/>
  <c r="D61" i="2"/>
  <c r="F102" i="2"/>
  <c r="E117" i="2"/>
  <c r="F138" i="2"/>
  <c r="E153" i="2"/>
  <c r="D223" i="2"/>
  <c r="F223" i="2" s="1"/>
  <c r="E243" i="2"/>
  <c r="F243" i="2" s="1"/>
  <c r="E266" i="2"/>
  <c r="D266" i="2"/>
  <c r="F266" i="2" s="1"/>
  <c r="F48" i="2"/>
  <c r="E100" i="2"/>
  <c r="D100" i="2"/>
  <c r="E120" i="2"/>
  <c r="F120" i="2" s="1"/>
  <c r="E156" i="2"/>
  <c r="F156" i="2" s="1"/>
  <c r="E40" i="2"/>
  <c r="D40" i="2"/>
  <c r="F40" i="2" s="1"/>
  <c r="D6" i="2"/>
  <c r="F6" i="2" s="1"/>
  <c r="E81" i="2"/>
  <c r="F15" i="2"/>
  <c r="E30" i="2"/>
  <c r="F30" i="2" s="1"/>
  <c r="E46" i="2"/>
  <c r="D46" i="2"/>
  <c r="F46" i="2" s="1"/>
  <c r="F51" i="2"/>
  <c r="E66" i="2"/>
  <c r="F66" i="2" s="1"/>
  <c r="E82" i="2"/>
  <c r="D82" i="2"/>
  <c r="F82" i="2" s="1"/>
  <c r="F87" i="2"/>
  <c r="E102" i="2"/>
  <c r="F123" i="2"/>
  <c r="E138" i="2"/>
  <c r="F159" i="2"/>
  <c r="E224" i="2"/>
  <c r="D224" i="2"/>
  <c r="E250" i="2"/>
  <c r="D250" i="2"/>
  <c r="D289" i="2"/>
  <c r="F289" i="2" s="1"/>
  <c r="E468" i="2"/>
  <c r="D468" i="2"/>
  <c r="F468" i="2" s="1"/>
  <c r="E79" i="2"/>
  <c r="D79" i="2"/>
  <c r="F81" i="2"/>
  <c r="E31" i="2"/>
  <c r="D31" i="2"/>
  <c r="F31" i="2" s="1"/>
  <c r="F36" i="2"/>
  <c r="E67" i="2"/>
  <c r="D67" i="2"/>
  <c r="F72" i="2"/>
  <c r="F108" i="2"/>
  <c r="F144" i="2"/>
  <c r="E237" i="2"/>
  <c r="D237" i="2"/>
  <c r="F237" i="2" s="1"/>
  <c r="D3" i="2"/>
  <c r="F3" i="2" s="1"/>
  <c r="E7" i="2"/>
  <c r="D7" i="2"/>
  <c r="E16" i="2"/>
  <c r="D16" i="2"/>
  <c r="E52" i="2"/>
  <c r="D52" i="2"/>
  <c r="F52" i="2" s="1"/>
  <c r="F57" i="2"/>
  <c r="E72" i="2"/>
  <c r="E88" i="2"/>
  <c r="D88" i="2"/>
  <c r="E108" i="2"/>
  <c r="E124" i="2"/>
  <c r="D124" i="2"/>
  <c r="F124" i="2" s="1"/>
  <c r="F129" i="2"/>
  <c r="E144" i="2"/>
  <c r="F165" i="2"/>
  <c r="D187" i="2"/>
  <c r="F187" i="2" s="1"/>
  <c r="E207" i="2"/>
  <c r="F207" i="2" s="1"/>
  <c r="F359" i="2"/>
  <c r="E498" i="2"/>
  <c r="D498" i="2"/>
  <c r="E28" i="2"/>
  <c r="D28" i="2"/>
  <c r="F28" i="2" s="1"/>
  <c r="E84" i="2"/>
  <c r="F84" i="2" s="1"/>
  <c r="E178" i="2"/>
  <c r="D178" i="2"/>
  <c r="F153" i="2"/>
  <c r="E21" i="2"/>
  <c r="F21" i="2" s="1"/>
  <c r="E37" i="2"/>
  <c r="D37" i="2"/>
  <c r="F37" i="2" s="1"/>
  <c r="F42" i="2"/>
  <c r="E57" i="2"/>
  <c r="E73" i="2"/>
  <c r="D73" i="2"/>
  <c r="F73" i="2" s="1"/>
  <c r="F78" i="2"/>
  <c r="E93" i="2"/>
  <c r="F93" i="2" s="1"/>
  <c r="F114" i="2"/>
  <c r="F150" i="2"/>
  <c r="E188" i="2"/>
  <c r="D188" i="2"/>
  <c r="F188" i="2" s="1"/>
  <c r="E214" i="2"/>
  <c r="D214" i="2"/>
  <c r="F214" i="2" s="1"/>
  <c r="F230" i="2"/>
  <c r="F236" i="2"/>
  <c r="E256" i="2"/>
  <c r="D256" i="2"/>
  <c r="F256" i="2" s="1"/>
  <c r="F347" i="2"/>
  <c r="F371" i="2"/>
  <c r="F379" i="2"/>
  <c r="F383" i="2"/>
  <c r="F391" i="2"/>
  <c r="F395" i="2"/>
  <c r="F403" i="2"/>
  <c r="F407" i="2"/>
  <c r="F415" i="2"/>
  <c r="F419" i="2"/>
  <c r="F427" i="2"/>
  <c r="F431" i="2"/>
  <c r="F439" i="2"/>
  <c r="F443" i="2"/>
  <c r="F451" i="2"/>
  <c r="F455" i="2"/>
  <c r="E497" i="2"/>
  <c r="D497" i="2"/>
  <c r="F497" i="2" s="1"/>
  <c r="F436" i="2"/>
  <c r="D444" i="2"/>
  <c r="F444" i="2" s="1"/>
  <c r="F448" i="2"/>
  <c r="D456" i="2"/>
  <c r="F456" i="2" s="1"/>
  <c r="E524" i="2"/>
  <c r="D524" i="2"/>
  <c r="F524" i="2" s="1"/>
  <c r="D260" i="2"/>
  <c r="F260" i="2" s="1"/>
  <c r="D273" i="2"/>
  <c r="F273" i="2" s="1"/>
  <c r="D290" i="2"/>
  <c r="F290" i="2" s="1"/>
  <c r="D297" i="2"/>
  <c r="F297" i="2" s="1"/>
  <c r="D175" i="2"/>
  <c r="F175" i="2" s="1"/>
  <c r="D185" i="2"/>
  <c r="F185" i="2" s="1"/>
  <c r="D198" i="2"/>
  <c r="F198" i="2" s="1"/>
  <c r="D211" i="2"/>
  <c r="F211" i="2" s="1"/>
  <c r="D221" i="2"/>
  <c r="F221" i="2" s="1"/>
  <c r="D234" i="2"/>
  <c r="F234" i="2" s="1"/>
  <c r="D247" i="2"/>
  <c r="F247" i="2" s="1"/>
  <c r="D257" i="2"/>
  <c r="F257" i="2" s="1"/>
  <c r="D270" i="2"/>
  <c r="F270" i="2" s="1"/>
  <c r="D283" i="2"/>
  <c r="F283" i="2" s="1"/>
  <c r="D301" i="2"/>
  <c r="F301" i="2" s="1"/>
  <c r="D465" i="2"/>
  <c r="F465" i="2" s="1"/>
  <c r="D477" i="2"/>
  <c r="F477" i="2" s="1"/>
  <c r="F481" i="2"/>
  <c r="E506" i="2"/>
  <c r="D506" i="2"/>
  <c r="F506" i="2" s="1"/>
  <c r="E542" i="2"/>
  <c r="D542" i="2"/>
  <c r="F542" i="2" s="1"/>
  <c r="D91" i="2"/>
  <c r="F91" i="2" s="1"/>
  <c r="D94" i="2"/>
  <c r="F94" i="2" s="1"/>
  <c r="D97" i="2"/>
  <c r="F97" i="2" s="1"/>
  <c r="D103" i="2"/>
  <c r="F103" i="2" s="1"/>
  <c r="D106" i="2"/>
  <c r="F106" i="2" s="1"/>
  <c r="D109" i="2"/>
  <c r="F109" i="2" s="1"/>
  <c r="D112" i="2"/>
  <c r="F112" i="2" s="1"/>
  <c r="D115" i="2"/>
  <c r="F115" i="2" s="1"/>
  <c r="D118" i="2"/>
  <c r="F118" i="2" s="1"/>
  <c r="D121" i="2"/>
  <c r="F121" i="2" s="1"/>
  <c r="D127" i="2"/>
  <c r="F127" i="2" s="1"/>
  <c r="D130" i="2"/>
  <c r="F130" i="2" s="1"/>
  <c r="D133" i="2"/>
  <c r="F133" i="2" s="1"/>
  <c r="D136" i="2"/>
  <c r="F136" i="2" s="1"/>
  <c r="D139" i="2"/>
  <c r="F139" i="2" s="1"/>
  <c r="D142" i="2"/>
  <c r="F142" i="2" s="1"/>
  <c r="D145" i="2"/>
  <c r="F145" i="2" s="1"/>
  <c r="D148" i="2"/>
  <c r="F148" i="2" s="1"/>
  <c r="D151" i="2"/>
  <c r="F151" i="2" s="1"/>
  <c r="D154" i="2"/>
  <c r="F154" i="2" s="1"/>
  <c r="D157" i="2"/>
  <c r="F157" i="2" s="1"/>
  <c r="D160" i="2"/>
  <c r="F160" i="2" s="1"/>
  <c r="D163" i="2"/>
  <c r="F163" i="2" s="1"/>
  <c r="D166" i="2"/>
  <c r="F166" i="2" s="1"/>
  <c r="D169" i="2"/>
  <c r="F169" i="2" s="1"/>
  <c r="D172" i="2"/>
  <c r="F172" i="2" s="1"/>
  <c r="D182" i="2"/>
  <c r="F182" i="2" s="1"/>
  <c r="D195" i="2"/>
  <c r="F195" i="2" s="1"/>
  <c r="D208" i="2"/>
  <c r="F208" i="2" s="1"/>
  <c r="D218" i="2"/>
  <c r="F218" i="2" s="1"/>
  <c r="D231" i="2"/>
  <c r="F231" i="2" s="1"/>
  <c r="D244" i="2"/>
  <c r="F244" i="2" s="1"/>
  <c r="D254" i="2"/>
  <c r="F254" i="2" s="1"/>
  <c r="D267" i="2"/>
  <c r="F267" i="2" s="1"/>
  <c r="D280" i="2"/>
  <c r="F280" i="2" s="1"/>
  <c r="D287" i="2"/>
  <c r="F287" i="2" s="1"/>
  <c r="D294" i="2"/>
  <c r="F294" i="2" s="1"/>
  <c r="D305" i="2"/>
  <c r="F305" i="2" s="1"/>
  <c r="D309" i="2"/>
  <c r="F309" i="2" s="1"/>
  <c r="D313" i="2"/>
  <c r="F313" i="2" s="1"/>
  <c r="D317" i="2"/>
  <c r="F317" i="2" s="1"/>
  <c r="D321" i="2"/>
  <c r="F321" i="2" s="1"/>
  <c r="D325" i="2"/>
  <c r="F325" i="2" s="1"/>
  <c r="D329" i="2"/>
  <c r="F329" i="2" s="1"/>
  <c r="D333" i="2"/>
  <c r="F333" i="2" s="1"/>
  <c r="D337" i="2"/>
  <c r="F337" i="2" s="1"/>
  <c r="D341" i="2"/>
  <c r="F341" i="2" s="1"/>
  <c r="D345" i="2"/>
  <c r="F345" i="2" s="1"/>
  <c r="D349" i="2"/>
  <c r="F349" i="2" s="1"/>
  <c r="D353" i="2"/>
  <c r="F353" i="2" s="1"/>
  <c r="D357" i="2"/>
  <c r="F357" i="2" s="1"/>
  <c r="D361" i="2"/>
  <c r="F361" i="2" s="1"/>
  <c r="D365" i="2"/>
  <c r="F365" i="2" s="1"/>
  <c r="D369" i="2"/>
  <c r="F369" i="2" s="1"/>
  <c r="D373" i="2"/>
  <c r="F373" i="2" s="1"/>
  <c r="D377" i="2"/>
  <c r="F377" i="2" s="1"/>
  <c r="D381" i="2"/>
  <c r="F381" i="2" s="1"/>
  <c r="D385" i="2"/>
  <c r="F385" i="2" s="1"/>
  <c r="D389" i="2"/>
  <c r="F389" i="2" s="1"/>
  <c r="D393" i="2"/>
  <c r="F393" i="2" s="1"/>
  <c r="D397" i="2"/>
  <c r="F397" i="2" s="1"/>
  <c r="D401" i="2"/>
  <c r="F401" i="2" s="1"/>
  <c r="D405" i="2"/>
  <c r="F405" i="2" s="1"/>
  <c r="D409" i="2"/>
  <c r="F409" i="2" s="1"/>
  <c r="D413" i="2"/>
  <c r="F413" i="2" s="1"/>
  <c r="D417" i="2"/>
  <c r="F417" i="2" s="1"/>
  <c r="D425" i="2"/>
  <c r="F425" i="2" s="1"/>
  <c r="D429" i="2"/>
  <c r="F429" i="2" s="1"/>
  <c r="D437" i="2"/>
  <c r="F437" i="2" s="1"/>
  <c r="D441" i="2"/>
  <c r="F441" i="2" s="1"/>
  <c r="D449" i="2"/>
  <c r="F449" i="2" s="1"/>
  <c r="D453" i="2"/>
  <c r="F453" i="2" s="1"/>
  <c r="F461" i="2"/>
  <c r="E494" i="2"/>
  <c r="D494" i="2"/>
  <c r="F494" i="2" s="1"/>
  <c r="E507" i="2"/>
  <c r="D507" i="2"/>
  <c r="F507" i="2" s="1"/>
  <c r="E488" i="2"/>
  <c r="D488" i="2"/>
  <c r="D173" i="2"/>
  <c r="F173" i="2" s="1"/>
  <c r="D186" i="2"/>
  <c r="F186" i="2" s="1"/>
  <c r="D199" i="2"/>
  <c r="F199" i="2" s="1"/>
  <c r="D209" i="2"/>
  <c r="F209" i="2" s="1"/>
  <c r="D222" i="2"/>
  <c r="F222" i="2" s="1"/>
  <c r="D235" i="2"/>
  <c r="F235" i="2" s="1"/>
  <c r="D245" i="2"/>
  <c r="F245" i="2" s="1"/>
  <c r="D258" i="2"/>
  <c r="F258" i="2" s="1"/>
  <c r="D271" i="2"/>
  <c r="F271" i="2" s="1"/>
  <c r="D281" i="2"/>
  <c r="F281" i="2" s="1"/>
  <c r="D295" i="2"/>
  <c r="F295" i="2" s="1"/>
  <c r="D306" i="2"/>
  <c r="F306" i="2" s="1"/>
  <c r="D310" i="2"/>
  <c r="F310" i="2" s="1"/>
  <c r="D314" i="2"/>
  <c r="F314" i="2" s="1"/>
  <c r="D318" i="2"/>
  <c r="F318" i="2" s="1"/>
  <c r="D322" i="2"/>
  <c r="F322" i="2" s="1"/>
  <c r="D326" i="2"/>
  <c r="F326" i="2" s="1"/>
  <c r="D330" i="2"/>
  <c r="F330" i="2" s="1"/>
  <c r="D334" i="2"/>
  <c r="F334" i="2" s="1"/>
  <c r="D338" i="2"/>
  <c r="F338" i="2" s="1"/>
  <c r="D342" i="2"/>
  <c r="F342" i="2" s="1"/>
  <c r="D346" i="2"/>
  <c r="F346" i="2" s="1"/>
  <c r="D350" i="2"/>
  <c r="F350" i="2" s="1"/>
  <c r="D354" i="2"/>
  <c r="F354" i="2" s="1"/>
  <c r="D358" i="2"/>
  <c r="F358" i="2" s="1"/>
  <c r="D366" i="2"/>
  <c r="F366" i="2" s="1"/>
  <c r="D378" i="2"/>
  <c r="F378" i="2" s="1"/>
  <c r="D390" i="2"/>
  <c r="F390" i="2" s="1"/>
  <c r="D402" i="2"/>
  <c r="F402" i="2" s="1"/>
  <c r="D414" i="2"/>
  <c r="F414" i="2" s="1"/>
  <c r="F418" i="2"/>
  <c r="D426" i="2"/>
  <c r="F426" i="2" s="1"/>
  <c r="F430" i="2"/>
  <c r="D438" i="2"/>
  <c r="F438" i="2" s="1"/>
  <c r="F442" i="2"/>
  <c r="D450" i="2"/>
  <c r="F450" i="2" s="1"/>
  <c r="F454" i="2"/>
  <c r="D489" i="2"/>
  <c r="F489" i="2" s="1"/>
  <c r="F196" i="2"/>
  <c r="F232" i="2"/>
  <c r="F268" i="2"/>
  <c r="E515" i="2"/>
  <c r="D515" i="2"/>
  <c r="F515" i="2" s="1"/>
  <c r="E533" i="2"/>
  <c r="D533" i="2"/>
  <c r="F533" i="2" s="1"/>
  <c r="F193" i="2"/>
  <c r="F229" i="2"/>
  <c r="F265" i="2"/>
  <c r="F292" i="2"/>
  <c r="D471" i="2"/>
  <c r="F471" i="2" s="1"/>
  <c r="D516" i="2"/>
  <c r="F516" i="2" s="1"/>
  <c r="F548" i="2"/>
  <c r="F557" i="2"/>
  <c r="F566" i="2"/>
  <c r="F575" i="2"/>
  <c r="F584" i="2"/>
  <c r="F593" i="2"/>
  <c r="F602" i="2"/>
  <c r="F611" i="2"/>
  <c r="F620" i="2"/>
  <c r="D490" i="2"/>
  <c r="F490" i="2" s="1"/>
  <c r="D499" i="2"/>
  <c r="F499" i="2" s="1"/>
  <c r="D508" i="2"/>
  <c r="F508" i="2" s="1"/>
  <c r="D517" i="2"/>
  <c r="F517" i="2" s="1"/>
  <c r="D526" i="2"/>
  <c r="F526" i="2" s="1"/>
  <c r="D535" i="2"/>
  <c r="F535" i="2" s="1"/>
  <c r="D544" i="2"/>
  <c r="F544" i="2" s="1"/>
  <c r="F553" i="2"/>
  <c r="F562" i="2"/>
  <c r="F571" i="2"/>
  <c r="F580" i="2"/>
  <c r="F589" i="2"/>
  <c r="F598" i="2"/>
  <c r="F607" i="2"/>
  <c r="F616" i="2"/>
  <c r="F625" i="2"/>
  <c r="F486" i="2"/>
  <c r="F495" i="2"/>
  <c r="F504" i="2"/>
  <c r="F513" i="2"/>
  <c r="F522" i="2"/>
  <c r="F531" i="2"/>
  <c r="F540" i="2"/>
  <c r="F549" i="2"/>
  <c r="F558" i="2"/>
  <c r="F567" i="2"/>
  <c r="F576" i="2"/>
  <c r="F585" i="2"/>
  <c r="F594" i="2"/>
  <c r="F603" i="2"/>
  <c r="F612" i="2"/>
  <c r="F621" i="2"/>
  <c r="F482" i="2"/>
  <c r="F491" i="2"/>
  <c r="F500" i="2"/>
  <c r="F509" i="2"/>
  <c r="F518" i="2"/>
  <c r="F527" i="2"/>
  <c r="F536" i="2"/>
  <c r="F545" i="2"/>
  <c r="D730" i="2"/>
  <c r="F730" i="2" s="1"/>
  <c r="D731" i="2"/>
  <c r="F731" i="2" s="1"/>
  <c r="D732" i="2"/>
  <c r="F732" i="2" s="1"/>
  <c r="H4" i="5" l="1"/>
  <c r="I4" i="5" s="1"/>
  <c r="D5" i="5" s="1"/>
  <c r="F591" i="4"/>
  <c r="F642" i="4"/>
  <c r="F546" i="4"/>
  <c r="F527" i="4"/>
  <c r="F539" i="4"/>
  <c r="F572" i="4"/>
  <c r="F437" i="4"/>
  <c r="F563" i="4"/>
  <c r="F449" i="4"/>
  <c r="F170" i="4"/>
  <c r="F134" i="4"/>
  <c r="F187" i="4"/>
  <c r="F151" i="4"/>
  <c r="F578" i="4"/>
  <c r="F149" i="4"/>
  <c r="F425" i="4"/>
  <c r="F582" i="4"/>
  <c r="F576" i="4"/>
  <c r="F621" i="4"/>
  <c r="F568" i="4"/>
  <c r="F515" i="4"/>
  <c r="F484" i="4"/>
  <c r="F513" i="4"/>
  <c r="F557" i="4"/>
  <c r="F439" i="4"/>
  <c r="F164" i="4"/>
  <c r="F128" i="4"/>
  <c r="F181" i="4"/>
  <c r="F145" i="4"/>
  <c r="F110" i="4"/>
  <c r="F143" i="4"/>
  <c r="F555" i="4"/>
  <c r="F534" i="4"/>
  <c r="F599" i="4"/>
  <c r="F351" i="4"/>
  <c r="F415" i="4"/>
  <c r="F406" i="4"/>
  <c r="F369" i="4"/>
  <c r="F411" i="4"/>
  <c r="F543" i="4"/>
  <c r="F606" i="4"/>
  <c r="F525" i="4"/>
  <c r="F635" i="4"/>
  <c r="F671" i="4"/>
  <c r="F506" i="4"/>
  <c r="F402" i="4"/>
  <c r="F414" i="4"/>
  <c r="F380" i="4"/>
  <c r="F299" i="4"/>
  <c r="F273" i="4"/>
  <c r="F95" i="4"/>
  <c r="F531" i="4"/>
  <c r="F627" i="4"/>
  <c r="F585" i="4"/>
  <c r="F579" i="4"/>
  <c r="F577" i="4"/>
  <c r="F581" i="4"/>
  <c r="F393" i="4"/>
  <c r="F426" i="4"/>
  <c r="F418" i="4"/>
  <c r="F633" i="4"/>
  <c r="F636" i="4"/>
  <c r="F263" i="4"/>
  <c r="F161" i="4"/>
  <c r="F125" i="4"/>
  <c r="F665" i="4"/>
  <c r="F676" i="4"/>
  <c r="F378" i="4"/>
  <c r="F645" i="4"/>
  <c r="F528" i="4"/>
  <c r="F603" i="4"/>
  <c r="F533" i="4"/>
  <c r="F514" i="4"/>
  <c r="F545" i="4"/>
  <c r="F594" i="4"/>
  <c r="F447" i="4"/>
  <c r="F113" i="4"/>
  <c r="F140" i="4"/>
  <c r="F211" i="4"/>
  <c r="F157" i="4"/>
  <c r="F122" i="4"/>
  <c r="F104" i="4"/>
  <c r="F116" i="4"/>
  <c r="F155" i="4"/>
  <c r="F227" i="4"/>
  <c r="F618" i="4"/>
  <c r="F600" i="4"/>
  <c r="F561" i="4"/>
  <c r="F510" i="4"/>
  <c r="F296" i="4"/>
  <c r="F184" i="4"/>
  <c r="F98" i="4"/>
  <c r="F531" i="3"/>
  <c r="F624" i="3"/>
  <c r="F335" i="3"/>
  <c r="F194" i="3"/>
  <c r="F368" i="3"/>
  <c r="F367" i="3"/>
  <c r="F544" i="3"/>
  <c r="F263" i="3"/>
  <c r="F223" i="3"/>
  <c r="F392" i="3"/>
  <c r="F295" i="3"/>
  <c r="F331" i="3"/>
  <c r="F363" i="3"/>
  <c r="F672" i="3"/>
  <c r="F687" i="3"/>
  <c r="F702" i="3"/>
  <c r="F645" i="3"/>
  <c r="F612" i="3"/>
  <c r="F678" i="3"/>
  <c r="F487" i="3"/>
  <c r="F317" i="3"/>
  <c r="F288" i="3"/>
  <c r="F299" i="3"/>
  <c r="F246" i="3"/>
  <c r="F262" i="3"/>
  <c r="F55" i="3"/>
  <c r="F313" i="3"/>
  <c r="F710" i="3"/>
  <c r="F657" i="3"/>
  <c r="F606" i="3"/>
  <c r="F660" i="3"/>
  <c r="F690" i="3"/>
  <c r="F588" i="3"/>
  <c r="F482" i="3"/>
  <c r="F549" i="3"/>
  <c r="F669" i="3"/>
  <c r="F321" i="3"/>
  <c r="F233" i="3"/>
  <c r="F284" i="3"/>
  <c r="F58" i="3"/>
  <c r="F699" i="3"/>
  <c r="F698" i="3"/>
  <c r="F639" i="3"/>
  <c r="F642" i="3"/>
  <c r="F684" i="3"/>
  <c r="F561" i="3"/>
  <c r="F541" i="3"/>
  <c r="F695" i="3"/>
  <c r="F463" i="3"/>
  <c r="F259" i="3"/>
  <c r="F173" i="3"/>
  <c r="F280" i="3"/>
  <c r="F162" i="3"/>
  <c r="F144" i="3"/>
  <c r="F64" i="2"/>
  <c r="F488" i="2"/>
  <c r="F178" i="2"/>
  <c r="F16" i="2"/>
  <c r="F67" i="2"/>
  <c r="F250" i="2"/>
  <c r="F100" i="2"/>
  <c r="F61" i="2"/>
  <c r="F43" i="2"/>
  <c r="F485" i="2"/>
  <c r="F7" i="2"/>
  <c r="F224" i="2"/>
  <c r="F498" i="2"/>
  <c r="F88" i="2"/>
  <c r="F79" i="2"/>
  <c r="E5" i="5" l="1"/>
  <c r="H5" i="5" s="1"/>
  <c r="G5" i="5"/>
  <c r="I1" i="4"/>
  <c r="I5" i="5" l="1"/>
  <c r="D6" i="5" s="1"/>
  <c r="E6" i="5" l="1"/>
  <c r="G6" i="5"/>
  <c r="H6" i="5" l="1"/>
  <c r="I6" i="5" s="1"/>
  <c r="D7" i="5" s="1"/>
  <c r="E7" i="5" l="1"/>
  <c r="H7" i="5" s="1"/>
  <c r="G7" i="5"/>
  <c r="I7" i="5" l="1"/>
  <c r="D8" i="5" s="1"/>
  <c r="G8" i="5" l="1"/>
  <c r="H8" i="5" s="1"/>
  <c r="I8" i="5" l="1"/>
  <c r="D9" i="5" s="1"/>
  <c r="F9" i="5" l="1"/>
  <c r="G9" i="5"/>
  <c r="H9" i="5" l="1"/>
  <c r="I9" i="5" l="1"/>
  <c r="D10" i="5" s="1"/>
  <c r="E10" i="5" l="1"/>
  <c r="G10" i="5"/>
  <c r="H10" i="5" l="1"/>
  <c r="I10" i="5" l="1"/>
  <c r="D11" i="5" s="1"/>
  <c r="E11" i="5" l="1"/>
  <c r="G11" i="5"/>
  <c r="H11" i="5" l="1"/>
  <c r="I11" i="5" l="1"/>
  <c r="D12" i="5" s="1"/>
  <c r="E12" i="5" l="1"/>
  <c r="H12" i="5" s="1"/>
  <c r="G12" i="5"/>
  <c r="I12" i="5" l="1"/>
  <c r="D13" i="5" s="1"/>
  <c r="E13" i="5" l="1"/>
  <c r="H13" i="5" s="1"/>
  <c r="G13" i="5"/>
  <c r="I13" i="5" l="1"/>
  <c r="D14" i="5" s="1"/>
  <c r="E14" i="5" l="1"/>
  <c r="G14" i="5"/>
  <c r="H14" i="5" l="1"/>
  <c r="I14" i="5" l="1"/>
  <c r="D15" i="5" s="1"/>
  <c r="G15" i="5" s="1"/>
  <c r="H15" i="5" s="1"/>
  <c r="I15" i="5" s="1"/>
  <c r="D16" i="5" s="1"/>
  <c r="G16" i="5" l="1"/>
  <c r="F16" i="5"/>
  <c r="H16" i="5" s="1"/>
  <c r="I16" i="5" s="1"/>
  <c r="D17" i="5" s="1"/>
  <c r="E17" i="5" l="1"/>
  <c r="H17" i="5" s="1"/>
  <c r="G17" i="5"/>
  <c r="I17" i="5" l="1"/>
  <c r="D18" i="5" s="1"/>
  <c r="E18" i="5" l="1"/>
  <c r="G18" i="5"/>
  <c r="H18" i="5" l="1"/>
  <c r="I18" i="5" l="1"/>
  <c r="D19" i="5" s="1"/>
  <c r="E19" i="5" l="1"/>
  <c r="H19" i="5" s="1"/>
  <c r="G19" i="5"/>
  <c r="I19" i="5" l="1"/>
  <c r="D20" i="5" s="1"/>
  <c r="E20" i="5" l="1"/>
  <c r="G20" i="5"/>
  <c r="H20" i="5" l="1"/>
  <c r="I20" i="5" l="1"/>
  <c r="D21" i="5" s="1"/>
  <c r="E21" i="5" l="1"/>
  <c r="H21" i="5" s="1"/>
  <c r="G21" i="5"/>
  <c r="I21" i="5" l="1"/>
  <c r="D22" i="5" s="1"/>
  <c r="G22" i="5" s="1"/>
  <c r="H22" i="5" s="1"/>
  <c r="I22" i="5" s="1"/>
  <c r="D23" i="5" s="1"/>
  <c r="F23" i="5" l="1"/>
  <c r="G23" i="5"/>
  <c r="H23" i="5" l="1"/>
  <c r="I23" i="5" l="1"/>
  <c r="D24" i="5" s="1"/>
  <c r="E24" i="5" l="1"/>
  <c r="H24" i="5" s="1"/>
  <c r="G24" i="5"/>
  <c r="I24" i="5" l="1"/>
  <c r="D25" i="5" s="1"/>
  <c r="E25" i="5" l="1"/>
  <c r="H25" i="5" s="1"/>
  <c r="G25" i="5"/>
  <c r="I25" i="5" l="1"/>
  <c r="D26" i="5" s="1"/>
  <c r="E26" i="5" l="1"/>
  <c r="H26" i="5" s="1"/>
  <c r="G26" i="5"/>
  <c r="I26" i="5" l="1"/>
  <c r="D27" i="5" s="1"/>
  <c r="E27" i="5" l="1"/>
  <c r="G27" i="5"/>
  <c r="H27" i="5" l="1"/>
  <c r="I27" i="5" l="1"/>
  <c r="D28" i="5" s="1"/>
  <c r="E28" i="5" l="1"/>
  <c r="G28" i="5"/>
  <c r="H28" i="5" l="1"/>
  <c r="I28" i="5" l="1"/>
  <c r="D29" i="5" s="1"/>
  <c r="G29" i="5" l="1"/>
  <c r="H29" i="5" s="1"/>
  <c r="I29" i="5" l="1"/>
  <c r="D30" i="5" s="1"/>
  <c r="F30" i="5" l="1"/>
  <c r="G30" i="5"/>
  <c r="H30" i="5" l="1"/>
  <c r="I30" i="5" l="1"/>
  <c r="D31" i="5" s="1"/>
  <c r="E31" i="5" l="1"/>
  <c r="G31" i="5"/>
  <c r="H31" i="5" l="1"/>
  <c r="I31" i="5" l="1"/>
  <c r="D32" i="5" s="1"/>
  <c r="E32" i="5" l="1"/>
  <c r="G32" i="5"/>
  <c r="H32" i="5" l="1"/>
  <c r="I32" i="5" l="1"/>
  <c r="D33" i="5" s="1"/>
  <c r="E33" i="5" l="1"/>
  <c r="G33" i="5"/>
  <c r="H33" i="5" l="1"/>
  <c r="I33" i="5" l="1"/>
  <c r="D34" i="5" s="1"/>
  <c r="E34" i="5" l="1"/>
  <c r="G34" i="5"/>
  <c r="H34" i="5" l="1"/>
  <c r="I34" i="5" l="1"/>
  <c r="D35" i="5" s="1"/>
  <c r="E35" i="5" l="1"/>
  <c r="H35" i="5" s="1"/>
  <c r="G35" i="5"/>
  <c r="I35" i="5" l="1"/>
  <c r="D36" i="5" s="1"/>
  <c r="G36" i="5" s="1"/>
  <c r="H36" i="5" s="1"/>
  <c r="I36" i="5" s="1"/>
  <c r="D37" i="5" s="1"/>
  <c r="F37" i="5" l="1"/>
  <c r="G37" i="5"/>
  <c r="H37" i="5" l="1"/>
  <c r="I37" i="5" l="1"/>
  <c r="D38" i="5" s="1"/>
  <c r="E38" i="5" l="1"/>
  <c r="G38" i="5"/>
  <c r="H38" i="5" l="1"/>
  <c r="I38" i="5" l="1"/>
  <c r="D39" i="5" s="1"/>
  <c r="E39" i="5" l="1"/>
  <c r="G39" i="5"/>
  <c r="H39" i="5" l="1"/>
  <c r="I39" i="5" l="1"/>
  <c r="D40" i="5" s="1"/>
  <c r="E40" i="5" l="1"/>
  <c r="H40" i="5" s="1"/>
  <c r="G40" i="5"/>
  <c r="I40" i="5" l="1"/>
  <c r="D41" i="5" s="1"/>
  <c r="E41" i="5" l="1"/>
  <c r="G41" i="5"/>
  <c r="H41" i="5" l="1"/>
  <c r="I41" i="5" l="1"/>
  <c r="D42" i="5" s="1"/>
  <c r="E42" i="5" l="1"/>
  <c r="H42" i="5" s="1"/>
  <c r="G42" i="5"/>
  <c r="I42" i="5" l="1"/>
  <c r="D43" i="5" s="1"/>
  <c r="G43" i="5" s="1"/>
  <c r="H43" i="5" s="1"/>
  <c r="I43" i="5" s="1"/>
  <c r="D44" i="5" s="1"/>
  <c r="F44" i="5" l="1"/>
  <c r="G44" i="5"/>
  <c r="H44" i="5" l="1"/>
  <c r="I44" i="5" l="1"/>
  <c r="D45" i="5" s="1"/>
  <c r="E45" i="5" l="1"/>
  <c r="G45" i="5"/>
  <c r="H45" i="5" l="1"/>
  <c r="I45" i="5" l="1"/>
  <c r="D46" i="5" s="1"/>
  <c r="E46" i="5" l="1"/>
  <c r="G46" i="5"/>
  <c r="H46" i="5" l="1"/>
  <c r="I46" i="5" l="1"/>
  <c r="D47" i="5" s="1"/>
  <c r="E47" i="5" l="1"/>
  <c r="H47" i="5" s="1"/>
  <c r="G47" i="5"/>
  <c r="I47" i="5" l="1"/>
  <c r="D48" i="5" s="1"/>
  <c r="E48" i="5" l="1"/>
  <c r="H48" i="5" s="1"/>
  <c r="G48" i="5"/>
  <c r="I48" i="5" l="1"/>
  <c r="D49" i="5" s="1"/>
  <c r="E49" i="5" l="1"/>
  <c r="H49" i="5" s="1"/>
  <c r="G49" i="5"/>
  <c r="I49" i="5" l="1"/>
  <c r="D50" i="5" s="1"/>
  <c r="G50" i="5" l="1"/>
  <c r="H50" i="5" s="1"/>
  <c r="I50" i="5" l="1"/>
  <c r="D51" i="5" s="1"/>
  <c r="F51" i="5" l="1"/>
  <c r="H51" i="5" s="1"/>
  <c r="G51" i="5"/>
  <c r="I51" i="5" l="1"/>
  <c r="D52" i="5" s="1"/>
  <c r="E52" i="5" l="1"/>
  <c r="H52" i="5" s="1"/>
  <c r="G52" i="5"/>
  <c r="I52" i="5" l="1"/>
  <c r="D53" i="5" s="1"/>
  <c r="E53" i="5" l="1"/>
  <c r="G53" i="5"/>
  <c r="H53" i="5" l="1"/>
  <c r="I53" i="5" l="1"/>
  <c r="D54" i="5" s="1"/>
  <c r="E54" i="5" l="1"/>
  <c r="G54" i="5"/>
  <c r="H54" i="5" l="1"/>
  <c r="I54" i="5" l="1"/>
  <c r="D55" i="5" s="1"/>
  <c r="E55" i="5" l="1"/>
  <c r="G55" i="5"/>
  <c r="H55" i="5" l="1"/>
  <c r="I55" i="5" l="1"/>
  <c r="D56" i="5" s="1"/>
  <c r="E56" i="5" l="1"/>
  <c r="G56" i="5"/>
  <c r="H56" i="5" l="1"/>
  <c r="I56" i="5" l="1"/>
  <c r="D57" i="5" s="1"/>
  <c r="G57" i="5" s="1"/>
  <c r="H57" i="5" s="1"/>
  <c r="I57" i="5" s="1"/>
  <c r="D58" i="5" s="1"/>
  <c r="F58" i="5" l="1"/>
  <c r="G58" i="5"/>
  <c r="H58" i="5" l="1"/>
  <c r="I58" i="5" l="1"/>
  <c r="D59" i="5" s="1"/>
  <c r="E59" i="5" l="1"/>
  <c r="H59" i="5" s="1"/>
  <c r="G59" i="5"/>
  <c r="I59" i="5" l="1"/>
  <c r="D60" i="5" s="1"/>
  <c r="E60" i="5" l="1"/>
  <c r="G60" i="5"/>
  <c r="H60" i="5" l="1"/>
  <c r="I60" i="5" l="1"/>
  <c r="D61" i="5" s="1"/>
  <c r="E61" i="5" l="1"/>
  <c r="H61" i="5" s="1"/>
  <c r="G61" i="5"/>
  <c r="I61" i="5" l="1"/>
  <c r="D62" i="5" s="1"/>
  <c r="E62" i="5" l="1"/>
  <c r="G62" i="5"/>
  <c r="H62" i="5" l="1"/>
  <c r="I62" i="5" l="1"/>
  <c r="D63" i="5" s="1"/>
  <c r="E63" i="5" l="1"/>
  <c r="G63" i="5"/>
  <c r="H63" i="5" l="1"/>
  <c r="I63" i="5" l="1"/>
  <c r="D64" i="5" s="1"/>
  <c r="G64" i="5" s="1"/>
  <c r="H64" i="5" s="1"/>
  <c r="I64" i="5" l="1"/>
  <c r="D65" i="5" s="1"/>
  <c r="F65" i="5" l="1"/>
  <c r="G65" i="5"/>
  <c r="H65" i="5" l="1"/>
  <c r="I65" i="5" l="1"/>
  <c r="D66" i="5" s="1"/>
  <c r="E66" i="5" l="1"/>
  <c r="G66" i="5"/>
  <c r="H66" i="5" l="1"/>
  <c r="I66" i="5" l="1"/>
  <c r="D67" i="5" s="1"/>
  <c r="E67" i="5" l="1"/>
  <c r="G67" i="5"/>
  <c r="H67" i="5" l="1"/>
  <c r="I67" i="5" l="1"/>
  <c r="D68" i="5" s="1"/>
  <c r="E68" i="5" l="1"/>
  <c r="H68" i="5" s="1"/>
  <c r="G68" i="5"/>
  <c r="I68" i="5" l="1"/>
  <c r="D69" i="5" s="1"/>
  <c r="E69" i="5" l="1"/>
  <c r="G69" i="5"/>
  <c r="H69" i="5" l="1"/>
  <c r="I69" i="5" l="1"/>
  <c r="D70" i="5" s="1"/>
  <c r="E70" i="5" l="1"/>
  <c r="H70" i="5" s="1"/>
  <c r="G70" i="5"/>
  <c r="I70" i="5" l="1"/>
  <c r="D71" i="5" s="1"/>
  <c r="G71" i="5" s="1"/>
  <c r="H71" i="5" s="1"/>
  <c r="I71" i="5" s="1"/>
  <c r="D72" i="5" s="1"/>
  <c r="F72" i="5" l="1"/>
  <c r="G72" i="5"/>
  <c r="H72" i="5" l="1"/>
  <c r="I72" i="5" l="1"/>
  <c r="D73" i="5" s="1"/>
  <c r="E73" i="5" l="1"/>
  <c r="H73" i="5" s="1"/>
  <c r="G73" i="5"/>
  <c r="I73" i="5" l="1"/>
  <c r="D74" i="5" s="1"/>
  <c r="E74" i="5" l="1"/>
  <c r="H74" i="5" s="1"/>
  <c r="G74" i="5"/>
  <c r="I74" i="5" l="1"/>
  <c r="D75" i="5" s="1"/>
  <c r="E75" i="5" l="1"/>
  <c r="G75" i="5"/>
  <c r="H75" i="5" l="1"/>
  <c r="I75" i="5" l="1"/>
  <c r="D76" i="5" s="1"/>
  <c r="E76" i="5" l="1"/>
  <c r="H76" i="5" s="1"/>
  <c r="G76" i="5"/>
  <c r="I76" i="5" l="1"/>
  <c r="D77" i="5" s="1"/>
  <c r="E77" i="5" l="1"/>
  <c r="H77" i="5" s="1"/>
  <c r="G77" i="5"/>
  <c r="I77" i="5" l="1"/>
  <c r="D78" i="5" s="1"/>
  <c r="G78" i="5" s="1"/>
  <c r="H78" i="5" s="1"/>
  <c r="I78" i="5" s="1"/>
  <c r="D79" i="5" s="1"/>
  <c r="F79" i="5" l="1"/>
  <c r="G79" i="5"/>
  <c r="H79" i="5" l="1"/>
  <c r="I79" i="5" l="1"/>
  <c r="D80" i="5" s="1"/>
  <c r="E80" i="5" l="1"/>
  <c r="G80" i="5"/>
  <c r="H80" i="5" l="1"/>
  <c r="I80" i="5" l="1"/>
  <c r="D81" i="5" s="1"/>
  <c r="E81" i="5" l="1"/>
  <c r="G81" i="5"/>
  <c r="H81" i="5" l="1"/>
  <c r="I81" i="5" l="1"/>
  <c r="D82" i="5" s="1"/>
  <c r="E82" i="5" l="1"/>
  <c r="H82" i="5" s="1"/>
  <c r="G82" i="5"/>
  <c r="I82" i="5" l="1"/>
  <c r="D83" i="5" s="1"/>
  <c r="E83" i="5" l="1"/>
  <c r="H83" i="5" s="1"/>
  <c r="G83" i="5"/>
  <c r="I83" i="5" l="1"/>
  <c r="D84" i="5" s="1"/>
  <c r="E84" i="5" l="1"/>
  <c r="H84" i="5" s="1"/>
  <c r="G84" i="5"/>
  <c r="I84" i="5" l="1"/>
  <c r="D85" i="5" s="1"/>
  <c r="G85" i="5" l="1"/>
  <c r="H85" i="5" s="1"/>
  <c r="I85" i="5" l="1"/>
  <c r="D86" i="5" s="1"/>
  <c r="F86" i="5" l="1"/>
  <c r="G86" i="5"/>
  <c r="H86" i="5" l="1"/>
  <c r="I86" i="5" l="1"/>
  <c r="D87" i="5" s="1"/>
  <c r="E87" i="5" l="1"/>
  <c r="G87" i="5"/>
  <c r="H87" i="5" l="1"/>
  <c r="I87" i="5" l="1"/>
  <c r="D88" i="5" s="1"/>
  <c r="E88" i="5" l="1"/>
  <c r="H88" i="5" s="1"/>
  <c r="G88" i="5"/>
  <c r="I88" i="5" l="1"/>
  <c r="D89" i="5" s="1"/>
  <c r="E89" i="5" l="1"/>
  <c r="G89" i="5"/>
  <c r="H89" i="5" l="1"/>
  <c r="I89" i="5" l="1"/>
  <c r="D90" i="5" s="1"/>
  <c r="E90" i="5" l="1"/>
  <c r="H90" i="5" s="1"/>
  <c r="G90" i="5"/>
  <c r="I90" i="5" l="1"/>
  <c r="D91" i="5" s="1"/>
  <c r="E91" i="5" l="1"/>
  <c r="G91" i="5"/>
  <c r="H91" i="5" l="1"/>
  <c r="I91" i="5" l="1"/>
  <c r="D92" i="5" s="1"/>
  <c r="G92" i="5" s="1"/>
  <c r="H92" i="5" s="1"/>
  <c r="I92" i="5" s="1"/>
  <c r="D93" i="5" s="1"/>
  <c r="F93" i="5" l="1"/>
  <c r="G93" i="5"/>
  <c r="H93" i="5" l="1"/>
  <c r="I93" i="5" l="1"/>
  <c r="D94" i="5" s="1"/>
  <c r="E94" i="5" l="1"/>
  <c r="G94" i="5"/>
  <c r="H94" i="5" l="1"/>
  <c r="I94" i="5" l="1"/>
  <c r="D95" i="5" s="1"/>
  <c r="E95" i="5" l="1"/>
  <c r="G95" i="5"/>
  <c r="H95" i="5" l="1"/>
  <c r="I95" i="5" l="1"/>
  <c r="D96" i="5" s="1"/>
  <c r="E96" i="5" l="1"/>
  <c r="G96" i="5"/>
  <c r="H96" i="5" l="1"/>
  <c r="I96" i="5" l="1"/>
  <c r="D97" i="5" s="1"/>
  <c r="E97" i="5" l="1"/>
  <c r="H97" i="5" s="1"/>
  <c r="G97" i="5"/>
  <c r="I97" i="5" l="1"/>
  <c r="D98" i="5" s="1"/>
  <c r="E98" i="5" l="1"/>
  <c r="H98" i="5" s="1"/>
  <c r="G98" i="5"/>
  <c r="I98" i="5" l="1"/>
  <c r="D99" i="5" s="1"/>
  <c r="G99" i="5" s="1"/>
  <c r="H99" i="5" s="1"/>
  <c r="I99" i="5" s="1"/>
  <c r="D100" i="5" s="1"/>
  <c r="F100" i="5" l="1"/>
  <c r="H100" i="5" s="1"/>
  <c r="I100" i="5" s="1"/>
  <c r="D101" i="5" s="1"/>
  <c r="G100" i="5"/>
  <c r="E101" i="5" l="1"/>
  <c r="G101" i="5"/>
  <c r="H101" i="5" l="1"/>
  <c r="I101" i="5" l="1"/>
  <c r="D102" i="5" s="1"/>
  <c r="E102" i="5" l="1"/>
  <c r="G102" i="5"/>
  <c r="H102" i="5" l="1"/>
  <c r="I102" i="5" l="1"/>
  <c r="D103" i="5" s="1"/>
  <c r="E103" i="5" l="1"/>
  <c r="G103" i="5"/>
  <c r="H103" i="5" l="1"/>
  <c r="I103" i="5" l="1"/>
  <c r="D104" i="5" s="1"/>
  <c r="E104" i="5" l="1"/>
  <c r="H104" i="5" s="1"/>
  <c r="G104" i="5"/>
  <c r="I104" i="5" l="1"/>
  <c r="D105" i="5" s="1"/>
  <c r="E105" i="5" l="1"/>
  <c r="H105" i="5" s="1"/>
  <c r="G105" i="5"/>
  <c r="I105" i="5" l="1"/>
  <c r="D106" i="5" s="1"/>
  <c r="G106" i="5" l="1"/>
  <c r="H106" i="5" s="1"/>
  <c r="I106" i="5" l="1"/>
  <c r="D107" i="5" s="1"/>
  <c r="F107" i="5" l="1"/>
  <c r="H107" i="5" s="1"/>
  <c r="G107" i="5"/>
  <c r="I107" i="5" l="1"/>
  <c r="D108" i="5" s="1"/>
  <c r="E108" i="5" l="1"/>
  <c r="G108" i="5"/>
  <c r="H108" i="5" l="1"/>
  <c r="I108" i="5" l="1"/>
  <c r="D109" i="5" s="1"/>
  <c r="E109" i="5" l="1"/>
  <c r="H109" i="5" s="1"/>
  <c r="G109" i="5"/>
  <c r="I109" i="5" l="1"/>
  <c r="D110" i="5" s="1"/>
  <c r="E110" i="5" l="1"/>
  <c r="G110" i="5"/>
  <c r="H110" i="5" l="1"/>
  <c r="I110" i="5" l="1"/>
  <c r="D111" i="5" s="1"/>
  <c r="E111" i="5" l="1"/>
  <c r="H111" i="5" s="1"/>
  <c r="G111" i="5"/>
  <c r="I111" i="5" l="1"/>
  <c r="D112" i="5" s="1"/>
  <c r="E112" i="5" l="1"/>
  <c r="H112" i="5" s="1"/>
  <c r="G112" i="5"/>
  <c r="I112" i="5" l="1"/>
  <c r="D113" i="5" s="1"/>
  <c r="G113" i="5" s="1"/>
  <c r="H113" i="5" s="1"/>
  <c r="I113" i="5" s="1"/>
  <c r="D114" i="5" s="1"/>
  <c r="F114" i="5" l="1"/>
  <c r="H114" i="5" s="1"/>
  <c r="G114" i="5"/>
  <c r="I114" i="5" l="1"/>
  <c r="D115" i="5" s="1"/>
  <c r="E115" i="5" l="1"/>
  <c r="G115" i="5"/>
  <c r="H115" i="5" l="1"/>
  <c r="I115" i="5" l="1"/>
  <c r="D116" i="5" s="1"/>
  <c r="E116" i="5" l="1"/>
  <c r="H116" i="5" s="1"/>
  <c r="G116" i="5"/>
  <c r="I116" i="5" l="1"/>
  <c r="D117" i="5" s="1"/>
  <c r="E117" i="5" l="1"/>
  <c r="H117" i="5" s="1"/>
  <c r="G117" i="5"/>
  <c r="I117" i="5" l="1"/>
  <c r="D118" i="5" s="1"/>
  <c r="E118" i="5" l="1"/>
  <c r="H118" i="5" s="1"/>
  <c r="G118" i="5"/>
  <c r="I118" i="5" l="1"/>
  <c r="D119" i="5" s="1"/>
  <c r="E119" i="5" l="1"/>
  <c r="H119" i="5" s="1"/>
  <c r="G119" i="5"/>
  <c r="I119" i="5" l="1"/>
  <c r="D120" i="5" s="1"/>
  <c r="G120" i="5" s="1"/>
  <c r="H120" i="5" s="1"/>
  <c r="I120" i="5" s="1"/>
  <c r="D121" i="5" s="1"/>
  <c r="F121" i="5" l="1"/>
  <c r="G121" i="5"/>
  <c r="H121" i="5" l="1"/>
  <c r="I121" i="5" l="1"/>
  <c r="D122" i="5" s="1"/>
  <c r="E122" i="5" l="1"/>
  <c r="H122" i="5" s="1"/>
  <c r="G122" i="5"/>
  <c r="I122" i="5" l="1"/>
  <c r="D123" i="5" s="1"/>
  <c r="E123" i="5" l="1"/>
  <c r="H123" i="5" s="1"/>
  <c r="G123" i="5"/>
  <c r="I123" i="5" l="1"/>
  <c r="D124" i="5" s="1"/>
  <c r="E124" i="5" l="1"/>
  <c r="G124" i="5"/>
  <c r="H124" i="5" l="1"/>
  <c r="I124" i="5" l="1"/>
  <c r="D125" i="5" s="1"/>
  <c r="E125" i="5" l="1"/>
  <c r="H125" i="5" s="1"/>
  <c r="G125" i="5"/>
  <c r="I125" i="5" l="1"/>
  <c r="D126" i="5" s="1"/>
  <c r="E126" i="5" l="1"/>
  <c r="H126" i="5" s="1"/>
  <c r="G126" i="5"/>
  <c r="I126" i="5" l="1"/>
  <c r="D127" i="5" s="1"/>
  <c r="G127" i="5" s="1"/>
  <c r="H127" i="5" s="1"/>
  <c r="I127" i="5" s="1"/>
  <c r="D128" i="5" s="1"/>
  <c r="F128" i="5" l="1"/>
  <c r="G128" i="5"/>
  <c r="H128" i="5" l="1"/>
  <c r="I128" i="5" l="1"/>
  <c r="D129" i="5" s="1"/>
  <c r="E129" i="5" l="1"/>
  <c r="H129" i="5" s="1"/>
  <c r="G129" i="5"/>
  <c r="I129" i="5" l="1"/>
  <c r="D130" i="5" s="1"/>
  <c r="E130" i="5" l="1"/>
  <c r="H130" i="5" s="1"/>
  <c r="G130" i="5"/>
  <c r="I130" i="5" l="1"/>
  <c r="D131" i="5" s="1"/>
  <c r="E131" i="5" l="1"/>
  <c r="H131" i="5" s="1"/>
  <c r="G131" i="5"/>
  <c r="I131" i="5" l="1"/>
  <c r="D132" i="5" s="1"/>
  <c r="E132" i="5" l="1"/>
  <c r="H132" i="5" s="1"/>
  <c r="G132" i="5"/>
  <c r="I132" i="5" l="1"/>
  <c r="D133" i="5" s="1"/>
  <c r="E133" i="5" l="1"/>
  <c r="G133" i="5"/>
  <c r="H133" i="5" l="1"/>
  <c r="I133" i="5" l="1"/>
  <c r="D134" i="5" s="1"/>
  <c r="G134" i="5" s="1"/>
  <c r="H134" i="5" s="1"/>
  <c r="I134" i="5" l="1"/>
  <c r="D135" i="5" s="1"/>
  <c r="F135" i="5" l="1"/>
  <c r="G135" i="5"/>
  <c r="H135" i="5" l="1"/>
  <c r="I135" i="5" l="1"/>
  <c r="D136" i="5" s="1"/>
  <c r="E136" i="5" l="1"/>
  <c r="G136" i="5"/>
  <c r="H136" i="5" l="1"/>
  <c r="I136" i="5" l="1"/>
  <c r="D137" i="5" s="1"/>
  <c r="E137" i="5" l="1"/>
  <c r="G137" i="5"/>
  <c r="H137" i="5" l="1"/>
  <c r="I137" i="5" l="1"/>
  <c r="D138" i="5" s="1"/>
  <c r="E138" i="5" l="1"/>
  <c r="G138" i="5"/>
  <c r="H138" i="5" l="1"/>
  <c r="I138" i="5" l="1"/>
  <c r="D139" i="5" s="1"/>
  <c r="E139" i="5" l="1"/>
  <c r="G139" i="5"/>
  <c r="H139" i="5" l="1"/>
  <c r="I139" i="5" l="1"/>
  <c r="D140" i="5" s="1"/>
  <c r="E140" i="5" l="1"/>
  <c r="H140" i="5" s="1"/>
  <c r="G140" i="5"/>
  <c r="I140" i="5" l="1"/>
  <c r="D141" i="5" s="1"/>
  <c r="G141" i="5" s="1"/>
  <c r="H141" i="5" s="1"/>
  <c r="I141" i="5" s="1"/>
  <c r="D142" i="5" s="1"/>
  <c r="F142" i="5" l="1"/>
  <c r="G142" i="5"/>
  <c r="H142" i="5" l="1"/>
  <c r="I142" i="5" l="1"/>
  <c r="D143" i="5" s="1"/>
  <c r="E143" i="5" l="1"/>
  <c r="G143" i="5"/>
  <c r="H143" i="5" l="1"/>
  <c r="I143" i="5" l="1"/>
  <c r="D144" i="5" s="1"/>
  <c r="E144" i="5" l="1"/>
  <c r="H144" i="5" s="1"/>
  <c r="G144" i="5"/>
  <c r="I144" i="5" l="1"/>
  <c r="D145" i="5" s="1"/>
  <c r="E145" i="5" l="1"/>
  <c r="G145" i="5"/>
  <c r="H145" i="5" l="1"/>
  <c r="I145" i="5" l="1"/>
  <c r="D146" i="5" s="1"/>
  <c r="E146" i="5" l="1"/>
  <c r="H146" i="5" s="1"/>
  <c r="G146" i="5"/>
  <c r="I146" i="5" l="1"/>
  <c r="D147" i="5" s="1"/>
  <c r="E147" i="5" l="1"/>
  <c r="H147" i="5" s="1"/>
  <c r="G147" i="5"/>
  <c r="I147" i="5" l="1"/>
  <c r="D148" i="5" s="1"/>
  <c r="G148" i="5" s="1"/>
  <c r="H148" i="5" s="1"/>
  <c r="I148" i="5" s="1"/>
  <c r="D149" i="5" s="1"/>
  <c r="F149" i="5" l="1"/>
  <c r="H149" i="5" s="1"/>
  <c r="G149" i="5"/>
  <c r="I149" i="5" l="1"/>
  <c r="D150" i="5" s="1"/>
  <c r="E150" i="5" l="1"/>
  <c r="G150" i="5"/>
  <c r="H150" i="5" l="1"/>
  <c r="I150" i="5" l="1"/>
  <c r="D151" i="5" s="1"/>
  <c r="E151" i="5" l="1"/>
  <c r="H151" i="5" s="1"/>
  <c r="G151" i="5"/>
  <c r="I151" i="5" l="1"/>
  <c r="D152" i="5" s="1"/>
  <c r="E152" i="5" l="1"/>
  <c r="G152" i="5"/>
  <c r="H152" i="5" l="1"/>
  <c r="I152" i="5" l="1"/>
  <c r="D153" i="5" s="1"/>
  <c r="E153" i="5" l="1"/>
  <c r="H153" i="5" s="1"/>
  <c r="G153" i="5"/>
  <c r="I153" i="5" l="1"/>
  <c r="D154" i="5" s="1"/>
  <c r="E154" i="5" l="1"/>
  <c r="G154" i="5"/>
  <c r="H154" i="5" l="1"/>
  <c r="I154" i="5" l="1"/>
  <c r="D155" i="5" s="1"/>
  <c r="G155" i="5" s="1"/>
  <c r="H155" i="5" s="1"/>
  <c r="I155" i="5" l="1"/>
  <c r="D156" i="5" s="1"/>
  <c r="F156" i="5" l="1"/>
  <c r="H156" i="5" s="1"/>
  <c r="G156" i="5"/>
  <c r="I156" i="5" l="1"/>
  <c r="D157" i="5" s="1"/>
  <c r="E157" i="5" l="1"/>
  <c r="G157" i="5"/>
  <c r="H157" i="5" l="1"/>
  <c r="I157" i="5" l="1"/>
  <c r="D158" i="5" s="1"/>
  <c r="E158" i="5" l="1"/>
  <c r="H158" i="5" s="1"/>
  <c r="G158" i="5"/>
  <c r="I158" i="5" l="1"/>
  <c r="D159" i="5" s="1"/>
  <c r="E159" i="5" l="1"/>
  <c r="H159" i="5" s="1"/>
  <c r="G159" i="5"/>
  <c r="I159" i="5" l="1"/>
  <c r="D160" i="5" s="1"/>
  <c r="E160" i="5" l="1"/>
  <c r="G160" i="5"/>
  <c r="H160" i="5" l="1"/>
  <c r="I160" i="5" l="1"/>
  <c r="D161" i="5" s="1"/>
  <c r="E161" i="5" l="1"/>
  <c r="G161" i="5"/>
  <c r="H161" i="5" l="1"/>
  <c r="I161" i="5" l="1"/>
  <c r="D162" i="5" s="1"/>
  <c r="G162" i="5" s="1"/>
  <c r="H162" i="5" s="1"/>
  <c r="I162" i="5" l="1"/>
  <c r="D163" i="5" s="1"/>
  <c r="F163" i="5" l="1"/>
  <c r="G163" i="5"/>
  <c r="H163" i="5" l="1"/>
  <c r="I163" i="5" l="1"/>
  <c r="D164" i="5" s="1"/>
  <c r="E164" i="5" l="1"/>
  <c r="G164" i="5"/>
  <c r="H164" i="5" l="1"/>
  <c r="I164" i="5" l="1"/>
  <c r="D165" i="5" s="1"/>
  <c r="E165" i="5" l="1"/>
  <c r="G165" i="5"/>
  <c r="H165" i="5" l="1"/>
  <c r="I165" i="5" l="1"/>
  <c r="D166" i="5" s="1"/>
  <c r="E166" i="5" l="1"/>
  <c r="G166" i="5"/>
  <c r="H166" i="5" l="1"/>
  <c r="I166" i="5" l="1"/>
  <c r="D167" i="5" s="1"/>
  <c r="E167" i="5" l="1"/>
  <c r="G167" i="5"/>
  <c r="H167" i="5" l="1"/>
  <c r="I167" i="5" l="1"/>
  <c r="D168" i="5" s="1"/>
  <c r="E168" i="5" l="1"/>
  <c r="G168" i="5"/>
  <c r="H168" i="5" l="1"/>
  <c r="I168" i="5" l="1"/>
  <c r="D169" i="5" s="1"/>
  <c r="G169" i="5" s="1"/>
  <c r="H169" i="5" s="1"/>
  <c r="I169" i="5" s="1"/>
  <c r="D170" i="5" s="1"/>
  <c r="F170" i="5" l="1"/>
  <c r="G170" i="5"/>
  <c r="H170" i="5" l="1"/>
  <c r="I170" i="5" l="1"/>
  <c r="D171" i="5" s="1"/>
  <c r="E171" i="5" l="1"/>
  <c r="H171" i="5" s="1"/>
  <c r="G171" i="5"/>
  <c r="I171" i="5" l="1"/>
  <c r="D172" i="5" s="1"/>
  <c r="E172" i="5" l="1"/>
  <c r="G172" i="5"/>
  <c r="H172" i="5" l="1"/>
  <c r="I172" i="5" l="1"/>
  <c r="D173" i="5" s="1"/>
  <c r="E173" i="5" l="1"/>
  <c r="H173" i="5" s="1"/>
  <c r="G173" i="5"/>
  <c r="I173" i="5" l="1"/>
  <c r="D174" i="5" s="1"/>
  <c r="E174" i="5" l="1"/>
  <c r="G174" i="5"/>
  <c r="H174" i="5" l="1"/>
  <c r="I174" i="5" l="1"/>
  <c r="D175" i="5" s="1"/>
  <c r="E175" i="5" l="1"/>
  <c r="G175" i="5"/>
  <c r="H175" i="5" l="1"/>
  <c r="I175" i="5" l="1"/>
  <c r="D176" i="5" s="1"/>
  <c r="G176" i="5" s="1"/>
  <c r="H176" i="5" s="1"/>
  <c r="I176" i="5" s="1"/>
  <c r="D177" i="5" s="1"/>
  <c r="F177" i="5" l="1"/>
  <c r="G177" i="5"/>
  <c r="H177" i="5" l="1"/>
  <c r="I177" i="5" l="1"/>
  <c r="D178" i="5" s="1"/>
  <c r="E178" i="5" l="1"/>
  <c r="G178" i="5"/>
  <c r="H178" i="5" l="1"/>
  <c r="I178" i="5" l="1"/>
  <c r="D179" i="5" s="1"/>
  <c r="E179" i="5" l="1"/>
  <c r="G179" i="5"/>
  <c r="H179" i="5" l="1"/>
  <c r="I179" i="5" l="1"/>
  <c r="D180" i="5" s="1"/>
  <c r="E180" i="5" l="1"/>
  <c r="G180" i="5"/>
  <c r="H180" i="5" l="1"/>
  <c r="I180" i="5" l="1"/>
  <c r="D181" i="5" s="1"/>
  <c r="E181" i="5" l="1"/>
  <c r="G181" i="5"/>
  <c r="H181" i="5" l="1"/>
  <c r="I181" i="5" l="1"/>
  <c r="D182" i="5" s="1"/>
  <c r="E182" i="5" l="1"/>
  <c r="G182" i="5"/>
  <c r="H182" i="5" l="1"/>
  <c r="I182" i="5" l="1"/>
  <c r="D183" i="5" s="1"/>
  <c r="G183" i="5" s="1"/>
  <c r="H183" i="5" s="1"/>
  <c r="I183" i="5" l="1"/>
  <c r="D184" i="5" s="1"/>
  <c r="F184" i="5" l="1"/>
  <c r="H184" i="5" s="1"/>
  <c r="G184" i="5"/>
  <c r="I184" i="5" l="1"/>
  <c r="D185" i="5" s="1"/>
  <c r="E185" i="5" l="1"/>
  <c r="H185" i="5" s="1"/>
  <c r="G185" i="5"/>
  <c r="I185" i="5" l="1"/>
  <c r="D186" i="5" s="1"/>
  <c r="E186" i="5" l="1"/>
  <c r="G186" i="5"/>
  <c r="H186" i="5" l="1"/>
  <c r="I186" i="5" l="1"/>
  <c r="D187" i="5" s="1"/>
  <c r="E187" i="5" l="1"/>
  <c r="H187" i="5" s="1"/>
  <c r="G187" i="5"/>
  <c r="I187" i="5" l="1"/>
  <c r="D188" i="5" s="1"/>
  <c r="E188" i="5" l="1"/>
  <c r="H188" i="5" s="1"/>
  <c r="G188" i="5"/>
  <c r="I188" i="5" l="1"/>
  <c r="D189" i="5" s="1"/>
  <c r="E189" i="5" l="1"/>
  <c r="H189" i="5" s="1"/>
  <c r="G189" i="5"/>
  <c r="I189" i="5" l="1"/>
  <c r="D190" i="5" s="1"/>
  <c r="G190" i="5" s="1"/>
  <c r="H190" i="5" s="1"/>
  <c r="I190" i="5" s="1"/>
  <c r="D191" i="5" s="1"/>
  <c r="F191" i="5" l="1"/>
  <c r="G191" i="5"/>
  <c r="H191" i="5" l="1"/>
  <c r="I191" i="5" l="1"/>
  <c r="D192" i="5" s="1"/>
  <c r="E192" i="5" l="1"/>
  <c r="H192" i="5" s="1"/>
  <c r="G192" i="5"/>
  <c r="I192" i="5" l="1"/>
  <c r="D193" i="5" s="1"/>
  <c r="E193" i="5" l="1"/>
  <c r="H193" i="5" s="1"/>
  <c r="G193" i="5"/>
  <c r="I193" i="5" l="1"/>
  <c r="D194" i="5" s="1"/>
  <c r="E194" i="5" l="1"/>
  <c r="H194" i="5" s="1"/>
  <c r="G194" i="5"/>
  <c r="I194" i="5" l="1"/>
  <c r="D195" i="5" s="1"/>
  <c r="E195" i="5" l="1"/>
  <c r="H195" i="5" s="1"/>
  <c r="G195" i="5"/>
  <c r="I195" i="5" l="1"/>
  <c r="D196" i="5" s="1"/>
  <c r="E196" i="5" l="1"/>
  <c r="G196" i="5"/>
  <c r="H196" i="5" l="1"/>
  <c r="I196" i="5" l="1"/>
  <c r="D197" i="5" s="1"/>
  <c r="G197" i="5" s="1"/>
  <c r="H197" i="5" s="1"/>
  <c r="I197" i="5" l="1"/>
  <c r="D198" i="5" s="1"/>
  <c r="F198" i="5" l="1"/>
  <c r="H198" i="5" s="1"/>
  <c r="G198" i="5"/>
  <c r="I198" i="5" l="1"/>
  <c r="D199" i="5" s="1"/>
  <c r="E199" i="5" l="1"/>
  <c r="G199" i="5"/>
  <c r="H199" i="5" l="1"/>
  <c r="I199" i="5" l="1"/>
  <c r="D200" i="5" s="1"/>
  <c r="E200" i="5" l="1"/>
  <c r="G200" i="5"/>
  <c r="H200" i="5" l="1"/>
  <c r="I200" i="5" l="1"/>
  <c r="D201" i="5" s="1"/>
  <c r="E201" i="5" l="1"/>
  <c r="H201" i="5" s="1"/>
  <c r="G201" i="5"/>
  <c r="I201" i="5" l="1"/>
  <c r="D202" i="5" s="1"/>
  <c r="E202" i="5" l="1"/>
  <c r="G202" i="5"/>
  <c r="H202" i="5" l="1"/>
  <c r="I202" i="5" l="1"/>
  <c r="D203" i="5" s="1"/>
  <c r="E203" i="5" l="1"/>
  <c r="H203" i="5" s="1"/>
  <c r="G203" i="5"/>
  <c r="I203" i="5" l="1"/>
  <c r="D204" i="5" s="1"/>
  <c r="G204" i="5" l="1"/>
  <c r="H204" i="5" s="1"/>
  <c r="I204" i="5" l="1"/>
  <c r="D205" i="5" s="1"/>
  <c r="F205" i="5" l="1"/>
  <c r="G205" i="5"/>
  <c r="H205" i="5" l="1"/>
  <c r="I205" i="5" l="1"/>
  <c r="D206" i="5" s="1"/>
  <c r="E206" i="5" l="1"/>
  <c r="H206" i="5" s="1"/>
  <c r="G206" i="5"/>
  <c r="I206" i="5" l="1"/>
  <c r="D207" i="5" s="1"/>
  <c r="E207" i="5" l="1"/>
  <c r="G207" i="5"/>
  <c r="H207" i="5" l="1"/>
  <c r="I207" i="5" l="1"/>
  <c r="D208" i="5" s="1"/>
  <c r="E208" i="5" l="1"/>
  <c r="H208" i="5" s="1"/>
  <c r="G208" i="5"/>
  <c r="I208" i="5" l="1"/>
  <c r="D209" i="5" s="1"/>
  <c r="E209" i="5" l="1"/>
  <c r="H209" i="5" s="1"/>
  <c r="G209" i="5"/>
  <c r="I209" i="5" l="1"/>
  <c r="D210" i="5" s="1"/>
  <c r="E210" i="5" l="1"/>
  <c r="H210" i="5" s="1"/>
  <c r="G210" i="5"/>
  <c r="I210" i="5" l="1"/>
  <c r="D211" i="5" s="1"/>
  <c r="G211" i="5" s="1"/>
  <c r="H211" i="5" s="1"/>
  <c r="I211" i="5" s="1"/>
  <c r="D212" i="5" s="1"/>
  <c r="F212" i="5" l="1"/>
  <c r="G212" i="5"/>
  <c r="H212" i="5" l="1"/>
  <c r="I212" i="5" l="1"/>
  <c r="D213" i="5" s="1"/>
  <c r="E213" i="5" l="1"/>
  <c r="H213" i="5" s="1"/>
  <c r="G213" i="5"/>
  <c r="I213" i="5" l="1"/>
  <c r="D214" i="5" s="1"/>
  <c r="E214" i="5" l="1"/>
  <c r="G214" i="5"/>
  <c r="H214" i="5" l="1"/>
  <c r="I214" i="5" l="1"/>
  <c r="D215" i="5" s="1"/>
  <c r="E215" i="5" l="1"/>
  <c r="H215" i="5" s="1"/>
  <c r="G215" i="5"/>
  <c r="I215" i="5" l="1"/>
  <c r="D216" i="5" s="1"/>
  <c r="E216" i="5" l="1"/>
  <c r="H216" i="5" s="1"/>
  <c r="G216" i="5"/>
  <c r="I216" i="5" l="1"/>
  <c r="D217" i="5" s="1"/>
  <c r="E217" i="5" l="1"/>
  <c r="H217" i="5" s="1"/>
  <c r="G217" i="5"/>
  <c r="I217" i="5" l="1"/>
  <c r="D218" i="5" s="1"/>
  <c r="G218" i="5" l="1"/>
  <c r="H218" i="5" s="1"/>
  <c r="I218" i="5" l="1"/>
  <c r="D219" i="5" s="1"/>
  <c r="F219" i="5" l="1"/>
  <c r="G219" i="5"/>
  <c r="H219" i="5" l="1"/>
  <c r="I219" i="5" l="1"/>
  <c r="D220" i="5" s="1"/>
  <c r="E220" i="5" l="1"/>
  <c r="H220" i="5" s="1"/>
  <c r="G220" i="5"/>
  <c r="I220" i="5" l="1"/>
  <c r="D221" i="5" s="1"/>
  <c r="E221" i="5" l="1"/>
  <c r="H221" i="5" s="1"/>
  <c r="G221" i="5"/>
  <c r="I221" i="5" l="1"/>
  <c r="D222" i="5" s="1"/>
  <c r="E222" i="5" l="1"/>
  <c r="G222" i="5"/>
  <c r="H222" i="5" l="1"/>
  <c r="I222" i="5" l="1"/>
  <c r="D223" i="5" s="1"/>
  <c r="E223" i="5" l="1"/>
  <c r="H223" i="5" s="1"/>
  <c r="G223" i="5"/>
  <c r="I223" i="5" l="1"/>
  <c r="D224" i="5" s="1"/>
  <c r="E224" i="5" l="1"/>
  <c r="H224" i="5" s="1"/>
  <c r="G224" i="5"/>
  <c r="I224" i="5" l="1"/>
  <c r="D225" i="5" s="1"/>
  <c r="G225" i="5" s="1"/>
  <c r="H225" i="5" s="1"/>
  <c r="I225" i="5" s="1"/>
  <c r="D226" i="5" s="1"/>
  <c r="F226" i="5" l="1"/>
  <c r="G226" i="5"/>
  <c r="H226" i="5" l="1"/>
  <c r="I226" i="5" l="1"/>
  <c r="D227" i="5" s="1"/>
  <c r="E227" i="5" l="1"/>
  <c r="H227" i="5" s="1"/>
  <c r="G227" i="5"/>
  <c r="I227" i="5" l="1"/>
  <c r="D228" i="5" s="1"/>
  <c r="E228" i="5" l="1"/>
  <c r="H228" i="5" s="1"/>
  <c r="G228" i="5"/>
  <c r="I228" i="5" l="1"/>
  <c r="D229" i="5" s="1"/>
  <c r="E229" i="5" l="1"/>
  <c r="H229" i="5" s="1"/>
  <c r="G229" i="5"/>
  <c r="I229" i="5" l="1"/>
  <c r="D230" i="5" s="1"/>
  <c r="E230" i="5" l="1"/>
  <c r="H230" i="5" s="1"/>
  <c r="G230" i="5"/>
  <c r="I230" i="5" l="1"/>
  <c r="D231" i="5" s="1"/>
  <c r="E231" i="5" l="1"/>
  <c r="H231" i="5" s="1"/>
  <c r="G231" i="5"/>
  <c r="I231" i="5" l="1"/>
  <c r="D232" i="5" s="1"/>
  <c r="G232" i="5" l="1"/>
  <c r="H232" i="5" s="1"/>
  <c r="I232" i="5" l="1"/>
  <c r="D233" i="5" s="1"/>
  <c r="F233" i="5" l="1"/>
  <c r="G233" i="5"/>
  <c r="H233" i="5" l="1"/>
  <c r="I233" i="5" l="1"/>
  <c r="D234" i="5" s="1"/>
  <c r="E234" i="5" l="1"/>
  <c r="H234" i="5" s="1"/>
  <c r="G234" i="5"/>
  <c r="I234" i="5" l="1"/>
  <c r="D235" i="5" s="1"/>
  <c r="E235" i="5" l="1"/>
  <c r="G235" i="5"/>
  <c r="H235" i="5" l="1"/>
  <c r="I235" i="5" l="1"/>
  <c r="D236" i="5" s="1"/>
  <c r="E236" i="5" l="1"/>
  <c r="G236" i="5"/>
  <c r="H236" i="5" l="1"/>
  <c r="I236" i="5" l="1"/>
  <c r="D237" i="5" s="1"/>
  <c r="E237" i="5" l="1"/>
  <c r="H237" i="5" s="1"/>
  <c r="G237" i="5"/>
  <c r="I237" i="5" l="1"/>
  <c r="D238" i="5" s="1"/>
  <c r="E238" i="5" l="1"/>
  <c r="H238" i="5" s="1"/>
  <c r="G238" i="5"/>
  <c r="I238" i="5" l="1"/>
  <c r="D239" i="5" s="1"/>
  <c r="G239" i="5" l="1"/>
  <c r="H239" i="5" s="1"/>
  <c r="I239" i="5" l="1"/>
  <c r="D240" i="5" s="1"/>
  <c r="F240" i="5" l="1"/>
  <c r="G240" i="5"/>
  <c r="H240" i="5" l="1"/>
  <c r="I240" i="5" l="1"/>
  <c r="D241" i="5" s="1"/>
  <c r="E241" i="5" l="1"/>
  <c r="H241" i="5" s="1"/>
  <c r="G241" i="5"/>
  <c r="I241" i="5" l="1"/>
  <c r="D242" i="5" s="1"/>
  <c r="E242" i="5" l="1"/>
  <c r="H242" i="5" s="1"/>
  <c r="G242" i="5"/>
  <c r="I242" i="5" l="1"/>
  <c r="D243" i="5" s="1"/>
  <c r="E243" i="5" l="1"/>
  <c r="H243" i="5" s="1"/>
  <c r="G243" i="5"/>
  <c r="I243" i="5" l="1"/>
  <c r="D244" i="5" s="1"/>
  <c r="E244" i="5" l="1"/>
  <c r="G244" i="5"/>
  <c r="H244" i="5" l="1"/>
  <c r="I244" i="5" l="1"/>
  <c r="D245" i="5" s="1"/>
  <c r="E245" i="5" l="1"/>
  <c r="G245" i="5"/>
  <c r="H245" i="5" l="1"/>
  <c r="I245" i="5" l="1"/>
  <c r="D246" i="5" s="1"/>
  <c r="G246" i="5" s="1"/>
  <c r="H246" i="5" s="1"/>
  <c r="I246" i="5" s="1"/>
  <c r="D247" i="5" s="1"/>
  <c r="F247" i="5" l="1"/>
  <c r="H247" i="5" s="1"/>
  <c r="G247" i="5"/>
  <c r="I247" i="5" l="1"/>
  <c r="D248" i="5" s="1"/>
  <c r="E248" i="5" l="1"/>
  <c r="H248" i="5" s="1"/>
  <c r="G248" i="5"/>
  <c r="I248" i="5" l="1"/>
  <c r="D249" i="5" s="1"/>
  <c r="E249" i="5" l="1"/>
  <c r="H249" i="5" s="1"/>
  <c r="G249" i="5"/>
  <c r="I249" i="5" l="1"/>
  <c r="D250" i="5" s="1"/>
  <c r="E250" i="5" l="1"/>
  <c r="G250" i="5"/>
  <c r="H250" i="5" l="1"/>
  <c r="I250" i="5" l="1"/>
  <c r="D251" i="5" s="1"/>
  <c r="E251" i="5" l="1"/>
  <c r="H251" i="5" s="1"/>
  <c r="G251" i="5"/>
  <c r="I251" i="5" l="1"/>
  <c r="D252" i="5" s="1"/>
  <c r="E252" i="5" l="1"/>
  <c r="G252" i="5"/>
  <c r="H252" i="5" l="1"/>
  <c r="I252" i="5" l="1"/>
  <c r="D253" i="5" s="1"/>
  <c r="G253" i="5" l="1"/>
  <c r="H253" i="5" s="1"/>
  <c r="I253" i="5" l="1"/>
  <c r="D254" i="5" s="1"/>
  <c r="F254" i="5" l="1"/>
  <c r="G254" i="5"/>
  <c r="H254" i="5" l="1"/>
  <c r="I254" i="5" l="1"/>
  <c r="D255" i="5" s="1"/>
  <c r="E255" i="5" l="1"/>
  <c r="H255" i="5" s="1"/>
  <c r="G255" i="5"/>
  <c r="I255" i="5" l="1"/>
  <c r="D256" i="5" s="1"/>
  <c r="E256" i="5" l="1"/>
  <c r="H256" i="5" s="1"/>
  <c r="G256" i="5"/>
  <c r="I256" i="5" l="1"/>
  <c r="D257" i="5" s="1"/>
  <c r="E257" i="5" l="1"/>
  <c r="H257" i="5" s="1"/>
  <c r="G257" i="5"/>
  <c r="I257" i="5" l="1"/>
  <c r="D258" i="5" s="1"/>
  <c r="E258" i="5" l="1"/>
  <c r="G258" i="5"/>
  <c r="H258" i="5" l="1"/>
  <c r="I258" i="5" l="1"/>
  <c r="D259" i="5" s="1"/>
  <c r="E259" i="5" l="1"/>
  <c r="H259" i="5" s="1"/>
  <c r="G259" i="5"/>
  <c r="I259" i="5" l="1"/>
  <c r="D260" i="5" s="1"/>
  <c r="G260" i="5" s="1"/>
  <c r="H260" i="5" s="1"/>
  <c r="I260" i="5" s="1"/>
  <c r="D261" i="5" s="1"/>
  <c r="F261" i="5" l="1"/>
  <c r="H261" i="5" s="1"/>
  <c r="G261" i="5"/>
  <c r="I261" i="5" l="1"/>
  <c r="D262" i="5" s="1"/>
  <c r="E262" i="5" l="1"/>
  <c r="H262" i="5" s="1"/>
  <c r="G262" i="5"/>
  <c r="I262" i="5" l="1"/>
  <c r="D263" i="5" s="1"/>
  <c r="E263" i="5" l="1"/>
  <c r="G263" i="5"/>
  <c r="H263" i="5" l="1"/>
  <c r="I263" i="5" l="1"/>
  <c r="D264" i="5" s="1"/>
  <c r="E264" i="5" l="1"/>
  <c r="H264" i="5" s="1"/>
  <c r="G264" i="5"/>
  <c r="I264" i="5" l="1"/>
  <c r="D265" i="5" s="1"/>
  <c r="E265" i="5" l="1"/>
  <c r="G265" i="5"/>
  <c r="H265" i="5" l="1"/>
  <c r="I265" i="5" l="1"/>
  <c r="D266" i="5" s="1"/>
  <c r="E266" i="5" l="1"/>
  <c r="H266" i="5" s="1"/>
  <c r="G266" i="5"/>
  <c r="I266" i="5" l="1"/>
  <c r="D267" i="5" s="1"/>
  <c r="G267" i="5" s="1"/>
  <c r="H267" i="5" s="1"/>
  <c r="I267" i="5" s="1"/>
  <c r="D268" i="5" s="1"/>
  <c r="F268" i="5" l="1"/>
  <c r="G268" i="5"/>
  <c r="H268" i="5" l="1"/>
  <c r="I268" i="5" l="1"/>
  <c r="D269" i="5" s="1"/>
  <c r="E269" i="5" l="1"/>
  <c r="G269" i="5"/>
  <c r="H269" i="5" l="1"/>
  <c r="I269" i="5" l="1"/>
  <c r="D270" i="5" s="1"/>
  <c r="E270" i="5" l="1"/>
  <c r="H270" i="5" s="1"/>
  <c r="G270" i="5"/>
  <c r="I270" i="5" l="1"/>
  <c r="D271" i="5" s="1"/>
  <c r="E271" i="5" l="1"/>
  <c r="H271" i="5" s="1"/>
  <c r="G271" i="5"/>
  <c r="I271" i="5" l="1"/>
  <c r="D272" i="5" s="1"/>
  <c r="E272" i="5" l="1"/>
  <c r="H272" i="5" s="1"/>
  <c r="G272" i="5"/>
  <c r="I272" i="5" l="1"/>
  <c r="D273" i="5" s="1"/>
  <c r="E273" i="5" l="1"/>
  <c r="H273" i="5" s="1"/>
  <c r="G273" i="5"/>
  <c r="I273" i="5" l="1"/>
  <c r="D274" i="5" s="1"/>
  <c r="G274" i="5" s="1"/>
  <c r="H274" i="5" s="1"/>
  <c r="I274" i="5" s="1"/>
  <c r="D275" i="5" s="1"/>
  <c r="F275" i="5" l="1"/>
  <c r="G275" i="5"/>
  <c r="H275" i="5" l="1"/>
  <c r="I275" i="5" l="1"/>
  <c r="D276" i="5" s="1"/>
  <c r="E276" i="5" l="1"/>
  <c r="G276" i="5"/>
  <c r="H276" i="5" l="1"/>
  <c r="I276" i="5" l="1"/>
  <c r="D277" i="5" s="1"/>
  <c r="E277" i="5" l="1"/>
  <c r="G277" i="5"/>
  <c r="H277" i="5" l="1"/>
  <c r="I277" i="5" l="1"/>
  <c r="D278" i="5" s="1"/>
  <c r="E278" i="5" l="1"/>
  <c r="H278" i="5" s="1"/>
  <c r="G278" i="5"/>
  <c r="I278" i="5" l="1"/>
  <c r="D279" i="5" s="1"/>
  <c r="E279" i="5" l="1"/>
  <c r="G279" i="5"/>
  <c r="H279" i="5" l="1"/>
  <c r="I279" i="5" l="1"/>
  <c r="D280" i="5" s="1"/>
  <c r="E280" i="5" l="1"/>
  <c r="H280" i="5" s="1"/>
  <c r="G280" i="5"/>
  <c r="I280" i="5" l="1"/>
  <c r="D281" i="5" s="1"/>
  <c r="G281" i="5" s="1"/>
  <c r="H281" i="5" s="1"/>
  <c r="I281" i="5" s="1"/>
  <c r="D282" i="5" s="1"/>
  <c r="F282" i="5" l="1"/>
  <c r="G282" i="5"/>
  <c r="H282" i="5" l="1"/>
  <c r="I282" i="5" l="1"/>
  <c r="D283" i="5" s="1"/>
  <c r="E283" i="5" l="1"/>
  <c r="H283" i="5" s="1"/>
  <c r="G283" i="5"/>
  <c r="I283" i="5" l="1"/>
  <c r="D284" i="5" s="1"/>
  <c r="E284" i="5" l="1"/>
  <c r="H284" i="5" s="1"/>
  <c r="G284" i="5"/>
  <c r="I284" i="5" l="1"/>
  <c r="D285" i="5" s="1"/>
  <c r="E285" i="5" l="1"/>
  <c r="G285" i="5"/>
  <c r="H285" i="5" l="1"/>
  <c r="I285" i="5" l="1"/>
  <c r="D286" i="5" s="1"/>
  <c r="E286" i="5" l="1"/>
  <c r="H286" i="5" s="1"/>
  <c r="G286" i="5"/>
  <c r="I286" i="5" l="1"/>
  <c r="D287" i="5" s="1"/>
  <c r="E287" i="5" l="1"/>
  <c r="H287" i="5" s="1"/>
  <c r="G287" i="5"/>
  <c r="I287" i="5" l="1"/>
  <c r="D288" i="5" s="1"/>
  <c r="G288" i="5" s="1"/>
  <c r="H288" i="5" s="1"/>
  <c r="I288" i="5" s="1"/>
  <c r="D289" i="5" s="1"/>
  <c r="F289" i="5" l="1"/>
  <c r="G289" i="5"/>
  <c r="H289" i="5" l="1"/>
  <c r="I289" i="5" l="1"/>
  <c r="D290" i="5" s="1"/>
  <c r="E290" i="5" l="1"/>
  <c r="H290" i="5" s="1"/>
  <c r="G290" i="5"/>
  <c r="I290" i="5" l="1"/>
  <c r="D291" i="5" s="1"/>
  <c r="E291" i="5" l="1"/>
  <c r="H291" i="5" s="1"/>
  <c r="G291" i="5"/>
  <c r="I291" i="5" l="1"/>
  <c r="D292" i="5" s="1"/>
  <c r="E292" i="5" l="1"/>
  <c r="H292" i="5" s="1"/>
  <c r="G292" i="5"/>
  <c r="I292" i="5" l="1"/>
  <c r="D293" i="5" s="1"/>
  <c r="E293" i="5" l="1"/>
  <c r="H293" i="5" s="1"/>
  <c r="G293" i="5"/>
  <c r="I293" i="5" l="1"/>
  <c r="D294" i="5" s="1"/>
  <c r="E294" i="5" l="1"/>
  <c r="H294" i="5" s="1"/>
  <c r="G294" i="5"/>
  <c r="I294" i="5" l="1"/>
  <c r="D295" i="5" s="1"/>
  <c r="G295" i="5" s="1"/>
  <c r="H295" i="5" s="1"/>
  <c r="I295" i="5" s="1"/>
  <c r="D296" i="5" s="1"/>
  <c r="F296" i="5" l="1"/>
  <c r="G296" i="5"/>
  <c r="H296" i="5" l="1"/>
  <c r="I296" i="5" l="1"/>
  <c r="D297" i="5" s="1"/>
  <c r="E297" i="5" l="1"/>
  <c r="G297" i="5"/>
  <c r="H297" i="5" l="1"/>
  <c r="I297" i="5" l="1"/>
  <c r="D298" i="5" s="1"/>
  <c r="E298" i="5" l="1"/>
  <c r="G298" i="5"/>
  <c r="H298" i="5" l="1"/>
  <c r="I298" i="5" l="1"/>
  <c r="D299" i="5" s="1"/>
  <c r="E299" i="5" l="1"/>
  <c r="G299" i="5"/>
  <c r="H299" i="5" l="1"/>
  <c r="I299" i="5" l="1"/>
  <c r="D300" i="5" s="1"/>
  <c r="E300" i="5" l="1"/>
  <c r="G300" i="5"/>
  <c r="H300" i="5" l="1"/>
  <c r="I300" i="5" l="1"/>
  <c r="D301" i="5" s="1"/>
  <c r="E301" i="5" l="1"/>
  <c r="G301" i="5"/>
  <c r="H301" i="5" l="1"/>
  <c r="I301" i="5" l="1"/>
  <c r="D302" i="5" s="1"/>
  <c r="G302" i="5" s="1"/>
  <c r="H302" i="5" s="1"/>
  <c r="I302" i="5" s="1"/>
  <c r="D303" i="5" s="1"/>
  <c r="F303" i="5" l="1"/>
  <c r="G303" i="5"/>
  <c r="H303" i="5" l="1"/>
  <c r="I303" i="5" s="1"/>
  <c r="D304" i="5" s="1"/>
  <c r="E304" i="5" l="1"/>
  <c r="G304" i="5"/>
  <c r="H304" i="5" l="1"/>
  <c r="I304" i="5" s="1"/>
  <c r="D305" i="5" s="1"/>
  <c r="E305" i="5" l="1"/>
  <c r="H305" i="5" s="1"/>
  <c r="I305" i="5" s="1"/>
  <c r="D306" i="5" s="1"/>
  <c r="G305" i="5"/>
  <c r="E306" i="5" l="1"/>
  <c r="G306" i="5"/>
  <c r="H306" i="5" l="1"/>
  <c r="I306" i="5" s="1"/>
  <c r="D307" i="5" s="1"/>
  <c r="E307" i="5" l="1"/>
  <c r="G307" i="5"/>
  <c r="H307" i="5" l="1"/>
  <c r="I307" i="5" s="1"/>
  <c r="D308" i="5" s="1"/>
  <c r="E308" i="5" l="1"/>
  <c r="H308" i="5" s="1"/>
  <c r="I308" i="5" s="1"/>
  <c r="D309" i="5" s="1"/>
  <c r="G309" i="5" s="1"/>
  <c r="H309" i="5" s="1"/>
  <c r="I309" i="5" s="1"/>
  <c r="D310" i="5" s="1"/>
  <c r="G308" i="5"/>
  <c r="F310" i="5" l="1"/>
  <c r="G310" i="5"/>
  <c r="H310" i="5" l="1"/>
  <c r="I310" i="5" s="1"/>
  <c r="D311" i="5" s="1"/>
  <c r="E311" i="5" l="1"/>
  <c r="G311" i="5"/>
  <c r="H311" i="5" l="1"/>
  <c r="I311" i="5" s="1"/>
  <c r="D312" i="5" s="1"/>
  <c r="E312" i="5" l="1"/>
  <c r="G312" i="5"/>
  <c r="H312" i="5" l="1"/>
  <c r="I312" i="5" s="1"/>
  <c r="D313" i="5" s="1"/>
  <c r="E313" i="5" l="1"/>
  <c r="G313" i="5"/>
  <c r="H313" i="5" l="1"/>
  <c r="I313" i="5" s="1"/>
  <c r="D314" i="5" s="1"/>
  <c r="E314" i="5" l="1"/>
  <c r="H314" i="5" s="1"/>
  <c r="I314" i="5" s="1"/>
  <c r="D315" i="5" s="1"/>
  <c r="G314" i="5"/>
  <c r="E315" i="5" l="1"/>
  <c r="G315" i="5"/>
  <c r="H315" i="5" l="1"/>
  <c r="I315" i="5" s="1"/>
  <c r="D316" i="5" s="1"/>
  <c r="G316" i="5" l="1"/>
  <c r="H316" i="5" s="1"/>
  <c r="I316" i="5" s="1"/>
  <c r="D317" i="5" s="1"/>
  <c r="F317" i="5" l="1"/>
  <c r="G317" i="5"/>
  <c r="H317" i="5" l="1"/>
  <c r="I317" i="5" s="1"/>
  <c r="D318" i="5" s="1"/>
  <c r="E318" i="5" l="1"/>
  <c r="G318" i="5"/>
  <c r="H318" i="5" l="1"/>
  <c r="I318" i="5" s="1"/>
  <c r="D319" i="5" s="1"/>
  <c r="E319" i="5" l="1"/>
  <c r="G319" i="5"/>
  <c r="H319" i="5" l="1"/>
  <c r="I319" i="5" s="1"/>
  <c r="D320" i="5" s="1"/>
  <c r="E320" i="5" l="1"/>
  <c r="G320" i="5"/>
  <c r="H320" i="5" l="1"/>
  <c r="I320" i="5" s="1"/>
  <c r="D321" i="5" s="1"/>
  <c r="E321" i="5" l="1"/>
  <c r="G321" i="5"/>
  <c r="H321" i="5" l="1"/>
  <c r="I321" i="5" s="1"/>
  <c r="D322" i="5" s="1"/>
  <c r="E322" i="5" l="1"/>
  <c r="H322" i="5" s="1"/>
  <c r="I322" i="5" s="1"/>
  <c r="D323" i="5" s="1"/>
  <c r="G323" i="5" s="1"/>
  <c r="H323" i="5" s="1"/>
  <c r="I323" i="5" s="1"/>
  <c r="D324" i="5" s="1"/>
  <c r="G322" i="5"/>
  <c r="F324" i="5" l="1"/>
  <c r="G324" i="5"/>
  <c r="H324" i="5" l="1"/>
  <c r="I324" i="5" s="1"/>
  <c r="D325" i="5" s="1"/>
  <c r="E325" i="5" l="1"/>
  <c r="H325" i="5" s="1"/>
  <c r="I325" i="5" s="1"/>
  <c r="D326" i="5" s="1"/>
  <c r="G325" i="5"/>
  <c r="E326" i="5" l="1"/>
  <c r="H326" i="5" s="1"/>
  <c r="I326" i="5" s="1"/>
  <c r="D327" i="5" s="1"/>
  <c r="G326" i="5"/>
  <c r="E327" i="5" l="1"/>
  <c r="H327" i="5" s="1"/>
  <c r="I327" i="5" s="1"/>
  <c r="D328" i="5" s="1"/>
  <c r="G327" i="5"/>
  <c r="E328" i="5" l="1"/>
  <c r="H328" i="5" s="1"/>
  <c r="I328" i="5" s="1"/>
  <c r="D329" i="5" s="1"/>
  <c r="G328" i="5"/>
  <c r="E329" i="5" l="1"/>
  <c r="H329" i="5" s="1"/>
  <c r="I329" i="5" s="1"/>
  <c r="D330" i="5" s="1"/>
  <c r="G330" i="5" s="1"/>
  <c r="H330" i="5" s="1"/>
  <c r="I330" i="5" s="1"/>
  <c r="D331" i="5" s="1"/>
  <c r="G329" i="5"/>
  <c r="F331" i="5" l="1"/>
  <c r="G331" i="5"/>
  <c r="H331" i="5" l="1"/>
  <c r="I331" i="5" s="1"/>
  <c r="D332" i="5" s="1"/>
  <c r="E332" i="5" l="1"/>
  <c r="H332" i="5" s="1"/>
  <c r="I332" i="5" s="1"/>
  <c r="D333" i="5" s="1"/>
  <c r="G332" i="5"/>
  <c r="E333" i="5" l="1"/>
  <c r="G333" i="5"/>
  <c r="H333" i="5" l="1"/>
  <c r="I333" i="5" s="1"/>
  <c r="D334" i="5" s="1"/>
  <c r="E334" i="5" l="1"/>
  <c r="G334" i="5"/>
  <c r="H334" i="5" l="1"/>
  <c r="I334" i="5" s="1"/>
  <c r="D335" i="5" s="1"/>
  <c r="E335" i="5" l="1"/>
  <c r="G335" i="5"/>
  <c r="H335" i="5" l="1"/>
  <c r="I335" i="5" s="1"/>
  <c r="D336" i="5" s="1"/>
  <c r="E336" i="5" l="1"/>
  <c r="H336" i="5" s="1"/>
  <c r="I336" i="5" s="1"/>
  <c r="D337" i="5" s="1"/>
  <c r="G336" i="5"/>
  <c r="G337" i="5" l="1"/>
  <c r="H337" i="5" s="1"/>
  <c r="I337" i="5" s="1"/>
  <c r="D338" i="5" s="1"/>
  <c r="F338" i="5" l="1"/>
  <c r="G338" i="5"/>
  <c r="H338" i="5" l="1"/>
  <c r="I338" i="5" s="1"/>
  <c r="D339" i="5" s="1"/>
  <c r="E339" i="5" l="1"/>
  <c r="G339" i="5"/>
  <c r="H339" i="5" l="1"/>
  <c r="I339" i="5" s="1"/>
  <c r="D340" i="5" s="1"/>
  <c r="E340" i="5" l="1"/>
  <c r="G340" i="5"/>
  <c r="H340" i="5" l="1"/>
  <c r="I340" i="5" s="1"/>
  <c r="D341" i="5" s="1"/>
  <c r="E341" i="5" l="1"/>
  <c r="H341" i="5" s="1"/>
  <c r="I341" i="5" s="1"/>
  <c r="D342" i="5" s="1"/>
  <c r="G341" i="5"/>
  <c r="E342" i="5" l="1"/>
  <c r="H342" i="5" s="1"/>
  <c r="I342" i="5" s="1"/>
  <c r="D343" i="5" s="1"/>
  <c r="G342" i="5"/>
  <c r="E343" i="5" l="1"/>
  <c r="H343" i="5" s="1"/>
  <c r="I343" i="5" s="1"/>
  <c r="D344" i="5" s="1"/>
  <c r="G344" i="5" s="1"/>
  <c r="H344" i="5" s="1"/>
  <c r="I344" i="5" s="1"/>
  <c r="D345" i="5" s="1"/>
  <c r="G343" i="5"/>
  <c r="F345" i="5" l="1"/>
  <c r="H345" i="5" s="1"/>
  <c r="I345" i="5" s="1"/>
  <c r="D346" i="5" s="1"/>
  <c r="G345" i="5"/>
  <c r="E346" i="5" l="1"/>
  <c r="H346" i="5" s="1"/>
  <c r="I346" i="5" s="1"/>
  <c r="D347" i="5" s="1"/>
  <c r="G346" i="5"/>
  <c r="E347" i="5" l="1"/>
  <c r="H347" i="5" s="1"/>
  <c r="I347" i="5" s="1"/>
  <c r="D348" i="5" s="1"/>
  <c r="G347" i="5"/>
  <c r="E348" i="5" l="1"/>
  <c r="H348" i="5" s="1"/>
  <c r="I348" i="5" s="1"/>
  <c r="D349" i="5" s="1"/>
  <c r="G348" i="5"/>
  <c r="E349" i="5" l="1"/>
  <c r="H349" i="5" s="1"/>
  <c r="I349" i="5" s="1"/>
  <c r="D350" i="5" s="1"/>
  <c r="G349" i="5"/>
  <c r="E350" i="5" l="1"/>
  <c r="G350" i="5"/>
  <c r="H350" i="5" l="1"/>
  <c r="I350" i="5" s="1"/>
  <c r="D351" i="5" s="1"/>
  <c r="G351" i="5" s="1"/>
  <c r="H351" i="5" s="1"/>
  <c r="I351" i="5" s="1"/>
  <c r="D352" i="5" s="1"/>
  <c r="F352" i="5" l="1"/>
  <c r="G352" i="5"/>
  <c r="H352" i="5" l="1"/>
  <c r="I352" i="5" s="1"/>
  <c r="D353" i="5" s="1"/>
  <c r="E353" i="5" l="1"/>
  <c r="H353" i="5" s="1"/>
  <c r="I353" i="5" s="1"/>
  <c r="D354" i="5" s="1"/>
  <c r="G353" i="5"/>
  <c r="E354" i="5" l="1"/>
  <c r="G354" i="5"/>
  <c r="H354" i="5" l="1"/>
  <c r="I354" i="5" s="1"/>
  <c r="D355" i="5" s="1"/>
  <c r="E355" i="5" l="1"/>
  <c r="G355" i="5"/>
  <c r="H355" i="5" l="1"/>
  <c r="I355" i="5" s="1"/>
  <c r="D356" i="5" s="1"/>
  <c r="E356" i="5" l="1"/>
  <c r="G356" i="5"/>
  <c r="H356" i="5" l="1"/>
  <c r="I356" i="5" s="1"/>
  <c r="D357" i="5" s="1"/>
  <c r="E357" i="5" l="1"/>
  <c r="G357" i="5"/>
  <c r="H357" i="5" l="1"/>
  <c r="I357" i="5" s="1"/>
  <c r="D358" i="5" s="1"/>
  <c r="G358" i="5" l="1"/>
  <c r="H358" i="5" s="1"/>
  <c r="I358" i="5" s="1"/>
  <c r="D359" i="5" s="1"/>
  <c r="F359" i="5" l="1"/>
  <c r="H359" i="5" s="1"/>
  <c r="I359" i="5" s="1"/>
  <c r="D360" i="5" s="1"/>
  <c r="G359" i="5"/>
  <c r="E360" i="5" l="1"/>
  <c r="G360" i="5"/>
  <c r="H360" i="5" l="1"/>
  <c r="I360" i="5" s="1"/>
  <c r="D361" i="5" s="1"/>
  <c r="E361" i="5" l="1"/>
  <c r="G361" i="5"/>
  <c r="H361" i="5" l="1"/>
  <c r="I361" i="5" s="1"/>
  <c r="D362" i="5" s="1"/>
  <c r="E362" i="5" l="1"/>
  <c r="G362" i="5"/>
  <c r="H362" i="5" l="1"/>
  <c r="I362" i="5" s="1"/>
  <c r="D363" i="5" s="1"/>
  <c r="E363" i="5" l="1"/>
  <c r="H363" i="5" s="1"/>
  <c r="I363" i="5" s="1"/>
  <c r="D364" i="5" s="1"/>
  <c r="G363" i="5"/>
  <c r="E364" i="5" l="1"/>
  <c r="H364" i="5" s="1"/>
  <c r="I364" i="5" s="1"/>
  <c r="D365" i="5" s="1"/>
  <c r="G365" i="5" s="1"/>
  <c r="H365" i="5" s="1"/>
  <c r="I365" i="5" s="1"/>
  <c r="D366" i="5" s="1"/>
  <c r="G364" i="5"/>
  <c r="F366" i="5" l="1"/>
  <c r="H366" i="5" s="1"/>
  <c r="I366" i="5" s="1"/>
  <c r="D367" i="5" s="1"/>
  <c r="G366" i="5"/>
  <c r="E367" i="5" l="1"/>
  <c r="H367" i="5" s="1"/>
  <c r="I367" i="5" s="1"/>
  <c r="D368" i="5" s="1"/>
  <c r="G367" i="5"/>
  <c r="E368" i="5" l="1"/>
  <c r="H368" i="5" s="1"/>
  <c r="I368" i="5" s="1"/>
  <c r="D369" i="5" s="1"/>
  <c r="G368" i="5"/>
  <c r="E369" i="5" l="1"/>
  <c r="H369" i="5" s="1"/>
  <c r="I369" i="5" s="1"/>
  <c r="D370" i="5" s="1"/>
  <c r="G369" i="5"/>
  <c r="E370" i="5" l="1"/>
  <c r="H370" i="5" s="1"/>
  <c r="I370" i="5" s="1"/>
  <c r="D371" i="5" s="1"/>
  <c r="G370" i="5"/>
  <c r="E371" i="5" l="1"/>
  <c r="G371" i="5"/>
  <c r="H371" i="5" l="1"/>
  <c r="I371" i="5" s="1"/>
  <c r="D372" i="5" s="1"/>
  <c r="G372" i="5" s="1"/>
  <c r="H372" i="5" s="1"/>
  <c r="I372" i="5" s="1"/>
  <c r="D373" i="5" s="1"/>
  <c r="F373" i="5" l="1"/>
  <c r="H373" i="5" s="1"/>
  <c r="I373" i="5" s="1"/>
  <c r="D374" i="5" s="1"/>
  <c r="G373" i="5"/>
  <c r="E374" i="5" l="1"/>
  <c r="H374" i="5" s="1"/>
  <c r="I374" i="5" s="1"/>
  <c r="D375" i="5" s="1"/>
  <c r="G374" i="5"/>
  <c r="E375" i="5" l="1"/>
  <c r="H375" i="5" s="1"/>
  <c r="I375" i="5" s="1"/>
  <c r="D376" i="5" s="1"/>
  <c r="G375" i="5"/>
  <c r="E376" i="5" l="1"/>
  <c r="H376" i="5" s="1"/>
  <c r="I376" i="5" s="1"/>
  <c r="D377" i="5" s="1"/>
  <c r="G376" i="5"/>
  <c r="E377" i="5" l="1"/>
  <c r="H377" i="5" s="1"/>
  <c r="I377" i="5" s="1"/>
  <c r="D378" i="5" s="1"/>
  <c r="G377" i="5"/>
  <c r="E378" i="5" l="1"/>
  <c r="H378" i="5" s="1"/>
  <c r="I378" i="5" s="1"/>
  <c r="D379" i="5" s="1"/>
  <c r="G379" i="5" s="1"/>
  <c r="H379" i="5" s="1"/>
  <c r="I379" i="5" s="1"/>
  <c r="D380" i="5" s="1"/>
  <c r="G378" i="5"/>
  <c r="F380" i="5" l="1"/>
  <c r="G380" i="5"/>
  <c r="H380" i="5" l="1"/>
  <c r="I380" i="5" s="1"/>
  <c r="D381" i="5" s="1"/>
  <c r="E381" i="5" l="1"/>
  <c r="H381" i="5" s="1"/>
  <c r="I381" i="5" s="1"/>
  <c r="D382" i="5" s="1"/>
  <c r="G381" i="5"/>
  <c r="E382" i="5" l="1"/>
  <c r="H382" i="5" s="1"/>
  <c r="I382" i="5" s="1"/>
  <c r="D383" i="5" s="1"/>
  <c r="G382" i="5"/>
  <c r="E383" i="5" l="1"/>
  <c r="H383" i="5" s="1"/>
  <c r="I383" i="5" s="1"/>
  <c r="D384" i="5" s="1"/>
  <c r="G383" i="5"/>
  <c r="E384" i="5" l="1"/>
  <c r="H384" i="5" s="1"/>
  <c r="I384" i="5" s="1"/>
  <c r="D385" i="5" s="1"/>
  <c r="G384" i="5"/>
  <c r="E385" i="5" l="1"/>
  <c r="G385" i="5"/>
  <c r="H385" i="5" l="1"/>
  <c r="I385" i="5" s="1"/>
  <c r="D386" i="5" s="1"/>
  <c r="G386" i="5" s="1"/>
  <c r="H386" i="5" s="1"/>
  <c r="I386" i="5" s="1"/>
  <c r="D387" i="5" s="1"/>
  <c r="F387" i="5" l="1"/>
  <c r="G387" i="5"/>
  <c r="H387" i="5" l="1"/>
  <c r="I387" i="5" s="1"/>
  <c r="D388" i="5" s="1"/>
  <c r="E388" i="5" l="1"/>
  <c r="H388" i="5" s="1"/>
  <c r="I388" i="5" s="1"/>
  <c r="D389" i="5" s="1"/>
  <c r="G388" i="5"/>
  <c r="E389" i="5" l="1"/>
  <c r="H389" i="5" s="1"/>
  <c r="I389" i="5" s="1"/>
  <c r="D390" i="5" s="1"/>
  <c r="G389" i="5"/>
  <c r="E390" i="5" l="1"/>
  <c r="H390" i="5" s="1"/>
  <c r="I390" i="5" s="1"/>
  <c r="D391" i="5" s="1"/>
  <c r="G390" i="5"/>
  <c r="E391" i="5" l="1"/>
  <c r="H391" i="5" s="1"/>
  <c r="I391" i="5" s="1"/>
  <c r="D392" i="5" s="1"/>
  <c r="G391" i="5"/>
  <c r="E392" i="5" l="1"/>
  <c r="H392" i="5" s="1"/>
  <c r="I392" i="5" s="1"/>
  <c r="D393" i="5" s="1"/>
  <c r="G393" i="5" s="1"/>
  <c r="H393" i="5" s="1"/>
  <c r="I393" i="5" s="1"/>
  <c r="D394" i="5" s="1"/>
  <c r="G392" i="5"/>
  <c r="F394" i="5" l="1"/>
  <c r="H394" i="5" s="1"/>
  <c r="I394" i="5" s="1"/>
  <c r="D395" i="5" s="1"/>
  <c r="G394" i="5"/>
  <c r="E395" i="5" l="1"/>
  <c r="H395" i="5" s="1"/>
  <c r="I395" i="5" s="1"/>
  <c r="D396" i="5" s="1"/>
  <c r="G395" i="5"/>
  <c r="E396" i="5" l="1"/>
  <c r="H396" i="5" s="1"/>
  <c r="I396" i="5" s="1"/>
  <c r="D397" i="5" s="1"/>
  <c r="G396" i="5"/>
  <c r="E397" i="5" l="1"/>
  <c r="H397" i="5" s="1"/>
  <c r="I397" i="5" s="1"/>
  <c r="D398" i="5" s="1"/>
  <c r="G397" i="5"/>
  <c r="E398" i="5" l="1"/>
  <c r="H398" i="5" s="1"/>
  <c r="I398" i="5" s="1"/>
  <c r="D399" i="5" s="1"/>
  <c r="G398" i="5"/>
  <c r="E399" i="5" l="1"/>
  <c r="H399" i="5" s="1"/>
  <c r="I399" i="5" s="1"/>
  <c r="D400" i="5" s="1"/>
  <c r="G400" i="5" s="1"/>
  <c r="H400" i="5" s="1"/>
  <c r="I400" i="5" s="1"/>
  <c r="D401" i="5" s="1"/>
  <c r="G399" i="5"/>
  <c r="F401" i="5" l="1"/>
  <c r="G401" i="5"/>
  <c r="H401" i="5" l="1"/>
  <c r="I401" i="5" s="1"/>
  <c r="D402" i="5" s="1"/>
  <c r="E402" i="5" l="1"/>
  <c r="H402" i="5" s="1"/>
  <c r="I402" i="5" s="1"/>
  <c r="D403" i="5" s="1"/>
  <c r="G402" i="5"/>
  <c r="E403" i="5" l="1"/>
  <c r="H403" i="5" s="1"/>
  <c r="I403" i="5" s="1"/>
  <c r="D404" i="5" s="1"/>
  <c r="G403" i="5"/>
  <c r="E404" i="5" l="1"/>
  <c r="H404" i="5" s="1"/>
  <c r="I404" i="5" s="1"/>
  <c r="D405" i="5" s="1"/>
  <c r="G404" i="5"/>
  <c r="E405" i="5" l="1"/>
  <c r="H405" i="5" s="1"/>
  <c r="I405" i="5" s="1"/>
  <c r="D406" i="5" s="1"/>
  <c r="G405" i="5"/>
  <c r="E406" i="5" l="1"/>
  <c r="H406" i="5" s="1"/>
  <c r="I406" i="5" s="1"/>
  <c r="D407" i="5" s="1"/>
  <c r="G407" i="5" s="1"/>
  <c r="H407" i="5" s="1"/>
  <c r="I407" i="5" s="1"/>
  <c r="D408" i="5" s="1"/>
  <c r="G406" i="5"/>
  <c r="F408" i="5" l="1"/>
  <c r="G408" i="5"/>
  <c r="H408" i="5" l="1"/>
  <c r="I408" i="5" s="1"/>
  <c r="D409" i="5" s="1"/>
  <c r="E409" i="5" l="1"/>
  <c r="H409" i="5" s="1"/>
  <c r="I409" i="5" s="1"/>
  <c r="D410" i="5" s="1"/>
  <c r="G409" i="5"/>
  <c r="E410" i="5" l="1"/>
  <c r="H410" i="5" s="1"/>
  <c r="I410" i="5" s="1"/>
  <c r="D411" i="5" s="1"/>
  <c r="G410" i="5"/>
  <c r="E411" i="5" l="1"/>
  <c r="H411" i="5" s="1"/>
  <c r="I411" i="5" s="1"/>
  <c r="D412" i="5" s="1"/>
  <c r="G411" i="5"/>
  <c r="E412" i="5" l="1"/>
  <c r="G412" i="5"/>
  <c r="H412" i="5" l="1"/>
  <c r="I412" i="5" s="1"/>
  <c r="D413" i="5" s="1"/>
  <c r="E413" i="5" l="1"/>
  <c r="G413" i="5"/>
  <c r="H413" i="5" l="1"/>
  <c r="I413" i="5" s="1"/>
  <c r="D414" i="5" s="1"/>
  <c r="G414" i="5" s="1"/>
  <c r="H414" i="5" s="1"/>
  <c r="I414" i="5" s="1"/>
  <c r="D415" i="5" s="1"/>
  <c r="F415" i="5" l="1"/>
  <c r="G415" i="5"/>
  <c r="H415" i="5" l="1"/>
  <c r="I415" i="5" s="1"/>
  <c r="D416" i="5" s="1"/>
  <c r="E416" i="5" l="1"/>
  <c r="G416" i="5"/>
  <c r="H416" i="5" l="1"/>
  <c r="I416" i="5" s="1"/>
  <c r="D417" i="5" s="1"/>
  <c r="E417" i="5" l="1"/>
  <c r="G417" i="5"/>
  <c r="H417" i="5" l="1"/>
  <c r="I417" i="5" s="1"/>
  <c r="D418" i="5" s="1"/>
  <c r="E418" i="5" l="1"/>
  <c r="H418" i="5" s="1"/>
  <c r="I418" i="5" s="1"/>
  <c r="D419" i="5" s="1"/>
  <c r="G418" i="5"/>
  <c r="E419" i="5" l="1"/>
  <c r="H419" i="5" s="1"/>
  <c r="I419" i="5" s="1"/>
  <c r="D420" i="5" s="1"/>
  <c r="G419" i="5"/>
  <c r="E420" i="5" l="1"/>
  <c r="H420" i="5" s="1"/>
  <c r="I420" i="5" s="1"/>
  <c r="D421" i="5" s="1"/>
  <c r="G421" i="5" s="1"/>
  <c r="H421" i="5" s="1"/>
  <c r="I421" i="5" s="1"/>
  <c r="D422" i="5" s="1"/>
  <c r="G420" i="5"/>
  <c r="F422" i="5" l="1"/>
  <c r="G422" i="5"/>
  <c r="H422" i="5" l="1"/>
  <c r="I422" i="5" s="1"/>
  <c r="D423" i="5" s="1"/>
  <c r="E423" i="5" l="1"/>
  <c r="G423" i="5"/>
  <c r="H423" i="5" l="1"/>
  <c r="I423" i="5" s="1"/>
  <c r="D424" i="5" s="1"/>
  <c r="E424" i="5" l="1"/>
  <c r="G424" i="5"/>
  <c r="H424" i="5" l="1"/>
  <c r="I424" i="5" s="1"/>
  <c r="D425" i="5" s="1"/>
  <c r="E425" i="5" l="1"/>
  <c r="H425" i="5" s="1"/>
  <c r="I425" i="5" s="1"/>
  <c r="D426" i="5" s="1"/>
  <c r="G425" i="5"/>
  <c r="E426" i="5" l="1"/>
  <c r="H426" i="5" s="1"/>
  <c r="I426" i="5" s="1"/>
  <c r="D427" i="5" s="1"/>
  <c r="G426" i="5"/>
  <c r="E427" i="5" l="1"/>
  <c r="G427" i="5"/>
  <c r="H427" i="5" l="1"/>
  <c r="I427" i="5" s="1"/>
  <c r="D428" i="5" s="1"/>
  <c r="G428" i="5" s="1"/>
  <c r="H428" i="5" s="1"/>
  <c r="I428" i="5" s="1"/>
  <c r="D429" i="5" s="1"/>
  <c r="F429" i="5" l="1"/>
  <c r="G429" i="5"/>
  <c r="H429" i="5" l="1"/>
  <c r="I429" i="5" s="1"/>
  <c r="D430" i="5" s="1"/>
  <c r="E430" i="5" l="1"/>
  <c r="H430" i="5" s="1"/>
  <c r="I430" i="5" s="1"/>
  <c r="D431" i="5" s="1"/>
  <c r="G430" i="5"/>
  <c r="E431" i="5" l="1"/>
  <c r="H431" i="5" s="1"/>
  <c r="I431" i="5" s="1"/>
  <c r="D432" i="5" s="1"/>
  <c r="G431" i="5"/>
  <c r="E432" i="5" l="1"/>
  <c r="G432" i="5"/>
  <c r="H432" i="5" l="1"/>
  <c r="I432" i="5" s="1"/>
  <c r="D433" i="5" s="1"/>
  <c r="E433" i="5" l="1"/>
  <c r="H433" i="5" s="1"/>
  <c r="I433" i="5" s="1"/>
  <c r="D434" i="5" s="1"/>
  <c r="G433" i="5"/>
  <c r="E434" i="5" l="1"/>
  <c r="G434" i="5"/>
  <c r="H434" i="5" l="1"/>
  <c r="I434" i="5" s="1"/>
  <c r="D435" i="5" s="1"/>
  <c r="G435" i="5" s="1"/>
  <c r="H435" i="5" s="1"/>
  <c r="I435" i="5" s="1"/>
  <c r="D436" i="5" s="1"/>
  <c r="F436" i="5" l="1"/>
  <c r="G436" i="5"/>
  <c r="H436" i="5" l="1"/>
  <c r="I436" i="5" s="1"/>
  <c r="D437" i="5" s="1"/>
  <c r="E437" i="5" l="1"/>
  <c r="H437" i="5" s="1"/>
  <c r="I437" i="5" s="1"/>
  <c r="D438" i="5" s="1"/>
  <c r="G437" i="5"/>
  <c r="E438" i="5" l="1"/>
  <c r="H438" i="5" s="1"/>
  <c r="I438" i="5" s="1"/>
  <c r="D439" i="5" s="1"/>
  <c r="G438" i="5"/>
  <c r="E439" i="5" l="1"/>
  <c r="H439" i="5" s="1"/>
  <c r="I439" i="5" s="1"/>
  <c r="D440" i="5" s="1"/>
  <c r="G439" i="5"/>
  <c r="E440" i="5" l="1"/>
  <c r="H440" i="5" s="1"/>
  <c r="I440" i="5" s="1"/>
  <c r="D441" i="5" s="1"/>
  <c r="G440" i="5"/>
  <c r="E441" i="5" l="1"/>
  <c r="H441" i="5" s="1"/>
  <c r="I441" i="5" s="1"/>
  <c r="D442" i="5" s="1"/>
  <c r="G441" i="5"/>
  <c r="G442" i="5" l="1"/>
  <c r="H442" i="5" s="1"/>
  <c r="I442" i="5" s="1"/>
  <c r="D443" i="5" s="1"/>
  <c r="F443" i="5" l="1"/>
  <c r="G443" i="5"/>
  <c r="H443" i="5" l="1"/>
  <c r="I443" i="5" s="1"/>
  <c r="D444" i="5" s="1"/>
  <c r="E444" i="5" l="1"/>
  <c r="H444" i="5" s="1"/>
  <c r="I444" i="5" s="1"/>
  <c r="D445" i="5" s="1"/>
  <c r="G444" i="5"/>
  <c r="E445" i="5" l="1"/>
  <c r="H445" i="5" s="1"/>
  <c r="I445" i="5" s="1"/>
  <c r="D446" i="5" s="1"/>
  <c r="G445" i="5"/>
  <c r="E446" i="5" l="1"/>
  <c r="G446" i="5"/>
  <c r="H446" i="5" l="1"/>
  <c r="I446" i="5" s="1"/>
  <c r="D447" i="5" s="1"/>
  <c r="E447" i="5" l="1"/>
  <c r="H447" i="5" s="1"/>
  <c r="I447" i="5" s="1"/>
  <c r="D448" i="5" s="1"/>
  <c r="G447" i="5"/>
  <c r="E448" i="5" l="1"/>
  <c r="G448" i="5"/>
  <c r="H448" i="5" l="1"/>
  <c r="I448" i="5" s="1"/>
  <c r="D449" i="5" s="1"/>
  <c r="G449" i="5" s="1"/>
  <c r="H449" i="5" s="1"/>
  <c r="I449" i="5" s="1"/>
  <c r="D450" i="5" s="1"/>
  <c r="F450" i="5" l="1"/>
  <c r="G450" i="5"/>
  <c r="H450" i="5" l="1"/>
  <c r="I450" i="5" s="1"/>
  <c r="D451" i="5" s="1"/>
  <c r="E451" i="5" l="1"/>
  <c r="H451" i="5" s="1"/>
  <c r="I451" i="5" s="1"/>
  <c r="D452" i="5" s="1"/>
  <c r="G451" i="5"/>
  <c r="E452" i="5" l="1"/>
  <c r="H452" i="5" s="1"/>
  <c r="I452" i="5" s="1"/>
  <c r="D453" i="5" s="1"/>
  <c r="G452" i="5"/>
  <c r="E453" i="5" l="1"/>
  <c r="H453" i="5" s="1"/>
  <c r="I453" i="5" s="1"/>
  <c r="D454" i="5" s="1"/>
  <c r="G453" i="5"/>
  <c r="E454" i="5" l="1"/>
  <c r="H454" i="5" s="1"/>
  <c r="I454" i="5" s="1"/>
  <c r="D455" i="5" s="1"/>
  <c r="G454" i="5"/>
  <c r="E455" i="5" l="1"/>
  <c r="H455" i="5" s="1"/>
  <c r="I455" i="5" s="1"/>
  <c r="D456" i="5" s="1"/>
  <c r="G456" i="5" s="1"/>
  <c r="H456" i="5" s="1"/>
  <c r="I456" i="5" s="1"/>
  <c r="D457" i="5" s="1"/>
  <c r="G455" i="5"/>
  <c r="F457" i="5" l="1"/>
  <c r="G457" i="5"/>
  <c r="H457" i="5" l="1"/>
  <c r="I457" i="5" s="1"/>
  <c r="D458" i="5" s="1"/>
  <c r="E458" i="5" l="1"/>
  <c r="H458" i="5" s="1"/>
  <c r="I458" i="5" s="1"/>
  <c r="D459" i="5" s="1"/>
  <c r="G458" i="5"/>
  <c r="E459" i="5" l="1"/>
  <c r="H459" i="5" s="1"/>
  <c r="I459" i="5" s="1"/>
  <c r="D460" i="5" s="1"/>
  <c r="G459" i="5"/>
  <c r="E460" i="5" l="1"/>
  <c r="H460" i="5" s="1"/>
  <c r="I460" i="5" s="1"/>
  <c r="D461" i="5" s="1"/>
  <c r="G460" i="5"/>
  <c r="E461" i="5" l="1"/>
  <c r="H461" i="5" s="1"/>
  <c r="I461" i="5" s="1"/>
  <c r="D462" i="5" s="1"/>
  <c r="G461" i="5"/>
  <c r="E462" i="5" l="1"/>
  <c r="H462" i="5" s="1"/>
  <c r="I462" i="5" s="1"/>
  <c r="D463" i="5" s="1"/>
  <c r="G462" i="5"/>
  <c r="G463" i="5" l="1"/>
  <c r="H463" i="5" s="1"/>
  <c r="I463" i="5" s="1"/>
  <c r="D464" i="5" s="1"/>
  <c r="F464" i="5" l="1"/>
  <c r="G464" i="5"/>
  <c r="H464" i="5" l="1"/>
  <c r="I464" i="5" s="1"/>
  <c r="D465" i="5" s="1"/>
  <c r="E465" i="5" l="1"/>
  <c r="H465" i="5" s="1"/>
  <c r="I465" i="5" s="1"/>
  <c r="D466" i="5" s="1"/>
  <c r="G465" i="5"/>
  <c r="E466" i="5" l="1"/>
  <c r="G466" i="5"/>
  <c r="H466" i="5" l="1"/>
  <c r="I466" i="5" s="1"/>
  <c r="D467" i="5" s="1"/>
  <c r="E467" i="5" l="1"/>
  <c r="H467" i="5" s="1"/>
  <c r="I467" i="5" s="1"/>
  <c r="D468" i="5" s="1"/>
  <c r="G467" i="5"/>
  <c r="E468" i="5" l="1"/>
  <c r="H468" i="5" s="1"/>
  <c r="I468" i="5" s="1"/>
  <c r="D469" i="5" s="1"/>
  <c r="G468" i="5"/>
  <c r="E469" i="5" l="1"/>
  <c r="H469" i="5" s="1"/>
  <c r="I469" i="5" s="1"/>
  <c r="D470" i="5" s="1"/>
  <c r="G470" i="5" s="1"/>
  <c r="H470" i="5" s="1"/>
  <c r="I470" i="5" s="1"/>
  <c r="D471" i="5" s="1"/>
  <c r="G469" i="5"/>
  <c r="F471" i="5" l="1"/>
  <c r="G471" i="5"/>
  <c r="H471" i="5" l="1"/>
  <c r="I471" i="5" s="1"/>
  <c r="D472" i="5" s="1"/>
  <c r="E472" i="5" l="1"/>
  <c r="H472" i="5" s="1"/>
  <c r="I472" i="5" s="1"/>
  <c r="D473" i="5" s="1"/>
  <c r="G472" i="5"/>
  <c r="E473" i="5" l="1"/>
  <c r="H473" i="5" s="1"/>
  <c r="I473" i="5" s="1"/>
  <c r="D474" i="5" s="1"/>
  <c r="G473" i="5"/>
  <c r="E474" i="5" l="1"/>
  <c r="H474" i="5" s="1"/>
  <c r="I474" i="5" s="1"/>
  <c r="D475" i="5" s="1"/>
  <c r="G474" i="5"/>
  <c r="E475" i="5" l="1"/>
  <c r="H475" i="5" s="1"/>
  <c r="I475" i="5" s="1"/>
  <c r="D476" i="5" s="1"/>
  <c r="G475" i="5"/>
  <c r="E476" i="5" l="1"/>
  <c r="H476" i="5" s="1"/>
  <c r="I476" i="5" s="1"/>
  <c r="D477" i="5" s="1"/>
  <c r="G477" i="5" s="1"/>
  <c r="H477" i="5" s="1"/>
  <c r="I477" i="5" s="1"/>
  <c r="D478" i="5" s="1"/>
  <c r="G476" i="5"/>
  <c r="F478" i="5" l="1"/>
  <c r="H478" i="5" s="1"/>
  <c r="I478" i="5" s="1"/>
  <c r="D479" i="5" s="1"/>
  <c r="G478" i="5"/>
  <c r="E479" i="5" l="1"/>
  <c r="H479" i="5" s="1"/>
  <c r="I479" i="5" s="1"/>
  <c r="D480" i="5" s="1"/>
  <c r="G479" i="5"/>
  <c r="E480" i="5" l="1"/>
  <c r="G480" i="5"/>
  <c r="H480" i="5" l="1"/>
  <c r="I480" i="5" s="1"/>
  <c r="D481" i="5" s="1"/>
  <c r="E481" i="5" l="1"/>
  <c r="H481" i="5" s="1"/>
  <c r="I481" i="5" s="1"/>
  <c r="D482" i="5" s="1"/>
  <c r="G481" i="5"/>
  <c r="E482" i="5" l="1"/>
  <c r="H482" i="5" s="1"/>
  <c r="I482" i="5" s="1"/>
  <c r="D483" i="5" s="1"/>
  <c r="G482" i="5"/>
  <c r="E483" i="5" l="1"/>
  <c r="H483" i="5" s="1"/>
  <c r="I483" i="5" s="1"/>
  <c r="D484" i="5" s="1"/>
  <c r="G484" i="5" s="1"/>
  <c r="H484" i="5" s="1"/>
  <c r="I484" i="5" s="1"/>
  <c r="D485" i="5" s="1"/>
  <c r="G483" i="5"/>
  <c r="F485" i="5" l="1"/>
  <c r="H485" i="5" s="1"/>
  <c r="I485" i="5" s="1"/>
  <c r="D486" i="5" s="1"/>
  <c r="G485" i="5"/>
  <c r="E486" i="5" l="1"/>
  <c r="H486" i="5" s="1"/>
  <c r="I486" i="5" s="1"/>
  <c r="D487" i="5" s="1"/>
  <c r="G486" i="5"/>
  <c r="E487" i="5" l="1"/>
  <c r="H487" i="5" s="1"/>
  <c r="I487" i="5" s="1"/>
  <c r="D488" i="5" s="1"/>
  <c r="G487" i="5"/>
  <c r="E488" i="5" l="1"/>
  <c r="H488" i="5" s="1"/>
  <c r="I488" i="5" s="1"/>
  <c r="D489" i="5" s="1"/>
  <c r="G488" i="5"/>
  <c r="E489" i="5" l="1"/>
  <c r="H489" i="5" s="1"/>
  <c r="I489" i="5" s="1"/>
  <c r="D490" i="5" s="1"/>
  <c r="G489" i="5"/>
  <c r="E490" i="5" l="1"/>
  <c r="H490" i="5" s="1"/>
  <c r="I490" i="5" s="1"/>
  <c r="D491" i="5" s="1"/>
  <c r="G491" i="5" s="1"/>
  <c r="H491" i="5" s="1"/>
  <c r="I491" i="5" s="1"/>
  <c r="D492" i="5" s="1"/>
  <c r="G490" i="5"/>
  <c r="F492" i="5" l="1"/>
  <c r="H492" i="5" s="1"/>
  <c r="I492" i="5" s="1"/>
  <c r="D493" i="5" s="1"/>
  <c r="G492" i="5"/>
  <c r="E493" i="5" l="1"/>
  <c r="H493" i="5" s="1"/>
  <c r="I493" i="5" s="1"/>
  <c r="D494" i="5" s="1"/>
  <c r="G493" i="5"/>
  <c r="E494" i="5" l="1"/>
  <c r="H494" i="5" s="1"/>
  <c r="I494" i="5" s="1"/>
  <c r="D495" i="5" s="1"/>
  <c r="G494" i="5"/>
  <c r="E495" i="5" l="1"/>
  <c r="H495" i="5" s="1"/>
  <c r="I495" i="5" s="1"/>
  <c r="D496" i="5" s="1"/>
  <c r="G495" i="5"/>
  <c r="E496" i="5" l="1"/>
  <c r="H496" i="5" s="1"/>
  <c r="I496" i="5" s="1"/>
  <c r="D497" i="5" s="1"/>
  <c r="G496" i="5"/>
  <c r="E497" i="5" l="1"/>
  <c r="G497" i="5"/>
  <c r="H497" i="5" l="1"/>
  <c r="I497" i="5" s="1"/>
  <c r="D498" i="5" s="1"/>
  <c r="G498" i="5" s="1"/>
  <c r="H498" i="5" s="1"/>
  <c r="I498" i="5" s="1"/>
  <c r="D499" i="5" s="1"/>
  <c r="F499" i="5" l="1"/>
  <c r="G499" i="5"/>
  <c r="H499" i="5" l="1"/>
  <c r="I499" i="5" s="1"/>
  <c r="D500" i="5" s="1"/>
  <c r="E500" i="5" l="1"/>
  <c r="H500" i="5" s="1"/>
  <c r="I500" i="5" s="1"/>
  <c r="D501" i="5" s="1"/>
  <c r="G500" i="5"/>
  <c r="E501" i="5" l="1"/>
  <c r="H501" i="5" s="1"/>
  <c r="I501" i="5" s="1"/>
  <c r="D502" i="5" s="1"/>
  <c r="G501" i="5"/>
  <c r="E502" i="5" l="1"/>
  <c r="H502" i="5" s="1"/>
  <c r="I502" i="5" s="1"/>
  <c r="D503" i="5" s="1"/>
  <c r="G502" i="5"/>
  <c r="E503" i="5" l="1"/>
  <c r="G503" i="5"/>
  <c r="H503" i="5" l="1"/>
  <c r="I503" i="5" s="1"/>
  <c r="D504" i="5" s="1"/>
  <c r="E504" i="5" l="1"/>
  <c r="H504" i="5" s="1"/>
  <c r="I504" i="5" s="1"/>
  <c r="D505" i="5" s="1"/>
  <c r="G505" i="5" s="1"/>
  <c r="H505" i="5" s="1"/>
  <c r="I505" i="5" s="1"/>
  <c r="D506" i="5" s="1"/>
  <c r="G504" i="5"/>
  <c r="F506" i="5" l="1"/>
  <c r="G506" i="5"/>
  <c r="H506" i="5" l="1"/>
  <c r="I506" i="5" s="1"/>
  <c r="D507" i="5" s="1"/>
  <c r="E507" i="5" l="1"/>
  <c r="H507" i="5" s="1"/>
  <c r="I507" i="5" s="1"/>
  <c r="D508" i="5" s="1"/>
  <c r="G507" i="5"/>
  <c r="E508" i="5" l="1"/>
  <c r="H508" i="5" s="1"/>
  <c r="I508" i="5" s="1"/>
  <c r="D509" i="5" s="1"/>
  <c r="G508" i="5"/>
  <c r="E509" i="5" l="1"/>
  <c r="H509" i="5" s="1"/>
  <c r="I509" i="5" s="1"/>
  <c r="D510" i="5" s="1"/>
  <c r="G509" i="5"/>
  <c r="E510" i="5" l="1"/>
  <c r="H510" i="5" s="1"/>
  <c r="I510" i="5" s="1"/>
  <c r="D511" i="5" s="1"/>
  <c r="G510" i="5"/>
  <c r="E511" i="5" l="1"/>
  <c r="H511" i="5" s="1"/>
  <c r="I511" i="5" s="1"/>
  <c r="D512" i="5" s="1"/>
  <c r="G511" i="5"/>
  <c r="G512" i="5" l="1"/>
  <c r="H512" i="5" s="1"/>
  <c r="I512" i="5" s="1"/>
  <c r="D513" i="5" s="1"/>
  <c r="F513" i="5" l="1"/>
  <c r="G513" i="5"/>
  <c r="H513" i="5" l="1"/>
  <c r="I513" i="5" s="1"/>
  <c r="D514" i="5" s="1"/>
  <c r="E514" i="5" l="1"/>
  <c r="H514" i="5" s="1"/>
  <c r="I514" i="5" s="1"/>
  <c r="D515" i="5" s="1"/>
  <c r="G514" i="5"/>
  <c r="E515" i="5" l="1"/>
  <c r="H515" i="5" s="1"/>
  <c r="I515" i="5" s="1"/>
  <c r="D516" i="5" s="1"/>
  <c r="G515" i="5"/>
  <c r="E516" i="5" l="1"/>
  <c r="H516" i="5" s="1"/>
  <c r="I516" i="5" s="1"/>
  <c r="D517" i="5" s="1"/>
  <c r="G516" i="5"/>
  <c r="E517" i="5" l="1"/>
  <c r="H517" i="5" s="1"/>
  <c r="I517" i="5" s="1"/>
  <c r="D518" i="5" s="1"/>
  <c r="G517" i="5"/>
  <c r="E518" i="5" l="1"/>
  <c r="H518" i="5" s="1"/>
  <c r="I518" i="5" s="1"/>
  <c r="D519" i="5" s="1"/>
  <c r="G519" i="5" s="1"/>
  <c r="H519" i="5" s="1"/>
  <c r="I519" i="5" s="1"/>
  <c r="D520" i="5" s="1"/>
  <c r="G518" i="5"/>
  <c r="F520" i="5" l="1"/>
  <c r="H520" i="5" s="1"/>
  <c r="I520" i="5" s="1"/>
  <c r="D521" i="5" s="1"/>
  <c r="G520" i="5"/>
  <c r="E521" i="5" l="1"/>
  <c r="H521" i="5" s="1"/>
  <c r="I521" i="5" s="1"/>
  <c r="D522" i="5" s="1"/>
  <c r="G521" i="5"/>
  <c r="E522" i="5" l="1"/>
  <c r="G522" i="5"/>
  <c r="H522" i="5" l="1"/>
  <c r="I522" i="5" s="1"/>
  <c r="D523" i="5" s="1"/>
  <c r="E523" i="5" l="1"/>
  <c r="H523" i="5" s="1"/>
  <c r="I523" i="5" s="1"/>
  <c r="D524" i="5" s="1"/>
  <c r="G523" i="5"/>
  <c r="E524" i="5" l="1"/>
  <c r="H524" i="5" s="1"/>
  <c r="I524" i="5" s="1"/>
  <c r="D525" i="5" s="1"/>
  <c r="G524" i="5"/>
  <c r="E525" i="5" l="1"/>
  <c r="H525" i="5" s="1"/>
  <c r="I525" i="5" s="1"/>
  <c r="D526" i="5" s="1"/>
  <c r="G526" i="5" s="1"/>
  <c r="H526" i="5" s="1"/>
  <c r="I526" i="5" s="1"/>
  <c r="D527" i="5" s="1"/>
  <c r="G525" i="5"/>
  <c r="F527" i="5" l="1"/>
  <c r="G527" i="5"/>
  <c r="H527" i="5" l="1"/>
  <c r="I527" i="5" s="1"/>
  <c r="D528" i="5" s="1"/>
  <c r="E528" i="5" l="1"/>
  <c r="H528" i="5" s="1"/>
  <c r="I528" i="5" s="1"/>
  <c r="D529" i="5" s="1"/>
  <c r="G528" i="5"/>
  <c r="E529" i="5" l="1"/>
  <c r="G529" i="5"/>
  <c r="H529" i="5" l="1"/>
  <c r="I529" i="5" s="1"/>
  <c r="D530" i="5" s="1"/>
  <c r="E530" i="5" l="1"/>
  <c r="H530" i="5" s="1"/>
  <c r="I530" i="5" s="1"/>
  <c r="D531" i="5" s="1"/>
  <c r="G530" i="5"/>
  <c r="E531" i="5" l="1"/>
  <c r="H531" i="5" s="1"/>
  <c r="I531" i="5" s="1"/>
  <c r="D532" i="5" s="1"/>
  <c r="G531" i="5"/>
  <c r="E532" i="5" l="1"/>
  <c r="H532" i="5" s="1"/>
  <c r="I532" i="5" s="1"/>
  <c r="D533" i="5" s="1"/>
  <c r="G533" i="5" s="1"/>
  <c r="H533" i="5" s="1"/>
  <c r="I533" i="5" s="1"/>
  <c r="D534" i="5" s="1"/>
  <c r="G532" i="5"/>
  <c r="F534" i="5" l="1"/>
  <c r="H534" i="5" s="1"/>
  <c r="I534" i="5" s="1"/>
  <c r="D535" i="5" s="1"/>
  <c r="G534" i="5"/>
  <c r="E535" i="5" l="1"/>
  <c r="H535" i="5" s="1"/>
  <c r="I535" i="5" s="1"/>
  <c r="D536" i="5" s="1"/>
  <c r="G535" i="5"/>
  <c r="E536" i="5" l="1"/>
  <c r="G536" i="5"/>
  <c r="H536" i="5" l="1"/>
  <c r="I536" i="5" s="1"/>
  <c r="D537" i="5" s="1"/>
  <c r="E537" i="5" l="1"/>
  <c r="G537" i="5"/>
  <c r="H537" i="5" l="1"/>
  <c r="I537" i="5" s="1"/>
  <c r="D538" i="5" s="1"/>
  <c r="E538" i="5" l="1"/>
  <c r="H538" i="5" s="1"/>
  <c r="I538" i="5" s="1"/>
  <c r="D539" i="5" s="1"/>
  <c r="G538" i="5"/>
  <c r="E539" i="5" l="1"/>
  <c r="H539" i="5" s="1"/>
  <c r="I539" i="5" s="1"/>
  <c r="D540" i="5" s="1"/>
  <c r="G539" i="5"/>
  <c r="D541" i="5" l="1"/>
  <c r="G540" i="5"/>
  <c r="H540" i="5" s="1"/>
  <c r="I540" i="5" s="1"/>
  <c r="F541" i="5" l="1"/>
  <c r="G541" i="5"/>
  <c r="H541" i="5" l="1"/>
  <c r="I541" i="5" s="1"/>
  <c r="D542" i="5" s="1"/>
  <c r="E542" i="5" l="1"/>
  <c r="H542" i="5" s="1"/>
  <c r="I542" i="5" s="1"/>
  <c r="D543" i="5" s="1"/>
  <c r="G542" i="5"/>
  <c r="E543" i="5" l="1"/>
  <c r="H543" i="5" s="1"/>
  <c r="I543" i="5" s="1"/>
  <c r="D544" i="5" s="1"/>
  <c r="G543" i="5"/>
  <c r="E544" i="5" l="1"/>
  <c r="H544" i="5" s="1"/>
  <c r="I544" i="5" s="1"/>
  <c r="D545" i="5" s="1"/>
  <c r="G544" i="5"/>
  <c r="E545" i="5" l="1"/>
  <c r="G545" i="5"/>
  <c r="H545" i="5" l="1"/>
  <c r="I545" i="5" s="1"/>
  <c r="D546" i="5" s="1"/>
  <c r="E546" i="5" l="1"/>
  <c r="G546" i="5"/>
  <c r="H546" i="5" l="1"/>
  <c r="I546" i="5" s="1"/>
  <c r="D547" i="5" s="1"/>
  <c r="G547" i="5" s="1"/>
  <c r="H547" i="5" s="1"/>
  <c r="I547" i="5" s="1"/>
  <c r="D548" i="5" s="1"/>
  <c r="F548" i="5" l="1"/>
  <c r="G548" i="5"/>
  <c r="H548" i="5" l="1"/>
  <c r="I548" i="5" s="1"/>
  <c r="D549" i="5" s="1"/>
  <c r="E549" i="5" l="1"/>
  <c r="G549" i="5"/>
  <c r="H549" i="5" l="1"/>
  <c r="I549" i="5" s="1"/>
  <c r="D550" i="5" s="1"/>
  <c r="E550" i="5" l="1"/>
  <c r="H550" i="5" s="1"/>
  <c r="I550" i="5" s="1"/>
  <c r="D551" i="5" s="1"/>
  <c r="G550" i="5"/>
  <c r="E551" i="5" l="1"/>
  <c r="H551" i="5" s="1"/>
  <c r="I551" i="5" s="1"/>
  <c r="D552" i="5" s="1"/>
  <c r="G551" i="5"/>
  <c r="E552" i="5" l="1"/>
  <c r="H552" i="5" s="1"/>
  <c r="I552" i="5" s="1"/>
  <c r="D553" i="5" s="1"/>
  <c r="G552" i="5"/>
  <c r="E553" i="5" l="1"/>
  <c r="H553" i="5" s="1"/>
  <c r="I553" i="5" s="1"/>
  <c r="D554" i="5" s="1"/>
  <c r="G553" i="5"/>
  <c r="G554" i="5" l="1"/>
  <c r="H554" i="5" s="1"/>
  <c r="I554" i="5" s="1"/>
  <c r="D555" i="5" s="1"/>
  <c r="F555" i="5" l="1"/>
  <c r="G555" i="5"/>
  <c r="H555" i="5" l="1"/>
  <c r="I555" i="5" s="1"/>
  <c r="D556" i="5" s="1"/>
  <c r="E556" i="5" l="1"/>
  <c r="G556" i="5"/>
  <c r="H556" i="5" l="1"/>
  <c r="I556" i="5" s="1"/>
  <c r="D557" i="5" s="1"/>
  <c r="E557" i="5" l="1"/>
  <c r="H557" i="5" s="1"/>
  <c r="I557" i="5" s="1"/>
  <c r="D558" i="5" s="1"/>
  <c r="G557" i="5"/>
  <c r="E558" i="5" l="1"/>
  <c r="G558" i="5"/>
  <c r="H558" i="5" l="1"/>
  <c r="I558" i="5" s="1"/>
  <c r="D559" i="5" s="1"/>
  <c r="E559" i="5" l="1"/>
  <c r="G559" i="5"/>
  <c r="H559" i="5" l="1"/>
  <c r="I559" i="5" s="1"/>
  <c r="D560" i="5" s="1"/>
  <c r="E560" i="5" l="1"/>
  <c r="G560" i="5"/>
  <c r="H560" i="5" l="1"/>
  <c r="I560" i="5" s="1"/>
  <c r="D561" i="5" s="1"/>
  <c r="G561" i="5" s="1"/>
  <c r="H561" i="5" s="1"/>
  <c r="I561" i="5" s="1"/>
  <c r="D562" i="5" s="1"/>
  <c r="F562" i="5" l="1"/>
  <c r="G562" i="5"/>
  <c r="H562" i="5" l="1"/>
  <c r="I562" i="5" s="1"/>
  <c r="D563" i="5" s="1"/>
  <c r="E563" i="5" l="1"/>
  <c r="G563" i="5"/>
  <c r="H563" i="5" l="1"/>
  <c r="I563" i="5" s="1"/>
  <c r="D564" i="5" s="1"/>
  <c r="E564" i="5" l="1"/>
  <c r="G564" i="5"/>
  <c r="H564" i="5" l="1"/>
  <c r="I564" i="5" s="1"/>
  <c r="D565" i="5" s="1"/>
  <c r="E565" i="5" l="1"/>
  <c r="G565" i="5"/>
  <c r="H565" i="5" l="1"/>
  <c r="I565" i="5" s="1"/>
  <c r="D566" i="5" s="1"/>
  <c r="E566" i="5" l="1"/>
  <c r="G566" i="5"/>
  <c r="H566" i="5" l="1"/>
  <c r="I566" i="5" s="1"/>
  <c r="D567" i="5" s="1"/>
  <c r="E567" i="5" l="1"/>
  <c r="G567" i="5"/>
  <c r="H567" i="5" l="1"/>
  <c r="I567" i="5" s="1"/>
  <c r="D568" i="5" s="1"/>
  <c r="G568" i="5" s="1"/>
  <c r="H568" i="5" s="1"/>
  <c r="I568" i="5" s="1"/>
  <c r="D569" i="5" s="1"/>
  <c r="F569" i="5" l="1"/>
  <c r="G569" i="5"/>
  <c r="H569" i="5" l="1"/>
  <c r="I569" i="5" s="1"/>
  <c r="D570" i="5" s="1"/>
  <c r="E570" i="5" l="1"/>
  <c r="H570" i="5" s="1"/>
  <c r="I570" i="5" s="1"/>
  <c r="D571" i="5" s="1"/>
  <c r="G570" i="5"/>
  <c r="E571" i="5" l="1"/>
  <c r="H571" i="5" s="1"/>
  <c r="I571" i="5" s="1"/>
  <c r="D572" i="5" s="1"/>
  <c r="G571" i="5"/>
  <c r="E572" i="5" l="1"/>
  <c r="G572" i="5"/>
  <c r="H572" i="5" l="1"/>
  <c r="I572" i="5" s="1"/>
  <c r="D573" i="5" s="1"/>
  <c r="E573" i="5" l="1"/>
  <c r="G573" i="5"/>
  <c r="H573" i="5" l="1"/>
  <c r="I573" i="5" s="1"/>
  <c r="D574" i="5" s="1"/>
  <c r="E574" i="5" l="1"/>
  <c r="H574" i="5" s="1"/>
  <c r="I574" i="5" s="1"/>
  <c r="D575" i="5" s="1"/>
  <c r="G575" i="5" s="1"/>
  <c r="H575" i="5" s="1"/>
  <c r="I575" i="5" s="1"/>
  <c r="D576" i="5" s="1"/>
  <c r="G574" i="5"/>
  <c r="F576" i="5" l="1"/>
  <c r="G576" i="5"/>
  <c r="H576" i="5" l="1"/>
  <c r="I576" i="5" s="1"/>
  <c r="D577" i="5" s="1"/>
  <c r="E577" i="5" l="1"/>
  <c r="H577" i="5" s="1"/>
  <c r="I577" i="5" s="1"/>
  <c r="D578" i="5" s="1"/>
  <c r="G577" i="5"/>
  <c r="E578" i="5" l="1"/>
  <c r="G578" i="5"/>
  <c r="H578" i="5" l="1"/>
  <c r="I578" i="5" s="1"/>
  <c r="D579" i="5" s="1"/>
  <c r="E579" i="5" l="1"/>
  <c r="H579" i="5" s="1"/>
  <c r="I579" i="5" s="1"/>
  <c r="D580" i="5" s="1"/>
  <c r="G579" i="5"/>
  <c r="E580" i="5" l="1"/>
  <c r="H580" i="5" s="1"/>
  <c r="I580" i="5" s="1"/>
  <c r="D581" i="5" s="1"/>
  <c r="G580" i="5"/>
  <c r="E581" i="5" l="1"/>
  <c r="H581" i="5" s="1"/>
  <c r="I581" i="5" s="1"/>
  <c r="D582" i="5" s="1"/>
  <c r="G582" i="5" s="1"/>
  <c r="H582" i="5" s="1"/>
  <c r="I582" i="5" s="1"/>
  <c r="D583" i="5" s="1"/>
  <c r="G581" i="5"/>
  <c r="F583" i="5" l="1"/>
  <c r="H583" i="5" s="1"/>
  <c r="I583" i="5" s="1"/>
  <c r="D584" i="5" s="1"/>
  <c r="G583" i="5"/>
  <c r="E584" i="5" l="1"/>
  <c r="H584" i="5" s="1"/>
  <c r="I584" i="5" s="1"/>
  <c r="D585" i="5" s="1"/>
  <c r="G584" i="5"/>
  <c r="E585" i="5" l="1"/>
  <c r="H585" i="5" s="1"/>
  <c r="I585" i="5" s="1"/>
  <c r="D586" i="5" s="1"/>
  <c r="G585" i="5"/>
  <c r="E586" i="5" l="1"/>
  <c r="H586" i="5" s="1"/>
  <c r="I586" i="5" s="1"/>
  <c r="D587" i="5" s="1"/>
  <c r="G586" i="5"/>
  <c r="E587" i="5" l="1"/>
  <c r="H587" i="5" s="1"/>
  <c r="I587" i="5" s="1"/>
  <c r="D588" i="5" s="1"/>
  <c r="G587" i="5"/>
  <c r="E588" i="5" l="1"/>
  <c r="H588" i="5" s="1"/>
  <c r="I588" i="5" s="1"/>
  <c r="D589" i="5" s="1"/>
  <c r="G589" i="5" s="1"/>
  <c r="H589" i="5" s="1"/>
  <c r="I589" i="5" s="1"/>
  <c r="D590" i="5" s="1"/>
  <c r="G588" i="5"/>
  <c r="F590" i="5" l="1"/>
  <c r="G590" i="5"/>
  <c r="H590" i="5" l="1"/>
  <c r="I590" i="5" s="1"/>
  <c r="D591" i="5" s="1"/>
  <c r="E591" i="5" l="1"/>
  <c r="G591" i="5"/>
  <c r="H591" i="5" l="1"/>
  <c r="I591" i="5" s="1"/>
  <c r="D592" i="5" s="1"/>
  <c r="E592" i="5" l="1"/>
  <c r="G592" i="5"/>
  <c r="H592" i="5" l="1"/>
  <c r="I592" i="5" s="1"/>
  <c r="D593" i="5" s="1"/>
  <c r="E593" i="5" l="1"/>
  <c r="G593" i="5"/>
  <c r="H593" i="5" l="1"/>
  <c r="I593" i="5" s="1"/>
  <c r="D594" i="5" s="1"/>
  <c r="E594" i="5" l="1"/>
  <c r="H594" i="5" s="1"/>
  <c r="I594" i="5" s="1"/>
  <c r="D595" i="5" s="1"/>
  <c r="G594" i="5"/>
  <c r="E595" i="5" l="1"/>
  <c r="H595" i="5" s="1"/>
  <c r="I595" i="5" s="1"/>
  <c r="D596" i="5" s="1"/>
  <c r="G596" i="5" s="1"/>
  <c r="H596" i="5" s="1"/>
  <c r="I596" i="5" s="1"/>
  <c r="D597" i="5" s="1"/>
  <c r="G595" i="5"/>
  <c r="F597" i="5" l="1"/>
  <c r="G597" i="5"/>
  <c r="H597" i="5" l="1"/>
  <c r="I597" i="5" s="1"/>
  <c r="D598" i="5" s="1"/>
  <c r="E598" i="5" l="1"/>
  <c r="G598" i="5"/>
  <c r="H598" i="5" l="1"/>
  <c r="I598" i="5" s="1"/>
  <c r="D599" i="5" s="1"/>
  <c r="E599" i="5" l="1"/>
  <c r="H599" i="5" s="1"/>
  <c r="I599" i="5" s="1"/>
  <c r="D600" i="5" s="1"/>
  <c r="G599" i="5"/>
  <c r="E600" i="5" l="1"/>
  <c r="H600" i="5" s="1"/>
  <c r="I600" i="5" s="1"/>
  <c r="D601" i="5" s="1"/>
  <c r="G600" i="5"/>
  <c r="E601" i="5" l="1"/>
  <c r="G601" i="5"/>
  <c r="H601" i="5" l="1"/>
  <c r="I601" i="5" s="1"/>
  <c r="D602" i="5" s="1"/>
  <c r="E602" i="5" l="1"/>
  <c r="G602" i="5"/>
  <c r="H602" i="5" l="1"/>
  <c r="I602" i="5" s="1"/>
  <c r="D603" i="5" s="1"/>
  <c r="G603" i="5" s="1"/>
  <c r="H603" i="5" s="1"/>
  <c r="I603" i="5" s="1"/>
  <c r="D604" i="5" s="1"/>
  <c r="F604" i="5" l="1"/>
  <c r="G604" i="5"/>
  <c r="H604" i="5" l="1"/>
  <c r="I604" i="5" s="1"/>
  <c r="D605" i="5" s="1"/>
  <c r="E605" i="5" l="1"/>
  <c r="H605" i="5" s="1"/>
  <c r="I605" i="5" s="1"/>
  <c r="D606" i="5" s="1"/>
  <c r="G605" i="5"/>
  <c r="E606" i="5" l="1"/>
  <c r="H606" i="5" s="1"/>
  <c r="I606" i="5" s="1"/>
  <c r="D607" i="5" s="1"/>
  <c r="G606" i="5"/>
  <c r="E607" i="5" l="1"/>
  <c r="H607" i="5" s="1"/>
  <c r="I607" i="5" s="1"/>
  <c r="D608" i="5" s="1"/>
  <c r="G607" i="5"/>
  <c r="E608" i="5" l="1"/>
  <c r="G608" i="5"/>
  <c r="H608" i="5" l="1"/>
  <c r="I608" i="5" s="1"/>
  <c r="D609" i="5" s="1"/>
  <c r="E609" i="5" l="1"/>
  <c r="G609" i="5"/>
  <c r="H609" i="5" l="1"/>
  <c r="I609" i="5" s="1"/>
  <c r="D610" i="5" s="1"/>
  <c r="G610" i="5" s="1"/>
  <c r="H610" i="5" s="1"/>
  <c r="I610" i="5" s="1"/>
  <c r="D611" i="5" s="1"/>
  <c r="F611" i="5" l="1"/>
  <c r="H611" i="5" s="1"/>
  <c r="I611" i="5" s="1"/>
  <c r="D612" i="5" s="1"/>
  <c r="G611" i="5"/>
  <c r="E612" i="5" l="1"/>
  <c r="H612" i="5" s="1"/>
  <c r="I612" i="5" s="1"/>
  <c r="D613" i="5" s="1"/>
  <c r="G612" i="5"/>
  <c r="E613" i="5" l="1"/>
  <c r="G613" i="5"/>
  <c r="H613" i="5" l="1"/>
  <c r="I613" i="5" s="1"/>
  <c r="D614" i="5" s="1"/>
  <c r="E614" i="5" l="1"/>
  <c r="G614" i="5"/>
  <c r="H614" i="5" l="1"/>
  <c r="I614" i="5" s="1"/>
  <c r="D615" i="5" s="1"/>
  <c r="E615" i="5" l="1"/>
  <c r="H615" i="5" s="1"/>
  <c r="I615" i="5" s="1"/>
  <c r="D616" i="5" s="1"/>
  <c r="G615" i="5"/>
  <c r="E616" i="5" l="1"/>
  <c r="H616" i="5" s="1"/>
  <c r="I616" i="5" s="1"/>
  <c r="D617" i="5" s="1"/>
  <c r="G617" i="5" s="1"/>
  <c r="H617" i="5" s="1"/>
  <c r="I617" i="5" s="1"/>
  <c r="D618" i="5" s="1"/>
  <c r="G616" i="5"/>
  <c r="F618" i="5" l="1"/>
  <c r="G618" i="5"/>
  <c r="H618" i="5" l="1"/>
  <c r="I618" i="5" s="1"/>
  <c r="D619" i="5" s="1"/>
  <c r="E619" i="5" l="1"/>
  <c r="G619" i="5"/>
  <c r="H619" i="5" l="1"/>
  <c r="I619" i="5" s="1"/>
  <c r="D620" i="5" s="1"/>
  <c r="E620" i="5" l="1"/>
  <c r="G620" i="5"/>
  <c r="H620" i="5" l="1"/>
  <c r="I620" i="5" s="1"/>
  <c r="D621" i="5" s="1"/>
  <c r="E621" i="5" l="1"/>
  <c r="H621" i="5" s="1"/>
  <c r="I621" i="5" s="1"/>
  <c r="D622" i="5" s="1"/>
  <c r="G621" i="5"/>
  <c r="E622" i="5" l="1"/>
  <c r="H622" i="5" s="1"/>
  <c r="I622" i="5" s="1"/>
  <c r="D623" i="5" s="1"/>
  <c r="G622" i="5"/>
  <c r="E623" i="5" l="1"/>
  <c r="H623" i="5" s="1"/>
  <c r="I623" i="5" s="1"/>
  <c r="D624" i="5" s="1"/>
  <c r="G624" i="5" s="1"/>
  <c r="H624" i="5" s="1"/>
  <c r="I624" i="5" s="1"/>
  <c r="D625" i="5" s="1"/>
  <c r="G623" i="5"/>
  <c r="F625" i="5" l="1"/>
  <c r="H625" i="5" s="1"/>
  <c r="I625" i="5" s="1"/>
  <c r="D626" i="5" s="1"/>
  <c r="G625" i="5"/>
  <c r="E626" i="5" l="1"/>
  <c r="H626" i="5" s="1"/>
  <c r="I626" i="5" s="1"/>
  <c r="D627" i="5" s="1"/>
  <c r="G626" i="5"/>
  <c r="E627" i="5" l="1"/>
  <c r="H627" i="5" s="1"/>
  <c r="I627" i="5" s="1"/>
  <c r="D628" i="5" s="1"/>
  <c r="G627" i="5"/>
  <c r="E628" i="5" l="1"/>
  <c r="H628" i="5" s="1"/>
  <c r="I628" i="5" s="1"/>
  <c r="D629" i="5" s="1"/>
  <c r="G628" i="5"/>
  <c r="E629" i="5" l="1"/>
  <c r="H629" i="5" s="1"/>
  <c r="I629" i="5" s="1"/>
  <c r="D630" i="5" s="1"/>
  <c r="G629" i="5"/>
  <c r="E630" i="5" l="1"/>
  <c r="H630" i="5" s="1"/>
  <c r="I630" i="5" s="1"/>
  <c r="D631" i="5" s="1"/>
  <c r="G631" i="5" s="1"/>
  <c r="H631" i="5" s="1"/>
  <c r="I631" i="5" s="1"/>
  <c r="D632" i="5" s="1"/>
  <c r="G630" i="5"/>
  <c r="F632" i="5" l="1"/>
  <c r="G632" i="5"/>
  <c r="H632" i="5" l="1"/>
  <c r="I632" i="5" s="1"/>
  <c r="D633" i="5" s="1"/>
  <c r="E633" i="5" l="1"/>
  <c r="H633" i="5" s="1"/>
  <c r="I633" i="5" s="1"/>
  <c r="D634" i="5" s="1"/>
  <c r="G633" i="5"/>
  <c r="E634" i="5" l="1"/>
  <c r="G634" i="5"/>
  <c r="H634" i="5" l="1"/>
  <c r="I634" i="5" s="1"/>
  <c r="D635" i="5" s="1"/>
  <c r="E635" i="5" l="1"/>
  <c r="G635" i="5"/>
  <c r="H635" i="5" l="1"/>
  <c r="I635" i="5" s="1"/>
  <c r="D636" i="5" s="1"/>
  <c r="E636" i="5" l="1"/>
  <c r="G636" i="5"/>
  <c r="H636" i="5" l="1"/>
  <c r="I636" i="5" s="1"/>
  <c r="D637" i="5" s="1"/>
  <c r="E637" i="5" l="1"/>
  <c r="H637" i="5" s="1"/>
  <c r="I637" i="5" s="1"/>
  <c r="D638" i="5" s="1"/>
  <c r="G638" i="5" s="1"/>
  <c r="H638" i="5" s="1"/>
  <c r="I638" i="5" s="1"/>
  <c r="D639" i="5" s="1"/>
  <c r="G637" i="5"/>
  <c r="F639" i="5" l="1"/>
  <c r="H639" i="5" s="1"/>
  <c r="I639" i="5" s="1"/>
  <c r="D640" i="5" s="1"/>
  <c r="G639" i="5"/>
  <c r="E640" i="5" l="1"/>
  <c r="G640" i="5"/>
  <c r="H640" i="5" l="1"/>
  <c r="I640" i="5" s="1"/>
  <c r="D641" i="5" s="1"/>
  <c r="E641" i="5" l="1"/>
  <c r="G641" i="5"/>
  <c r="H641" i="5" l="1"/>
  <c r="I641" i="5" s="1"/>
  <c r="D642" i="5" s="1"/>
  <c r="E642" i="5" l="1"/>
  <c r="H642" i="5" s="1"/>
  <c r="I642" i="5" s="1"/>
  <c r="D643" i="5" s="1"/>
  <c r="G642" i="5"/>
  <c r="E643" i="5" l="1"/>
  <c r="H643" i="5" s="1"/>
  <c r="I643" i="5" s="1"/>
  <c r="D644" i="5" s="1"/>
  <c r="G643" i="5"/>
  <c r="E644" i="5" l="1"/>
  <c r="H644" i="5" s="1"/>
  <c r="I644" i="5" s="1"/>
  <c r="D645" i="5" s="1"/>
  <c r="G645" i="5" s="1"/>
  <c r="H645" i="5" s="1"/>
  <c r="I645" i="5" s="1"/>
  <c r="D646" i="5" s="1"/>
  <c r="G644" i="5"/>
  <c r="F646" i="5" l="1"/>
  <c r="G646" i="5"/>
  <c r="H646" i="5" l="1"/>
  <c r="I646" i="5" s="1"/>
  <c r="D647" i="5" s="1"/>
  <c r="E647" i="5" l="1"/>
  <c r="H647" i="5" s="1"/>
  <c r="I647" i="5" s="1"/>
  <c r="D648" i="5" s="1"/>
  <c r="G647" i="5"/>
  <c r="E648" i="5" l="1"/>
  <c r="G648" i="5"/>
  <c r="H648" i="5" l="1"/>
  <c r="I648" i="5" s="1"/>
  <c r="D649" i="5" s="1"/>
  <c r="E649" i="5" l="1"/>
  <c r="H649" i="5" s="1"/>
  <c r="I649" i="5" s="1"/>
  <c r="D650" i="5" s="1"/>
  <c r="G649" i="5"/>
  <c r="E650" i="5" l="1"/>
  <c r="H650" i="5" s="1"/>
  <c r="I650" i="5" s="1"/>
  <c r="D651" i="5" s="1"/>
  <c r="G650" i="5"/>
  <c r="E651" i="5" l="1"/>
  <c r="H651" i="5" s="1"/>
  <c r="I651" i="5" s="1"/>
  <c r="D652" i="5" s="1"/>
  <c r="G652" i="5" s="1"/>
  <c r="H652" i="5" s="1"/>
  <c r="I652" i="5" s="1"/>
  <c r="D653" i="5" s="1"/>
  <c r="G651" i="5"/>
  <c r="F653" i="5" l="1"/>
  <c r="G653" i="5"/>
  <c r="H653" i="5" l="1"/>
  <c r="I653" i="5" s="1"/>
  <c r="D654" i="5" s="1"/>
  <c r="E654" i="5" l="1"/>
  <c r="G654" i="5"/>
  <c r="H654" i="5" l="1"/>
  <c r="I654" i="5" s="1"/>
  <c r="D655" i="5" s="1"/>
  <c r="E655" i="5" l="1"/>
  <c r="H655" i="5" s="1"/>
  <c r="I655" i="5" s="1"/>
  <c r="D656" i="5" s="1"/>
  <c r="G655" i="5"/>
  <c r="E656" i="5" l="1"/>
  <c r="H656" i="5" s="1"/>
  <c r="I656" i="5" s="1"/>
  <c r="D657" i="5" s="1"/>
  <c r="G656" i="5"/>
  <c r="E657" i="5" l="1"/>
  <c r="H657" i="5" s="1"/>
  <c r="I657" i="5" s="1"/>
  <c r="D658" i="5" s="1"/>
  <c r="G657" i="5"/>
  <c r="E658" i="5" l="1"/>
  <c r="G658" i="5"/>
  <c r="H658" i="5" l="1"/>
  <c r="I658" i="5" s="1"/>
  <c r="D659" i="5" s="1"/>
  <c r="G659" i="5" s="1"/>
  <c r="H659" i="5" s="1"/>
  <c r="I659" i="5" s="1"/>
  <c r="D660" i="5" s="1"/>
  <c r="F660" i="5" l="1"/>
  <c r="G660" i="5"/>
  <c r="H660" i="5" l="1"/>
  <c r="I660" i="5" s="1"/>
  <c r="D661" i="5" s="1"/>
  <c r="E661" i="5" l="1"/>
  <c r="H661" i="5" s="1"/>
  <c r="I661" i="5" s="1"/>
  <c r="D662" i="5" s="1"/>
  <c r="G661" i="5"/>
  <c r="E662" i="5" l="1"/>
  <c r="H662" i="5" s="1"/>
  <c r="I662" i="5" s="1"/>
  <c r="D663" i="5" s="1"/>
  <c r="G662" i="5"/>
  <c r="E663" i="5" l="1"/>
  <c r="H663" i="5" s="1"/>
  <c r="I663" i="5" s="1"/>
  <c r="D664" i="5" s="1"/>
  <c r="G663" i="5"/>
  <c r="E664" i="5" l="1"/>
  <c r="G664" i="5"/>
  <c r="H664" i="5" l="1"/>
  <c r="I664" i="5" s="1"/>
  <c r="D665" i="5" s="1"/>
  <c r="E665" i="5" l="1"/>
  <c r="H665" i="5" s="1"/>
  <c r="I665" i="5" s="1"/>
  <c r="D666" i="5" s="1"/>
  <c r="G666" i="5" s="1"/>
  <c r="H666" i="5" s="1"/>
  <c r="I666" i="5" s="1"/>
  <c r="D667" i="5" s="1"/>
  <c r="G665" i="5"/>
  <c r="F667" i="5" l="1"/>
  <c r="H667" i="5" s="1"/>
  <c r="I667" i="5" s="1"/>
  <c r="D668" i="5" s="1"/>
  <c r="G667" i="5"/>
  <c r="E668" i="5" l="1"/>
  <c r="H668" i="5" s="1"/>
  <c r="I668" i="5" s="1"/>
  <c r="D669" i="5" s="1"/>
  <c r="G668" i="5"/>
  <c r="E669" i="5" l="1"/>
  <c r="G669" i="5"/>
  <c r="H669" i="5" l="1"/>
  <c r="I669" i="5" s="1"/>
  <c r="D670" i="5" s="1"/>
  <c r="E670" i="5" l="1"/>
  <c r="H670" i="5" s="1"/>
  <c r="I670" i="5" s="1"/>
  <c r="D671" i="5" s="1"/>
  <c r="G670" i="5"/>
  <c r="E671" i="5" l="1"/>
  <c r="G671" i="5"/>
  <c r="H671" i="5" l="1"/>
  <c r="I671" i="5" s="1"/>
  <c r="D672" i="5" s="1"/>
  <c r="E672" i="5" l="1"/>
  <c r="H672" i="5" s="1"/>
  <c r="I672" i="5" s="1"/>
  <c r="D673" i="5" s="1"/>
  <c r="G673" i="5" s="1"/>
  <c r="H673" i="5" s="1"/>
  <c r="I673" i="5" s="1"/>
  <c r="D674" i="5" s="1"/>
  <c r="G672" i="5"/>
  <c r="F674" i="5" l="1"/>
  <c r="G674" i="5"/>
  <c r="H674" i="5" l="1"/>
  <c r="I674" i="5" s="1"/>
  <c r="D675" i="5" s="1"/>
  <c r="E675" i="5" l="1"/>
  <c r="H675" i="5" s="1"/>
  <c r="I675" i="5" s="1"/>
  <c r="D676" i="5" s="1"/>
  <c r="G675" i="5"/>
  <c r="E676" i="5" l="1"/>
  <c r="G676" i="5"/>
  <c r="H676" i="5" l="1"/>
  <c r="I676" i="5" s="1"/>
  <c r="D677" i="5" s="1"/>
  <c r="E677" i="5" l="1"/>
  <c r="G677" i="5"/>
  <c r="H677" i="5" l="1"/>
  <c r="I677" i="5" s="1"/>
  <c r="D678" i="5" s="1"/>
  <c r="E678" i="5" l="1"/>
  <c r="H678" i="5" s="1"/>
  <c r="I678" i="5" s="1"/>
  <c r="D679" i="5" s="1"/>
  <c r="G678" i="5"/>
  <c r="E679" i="5" l="1"/>
  <c r="H679" i="5" s="1"/>
  <c r="I679" i="5" s="1"/>
  <c r="D680" i="5" s="1"/>
  <c r="G680" i="5" s="1"/>
  <c r="H680" i="5" s="1"/>
  <c r="I680" i="5" s="1"/>
  <c r="D681" i="5" s="1"/>
  <c r="G679" i="5"/>
  <c r="F681" i="5" l="1"/>
  <c r="G681" i="5"/>
  <c r="H681" i="5" l="1"/>
  <c r="I681" i="5" s="1"/>
  <c r="D682" i="5" s="1"/>
  <c r="E682" i="5" l="1"/>
  <c r="G682" i="5"/>
  <c r="H682" i="5" l="1"/>
  <c r="I682" i="5" s="1"/>
  <c r="D683" i="5" s="1"/>
  <c r="E683" i="5" l="1"/>
  <c r="G683" i="5"/>
  <c r="H683" i="5" l="1"/>
  <c r="I683" i="5" s="1"/>
  <c r="D684" i="5" s="1"/>
  <c r="E684" i="5" l="1"/>
  <c r="H684" i="5" s="1"/>
  <c r="I684" i="5" s="1"/>
  <c r="D685" i="5" s="1"/>
  <c r="G684" i="5"/>
  <c r="E685" i="5" l="1"/>
  <c r="H685" i="5" s="1"/>
  <c r="I685" i="5" s="1"/>
  <c r="D686" i="5" s="1"/>
  <c r="G685" i="5"/>
  <c r="E686" i="5" l="1"/>
  <c r="H686" i="5" s="1"/>
  <c r="I686" i="5" s="1"/>
  <c r="D687" i="5" s="1"/>
  <c r="G687" i="5" s="1"/>
  <c r="H687" i="5" s="1"/>
  <c r="I687" i="5" s="1"/>
  <c r="D688" i="5" s="1"/>
  <c r="G686" i="5"/>
  <c r="F688" i="5" l="1"/>
  <c r="H688" i="5" s="1"/>
  <c r="I688" i="5" s="1"/>
  <c r="D689" i="5" s="1"/>
  <c r="G688" i="5"/>
  <c r="E689" i="5" l="1"/>
  <c r="H689" i="5" s="1"/>
  <c r="I689" i="5" s="1"/>
  <c r="D690" i="5" s="1"/>
  <c r="G689" i="5"/>
  <c r="E690" i="5" l="1"/>
  <c r="G690" i="5"/>
  <c r="H690" i="5" l="1"/>
  <c r="I690" i="5" s="1"/>
  <c r="D691" i="5" s="1"/>
  <c r="E691" i="5" l="1"/>
  <c r="G691" i="5"/>
  <c r="H691" i="5" l="1"/>
  <c r="I691" i="5" s="1"/>
  <c r="D692" i="5" s="1"/>
  <c r="E692" i="5" l="1"/>
  <c r="H692" i="5" s="1"/>
  <c r="I692" i="5" s="1"/>
  <c r="D693" i="5" s="1"/>
  <c r="G692" i="5"/>
  <c r="E693" i="5" l="1"/>
  <c r="G693" i="5"/>
  <c r="H693" i="5" l="1"/>
  <c r="I693" i="5" s="1"/>
  <c r="D694" i="5" s="1"/>
  <c r="G694" i="5" s="1"/>
  <c r="H694" i="5" s="1"/>
  <c r="I694" i="5" s="1"/>
  <c r="D695" i="5" s="1"/>
  <c r="F695" i="5" l="1"/>
  <c r="H695" i="5" s="1"/>
  <c r="I695" i="5" s="1"/>
  <c r="D696" i="5" s="1"/>
  <c r="G695" i="5"/>
  <c r="E696" i="5" l="1"/>
  <c r="H696" i="5" s="1"/>
  <c r="I696" i="5" s="1"/>
  <c r="D697" i="5" s="1"/>
  <c r="G696" i="5"/>
  <c r="E697" i="5" l="1"/>
  <c r="G697" i="5"/>
  <c r="H697" i="5" l="1"/>
  <c r="I697" i="5" s="1"/>
  <c r="D698" i="5" s="1"/>
  <c r="E698" i="5" l="1"/>
  <c r="H698" i="5" s="1"/>
  <c r="I698" i="5" s="1"/>
  <c r="D699" i="5" s="1"/>
  <c r="G698" i="5"/>
  <c r="E699" i="5" l="1"/>
  <c r="G699" i="5"/>
  <c r="H699" i="5" l="1"/>
  <c r="I699" i="5" s="1"/>
  <c r="D700" i="5" s="1"/>
  <c r="E700" i="5" l="1"/>
  <c r="H700" i="5" s="1"/>
  <c r="I700" i="5" s="1"/>
  <c r="D701" i="5" s="1"/>
  <c r="G701" i="5" s="1"/>
  <c r="H701" i="5" s="1"/>
  <c r="I701" i="5" s="1"/>
  <c r="D702" i="5" s="1"/>
  <c r="G700" i="5"/>
  <c r="F702" i="5" l="1"/>
  <c r="H702" i="5" s="1"/>
  <c r="I702" i="5" s="1"/>
  <c r="D703" i="5" s="1"/>
  <c r="G702" i="5"/>
  <c r="E703" i="5" l="1"/>
  <c r="G703" i="5"/>
  <c r="H703" i="5" l="1"/>
  <c r="I703" i="5" s="1"/>
  <c r="D704" i="5" s="1"/>
  <c r="E704" i="5" l="1"/>
  <c r="G704" i="5"/>
  <c r="H704" i="5" l="1"/>
  <c r="I704" i="5" s="1"/>
  <c r="D705" i="5" s="1"/>
  <c r="E705" i="5" l="1"/>
  <c r="H705" i="5" s="1"/>
  <c r="I705" i="5" s="1"/>
  <c r="D706" i="5" s="1"/>
  <c r="G705" i="5"/>
  <c r="E706" i="5" l="1"/>
  <c r="H706" i="5" s="1"/>
  <c r="I706" i="5" s="1"/>
  <c r="D707" i="5" s="1"/>
  <c r="G706" i="5"/>
  <c r="E707" i="5" l="1"/>
  <c r="H707" i="5" s="1"/>
  <c r="I707" i="5" s="1"/>
  <c r="D708" i="5" s="1"/>
  <c r="G708" i="5" s="1"/>
  <c r="H708" i="5" s="1"/>
  <c r="I708" i="5" s="1"/>
  <c r="D709" i="5" s="1"/>
  <c r="G707" i="5"/>
  <c r="F709" i="5" l="1"/>
  <c r="G709" i="5"/>
  <c r="H709" i="5" l="1"/>
  <c r="I709" i="5" s="1"/>
  <c r="D710" i="5" s="1"/>
  <c r="E710" i="5" l="1"/>
  <c r="H710" i="5" s="1"/>
  <c r="I710" i="5" s="1"/>
  <c r="D711" i="5" s="1"/>
  <c r="G710" i="5"/>
  <c r="E711" i="5" l="1"/>
  <c r="H711" i="5" s="1"/>
  <c r="I711" i="5" s="1"/>
  <c r="D712" i="5" s="1"/>
  <c r="G711" i="5"/>
  <c r="E712" i="5" l="1"/>
  <c r="H712" i="5" s="1"/>
  <c r="I712" i="5" s="1"/>
  <c r="D713" i="5" s="1"/>
  <c r="G712" i="5"/>
  <c r="E713" i="5" l="1"/>
  <c r="H713" i="5" s="1"/>
  <c r="I713" i="5" s="1"/>
  <c r="D714" i="5" s="1"/>
  <c r="G713" i="5"/>
  <c r="E714" i="5" l="1"/>
  <c r="G714" i="5"/>
  <c r="H714" i="5" l="1"/>
  <c r="I714" i="5" s="1"/>
  <c r="D715" i="5" s="1"/>
  <c r="G715" i="5" s="1"/>
  <c r="H715" i="5" s="1"/>
  <c r="I715" i="5" s="1"/>
  <c r="D716" i="5" s="1"/>
  <c r="F716" i="5" l="1"/>
  <c r="H716" i="5" s="1"/>
  <c r="I716" i="5" s="1"/>
  <c r="D717" i="5" s="1"/>
  <c r="G716" i="5"/>
  <c r="E717" i="5" l="1"/>
  <c r="G717" i="5"/>
  <c r="H717" i="5" l="1"/>
  <c r="I717" i="5" s="1"/>
  <c r="D718" i="5" s="1"/>
  <c r="E718" i="5" l="1"/>
  <c r="G718" i="5"/>
  <c r="H718" i="5" l="1"/>
  <c r="I718" i="5" s="1"/>
  <c r="D719" i="5" s="1"/>
  <c r="E719" i="5" l="1"/>
  <c r="G719" i="5"/>
  <c r="H719" i="5" l="1"/>
  <c r="I719" i="5" s="1"/>
  <c r="D720" i="5" s="1"/>
  <c r="E720" i="5" l="1"/>
  <c r="H720" i="5" s="1"/>
  <c r="I720" i="5" s="1"/>
  <c r="D721" i="5" s="1"/>
  <c r="G720" i="5"/>
  <c r="E721" i="5" l="1"/>
  <c r="H721" i="5" s="1"/>
  <c r="I721" i="5" s="1"/>
  <c r="D722" i="5" s="1"/>
  <c r="G722" i="5" s="1"/>
  <c r="H722" i="5" s="1"/>
  <c r="I722" i="5" s="1"/>
  <c r="D723" i="5" s="1"/>
  <c r="G721" i="5"/>
  <c r="F723" i="5" l="1"/>
  <c r="H723" i="5" s="1"/>
  <c r="I723" i="5" s="1"/>
  <c r="D724" i="5" s="1"/>
  <c r="G723" i="5"/>
  <c r="E724" i="5" l="1"/>
  <c r="H724" i="5" s="1"/>
  <c r="I724" i="5" s="1"/>
  <c r="D725" i="5" s="1"/>
  <c r="G724" i="5"/>
  <c r="E725" i="5" l="1"/>
  <c r="H725" i="5" s="1"/>
  <c r="I725" i="5" s="1"/>
  <c r="D726" i="5" s="1"/>
  <c r="G725" i="5"/>
  <c r="E726" i="5" l="1"/>
  <c r="H726" i="5" s="1"/>
  <c r="I726" i="5" s="1"/>
  <c r="D727" i="5" s="1"/>
  <c r="G726" i="5"/>
  <c r="E727" i="5" l="1"/>
  <c r="G727" i="5"/>
  <c r="H727" i="5" l="1"/>
  <c r="I727" i="5" s="1"/>
  <c r="D728" i="5" s="1"/>
  <c r="E728" i="5" l="1"/>
  <c r="H728" i="5" s="1"/>
  <c r="I728" i="5" s="1"/>
  <c r="D729" i="5" s="1"/>
  <c r="G729" i="5" s="1"/>
  <c r="H729" i="5" s="1"/>
  <c r="I729" i="5" s="1"/>
  <c r="D730" i="5" s="1"/>
  <c r="G728" i="5"/>
  <c r="F730" i="5" l="1"/>
  <c r="G730" i="5"/>
  <c r="H730" i="5" l="1"/>
  <c r="I730" i="5" s="1"/>
  <c r="D731" i="5" s="1"/>
  <c r="E731" i="5" l="1"/>
  <c r="G731" i="5"/>
  <c r="H731" i="5" l="1"/>
  <c r="I731" i="5" s="1"/>
  <c r="D732" i="5" s="1"/>
  <c r="E732" i="5" l="1"/>
  <c r="G732" i="5"/>
  <c r="H732" i="5" l="1"/>
  <c r="I732" i="5" s="1"/>
  <c r="K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<sst xmlns="http://schemas.openxmlformats.org/spreadsheetml/2006/main" count="3766" uniqueCount="47">
  <si>
    <t>ROWERY</t>
  </si>
  <si>
    <t>cena_wypożyczenia_na_dzien</t>
  </si>
  <si>
    <t>koszt_serwisu</t>
  </si>
  <si>
    <t>koszt_zakupu_roweru</t>
  </si>
  <si>
    <t>pora roku</t>
  </si>
  <si>
    <t>popyt</t>
  </si>
  <si>
    <t>dzień_tyg</t>
  </si>
  <si>
    <t>data</t>
  </si>
  <si>
    <t>zima</t>
  </si>
  <si>
    <t>wiosna</t>
  </si>
  <si>
    <t>lato</t>
  </si>
  <si>
    <t>jesień</t>
  </si>
  <si>
    <t>pora_roku</t>
  </si>
  <si>
    <t>przychód</t>
  </si>
  <si>
    <t>stan_kosztów</t>
  </si>
  <si>
    <t>dochód</t>
  </si>
  <si>
    <t>stan_przychódów</t>
  </si>
  <si>
    <t>koszty</t>
  </si>
  <si>
    <t>stan_kosztów_po_roku</t>
  </si>
  <si>
    <t>stan_przychodów_po_roku</t>
  </si>
  <si>
    <t>czyKosztyMniejszeOdPrzychodów</t>
  </si>
  <si>
    <t>Suma końcowa</t>
  </si>
  <si>
    <t>2023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</si>
  <si>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</si>
  <si>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</si>
  <si>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</si>
  <si>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</si>
  <si>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</si>
  <si>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</si>
  <si>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</si>
  <si>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</si>
  <si>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</si>
  <si>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</si>
  <si>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</si>
  <si>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</si>
  <si>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Lata (data)</t>
  </si>
  <si>
    <t>dochody</t>
  </si>
  <si>
    <t>miesiąc</t>
  </si>
  <si>
    <t>całk dochód</t>
  </si>
  <si>
    <t>a</t>
  </si>
  <si>
    <t>b</t>
  </si>
  <si>
    <t>c</t>
  </si>
  <si>
    <t>całk_dochód</t>
  </si>
  <si>
    <t>stan_rowerów</t>
  </si>
  <si>
    <t>ŁĄCZNE PRZYCHODY</t>
  </si>
  <si>
    <t>ŁĄCZNE KOSZTY</t>
  </si>
  <si>
    <t>koszty2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</si>
</sst>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ny" xfId="0" builtinId="0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[Zadanie5.xlsx]2!Tabela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Zestawienie miesięcznych dochodów w roku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'2'!$S$37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'2'!$R$38:$R$50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'2'!$S$38:$S$50</c:f>
              <c:numCache>
                <c:formatCode>General</c:formatCode>
                <c:ptCount val="12"/>
                <c:pt idx="0">
                  <c:v>-7430</c:v>
                </c:pt>
                <c:pt idx="1">
                  <c:v>600</c:v>
                </c:pt>
                <c:pt idx="2">
                  <c:v>1590</c:v>
                </c:pt>
                <c:pt idx="3">
                  <c:v>2250</c:v>
                </c:pt>
                <c:pt idx="4">
                  <c:v>2850</c:v>
                </c:pt>
                <c:pt idx="5">
                  <c:v>3660</c:v>
                </c:pt>
                <c:pt idx="6">
                  <c:v>4920</c:v>
                </c:pt>
                <c:pt idx="7">
                  <c:v>5610</c:v>
                </c:pt>
                <c:pt idx="8">
                  <c:v>4320</c:v>
                </c:pt>
                <c:pt idx="9">
                  <c:v>1890</c:v>
                </c:pt>
                <c:pt idx="10">
                  <c:v>2040</c:v>
                </c:pt>
                <c:pt idx="11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4-4C64-8A67-423F8CDD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087152"/>
        <c:axId val="1458185568"/>
      </c:barChart>
      <c:catAx>
        <c:axId val="188108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58185568"/>
        <c:crosses val="autoZero"/>
        <c:auto val="1"/>
        <c:lblAlgn val="ctr"/>
        <c:lblOffset val="100"/>
        <c:noMultiLvlLbl val="0"/>
      </c:catAx>
      <c:valAx>
        <c:axId val="14581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łączny dochód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108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25</xdr:row>
      <xdr:rowOff>66675</xdr:rowOff>
    </xdr:from>
    <xdr:to>
      <xdr:col>15</xdr:col>
      <xdr:colOff>1543050</xdr:colOff>
      <xdr:row>43</xdr:row>
      <xdr:rowOff>166687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73B8DB0-DD49-F60A-A2E1-05540FC19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5.719065393518" createdVersion="8" refreshedVersion="8" minRefreshableVersion="3" recordCount="731" xr:uid="{A0644C0C-593B-4FFD-99C6-F2707BBE33AB}">
  <cacheSource type="worksheet">
    <worksheetSource ref="A1:F732" sheet="2"/>
  </cacheSource>
  <cacheFields count="9">
    <cacheField name="data" numFmtId="14">
      <sharedItems containsSemiMixedTypes="0" containsNonDate="0" containsDate="1" containsString="0" minDate="2023-01-01T00:00:00" maxDate="2025-01-01T00:00:00" count="73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par="8"/>
    </cacheField>
    <cacheField name="dzień_tyg" numFmtId="0">
      <sharedItems containsSemiMixedTypes="0" containsString="0" containsNumber="1" containsInteger="1" minValue="1" maxValue="7" count="7">
        <n v="7"/>
        <n v="1"/>
        <n v="2"/>
        <n v="3"/>
        <n v="4"/>
        <n v="5"/>
        <n v="6"/>
      </sharedItems>
    </cacheField>
    <cacheField name="pora_roku" numFmtId="0">
      <sharedItems count="4">
        <s v="zima"/>
        <s v="wiosna"/>
        <s v="lato"/>
        <s v="jesień"/>
      </sharedItems>
    </cacheField>
    <cacheField name="przychód" numFmtId="0">
      <sharedItems containsSemiMixedTypes="0" containsString="0" containsNumber="1" containsInteger="1" minValue="0" maxValue="270"/>
    </cacheField>
    <cacheField name="koszty" numFmtId="0">
      <sharedItems containsSemiMixedTypes="0" containsString="0" containsNumber="1" containsInteger="1" minValue="0" maxValue="8150"/>
    </cacheField>
    <cacheField name="dochód" numFmtId="0">
      <sharedItems containsSemiMixedTypes="0" containsString="0" containsNumber="1" containsInteger="1" minValue="-8150" maxValue="270"/>
    </cacheField>
    <cacheField name="Miesiące (data)" numFmtId="0" databaseField="0">
      <fieldGroup base="0">
        <rangePr groupBy="months" startDate="2023-01-01T00:00:00" endDate="2025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5"/>
        </groupItems>
      </fieldGroup>
    </cacheField>
    <cacheField name="Kwartały (data)" numFmtId="0" databaseField="0">
      <fieldGroup base="0">
        <rangePr groupBy="quarters" startDate="2023-01-01T00:00:00" endDate="2025-01-01T00:00:00"/>
        <groupItems count="6">
          <s v="&lt;01.01.2023"/>
          <s v="Kwartał1"/>
          <s v="Kwartał2"/>
          <s v="Kwartał3"/>
          <s v="Kwartał4"/>
          <s v="&gt;01.01.2025"/>
        </groupItems>
      </fieldGroup>
    </cacheField>
    <cacheField name="Lata (data)" numFmtId="0" databaseField="0">
      <fieldGroup base="0">
        <rangePr groupBy="years" startDate="2023-01-01T00:00:00" endDate="2025-01-01T00:00:00"/>
        <groupItems count="5">
          <s v="&lt;01.01.2023"/>
          <s v="2023"/>
          <s v="2024"/>
          <s v="2025"/>
          <s v="&gt;01.0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x v="0"/>
    <x v="0"/>
    <n v="0"/>
    <n v="8150"/>
    <n v="-8150"/>
  </r>
  <r>
    <x v="1"/>
    <x v="1"/>
    <x v="0"/>
    <n v="60"/>
    <n v="0"/>
    <n v="60"/>
  </r>
  <r>
    <x v="2"/>
    <x v="2"/>
    <x v="0"/>
    <n v="60"/>
    <n v="0"/>
    <n v="60"/>
  </r>
  <r>
    <x v="3"/>
    <x v="3"/>
    <x v="0"/>
    <n v="60"/>
    <n v="0"/>
    <n v="60"/>
  </r>
  <r>
    <x v="4"/>
    <x v="4"/>
    <x v="0"/>
    <n v="60"/>
    <n v="0"/>
    <n v="60"/>
  </r>
  <r>
    <x v="5"/>
    <x v="5"/>
    <x v="0"/>
    <n v="60"/>
    <n v="0"/>
    <n v="60"/>
  </r>
  <r>
    <x v="6"/>
    <x v="6"/>
    <x v="0"/>
    <n v="0"/>
    <n v="0"/>
    <n v="0"/>
  </r>
  <r>
    <x v="7"/>
    <x v="0"/>
    <x v="0"/>
    <n v="0"/>
    <n v="150"/>
    <n v="-150"/>
  </r>
  <r>
    <x v="8"/>
    <x v="1"/>
    <x v="0"/>
    <n v="60"/>
    <n v="0"/>
    <n v="60"/>
  </r>
  <r>
    <x v="9"/>
    <x v="2"/>
    <x v="0"/>
    <n v="60"/>
    <n v="0"/>
    <n v="60"/>
  </r>
  <r>
    <x v="10"/>
    <x v="3"/>
    <x v="0"/>
    <n v="60"/>
    <n v="0"/>
    <n v="60"/>
  </r>
  <r>
    <x v="11"/>
    <x v="4"/>
    <x v="0"/>
    <n v="60"/>
    <n v="0"/>
    <n v="60"/>
  </r>
  <r>
    <x v="12"/>
    <x v="5"/>
    <x v="0"/>
    <n v="60"/>
    <n v="0"/>
    <n v="60"/>
  </r>
  <r>
    <x v="13"/>
    <x v="6"/>
    <x v="0"/>
    <n v="0"/>
    <n v="0"/>
    <n v="0"/>
  </r>
  <r>
    <x v="14"/>
    <x v="0"/>
    <x v="0"/>
    <n v="0"/>
    <n v="150"/>
    <n v="-150"/>
  </r>
  <r>
    <x v="15"/>
    <x v="1"/>
    <x v="0"/>
    <n v="60"/>
    <n v="0"/>
    <n v="60"/>
  </r>
  <r>
    <x v="16"/>
    <x v="2"/>
    <x v="0"/>
    <n v="60"/>
    <n v="0"/>
    <n v="60"/>
  </r>
  <r>
    <x v="17"/>
    <x v="3"/>
    <x v="0"/>
    <n v="60"/>
    <n v="0"/>
    <n v="60"/>
  </r>
  <r>
    <x v="18"/>
    <x v="4"/>
    <x v="0"/>
    <n v="60"/>
    <n v="0"/>
    <n v="60"/>
  </r>
  <r>
    <x v="19"/>
    <x v="5"/>
    <x v="0"/>
    <n v="60"/>
    <n v="0"/>
    <n v="60"/>
  </r>
  <r>
    <x v="20"/>
    <x v="6"/>
    <x v="0"/>
    <n v="0"/>
    <n v="0"/>
    <n v="0"/>
  </r>
  <r>
    <x v="21"/>
    <x v="0"/>
    <x v="0"/>
    <n v="0"/>
    <n v="150"/>
    <n v="-150"/>
  </r>
  <r>
    <x v="22"/>
    <x v="1"/>
    <x v="0"/>
    <n v="60"/>
    <n v="0"/>
    <n v="60"/>
  </r>
  <r>
    <x v="23"/>
    <x v="2"/>
    <x v="0"/>
    <n v="60"/>
    <n v="0"/>
    <n v="60"/>
  </r>
  <r>
    <x v="24"/>
    <x v="3"/>
    <x v="0"/>
    <n v="60"/>
    <n v="0"/>
    <n v="60"/>
  </r>
  <r>
    <x v="25"/>
    <x v="4"/>
    <x v="0"/>
    <n v="60"/>
    <n v="0"/>
    <n v="60"/>
  </r>
  <r>
    <x v="26"/>
    <x v="5"/>
    <x v="0"/>
    <n v="60"/>
    <n v="0"/>
    <n v="60"/>
  </r>
  <r>
    <x v="27"/>
    <x v="6"/>
    <x v="0"/>
    <n v="0"/>
    <n v="0"/>
    <n v="0"/>
  </r>
  <r>
    <x v="28"/>
    <x v="0"/>
    <x v="0"/>
    <n v="0"/>
    <n v="150"/>
    <n v="-150"/>
  </r>
  <r>
    <x v="29"/>
    <x v="1"/>
    <x v="0"/>
    <n v="60"/>
    <n v="0"/>
    <n v="60"/>
  </r>
  <r>
    <x v="30"/>
    <x v="2"/>
    <x v="0"/>
    <n v="60"/>
    <n v="0"/>
    <n v="60"/>
  </r>
  <r>
    <x v="31"/>
    <x v="3"/>
    <x v="0"/>
    <n v="60"/>
    <n v="0"/>
    <n v="60"/>
  </r>
  <r>
    <x v="32"/>
    <x v="4"/>
    <x v="0"/>
    <n v="60"/>
    <n v="0"/>
    <n v="60"/>
  </r>
  <r>
    <x v="33"/>
    <x v="5"/>
    <x v="0"/>
    <n v="60"/>
    <n v="0"/>
    <n v="60"/>
  </r>
  <r>
    <x v="34"/>
    <x v="6"/>
    <x v="0"/>
    <n v="0"/>
    <n v="0"/>
    <n v="0"/>
  </r>
  <r>
    <x v="35"/>
    <x v="0"/>
    <x v="0"/>
    <n v="0"/>
    <n v="150"/>
    <n v="-150"/>
  </r>
  <r>
    <x v="36"/>
    <x v="1"/>
    <x v="0"/>
    <n v="60"/>
    <n v="0"/>
    <n v="60"/>
  </r>
  <r>
    <x v="37"/>
    <x v="2"/>
    <x v="0"/>
    <n v="60"/>
    <n v="0"/>
    <n v="60"/>
  </r>
  <r>
    <x v="38"/>
    <x v="3"/>
    <x v="0"/>
    <n v="60"/>
    <n v="0"/>
    <n v="60"/>
  </r>
  <r>
    <x v="39"/>
    <x v="4"/>
    <x v="0"/>
    <n v="60"/>
    <n v="0"/>
    <n v="60"/>
  </r>
  <r>
    <x v="40"/>
    <x v="5"/>
    <x v="0"/>
    <n v="60"/>
    <n v="0"/>
    <n v="60"/>
  </r>
  <r>
    <x v="41"/>
    <x v="6"/>
    <x v="0"/>
    <n v="0"/>
    <n v="0"/>
    <n v="0"/>
  </r>
  <r>
    <x v="42"/>
    <x v="0"/>
    <x v="0"/>
    <n v="0"/>
    <n v="150"/>
    <n v="-150"/>
  </r>
  <r>
    <x v="43"/>
    <x v="1"/>
    <x v="0"/>
    <n v="60"/>
    <n v="0"/>
    <n v="60"/>
  </r>
  <r>
    <x v="44"/>
    <x v="2"/>
    <x v="0"/>
    <n v="60"/>
    <n v="0"/>
    <n v="60"/>
  </r>
  <r>
    <x v="45"/>
    <x v="3"/>
    <x v="0"/>
    <n v="60"/>
    <n v="0"/>
    <n v="60"/>
  </r>
  <r>
    <x v="46"/>
    <x v="4"/>
    <x v="0"/>
    <n v="60"/>
    <n v="0"/>
    <n v="60"/>
  </r>
  <r>
    <x v="47"/>
    <x v="5"/>
    <x v="0"/>
    <n v="60"/>
    <n v="0"/>
    <n v="60"/>
  </r>
  <r>
    <x v="48"/>
    <x v="6"/>
    <x v="0"/>
    <n v="0"/>
    <n v="0"/>
    <n v="0"/>
  </r>
  <r>
    <x v="49"/>
    <x v="0"/>
    <x v="0"/>
    <n v="0"/>
    <n v="150"/>
    <n v="-150"/>
  </r>
  <r>
    <x v="50"/>
    <x v="1"/>
    <x v="0"/>
    <n v="60"/>
    <n v="0"/>
    <n v="60"/>
  </r>
  <r>
    <x v="51"/>
    <x v="2"/>
    <x v="0"/>
    <n v="60"/>
    <n v="0"/>
    <n v="60"/>
  </r>
  <r>
    <x v="52"/>
    <x v="3"/>
    <x v="0"/>
    <n v="60"/>
    <n v="0"/>
    <n v="60"/>
  </r>
  <r>
    <x v="53"/>
    <x v="4"/>
    <x v="0"/>
    <n v="60"/>
    <n v="0"/>
    <n v="60"/>
  </r>
  <r>
    <x v="54"/>
    <x v="5"/>
    <x v="0"/>
    <n v="60"/>
    <n v="0"/>
    <n v="60"/>
  </r>
  <r>
    <x v="55"/>
    <x v="6"/>
    <x v="0"/>
    <n v="0"/>
    <n v="0"/>
    <n v="0"/>
  </r>
  <r>
    <x v="56"/>
    <x v="0"/>
    <x v="0"/>
    <n v="0"/>
    <n v="150"/>
    <n v="-150"/>
  </r>
  <r>
    <x v="57"/>
    <x v="1"/>
    <x v="0"/>
    <n v="60"/>
    <n v="0"/>
    <n v="60"/>
  </r>
  <r>
    <x v="58"/>
    <x v="2"/>
    <x v="0"/>
    <n v="60"/>
    <n v="0"/>
    <n v="60"/>
  </r>
  <r>
    <x v="59"/>
    <x v="3"/>
    <x v="0"/>
    <n v="60"/>
    <n v="0"/>
    <n v="60"/>
  </r>
  <r>
    <x v="60"/>
    <x v="4"/>
    <x v="0"/>
    <n v="60"/>
    <n v="0"/>
    <n v="60"/>
  </r>
  <r>
    <x v="61"/>
    <x v="5"/>
    <x v="0"/>
    <n v="60"/>
    <n v="0"/>
    <n v="60"/>
  </r>
  <r>
    <x v="62"/>
    <x v="6"/>
    <x v="0"/>
    <n v="0"/>
    <n v="0"/>
    <n v="0"/>
  </r>
  <r>
    <x v="63"/>
    <x v="0"/>
    <x v="0"/>
    <n v="0"/>
    <n v="150"/>
    <n v="-150"/>
  </r>
  <r>
    <x v="64"/>
    <x v="1"/>
    <x v="0"/>
    <n v="60"/>
    <n v="0"/>
    <n v="60"/>
  </r>
  <r>
    <x v="65"/>
    <x v="2"/>
    <x v="0"/>
    <n v="60"/>
    <n v="0"/>
    <n v="60"/>
  </r>
  <r>
    <x v="66"/>
    <x v="3"/>
    <x v="0"/>
    <n v="60"/>
    <n v="0"/>
    <n v="60"/>
  </r>
  <r>
    <x v="67"/>
    <x v="4"/>
    <x v="0"/>
    <n v="60"/>
    <n v="0"/>
    <n v="60"/>
  </r>
  <r>
    <x v="68"/>
    <x v="5"/>
    <x v="0"/>
    <n v="60"/>
    <n v="0"/>
    <n v="60"/>
  </r>
  <r>
    <x v="69"/>
    <x v="6"/>
    <x v="0"/>
    <n v="0"/>
    <n v="0"/>
    <n v="0"/>
  </r>
  <r>
    <x v="70"/>
    <x v="0"/>
    <x v="0"/>
    <n v="0"/>
    <n v="150"/>
    <n v="-150"/>
  </r>
  <r>
    <x v="71"/>
    <x v="1"/>
    <x v="0"/>
    <n v="60"/>
    <n v="0"/>
    <n v="60"/>
  </r>
  <r>
    <x v="72"/>
    <x v="2"/>
    <x v="0"/>
    <n v="60"/>
    <n v="0"/>
    <n v="60"/>
  </r>
  <r>
    <x v="73"/>
    <x v="3"/>
    <x v="0"/>
    <n v="60"/>
    <n v="0"/>
    <n v="60"/>
  </r>
  <r>
    <x v="74"/>
    <x v="4"/>
    <x v="0"/>
    <n v="60"/>
    <n v="0"/>
    <n v="60"/>
  </r>
  <r>
    <x v="75"/>
    <x v="5"/>
    <x v="0"/>
    <n v="60"/>
    <n v="0"/>
    <n v="60"/>
  </r>
  <r>
    <x v="76"/>
    <x v="6"/>
    <x v="0"/>
    <n v="0"/>
    <n v="0"/>
    <n v="0"/>
  </r>
  <r>
    <x v="77"/>
    <x v="0"/>
    <x v="0"/>
    <n v="0"/>
    <n v="150"/>
    <n v="-150"/>
  </r>
  <r>
    <x v="78"/>
    <x v="1"/>
    <x v="0"/>
    <n v="60"/>
    <n v="0"/>
    <n v="60"/>
  </r>
  <r>
    <x v="79"/>
    <x v="2"/>
    <x v="1"/>
    <n v="150"/>
    <n v="0"/>
    <n v="150"/>
  </r>
  <r>
    <x v="80"/>
    <x v="3"/>
    <x v="1"/>
    <n v="150"/>
    <n v="0"/>
    <n v="150"/>
  </r>
  <r>
    <x v="81"/>
    <x v="4"/>
    <x v="1"/>
    <n v="150"/>
    <n v="0"/>
    <n v="150"/>
  </r>
  <r>
    <x v="82"/>
    <x v="5"/>
    <x v="1"/>
    <n v="150"/>
    <n v="0"/>
    <n v="150"/>
  </r>
  <r>
    <x v="83"/>
    <x v="6"/>
    <x v="1"/>
    <n v="0"/>
    <n v="0"/>
    <n v="0"/>
  </r>
  <r>
    <x v="84"/>
    <x v="0"/>
    <x v="1"/>
    <n v="0"/>
    <n v="150"/>
    <n v="-150"/>
  </r>
  <r>
    <x v="85"/>
    <x v="1"/>
    <x v="1"/>
    <n v="150"/>
    <n v="0"/>
    <n v="150"/>
  </r>
  <r>
    <x v="86"/>
    <x v="2"/>
    <x v="1"/>
    <n v="150"/>
    <n v="0"/>
    <n v="150"/>
  </r>
  <r>
    <x v="87"/>
    <x v="3"/>
    <x v="1"/>
    <n v="150"/>
    <n v="0"/>
    <n v="150"/>
  </r>
  <r>
    <x v="88"/>
    <x v="4"/>
    <x v="1"/>
    <n v="150"/>
    <n v="0"/>
    <n v="150"/>
  </r>
  <r>
    <x v="89"/>
    <x v="5"/>
    <x v="1"/>
    <n v="150"/>
    <n v="0"/>
    <n v="150"/>
  </r>
  <r>
    <x v="90"/>
    <x v="6"/>
    <x v="1"/>
    <n v="0"/>
    <n v="0"/>
    <n v="0"/>
  </r>
  <r>
    <x v="91"/>
    <x v="0"/>
    <x v="1"/>
    <n v="0"/>
    <n v="150"/>
    <n v="-150"/>
  </r>
  <r>
    <x v="92"/>
    <x v="1"/>
    <x v="1"/>
    <n v="150"/>
    <n v="0"/>
    <n v="150"/>
  </r>
  <r>
    <x v="93"/>
    <x v="2"/>
    <x v="1"/>
    <n v="150"/>
    <n v="0"/>
    <n v="150"/>
  </r>
  <r>
    <x v="94"/>
    <x v="3"/>
    <x v="1"/>
    <n v="150"/>
    <n v="0"/>
    <n v="150"/>
  </r>
  <r>
    <x v="95"/>
    <x v="4"/>
    <x v="1"/>
    <n v="150"/>
    <n v="0"/>
    <n v="150"/>
  </r>
  <r>
    <x v="96"/>
    <x v="5"/>
    <x v="1"/>
    <n v="150"/>
    <n v="0"/>
    <n v="150"/>
  </r>
  <r>
    <x v="97"/>
    <x v="6"/>
    <x v="1"/>
    <n v="0"/>
    <n v="0"/>
    <n v="0"/>
  </r>
  <r>
    <x v="98"/>
    <x v="0"/>
    <x v="1"/>
    <n v="0"/>
    <n v="150"/>
    <n v="-150"/>
  </r>
  <r>
    <x v="99"/>
    <x v="1"/>
    <x v="1"/>
    <n v="150"/>
    <n v="0"/>
    <n v="150"/>
  </r>
  <r>
    <x v="100"/>
    <x v="2"/>
    <x v="1"/>
    <n v="150"/>
    <n v="0"/>
    <n v="150"/>
  </r>
  <r>
    <x v="101"/>
    <x v="3"/>
    <x v="1"/>
    <n v="150"/>
    <n v="0"/>
    <n v="150"/>
  </r>
  <r>
    <x v="102"/>
    <x v="4"/>
    <x v="1"/>
    <n v="150"/>
    <n v="0"/>
    <n v="150"/>
  </r>
  <r>
    <x v="103"/>
    <x v="5"/>
    <x v="1"/>
    <n v="150"/>
    <n v="0"/>
    <n v="150"/>
  </r>
  <r>
    <x v="104"/>
    <x v="6"/>
    <x v="1"/>
    <n v="0"/>
    <n v="0"/>
    <n v="0"/>
  </r>
  <r>
    <x v="105"/>
    <x v="0"/>
    <x v="1"/>
    <n v="0"/>
    <n v="150"/>
    <n v="-150"/>
  </r>
  <r>
    <x v="106"/>
    <x v="1"/>
    <x v="1"/>
    <n v="150"/>
    <n v="0"/>
    <n v="150"/>
  </r>
  <r>
    <x v="107"/>
    <x v="2"/>
    <x v="1"/>
    <n v="150"/>
    <n v="0"/>
    <n v="150"/>
  </r>
  <r>
    <x v="108"/>
    <x v="3"/>
    <x v="1"/>
    <n v="150"/>
    <n v="0"/>
    <n v="150"/>
  </r>
  <r>
    <x v="109"/>
    <x v="4"/>
    <x v="1"/>
    <n v="150"/>
    <n v="0"/>
    <n v="150"/>
  </r>
  <r>
    <x v="110"/>
    <x v="5"/>
    <x v="1"/>
    <n v="150"/>
    <n v="0"/>
    <n v="150"/>
  </r>
  <r>
    <x v="111"/>
    <x v="6"/>
    <x v="1"/>
    <n v="0"/>
    <n v="0"/>
    <n v="0"/>
  </r>
  <r>
    <x v="112"/>
    <x v="0"/>
    <x v="1"/>
    <n v="0"/>
    <n v="150"/>
    <n v="-150"/>
  </r>
  <r>
    <x v="113"/>
    <x v="1"/>
    <x v="1"/>
    <n v="150"/>
    <n v="0"/>
    <n v="150"/>
  </r>
  <r>
    <x v="114"/>
    <x v="2"/>
    <x v="1"/>
    <n v="150"/>
    <n v="0"/>
    <n v="150"/>
  </r>
  <r>
    <x v="115"/>
    <x v="3"/>
    <x v="1"/>
    <n v="150"/>
    <n v="0"/>
    <n v="150"/>
  </r>
  <r>
    <x v="116"/>
    <x v="4"/>
    <x v="1"/>
    <n v="150"/>
    <n v="0"/>
    <n v="150"/>
  </r>
  <r>
    <x v="117"/>
    <x v="5"/>
    <x v="1"/>
    <n v="150"/>
    <n v="0"/>
    <n v="150"/>
  </r>
  <r>
    <x v="118"/>
    <x v="6"/>
    <x v="1"/>
    <n v="0"/>
    <n v="0"/>
    <n v="0"/>
  </r>
  <r>
    <x v="119"/>
    <x v="0"/>
    <x v="1"/>
    <n v="0"/>
    <n v="150"/>
    <n v="-150"/>
  </r>
  <r>
    <x v="120"/>
    <x v="1"/>
    <x v="1"/>
    <n v="150"/>
    <n v="0"/>
    <n v="150"/>
  </r>
  <r>
    <x v="121"/>
    <x v="2"/>
    <x v="1"/>
    <n v="150"/>
    <n v="0"/>
    <n v="150"/>
  </r>
  <r>
    <x v="122"/>
    <x v="3"/>
    <x v="1"/>
    <n v="150"/>
    <n v="0"/>
    <n v="150"/>
  </r>
  <r>
    <x v="123"/>
    <x v="4"/>
    <x v="1"/>
    <n v="150"/>
    <n v="0"/>
    <n v="150"/>
  </r>
  <r>
    <x v="124"/>
    <x v="5"/>
    <x v="1"/>
    <n v="150"/>
    <n v="0"/>
    <n v="150"/>
  </r>
  <r>
    <x v="125"/>
    <x v="6"/>
    <x v="1"/>
    <n v="0"/>
    <n v="0"/>
    <n v="0"/>
  </r>
  <r>
    <x v="126"/>
    <x v="0"/>
    <x v="1"/>
    <n v="0"/>
    <n v="150"/>
    <n v="-150"/>
  </r>
  <r>
    <x v="127"/>
    <x v="1"/>
    <x v="1"/>
    <n v="150"/>
    <n v="0"/>
    <n v="150"/>
  </r>
  <r>
    <x v="128"/>
    <x v="2"/>
    <x v="1"/>
    <n v="150"/>
    <n v="0"/>
    <n v="150"/>
  </r>
  <r>
    <x v="129"/>
    <x v="3"/>
    <x v="1"/>
    <n v="150"/>
    <n v="0"/>
    <n v="150"/>
  </r>
  <r>
    <x v="130"/>
    <x v="4"/>
    <x v="1"/>
    <n v="150"/>
    <n v="0"/>
    <n v="150"/>
  </r>
  <r>
    <x v="131"/>
    <x v="5"/>
    <x v="1"/>
    <n v="150"/>
    <n v="0"/>
    <n v="150"/>
  </r>
  <r>
    <x v="132"/>
    <x v="6"/>
    <x v="1"/>
    <n v="0"/>
    <n v="0"/>
    <n v="0"/>
  </r>
  <r>
    <x v="133"/>
    <x v="0"/>
    <x v="1"/>
    <n v="0"/>
    <n v="150"/>
    <n v="-150"/>
  </r>
  <r>
    <x v="134"/>
    <x v="1"/>
    <x v="1"/>
    <n v="150"/>
    <n v="0"/>
    <n v="150"/>
  </r>
  <r>
    <x v="135"/>
    <x v="2"/>
    <x v="1"/>
    <n v="150"/>
    <n v="0"/>
    <n v="150"/>
  </r>
  <r>
    <x v="136"/>
    <x v="3"/>
    <x v="1"/>
    <n v="150"/>
    <n v="0"/>
    <n v="150"/>
  </r>
  <r>
    <x v="137"/>
    <x v="4"/>
    <x v="1"/>
    <n v="150"/>
    <n v="0"/>
    <n v="150"/>
  </r>
  <r>
    <x v="138"/>
    <x v="5"/>
    <x v="1"/>
    <n v="150"/>
    <n v="0"/>
    <n v="150"/>
  </r>
  <r>
    <x v="139"/>
    <x v="6"/>
    <x v="1"/>
    <n v="0"/>
    <n v="0"/>
    <n v="0"/>
  </r>
  <r>
    <x v="140"/>
    <x v="0"/>
    <x v="1"/>
    <n v="0"/>
    <n v="150"/>
    <n v="-150"/>
  </r>
  <r>
    <x v="141"/>
    <x v="1"/>
    <x v="1"/>
    <n v="150"/>
    <n v="0"/>
    <n v="150"/>
  </r>
  <r>
    <x v="142"/>
    <x v="2"/>
    <x v="1"/>
    <n v="150"/>
    <n v="0"/>
    <n v="150"/>
  </r>
  <r>
    <x v="143"/>
    <x v="3"/>
    <x v="1"/>
    <n v="150"/>
    <n v="0"/>
    <n v="150"/>
  </r>
  <r>
    <x v="144"/>
    <x v="4"/>
    <x v="1"/>
    <n v="150"/>
    <n v="0"/>
    <n v="150"/>
  </r>
  <r>
    <x v="145"/>
    <x v="5"/>
    <x v="1"/>
    <n v="150"/>
    <n v="0"/>
    <n v="150"/>
  </r>
  <r>
    <x v="146"/>
    <x v="6"/>
    <x v="1"/>
    <n v="0"/>
    <n v="0"/>
    <n v="0"/>
  </r>
  <r>
    <x v="147"/>
    <x v="0"/>
    <x v="1"/>
    <n v="0"/>
    <n v="150"/>
    <n v="-150"/>
  </r>
  <r>
    <x v="148"/>
    <x v="1"/>
    <x v="1"/>
    <n v="150"/>
    <n v="0"/>
    <n v="150"/>
  </r>
  <r>
    <x v="149"/>
    <x v="2"/>
    <x v="1"/>
    <n v="150"/>
    <n v="0"/>
    <n v="150"/>
  </r>
  <r>
    <x v="150"/>
    <x v="3"/>
    <x v="1"/>
    <n v="150"/>
    <n v="0"/>
    <n v="150"/>
  </r>
  <r>
    <x v="151"/>
    <x v="4"/>
    <x v="1"/>
    <n v="150"/>
    <n v="0"/>
    <n v="150"/>
  </r>
  <r>
    <x v="152"/>
    <x v="5"/>
    <x v="1"/>
    <n v="150"/>
    <n v="0"/>
    <n v="150"/>
  </r>
  <r>
    <x v="153"/>
    <x v="6"/>
    <x v="1"/>
    <n v="0"/>
    <n v="0"/>
    <n v="0"/>
  </r>
  <r>
    <x v="154"/>
    <x v="0"/>
    <x v="1"/>
    <n v="0"/>
    <n v="150"/>
    <n v="-150"/>
  </r>
  <r>
    <x v="155"/>
    <x v="1"/>
    <x v="1"/>
    <n v="150"/>
    <n v="0"/>
    <n v="150"/>
  </r>
  <r>
    <x v="156"/>
    <x v="2"/>
    <x v="1"/>
    <n v="150"/>
    <n v="0"/>
    <n v="150"/>
  </r>
  <r>
    <x v="157"/>
    <x v="3"/>
    <x v="1"/>
    <n v="150"/>
    <n v="0"/>
    <n v="150"/>
  </r>
  <r>
    <x v="158"/>
    <x v="4"/>
    <x v="1"/>
    <n v="150"/>
    <n v="0"/>
    <n v="150"/>
  </r>
  <r>
    <x v="159"/>
    <x v="5"/>
    <x v="1"/>
    <n v="150"/>
    <n v="0"/>
    <n v="150"/>
  </r>
  <r>
    <x v="160"/>
    <x v="6"/>
    <x v="1"/>
    <n v="0"/>
    <n v="0"/>
    <n v="0"/>
  </r>
  <r>
    <x v="161"/>
    <x v="0"/>
    <x v="1"/>
    <n v="0"/>
    <n v="150"/>
    <n v="-150"/>
  </r>
  <r>
    <x v="162"/>
    <x v="1"/>
    <x v="1"/>
    <n v="150"/>
    <n v="0"/>
    <n v="150"/>
  </r>
  <r>
    <x v="163"/>
    <x v="2"/>
    <x v="1"/>
    <n v="150"/>
    <n v="0"/>
    <n v="150"/>
  </r>
  <r>
    <x v="164"/>
    <x v="3"/>
    <x v="1"/>
    <n v="150"/>
    <n v="0"/>
    <n v="150"/>
  </r>
  <r>
    <x v="165"/>
    <x v="4"/>
    <x v="1"/>
    <n v="150"/>
    <n v="0"/>
    <n v="150"/>
  </r>
  <r>
    <x v="166"/>
    <x v="5"/>
    <x v="1"/>
    <n v="150"/>
    <n v="0"/>
    <n v="150"/>
  </r>
  <r>
    <x v="167"/>
    <x v="6"/>
    <x v="1"/>
    <n v="0"/>
    <n v="0"/>
    <n v="0"/>
  </r>
  <r>
    <x v="168"/>
    <x v="0"/>
    <x v="1"/>
    <n v="0"/>
    <n v="150"/>
    <n v="-150"/>
  </r>
  <r>
    <x v="169"/>
    <x v="1"/>
    <x v="1"/>
    <n v="150"/>
    <n v="0"/>
    <n v="150"/>
  </r>
  <r>
    <x v="170"/>
    <x v="2"/>
    <x v="1"/>
    <n v="150"/>
    <n v="0"/>
    <n v="150"/>
  </r>
  <r>
    <x v="171"/>
    <x v="3"/>
    <x v="2"/>
    <n v="270"/>
    <n v="0"/>
    <n v="270"/>
  </r>
  <r>
    <x v="172"/>
    <x v="4"/>
    <x v="2"/>
    <n v="270"/>
    <n v="0"/>
    <n v="270"/>
  </r>
  <r>
    <x v="173"/>
    <x v="5"/>
    <x v="2"/>
    <n v="270"/>
    <n v="0"/>
    <n v="270"/>
  </r>
  <r>
    <x v="174"/>
    <x v="6"/>
    <x v="2"/>
    <n v="0"/>
    <n v="0"/>
    <n v="0"/>
  </r>
  <r>
    <x v="175"/>
    <x v="0"/>
    <x v="2"/>
    <n v="0"/>
    <n v="150"/>
    <n v="-150"/>
  </r>
  <r>
    <x v="176"/>
    <x v="1"/>
    <x v="2"/>
    <n v="270"/>
    <n v="0"/>
    <n v="270"/>
  </r>
  <r>
    <x v="177"/>
    <x v="2"/>
    <x v="2"/>
    <n v="270"/>
    <n v="0"/>
    <n v="270"/>
  </r>
  <r>
    <x v="178"/>
    <x v="3"/>
    <x v="2"/>
    <n v="270"/>
    <n v="0"/>
    <n v="270"/>
  </r>
  <r>
    <x v="179"/>
    <x v="4"/>
    <x v="2"/>
    <n v="270"/>
    <n v="0"/>
    <n v="270"/>
  </r>
  <r>
    <x v="180"/>
    <x v="5"/>
    <x v="2"/>
    <n v="270"/>
    <n v="0"/>
    <n v="270"/>
  </r>
  <r>
    <x v="181"/>
    <x v="6"/>
    <x v="2"/>
    <n v="0"/>
    <n v="0"/>
    <n v="0"/>
  </r>
  <r>
    <x v="182"/>
    <x v="0"/>
    <x v="2"/>
    <n v="0"/>
    <n v="150"/>
    <n v="-150"/>
  </r>
  <r>
    <x v="183"/>
    <x v="1"/>
    <x v="2"/>
    <n v="270"/>
    <n v="0"/>
    <n v="270"/>
  </r>
  <r>
    <x v="184"/>
    <x v="2"/>
    <x v="2"/>
    <n v="270"/>
    <n v="0"/>
    <n v="270"/>
  </r>
  <r>
    <x v="185"/>
    <x v="3"/>
    <x v="2"/>
    <n v="270"/>
    <n v="0"/>
    <n v="270"/>
  </r>
  <r>
    <x v="186"/>
    <x v="4"/>
    <x v="2"/>
    <n v="270"/>
    <n v="0"/>
    <n v="270"/>
  </r>
  <r>
    <x v="187"/>
    <x v="5"/>
    <x v="2"/>
    <n v="270"/>
    <n v="0"/>
    <n v="270"/>
  </r>
  <r>
    <x v="188"/>
    <x v="6"/>
    <x v="2"/>
    <n v="0"/>
    <n v="0"/>
    <n v="0"/>
  </r>
  <r>
    <x v="189"/>
    <x v="0"/>
    <x v="2"/>
    <n v="0"/>
    <n v="150"/>
    <n v="-150"/>
  </r>
  <r>
    <x v="190"/>
    <x v="1"/>
    <x v="2"/>
    <n v="270"/>
    <n v="0"/>
    <n v="270"/>
  </r>
  <r>
    <x v="191"/>
    <x v="2"/>
    <x v="2"/>
    <n v="270"/>
    <n v="0"/>
    <n v="270"/>
  </r>
  <r>
    <x v="192"/>
    <x v="3"/>
    <x v="2"/>
    <n v="270"/>
    <n v="0"/>
    <n v="270"/>
  </r>
  <r>
    <x v="193"/>
    <x v="4"/>
    <x v="2"/>
    <n v="270"/>
    <n v="0"/>
    <n v="270"/>
  </r>
  <r>
    <x v="194"/>
    <x v="5"/>
    <x v="2"/>
    <n v="270"/>
    <n v="0"/>
    <n v="270"/>
  </r>
  <r>
    <x v="195"/>
    <x v="6"/>
    <x v="2"/>
    <n v="0"/>
    <n v="0"/>
    <n v="0"/>
  </r>
  <r>
    <x v="196"/>
    <x v="0"/>
    <x v="2"/>
    <n v="0"/>
    <n v="150"/>
    <n v="-150"/>
  </r>
  <r>
    <x v="197"/>
    <x v="1"/>
    <x v="2"/>
    <n v="270"/>
    <n v="0"/>
    <n v="270"/>
  </r>
  <r>
    <x v="198"/>
    <x v="2"/>
    <x v="2"/>
    <n v="270"/>
    <n v="0"/>
    <n v="270"/>
  </r>
  <r>
    <x v="199"/>
    <x v="3"/>
    <x v="2"/>
    <n v="270"/>
    <n v="0"/>
    <n v="270"/>
  </r>
  <r>
    <x v="200"/>
    <x v="4"/>
    <x v="2"/>
    <n v="270"/>
    <n v="0"/>
    <n v="270"/>
  </r>
  <r>
    <x v="201"/>
    <x v="5"/>
    <x v="2"/>
    <n v="270"/>
    <n v="0"/>
    <n v="270"/>
  </r>
  <r>
    <x v="202"/>
    <x v="6"/>
    <x v="2"/>
    <n v="0"/>
    <n v="0"/>
    <n v="0"/>
  </r>
  <r>
    <x v="203"/>
    <x v="0"/>
    <x v="2"/>
    <n v="0"/>
    <n v="150"/>
    <n v="-150"/>
  </r>
  <r>
    <x v="204"/>
    <x v="1"/>
    <x v="2"/>
    <n v="270"/>
    <n v="0"/>
    <n v="270"/>
  </r>
  <r>
    <x v="205"/>
    <x v="2"/>
    <x v="2"/>
    <n v="270"/>
    <n v="0"/>
    <n v="270"/>
  </r>
  <r>
    <x v="206"/>
    <x v="3"/>
    <x v="2"/>
    <n v="270"/>
    <n v="0"/>
    <n v="270"/>
  </r>
  <r>
    <x v="207"/>
    <x v="4"/>
    <x v="2"/>
    <n v="270"/>
    <n v="0"/>
    <n v="270"/>
  </r>
  <r>
    <x v="208"/>
    <x v="5"/>
    <x v="2"/>
    <n v="270"/>
    <n v="0"/>
    <n v="270"/>
  </r>
  <r>
    <x v="209"/>
    <x v="6"/>
    <x v="2"/>
    <n v="0"/>
    <n v="0"/>
    <n v="0"/>
  </r>
  <r>
    <x v="210"/>
    <x v="0"/>
    <x v="2"/>
    <n v="0"/>
    <n v="150"/>
    <n v="-150"/>
  </r>
  <r>
    <x v="211"/>
    <x v="1"/>
    <x v="2"/>
    <n v="270"/>
    <n v="0"/>
    <n v="270"/>
  </r>
  <r>
    <x v="212"/>
    <x v="2"/>
    <x v="2"/>
    <n v="270"/>
    <n v="0"/>
    <n v="270"/>
  </r>
  <r>
    <x v="213"/>
    <x v="3"/>
    <x v="2"/>
    <n v="270"/>
    <n v="0"/>
    <n v="270"/>
  </r>
  <r>
    <x v="214"/>
    <x v="4"/>
    <x v="2"/>
    <n v="270"/>
    <n v="0"/>
    <n v="270"/>
  </r>
  <r>
    <x v="215"/>
    <x v="5"/>
    <x v="2"/>
    <n v="270"/>
    <n v="0"/>
    <n v="270"/>
  </r>
  <r>
    <x v="216"/>
    <x v="6"/>
    <x v="2"/>
    <n v="0"/>
    <n v="0"/>
    <n v="0"/>
  </r>
  <r>
    <x v="217"/>
    <x v="0"/>
    <x v="2"/>
    <n v="0"/>
    <n v="150"/>
    <n v="-150"/>
  </r>
  <r>
    <x v="218"/>
    <x v="1"/>
    <x v="2"/>
    <n v="270"/>
    <n v="0"/>
    <n v="270"/>
  </r>
  <r>
    <x v="219"/>
    <x v="2"/>
    <x v="2"/>
    <n v="270"/>
    <n v="0"/>
    <n v="270"/>
  </r>
  <r>
    <x v="220"/>
    <x v="3"/>
    <x v="2"/>
    <n v="270"/>
    <n v="0"/>
    <n v="270"/>
  </r>
  <r>
    <x v="221"/>
    <x v="4"/>
    <x v="2"/>
    <n v="270"/>
    <n v="0"/>
    <n v="270"/>
  </r>
  <r>
    <x v="222"/>
    <x v="5"/>
    <x v="2"/>
    <n v="270"/>
    <n v="0"/>
    <n v="270"/>
  </r>
  <r>
    <x v="223"/>
    <x v="6"/>
    <x v="2"/>
    <n v="0"/>
    <n v="0"/>
    <n v="0"/>
  </r>
  <r>
    <x v="224"/>
    <x v="0"/>
    <x v="2"/>
    <n v="0"/>
    <n v="150"/>
    <n v="-150"/>
  </r>
  <r>
    <x v="225"/>
    <x v="1"/>
    <x v="2"/>
    <n v="270"/>
    <n v="0"/>
    <n v="270"/>
  </r>
  <r>
    <x v="226"/>
    <x v="2"/>
    <x v="2"/>
    <n v="270"/>
    <n v="0"/>
    <n v="270"/>
  </r>
  <r>
    <x v="227"/>
    <x v="3"/>
    <x v="2"/>
    <n v="270"/>
    <n v="0"/>
    <n v="270"/>
  </r>
  <r>
    <x v="228"/>
    <x v="4"/>
    <x v="2"/>
    <n v="270"/>
    <n v="0"/>
    <n v="270"/>
  </r>
  <r>
    <x v="229"/>
    <x v="5"/>
    <x v="2"/>
    <n v="270"/>
    <n v="0"/>
    <n v="270"/>
  </r>
  <r>
    <x v="230"/>
    <x v="6"/>
    <x v="2"/>
    <n v="0"/>
    <n v="0"/>
    <n v="0"/>
  </r>
  <r>
    <x v="231"/>
    <x v="0"/>
    <x v="2"/>
    <n v="0"/>
    <n v="150"/>
    <n v="-150"/>
  </r>
  <r>
    <x v="232"/>
    <x v="1"/>
    <x v="2"/>
    <n v="270"/>
    <n v="0"/>
    <n v="270"/>
  </r>
  <r>
    <x v="233"/>
    <x v="2"/>
    <x v="2"/>
    <n v="270"/>
    <n v="0"/>
    <n v="270"/>
  </r>
  <r>
    <x v="234"/>
    <x v="3"/>
    <x v="2"/>
    <n v="270"/>
    <n v="0"/>
    <n v="270"/>
  </r>
  <r>
    <x v="235"/>
    <x v="4"/>
    <x v="2"/>
    <n v="270"/>
    <n v="0"/>
    <n v="270"/>
  </r>
  <r>
    <x v="236"/>
    <x v="5"/>
    <x v="2"/>
    <n v="270"/>
    <n v="0"/>
    <n v="270"/>
  </r>
  <r>
    <x v="237"/>
    <x v="6"/>
    <x v="2"/>
    <n v="0"/>
    <n v="0"/>
    <n v="0"/>
  </r>
  <r>
    <x v="238"/>
    <x v="0"/>
    <x v="2"/>
    <n v="0"/>
    <n v="150"/>
    <n v="-150"/>
  </r>
  <r>
    <x v="239"/>
    <x v="1"/>
    <x v="2"/>
    <n v="270"/>
    <n v="0"/>
    <n v="270"/>
  </r>
  <r>
    <x v="240"/>
    <x v="2"/>
    <x v="2"/>
    <n v="270"/>
    <n v="0"/>
    <n v="270"/>
  </r>
  <r>
    <x v="241"/>
    <x v="3"/>
    <x v="2"/>
    <n v="270"/>
    <n v="0"/>
    <n v="270"/>
  </r>
  <r>
    <x v="242"/>
    <x v="4"/>
    <x v="2"/>
    <n v="270"/>
    <n v="0"/>
    <n v="270"/>
  </r>
  <r>
    <x v="243"/>
    <x v="5"/>
    <x v="2"/>
    <n v="270"/>
    <n v="0"/>
    <n v="270"/>
  </r>
  <r>
    <x v="244"/>
    <x v="6"/>
    <x v="2"/>
    <n v="0"/>
    <n v="0"/>
    <n v="0"/>
  </r>
  <r>
    <x v="245"/>
    <x v="0"/>
    <x v="2"/>
    <n v="0"/>
    <n v="150"/>
    <n v="-150"/>
  </r>
  <r>
    <x v="246"/>
    <x v="1"/>
    <x v="2"/>
    <n v="270"/>
    <n v="0"/>
    <n v="270"/>
  </r>
  <r>
    <x v="247"/>
    <x v="2"/>
    <x v="2"/>
    <n v="270"/>
    <n v="0"/>
    <n v="270"/>
  </r>
  <r>
    <x v="248"/>
    <x v="3"/>
    <x v="2"/>
    <n v="270"/>
    <n v="0"/>
    <n v="270"/>
  </r>
  <r>
    <x v="249"/>
    <x v="4"/>
    <x v="2"/>
    <n v="270"/>
    <n v="0"/>
    <n v="270"/>
  </r>
  <r>
    <x v="250"/>
    <x v="5"/>
    <x v="2"/>
    <n v="270"/>
    <n v="0"/>
    <n v="270"/>
  </r>
  <r>
    <x v="251"/>
    <x v="6"/>
    <x v="2"/>
    <n v="0"/>
    <n v="0"/>
    <n v="0"/>
  </r>
  <r>
    <x v="252"/>
    <x v="0"/>
    <x v="2"/>
    <n v="0"/>
    <n v="150"/>
    <n v="-150"/>
  </r>
  <r>
    <x v="253"/>
    <x v="1"/>
    <x v="2"/>
    <n v="270"/>
    <n v="0"/>
    <n v="270"/>
  </r>
  <r>
    <x v="254"/>
    <x v="2"/>
    <x v="2"/>
    <n v="270"/>
    <n v="0"/>
    <n v="270"/>
  </r>
  <r>
    <x v="255"/>
    <x v="3"/>
    <x v="2"/>
    <n v="270"/>
    <n v="0"/>
    <n v="270"/>
  </r>
  <r>
    <x v="256"/>
    <x v="4"/>
    <x v="2"/>
    <n v="270"/>
    <n v="0"/>
    <n v="270"/>
  </r>
  <r>
    <x v="257"/>
    <x v="5"/>
    <x v="2"/>
    <n v="270"/>
    <n v="0"/>
    <n v="270"/>
  </r>
  <r>
    <x v="258"/>
    <x v="6"/>
    <x v="2"/>
    <n v="0"/>
    <n v="0"/>
    <n v="0"/>
  </r>
  <r>
    <x v="259"/>
    <x v="0"/>
    <x v="2"/>
    <n v="0"/>
    <n v="150"/>
    <n v="-150"/>
  </r>
  <r>
    <x v="260"/>
    <x v="1"/>
    <x v="2"/>
    <n v="270"/>
    <n v="0"/>
    <n v="270"/>
  </r>
  <r>
    <x v="261"/>
    <x v="2"/>
    <x v="2"/>
    <n v="270"/>
    <n v="0"/>
    <n v="270"/>
  </r>
  <r>
    <x v="262"/>
    <x v="3"/>
    <x v="2"/>
    <n v="270"/>
    <n v="0"/>
    <n v="270"/>
  </r>
  <r>
    <x v="263"/>
    <x v="4"/>
    <x v="2"/>
    <n v="270"/>
    <n v="0"/>
    <n v="270"/>
  </r>
  <r>
    <x v="264"/>
    <x v="5"/>
    <x v="2"/>
    <n v="270"/>
    <n v="0"/>
    <n v="270"/>
  </r>
  <r>
    <x v="265"/>
    <x v="6"/>
    <x v="3"/>
    <n v="0"/>
    <n v="0"/>
    <n v="0"/>
  </r>
  <r>
    <x v="266"/>
    <x v="0"/>
    <x v="3"/>
    <n v="0"/>
    <n v="150"/>
    <n v="-150"/>
  </r>
  <r>
    <x v="267"/>
    <x v="1"/>
    <x v="3"/>
    <n v="120"/>
    <n v="0"/>
    <n v="120"/>
  </r>
  <r>
    <x v="268"/>
    <x v="2"/>
    <x v="3"/>
    <n v="120"/>
    <n v="0"/>
    <n v="120"/>
  </r>
  <r>
    <x v="269"/>
    <x v="3"/>
    <x v="3"/>
    <n v="120"/>
    <n v="0"/>
    <n v="120"/>
  </r>
  <r>
    <x v="270"/>
    <x v="4"/>
    <x v="3"/>
    <n v="120"/>
    <n v="0"/>
    <n v="120"/>
  </r>
  <r>
    <x v="271"/>
    <x v="5"/>
    <x v="3"/>
    <n v="120"/>
    <n v="0"/>
    <n v="120"/>
  </r>
  <r>
    <x v="272"/>
    <x v="6"/>
    <x v="3"/>
    <n v="0"/>
    <n v="0"/>
    <n v="0"/>
  </r>
  <r>
    <x v="273"/>
    <x v="0"/>
    <x v="3"/>
    <n v="0"/>
    <n v="150"/>
    <n v="-150"/>
  </r>
  <r>
    <x v="274"/>
    <x v="1"/>
    <x v="3"/>
    <n v="120"/>
    <n v="0"/>
    <n v="120"/>
  </r>
  <r>
    <x v="275"/>
    <x v="2"/>
    <x v="3"/>
    <n v="120"/>
    <n v="0"/>
    <n v="120"/>
  </r>
  <r>
    <x v="276"/>
    <x v="3"/>
    <x v="3"/>
    <n v="120"/>
    <n v="0"/>
    <n v="120"/>
  </r>
  <r>
    <x v="277"/>
    <x v="4"/>
    <x v="3"/>
    <n v="120"/>
    <n v="0"/>
    <n v="120"/>
  </r>
  <r>
    <x v="278"/>
    <x v="5"/>
    <x v="3"/>
    <n v="120"/>
    <n v="0"/>
    <n v="120"/>
  </r>
  <r>
    <x v="279"/>
    <x v="6"/>
    <x v="3"/>
    <n v="0"/>
    <n v="0"/>
    <n v="0"/>
  </r>
  <r>
    <x v="280"/>
    <x v="0"/>
    <x v="3"/>
    <n v="0"/>
    <n v="150"/>
    <n v="-150"/>
  </r>
  <r>
    <x v="281"/>
    <x v="1"/>
    <x v="3"/>
    <n v="120"/>
    <n v="0"/>
    <n v="120"/>
  </r>
  <r>
    <x v="282"/>
    <x v="2"/>
    <x v="3"/>
    <n v="120"/>
    <n v="0"/>
    <n v="120"/>
  </r>
  <r>
    <x v="283"/>
    <x v="3"/>
    <x v="3"/>
    <n v="120"/>
    <n v="0"/>
    <n v="120"/>
  </r>
  <r>
    <x v="284"/>
    <x v="4"/>
    <x v="3"/>
    <n v="120"/>
    <n v="0"/>
    <n v="120"/>
  </r>
  <r>
    <x v="285"/>
    <x v="5"/>
    <x v="3"/>
    <n v="120"/>
    <n v="0"/>
    <n v="120"/>
  </r>
  <r>
    <x v="286"/>
    <x v="6"/>
    <x v="3"/>
    <n v="0"/>
    <n v="0"/>
    <n v="0"/>
  </r>
  <r>
    <x v="287"/>
    <x v="0"/>
    <x v="3"/>
    <n v="0"/>
    <n v="150"/>
    <n v="-150"/>
  </r>
  <r>
    <x v="288"/>
    <x v="1"/>
    <x v="3"/>
    <n v="120"/>
    <n v="0"/>
    <n v="120"/>
  </r>
  <r>
    <x v="289"/>
    <x v="2"/>
    <x v="3"/>
    <n v="120"/>
    <n v="0"/>
    <n v="120"/>
  </r>
  <r>
    <x v="290"/>
    <x v="3"/>
    <x v="3"/>
    <n v="120"/>
    <n v="0"/>
    <n v="120"/>
  </r>
  <r>
    <x v="291"/>
    <x v="4"/>
    <x v="3"/>
    <n v="120"/>
    <n v="0"/>
    <n v="120"/>
  </r>
  <r>
    <x v="292"/>
    <x v="5"/>
    <x v="3"/>
    <n v="120"/>
    <n v="0"/>
    <n v="120"/>
  </r>
  <r>
    <x v="293"/>
    <x v="6"/>
    <x v="3"/>
    <n v="0"/>
    <n v="0"/>
    <n v="0"/>
  </r>
  <r>
    <x v="294"/>
    <x v="0"/>
    <x v="3"/>
    <n v="0"/>
    <n v="150"/>
    <n v="-150"/>
  </r>
  <r>
    <x v="295"/>
    <x v="1"/>
    <x v="3"/>
    <n v="120"/>
    <n v="0"/>
    <n v="120"/>
  </r>
  <r>
    <x v="296"/>
    <x v="2"/>
    <x v="3"/>
    <n v="120"/>
    <n v="0"/>
    <n v="120"/>
  </r>
  <r>
    <x v="297"/>
    <x v="3"/>
    <x v="3"/>
    <n v="120"/>
    <n v="0"/>
    <n v="120"/>
  </r>
  <r>
    <x v="298"/>
    <x v="4"/>
    <x v="3"/>
    <n v="120"/>
    <n v="0"/>
    <n v="120"/>
  </r>
  <r>
    <x v="299"/>
    <x v="5"/>
    <x v="3"/>
    <n v="120"/>
    <n v="0"/>
    <n v="120"/>
  </r>
  <r>
    <x v="300"/>
    <x v="6"/>
    <x v="3"/>
    <n v="0"/>
    <n v="0"/>
    <n v="0"/>
  </r>
  <r>
    <x v="301"/>
    <x v="0"/>
    <x v="3"/>
    <n v="0"/>
    <n v="150"/>
    <n v="-150"/>
  </r>
  <r>
    <x v="302"/>
    <x v="1"/>
    <x v="3"/>
    <n v="120"/>
    <n v="0"/>
    <n v="120"/>
  </r>
  <r>
    <x v="303"/>
    <x v="2"/>
    <x v="3"/>
    <n v="120"/>
    <n v="0"/>
    <n v="120"/>
  </r>
  <r>
    <x v="304"/>
    <x v="3"/>
    <x v="3"/>
    <n v="120"/>
    <n v="0"/>
    <n v="120"/>
  </r>
  <r>
    <x v="305"/>
    <x v="4"/>
    <x v="3"/>
    <n v="120"/>
    <n v="0"/>
    <n v="120"/>
  </r>
  <r>
    <x v="306"/>
    <x v="5"/>
    <x v="3"/>
    <n v="120"/>
    <n v="0"/>
    <n v="120"/>
  </r>
  <r>
    <x v="307"/>
    <x v="6"/>
    <x v="3"/>
    <n v="0"/>
    <n v="0"/>
    <n v="0"/>
  </r>
  <r>
    <x v="308"/>
    <x v="0"/>
    <x v="3"/>
    <n v="0"/>
    <n v="150"/>
    <n v="-150"/>
  </r>
  <r>
    <x v="309"/>
    <x v="1"/>
    <x v="3"/>
    <n v="120"/>
    <n v="0"/>
    <n v="120"/>
  </r>
  <r>
    <x v="310"/>
    <x v="2"/>
    <x v="3"/>
    <n v="120"/>
    <n v="0"/>
    <n v="120"/>
  </r>
  <r>
    <x v="311"/>
    <x v="3"/>
    <x v="3"/>
    <n v="120"/>
    <n v="0"/>
    <n v="120"/>
  </r>
  <r>
    <x v="312"/>
    <x v="4"/>
    <x v="3"/>
    <n v="120"/>
    <n v="0"/>
    <n v="120"/>
  </r>
  <r>
    <x v="313"/>
    <x v="5"/>
    <x v="3"/>
    <n v="120"/>
    <n v="0"/>
    <n v="120"/>
  </r>
  <r>
    <x v="314"/>
    <x v="6"/>
    <x v="3"/>
    <n v="0"/>
    <n v="0"/>
    <n v="0"/>
  </r>
  <r>
    <x v="315"/>
    <x v="0"/>
    <x v="3"/>
    <n v="0"/>
    <n v="150"/>
    <n v="-150"/>
  </r>
  <r>
    <x v="316"/>
    <x v="1"/>
    <x v="3"/>
    <n v="120"/>
    <n v="0"/>
    <n v="120"/>
  </r>
  <r>
    <x v="317"/>
    <x v="2"/>
    <x v="3"/>
    <n v="120"/>
    <n v="0"/>
    <n v="120"/>
  </r>
  <r>
    <x v="318"/>
    <x v="3"/>
    <x v="3"/>
    <n v="120"/>
    <n v="0"/>
    <n v="120"/>
  </r>
  <r>
    <x v="319"/>
    <x v="4"/>
    <x v="3"/>
    <n v="120"/>
    <n v="0"/>
    <n v="120"/>
  </r>
  <r>
    <x v="320"/>
    <x v="5"/>
    <x v="3"/>
    <n v="120"/>
    <n v="0"/>
    <n v="120"/>
  </r>
  <r>
    <x v="321"/>
    <x v="6"/>
    <x v="3"/>
    <n v="0"/>
    <n v="0"/>
    <n v="0"/>
  </r>
  <r>
    <x v="322"/>
    <x v="0"/>
    <x v="3"/>
    <n v="0"/>
    <n v="150"/>
    <n v="-150"/>
  </r>
  <r>
    <x v="323"/>
    <x v="1"/>
    <x v="3"/>
    <n v="120"/>
    <n v="0"/>
    <n v="120"/>
  </r>
  <r>
    <x v="324"/>
    <x v="2"/>
    <x v="3"/>
    <n v="120"/>
    <n v="0"/>
    <n v="120"/>
  </r>
  <r>
    <x v="325"/>
    <x v="3"/>
    <x v="3"/>
    <n v="120"/>
    <n v="0"/>
    <n v="120"/>
  </r>
  <r>
    <x v="326"/>
    <x v="4"/>
    <x v="3"/>
    <n v="120"/>
    <n v="0"/>
    <n v="120"/>
  </r>
  <r>
    <x v="327"/>
    <x v="5"/>
    <x v="3"/>
    <n v="120"/>
    <n v="0"/>
    <n v="120"/>
  </r>
  <r>
    <x v="328"/>
    <x v="6"/>
    <x v="3"/>
    <n v="0"/>
    <n v="0"/>
    <n v="0"/>
  </r>
  <r>
    <x v="329"/>
    <x v="0"/>
    <x v="3"/>
    <n v="0"/>
    <n v="150"/>
    <n v="-150"/>
  </r>
  <r>
    <x v="330"/>
    <x v="1"/>
    <x v="3"/>
    <n v="120"/>
    <n v="0"/>
    <n v="120"/>
  </r>
  <r>
    <x v="331"/>
    <x v="2"/>
    <x v="3"/>
    <n v="120"/>
    <n v="0"/>
    <n v="120"/>
  </r>
  <r>
    <x v="332"/>
    <x v="3"/>
    <x v="3"/>
    <n v="120"/>
    <n v="0"/>
    <n v="120"/>
  </r>
  <r>
    <x v="333"/>
    <x v="4"/>
    <x v="3"/>
    <n v="120"/>
    <n v="0"/>
    <n v="120"/>
  </r>
  <r>
    <x v="334"/>
    <x v="5"/>
    <x v="3"/>
    <n v="120"/>
    <n v="0"/>
    <n v="120"/>
  </r>
  <r>
    <x v="335"/>
    <x v="6"/>
    <x v="3"/>
    <n v="0"/>
    <n v="0"/>
    <n v="0"/>
  </r>
  <r>
    <x v="336"/>
    <x v="0"/>
    <x v="3"/>
    <n v="0"/>
    <n v="150"/>
    <n v="-150"/>
  </r>
  <r>
    <x v="337"/>
    <x v="1"/>
    <x v="3"/>
    <n v="120"/>
    <n v="0"/>
    <n v="120"/>
  </r>
  <r>
    <x v="338"/>
    <x v="2"/>
    <x v="3"/>
    <n v="120"/>
    <n v="0"/>
    <n v="120"/>
  </r>
  <r>
    <x v="339"/>
    <x v="3"/>
    <x v="3"/>
    <n v="120"/>
    <n v="0"/>
    <n v="120"/>
  </r>
  <r>
    <x v="340"/>
    <x v="4"/>
    <x v="3"/>
    <n v="120"/>
    <n v="0"/>
    <n v="120"/>
  </r>
  <r>
    <x v="341"/>
    <x v="5"/>
    <x v="3"/>
    <n v="120"/>
    <n v="0"/>
    <n v="120"/>
  </r>
  <r>
    <x v="342"/>
    <x v="6"/>
    <x v="3"/>
    <n v="0"/>
    <n v="0"/>
    <n v="0"/>
  </r>
  <r>
    <x v="343"/>
    <x v="0"/>
    <x v="3"/>
    <n v="0"/>
    <n v="150"/>
    <n v="-150"/>
  </r>
  <r>
    <x v="344"/>
    <x v="1"/>
    <x v="3"/>
    <n v="120"/>
    <n v="0"/>
    <n v="120"/>
  </r>
  <r>
    <x v="345"/>
    <x v="2"/>
    <x v="3"/>
    <n v="120"/>
    <n v="0"/>
    <n v="120"/>
  </r>
  <r>
    <x v="346"/>
    <x v="3"/>
    <x v="3"/>
    <n v="120"/>
    <n v="0"/>
    <n v="120"/>
  </r>
  <r>
    <x v="347"/>
    <x v="4"/>
    <x v="3"/>
    <n v="120"/>
    <n v="0"/>
    <n v="120"/>
  </r>
  <r>
    <x v="348"/>
    <x v="5"/>
    <x v="3"/>
    <n v="120"/>
    <n v="0"/>
    <n v="120"/>
  </r>
  <r>
    <x v="349"/>
    <x v="6"/>
    <x v="3"/>
    <n v="0"/>
    <n v="0"/>
    <n v="0"/>
  </r>
  <r>
    <x v="350"/>
    <x v="0"/>
    <x v="3"/>
    <n v="0"/>
    <n v="150"/>
    <n v="-150"/>
  </r>
  <r>
    <x v="351"/>
    <x v="1"/>
    <x v="3"/>
    <n v="120"/>
    <n v="0"/>
    <n v="120"/>
  </r>
  <r>
    <x v="352"/>
    <x v="2"/>
    <x v="3"/>
    <n v="120"/>
    <n v="0"/>
    <n v="120"/>
  </r>
  <r>
    <x v="353"/>
    <x v="3"/>
    <x v="3"/>
    <n v="120"/>
    <n v="0"/>
    <n v="120"/>
  </r>
  <r>
    <x v="354"/>
    <x v="4"/>
    <x v="0"/>
    <n v="60"/>
    <n v="0"/>
    <n v="60"/>
  </r>
  <r>
    <x v="355"/>
    <x v="5"/>
    <x v="0"/>
    <n v="60"/>
    <n v="0"/>
    <n v="60"/>
  </r>
  <r>
    <x v="356"/>
    <x v="6"/>
    <x v="0"/>
    <n v="0"/>
    <n v="0"/>
    <n v="0"/>
  </r>
  <r>
    <x v="357"/>
    <x v="0"/>
    <x v="0"/>
    <n v="0"/>
    <n v="150"/>
    <n v="-150"/>
  </r>
  <r>
    <x v="358"/>
    <x v="1"/>
    <x v="0"/>
    <n v="60"/>
    <n v="0"/>
    <n v="60"/>
  </r>
  <r>
    <x v="359"/>
    <x v="2"/>
    <x v="0"/>
    <n v="60"/>
    <n v="0"/>
    <n v="60"/>
  </r>
  <r>
    <x v="360"/>
    <x v="3"/>
    <x v="0"/>
    <n v="60"/>
    <n v="0"/>
    <n v="60"/>
  </r>
  <r>
    <x v="361"/>
    <x v="4"/>
    <x v="0"/>
    <n v="60"/>
    <n v="0"/>
    <n v="60"/>
  </r>
  <r>
    <x v="362"/>
    <x v="5"/>
    <x v="0"/>
    <n v="60"/>
    <n v="0"/>
    <n v="60"/>
  </r>
  <r>
    <x v="363"/>
    <x v="6"/>
    <x v="0"/>
    <n v="0"/>
    <n v="0"/>
    <n v="0"/>
  </r>
  <r>
    <x v="364"/>
    <x v="0"/>
    <x v="0"/>
    <n v="0"/>
    <n v="150"/>
    <n v="-150"/>
  </r>
  <r>
    <x v="365"/>
    <x v="1"/>
    <x v="0"/>
    <n v="60"/>
    <n v="0"/>
    <n v="60"/>
  </r>
  <r>
    <x v="366"/>
    <x v="2"/>
    <x v="0"/>
    <n v="60"/>
    <n v="0"/>
    <n v="60"/>
  </r>
  <r>
    <x v="367"/>
    <x v="3"/>
    <x v="0"/>
    <n v="60"/>
    <n v="0"/>
    <n v="60"/>
  </r>
  <r>
    <x v="368"/>
    <x v="4"/>
    <x v="0"/>
    <n v="60"/>
    <n v="0"/>
    <n v="60"/>
  </r>
  <r>
    <x v="369"/>
    <x v="5"/>
    <x v="0"/>
    <n v="60"/>
    <n v="0"/>
    <n v="60"/>
  </r>
  <r>
    <x v="370"/>
    <x v="6"/>
    <x v="0"/>
    <n v="0"/>
    <n v="0"/>
    <n v="0"/>
  </r>
  <r>
    <x v="371"/>
    <x v="0"/>
    <x v="0"/>
    <n v="0"/>
    <n v="150"/>
    <n v="-150"/>
  </r>
  <r>
    <x v="372"/>
    <x v="1"/>
    <x v="0"/>
    <n v="60"/>
    <n v="0"/>
    <n v="60"/>
  </r>
  <r>
    <x v="373"/>
    <x v="2"/>
    <x v="0"/>
    <n v="60"/>
    <n v="0"/>
    <n v="60"/>
  </r>
  <r>
    <x v="374"/>
    <x v="3"/>
    <x v="0"/>
    <n v="60"/>
    <n v="0"/>
    <n v="60"/>
  </r>
  <r>
    <x v="375"/>
    <x v="4"/>
    <x v="0"/>
    <n v="60"/>
    <n v="0"/>
    <n v="60"/>
  </r>
  <r>
    <x v="376"/>
    <x v="5"/>
    <x v="0"/>
    <n v="60"/>
    <n v="0"/>
    <n v="60"/>
  </r>
  <r>
    <x v="377"/>
    <x v="6"/>
    <x v="0"/>
    <n v="0"/>
    <n v="0"/>
    <n v="0"/>
  </r>
  <r>
    <x v="378"/>
    <x v="0"/>
    <x v="0"/>
    <n v="0"/>
    <n v="150"/>
    <n v="-150"/>
  </r>
  <r>
    <x v="379"/>
    <x v="1"/>
    <x v="0"/>
    <n v="60"/>
    <n v="0"/>
    <n v="60"/>
  </r>
  <r>
    <x v="380"/>
    <x v="2"/>
    <x v="0"/>
    <n v="60"/>
    <n v="0"/>
    <n v="60"/>
  </r>
  <r>
    <x v="381"/>
    <x v="3"/>
    <x v="0"/>
    <n v="60"/>
    <n v="0"/>
    <n v="60"/>
  </r>
  <r>
    <x v="382"/>
    <x v="4"/>
    <x v="0"/>
    <n v="60"/>
    <n v="0"/>
    <n v="60"/>
  </r>
  <r>
    <x v="383"/>
    <x v="5"/>
    <x v="0"/>
    <n v="60"/>
    <n v="0"/>
    <n v="60"/>
  </r>
  <r>
    <x v="384"/>
    <x v="6"/>
    <x v="0"/>
    <n v="0"/>
    <n v="0"/>
    <n v="0"/>
  </r>
  <r>
    <x v="385"/>
    <x v="0"/>
    <x v="0"/>
    <n v="0"/>
    <n v="150"/>
    <n v="-150"/>
  </r>
  <r>
    <x v="386"/>
    <x v="1"/>
    <x v="0"/>
    <n v="60"/>
    <n v="0"/>
    <n v="60"/>
  </r>
  <r>
    <x v="387"/>
    <x v="2"/>
    <x v="0"/>
    <n v="60"/>
    <n v="0"/>
    <n v="60"/>
  </r>
  <r>
    <x v="388"/>
    <x v="3"/>
    <x v="0"/>
    <n v="60"/>
    <n v="0"/>
    <n v="60"/>
  </r>
  <r>
    <x v="389"/>
    <x v="4"/>
    <x v="0"/>
    <n v="60"/>
    <n v="0"/>
    <n v="60"/>
  </r>
  <r>
    <x v="390"/>
    <x v="5"/>
    <x v="0"/>
    <n v="60"/>
    <n v="0"/>
    <n v="60"/>
  </r>
  <r>
    <x v="391"/>
    <x v="6"/>
    <x v="0"/>
    <n v="0"/>
    <n v="0"/>
    <n v="0"/>
  </r>
  <r>
    <x v="392"/>
    <x v="0"/>
    <x v="0"/>
    <n v="0"/>
    <n v="150"/>
    <n v="-150"/>
  </r>
  <r>
    <x v="393"/>
    <x v="1"/>
    <x v="0"/>
    <n v="60"/>
    <n v="0"/>
    <n v="60"/>
  </r>
  <r>
    <x v="394"/>
    <x v="2"/>
    <x v="0"/>
    <n v="60"/>
    <n v="0"/>
    <n v="60"/>
  </r>
  <r>
    <x v="395"/>
    <x v="3"/>
    <x v="0"/>
    <n v="60"/>
    <n v="0"/>
    <n v="60"/>
  </r>
  <r>
    <x v="396"/>
    <x v="4"/>
    <x v="0"/>
    <n v="60"/>
    <n v="0"/>
    <n v="60"/>
  </r>
  <r>
    <x v="397"/>
    <x v="5"/>
    <x v="0"/>
    <n v="60"/>
    <n v="0"/>
    <n v="60"/>
  </r>
  <r>
    <x v="398"/>
    <x v="6"/>
    <x v="0"/>
    <n v="0"/>
    <n v="0"/>
    <n v="0"/>
  </r>
  <r>
    <x v="399"/>
    <x v="0"/>
    <x v="0"/>
    <n v="0"/>
    <n v="150"/>
    <n v="-150"/>
  </r>
  <r>
    <x v="400"/>
    <x v="1"/>
    <x v="0"/>
    <n v="60"/>
    <n v="0"/>
    <n v="60"/>
  </r>
  <r>
    <x v="401"/>
    <x v="2"/>
    <x v="0"/>
    <n v="60"/>
    <n v="0"/>
    <n v="60"/>
  </r>
  <r>
    <x v="402"/>
    <x v="3"/>
    <x v="0"/>
    <n v="60"/>
    <n v="0"/>
    <n v="60"/>
  </r>
  <r>
    <x v="403"/>
    <x v="4"/>
    <x v="0"/>
    <n v="60"/>
    <n v="0"/>
    <n v="60"/>
  </r>
  <r>
    <x v="404"/>
    <x v="5"/>
    <x v="0"/>
    <n v="60"/>
    <n v="0"/>
    <n v="60"/>
  </r>
  <r>
    <x v="405"/>
    <x v="6"/>
    <x v="0"/>
    <n v="0"/>
    <n v="0"/>
    <n v="0"/>
  </r>
  <r>
    <x v="406"/>
    <x v="0"/>
    <x v="0"/>
    <n v="0"/>
    <n v="150"/>
    <n v="-150"/>
  </r>
  <r>
    <x v="407"/>
    <x v="1"/>
    <x v="0"/>
    <n v="60"/>
    <n v="0"/>
    <n v="60"/>
  </r>
  <r>
    <x v="408"/>
    <x v="2"/>
    <x v="0"/>
    <n v="60"/>
    <n v="0"/>
    <n v="60"/>
  </r>
  <r>
    <x v="409"/>
    <x v="3"/>
    <x v="0"/>
    <n v="60"/>
    <n v="0"/>
    <n v="60"/>
  </r>
  <r>
    <x v="410"/>
    <x v="4"/>
    <x v="0"/>
    <n v="60"/>
    <n v="0"/>
    <n v="60"/>
  </r>
  <r>
    <x v="411"/>
    <x v="5"/>
    <x v="0"/>
    <n v="60"/>
    <n v="0"/>
    <n v="60"/>
  </r>
  <r>
    <x v="412"/>
    <x v="6"/>
    <x v="0"/>
    <n v="0"/>
    <n v="0"/>
    <n v="0"/>
  </r>
  <r>
    <x v="413"/>
    <x v="0"/>
    <x v="0"/>
    <n v="0"/>
    <n v="150"/>
    <n v="-150"/>
  </r>
  <r>
    <x v="414"/>
    <x v="1"/>
    <x v="0"/>
    <n v="60"/>
    <n v="0"/>
    <n v="60"/>
  </r>
  <r>
    <x v="415"/>
    <x v="2"/>
    <x v="0"/>
    <n v="60"/>
    <n v="0"/>
    <n v="60"/>
  </r>
  <r>
    <x v="416"/>
    <x v="3"/>
    <x v="0"/>
    <n v="60"/>
    <n v="0"/>
    <n v="60"/>
  </r>
  <r>
    <x v="417"/>
    <x v="4"/>
    <x v="0"/>
    <n v="60"/>
    <n v="0"/>
    <n v="60"/>
  </r>
  <r>
    <x v="418"/>
    <x v="5"/>
    <x v="0"/>
    <n v="60"/>
    <n v="0"/>
    <n v="60"/>
  </r>
  <r>
    <x v="419"/>
    <x v="6"/>
    <x v="0"/>
    <n v="0"/>
    <n v="0"/>
    <n v="0"/>
  </r>
  <r>
    <x v="420"/>
    <x v="0"/>
    <x v="0"/>
    <n v="0"/>
    <n v="150"/>
    <n v="-150"/>
  </r>
  <r>
    <x v="421"/>
    <x v="1"/>
    <x v="0"/>
    <n v="60"/>
    <n v="0"/>
    <n v="60"/>
  </r>
  <r>
    <x v="422"/>
    <x v="2"/>
    <x v="0"/>
    <n v="60"/>
    <n v="0"/>
    <n v="60"/>
  </r>
  <r>
    <x v="423"/>
    <x v="3"/>
    <x v="0"/>
    <n v="60"/>
    <n v="0"/>
    <n v="60"/>
  </r>
  <r>
    <x v="424"/>
    <x v="4"/>
    <x v="0"/>
    <n v="60"/>
    <n v="0"/>
    <n v="60"/>
  </r>
  <r>
    <x v="425"/>
    <x v="5"/>
    <x v="0"/>
    <n v="60"/>
    <n v="0"/>
    <n v="60"/>
  </r>
  <r>
    <x v="426"/>
    <x v="6"/>
    <x v="0"/>
    <n v="0"/>
    <n v="0"/>
    <n v="0"/>
  </r>
  <r>
    <x v="427"/>
    <x v="0"/>
    <x v="0"/>
    <n v="0"/>
    <n v="150"/>
    <n v="-150"/>
  </r>
  <r>
    <x v="428"/>
    <x v="1"/>
    <x v="0"/>
    <n v="60"/>
    <n v="0"/>
    <n v="60"/>
  </r>
  <r>
    <x v="429"/>
    <x v="2"/>
    <x v="0"/>
    <n v="60"/>
    <n v="0"/>
    <n v="60"/>
  </r>
  <r>
    <x v="430"/>
    <x v="3"/>
    <x v="0"/>
    <n v="60"/>
    <n v="0"/>
    <n v="60"/>
  </r>
  <r>
    <x v="431"/>
    <x v="4"/>
    <x v="0"/>
    <n v="60"/>
    <n v="0"/>
    <n v="60"/>
  </r>
  <r>
    <x v="432"/>
    <x v="5"/>
    <x v="0"/>
    <n v="60"/>
    <n v="0"/>
    <n v="60"/>
  </r>
  <r>
    <x v="433"/>
    <x v="6"/>
    <x v="0"/>
    <n v="0"/>
    <n v="0"/>
    <n v="0"/>
  </r>
  <r>
    <x v="434"/>
    <x v="0"/>
    <x v="0"/>
    <n v="0"/>
    <n v="150"/>
    <n v="-150"/>
  </r>
  <r>
    <x v="435"/>
    <x v="1"/>
    <x v="0"/>
    <n v="60"/>
    <n v="0"/>
    <n v="60"/>
  </r>
  <r>
    <x v="436"/>
    <x v="2"/>
    <x v="0"/>
    <n v="60"/>
    <n v="0"/>
    <n v="60"/>
  </r>
  <r>
    <x v="437"/>
    <x v="3"/>
    <x v="0"/>
    <n v="60"/>
    <n v="0"/>
    <n v="60"/>
  </r>
  <r>
    <x v="438"/>
    <x v="4"/>
    <x v="0"/>
    <n v="60"/>
    <n v="0"/>
    <n v="60"/>
  </r>
  <r>
    <x v="439"/>
    <x v="5"/>
    <x v="0"/>
    <n v="60"/>
    <n v="0"/>
    <n v="60"/>
  </r>
  <r>
    <x v="440"/>
    <x v="6"/>
    <x v="0"/>
    <n v="0"/>
    <n v="0"/>
    <n v="0"/>
  </r>
  <r>
    <x v="441"/>
    <x v="0"/>
    <x v="0"/>
    <n v="0"/>
    <n v="150"/>
    <n v="-150"/>
  </r>
  <r>
    <x v="442"/>
    <x v="1"/>
    <x v="0"/>
    <n v="60"/>
    <n v="0"/>
    <n v="60"/>
  </r>
  <r>
    <x v="443"/>
    <x v="2"/>
    <x v="0"/>
    <n v="60"/>
    <n v="0"/>
    <n v="60"/>
  </r>
  <r>
    <x v="444"/>
    <x v="3"/>
    <x v="0"/>
    <n v="60"/>
    <n v="0"/>
    <n v="60"/>
  </r>
  <r>
    <x v="445"/>
    <x v="4"/>
    <x v="1"/>
    <n v="150"/>
    <n v="0"/>
    <n v="150"/>
  </r>
  <r>
    <x v="446"/>
    <x v="5"/>
    <x v="1"/>
    <n v="150"/>
    <n v="0"/>
    <n v="150"/>
  </r>
  <r>
    <x v="447"/>
    <x v="6"/>
    <x v="1"/>
    <n v="0"/>
    <n v="0"/>
    <n v="0"/>
  </r>
  <r>
    <x v="448"/>
    <x v="0"/>
    <x v="1"/>
    <n v="0"/>
    <n v="150"/>
    <n v="-150"/>
  </r>
  <r>
    <x v="449"/>
    <x v="1"/>
    <x v="1"/>
    <n v="150"/>
    <n v="0"/>
    <n v="150"/>
  </r>
  <r>
    <x v="450"/>
    <x v="2"/>
    <x v="1"/>
    <n v="150"/>
    <n v="0"/>
    <n v="150"/>
  </r>
  <r>
    <x v="451"/>
    <x v="3"/>
    <x v="1"/>
    <n v="150"/>
    <n v="0"/>
    <n v="150"/>
  </r>
  <r>
    <x v="452"/>
    <x v="4"/>
    <x v="1"/>
    <n v="150"/>
    <n v="0"/>
    <n v="150"/>
  </r>
  <r>
    <x v="453"/>
    <x v="5"/>
    <x v="1"/>
    <n v="150"/>
    <n v="0"/>
    <n v="150"/>
  </r>
  <r>
    <x v="454"/>
    <x v="6"/>
    <x v="1"/>
    <n v="0"/>
    <n v="0"/>
    <n v="0"/>
  </r>
  <r>
    <x v="455"/>
    <x v="0"/>
    <x v="1"/>
    <n v="0"/>
    <n v="150"/>
    <n v="-150"/>
  </r>
  <r>
    <x v="456"/>
    <x v="1"/>
    <x v="1"/>
    <n v="150"/>
    <n v="0"/>
    <n v="150"/>
  </r>
  <r>
    <x v="457"/>
    <x v="2"/>
    <x v="1"/>
    <n v="150"/>
    <n v="0"/>
    <n v="150"/>
  </r>
  <r>
    <x v="458"/>
    <x v="3"/>
    <x v="1"/>
    <n v="150"/>
    <n v="0"/>
    <n v="150"/>
  </r>
  <r>
    <x v="459"/>
    <x v="4"/>
    <x v="1"/>
    <n v="150"/>
    <n v="0"/>
    <n v="150"/>
  </r>
  <r>
    <x v="460"/>
    <x v="5"/>
    <x v="1"/>
    <n v="150"/>
    <n v="0"/>
    <n v="150"/>
  </r>
  <r>
    <x v="461"/>
    <x v="6"/>
    <x v="1"/>
    <n v="0"/>
    <n v="0"/>
    <n v="0"/>
  </r>
  <r>
    <x v="462"/>
    <x v="0"/>
    <x v="1"/>
    <n v="0"/>
    <n v="150"/>
    <n v="-150"/>
  </r>
  <r>
    <x v="463"/>
    <x v="1"/>
    <x v="1"/>
    <n v="150"/>
    <n v="0"/>
    <n v="150"/>
  </r>
  <r>
    <x v="464"/>
    <x v="2"/>
    <x v="1"/>
    <n v="150"/>
    <n v="0"/>
    <n v="150"/>
  </r>
  <r>
    <x v="465"/>
    <x v="3"/>
    <x v="1"/>
    <n v="150"/>
    <n v="0"/>
    <n v="150"/>
  </r>
  <r>
    <x v="466"/>
    <x v="4"/>
    <x v="1"/>
    <n v="150"/>
    <n v="0"/>
    <n v="150"/>
  </r>
  <r>
    <x v="467"/>
    <x v="5"/>
    <x v="1"/>
    <n v="150"/>
    <n v="0"/>
    <n v="150"/>
  </r>
  <r>
    <x v="468"/>
    <x v="6"/>
    <x v="1"/>
    <n v="0"/>
    <n v="0"/>
    <n v="0"/>
  </r>
  <r>
    <x v="469"/>
    <x v="0"/>
    <x v="1"/>
    <n v="0"/>
    <n v="150"/>
    <n v="-150"/>
  </r>
  <r>
    <x v="470"/>
    <x v="1"/>
    <x v="1"/>
    <n v="150"/>
    <n v="0"/>
    <n v="150"/>
  </r>
  <r>
    <x v="471"/>
    <x v="2"/>
    <x v="1"/>
    <n v="150"/>
    <n v="0"/>
    <n v="150"/>
  </r>
  <r>
    <x v="472"/>
    <x v="3"/>
    <x v="1"/>
    <n v="150"/>
    <n v="0"/>
    <n v="150"/>
  </r>
  <r>
    <x v="473"/>
    <x v="4"/>
    <x v="1"/>
    <n v="150"/>
    <n v="0"/>
    <n v="150"/>
  </r>
  <r>
    <x v="474"/>
    <x v="5"/>
    <x v="1"/>
    <n v="150"/>
    <n v="0"/>
    <n v="150"/>
  </r>
  <r>
    <x v="475"/>
    <x v="6"/>
    <x v="1"/>
    <n v="0"/>
    <n v="0"/>
    <n v="0"/>
  </r>
  <r>
    <x v="476"/>
    <x v="0"/>
    <x v="1"/>
    <n v="0"/>
    <n v="150"/>
    <n v="-150"/>
  </r>
  <r>
    <x v="477"/>
    <x v="1"/>
    <x v="1"/>
    <n v="150"/>
    <n v="0"/>
    <n v="150"/>
  </r>
  <r>
    <x v="478"/>
    <x v="2"/>
    <x v="1"/>
    <n v="150"/>
    <n v="0"/>
    <n v="150"/>
  </r>
  <r>
    <x v="479"/>
    <x v="3"/>
    <x v="1"/>
    <n v="150"/>
    <n v="0"/>
    <n v="150"/>
  </r>
  <r>
    <x v="480"/>
    <x v="4"/>
    <x v="1"/>
    <n v="150"/>
    <n v="0"/>
    <n v="150"/>
  </r>
  <r>
    <x v="481"/>
    <x v="5"/>
    <x v="1"/>
    <n v="150"/>
    <n v="0"/>
    <n v="150"/>
  </r>
  <r>
    <x v="482"/>
    <x v="6"/>
    <x v="1"/>
    <n v="0"/>
    <n v="0"/>
    <n v="0"/>
  </r>
  <r>
    <x v="483"/>
    <x v="0"/>
    <x v="1"/>
    <n v="0"/>
    <n v="150"/>
    <n v="-150"/>
  </r>
  <r>
    <x v="484"/>
    <x v="1"/>
    <x v="1"/>
    <n v="150"/>
    <n v="0"/>
    <n v="150"/>
  </r>
  <r>
    <x v="485"/>
    <x v="2"/>
    <x v="1"/>
    <n v="150"/>
    <n v="0"/>
    <n v="150"/>
  </r>
  <r>
    <x v="486"/>
    <x v="3"/>
    <x v="1"/>
    <n v="150"/>
    <n v="0"/>
    <n v="150"/>
  </r>
  <r>
    <x v="487"/>
    <x v="4"/>
    <x v="1"/>
    <n v="150"/>
    <n v="0"/>
    <n v="150"/>
  </r>
  <r>
    <x v="488"/>
    <x v="5"/>
    <x v="1"/>
    <n v="150"/>
    <n v="0"/>
    <n v="150"/>
  </r>
  <r>
    <x v="489"/>
    <x v="6"/>
    <x v="1"/>
    <n v="0"/>
    <n v="0"/>
    <n v="0"/>
  </r>
  <r>
    <x v="490"/>
    <x v="0"/>
    <x v="1"/>
    <n v="0"/>
    <n v="150"/>
    <n v="-150"/>
  </r>
  <r>
    <x v="491"/>
    <x v="1"/>
    <x v="1"/>
    <n v="150"/>
    <n v="0"/>
    <n v="150"/>
  </r>
  <r>
    <x v="492"/>
    <x v="2"/>
    <x v="1"/>
    <n v="150"/>
    <n v="0"/>
    <n v="150"/>
  </r>
  <r>
    <x v="493"/>
    <x v="3"/>
    <x v="1"/>
    <n v="150"/>
    <n v="0"/>
    <n v="150"/>
  </r>
  <r>
    <x v="494"/>
    <x v="4"/>
    <x v="1"/>
    <n v="150"/>
    <n v="0"/>
    <n v="150"/>
  </r>
  <r>
    <x v="495"/>
    <x v="5"/>
    <x v="1"/>
    <n v="150"/>
    <n v="0"/>
    <n v="150"/>
  </r>
  <r>
    <x v="496"/>
    <x v="6"/>
    <x v="1"/>
    <n v="0"/>
    <n v="0"/>
    <n v="0"/>
  </r>
  <r>
    <x v="497"/>
    <x v="0"/>
    <x v="1"/>
    <n v="0"/>
    <n v="150"/>
    <n v="-150"/>
  </r>
  <r>
    <x v="498"/>
    <x v="1"/>
    <x v="1"/>
    <n v="150"/>
    <n v="0"/>
    <n v="150"/>
  </r>
  <r>
    <x v="499"/>
    <x v="2"/>
    <x v="1"/>
    <n v="150"/>
    <n v="0"/>
    <n v="150"/>
  </r>
  <r>
    <x v="500"/>
    <x v="3"/>
    <x v="1"/>
    <n v="150"/>
    <n v="0"/>
    <n v="150"/>
  </r>
  <r>
    <x v="501"/>
    <x v="4"/>
    <x v="1"/>
    <n v="150"/>
    <n v="0"/>
    <n v="150"/>
  </r>
  <r>
    <x v="502"/>
    <x v="5"/>
    <x v="1"/>
    <n v="150"/>
    <n v="0"/>
    <n v="150"/>
  </r>
  <r>
    <x v="503"/>
    <x v="6"/>
    <x v="1"/>
    <n v="0"/>
    <n v="0"/>
    <n v="0"/>
  </r>
  <r>
    <x v="504"/>
    <x v="0"/>
    <x v="1"/>
    <n v="0"/>
    <n v="150"/>
    <n v="-150"/>
  </r>
  <r>
    <x v="505"/>
    <x v="1"/>
    <x v="1"/>
    <n v="150"/>
    <n v="0"/>
    <n v="150"/>
  </r>
  <r>
    <x v="506"/>
    <x v="2"/>
    <x v="1"/>
    <n v="150"/>
    <n v="0"/>
    <n v="150"/>
  </r>
  <r>
    <x v="507"/>
    <x v="3"/>
    <x v="1"/>
    <n v="150"/>
    <n v="0"/>
    <n v="150"/>
  </r>
  <r>
    <x v="508"/>
    <x v="4"/>
    <x v="1"/>
    <n v="150"/>
    <n v="0"/>
    <n v="150"/>
  </r>
  <r>
    <x v="509"/>
    <x v="5"/>
    <x v="1"/>
    <n v="150"/>
    <n v="0"/>
    <n v="150"/>
  </r>
  <r>
    <x v="510"/>
    <x v="6"/>
    <x v="1"/>
    <n v="0"/>
    <n v="0"/>
    <n v="0"/>
  </r>
  <r>
    <x v="511"/>
    <x v="0"/>
    <x v="1"/>
    <n v="0"/>
    <n v="150"/>
    <n v="-150"/>
  </r>
  <r>
    <x v="512"/>
    <x v="1"/>
    <x v="1"/>
    <n v="150"/>
    <n v="0"/>
    <n v="150"/>
  </r>
  <r>
    <x v="513"/>
    <x v="2"/>
    <x v="1"/>
    <n v="150"/>
    <n v="0"/>
    <n v="150"/>
  </r>
  <r>
    <x v="514"/>
    <x v="3"/>
    <x v="1"/>
    <n v="150"/>
    <n v="0"/>
    <n v="150"/>
  </r>
  <r>
    <x v="515"/>
    <x v="4"/>
    <x v="1"/>
    <n v="150"/>
    <n v="0"/>
    <n v="150"/>
  </r>
  <r>
    <x v="516"/>
    <x v="5"/>
    <x v="1"/>
    <n v="150"/>
    <n v="0"/>
    <n v="150"/>
  </r>
  <r>
    <x v="517"/>
    <x v="6"/>
    <x v="1"/>
    <n v="0"/>
    <n v="0"/>
    <n v="0"/>
  </r>
  <r>
    <x v="518"/>
    <x v="0"/>
    <x v="1"/>
    <n v="0"/>
    <n v="150"/>
    <n v="-150"/>
  </r>
  <r>
    <x v="519"/>
    <x v="1"/>
    <x v="1"/>
    <n v="150"/>
    <n v="0"/>
    <n v="150"/>
  </r>
  <r>
    <x v="520"/>
    <x v="2"/>
    <x v="1"/>
    <n v="150"/>
    <n v="0"/>
    <n v="150"/>
  </r>
  <r>
    <x v="521"/>
    <x v="3"/>
    <x v="1"/>
    <n v="150"/>
    <n v="0"/>
    <n v="150"/>
  </r>
  <r>
    <x v="522"/>
    <x v="4"/>
    <x v="1"/>
    <n v="150"/>
    <n v="0"/>
    <n v="150"/>
  </r>
  <r>
    <x v="523"/>
    <x v="5"/>
    <x v="1"/>
    <n v="150"/>
    <n v="0"/>
    <n v="150"/>
  </r>
  <r>
    <x v="524"/>
    <x v="6"/>
    <x v="1"/>
    <n v="0"/>
    <n v="0"/>
    <n v="0"/>
  </r>
  <r>
    <x v="525"/>
    <x v="0"/>
    <x v="1"/>
    <n v="0"/>
    <n v="150"/>
    <n v="-150"/>
  </r>
  <r>
    <x v="526"/>
    <x v="1"/>
    <x v="1"/>
    <n v="150"/>
    <n v="0"/>
    <n v="150"/>
  </r>
  <r>
    <x v="527"/>
    <x v="2"/>
    <x v="1"/>
    <n v="150"/>
    <n v="0"/>
    <n v="150"/>
  </r>
  <r>
    <x v="528"/>
    <x v="3"/>
    <x v="1"/>
    <n v="150"/>
    <n v="0"/>
    <n v="150"/>
  </r>
  <r>
    <x v="529"/>
    <x v="4"/>
    <x v="1"/>
    <n v="150"/>
    <n v="0"/>
    <n v="150"/>
  </r>
  <r>
    <x v="530"/>
    <x v="5"/>
    <x v="1"/>
    <n v="150"/>
    <n v="0"/>
    <n v="150"/>
  </r>
  <r>
    <x v="531"/>
    <x v="6"/>
    <x v="1"/>
    <n v="0"/>
    <n v="0"/>
    <n v="0"/>
  </r>
  <r>
    <x v="532"/>
    <x v="0"/>
    <x v="1"/>
    <n v="0"/>
    <n v="150"/>
    <n v="-150"/>
  </r>
  <r>
    <x v="533"/>
    <x v="1"/>
    <x v="1"/>
    <n v="150"/>
    <n v="0"/>
    <n v="150"/>
  </r>
  <r>
    <x v="534"/>
    <x v="2"/>
    <x v="1"/>
    <n v="150"/>
    <n v="0"/>
    <n v="150"/>
  </r>
  <r>
    <x v="535"/>
    <x v="3"/>
    <x v="1"/>
    <n v="150"/>
    <n v="0"/>
    <n v="150"/>
  </r>
  <r>
    <x v="536"/>
    <x v="4"/>
    <x v="1"/>
    <n v="150"/>
    <n v="0"/>
    <n v="150"/>
  </r>
  <r>
    <x v="537"/>
    <x v="5"/>
    <x v="2"/>
    <n v="270"/>
    <n v="0"/>
    <n v="270"/>
  </r>
  <r>
    <x v="538"/>
    <x v="6"/>
    <x v="2"/>
    <n v="0"/>
    <n v="0"/>
    <n v="0"/>
  </r>
  <r>
    <x v="539"/>
    <x v="0"/>
    <x v="2"/>
    <n v="0"/>
    <n v="150"/>
    <n v="-150"/>
  </r>
  <r>
    <x v="540"/>
    <x v="1"/>
    <x v="2"/>
    <n v="270"/>
    <n v="0"/>
    <n v="270"/>
  </r>
  <r>
    <x v="541"/>
    <x v="2"/>
    <x v="2"/>
    <n v="270"/>
    <n v="0"/>
    <n v="270"/>
  </r>
  <r>
    <x v="542"/>
    <x v="3"/>
    <x v="2"/>
    <n v="270"/>
    <n v="0"/>
    <n v="270"/>
  </r>
  <r>
    <x v="543"/>
    <x v="4"/>
    <x v="2"/>
    <n v="270"/>
    <n v="0"/>
    <n v="270"/>
  </r>
  <r>
    <x v="544"/>
    <x v="5"/>
    <x v="2"/>
    <n v="270"/>
    <n v="0"/>
    <n v="270"/>
  </r>
  <r>
    <x v="545"/>
    <x v="6"/>
    <x v="2"/>
    <n v="0"/>
    <n v="0"/>
    <n v="0"/>
  </r>
  <r>
    <x v="546"/>
    <x v="0"/>
    <x v="2"/>
    <n v="0"/>
    <n v="150"/>
    <n v="-150"/>
  </r>
  <r>
    <x v="547"/>
    <x v="1"/>
    <x v="2"/>
    <n v="270"/>
    <n v="0"/>
    <n v="270"/>
  </r>
  <r>
    <x v="548"/>
    <x v="2"/>
    <x v="2"/>
    <n v="270"/>
    <n v="0"/>
    <n v="270"/>
  </r>
  <r>
    <x v="549"/>
    <x v="3"/>
    <x v="2"/>
    <n v="270"/>
    <n v="0"/>
    <n v="270"/>
  </r>
  <r>
    <x v="550"/>
    <x v="4"/>
    <x v="2"/>
    <n v="270"/>
    <n v="0"/>
    <n v="270"/>
  </r>
  <r>
    <x v="551"/>
    <x v="5"/>
    <x v="2"/>
    <n v="270"/>
    <n v="0"/>
    <n v="270"/>
  </r>
  <r>
    <x v="552"/>
    <x v="6"/>
    <x v="2"/>
    <n v="0"/>
    <n v="0"/>
    <n v="0"/>
  </r>
  <r>
    <x v="553"/>
    <x v="0"/>
    <x v="2"/>
    <n v="0"/>
    <n v="150"/>
    <n v="-150"/>
  </r>
  <r>
    <x v="554"/>
    <x v="1"/>
    <x v="2"/>
    <n v="270"/>
    <n v="0"/>
    <n v="270"/>
  </r>
  <r>
    <x v="555"/>
    <x v="2"/>
    <x v="2"/>
    <n v="270"/>
    <n v="0"/>
    <n v="270"/>
  </r>
  <r>
    <x v="556"/>
    <x v="3"/>
    <x v="2"/>
    <n v="270"/>
    <n v="0"/>
    <n v="270"/>
  </r>
  <r>
    <x v="557"/>
    <x v="4"/>
    <x v="2"/>
    <n v="270"/>
    <n v="0"/>
    <n v="270"/>
  </r>
  <r>
    <x v="558"/>
    <x v="5"/>
    <x v="2"/>
    <n v="270"/>
    <n v="0"/>
    <n v="270"/>
  </r>
  <r>
    <x v="559"/>
    <x v="6"/>
    <x v="2"/>
    <n v="0"/>
    <n v="0"/>
    <n v="0"/>
  </r>
  <r>
    <x v="560"/>
    <x v="0"/>
    <x v="2"/>
    <n v="0"/>
    <n v="150"/>
    <n v="-150"/>
  </r>
  <r>
    <x v="561"/>
    <x v="1"/>
    <x v="2"/>
    <n v="270"/>
    <n v="0"/>
    <n v="270"/>
  </r>
  <r>
    <x v="562"/>
    <x v="2"/>
    <x v="2"/>
    <n v="270"/>
    <n v="0"/>
    <n v="270"/>
  </r>
  <r>
    <x v="563"/>
    <x v="3"/>
    <x v="2"/>
    <n v="270"/>
    <n v="0"/>
    <n v="270"/>
  </r>
  <r>
    <x v="564"/>
    <x v="4"/>
    <x v="2"/>
    <n v="270"/>
    <n v="0"/>
    <n v="270"/>
  </r>
  <r>
    <x v="565"/>
    <x v="5"/>
    <x v="2"/>
    <n v="270"/>
    <n v="0"/>
    <n v="270"/>
  </r>
  <r>
    <x v="566"/>
    <x v="6"/>
    <x v="2"/>
    <n v="0"/>
    <n v="0"/>
    <n v="0"/>
  </r>
  <r>
    <x v="567"/>
    <x v="0"/>
    <x v="2"/>
    <n v="0"/>
    <n v="150"/>
    <n v="-150"/>
  </r>
  <r>
    <x v="568"/>
    <x v="1"/>
    <x v="2"/>
    <n v="270"/>
    <n v="0"/>
    <n v="270"/>
  </r>
  <r>
    <x v="569"/>
    <x v="2"/>
    <x v="2"/>
    <n v="270"/>
    <n v="0"/>
    <n v="270"/>
  </r>
  <r>
    <x v="570"/>
    <x v="3"/>
    <x v="2"/>
    <n v="270"/>
    <n v="0"/>
    <n v="270"/>
  </r>
  <r>
    <x v="571"/>
    <x v="4"/>
    <x v="2"/>
    <n v="270"/>
    <n v="0"/>
    <n v="270"/>
  </r>
  <r>
    <x v="572"/>
    <x v="5"/>
    <x v="2"/>
    <n v="270"/>
    <n v="0"/>
    <n v="270"/>
  </r>
  <r>
    <x v="573"/>
    <x v="6"/>
    <x v="2"/>
    <n v="0"/>
    <n v="0"/>
    <n v="0"/>
  </r>
  <r>
    <x v="574"/>
    <x v="0"/>
    <x v="2"/>
    <n v="0"/>
    <n v="150"/>
    <n v="-150"/>
  </r>
  <r>
    <x v="575"/>
    <x v="1"/>
    <x v="2"/>
    <n v="270"/>
    <n v="0"/>
    <n v="270"/>
  </r>
  <r>
    <x v="576"/>
    <x v="2"/>
    <x v="2"/>
    <n v="270"/>
    <n v="0"/>
    <n v="270"/>
  </r>
  <r>
    <x v="577"/>
    <x v="3"/>
    <x v="2"/>
    <n v="270"/>
    <n v="0"/>
    <n v="270"/>
  </r>
  <r>
    <x v="578"/>
    <x v="4"/>
    <x v="2"/>
    <n v="270"/>
    <n v="0"/>
    <n v="270"/>
  </r>
  <r>
    <x v="579"/>
    <x v="5"/>
    <x v="2"/>
    <n v="270"/>
    <n v="0"/>
    <n v="270"/>
  </r>
  <r>
    <x v="580"/>
    <x v="6"/>
    <x v="2"/>
    <n v="0"/>
    <n v="0"/>
    <n v="0"/>
  </r>
  <r>
    <x v="581"/>
    <x v="0"/>
    <x v="2"/>
    <n v="0"/>
    <n v="150"/>
    <n v="-150"/>
  </r>
  <r>
    <x v="582"/>
    <x v="1"/>
    <x v="2"/>
    <n v="270"/>
    <n v="0"/>
    <n v="270"/>
  </r>
  <r>
    <x v="583"/>
    <x v="2"/>
    <x v="2"/>
    <n v="270"/>
    <n v="0"/>
    <n v="270"/>
  </r>
  <r>
    <x v="584"/>
    <x v="3"/>
    <x v="2"/>
    <n v="270"/>
    <n v="0"/>
    <n v="270"/>
  </r>
  <r>
    <x v="585"/>
    <x v="4"/>
    <x v="2"/>
    <n v="270"/>
    <n v="0"/>
    <n v="270"/>
  </r>
  <r>
    <x v="586"/>
    <x v="5"/>
    <x v="2"/>
    <n v="270"/>
    <n v="0"/>
    <n v="270"/>
  </r>
  <r>
    <x v="587"/>
    <x v="6"/>
    <x v="2"/>
    <n v="0"/>
    <n v="0"/>
    <n v="0"/>
  </r>
  <r>
    <x v="588"/>
    <x v="0"/>
    <x v="2"/>
    <n v="0"/>
    <n v="150"/>
    <n v="-150"/>
  </r>
  <r>
    <x v="589"/>
    <x v="1"/>
    <x v="2"/>
    <n v="270"/>
    <n v="0"/>
    <n v="270"/>
  </r>
  <r>
    <x v="590"/>
    <x v="2"/>
    <x v="2"/>
    <n v="270"/>
    <n v="0"/>
    <n v="270"/>
  </r>
  <r>
    <x v="591"/>
    <x v="3"/>
    <x v="2"/>
    <n v="270"/>
    <n v="0"/>
    <n v="270"/>
  </r>
  <r>
    <x v="592"/>
    <x v="4"/>
    <x v="2"/>
    <n v="270"/>
    <n v="0"/>
    <n v="270"/>
  </r>
  <r>
    <x v="593"/>
    <x v="5"/>
    <x v="2"/>
    <n v="270"/>
    <n v="0"/>
    <n v="270"/>
  </r>
  <r>
    <x v="594"/>
    <x v="6"/>
    <x v="2"/>
    <n v="0"/>
    <n v="0"/>
    <n v="0"/>
  </r>
  <r>
    <x v="595"/>
    <x v="0"/>
    <x v="2"/>
    <n v="0"/>
    <n v="150"/>
    <n v="-150"/>
  </r>
  <r>
    <x v="596"/>
    <x v="1"/>
    <x v="2"/>
    <n v="270"/>
    <n v="0"/>
    <n v="270"/>
  </r>
  <r>
    <x v="597"/>
    <x v="2"/>
    <x v="2"/>
    <n v="270"/>
    <n v="0"/>
    <n v="270"/>
  </r>
  <r>
    <x v="598"/>
    <x v="3"/>
    <x v="2"/>
    <n v="270"/>
    <n v="0"/>
    <n v="270"/>
  </r>
  <r>
    <x v="599"/>
    <x v="4"/>
    <x v="2"/>
    <n v="270"/>
    <n v="0"/>
    <n v="270"/>
  </r>
  <r>
    <x v="600"/>
    <x v="5"/>
    <x v="2"/>
    <n v="270"/>
    <n v="0"/>
    <n v="270"/>
  </r>
  <r>
    <x v="601"/>
    <x v="6"/>
    <x v="2"/>
    <n v="0"/>
    <n v="0"/>
    <n v="0"/>
  </r>
  <r>
    <x v="602"/>
    <x v="0"/>
    <x v="2"/>
    <n v="0"/>
    <n v="150"/>
    <n v="-150"/>
  </r>
  <r>
    <x v="603"/>
    <x v="1"/>
    <x v="2"/>
    <n v="270"/>
    <n v="0"/>
    <n v="270"/>
  </r>
  <r>
    <x v="604"/>
    <x v="2"/>
    <x v="2"/>
    <n v="270"/>
    <n v="0"/>
    <n v="270"/>
  </r>
  <r>
    <x v="605"/>
    <x v="3"/>
    <x v="2"/>
    <n v="270"/>
    <n v="0"/>
    <n v="270"/>
  </r>
  <r>
    <x v="606"/>
    <x v="4"/>
    <x v="2"/>
    <n v="270"/>
    <n v="0"/>
    <n v="270"/>
  </r>
  <r>
    <x v="607"/>
    <x v="5"/>
    <x v="2"/>
    <n v="270"/>
    <n v="0"/>
    <n v="270"/>
  </r>
  <r>
    <x v="608"/>
    <x v="6"/>
    <x v="2"/>
    <n v="0"/>
    <n v="0"/>
    <n v="0"/>
  </r>
  <r>
    <x v="609"/>
    <x v="0"/>
    <x v="2"/>
    <n v="0"/>
    <n v="150"/>
    <n v="-150"/>
  </r>
  <r>
    <x v="610"/>
    <x v="1"/>
    <x v="2"/>
    <n v="270"/>
    <n v="0"/>
    <n v="270"/>
  </r>
  <r>
    <x v="611"/>
    <x v="2"/>
    <x v="2"/>
    <n v="270"/>
    <n v="0"/>
    <n v="270"/>
  </r>
  <r>
    <x v="612"/>
    <x v="3"/>
    <x v="2"/>
    <n v="270"/>
    <n v="0"/>
    <n v="270"/>
  </r>
  <r>
    <x v="613"/>
    <x v="4"/>
    <x v="2"/>
    <n v="270"/>
    <n v="0"/>
    <n v="270"/>
  </r>
  <r>
    <x v="614"/>
    <x v="5"/>
    <x v="2"/>
    <n v="270"/>
    <n v="0"/>
    <n v="270"/>
  </r>
  <r>
    <x v="615"/>
    <x v="6"/>
    <x v="2"/>
    <n v="0"/>
    <n v="0"/>
    <n v="0"/>
  </r>
  <r>
    <x v="616"/>
    <x v="0"/>
    <x v="2"/>
    <n v="0"/>
    <n v="150"/>
    <n v="-150"/>
  </r>
  <r>
    <x v="617"/>
    <x v="1"/>
    <x v="2"/>
    <n v="270"/>
    <n v="0"/>
    <n v="270"/>
  </r>
  <r>
    <x v="618"/>
    <x v="2"/>
    <x v="2"/>
    <n v="270"/>
    <n v="0"/>
    <n v="270"/>
  </r>
  <r>
    <x v="619"/>
    <x v="3"/>
    <x v="2"/>
    <n v="270"/>
    <n v="0"/>
    <n v="270"/>
  </r>
  <r>
    <x v="620"/>
    <x v="4"/>
    <x v="2"/>
    <n v="270"/>
    <n v="0"/>
    <n v="270"/>
  </r>
  <r>
    <x v="621"/>
    <x v="5"/>
    <x v="2"/>
    <n v="270"/>
    <n v="0"/>
    <n v="270"/>
  </r>
  <r>
    <x v="622"/>
    <x v="6"/>
    <x v="2"/>
    <n v="0"/>
    <n v="0"/>
    <n v="0"/>
  </r>
  <r>
    <x v="623"/>
    <x v="0"/>
    <x v="2"/>
    <n v="0"/>
    <n v="150"/>
    <n v="-150"/>
  </r>
  <r>
    <x v="624"/>
    <x v="1"/>
    <x v="2"/>
    <n v="270"/>
    <n v="0"/>
    <n v="270"/>
  </r>
  <r>
    <x v="625"/>
    <x v="2"/>
    <x v="2"/>
    <n v="270"/>
    <n v="0"/>
    <n v="270"/>
  </r>
  <r>
    <x v="626"/>
    <x v="3"/>
    <x v="2"/>
    <n v="270"/>
    <n v="0"/>
    <n v="270"/>
  </r>
  <r>
    <x v="627"/>
    <x v="4"/>
    <x v="2"/>
    <n v="270"/>
    <n v="0"/>
    <n v="270"/>
  </r>
  <r>
    <x v="628"/>
    <x v="5"/>
    <x v="2"/>
    <n v="270"/>
    <n v="0"/>
    <n v="270"/>
  </r>
  <r>
    <x v="629"/>
    <x v="6"/>
    <x v="2"/>
    <n v="0"/>
    <n v="0"/>
    <n v="0"/>
  </r>
  <r>
    <x v="630"/>
    <x v="0"/>
    <x v="2"/>
    <n v="0"/>
    <n v="150"/>
    <n v="-150"/>
  </r>
  <r>
    <x v="631"/>
    <x v="1"/>
    <x v="3"/>
    <n v="120"/>
    <n v="0"/>
    <n v="120"/>
  </r>
  <r>
    <x v="632"/>
    <x v="2"/>
    <x v="3"/>
    <n v="120"/>
    <n v="0"/>
    <n v="120"/>
  </r>
  <r>
    <x v="633"/>
    <x v="3"/>
    <x v="3"/>
    <n v="120"/>
    <n v="0"/>
    <n v="120"/>
  </r>
  <r>
    <x v="634"/>
    <x v="4"/>
    <x v="3"/>
    <n v="120"/>
    <n v="0"/>
    <n v="120"/>
  </r>
  <r>
    <x v="635"/>
    <x v="5"/>
    <x v="3"/>
    <n v="120"/>
    <n v="0"/>
    <n v="120"/>
  </r>
  <r>
    <x v="636"/>
    <x v="6"/>
    <x v="3"/>
    <n v="0"/>
    <n v="0"/>
    <n v="0"/>
  </r>
  <r>
    <x v="637"/>
    <x v="0"/>
    <x v="3"/>
    <n v="0"/>
    <n v="150"/>
    <n v="-150"/>
  </r>
  <r>
    <x v="638"/>
    <x v="1"/>
    <x v="3"/>
    <n v="120"/>
    <n v="0"/>
    <n v="120"/>
  </r>
  <r>
    <x v="639"/>
    <x v="2"/>
    <x v="3"/>
    <n v="120"/>
    <n v="0"/>
    <n v="120"/>
  </r>
  <r>
    <x v="640"/>
    <x v="3"/>
    <x v="3"/>
    <n v="120"/>
    <n v="0"/>
    <n v="120"/>
  </r>
  <r>
    <x v="641"/>
    <x v="4"/>
    <x v="3"/>
    <n v="120"/>
    <n v="0"/>
    <n v="120"/>
  </r>
  <r>
    <x v="642"/>
    <x v="5"/>
    <x v="3"/>
    <n v="120"/>
    <n v="0"/>
    <n v="120"/>
  </r>
  <r>
    <x v="643"/>
    <x v="6"/>
    <x v="3"/>
    <n v="0"/>
    <n v="0"/>
    <n v="0"/>
  </r>
  <r>
    <x v="644"/>
    <x v="0"/>
    <x v="3"/>
    <n v="0"/>
    <n v="150"/>
    <n v="-150"/>
  </r>
  <r>
    <x v="645"/>
    <x v="1"/>
    <x v="3"/>
    <n v="120"/>
    <n v="0"/>
    <n v="120"/>
  </r>
  <r>
    <x v="646"/>
    <x v="2"/>
    <x v="3"/>
    <n v="120"/>
    <n v="0"/>
    <n v="120"/>
  </r>
  <r>
    <x v="647"/>
    <x v="3"/>
    <x v="3"/>
    <n v="120"/>
    <n v="0"/>
    <n v="120"/>
  </r>
  <r>
    <x v="648"/>
    <x v="4"/>
    <x v="3"/>
    <n v="120"/>
    <n v="0"/>
    <n v="120"/>
  </r>
  <r>
    <x v="649"/>
    <x v="5"/>
    <x v="3"/>
    <n v="120"/>
    <n v="0"/>
    <n v="120"/>
  </r>
  <r>
    <x v="650"/>
    <x v="6"/>
    <x v="3"/>
    <n v="0"/>
    <n v="0"/>
    <n v="0"/>
  </r>
  <r>
    <x v="651"/>
    <x v="0"/>
    <x v="3"/>
    <n v="0"/>
    <n v="150"/>
    <n v="-150"/>
  </r>
  <r>
    <x v="652"/>
    <x v="1"/>
    <x v="3"/>
    <n v="120"/>
    <n v="0"/>
    <n v="120"/>
  </r>
  <r>
    <x v="653"/>
    <x v="2"/>
    <x v="3"/>
    <n v="120"/>
    <n v="0"/>
    <n v="120"/>
  </r>
  <r>
    <x v="654"/>
    <x v="3"/>
    <x v="3"/>
    <n v="120"/>
    <n v="0"/>
    <n v="120"/>
  </r>
  <r>
    <x v="655"/>
    <x v="4"/>
    <x v="3"/>
    <n v="120"/>
    <n v="0"/>
    <n v="120"/>
  </r>
  <r>
    <x v="656"/>
    <x v="5"/>
    <x v="3"/>
    <n v="120"/>
    <n v="0"/>
    <n v="120"/>
  </r>
  <r>
    <x v="657"/>
    <x v="6"/>
    <x v="3"/>
    <n v="0"/>
    <n v="0"/>
    <n v="0"/>
  </r>
  <r>
    <x v="658"/>
    <x v="0"/>
    <x v="3"/>
    <n v="0"/>
    <n v="150"/>
    <n v="-150"/>
  </r>
  <r>
    <x v="659"/>
    <x v="1"/>
    <x v="3"/>
    <n v="120"/>
    <n v="0"/>
    <n v="120"/>
  </r>
  <r>
    <x v="660"/>
    <x v="2"/>
    <x v="3"/>
    <n v="120"/>
    <n v="0"/>
    <n v="120"/>
  </r>
  <r>
    <x v="661"/>
    <x v="3"/>
    <x v="3"/>
    <n v="120"/>
    <n v="0"/>
    <n v="120"/>
  </r>
  <r>
    <x v="662"/>
    <x v="4"/>
    <x v="3"/>
    <n v="120"/>
    <n v="0"/>
    <n v="120"/>
  </r>
  <r>
    <x v="663"/>
    <x v="5"/>
    <x v="3"/>
    <n v="120"/>
    <n v="0"/>
    <n v="120"/>
  </r>
  <r>
    <x v="664"/>
    <x v="6"/>
    <x v="3"/>
    <n v="0"/>
    <n v="0"/>
    <n v="0"/>
  </r>
  <r>
    <x v="665"/>
    <x v="0"/>
    <x v="3"/>
    <n v="0"/>
    <n v="150"/>
    <n v="-150"/>
  </r>
  <r>
    <x v="666"/>
    <x v="1"/>
    <x v="3"/>
    <n v="120"/>
    <n v="0"/>
    <n v="120"/>
  </r>
  <r>
    <x v="667"/>
    <x v="2"/>
    <x v="3"/>
    <n v="120"/>
    <n v="0"/>
    <n v="120"/>
  </r>
  <r>
    <x v="668"/>
    <x v="3"/>
    <x v="3"/>
    <n v="120"/>
    <n v="0"/>
    <n v="120"/>
  </r>
  <r>
    <x v="669"/>
    <x v="4"/>
    <x v="3"/>
    <n v="120"/>
    <n v="0"/>
    <n v="120"/>
  </r>
  <r>
    <x v="670"/>
    <x v="5"/>
    <x v="3"/>
    <n v="120"/>
    <n v="0"/>
    <n v="120"/>
  </r>
  <r>
    <x v="671"/>
    <x v="6"/>
    <x v="3"/>
    <n v="0"/>
    <n v="0"/>
    <n v="0"/>
  </r>
  <r>
    <x v="672"/>
    <x v="0"/>
    <x v="3"/>
    <n v="0"/>
    <n v="150"/>
    <n v="-150"/>
  </r>
  <r>
    <x v="673"/>
    <x v="1"/>
    <x v="3"/>
    <n v="120"/>
    <n v="0"/>
    <n v="120"/>
  </r>
  <r>
    <x v="674"/>
    <x v="2"/>
    <x v="3"/>
    <n v="120"/>
    <n v="0"/>
    <n v="120"/>
  </r>
  <r>
    <x v="675"/>
    <x v="3"/>
    <x v="3"/>
    <n v="120"/>
    <n v="0"/>
    <n v="120"/>
  </r>
  <r>
    <x v="676"/>
    <x v="4"/>
    <x v="3"/>
    <n v="120"/>
    <n v="0"/>
    <n v="120"/>
  </r>
  <r>
    <x v="677"/>
    <x v="5"/>
    <x v="3"/>
    <n v="120"/>
    <n v="0"/>
    <n v="120"/>
  </r>
  <r>
    <x v="678"/>
    <x v="6"/>
    <x v="3"/>
    <n v="0"/>
    <n v="0"/>
    <n v="0"/>
  </r>
  <r>
    <x v="679"/>
    <x v="0"/>
    <x v="3"/>
    <n v="0"/>
    <n v="150"/>
    <n v="-150"/>
  </r>
  <r>
    <x v="680"/>
    <x v="1"/>
    <x v="3"/>
    <n v="120"/>
    <n v="0"/>
    <n v="120"/>
  </r>
  <r>
    <x v="681"/>
    <x v="2"/>
    <x v="3"/>
    <n v="120"/>
    <n v="0"/>
    <n v="120"/>
  </r>
  <r>
    <x v="682"/>
    <x v="3"/>
    <x v="3"/>
    <n v="120"/>
    <n v="0"/>
    <n v="120"/>
  </r>
  <r>
    <x v="683"/>
    <x v="4"/>
    <x v="3"/>
    <n v="120"/>
    <n v="0"/>
    <n v="120"/>
  </r>
  <r>
    <x v="684"/>
    <x v="5"/>
    <x v="3"/>
    <n v="120"/>
    <n v="0"/>
    <n v="120"/>
  </r>
  <r>
    <x v="685"/>
    <x v="6"/>
    <x v="3"/>
    <n v="0"/>
    <n v="0"/>
    <n v="0"/>
  </r>
  <r>
    <x v="686"/>
    <x v="0"/>
    <x v="3"/>
    <n v="0"/>
    <n v="150"/>
    <n v="-150"/>
  </r>
  <r>
    <x v="687"/>
    <x v="1"/>
    <x v="3"/>
    <n v="120"/>
    <n v="0"/>
    <n v="120"/>
  </r>
  <r>
    <x v="688"/>
    <x v="2"/>
    <x v="3"/>
    <n v="120"/>
    <n v="0"/>
    <n v="120"/>
  </r>
  <r>
    <x v="689"/>
    <x v="3"/>
    <x v="3"/>
    <n v="120"/>
    <n v="0"/>
    <n v="120"/>
  </r>
  <r>
    <x v="690"/>
    <x v="4"/>
    <x v="3"/>
    <n v="120"/>
    <n v="0"/>
    <n v="120"/>
  </r>
  <r>
    <x v="691"/>
    <x v="5"/>
    <x v="3"/>
    <n v="120"/>
    <n v="0"/>
    <n v="120"/>
  </r>
  <r>
    <x v="692"/>
    <x v="6"/>
    <x v="3"/>
    <n v="0"/>
    <n v="0"/>
    <n v="0"/>
  </r>
  <r>
    <x v="693"/>
    <x v="0"/>
    <x v="3"/>
    <n v="0"/>
    <n v="150"/>
    <n v="-150"/>
  </r>
  <r>
    <x v="694"/>
    <x v="1"/>
    <x v="3"/>
    <n v="120"/>
    <n v="0"/>
    <n v="120"/>
  </r>
  <r>
    <x v="695"/>
    <x v="2"/>
    <x v="3"/>
    <n v="120"/>
    <n v="0"/>
    <n v="120"/>
  </r>
  <r>
    <x v="696"/>
    <x v="3"/>
    <x v="3"/>
    <n v="120"/>
    <n v="0"/>
    <n v="120"/>
  </r>
  <r>
    <x v="697"/>
    <x v="4"/>
    <x v="3"/>
    <n v="120"/>
    <n v="0"/>
    <n v="120"/>
  </r>
  <r>
    <x v="698"/>
    <x v="5"/>
    <x v="3"/>
    <n v="120"/>
    <n v="0"/>
    <n v="120"/>
  </r>
  <r>
    <x v="699"/>
    <x v="6"/>
    <x v="3"/>
    <n v="0"/>
    <n v="0"/>
    <n v="0"/>
  </r>
  <r>
    <x v="700"/>
    <x v="0"/>
    <x v="3"/>
    <n v="0"/>
    <n v="150"/>
    <n v="-150"/>
  </r>
  <r>
    <x v="701"/>
    <x v="1"/>
    <x v="3"/>
    <n v="120"/>
    <n v="0"/>
    <n v="120"/>
  </r>
  <r>
    <x v="702"/>
    <x v="2"/>
    <x v="3"/>
    <n v="120"/>
    <n v="0"/>
    <n v="120"/>
  </r>
  <r>
    <x v="703"/>
    <x v="3"/>
    <x v="3"/>
    <n v="120"/>
    <n v="0"/>
    <n v="120"/>
  </r>
  <r>
    <x v="704"/>
    <x v="4"/>
    <x v="3"/>
    <n v="120"/>
    <n v="0"/>
    <n v="120"/>
  </r>
  <r>
    <x v="705"/>
    <x v="5"/>
    <x v="3"/>
    <n v="120"/>
    <n v="0"/>
    <n v="120"/>
  </r>
  <r>
    <x v="706"/>
    <x v="6"/>
    <x v="3"/>
    <n v="0"/>
    <n v="0"/>
    <n v="0"/>
  </r>
  <r>
    <x v="707"/>
    <x v="0"/>
    <x v="3"/>
    <n v="0"/>
    <n v="150"/>
    <n v="-150"/>
  </r>
  <r>
    <x v="708"/>
    <x v="1"/>
    <x v="3"/>
    <n v="120"/>
    <n v="0"/>
    <n v="120"/>
  </r>
  <r>
    <x v="709"/>
    <x v="2"/>
    <x v="3"/>
    <n v="120"/>
    <n v="0"/>
    <n v="120"/>
  </r>
  <r>
    <x v="710"/>
    <x v="3"/>
    <x v="3"/>
    <n v="120"/>
    <n v="0"/>
    <n v="120"/>
  </r>
  <r>
    <x v="711"/>
    <x v="4"/>
    <x v="3"/>
    <n v="120"/>
    <n v="0"/>
    <n v="120"/>
  </r>
  <r>
    <x v="712"/>
    <x v="5"/>
    <x v="3"/>
    <n v="120"/>
    <n v="0"/>
    <n v="120"/>
  </r>
  <r>
    <x v="713"/>
    <x v="6"/>
    <x v="3"/>
    <n v="0"/>
    <n v="0"/>
    <n v="0"/>
  </r>
  <r>
    <x v="714"/>
    <x v="0"/>
    <x v="3"/>
    <n v="0"/>
    <n v="150"/>
    <n v="-150"/>
  </r>
  <r>
    <x v="715"/>
    <x v="1"/>
    <x v="3"/>
    <n v="120"/>
    <n v="0"/>
    <n v="120"/>
  </r>
  <r>
    <x v="716"/>
    <x v="2"/>
    <x v="3"/>
    <n v="120"/>
    <n v="0"/>
    <n v="120"/>
  </r>
  <r>
    <x v="717"/>
    <x v="3"/>
    <x v="3"/>
    <n v="120"/>
    <n v="0"/>
    <n v="120"/>
  </r>
  <r>
    <x v="718"/>
    <x v="4"/>
    <x v="3"/>
    <n v="120"/>
    <n v="0"/>
    <n v="120"/>
  </r>
  <r>
    <x v="719"/>
    <x v="5"/>
    <x v="3"/>
    <n v="120"/>
    <n v="0"/>
    <n v="120"/>
  </r>
  <r>
    <x v="720"/>
    <x v="6"/>
    <x v="0"/>
    <n v="0"/>
    <n v="0"/>
    <n v="0"/>
  </r>
  <r>
    <x v="721"/>
    <x v="0"/>
    <x v="0"/>
    <n v="0"/>
    <n v="150"/>
    <n v="-150"/>
  </r>
  <r>
    <x v="722"/>
    <x v="1"/>
    <x v="0"/>
    <n v="60"/>
    <n v="0"/>
    <n v="60"/>
  </r>
  <r>
    <x v="723"/>
    <x v="2"/>
    <x v="0"/>
    <n v="60"/>
    <n v="0"/>
    <n v="60"/>
  </r>
  <r>
    <x v="724"/>
    <x v="3"/>
    <x v="0"/>
    <n v="60"/>
    <n v="0"/>
    <n v="60"/>
  </r>
  <r>
    <x v="725"/>
    <x v="4"/>
    <x v="0"/>
    <n v="60"/>
    <n v="0"/>
    <n v="60"/>
  </r>
  <r>
    <x v="726"/>
    <x v="5"/>
    <x v="0"/>
    <n v="60"/>
    <n v="0"/>
    <n v="60"/>
  </r>
  <r>
    <x v="727"/>
    <x v="6"/>
    <x v="0"/>
    <n v="0"/>
    <n v="0"/>
    <n v="0"/>
  </r>
  <r>
    <x v="728"/>
    <x v="0"/>
    <x v="0"/>
    <n v="0"/>
    <n v="150"/>
    <n v="-150"/>
  </r>
  <r>
    <x v="729"/>
    <x v="1"/>
    <x v="0"/>
    <n v="60"/>
    <n v="0"/>
    <n v="60"/>
  </r>
  <r>
    <x v="730"/>
    <x v="2"/>
    <x v="0"/>
    <n v="60"/>
    <n v="0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57DF1-47A1-46C7-A022-45A418AFBAE7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miesiąc">
  <location ref="R37:S50" firstHeaderRow="1" firstDataRow="1" firstDataCol="1" rowPageCount="1" colPageCount="1"/>
  <pivotFields count="9">
    <pivotField numFmtId="14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8" item="1" hier="-1"/>
  </pageFields>
  <dataFields count="1">
    <dataField name="dochody" fld="5" baseField="6" baseItem="1"/>
  </dataFields>
  <formats count="4">
    <format dxfId="4">
      <pivotArea collapsedLevelsAreSubtotals="1" fieldPosition="0">
        <references count="1">
          <reference field="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1776-DB7D-458A-A694-25623B9DFD7B}">
  <dimension ref="A1:T732"/>
  <sheetViews>
    <sheetView workbookViewId="0">
      <selection activeCell="J3" sqref="J3"/>
    </sheetView>
  </sheetViews>
  <sheetFormatPr defaultRowHeight="15" x14ac:dyDescent="0.25"/>
  <cols>
    <col min="1" max="1" width="10.140625" bestFit="1" customWidth="1"/>
    <col min="3" max="3" width="10" bestFit="1" customWidth="1"/>
    <col min="7" max="7" width="13.140625" bestFit="1" customWidth="1"/>
    <col min="8" max="8" width="16.5703125" bestFit="1" customWidth="1"/>
    <col min="9" max="9" width="31.42578125" bestFit="1" customWidth="1"/>
    <col min="10" max="10" width="21.7109375" bestFit="1" customWidth="1"/>
    <col min="11" max="11" width="25.140625" bestFit="1" customWidth="1"/>
    <col min="16" max="16" width="28" bestFit="1" customWidth="1"/>
  </cols>
  <sheetData>
    <row r="1" spans="1:20" x14ac:dyDescent="0.25">
      <c r="A1" t="s">
        <v>7</v>
      </c>
      <c r="B1" t="s">
        <v>6</v>
      </c>
      <c r="C1" t="s">
        <v>12</v>
      </c>
      <c r="D1" t="s">
        <v>13</v>
      </c>
      <c r="E1" t="s">
        <v>17</v>
      </c>
      <c r="F1" t="s">
        <v>15</v>
      </c>
      <c r="G1" t="s">
        <v>14</v>
      </c>
      <c r="H1" t="s">
        <v>16</v>
      </c>
      <c r="I1" t="s">
        <v>20</v>
      </c>
      <c r="K1" s="3" t="s">
        <v>18</v>
      </c>
      <c r="L1" s="3" t="s">
        <v>19</v>
      </c>
      <c r="P1" t="s">
        <v>0</v>
      </c>
      <c r="Q1">
        <v>10</v>
      </c>
      <c r="S1" t="s">
        <v>4</v>
      </c>
      <c r="T1" t="s">
        <v>5</v>
      </c>
    </row>
    <row r="2" spans="1:20" x14ac:dyDescent="0.25">
      <c r="A2" s="1">
        <v>44927</v>
      </c>
      <c r="B2">
        <f>WEEKDAY(A2,2)</f>
        <v>7</v>
      </c>
      <c r="C2" t="s">
        <v>8</v>
      </c>
      <c r="D2">
        <v>0</v>
      </c>
      <c r="E2">
        <f>$Q$1*$Q$2+$Q$4*$Q$1</f>
        <v>8150</v>
      </c>
      <c r="F2">
        <f>D2-E2</f>
        <v>-8150</v>
      </c>
      <c r="G2">
        <v>8150</v>
      </c>
      <c r="H2">
        <v>0</v>
      </c>
      <c r="I2">
        <f>IF(G2&lt;H2,1,0)</f>
        <v>0</v>
      </c>
      <c r="J2">
        <f>MATCH(1,I2:I732,0)</f>
        <v>152</v>
      </c>
      <c r="K2" s="3">
        <v>15950</v>
      </c>
      <c r="L2" s="3">
        <v>39600</v>
      </c>
      <c r="P2" t="s">
        <v>3</v>
      </c>
      <c r="Q2">
        <v>800</v>
      </c>
      <c r="S2" t="s">
        <v>8</v>
      </c>
      <c r="T2" s="2">
        <v>0.2</v>
      </c>
    </row>
    <row r="3" spans="1:20" x14ac:dyDescent="0.25">
      <c r="A3" s="1">
        <v>44928</v>
      </c>
      <c r="B3">
        <f t="shared" ref="B3:B66" si="0">WEEKDAY(A3,2)</f>
        <v>1</v>
      </c>
      <c r="C3" t="s">
        <v>8</v>
      </c>
      <c r="D3">
        <f>IF(B3&lt;6,$Q$1*VLOOKUP(C3,$S$1:$T$5,2,FALSE)*$Q$3,0)</f>
        <v>60</v>
      </c>
      <c r="E3">
        <f>IF(B3=7,$Q$4*$Q$1,0)</f>
        <v>0</v>
      </c>
      <c r="F3">
        <f t="shared" ref="F3:F66" si="1">D3-E3</f>
        <v>60</v>
      </c>
      <c r="G3">
        <f>SUM($E$2:E3)</f>
        <v>8150</v>
      </c>
      <c r="H3">
        <f>SUM($D$2:D3)</f>
        <v>60</v>
      </c>
      <c r="I3">
        <f t="shared" ref="I3:I66" si="2">IF(G3&lt;H3,1,0)</f>
        <v>0</v>
      </c>
      <c r="J3" s="4" cm="1">
        <f t="array" ref="J3">INDEX(A2:A732,J2)</f>
        <v>45078</v>
      </c>
      <c r="P3" t="s">
        <v>1</v>
      </c>
      <c r="Q3">
        <v>30</v>
      </c>
      <c r="S3" t="s">
        <v>9</v>
      </c>
      <c r="T3" s="2">
        <v>0.5</v>
      </c>
    </row>
    <row r="4" spans="1:20" x14ac:dyDescent="0.25">
      <c r="A4" s="1">
        <v>44929</v>
      </c>
      <c r="B4">
        <f t="shared" si="0"/>
        <v>2</v>
      </c>
      <c r="C4" t="s">
        <v>8</v>
      </c>
      <c r="D4">
        <f t="shared" ref="D4:D67" si="3">IF(B4&lt;6,$Q$1*VLOOKUP(C4,$S$1:$T$5,2,FALSE)*$Q$3,0)</f>
        <v>60</v>
      </c>
      <c r="E4">
        <f t="shared" ref="E4:E67" si="4">IF(B4=7,$Q$4*$Q$1,0)</f>
        <v>0</v>
      </c>
      <c r="F4">
        <f t="shared" si="1"/>
        <v>60</v>
      </c>
      <c r="G4">
        <f>SUM($E$2:E4)</f>
        <v>8150</v>
      </c>
      <c r="H4">
        <f>SUM($D$2:D4)</f>
        <v>120</v>
      </c>
      <c r="I4">
        <f t="shared" si="2"/>
        <v>0</v>
      </c>
      <c r="P4" t="s">
        <v>2</v>
      </c>
      <c r="Q4">
        <v>15</v>
      </c>
      <c r="S4" t="s">
        <v>10</v>
      </c>
      <c r="T4" s="2">
        <v>0.9</v>
      </c>
    </row>
    <row r="5" spans="1:20" x14ac:dyDescent="0.25">
      <c r="A5" s="1">
        <v>44930</v>
      </c>
      <c r="B5">
        <f t="shared" si="0"/>
        <v>3</v>
      </c>
      <c r="C5" t="s">
        <v>8</v>
      </c>
      <c r="D5">
        <f t="shared" si="3"/>
        <v>60</v>
      </c>
      <c r="E5">
        <f t="shared" si="4"/>
        <v>0</v>
      </c>
      <c r="F5">
        <f t="shared" si="1"/>
        <v>60</v>
      </c>
      <c r="G5">
        <f>SUM($E$2:E5)</f>
        <v>8150</v>
      </c>
      <c r="H5">
        <f>SUM($D$2:D5)</f>
        <v>180</v>
      </c>
      <c r="I5">
        <f t="shared" si="2"/>
        <v>0</v>
      </c>
      <c r="S5" t="s">
        <v>11</v>
      </c>
      <c r="T5" s="2">
        <v>0.4</v>
      </c>
    </row>
    <row r="6" spans="1:20" x14ac:dyDescent="0.25">
      <c r="A6" s="1">
        <v>44931</v>
      </c>
      <c r="B6">
        <f t="shared" si="0"/>
        <v>4</v>
      </c>
      <c r="C6" t="s">
        <v>8</v>
      </c>
      <c r="D6">
        <f t="shared" si="3"/>
        <v>60</v>
      </c>
      <c r="E6">
        <f t="shared" si="4"/>
        <v>0</v>
      </c>
      <c r="F6">
        <f t="shared" si="1"/>
        <v>60</v>
      </c>
      <c r="G6">
        <f>SUM($E$2:E6)</f>
        <v>8150</v>
      </c>
      <c r="H6">
        <f>SUM($D$2:D6)</f>
        <v>240</v>
      </c>
      <c r="I6">
        <f t="shared" si="2"/>
        <v>0</v>
      </c>
    </row>
    <row r="7" spans="1:20" x14ac:dyDescent="0.25">
      <c r="A7" s="1">
        <v>44932</v>
      </c>
      <c r="B7">
        <f t="shared" si="0"/>
        <v>5</v>
      </c>
      <c r="C7" t="s">
        <v>8</v>
      </c>
      <c r="D7">
        <f t="shared" si="3"/>
        <v>60</v>
      </c>
      <c r="E7">
        <f t="shared" si="4"/>
        <v>0</v>
      </c>
      <c r="F7">
        <f t="shared" si="1"/>
        <v>60</v>
      </c>
      <c r="G7">
        <f>SUM($E$2:E7)</f>
        <v>8150</v>
      </c>
      <c r="H7">
        <f>SUM($D$2:D7)</f>
        <v>300</v>
      </c>
      <c r="I7">
        <f t="shared" si="2"/>
        <v>0</v>
      </c>
    </row>
    <row r="8" spans="1:20" x14ac:dyDescent="0.25">
      <c r="A8" s="1">
        <v>44933</v>
      </c>
      <c r="B8">
        <f t="shared" si="0"/>
        <v>6</v>
      </c>
      <c r="C8" t="s">
        <v>8</v>
      </c>
      <c r="D8">
        <f t="shared" si="3"/>
        <v>0</v>
      </c>
      <c r="E8">
        <f t="shared" si="4"/>
        <v>0</v>
      </c>
      <c r="F8">
        <f t="shared" si="1"/>
        <v>0</v>
      </c>
      <c r="G8">
        <f>SUM($E$2:E8)</f>
        <v>8150</v>
      </c>
      <c r="H8">
        <f>SUM($D$2:D8)</f>
        <v>300</v>
      </c>
      <c r="I8">
        <f t="shared" si="2"/>
        <v>0</v>
      </c>
    </row>
    <row r="9" spans="1:20" x14ac:dyDescent="0.25">
      <c r="A9" s="1">
        <v>44934</v>
      </c>
      <c r="B9">
        <f t="shared" si="0"/>
        <v>7</v>
      </c>
      <c r="C9" t="s">
        <v>8</v>
      </c>
      <c r="D9">
        <f t="shared" si="3"/>
        <v>0</v>
      </c>
      <c r="E9">
        <f t="shared" si="4"/>
        <v>150</v>
      </c>
      <c r="F9">
        <f t="shared" si="1"/>
        <v>-150</v>
      </c>
      <c r="G9">
        <f>SUM($E$2:E9)</f>
        <v>8300</v>
      </c>
      <c r="H9">
        <f>SUM($D$2:D9)</f>
        <v>300</v>
      </c>
      <c r="I9">
        <f t="shared" si="2"/>
        <v>0</v>
      </c>
    </row>
    <row r="10" spans="1:20" x14ac:dyDescent="0.25">
      <c r="A10" s="1">
        <v>44935</v>
      </c>
      <c r="B10">
        <f t="shared" si="0"/>
        <v>1</v>
      </c>
      <c r="C10" t="s">
        <v>8</v>
      </c>
      <c r="D10">
        <f t="shared" si="3"/>
        <v>60</v>
      </c>
      <c r="E10">
        <f t="shared" si="4"/>
        <v>0</v>
      </c>
      <c r="F10">
        <f t="shared" si="1"/>
        <v>60</v>
      </c>
      <c r="G10">
        <f>SUM($E$2:E10)</f>
        <v>8300</v>
      </c>
      <c r="H10">
        <f>SUM($D$2:D10)</f>
        <v>360</v>
      </c>
      <c r="I10">
        <f t="shared" si="2"/>
        <v>0</v>
      </c>
    </row>
    <row r="11" spans="1:20" x14ac:dyDescent="0.25">
      <c r="A11" s="1">
        <v>44936</v>
      </c>
      <c r="B11">
        <f t="shared" si="0"/>
        <v>2</v>
      </c>
      <c r="C11" t="s">
        <v>8</v>
      </c>
      <c r="D11">
        <f t="shared" si="3"/>
        <v>60</v>
      </c>
      <c r="E11">
        <f t="shared" si="4"/>
        <v>0</v>
      </c>
      <c r="F11">
        <f t="shared" si="1"/>
        <v>60</v>
      </c>
      <c r="G11">
        <f>SUM($E$2:E11)</f>
        <v>8300</v>
      </c>
      <c r="H11">
        <f>SUM($D$2:D11)</f>
        <v>420</v>
      </c>
      <c r="I11">
        <f t="shared" si="2"/>
        <v>0</v>
      </c>
    </row>
    <row r="12" spans="1:20" x14ac:dyDescent="0.25">
      <c r="A12" s="1">
        <v>44937</v>
      </c>
      <c r="B12">
        <f t="shared" si="0"/>
        <v>3</v>
      </c>
      <c r="C12" t="s">
        <v>8</v>
      </c>
      <c r="D12">
        <f t="shared" si="3"/>
        <v>60</v>
      </c>
      <c r="E12">
        <f t="shared" si="4"/>
        <v>0</v>
      </c>
      <c r="F12">
        <f t="shared" si="1"/>
        <v>60</v>
      </c>
      <c r="G12">
        <f>SUM($E$2:E12)</f>
        <v>8300</v>
      </c>
      <c r="H12">
        <f>SUM($D$2:D12)</f>
        <v>480</v>
      </c>
      <c r="I12">
        <f t="shared" si="2"/>
        <v>0</v>
      </c>
    </row>
    <row r="13" spans="1:20" x14ac:dyDescent="0.25">
      <c r="A13" s="1">
        <v>44938</v>
      </c>
      <c r="B13">
        <f t="shared" si="0"/>
        <v>4</v>
      </c>
      <c r="C13" t="s">
        <v>8</v>
      </c>
      <c r="D13">
        <f t="shared" si="3"/>
        <v>60</v>
      </c>
      <c r="E13">
        <f t="shared" si="4"/>
        <v>0</v>
      </c>
      <c r="F13">
        <f t="shared" si="1"/>
        <v>60</v>
      </c>
      <c r="G13">
        <f>SUM($E$2:E13)</f>
        <v>8300</v>
      </c>
      <c r="H13">
        <f>SUM($D$2:D13)</f>
        <v>540</v>
      </c>
      <c r="I13">
        <f t="shared" si="2"/>
        <v>0</v>
      </c>
    </row>
    <row r="14" spans="1:20" x14ac:dyDescent="0.25">
      <c r="A14" s="1">
        <v>44939</v>
      </c>
      <c r="B14">
        <f t="shared" si="0"/>
        <v>5</v>
      </c>
      <c r="C14" t="s">
        <v>8</v>
      </c>
      <c r="D14">
        <f t="shared" si="3"/>
        <v>60</v>
      </c>
      <c r="E14">
        <f t="shared" si="4"/>
        <v>0</v>
      </c>
      <c r="F14">
        <f t="shared" si="1"/>
        <v>60</v>
      </c>
      <c r="G14">
        <f>SUM($E$2:E14)</f>
        <v>8300</v>
      </c>
      <c r="H14">
        <f>SUM($D$2:D14)</f>
        <v>600</v>
      </c>
      <c r="I14">
        <f t="shared" si="2"/>
        <v>0</v>
      </c>
    </row>
    <row r="15" spans="1:20" x14ac:dyDescent="0.25">
      <c r="A15" s="1">
        <v>44940</v>
      </c>
      <c r="B15">
        <f t="shared" si="0"/>
        <v>6</v>
      </c>
      <c r="C15" t="s">
        <v>8</v>
      </c>
      <c r="D15">
        <f t="shared" si="3"/>
        <v>0</v>
      </c>
      <c r="E15">
        <f t="shared" si="4"/>
        <v>0</v>
      </c>
      <c r="F15">
        <f t="shared" si="1"/>
        <v>0</v>
      </c>
      <c r="G15">
        <f>SUM($E$2:E15)</f>
        <v>8300</v>
      </c>
      <c r="H15">
        <f>SUM($D$2:D15)</f>
        <v>600</v>
      </c>
      <c r="I15">
        <f t="shared" si="2"/>
        <v>0</v>
      </c>
    </row>
    <row r="16" spans="1:20" x14ac:dyDescent="0.25">
      <c r="A16" s="1">
        <v>44941</v>
      </c>
      <c r="B16">
        <f t="shared" si="0"/>
        <v>7</v>
      </c>
      <c r="C16" t="s">
        <v>8</v>
      </c>
      <c r="D16">
        <f t="shared" si="3"/>
        <v>0</v>
      </c>
      <c r="E16">
        <f t="shared" si="4"/>
        <v>150</v>
      </c>
      <c r="F16">
        <f t="shared" si="1"/>
        <v>-150</v>
      </c>
      <c r="G16">
        <f>SUM($E$2:E16)</f>
        <v>8450</v>
      </c>
      <c r="H16">
        <f>SUM($D$2:D16)</f>
        <v>600</v>
      </c>
      <c r="I16">
        <f t="shared" si="2"/>
        <v>0</v>
      </c>
    </row>
    <row r="17" spans="1:9" x14ac:dyDescent="0.25">
      <c r="A17" s="1">
        <v>44942</v>
      </c>
      <c r="B17">
        <f t="shared" si="0"/>
        <v>1</v>
      </c>
      <c r="C17" t="s">
        <v>8</v>
      </c>
      <c r="D17">
        <f t="shared" si="3"/>
        <v>60</v>
      </c>
      <c r="E17">
        <f t="shared" si="4"/>
        <v>0</v>
      </c>
      <c r="F17">
        <f t="shared" si="1"/>
        <v>60</v>
      </c>
      <c r="G17">
        <f>SUM($E$2:E17)</f>
        <v>8450</v>
      </c>
      <c r="H17">
        <f>SUM($D$2:D17)</f>
        <v>660</v>
      </c>
      <c r="I17">
        <f t="shared" si="2"/>
        <v>0</v>
      </c>
    </row>
    <row r="18" spans="1:9" x14ac:dyDescent="0.25">
      <c r="A18" s="1">
        <v>44943</v>
      </c>
      <c r="B18">
        <f t="shared" si="0"/>
        <v>2</v>
      </c>
      <c r="C18" t="s">
        <v>8</v>
      </c>
      <c r="D18">
        <f t="shared" si="3"/>
        <v>60</v>
      </c>
      <c r="E18">
        <f t="shared" si="4"/>
        <v>0</v>
      </c>
      <c r="F18">
        <f t="shared" si="1"/>
        <v>60</v>
      </c>
      <c r="G18">
        <f>SUM($E$2:E18)</f>
        <v>8450</v>
      </c>
      <c r="H18">
        <f>SUM($D$2:D18)</f>
        <v>720</v>
      </c>
      <c r="I18">
        <f t="shared" si="2"/>
        <v>0</v>
      </c>
    </row>
    <row r="19" spans="1:9" x14ac:dyDescent="0.25">
      <c r="A19" s="1">
        <v>44944</v>
      </c>
      <c r="B19">
        <f t="shared" si="0"/>
        <v>3</v>
      </c>
      <c r="C19" t="s">
        <v>8</v>
      </c>
      <c r="D19">
        <f t="shared" si="3"/>
        <v>60</v>
      </c>
      <c r="E19">
        <f t="shared" si="4"/>
        <v>0</v>
      </c>
      <c r="F19">
        <f t="shared" si="1"/>
        <v>60</v>
      </c>
      <c r="G19">
        <f>SUM($E$2:E19)</f>
        <v>8450</v>
      </c>
      <c r="H19">
        <f>SUM($D$2:D19)</f>
        <v>780</v>
      </c>
      <c r="I19">
        <f t="shared" si="2"/>
        <v>0</v>
      </c>
    </row>
    <row r="20" spans="1:9" x14ac:dyDescent="0.25">
      <c r="A20" s="1">
        <v>44945</v>
      </c>
      <c r="B20">
        <f t="shared" si="0"/>
        <v>4</v>
      </c>
      <c r="C20" t="s">
        <v>8</v>
      </c>
      <c r="D20">
        <f t="shared" si="3"/>
        <v>60</v>
      </c>
      <c r="E20">
        <f t="shared" si="4"/>
        <v>0</v>
      </c>
      <c r="F20">
        <f t="shared" si="1"/>
        <v>60</v>
      </c>
      <c r="G20">
        <f>SUM($E$2:E20)</f>
        <v>8450</v>
      </c>
      <c r="H20">
        <f>SUM($D$2:D20)</f>
        <v>840</v>
      </c>
      <c r="I20">
        <f t="shared" si="2"/>
        <v>0</v>
      </c>
    </row>
    <row r="21" spans="1:9" x14ac:dyDescent="0.25">
      <c r="A21" s="1">
        <v>44946</v>
      </c>
      <c r="B21">
        <f t="shared" si="0"/>
        <v>5</v>
      </c>
      <c r="C21" t="s">
        <v>8</v>
      </c>
      <c r="D21">
        <f t="shared" si="3"/>
        <v>60</v>
      </c>
      <c r="E21">
        <f t="shared" si="4"/>
        <v>0</v>
      </c>
      <c r="F21">
        <f t="shared" si="1"/>
        <v>60</v>
      </c>
      <c r="G21">
        <f>SUM($E$2:E21)</f>
        <v>8450</v>
      </c>
      <c r="H21">
        <f>SUM($D$2:D21)</f>
        <v>900</v>
      </c>
      <c r="I21">
        <f t="shared" si="2"/>
        <v>0</v>
      </c>
    </row>
    <row r="22" spans="1:9" x14ac:dyDescent="0.25">
      <c r="A22" s="1">
        <v>44947</v>
      </c>
      <c r="B22">
        <f t="shared" si="0"/>
        <v>6</v>
      </c>
      <c r="C22" t="s">
        <v>8</v>
      </c>
      <c r="D22">
        <f t="shared" si="3"/>
        <v>0</v>
      </c>
      <c r="E22">
        <f t="shared" si="4"/>
        <v>0</v>
      </c>
      <c r="F22">
        <f t="shared" si="1"/>
        <v>0</v>
      </c>
      <c r="G22">
        <f>SUM($E$2:E22)</f>
        <v>8450</v>
      </c>
      <c r="H22">
        <f>SUM($D$2:D22)</f>
        <v>900</v>
      </c>
      <c r="I22">
        <f t="shared" si="2"/>
        <v>0</v>
      </c>
    </row>
    <row r="23" spans="1:9" x14ac:dyDescent="0.25">
      <c r="A23" s="1">
        <v>44948</v>
      </c>
      <c r="B23">
        <f t="shared" si="0"/>
        <v>7</v>
      </c>
      <c r="C23" t="s">
        <v>8</v>
      </c>
      <c r="D23">
        <f t="shared" si="3"/>
        <v>0</v>
      </c>
      <c r="E23">
        <f t="shared" si="4"/>
        <v>150</v>
      </c>
      <c r="F23">
        <f t="shared" si="1"/>
        <v>-150</v>
      </c>
      <c r="G23">
        <f>SUM($E$2:E23)</f>
        <v>8600</v>
      </c>
      <c r="H23">
        <f>SUM($D$2:D23)</f>
        <v>900</v>
      </c>
      <c r="I23">
        <f t="shared" si="2"/>
        <v>0</v>
      </c>
    </row>
    <row r="24" spans="1:9" x14ac:dyDescent="0.25">
      <c r="A24" s="1">
        <v>44949</v>
      </c>
      <c r="B24">
        <f t="shared" si="0"/>
        <v>1</v>
      </c>
      <c r="C24" t="s">
        <v>8</v>
      </c>
      <c r="D24">
        <f t="shared" si="3"/>
        <v>60</v>
      </c>
      <c r="E24">
        <f t="shared" si="4"/>
        <v>0</v>
      </c>
      <c r="F24">
        <f t="shared" si="1"/>
        <v>60</v>
      </c>
      <c r="G24">
        <f>SUM($E$2:E24)</f>
        <v>8600</v>
      </c>
      <c r="H24">
        <f>SUM($D$2:D24)</f>
        <v>960</v>
      </c>
      <c r="I24">
        <f t="shared" si="2"/>
        <v>0</v>
      </c>
    </row>
    <row r="25" spans="1:9" x14ac:dyDescent="0.25">
      <c r="A25" s="1">
        <v>44950</v>
      </c>
      <c r="B25">
        <f t="shared" si="0"/>
        <v>2</v>
      </c>
      <c r="C25" t="s">
        <v>8</v>
      </c>
      <c r="D25">
        <f t="shared" si="3"/>
        <v>60</v>
      </c>
      <c r="E25">
        <f t="shared" si="4"/>
        <v>0</v>
      </c>
      <c r="F25">
        <f t="shared" si="1"/>
        <v>60</v>
      </c>
      <c r="G25">
        <f>SUM($E$2:E25)</f>
        <v>8600</v>
      </c>
      <c r="H25">
        <f>SUM($D$2:D25)</f>
        <v>1020</v>
      </c>
      <c r="I25">
        <f t="shared" si="2"/>
        <v>0</v>
      </c>
    </row>
    <row r="26" spans="1:9" x14ac:dyDescent="0.25">
      <c r="A26" s="1">
        <v>44951</v>
      </c>
      <c r="B26">
        <f t="shared" si="0"/>
        <v>3</v>
      </c>
      <c r="C26" t="s">
        <v>8</v>
      </c>
      <c r="D26">
        <f t="shared" si="3"/>
        <v>60</v>
      </c>
      <c r="E26">
        <f t="shared" si="4"/>
        <v>0</v>
      </c>
      <c r="F26">
        <f t="shared" si="1"/>
        <v>60</v>
      </c>
      <c r="G26">
        <f>SUM($E$2:E26)</f>
        <v>8600</v>
      </c>
      <c r="H26">
        <f>SUM($D$2:D26)</f>
        <v>1080</v>
      </c>
      <c r="I26">
        <f t="shared" si="2"/>
        <v>0</v>
      </c>
    </row>
    <row r="27" spans="1:9" x14ac:dyDescent="0.25">
      <c r="A27" s="1">
        <v>44952</v>
      </c>
      <c r="B27">
        <f t="shared" si="0"/>
        <v>4</v>
      </c>
      <c r="C27" t="s">
        <v>8</v>
      </c>
      <c r="D27">
        <f t="shared" si="3"/>
        <v>60</v>
      </c>
      <c r="E27">
        <f t="shared" si="4"/>
        <v>0</v>
      </c>
      <c r="F27">
        <f t="shared" si="1"/>
        <v>60</v>
      </c>
      <c r="G27">
        <f>SUM($E$2:E27)</f>
        <v>8600</v>
      </c>
      <c r="H27">
        <f>SUM($D$2:D27)</f>
        <v>1140</v>
      </c>
      <c r="I27">
        <f t="shared" si="2"/>
        <v>0</v>
      </c>
    </row>
    <row r="28" spans="1:9" x14ac:dyDescent="0.25">
      <c r="A28" s="1">
        <v>44953</v>
      </c>
      <c r="B28">
        <f t="shared" si="0"/>
        <v>5</v>
      </c>
      <c r="C28" t="s">
        <v>8</v>
      </c>
      <c r="D28">
        <f t="shared" si="3"/>
        <v>60</v>
      </c>
      <c r="E28">
        <f t="shared" si="4"/>
        <v>0</v>
      </c>
      <c r="F28">
        <f t="shared" si="1"/>
        <v>60</v>
      </c>
      <c r="G28">
        <f>SUM($E$2:E28)</f>
        <v>8600</v>
      </c>
      <c r="H28">
        <f>SUM($D$2:D28)</f>
        <v>1200</v>
      </c>
      <c r="I28">
        <f t="shared" si="2"/>
        <v>0</v>
      </c>
    </row>
    <row r="29" spans="1:9" x14ac:dyDescent="0.25">
      <c r="A29" s="1">
        <v>44954</v>
      </c>
      <c r="B29">
        <f t="shared" si="0"/>
        <v>6</v>
      </c>
      <c r="C29" t="s">
        <v>8</v>
      </c>
      <c r="D29">
        <f t="shared" si="3"/>
        <v>0</v>
      </c>
      <c r="E29">
        <f t="shared" si="4"/>
        <v>0</v>
      </c>
      <c r="F29">
        <f t="shared" si="1"/>
        <v>0</v>
      </c>
      <c r="G29">
        <f>SUM($E$2:E29)</f>
        <v>8600</v>
      </c>
      <c r="H29">
        <f>SUM($D$2:D29)</f>
        <v>1200</v>
      </c>
      <c r="I29">
        <f t="shared" si="2"/>
        <v>0</v>
      </c>
    </row>
    <row r="30" spans="1:9" x14ac:dyDescent="0.25">
      <c r="A30" s="1">
        <v>44955</v>
      </c>
      <c r="B30">
        <f t="shared" si="0"/>
        <v>7</v>
      </c>
      <c r="C30" t="s">
        <v>8</v>
      </c>
      <c r="D30">
        <f t="shared" si="3"/>
        <v>0</v>
      </c>
      <c r="E30">
        <f t="shared" si="4"/>
        <v>150</v>
      </c>
      <c r="F30">
        <f t="shared" si="1"/>
        <v>-150</v>
      </c>
      <c r="G30">
        <f>SUM($E$2:E30)</f>
        <v>8750</v>
      </c>
      <c r="H30">
        <f>SUM($D$2:D30)</f>
        <v>1200</v>
      </c>
      <c r="I30">
        <f t="shared" si="2"/>
        <v>0</v>
      </c>
    </row>
    <row r="31" spans="1:9" x14ac:dyDescent="0.25">
      <c r="A31" s="1">
        <v>44956</v>
      </c>
      <c r="B31">
        <f t="shared" si="0"/>
        <v>1</v>
      </c>
      <c r="C31" t="s">
        <v>8</v>
      </c>
      <c r="D31">
        <f t="shared" si="3"/>
        <v>60</v>
      </c>
      <c r="E31">
        <f t="shared" si="4"/>
        <v>0</v>
      </c>
      <c r="F31">
        <f t="shared" si="1"/>
        <v>60</v>
      </c>
      <c r="G31">
        <f>SUM($E$2:E31)</f>
        <v>8750</v>
      </c>
      <c r="H31">
        <f>SUM($D$2:D31)</f>
        <v>1260</v>
      </c>
      <c r="I31">
        <f t="shared" si="2"/>
        <v>0</v>
      </c>
    </row>
    <row r="32" spans="1:9" x14ac:dyDescent="0.25">
      <c r="A32" s="1">
        <v>44957</v>
      </c>
      <c r="B32">
        <f t="shared" si="0"/>
        <v>2</v>
      </c>
      <c r="C32" t="s">
        <v>8</v>
      </c>
      <c r="D32">
        <f t="shared" si="3"/>
        <v>60</v>
      </c>
      <c r="E32">
        <f t="shared" si="4"/>
        <v>0</v>
      </c>
      <c r="F32">
        <f t="shared" si="1"/>
        <v>60</v>
      </c>
      <c r="G32">
        <f>SUM($E$2:E32)</f>
        <v>8750</v>
      </c>
      <c r="H32">
        <f>SUM($D$2:D32)</f>
        <v>1320</v>
      </c>
      <c r="I32">
        <f t="shared" si="2"/>
        <v>0</v>
      </c>
    </row>
    <row r="33" spans="1:9" x14ac:dyDescent="0.25">
      <c r="A33" s="1">
        <v>44958</v>
      </c>
      <c r="B33">
        <f t="shared" si="0"/>
        <v>3</v>
      </c>
      <c r="C33" t="s">
        <v>8</v>
      </c>
      <c r="D33">
        <f t="shared" si="3"/>
        <v>60</v>
      </c>
      <c r="E33">
        <f t="shared" si="4"/>
        <v>0</v>
      </c>
      <c r="F33">
        <f t="shared" si="1"/>
        <v>60</v>
      </c>
      <c r="G33">
        <f>SUM($E$2:E33)</f>
        <v>8750</v>
      </c>
      <c r="H33">
        <f>SUM($D$2:D33)</f>
        <v>1380</v>
      </c>
      <c r="I33">
        <f t="shared" si="2"/>
        <v>0</v>
      </c>
    </row>
    <row r="34" spans="1:9" x14ac:dyDescent="0.25">
      <c r="A34" s="1">
        <v>44959</v>
      </c>
      <c r="B34">
        <f t="shared" si="0"/>
        <v>4</v>
      </c>
      <c r="C34" t="s">
        <v>8</v>
      </c>
      <c r="D34">
        <f t="shared" si="3"/>
        <v>60</v>
      </c>
      <c r="E34">
        <f t="shared" si="4"/>
        <v>0</v>
      </c>
      <c r="F34">
        <f t="shared" si="1"/>
        <v>60</v>
      </c>
      <c r="G34">
        <f>SUM($E$2:E34)</f>
        <v>8750</v>
      </c>
      <c r="H34">
        <f>SUM($D$2:D34)</f>
        <v>1440</v>
      </c>
      <c r="I34">
        <f t="shared" si="2"/>
        <v>0</v>
      </c>
    </row>
    <row r="35" spans="1:9" x14ac:dyDescent="0.25">
      <c r="A35" s="1">
        <v>44960</v>
      </c>
      <c r="B35">
        <f t="shared" si="0"/>
        <v>5</v>
      </c>
      <c r="C35" t="s">
        <v>8</v>
      </c>
      <c r="D35">
        <f t="shared" si="3"/>
        <v>60</v>
      </c>
      <c r="E35">
        <f t="shared" si="4"/>
        <v>0</v>
      </c>
      <c r="F35">
        <f t="shared" si="1"/>
        <v>60</v>
      </c>
      <c r="G35">
        <f>SUM($E$2:E35)</f>
        <v>8750</v>
      </c>
      <c r="H35">
        <f>SUM($D$2:D35)</f>
        <v>1500</v>
      </c>
      <c r="I35">
        <f t="shared" si="2"/>
        <v>0</v>
      </c>
    </row>
    <row r="36" spans="1:9" x14ac:dyDescent="0.25">
      <c r="A36" s="1">
        <v>44961</v>
      </c>
      <c r="B36">
        <f t="shared" si="0"/>
        <v>6</v>
      </c>
      <c r="C36" t="s">
        <v>8</v>
      </c>
      <c r="D36">
        <f t="shared" si="3"/>
        <v>0</v>
      </c>
      <c r="E36">
        <f t="shared" si="4"/>
        <v>0</v>
      </c>
      <c r="F36">
        <f t="shared" si="1"/>
        <v>0</v>
      </c>
      <c r="G36">
        <f>SUM($E$2:E36)</f>
        <v>8750</v>
      </c>
      <c r="H36">
        <f>SUM($D$2:D36)</f>
        <v>1500</v>
      </c>
      <c r="I36">
        <f t="shared" si="2"/>
        <v>0</v>
      </c>
    </row>
    <row r="37" spans="1:9" x14ac:dyDescent="0.25">
      <c r="A37" s="1">
        <v>44962</v>
      </c>
      <c r="B37">
        <f t="shared" si="0"/>
        <v>7</v>
      </c>
      <c r="C37" t="s">
        <v>8</v>
      </c>
      <c r="D37">
        <f t="shared" si="3"/>
        <v>0</v>
      </c>
      <c r="E37">
        <f t="shared" si="4"/>
        <v>150</v>
      </c>
      <c r="F37">
        <f t="shared" si="1"/>
        <v>-150</v>
      </c>
      <c r="G37">
        <f>SUM($E$2:E37)</f>
        <v>8900</v>
      </c>
      <c r="H37">
        <f>SUM($D$2:D37)</f>
        <v>1500</v>
      </c>
      <c r="I37">
        <f t="shared" si="2"/>
        <v>0</v>
      </c>
    </row>
    <row r="38" spans="1:9" x14ac:dyDescent="0.25">
      <c r="A38" s="1">
        <v>44963</v>
      </c>
      <c r="B38">
        <f t="shared" si="0"/>
        <v>1</v>
      </c>
      <c r="C38" t="s">
        <v>8</v>
      </c>
      <c r="D38">
        <f t="shared" si="3"/>
        <v>60</v>
      </c>
      <c r="E38">
        <f t="shared" si="4"/>
        <v>0</v>
      </c>
      <c r="F38">
        <f t="shared" si="1"/>
        <v>60</v>
      </c>
      <c r="G38">
        <f>SUM($E$2:E38)</f>
        <v>8900</v>
      </c>
      <c r="H38">
        <f>SUM($D$2:D38)</f>
        <v>1560</v>
      </c>
      <c r="I38">
        <f t="shared" si="2"/>
        <v>0</v>
      </c>
    </row>
    <row r="39" spans="1:9" x14ac:dyDescent="0.25">
      <c r="A39" s="1">
        <v>44964</v>
      </c>
      <c r="B39">
        <f t="shared" si="0"/>
        <v>2</v>
      </c>
      <c r="C39" t="s">
        <v>8</v>
      </c>
      <c r="D39">
        <f t="shared" si="3"/>
        <v>60</v>
      </c>
      <c r="E39">
        <f t="shared" si="4"/>
        <v>0</v>
      </c>
      <c r="F39">
        <f t="shared" si="1"/>
        <v>60</v>
      </c>
      <c r="G39">
        <f>SUM($E$2:E39)</f>
        <v>8900</v>
      </c>
      <c r="H39">
        <f>SUM($D$2:D39)</f>
        <v>1620</v>
      </c>
      <c r="I39">
        <f t="shared" si="2"/>
        <v>0</v>
      </c>
    </row>
    <row r="40" spans="1:9" x14ac:dyDescent="0.25">
      <c r="A40" s="1">
        <v>44965</v>
      </c>
      <c r="B40">
        <f t="shared" si="0"/>
        <v>3</v>
      </c>
      <c r="C40" t="s">
        <v>8</v>
      </c>
      <c r="D40">
        <f t="shared" si="3"/>
        <v>60</v>
      </c>
      <c r="E40">
        <f t="shared" si="4"/>
        <v>0</v>
      </c>
      <c r="F40">
        <f t="shared" si="1"/>
        <v>60</v>
      </c>
      <c r="G40">
        <f>SUM($E$2:E40)</f>
        <v>8900</v>
      </c>
      <c r="H40">
        <f>SUM($D$2:D40)</f>
        <v>1680</v>
      </c>
      <c r="I40">
        <f t="shared" si="2"/>
        <v>0</v>
      </c>
    </row>
    <row r="41" spans="1:9" x14ac:dyDescent="0.25">
      <c r="A41" s="1">
        <v>44966</v>
      </c>
      <c r="B41">
        <f t="shared" si="0"/>
        <v>4</v>
      </c>
      <c r="C41" t="s">
        <v>8</v>
      </c>
      <c r="D41">
        <f t="shared" si="3"/>
        <v>60</v>
      </c>
      <c r="E41">
        <f t="shared" si="4"/>
        <v>0</v>
      </c>
      <c r="F41">
        <f t="shared" si="1"/>
        <v>60</v>
      </c>
      <c r="G41">
        <f>SUM($E$2:E41)</f>
        <v>8900</v>
      </c>
      <c r="H41">
        <f>SUM($D$2:D41)</f>
        <v>1740</v>
      </c>
      <c r="I41">
        <f t="shared" si="2"/>
        <v>0</v>
      </c>
    </row>
    <row r="42" spans="1:9" x14ac:dyDescent="0.25">
      <c r="A42" s="1">
        <v>44967</v>
      </c>
      <c r="B42">
        <f t="shared" si="0"/>
        <v>5</v>
      </c>
      <c r="C42" t="s">
        <v>8</v>
      </c>
      <c r="D42">
        <f t="shared" si="3"/>
        <v>60</v>
      </c>
      <c r="E42">
        <f t="shared" si="4"/>
        <v>0</v>
      </c>
      <c r="F42">
        <f t="shared" si="1"/>
        <v>60</v>
      </c>
      <c r="G42">
        <f>SUM($E$2:E42)</f>
        <v>8900</v>
      </c>
      <c r="H42">
        <f>SUM($D$2:D42)</f>
        <v>1800</v>
      </c>
      <c r="I42">
        <f t="shared" si="2"/>
        <v>0</v>
      </c>
    </row>
    <row r="43" spans="1:9" x14ac:dyDescent="0.25">
      <c r="A43" s="1">
        <v>44968</v>
      </c>
      <c r="B43">
        <f t="shared" si="0"/>
        <v>6</v>
      </c>
      <c r="C43" t="s">
        <v>8</v>
      </c>
      <c r="D43">
        <f t="shared" si="3"/>
        <v>0</v>
      </c>
      <c r="E43">
        <f t="shared" si="4"/>
        <v>0</v>
      </c>
      <c r="F43">
        <f t="shared" si="1"/>
        <v>0</v>
      </c>
      <c r="G43">
        <f>SUM($E$2:E43)</f>
        <v>8900</v>
      </c>
      <c r="H43">
        <f>SUM($D$2:D43)</f>
        <v>1800</v>
      </c>
      <c r="I43">
        <f t="shared" si="2"/>
        <v>0</v>
      </c>
    </row>
    <row r="44" spans="1:9" x14ac:dyDescent="0.25">
      <c r="A44" s="1">
        <v>44969</v>
      </c>
      <c r="B44">
        <f t="shared" si="0"/>
        <v>7</v>
      </c>
      <c r="C44" t="s">
        <v>8</v>
      </c>
      <c r="D44">
        <f t="shared" si="3"/>
        <v>0</v>
      </c>
      <c r="E44">
        <f t="shared" si="4"/>
        <v>150</v>
      </c>
      <c r="F44">
        <f t="shared" si="1"/>
        <v>-150</v>
      </c>
      <c r="G44">
        <f>SUM($E$2:E44)</f>
        <v>9050</v>
      </c>
      <c r="H44">
        <f>SUM($D$2:D44)</f>
        <v>1800</v>
      </c>
      <c r="I44">
        <f t="shared" si="2"/>
        <v>0</v>
      </c>
    </row>
    <row r="45" spans="1:9" x14ac:dyDescent="0.25">
      <c r="A45" s="1">
        <v>44970</v>
      </c>
      <c r="B45">
        <f t="shared" si="0"/>
        <v>1</v>
      </c>
      <c r="C45" t="s">
        <v>8</v>
      </c>
      <c r="D45">
        <f t="shared" si="3"/>
        <v>60</v>
      </c>
      <c r="E45">
        <f t="shared" si="4"/>
        <v>0</v>
      </c>
      <c r="F45">
        <f t="shared" si="1"/>
        <v>60</v>
      </c>
      <c r="G45">
        <f>SUM($E$2:E45)</f>
        <v>9050</v>
      </c>
      <c r="H45">
        <f>SUM($D$2:D45)</f>
        <v>1860</v>
      </c>
      <c r="I45">
        <f t="shared" si="2"/>
        <v>0</v>
      </c>
    </row>
    <row r="46" spans="1:9" x14ac:dyDescent="0.25">
      <c r="A46" s="1">
        <v>44971</v>
      </c>
      <c r="B46">
        <f t="shared" si="0"/>
        <v>2</v>
      </c>
      <c r="C46" t="s">
        <v>8</v>
      </c>
      <c r="D46">
        <f t="shared" si="3"/>
        <v>60</v>
      </c>
      <c r="E46">
        <f t="shared" si="4"/>
        <v>0</v>
      </c>
      <c r="F46">
        <f t="shared" si="1"/>
        <v>60</v>
      </c>
      <c r="G46">
        <f>SUM($E$2:E46)</f>
        <v>9050</v>
      </c>
      <c r="H46">
        <f>SUM($D$2:D46)</f>
        <v>1920</v>
      </c>
      <c r="I46">
        <f t="shared" si="2"/>
        <v>0</v>
      </c>
    </row>
    <row r="47" spans="1:9" x14ac:dyDescent="0.25">
      <c r="A47" s="1">
        <v>44972</v>
      </c>
      <c r="B47">
        <f t="shared" si="0"/>
        <v>3</v>
      </c>
      <c r="C47" t="s">
        <v>8</v>
      </c>
      <c r="D47">
        <f t="shared" si="3"/>
        <v>60</v>
      </c>
      <c r="E47">
        <f t="shared" si="4"/>
        <v>0</v>
      </c>
      <c r="F47">
        <f t="shared" si="1"/>
        <v>60</v>
      </c>
      <c r="G47">
        <f>SUM($E$2:E47)</f>
        <v>9050</v>
      </c>
      <c r="H47">
        <f>SUM($D$2:D47)</f>
        <v>1980</v>
      </c>
      <c r="I47">
        <f t="shared" si="2"/>
        <v>0</v>
      </c>
    </row>
    <row r="48" spans="1:9" x14ac:dyDescent="0.25">
      <c r="A48" s="1">
        <v>44973</v>
      </c>
      <c r="B48">
        <f t="shared" si="0"/>
        <v>4</v>
      </c>
      <c r="C48" t="s">
        <v>8</v>
      </c>
      <c r="D48">
        <f t="shared" si="3"/>
        <v>60</v>
      </c>
      <c r="E48">
        <f t="shared" si="4"/>
        <v>0</v>
      </c>
      <c r="F48">
        <f t="shared" si="1"/>
        <v>60</v>
      </c>
      <c r="G48">
        <f>SUM($E$2:E48)</f>
        <v>9050</v>
      </c>
      <c r="H48">
        <f>SUM($D$2:D48)</f>
        <v>2040</v>
      </c>
      <c r="I48">
        <f t="shared" si="2"/>
        <v>0</v>
      </c>
    </row>
    <row r="49" spans="1:9" x14ac:dyDescent="0.25">
      <c r="A49" s="1">
        <v>44974</v>
      </c>
      <c r="B49">
        <f t="shared" si="0"/>
        <v>5</v>
      </c>
      <c r="C49" t="s">
        <v>8</v>
      </c>
      <c r="D49">
        <f t="shared" si="3"/>
        <v>60</v>
      </c>
      <c r="E49">
        <f t="shared" si="4"/>
        <v>0</v>
      </c>
      <c r="F49">
        <f t="shared" si="1"/>
        <v>60</v>
      </c>
      <c r="G49">
        <f>SUM($E$2:E49)</f>
        <v>9050</v>
      </c>
      <c r="H49">
        <f>SUM($D$2:D49)</f>
        <v>2100</v>
      </c>
      <c r="I49">
        <f t="shared" si="2"/>
        <v>0</v>
      </c>
    </row>
    <row r="50" spans="1:9" x14ac:dyDescent="0.25">
      <c r="A50" s="1">
        <v>44975</v>
      </c>
      <c r="B50">
        <f t="shared" si="0"/>
        <v>6</v>
      </c>
      <c r="C50" t="s">
        <v>8</v>
      </c>
      <c r="D50">
        <f t="shared" si="3"/>
        <v>0</v>
      </c>
      <c r="E50">
        <f t="shared" si="4"/>
        <v>0</v>
      </c>
      <c r="F50">
        <f t="shared" si="1"/>
        <v>0</v>
      </c>
      <c r="G50">
        <f>SUM($E$2:E50)</f>
        <v>9050</v>
      </c>
      <c r="H50">
        <f>SUM($D$2:D50)</f>
        <v>2100</v>
      </c>
      <c r="I50">
        <f t="shared" si="2"/>
        <v>0</v>
      </c>
    </row>
    <row r="51" spans="1:9" x14ac:dyDescent="0.25">
      <c r="A51" s="1">
        <v>44976</v>
      </c>
      <c r="B51">
        <f t="shared" si="0"/>
        <v>7</v>
      </c>
      <c r="C51" t="s">
        <v>8</v>
      </c>
      <c r="D51">
        <f t="shared" si="3"/>
        <v>0</v>
      </c>
      <c r="E51">
        <f t="shared" si="4"/>
        <v>150</v>
      </c>
      <c r="F51">
        <f t="shared" si="1"/>
        <v>-150</v>
      </c>
      <c r="G51">
        <f>SUM($E$2:E51)</f>
        <v>9200</v>
      </c>
      <c r="H51">
        <f>SUM($D$2:D51)</f>
        <v>2100</v>
      </c>
      <c r="I51">
        <f t="shared" si="2"/>
        <v>0</v>
      </c>
    </row>
    <row r="52" spans="1:9" x14ac:dyDescent="0.25">
      <c r="A52" s="1">
        <v>44977</v>
      </c>
      <c r="B52">
        <f t="shared" si="0"/>
        <v>1</v>
      </c>
      <c r="C52" t="s">
        <v>8</v>
      </c>
      <c r="D52">
        <f t="shared" si="3"/>
        <v>60</v>
      </c>
      <c r="E52">
        <f t="shared" si="4"/>
        <v>0</v>
      </c>
      <c r="F52">
        <f t="shared" si="1"/>
        <v>60</v>
      </c>
      <c r="G52">
        <f>SUM($E$2:E52)</f>
        <v>9200</v>
      </c>
      <c r="H52">
        <f>SUM($D$2:D52)</f>
        <v>2160</v>
      </c>
      <c r="I52">
        <f t="shared" si="2"/>
        <v>0</v>
      </c>
    </row>
    <row r="53" spans="1:9" x14ac:dyDescent="0.25">
      <c r="A53" s="1">
        <v>44978</v>
      </c>
      <c r="B53">
        <f t="shared" si="0"/>
        <v>2</v>
      </c>
      <c r="C53" t="s">
        <v>8</v>
      </c>
      <c r="D53">
        <f t="shared" si="3"/>
        <v>60</v>
      </c>
      <c r="E53">
        <f t="shared" si="4"/>
        <v>0</v>
      </c>
      <c r="F53">
        <f t="shared" si="1"/>
        <v>60</v>
      </c>
      <c r="G53">
        <f>SUM($E$2:E53)</f>
        <v>9200</v>
      </c>
      <c r="H53">
        <f>SUM($D$2:D53)</f>
        <v>2220</v>
      </c>
      <c r="I53">
        <f t="shared" si="2"/>
        <v>0</v>
      </c>
    </row>
    <row r="54" spans="1:9" x14ac:dyDescent="0.25">
      <c r="A54" s="1">
        <v>44979</v>
      </c>
      <c r="B54">
        <f t="shared" si="0"/>
        <v>3</v>
      </c>
      <c r="C54" t="s">
        <v>8</v>
      </c>
      <c r="D54">
        <f t="shared" si="3"/>
        <v>60</v>
      </c>
      <c r="E54">
        <f t="shared" si="4"/>
        <v>0</v>
      </c>
      <c r="F54">
        <f t="shared" si="1"/>
        <v>60</v>
      </c>
      <c r="G54">
        <f>SUM($E$2:E54)</f>
        <v>9200</v>
      </c>
      <c r="H54">
        <f>SUM($D$2:D54)</f>
        <v>2280</v>
      </c>
      <c r="I54">
        <f t="shared" si="2"/>
        <v>0</v>
      </c>
    </row>
    <row r="55" spans="1:9" x14ac:dyDescent="0.25">
      <c r="A55" s="1">
        <v>44980</v>
      </c>
      <c r="B55">
        <f t="shared" si="0"/>
        <v>4</v>
      </c>
      <c r="C55" t="s">
        <v>8</v>
      </c>
      <c r="D55">
        <f t="shared" si="3"/>
        <v>60</v>
      </c>
      <c r="E55">
        <f t="shared" si="4"/>
        <v>0</v>
      </c>
      <c r="F55">
        <f t="shared" si="1"/>
        <v>60</v>
      </c>
      <c r="G55">
        <f>SUM($E$2:E55)</f>
        <v>9200</v>
      </c>
      <c r="H55">
        <f>SUM($D$2:D55)</f>
        <v>2340</v>
      </c>
      <c r="I55">
        <f t="shared" si="2"/>
        <v>0</v>
      </c>
    </row>
    <row r="56" spans="1:9" x14ac:dyDescent="0.25">
      <c r="A56" s="1">
        <v>44981</v>
      </c>
      <c r="B56">
        <f t="shared" si="0"/>
        <v>5</v>
      </c>
      <c r="C56" t="s">
        <v>8</v>
      </c>
      <c r="D56">
        <f t="shared" si="3"/>
        <v>60</v>
      </c>
      <c r="E56">
        <f t="shared" si="4"/>
        <v>0</v>
      </c>
      <c r="F56">
        <f t="shared" si="1"/>
        <v>60</v>
      </c>
      <c r="G56">
        <f>SUM($E$2:E56)</f>
        <v>9200</v>
      </c>
      <c r="H56">
        <f>SUM($D$2:D56)</f>
        <v>2400</v>
      </c>
      <c r="I56">
        <f t="shared" si="2"/>
        <v>0</v>
      </c>
    </row>
    <row r="57" spans="1:9" x14ac:dyDescent="0.25">
      <c r="A57" s="1">
        <v>44982</v>
      </c>
      <c r="B57">
        <f t="shared" si="0"/>
        <v>6</v>
      </c>
      <c r="C57" t="s">
        <v>8</v>
      </c>
      <c r="D57">
        <f t="shared" si="3"/>
        <v>0</v>
      </c>
      <c r="E57">
        <f t="shared" si="4"/>
        <v>0</v>
      </c>
      <c r="F57">
        <f t="shared" si="1"/>
        <v>0</v>
      </c>
      <c r="G57">
        <f>SUM($E$2:E57)</f>
        <v>9200</v>
      </c>
      <c r="H57">
        <f>SUM($D$2:D57)</f>
        <v>2400</v>
      </c>
      <c r="I57">
        <f t="shared" si="2"/>
        <v>0</v>
      </c>
    </row>
    <row r="58" spans="1:9" x14ac:dyDescent="0.25">
      <c r="A58" s="1">
        <v>44983</v>
      </c>
      <c r="B58">
        <f t="shared" si="0"/>
        <v>7</v>
      </c>
      <c r="C58" t="s">
        <v>8</v>
      </c>
      <c r="D58">
        <f t="shared" si="3"/>
        <v>0</v>
      </c>
      <c r="E58">
        <f t="shared" si="4"/>
        <v>150</v>
      </c>
      <c r="F58">
        <f t="shared" si="1"/>
        <v>-150</v>
      </c>
      <c r="G58">
        <f>SUM($E$2:E58)</f>
        <v>9350</v>
      </c>
      <c r="H58">
        <f>SUM($D$2:D58)</f>
        <v>2400</v>
      </c>
      <c r="I58">
        <f t="shared" si="2"/>
        <v>0</v>
      </c>
    </row>
    <row r="59" spans="1:9" x14ac:dyDescent="0.25">
      <c r="A59" s="1">
        <v>44984</v>
      </c>
      <c r="B59">
        <f t="shared" si="0"/>
        <v>1</v>
      </c>
      <c r="C59" t="s">
        <v>8</v>
      </c>
      <c r="D59">
        <f t="shared" si="3"/>
        <v>60</v>
      </c>
      <c r="E59">
        <f t="shared" si="4"/>
        <v>0</v>
      </c>
      <c r="F59">
        <f t="shared" si="1"/>
        <v>60</v>
      </c>
      <c r="G59">
        <f>SUM($E$2:E59)</f>
        <v>9350</v>
      </c>
      <c r="H59">
        <f>SUM($D$2:D59)</f>
        <v>2460</v>
      </c>
      <c r="I59">
        <f t="shared" si="2"/>
        <v>0</v>
      </c>
    </row>
    <row r="60" spans="1:9" x14ac:dyDescent="0.25">
      <c r="A60" s="1">
        <v>44985</v>
      </c>
      <c r="B60">
        <f t="shared" si="0"/>
        <v>2</v>
      </c>
      <c r="C60" t="s">
        <v>8</v>
      </c>
      <c r="D60">
        <f t="shared" si="3"/>
        <v>60</v>
      </c>
      <c r="E60">
        <f t="shared" si="4"/>
        <v>0</v>
      </c>
      <c r="F60">
        <f t="shared" si="1"/>
        <v>60</v>
      </c>
      <c r="G60">
        <f>SUM($E$2:E60)</f>
        <v>9350</v>
      </c>
      <c r="H60">
        <f>SUM($D$2:D60)</f>
        <v>2520</v>
      </c>
      <c r="I60">
        <f t="shared" si="2"/>
        <v>0</v>
      </c>
    </row>
    <row r="61" spans="1:9" x14ac:dyDescent="0.25">
      <c r="A61" s="1">
        <v>44986</v>
      </c>
      <c r="B61">
        <f t="shared" si="0"/>
        <v>3</v>
      </c>
      <c r="C61" t="s">
        <v>8</v>
      </c>
      <c r="D61">
        <f t="shared" si="3"/>
        <v>60</v>
      </c>
      <c r="E61">
        <f t="shared" si="4"/>
        <v>0</v>
      </c>
      <c r="F61">
        <f t="shared" si="1"/>
        <v>60</v>
      </c>
      <c r="G61">
        <f>SUM($E$2:E61)</f>
        <v>9350</v>
      </c>
      <c r="H61">
        <f>SUM($D$2:D61)</f>
        <v>2580</v>
      </c>
      <c r="I61">
        <f t="shared" si="2"/>
        <v>0</v>
      </c>
    </row>
    <row r="62" spans="1:9" x14ac:dyDescent="0.25">
      <c r="A62" s="1">
        <v>44987</v>
      </c>
      <c r="B62">
        <f t="shared" si="0"/>
        <v>4</v>
      </c>
      <c r="C62" t="s">
        <v>8</v>
      </c>
      <c r="D62">
        <f t="shared" si="3"/>
        <v>60</v>
      </c>
      <c r="E62">
        <f t="shared" si="4"/>
        <v>0</v>
      </c>
      <c r="F62">
        <f t="shared" si="1"/>
        <v>60</v>
      </c>
      <c r="G62">
        <f>SUM($E$2:E62)</f>
        <v>9350</v>
      </c>
      <c r="H62">
        <f>SUM($D$2:D62)</f>
        <v>2640</v>
      </c>
      <c r="I62">
        <f t="shared" si="2"/>
        <v>0</v>
      </c>
    </row>
    <row r="63" spans="1:9" x14ac:dyDescent="0.25">
      <c r="A63" s="1">
        <v>44988</v>
      </c>
      <c r="B63">
        <f t="shared" si="0"/>
        <v>5</v>
      </c>
      <c r="C63" t="s">
        <v>8</v>
      </c>
      <c r="D63">
        <f t="shared" si="3"/>
        <v>60</v>
      </c>
      <c r="E63">
        <f t="shared" si="4"/>
        <v>0</v>
      </c>
      <c r="F63">
        <f t="shared" si="1"/>
        <v>60</v>
      </c>
      <c r="G63">
        <f>SUM($E$2:E63)</f>
        <v>9350</v>
      </c>
      <c r="H63">
        <f>SUM($D$2:D63)</f>
        <v>2700</v>
      </c>
      <c r="I63">
        <f t="shared" si="2"/>
        <v>0</v>
      </c>
    </row>
    <row r="64" spans="1:9" x14ac:dyDescent="0.25">
      <c r="A64" s="1">
        <v>44989</v>
      </c>
      <c r="B64">
        <f t="shared" si="0"/>
        <v>6</v>
      </c>
      <c r="C64" t="s">
        <v>8</v>
      </c>
      <c r="D64">
        <f t="shared" si="3"/>
        <v>0</v>
      </c>
      <c r="E64">
        <f t="shared" si="4"/>
        <v>0</v>
      </c>
      <c r="F64">
        <f t="shared" si="1"/>
        <v>0</v>
      </c>
      <c r="G64">
        <f>SUM($E$2:E64)</f>
        <v>9350</v>
      </c>
      <c r="H64">
        <f>SUM($D$2:D64)</f>
        <v>2700</v>
      </c>
      <c r="I64">
        <f t="shared" si="2"/>
        <v>0</v>
      </c>
    </row>
    <row r="65" spans="1:9" x14ac:dyDescent="0.25">
      <c r="A65" s="1">
        <v>44990</v>
      </c>
      <c r="B65">
        <f t="shared" si="0"/>
        <v>7</v>
      </c>
      <c r="C65" t="s">
        <v>8</v>
      </c>
      <c r="D65">
        <f t="shared" si="3"/>
        <v>0</v>
      </c>
      <c r="E65">
        <f t="shared" si="4"/>
        <v>150</v>
      </c>
      <c r="F65">
        <f t="shared" si="1"/>
        <v>-150</v>
      </c>
      <c r="G65">
        <f>SUM($E$2:E65)</f>
        <v>9500</v>
      </c>
      <c r="H65">
        <f>SUM($D$2:D65)</f>
        <v>2700</v>
      </c>
      <c r="I65">
        <f t="shared" si="2"/>
        <v>0</v>
      </c>
    </row>
    <row r="66" spans="1:9" x14ac:dyDescent="0.25">
      <c r="A66" s="1">
        <v>44991</v>
      </c>
      <c r="B66">
        <f t="shared" si="0"/>
        <v>1</v>
      </c>
      <c r="C66" t="s">
        <v>8</v>
      </c>
      <c r="D66">
        <f t="shared" si="3"/>
        <v>60</v>
      </c>
      <c r="E66">
        <f t="shared" si="4"/>
        <v>0</v>
      </c>
      <c r="F66">
        <f t="shared" si="1"/>
        <v>60</v>
      </c>
      <c r="G66">
        <f>SUM($E$2:E66)</f>
        <v>9500</v>
      </c>
      <c r="H66">
        <f>SUM($D$2:D66)</f>
        <v>2760</v>
      </c>
      <c r="I66">
        <f t="shared" si="2"/>
        <v>0</v>
      </c>
    </row>
    <row r="67" spans="1:9" x14ac:dyDescent="0.25">
      <c r="A67" s="1">
        <v>44992</v>
      </c>
      <c r="B67">
        <f t="shared" ref="B67:B130" si="5">WEEKDAY(A67,2)</f>
        <v>2</v>
      </c>
      <c r="C67" t="s">
        <v>8</v>
      </c>
      <c r="D67">
        <f t="shared" si="3"/>
        <v>60</v>
      </c>
      <c r="E67">
        <f t="shared" si="4"/>
        <v>0</v>
      </c>
      <c r="F67">
        <f t="shared" ref="F67:F130" si="6">D67-E67</f>
        <v>60</v>
      </c>
      <c r="G67">
        <f>SUM($E$2:E67)</f>
        <v>9500</v>
      </c>
      <c r="H67">
        <f>SUM($D$2:D67)</f>
        <v>2820</v>
      </c>
      <c r="I67">
        <f t="shared" ref="I67:I130" si="7">IF(G67&lt;H67,1,0)</f>
        <v>0</v>
      </c>
    </row>
    <row r="68" spans="1:9" x14ac:dyDescent="0.25">
      <c r="A68" s="1">
        <v>44993</v>
      </c>
      <c r="B68">
        <f t="shared" si="5"/>
        <v>3</v>
      </c>
      <c r="C68" t="s">
        <v>8</v>
      </c>
      <c r="D68">
        <f t="shared" ref="D68:D131" si="8">IF(B68&lt;6,$Q$1*VLOOKUP(C68,$S$1:$T$5,2,FALSE)*$Q$3,0)</f>
        <v>60</v>
      </c>
      <c r="E68">
        <f t="shared" ref="E68:E131" si="9">IF(B68=7,$Q$4*$Q$1,0)</f>
        <v>0</v>
      </c>
      <c r="F68">
        <f t="shared" si="6"/>
        <v>60</v>
      </c>
      <c r="G68">
        <f>SUM($E$2:E68)</f>
        <v>9500</v>
      </c>
      <c r="H68">
        <f>SUM($D$2:D68)</f>
        <v>2880</v>
      </c>
      <c r="I68">
        <f t="shared" si="7"/>
        <v>0</v>
      </c>
    </row>
    <row r="69" spans="1:9" x14ac:dyDescent="0.25">
      <c r="A69" s="1">
        <v>44994</v>
      </c>
      <c r="B69">
        <f t="shared" si="5"/>
        <v>4</v>
      </c>
      <c r="C69" t="s">
        <v>8</v>
      </c>
      <c r="D69">
        <f t="shared" si="8"/>
        <v>60</v>
      </c>
      <c r="E69">
        <f t="shared" si="9"/>
        <v>0</v>
      </c>
      <c r="F69">
        <f t="shared" si="6"/>
        <v>60</v>
      </c>
      <c r="G69">
        <f>SUM($E$2:E69)</f>
        <v>9500</v>
      </c>
      <c r="H69">
        <f>SUM($D$2:D69)</f>
        <v>2940</v>
      </c>
      <c r="I69">
        <f t="shared" si="7"/>
        <v>0</v>
      </c>
    </row>
    <row r="70" spans="1:9" x14ac:dyDescent="0.25">
      <c r="A70" s="1">
        <v>44995</v>
      </c>
      <c r="B70">
        <f t="shared" si="5"/>
        <v>5</v>
      </c>
      <c r="C70" t="s">
        <v>8</v>
      </c>
      <c r="D70">
        <f t="shared" si="8"/>
        <v>60</v>
      </c>
      <c r="E70">
        <f t="shared" si="9"/>
        <v>0</v>
      </c>
      <c r="F70">
        <f t="shared" si="6"/>
        <v>60</v>
      </c>
      <c r="G70">
        <f>SUM($E$2:E70)</f>
        <v>9500</v>
      </c>
      <c r="H70">
        <f>SUM($D$2:D70)</f>
        <v>3000</v>
      </c>
      <c r="I70">
        <f t="shared" si="7"/>
        <v>0</v>
      </c>
    </row>
    <row r="71" spans="1:9" x14ac:dyDescent="0.25">
      <c r="A71" s="1">
        <v>44996</v>
      </c>
      <c r="B71">
        <f t="shared" si="5"/>
        <v>6</v>
      </c>
      <c r="C71" t="s">
        <v>8</v>
      </c>
      <c r="D71">
        <f t="shared" si="8"/>
        <v>0</v>
      </c>
      <c r="E71">
        <f t="shared" si="9"/>
        <v>0</v>
      </c>
      <c r="F71">
        <f t="shared" si="6"/>
        <v>0</v>
      </c>
      <c r="G71">
        <f>SUM($E$2:E71)</f>
        <v>9500</v>
      </c>
      <c r="H71">
        <f>SUM($D$2:D71)</f>
        <v>3000</v>
      </c>
      <c r="I71">
        <f t="shared" si="7"/>
        <v>0</v>
      </c>
    </row>
    <row r="72" spans="1:9" x14ac:dyDescent="0.25">
      <c r="A72" s="1">
        <v>44997</v>
      </c>
      <c r="B72">
        <f t="shared" si="5"/>
        <v>7</v>
      </c>
      <c r="C72" t="s">
        <v>8</v>
      </c>
      <c r="D72">
        <f t="shared" si="8"/>
        <v>0</v>
      </c>
      <c r="E72">
        <f t="shared" si="9"/>
        <v>150</v>
      </c>
      <c r="F72">
        <f t="shared" si="6"/>
        <v>-150</v>
      </c>
      <c r="G72">
        <f>SUM($E$2:E72)</f>
        <v>9650</v>
      </c>
      <c r="H72">
        <f>SUM($D$2:D72)</f>
        <v>3000</v>
      </c>
      <c r="I72">
        <f t="shared" si="7"/>
        <v>0</v>
      </c>
    </row>
    <row r="73" spans="1:9" x14ac:dyDescent="0.25">
      <c r="A73" s="1">
        <v>44998</v>
      </c>
      <c r="B73">
        <f t="shared" si="5"/>
        <v>1</v>
      </c>
      <c r="C73" t="s">
        <v>8</v>
      </c>
      <c r="D73">
        <f t="shared" si="8"/>
        <v>60</v>
      </c>
      <c r="E73">
        <f t="shared" si="9"/>
        <v>0</v>
      </c>
      <c r="F73">
        <f t="shared" si="6"/>
        <v>60</v>
      </c>
      <c r="G73">
        <f>SUM($E$2:E73)</f>
        <v>9650</v>
      </c>
      <c r="H73">
        <f>SUM($D$2:D73)</f>
        <v>3060</v>
      </c>
      <c r="I73">
        <f t="shared" si="7"/>
        <v>0</v>
      </c>
    </row>
    <row r="74" spans="1:9" x14ac:dyDescent="0.25">
      <c r="A74" s="1">
        <v>44999</v>
      </c>
      <c r="B74">
        <f t="shared" si="5"/>
        <v>2</v>
      </c>
      <c r="C74" t="s">
        <v>8</v>
      </c>
      <c r="D74">
        <f t="shared" si="8"/>
        <v>60</v>
      </c>
      <c r="E74">
        <f t="shared" si="9"/>
        <v>0</v>
      </c>
      <c r="F74">
        <f t="shared" si="6"/>
        <v>60</v>
      </c>
      <c r="G74">
        <f>SUM($E$2:E74)</f>
        <v>9650</v>
      </c>
      <c r="H74">
        <f>SUM($D$2:D74)</f>
        <v>3120</v>
      </c>
      <c r="I74">
        <f t="shared" si="7"/>
        <v>0</v>
      </c>
    </row>
    <row r="75" spans="1:9" x14ac:dyDescent="0.25">
      <c r="A75" s="1">
        <v>45000</v>
      </c>
      <c r="B75">
        <f t="shared" si="5"/>
        <v>3</v>
      </c>
      <c r="C75" t="s">
        <v>8</v>
      </c>
      <c r="D75">
        <f t="shared" si="8"/>
        <v>60</v>
      </c>
      <c r="E75">
        <f t="shared" si="9"/>
        <v>0</v>
      </c>
      <c r="F75">
        <f t="shared" si="6"/>
        <v>60</v>
      </c>
      <c r="G75">
        <f>SUM($E$2:E75)</f>
        <v>9650</v>
      </c>
      <c r="H75">
        <f>SUM($D$2:D75)</f>
        <v>3180</v>
      </c>
      <c r="I75">
        <f t="shared" si="7"/>
        <v>0</v>
      </c>
    </row>
    <row r="76" spans="1:9" x14ac:dyDescent="0.25">
      <c r="A76" s="1">
        <v>45001</v>
      </c>
      <c r="B76">
        <f t="shared" si="5"/>
        <v>4</v>
      </c>
      <c r="C76" t="s">
        <v>8</v>
      </c>
      <c r="D76">
        <f t="shared" si="8"/>
        <v>60</v>
      </c>
      <c r="E76">
        <f t="shared" si="9"/>
        <v>0</v>
      </c>
      <c r="F76">
        <f t="shared" si="6"/>
        <v>60</v>
      </c>
      <c r="G76">
        <f>SUM($E$2:E76)</f>
        <v>9650</v>
      </c>
      <c r="H76">
        <f>SUM($D$2:D76)</f>
        <v>3240</v>
      </c>
      <c r="I76">
        <f t="shared" si="7"/>
        <v>0</v>
      </c>
    </row>
    <row r="77" spans="1:9" x14ac:dyDescent="0.25">
      <c r="A77" s="1">
        <v>45002</v>
      </c>
      <c r="B77">
        <f t="shared" si="5"/>
        <v>5</v>
      </c>
      <c r="C77" t="s">
        <v>8</v>
      </c>
      <c r="D77">
        <f t="shared" si="8"/>
        <v>60</v>
      </c>
      <c r="E77">
        <f t="shared" si="9"/>
        <v>0</v>
      </c>
      <c r="F77">
        <f t="shared" si="6"/>
        <v>60</v>
      </c>
      <c r="G77">
        <f>SUM($E$2:E77)</f>
        <v>9650</v>
      </c>
      <c r="H77">
        <f>SUM($D$2:D77)</f>
        <v>3300</v>
      </c>
      <c r="I77">
        <f t="shared" si="7"/>
        <v>0</v>
      </c>
    </row>
    <row r="78" spans="1:9" x14ac:dyDescent="0.25">
      <c r="A78" s="1">
        <v>45003</v>
      </c>
      <c r="B78">
        <f t="shared" si="5"/>
        <v>6</v>
      </c>
      <c r="C78" t="s">
        <v>8</v>
      </c>
      <c r="D78">
        <f t="shared" si="8"/>
        <v>0</v>
      </c>
      <c r="E78">
        <f t="shared" si="9"/>
        <v>0</v>
      </c>
      <c r="F78">
        <f t="shared" si="6"/>
        <v>0</v>
      </c>
      <c r="G78">
        <f>SUM($E$2:E78)</f>
        <v>9650</v>
      </c>
      <c r="H78">
        <f>SUM($D$2:D78)</f>
        <v>3300</v>
      </c>
      <c r="I78">
        <f t="shared" si="7"/>
        <v>0</v>
      </c>
    </row>
    <row r="79" spans="1:9" x14ac:dyDescent="0.25">
      <c r="A79" s="1">
        <v>45004</v>
      </c>
      <c r="B79">
        <f t="shared" si="5"/>
        <v>7</v>
      </c>
      <c r="C79" t="s">
        <v>8</v>
      </c>
      <c r="D79">
        <f t="shared" si="8"/>
        <v>0</v>
      </c>
      <c r="E79">
        <f t="shared" si="9"/>
        <v>150</v>
      </c>
      <c r="F79">
        <f t="shared" si="6"/>
        <v>-150</v>
      </c>
      <c r="G79">
        <f>SUM($E$2:E79)</f>
        <v>9800</v>
      </c>
      <c r="H79">
        <f>SUM($D$2:D79)</f>
        <v>3300</v>
      </c>
      <c r="I79">
        <f t="shared" si="7"/>
        <v>0</v>
      </c>
    </row>
    <row r="80" spans="1:9" x14ac:dyDescent="0.25">
      <c r="A80" s="1">
        <v>45005</v>
      </c>
      <c r="B80">
        <f t="shared" si="5"/>
        <v>1</v>
      </c>
      <c r="C80" t="s">
        <v>8</v>
      </c>
      <c r="D80">
        <f t="shared" si="8"/>
        <v>60</v>
      </c>
      <c r="E80">
        <f t="shared" si="9"/>
        <v>0</v>
      </c>
      <c r="F80">
        <f t="shared" si="6"/>
        <v>60</v>
      </c>
      <c r="G80">
        <f>SUM($E$2:E80)</f>
        <v>9800</v>
      </c>
      <c r="H80">
        <f>SUM($D$2:D80)</f>
        <v>3360</v>
      </c>
      <c r="I80">
        <f t="shared" si="7"/>
        <v>0</v>
      </c>
    </row>
    <row r="81" spans="1:9" x14ac:dyDescent="0.25">
      <c r="A81" s="1">
        <v>45006</v>
      </c>
      <c r="B81">
        <f t="shared" si="5"/>
        <v>2</v>
      </c>
      <c r="C81" t="s">
        <v>9</v>
      </c>
      <c r="D81">
        <f t="shared" si="8"/>
        <v>150</v>
      </c>
      <c r="E81">
        <f t="shared" si="9"/>
        <v>0</v>
      </c>
      <c r="F81">
        <f t="shared" si="6"/>
        <v>150</v>
      </c>
      <c r="G81">
        <f>SUM($E$2:E81)</f>
        <v>9800</v>
      </c>
      <c r="H81">
        <f>SUM($D$2:D81)</f>
        <v>3510</v>
      </c>
      <c r="I81">
        <f t="shared" si="7"/>
        <v>0</v>
      </c>
    </row>
    <row r="82" spans="1:9" x14ac:dyDescent="0.25">
      <c r="A82" s="1">
        <v>45007</v>
      </c>
      <c r="B82">
        <f t="shared" si="5"/>
        <v>3</v>
      </c>
      <c r="C82" t="s">
        <v>9</v>
      </c>
      <c r="D82">
        <f t="shared" si="8"/>
        <v>150</v>
      </c>
      <c r="E82">
        <f t="shared" si="9"/>
        <v>0</v>
      </c>
      <c r="F82">
        <f t="shared" si="6"/>
        <v>150</v>
      </c>
      <c r="G82">
        <f>SUM($E$2:E82)</f>
        <v>9800</v>
      </c>
      <c r="H82">
        <f>SUM($D$2:D82)</f>
        <v>3660</v>
      </c>
      <c r="I82">
        <f t="shared" si="7"/>
        <v>0</v>
      </c>
    </row>
    <row r="83" spans="1:9" x14ac:dyDescent="0.25">
      <c r="A83" s="1">
        <v>45008</v>
      </c>
      <c r="B83">
        <f t="shared" si="5"/>
        <v>4</v>
      </c>
      <c r="C83" t="s">
        <v>9</v>
      </c>
      <c r="D83">
        <f t="shared" si="8"/>
        <v>150</v>
      </c>
      <c r="E83">
        <f t="shared" si="9"/>
        <v>0</v>
      </c>
      <c r="F83">
        <f t="shared" si="6"/>
        <v>150</v>
      </c>
      <c r="G83">
        <f>SUM($E$2:E83)</f>
        <v>9800</v>
      </c>
      <c r="H83">
        <f>SUM($D$2:D83)</f>
        <v>3810</v>
      </c>
      <c r="I83">
        <f t="shared" si="7"/>
        <v>0</v>
      </c>
    </row>
    <row r="84" spans="1:9" x14ac:dyDescent="0.25">
      <c r="A84" s="1">
        <v>45009</v>
      </c>
      <c r="B84">
        <f t="shared" si="5"/>
        <v>5</v>
      </c>
      <c r="C84" t="s">
        <v>9</v>
      </c>
      <c r="D84">
        <f t="shared" si="8"/>
        <v>150</v>
      </c>
      <c r="E84">
        <f t="shared" si="9"/>
        <v>0</v>
      </c>
      <c r="F84">
        <f t="shared" si="6"/>
        <v>150</v>
      </c>
      <c r="G84">
        <f>SUM($E$2:E84)</f>
        <v>9800</v>
      </c>
      <c r="H84">
        <f>SUM($D$2:D84)</f>
        <v>3960</v>
      </c>
      <c r="I84">
        <f t="shared" si="7"/>
        <v>0</v>
      </c>
    </row>
    <row r="85" spans="1:9" x14ac:dyDescent="0.25">
      <c r="A85" s="1">
        <v>45010</v>
      </c>
      <c r="B85">
        <f t="shared" si="5"/>
        <v>6</v>
      </c>
      <c r="C85" t="s">
        <v>9</v>
      </c>
      <c r="D85">
        <f t="shared" si="8"/>
        <v>0</v>
      </c>
      <c r="E85">
        <f t="shared" si="9"/>
        <v>0</v>
      </c>
      <c r="F85">
        <f t="shared" si="6"/>
        <v>0</v>
      </c>
      <c r="G85">
        <f>SUM($E$2:E85)</f>
        <v>9800</v>
      </c>
      <c r="H85">
        <f>SUM($D$2:D85)</f>
        <v>3960</v>
      </c>
      <c r="I85">
        <f t="shared" si="7"/>
        <v>0</v>
      </c>
    </row>
    <row r="86" spans="1:9" x14ac:dyDescent="0.25">
      <c r="A86" s="1">
        <v>45011</v>
      </c>
      <c r="B86">
        <f t="shared" si="5"/>
        <v>7</v>
      </c>
      <c r="C86" t="s">
        <v>9</v>
      </c>
      <c r="D86">
        <f t="shared" si="8"/>
        <v>0</v>
      </c>
      <c r="E86">
        <f t="shared" si="9"/>
        <v>150</v>
      </c>
      <c r="F86">
        <f t="shared" si="6"/>
        <v>-150</v>
      </c>
      <c r="G86">
        <f>SUM($E$2:E86)</f>
        <v>9950</v>
      </c>
      <c r="H86">
        <f>SUM($D$2:D86)</f>
        <v>3960</v>
      </c>
      <c r="I86">
        <f t="shared" si="7"/>
        <v>0</v>
      </c>
    </row>
    <row r="87" spans="1:9" x14ac:dyDescent="0.25">
      <c r="A87" s="1">
        <v>45012</v>
      </c>
      <c r="B87">
        <f t="shared" si="5"/>
        <v>1</v>
      </c>
      <c r="C87" t="s">
        <v>9</v>
      </c>
      <c r="D87">
        <f t="shared" si="8"/>
        <v>150</v>
      </c>
      <c r="E87">
        <f t="shared" si="9"/>
        <v>0</v>
      </c>
      <c r="F87">
        <f t="shared" si="6"/>
        <v>150</v>
      </c>
      <c r="G87">
        <f>SUM($E$2:E87)</f>
        <v>9950</v>
      </c>
      <c r="H87">
        <f>SUM($D$2:D87)</f>
        <v>4110</v>
      </c>
      <c r="I87">
        <f t="shared" si="7"/>
        <v>0</v>
      </c>
    </row>
    <row r="88" spans="1:9" x14ac:dyDescent="0.25">
      <c r="A88" s="1">
        <v>45013</v>
      </c>
      <c r="B88">
        <f t="shared" si="5"/>
        <v>2</v>
      </c>
      <c r="C88" t="s">
        <v>9</v>
      </c>
      <c r="D88">
        <f t="shared" si="8"/>
        <v>150</v>
      </c>
      <c r="E88">
        <f t="shared" si="9"/>
        <v>0</v>
      </c>
      <c r="F88">
        <f t="shared" si="6"/>
        <v>150</v>
      </c>
      <c r="G88">
        <f>SUM($E$2:E88)</f>
        <v>9950</v>
      </c>
      <c r="H88">
        <f>SUM($D$2:D88)</f>
        <v>4260</v>
      </c>
      <c r="I88">
        <f t="shared" si="7"/>
        <v>0</v>
      </c>
    </row>
    <row r="89" spans="1:9" x14ac:dyDescent="0.25">
      <c r="A89" s="1">
        <v>45014</v>
      </c>
      <c r="B89">
        <f t="shared" si="5"/>
        <v>3</v>
      </c>
      <c r="C89" t="s">
        <v>9</v>
      </c>
      <c r="D89">
        <f t="shared" si="8"/>
        <v>150</v>
      </c>
      <c r="E89">
        <f t="shared" si="9"/>
        <v>0</v>
      </c>
      <c r="F89">
        <f t="shared" si="6"/>
        <v>150</v>
      </c>
      <c r="G89">
        <f>SUM($E$2:E89)</f>
        <v>9950</v>
      </c>
      <c r="H89">
        <f>SUM($D$2:D89)</f>
        <v>4410</v>
      </c>
      <c r="I89">
        <f t="shared" si="7"/>
        <v>0</v>
      </c>
    </row>
    <row r="90" spans="1:9" x14ac:dyDescent="0.25">
      <c r="A90" s="1">
        <v>45015</v>
      </c>
      <c r="B90">
        <f t="shared" si="5"/>
        <v>4</v>
      </c>
      <c r="C90" t="s">
        <v>9</v>
      </c>
      <c r="D90">
        <f t="shared" si="8"/>
        <v>150</v>
      </c>
      <c r="E90">
        <f t="shared" si="9"/>
        <v>0</v>
      </c>
      <c r="F90">
        <f t="shared" si="6"/>
        <v>150</v>
      </c>
      <c r="G90">
        <f>SUM($E$2:E90)</f>
        <v>9950</v>
      </c>
      <c r="H90">
        <f>SUM($D$2:D90)</f>
        <v>4560</v>
      </c>
      <c r="I90">
        <f t="shared" si="7"/>
        <v>0</v>
      </c>
    </row>
    <row r="91" spans="1:9" x14ac:dyDescent="0.25">
      <c r="A91" s="1">
        <v>45016</v>
      </c>
      <c r="B91">
        <f t="shared" si="5"/>
        <v>5</v>
      </c>
      <c r="C91" t="s">
        <v>9</v>
      </c>
      <c r="D91">
        <f t="shared" si="8"/>
        <v>150</v>
      </c>
      <c r="E91">
        <f t="shared" si="9"/>
        <v>0</v>
      </c>
      <c r="F91">
        <f t="shared" si="6"/>
        <v>150</v>
      </c>
      <c r="G91">
        <f>SUM($E$2:E91)</f>
        <v>9950</v>
      </c>
      <c r="H91">
        <f>SUM($D$2:D91)</f>
        <v>4710</v>
      </c>
      <c r="I91">
        <f t="shared" si="7"/>
        <v>0</v>
      </c>
    </row>
    <row r="92" spans="1:9" x14ac:dyDescent="0.25">
      <c r="A92" s="1">
        <v>45017</v>
      </c>
      <c r="B92">
        <f t="shared" si="5"/>
        <v>6</v>
      </c>
      <c r="C92" t="s">
        <v>9</v>
      </c>
      <c r="D92">
        <f t="shared" si="8"/>
        <v>0</v>
      </c>
      <c r="E92">
        <f t="shared" si="9"/>
        <v>0</v>
      </c>
      <c r="F92">
        <f t="shared" si="6"/>
        <v>0</v>
      </c>
      <c r="G92">
        <f>SUM($E$2:E92)</f>
        <v>9950</v>
      </c>
      <c r="H92">
        <f>SUM($D$2:D92)</f>
        <v>4710</v>
      </c>
      <c r="I92">
        <f t="shared" si="7"/>
        <v>0</v>
      </c>
    </row>
    <row r="93" spans="1:9" x14ac:dyDescent="0.25">
      <c r="A93" s="1">
        <v>45018</v>
      </c>
      <c r="B93">
        <f t="shared" si="5"/>
        <v>7</v>
      </c>
      <c r="C93" t="s">
        <v>9</v>
      </c>
      <c r="D93">
        <f t="shared" si="8"/>
        <v>0</v>
      </c>
      <c r="E93">
        <f t="shared" si="9"/>
        <v>150</v>
      </c>
      <c r="F93">
        <f t="shared" si="6"/>
        <v>-150</v>
      </c>
      <c r="G93">
        <f>SUM($E$2:E93)</f>
        <v>10100</v>
      </c>
      <c r="H93">
        <f>SUM($D$2:D93)</f>
        <v>4710</v>
      </c>
      <c r="I93">
        <f t="shared" si="7"/>
        <v>0</v>
      </c>
    </row>
    <row r="94" spans="1:9" x14ac:dyDescent="0.25">
      <c r="A94" s="1">
        <v>45019</v>
      </c>
      <c r="B94">
        <f t="shared" si="5"/>
        <v>1</v>
      </c>
      <c r="C94" t="s">
        <v>9</v>
      </c>
      <c r="D94">
        <f t="shared" si="8"/>
        <v>150</v>
      </c>
      <c r="E94">
        <f t="shared" si="9"/>
        <v>0</v>
      </c>
      <c r="F94">
        <f t="shared" si="6"/>
        <v>150</v>
      </c>
      <c r="G94">
        <f>SUM($E$2:E94)</f>
        <v>10100</v>
      </c>
      <c r="H94">
        <f>SUM($D$2:D94)</f>
        <v>4860</v>
      </c>
      <c r="I94">
        <f t="shared" si="7"/>
        <v>0</v>
      </c>
    </row>
    <row r="95" spans="1:9" x14ac:dyDescent="0.25">
      <c r="A95" s="1">
        <v>45020</v>
      </c>
      <c r="B95">
        <f t="shared" si="5"/>
        <v>2</v>
      </c>
      <c r="C95" t="s">
        <v>9</v>
      </c>
      <c r="D95">
        <f t="shared" si="8"/>
        <v>150</v>
      </c>
      <c r="E95">
        <f t="shared" si="9"/>
        <v>0</v>
      </c>
      <c r="F95">
        <f t="shared" si="6"/>
        <v>150</v>
      </c>
      <c r="G95">
        <f>SUM($E$2:E95)</f>
        <v>10100</v>
      </c>
      <c r="H95">
        <f>SUM($D$2:D95)</f>
        <v>5010</v>
      </c>
      <c r="I95">
        <f t="shared" si="7"/>
        <v>0</v>
      </c>
    </row>
    <row r="96" spans="1:9" x14ac:dyDescent="0.25">
      <c r="A96" s="1">
        <v>45021</v>
      </c>
      <c r="B96">
        <f t="shared" si="5"/>
        <v>3</v>
      </c>
      <c r="C96" t="s">
        <v>9</v>
      </c>
      <c r="D96">
        <f t="shared" si="8"/>
        <v>150</v>
      </c>
      <c r="E96">
        <f t="shared" si="9"/>
        <v>0</v>
      </c>
      <c r="F96">
        <f t="shared" si="6"/>
        <v>150</v>
      </c>
      <c r="G96">
        <f>SUM($E$2:E96)</f>
        <v>10100</v>
      </c>
      <c r="H96">
        <f>SUM($D$2:D96)</f>
        <v>5160</v>
      </c>
      <c r="I96">
        <f t="shared" si="7"/>
        <v>0</v>
      </c>
    </row>
    <row r="97" spans="1:9" x14ac:dyDescent="0.25">
      <c r="A97" s="1">
        <v>45022</v>
      </c>
      <c r="B97">
        <f t="shared" si="5"/>
        <v>4</v>
      </c>
      <c r="C97" t="s">
        <v>9</v>
      </c>
      <c r="D97">
        <f t="shared" si="8"/>
        <v>150</v>
      </c>
      <c r="E97">
        <f t="shared" si="9"/>
        <v>0</v>
      </c>
      <c r="F97">
        <f t="shared" si="6"/>
        <v>150</v>
      </c>
      <c r="G97">
        <f>SUM($E$2:E97)</f>
        <v>10100</v>
      </c>
      <c r="H97">
        <f>SUM($D$2:D97)</f>
        <v>5310</v>
      </c>
      <c r="I97">
        <f t="shared" si="7"/>
        <v>0</v>
      </c>
    </row>
    <row r="98" spans="1:9" x14ac:dyDescent="0.25">
      <c r="A98" s="1">
        <v>45023</v>
      </c>
      <c r="B98">
        <f t="shared" si="5"/>
        <v>5</v>
      </c>
      <c r="C98" t="s">
        <v>9</v>
      </c>
      <c r="D98">
        <f t="shared" si="8"/>
        <v>150</v>
      </c>
      <c r="E98">
        <f t="shared" si="9"/>
        <v>0</v>
      </c>
      <c r="F98">
        <f t="shared" si="6"/>
        <v>150</v>
      </c>
      <c r="G98">
        <f>SUM($E$2:E98)</f>
        <v>10100</v>
      </c>
      <c r="H98">
        <f>SUM($D$2:D98)</f>
        <v>5460</v>
      </c>
      <c r="I98">
        <f t="shared" si="7"/>
        <v>0</v>
      </c>
    </row>
    <row r="99" spans="1:9" x14ac:dyDescent="0.25">
      <c r="A99" s="1">
        <v>45024</v>
      </c>
      <c r="B99">
        <f t="shared" si="5"/>
        <v>6</v>
      </c>
      <c r="C99" t="s">
        <v>9</v>
      </c>
      <c r="D99">
        <f t="shared" si="8"/>
        <v>0</v>
      </c>
      <c r="E99">
        <f t="shared" si="9"/>
        <v>0</v>
      </c>
      <c r="F99">
        <f t="shared" si="6"/>
        <v>0</v>
      </c>
      <c r="G99">
        <f>SUM($E$2:E99)</f>
        <v>10100</v>
      </c>
      <c r="H99">
        <f>SUM($D$2:D99)</f>
        <v>5460</v>
      </c>
      <c r="I99">
        <f t="shared" si="7"/>
        <v>0</v>
      </c>
    </row>
    <row r="100" spans="1:9" x14ac:dyDescent="0.25">
      <c r="A100" s="1">
        <v>45025</v>
      </c>
      <c r="B100">
        <f t="shared" si="5"/>
        <v>7</v>
      </c>
      <c r="C100" t="s">
        <v>9</v>
      </c>
      <c r="D100">
        <f t="shared" si="8"/>
        <v>0</v>
      </c>
      <c r="E100">
        <f t="shared" si="9"/>
        <v>150</v>
      </c>
      <c r="F100">
        <f t="shared" si="6"/>
        <v>-150</v>
      </c>
      <c r="G100">
        <f>SUM($E$2:E100)</f>
        <v>10250</v>
      </c>
      <c r="H100">
        <f>SUM($D$2:D100)</f>
        <v>5460</v>
      </c>
      <c r="I100">
        <f t="shared" si="7"/>
        <v>0</v>
      </c>
    </row>
    <row r="101" spans="1:9" x14ac:dyDescent="0.25">
      <c r="A101" s="1">
        <v>45026</v>
      </c>
      <c r="B101">
        <f t="shared" si="5"/>
        <v>1</v>
      </c>
      <c r="C101" t="s">
        <v>9</v>
      </c>
      <c r="D101">
        <f t="shared" si="8"/>
        <v>150</v>
      </c>
      <c r="E101">
        <f t="shared" si="9"/>
        <v>0</v>
      </c>
      <c r="F101">
        <f t="shared" si="6"/>
        <v>150</v>
      </c>
      <c r="G101">
        <f>SUM($E$2:E101)</f>
        <v>10250</v>
      </c>
      <c r="H101">
        <f>SUM($D$2:D101)</f>
        <v>5610</v>
      </c>
      <c r="I101">
        <f t="shared" si="7"/>
        <v>0</v>
      </c>
    </row>
    <row r="102" spans="1:9" x14ac:dyDescent="0.25">
      <c r="A102" s="1">
        <v>45027</v>
      </c>
      <c r="B102">
        <f t="shared" si="5"/>
        <v>2</v>
      </c>
      <c r="C102" t="s">
        <v>9</v>
      </c>
      <c r="D102">
        <f t="shared" si="8"/>
        <v>150</v>
      </c>
      <c r="E102">
        <f t="shared" si="9"/>
        <v>0</v>
      </c>
      <c r="F102">
        <f t="shared" si="6"/>
        <v>150</v>
      </c>
      <c r="G102">
        <f>SUM($E$2:E102)</f>
        <v>10250</v>
      </c>
      <c r="H102">
        <f>SUM($D$2:D102)</f>
        <v>5760</v>
      </c>
      <c r="I102">
        <f t="shared" si="7"/>
        <v>0</v>
      </c>
    </row>
    <row r="103" spans="1:9" x14ac:dyDescent="0.25">
      <c r="A103" s="1">
        <v>45028</v>
      </c>
      <c r="B103">
        <f t="shared" si="5"/>
        <v>3</v>
      </c>
      <c r="C103" t="s">
        <v>9</v>
      </c>
      <c r="D103">
        <f t="shared" si="8"/>
        <v>150</v>
      </c>
      <c r="E103">
        <f t="shared" si="9"/>
        <v>0</v>
      </c>
      <c r="F103">
        <f t="shared" si="6"/>
        <v>150</v>
      </c>
      <c r="G103">
        <f>SUM($E$2:E103)</f>
        <v>10250</v>
      </c>
      <c r="H103">
        <f>SUM($D$2:D103)</f>
        <v>5910</v>
      </c>
      <c r="I103">
        <f t="shared" si="7"/>
        <v>0</v>
      </c>
    </row>
    <row r="104" spans="1:9" x14ac:dyDescent="0.25">
      <c r="A104" s="1">
        <v>45029</v>
      </c>
      <c r="B104">
        <f t="shared" si="5"/>
        <v>4</v>
      </c>
      <c r="C104" t="s">
        <v>9</v>
      </c>
      <c r="D104">
        <f t="shared" si="8"/>
        <v>150</v>
      </c>
      <c r="E104">
        <f t="shared" si="9"/>
        <v>0</v>
      </c>
      <c r="F104">
        <f t="shared" si="6"/>
        <v>150</v>
      </c>
      <c r="G104">
        <f>SUM($E$2:E104)</f>
        <v>10250</v>
      </c>
      <c r="H104">
        <f>SUM($D$2:D104)</f>
        <v>6060</v>
      </c>
      <c r="I104">
        <f t="shared" si="7"/>
        <v>0</v>
      </c>
    </row>
    <row r="105" spans="1:9" x14ac:dyDescent="0.25">
      <c r="A105" s="1">
        <v>45030</v>
      </c>
      <c r="B105">
        <f t="shared" si="5"/>
        <v>5</v>
      </c>
      <c r="C105" t="s">
        <v>9</v>
      </c>
      <c r="D105">
        <f t="shared" si="8"/>
        <v>150</v>
      </c>
      <c r="E105">
        <f t="shared" si="9"/>
        <v>0</v>
      </c>
      <c r="F105">
        <f t="shared" si="6"/>
        <v>150</v>
      </c>
      <c r="G105">
        <f>SUM($E$2:E105)</f>
        <v>10250</v>
      </c>
      <c r="H105">
        <f>SUM($D$2:D105)</f>
        <v>6210</v>
      </c>
      <c r="I105">
        <f t="shared" si="7"/>
        <v>0</v>
      </c>
    </row>
    <row r="106" spans="1:9" x14ac:dyDescent="0.25">
      <c r="A106" s="1">
        <v>45031</v>
      </c>
      <c r="B106">
        <f t="shared" si="5"/>
        <v>6</v>
      </c>
      <c r="C106" t="s">
        <v>9</v>
      </c>
      <c r="D106">
        <f t="shared" si="8"/>
        <v>0</v>
      </c>
      <c r="E106">
        <f t="shared" si="9"/>
        <v>0</v>
      </c>
      <c r="F106">
        <f t="shared" si="6"/>
        <v>0</v>
      </c>
      <c r="G106">
        <f>SUM($E$2:E106)</f>
        <v>10250</v>
      </c>
      <c r="H106">
        <f>SUM($D$2:D106)</f>
        <v>6210</v>
      </c>
      <c r="I106">
        <f t="shared" si="7"/>
        <v>0</v>
      </c>
    </row>
    <row r="107" spans="1:9" x14ac:dyDescent="0.25">
      <c r="A107" s="1">
        <v>45032</v>
      </c>
      <c r="B107">
        <f t="shared" si="5"/>
        <v>7</v>
      </c>
      <c r="C107" t="s">
        <v>9</v>
      </c>
      <c r="D107">
        <f t="shared" si="8"/>
        <v>0</v>
      </c>
      <c r="E107">
        <f t="shared" si="9"/>
        <v>150</v>
      </c>
      <c r="F107">
        <f t="shared" si="6"/>
        <v>-150</v>
      </c>
      <c r="G107">
        <f>SUM($E$2:E107)</f>
        <v>10400</v>
      </c>
      <c r="H107">
        <f>SUM($D$2:D107)</f>
        <v>6210</v>
      </c>
      <c r="I107">
        <f t="shared" si="7"/>
        <v>0</v>
      </c>
    </row>
    <row r="108" spans="1:9" x14ac:dyDescent="0.25">
      <c r="A108" s="1">
        <v>45033</v>
      </c>
      <c r="B108">
        <f t="shared" si="5"/>
        <v>1</v>
      </c>
      <c r="C108" t="s">
        <v>9</v>
      </c>
      <c r="D108">
        <f t="shared" si="8"/>
        <v>150</v>
      </c>
      <c r="E108">
        <f t="shared" si="9"/>
        <v>0</v>
      </c>
      <c r="F108">
        <f t="shared" si="6"/>
        <v>150</v>
      </c>
      <c r="G108">
        <f>SUM($E$2:E108)</f>
        <v>10400</v>
      </c>
      <c r="H108">
        <f>SUM($D$2:D108)</f>
        <v>6360</v>
      </c>
      <c r="I108">
        <f t="shared" si="7"/>
        <v>0</v>
      </c>
    </row>
    <row r="109" spans="1:9" x14ac:dyDescent="0.25">
      <c r="A109" s="1">
        <v>45034</v>
      </c>
      <c r="B109">
        <f t="shared" si="5"/>
        <v>2</v>
      </c>
      <c r="C109" t="s">
        <v>9</v>
      </c>
      <c r="D109">
        <f t="shared" si="8"/>
        <v>150</v>
      </c>
      <c r="E109">
        <f t="shared" si="9"/>
        <v>0</v>
      </c>
      <c r="F109">
        <f t="shared" si="6"/>
        <v>150</v>
      </c>
      <c r="G109">
        <f>SUM($E$2:E109)</f>
        <v>10400</v>
      </c>
      <c r="H109">
        <f>SUM($D$2:D109)</f>
        <v>6510</v>
      </c>
      <c r="I109">
        <f t="shared" si="7"/>
        <v>0</v>
      </c>
    </row>
    <row r="110" spans="1:9" x14ac:dyDescent="0.25">
      <c r="A110" s="1">
        <v>45035</v>
      </c>
      <c r="B110">
        <f t="shared" si="5"/>
        <v>3</v>
      </c>
      <c r="C110" t="s">
        <v>9</v>
      </c>
      <c r="D110">
        <f t="shared" si="8"/>
        <v>150</v>
      </c>
      <c r="E110">
        <f t="shared" si="9"/>
        <v>0</v>
      </c>
      <c r="F110">
        <f t="shared" si="6"/>
        <v>150</v>
      </c>
      <c r="G110">
        <f>SUM($E$2:E110)</f>
        <v>10400</v>
      </c>
      <c r="H110">
        <f>SUM($D$2:D110)</f>
        <v>6660</v>
      </c>
      <c r="I110">
        <f t="shared" si="7"/>
        <v>0</v>
      </c>
    </row>
    <row r="111" spans="1:9" x14ac:dyDescent="0.25">
      <c r="A111" s="1">
        <v>45036</v>
      </c>
      <c r="B111">
        <f t="shared" si="5"/>
        <v>4</v>
      </c>
      <c r="C111" t="s">
        <v>9</v>
      </c>
      <c r="D111">
        <f t="shared" si="8"/>
        <v>150</v>
      </c>
      <c r="E111">
        <f t="shared" si="9"/>
        <v>0</v>
      </c>
      <c r="F111">
        <f t="shared" si="6"/>
        <v>150</v>
      </c>
      <c r="G111">
        <f>SUM($E$2:E111)</f>
        <v>10400</v>
      </c>
      <c r="H111">
        <f>SUM($D$2:D111)</f>
        <v>6810</v>
      </c>
      <c r="I111">
        <f t="shared" si="7"/>
        <v>0</v>
      </c>
    </row>
    <row r="112" spans="1:9" x14ac:dyDescent="0.25">
      <c r="A112" s="1">
        <v>45037</v>
      </c>
      <c r="B112">
        <f t="shared" si="5"/>
        <v>5</v>
      </c>
      <c r="C112" t="s">
        <v>9</v>
      </c>
      <c r="D112">
        <f t="shared" si="8"/>
        <v>150</v>
      </c>
      <c r="E112">
        <f t="shared" si="9"/>
        <v>0</v>
      </c>
      <c r="F112">
        <f t="shared" si="6"/>
        <v>150</v>
      </c>
      <c r="G112">
        <f>SUM($E$2:E112)</f>
        <v>10400</v>
      </c>
      <c r="H112">
        <f>SUM($D$2:D112)</f>
        <v>6960</v>
      </c>
      <c r="I112">
        <f t="shared" si="7"/>
        <v>0</v>
      </c>
    </row>
    <row r="113" spans="1:9" x14ac:dyDescent="0.25">
      <c r="A113" s="1">
        <v>45038</v>
      </c>
      <c r="B113">
        <f t="shared" si="5"/>
        <v>6</v>
      </c>
      <c r="C113" t="s">
        <v>9</v>
      </c>
      <c r="D113">
        <f t="shared" si="8"/>
        <v>0</v>
      </c>
      <c r="E113">
        <f t="shared" si="9"/>
        <v>0</v>
      </c>
      <c r="F113">
        <f t="shared" si="6"/>
        <v>0</v>
      </c>
      <c r="G113">
        <f>SUM($E$2:E113)</f>
        <v>10400</v>
      </c>
      <c r="H113">
        <f>SUM($D$2:D113)</f>
        <v>6960</v>
      </c>
      <c r="I113">
        <f t="shared" si="7"/>
        <v>0</v>
      </c>
    </row>
    <row r="114" spans="1:9" x14ac:dyDescent="0.25">
      <c r="A114" s="1">
        <v>45039</v>
      </c>
      <c r="B114">
        <f t="shared" si="5"/>
        <v>7</v>
      </c>
      <c r="C114" t="s">
        <v>9</v>
      </c>
      <c r="D114">
        <f t="shared" si="8"/>
        <v>0</v>
      </c>
      <c r="E114">
        <f t="shared" si="9"/>
        <v>150</v>
      </c>
      <c r="F114">
        <f t="shared" si="6"/>
        <v>-150</v>
      </c>
      <c r="G114">
        <f>SUM($E$2:E114)</f>
        <v>10550</v>
      </c>
      <c r="H114">
        <f>SUM($D$2:D114)</f>
        <v>6960</v>
      </c>
      <c r="I114">
        <f t="shared" si="7"/>
        <v>0</v>
      </c>
    </row>
    <row r="115" spans="1:9" x14ac:dyDescent="0.25">
      <c r="A115" s="1">
        <v>45040</v>
      </c>
      <c r="B115">
        <f t="shared" si="5"/>
        <v>1</v>
      </c>
      <c r="C115" t="s">
        <v>9</v>
      </c>
      <c r="D115">
        <f t="shared" si="8"/>
        <v>150</v>
      </c>
      <c r="E115">
        <f t="shared" si="9"/>
        <v>0</v>
      </c>
      <c r="F115">
        <f t="shared" si="6"/>
        <v>150</v>
      </c>
      <c r="G115">
        <f>SUM($E$2:E115)</f>
        <v>10550</v>
      </c>
      <c r="H115">
        <f>SUM($D$2:D115)</f>
        <v>7110</v>
      </c>
      <c r="I115">
        <f t="shared" si="7"/>
        <v>0</v>
      </c>
    </row>
    <row r="116" spans="1:9" x14ac:dyDescent="0.25">
      <c r="A116" s="1">
        <v>45041</v>
      </c>
      <c r="B116">
        <f t="shared" si="5"/>
        <v>2</v>
      </c>
      <c r="C116" t="s">
        <v>9</v>
      </c>
      <c r="D116">
        <f t="shared" si="8"/>
        <v>150</v>
      </c>
      <c r="E116">
        <f t="shared" si="9"/>
        <v>0</v>
      </c>
      <c r="F116">
        <f t="shared" si="6"/>
        <v>150</v>
      </c>
      <c r="G116">
        <f>SUM($E$2:E116)</f>
        <v>10550</v>
      </c>
      <c r="H116">
        <f>SUM($D$2:D116)</f>
        <v>7260</v>
      </c>
      <c r="I116">
        <f t="shared" si="7"/>
        <v>0</v>
      </c>
    </row>
    <row r="117" spans="1:9" x14ac:dyDescent="0.25">
      <c r="A117" s="1">
        <v>45042</v>
      </c>
      <c r="B117">
        <f t="shared" si="5"/>
        <v>3</v>
      </c>
      <c r="C117" t="s">
        <v>9</v>
      </c>
      <c r="D117">
        <f t="shared" si="8"/>
        <v>150</v>
      </c>
      <c r="E117">
        <f t="shared" si="9"/>
        <v>0</v>
      </c>
      <c r="F117">
        <f t="shared" si="6"/>
        <v>150</v>
      </c>
      <c r="G117">
        <f>SUM($E$2:E117)</f>
        <v>10550</v>
      </c>
      <c r="H117">
        <f>SUM($D$2:D117)</f>
        <v>7410</v>
      </c>
      <c r="I117">
        <f t="shared" si="7"/>
        <v>0</v>
      </c>
    </row>
    <row r="118" spans="1:9" x14ac:dyDescent="0.25">
      <c r="A118" s="1">
        <v>45043</v>
      </c>
      <c r="B118">
        <f t="shared" si="5"/>
        <v>4</v>
      </c>
      <c r="C118" t="s">
        <v>9</v>
      </c>
      <c r="D118">
        <f t="shared" si="8"/>
        <v>150</v>
      </c>
      <c r="E118">
        <f t="shared" si="9"/>
        <v>0</v>
      </c>
      <c r="F118">
        <f t="shared" si="6"/>
        <v>150</v>
      </c>
      <c r="G118">
        <f>SUM($E$2:E118)</f>
        <v>10550</v>
      </c>
      <c r="H118">
        <f>SUM($D$2:D118)</f>
        <v>7560</v>
      </c>
      <c r="I118">
        <f t="shared" si="7"/>
        <v>0</v>
      </c>
    </row>
    <row r="119" spans="1:9" x14ac:dyDescent="0.25">
      <c r="A119" s="1">
        <v>45044</v>
      </c>
      <c r="B119">
        <f t="shared" si="5"/>
        <v>5</v>
      </c>
      <c r="C119" t="s">
        <v>9</v>
      </c>
      <c r="D119">
        <f t="shared" si="8"/>
        <v>150</v>
      </c>
      <c r="E119">
        <f t="shared" si="9"/>
        <v>0</v>
      </c>
      <c r="F119">
        <f t="shared" si="6"/>
        <v>150</v>
      </c>
      <c r="G119">
        <f>SUM($E$2:E119)</f>
        <v>10550</v>
      </c>
      <c r="H119">
        <f>SUM($D$2:D119)</f>
        <v>7710</v>
      </c>
      <c r="I119">
        <f t="shared" si="7"/>
        <v>0</v>
      </c>
    </row>
    <row r="120" spans="1:9" x14ac:dyDescent="0.25">
      <c r="A120" s="1">
        <v>45045</v>
      </c>
      <c r="B120">
        <f t="shared" si="5"/>
        <v>6</v>
      </c>
      <c r="C120" t="s">
        <v>9</v>
      </c>
      <c r="D120">
        <f t="shared" si="8"/>
        <v>0</v>
      </c>
      <c r="E120">
        <f t="shared" si="9"/>
        <v>0</v>
      </c>
      <c r="F120">
        <f t="shared" si="6"/>
        <v>0</v>
      </c>
      <c r="G120">
        <f>SUM($E$2:E120)</f>
        <v>10550</v>
      </c>
      <c r="H120">
        <f>SUM($D$2:D120)</f>
        <v>7710</v>
      </c>
      <c r="I120">
        <f t="shared" si="7"/>
        <v>0</v>
      </c>
    </row>
    <row r="121" spans="1:9" x14ac:dyDescent="0.25">
      <c r="A121" s="1">
        <v>45046</v>
      </c>
      <c r="B121">
        <f t="shared" si="5"/>
        <v>7</v>
      </c>
      <c r="C121" t="s">
        <v>9</v>
      </c>
      <c r="D121">
        <f t="shared" si="8"/>
        <v>0</v>
      </c>
      <c r="E121">
        <f t="shared" si="9"/>
        <v>150</v>
      </c>
      <c r="F121">
        <f t="shared" si="6"/>
        <v>-150</v>
      </c>
      <c r="G121">
        <f>SUM($E$2:E121)</f>
        <v>10700</v>
      </c>
      <c r="H121">
        <f>SUM($D$2:D121)</f>
        <v>7710</v>
      </c>
      <c r="I121">
        <f t="shared" si="7"/>
        <v>0</v>
      </c>
    </row>
    <row r="122" spans="1:9" x14ac:dyDescent="0.25">
      <c r="A122" s="1">
        <v>45047</v>
      </c>
      <c r="B122">
        <f t="shared" si="5"/>
        <v>1</v>
      </c>
      <c r="C122" t="s">
        <v>9</v>
      </c>
      <c r="D122">
        <f t="shared" si="8"/>
        <v>150</v>
      </c>
      <c r="E122">
        <f t="shared" si="9"/>
        <v>0</v>
      </c>
      <c r="F122">
        <f t="shared" si="6"/>
        <v>150</v>
      </c>
      <c r="G122">
        <f>SUM($E$2:E122)</f>
        <v>10700</v>
      </c>
      <c r="H122">
        <f>SUM($D$2:D122)</f>
        <v>7860</v>
      </c>
      <c r="I122">
        <f t="shared" si="7"/>
        <v>0</v>
      </c>
    </row>
    <row r="123" spans="1:9" x14ac:dyDescent="0.25">
      <c r="A123" s="1">
        <v>45048</v>
      </c>
      <c r="B123">
        <f t="shared" si="5"/>
        <v>2</v>
      </c>
      <c r="C123" t="s">
        <v>9</v>
      </c>
      <c r="D123">
        <f t="shared" si="8"/>
        <v>150</v>
      </c>
      <c r="E123">
        <f t="shared" si="9"/>
        <v>0</v>
      </c>
      <c r="F123">
        <f t="shared" si="6"/>
        <v>150</v>
      </c>
      <c r="G123">
        <f>SUM($E$2:E123)</f>
        <v>10700</v>
      </c>
      <c r="H123">
        <f>SUM($D$2:D123)</f>
        <v>8010</v>
      </c>
      <c r="I123">
        <f t="shared" si="7"/>
        <v>0</v>
      </c>
    </row>
    <row r="124" spans="1:9" x14ac:dyDescent="0.25">
      <c r="A124" s="1">
        <v>45049</v>
      </c>
      <c r="B124">
        <f t="shared" si="5"/>
        <v>3</v>
      </c>
      <c r="C124" t="s">
        <v>9</v>
      </c>
      <c r="D124">
        <f t="shared" si="8"/>
        <v>150</v>
      </c>
      <c r="E124">
        <f t="shared" si="9"/>
        <v>0</v>
      </c>
      <c r="F124">
        <f t="shared" si="6"/>
        <v>150</v>
      </c>
      <c r="G124">
        <f>SUM($E$2:E124)</f>
        <v>10700</v>
      </c>
      <c r="H124">
        <f>SUM($D$2:D124)</f>
        <v>8160</v>
      </c>
      <c r="I124">
        <f t="shared" si="7"/>
        <v>0</v>
      </c>
    </row>
    <row r="125" spans="1:9" x14ac:dyDescent="0.25">
      <c r="A125" s="1">
        <v>45050</v>
      </c>
      <c r="B125">
        <f t="shared" si="5"/>
        <v>4</v>
      </c>
      <c r="C125" t="s">
        <v>9</v>
      </c>
      <c r="D125">
        <f t="shared" si="8"/>
        <v>150</v>
      </c>
      <c r="E125">
        <f t="shared" si="9"/>
        <v>0</v>
      </c>
      <c r="F125">
        <f t="shared" si="6"/>
        <v>150</v>
      </c>
      <c r="G125">
        <f>SUM($E$2:E125)</f>
        <v>10700</v>
      </c>
      <c r="H125">
        <f>SUM($D$2:D125)</f>
        <v>8310</v>
      </c>
      <c r="I125">
        <f t="shared" si="7"/>
        <v>0</v>
      </c>
    </row>
    <row r="126" spans="1:9" x14ac:dyDescent="0.25">
      <c r="A126" s="1">
        <v>45051</v>
      </c>
      <c r="B126">
        <f t="shared" si="5"/>
        <v>5</v>
      </c>
      <c r="C126" t="s">
        <v>9</v>
      </c>
      <c r="D126">
        <f t="shared" si="8"/>
        <v>150</v>
      </c>
      <c r="E126">
        <f t="shared" si="9"/>
        <v>0</v>
      </c>
      <c r="F126">
        <f t="shared" si="6"/>
        <v>150</v>
      </c>
      <c r="G126">
        <f>SUM($E$2:E126)</f>
        <v>10700</v>
      </c>
      <c r="H126">
        <f>SUM($D$2:D126)</f>
        <v>8460</v>
      </c>
      <c r="I126">
        <f t="shared" si="7"/>
        <v>0</v>
      </c>
    </row>
    <row r="127" spans="1:9" x14ac:dyDescent="0.25">
      <c r="A127" s="1">
        <v>45052</v>
      </c>
      <c r="B127">
        <f t="shared" si="5"/>
        <v>6</v>
      </c>
      <c r="C127" t="s">
        <v>9</v>
      </c>
      <c r="D127">
        <f t="shared" si="8"/>
        <v>0</v>
      </c>
      <c r="E127">
        <f t="shared" si="9"/>
        <v>0</v>
      </c>
      <c r="F127">
        <f t="shared" si="6"/>
        <v>0</v>
      </c>
      <c r="G127">
        <f>SUM($E$2:E127)</f>
        <v>10700</v>
      </c>
      <c r="H127">
        <f>SUM($D$2:D127)</f>
        <v>8460</v>
      </c>
      <c r="I127">
        <f t="shared" si="7"/>
        <v>0</v>
      </c>
    </row>
    <row r="128" spans="1:9" x14ac:dyDescent="0.25">
      <c r="A128" s="1">
        <v>45053</v>
      </c>
      <c r="B128">
        <f t="shared" si="5"/>
        <v>7</v>
      </c>
      <c r="C128" t="s">
        <v>9</v>
      </c>
      <c r="D128">
        <f t="shared" si="8"/>
        <v>0</v>
      </c>
      <c r="E128">
        <f t="shared" si="9"/>
        <v>150</v>
      </c>
      <c r="F128">
        <f t="shared" si="6"/>
        <v>-150</v>
      </c>
      <c r="G128">
        <f>SUM($E$2:E128)</f>
        <v>10850</v>
      </c>
      <c r="H128">
        <f>SUM($D$2:D128)</f>
        <v>8460</v>
      </c>
      <c r="I128">
        <f t="shared" si="7"/>
        <v>0</v>
      </c>
    </row>
    <row r="129" spans="1:9" x14ac:dyDescent="0.25">
      <c r="A129" s="1">
        <v>45054</v>
      </c>
      <c r="B129">
        <f t="shared" si="5"/>
        <v>1</v>
      </c>
      <c r="C129" t="s">
        <v>9</v>
      </c>
      <c r="D129">
        <f t="shared" si="8"/>
        <v>150</v>
      </c>
      <c r="E129">
        <f t="shared" si="9"/>
        <v>0</v>
      </c>
      <c r="F129">
        <f t="shared" si="6"/>
        <v>150</v>
      </c>
      <c r="G129">
        <f>SUM($E$2:E129)</f>
        <v>10850</v>
      </c>
      <c r="H129">
        <f>SUM($D$2:D129)</f>
        <v>8610</v>
      </c>
      <c r="I129">
        <f t="shared" si="7"/>
        <v>0</v>
      </c>
    </row>
    <row r="130" spans="1:9" x14ac:dyDescent="0.25">
      <c r="A130" s="1">
        <v>45055</v>
      </c>
      <c r="B130">
        <f t="shared" si="5"/>
        <v>2</v>
      </c>
      <c r="C130" t="s">
        <v>9</v>
      </c>
      <c r="D130">
        <f t="shared" si="8"/>
        <v>150</v>
      </c>
      <c r="E130">
        <f t="shared" si="9"/>
        <v>0</v>
      </c>
      <c r="F130">
        <f t="shared" si="6"/>
        <v>150</v>
      </c>
      <c r="G130">
        <f>SUM($E$2:E130)</f>
        <v>10850</v>
      </c>
      <c r="H130">
        <f>SUM($D$2:D130)</f>
        <v>8760</v>
      </c>
      <c r="I130">
        <f t="shared" si="7"/>
        <v>0</v>
      </c>
    </row>
    <row r="131" spans="1:9" x14ac:dyDescent="0.25">
      <c r="A131" s="1">
        <v>45056</v>
      </c>
      <c r="B131">
        <f t="shared" ref="B131:B194" si="10">WEEKDAY(A131,2)</f>
        <v>3</v>
      </c>
      <c r="C131" t="s">
        <v>9</v>
      </c>
      <c r="D131">
        <f t="shared" si="8"/>
        <v>150</v>
      </c>
      <c r="E131">
        <f t="shared" si="9"/>
        <v>0</v>
      </c>
      <c r="F131">
        <f t="shared" ref="F131:F194" si="11">D131-E131</f>
        <v>150</v>
      </c>
      <c r="G131">
        <f>SUM($E$2:E131)</f>
        <v>10850</v>
      </c>
      <c r="H131">
        <f>SUM($D$2:D131)</f>
        <v>8910</v>
      </c>
      <c r="I131">
        <f t="shared" ref="I131:I194" si="12">IF(G131&lt;H131,1,0)</f>
        <v>0</v>
      </c>
    </row>
    <row r="132" spans="1:9" x14ac:dyDescent="0.25">
      <c r="A132" s="1">
        <v>45057</v>
      </c>
      <c r="B132">
        <f t="shared" si="10"/>
        <v>4</v>
      </c>
      <c r="C132" t="s">
        <v>9</v>
      </c>
      <c r="D132">
        <f t="shared" ref="D132:D195" si="13">IF(B132&lt;6,$Q$1*VLOOKUP(C132,$S$1:$T$5,2,FALSE)*$Q$3,0)</f>
        <v>150</v>
      </c>
      <c r="E132">
        <f t="shared" ref="E132:E195" si="14">IF(B132=7,$Q$4*$Q$1,0)</f>
        <v>0</v>
      </c>
      <c r="F132">
        <f t="shared" si="11"/>
        <v>150</v>
      </c>
      <c r="G132">
        <f>SUM($E$2:E132)</f>
        <v>10850</v>
      </c>
      <c r="H132">
        <f>SUM($D$2:D132)</f>
        <v>9060</v>
      </c>
      <c r="I132">
        <f t="shared" si="12"/>
        <v>0</v>
      </c>
    </row>
    <row r="133" spans="1:9" x14ac:dyDescent="0.25">
      <c r="A133" s="1">
        <v>45058</v>
      </c>
      <c r="B133">
        <f t="shared" si="10"/>
        <v>5</v>
      </c>
      <c r="C133" t="s">
        <v>9</v>
      </c>
      <c r="D133">
        <f t="shared" si="13"/>
        <v>150</v>
      </c>
      <c r="E133">
        <f t="shared" si="14"/>
        <v>0</v>
      </c>
      <c r="F133">
        <f t="shared" si="11"/>
        <v>150</v>
      </c>
      <c r="G133">
        <f>SUM($E$2:E133)</f>
        <v>10850</v>
      </c>
      <c r="H133">
        <f>SUM($D$2:D133)</f>
        <v>9210</v>
      </c>
      <c r="I133">
        <f t="shared" si="12"/>
        <v>0</v>
      </c>
    </row>
    <row r="134" spans="1:9" x14ac:dyDescent="0.25">
      <c r="A134" s="1">
        <v>45059</v>
      </c>
      <c r="B134">
        <f t="shared" si="10"/>
        <v>6</v>
      </c>
      <c r="C134" t="s">
        <v>9</v>
      </c>
      <c r="D134">
        <f t="shared" si="13"/>
        <v>0</v>
      </c>
      <c r="E134">
        <f t="shared" si="14"/>
        <v>0</v>
      </c>
      <c r="F134">
        <f t="shared" si="11"/>
        <v>0</v>
      </c>
      <c r="G134">
        <f>SUM($E$2:E134)</f>
        <v>10850</v>
      </c>
      <c r="H134">
        <f>SUM($D$2:D134)</f>
        <v>9210</v>
      </c>
      <c r="I134">
        <f t="shared" si="12"/>
        <v>0</v>
      </c>
    </row>
    <row r="135" spans="1:9" x14ac:dyDescent="0.25">
      <c r="A135" s="1">
        <v>45060</v>
      </c>
      <c r="B135">
        <f t="shared" si="10"/>
        <v>7</v>
      </c>
      <c r="C135" t="s">
        <v>9</v>
      </c>
      <c r="D135">
        <f t="shared" si="13"/>
        <v>0</v>
      </c>
      <c r="E135">
        <f t="shared" si="14"/>
        <v>150</v>
      </c>
      <c r="F135">
        <f t="shared" si="11"/>
        <v>-150</v>
      </c>
      <c r="G135">
        <f>SUM($E$2:E135)</f>
        <v>11000</v>
      </c>
      <c r="H135">
        <f>SUM($D$2:D135)</f>
        <v>9210</v>
      </c>
      <c r="I135">
        <f t="shared" si="12"/>
        <v>0</v>
      </c>
    </row>
    <row r="136" spans="1:9" x14ac:dyDescent="0.25">
      <c r="A136" s="1">
        <v>45061</v>
      </c>
      <c r="B136">
        <f t="shared" si="10"/>
        <v>1</v>
      </c>
      <c r="C136" t="s">
        <v>9</v>
      </c>
      <c r="D136">
        <f t="shared" si="13"/>
        <v>150</v>
      </c>
      <c r="E136">
        <f t="shared" si="14"/>
        <v>0</v>
      </c>
      <c r="F136">
        <f t="shared" si="11"/>
        <v>150</v>
      </c>
      <c r="G136">
        <f>SUM($E$2:E136)</f>
        <v>11000</v>
      </c>
      <c r="H136">
        <f>SUM($D$2:D136)</f>
        <v>9360</v>
      </c>
      <c r="I136">
        <f t="shared" si="12"/>
        <v>0</v>
      </c>
    </row>
    <row r="137" spans="1:9" x14ac:dyDescent="0.25">
      <c r="A137" s="1">
        <v>45062</v>
      </c>
      <c r="B137">
        <f t="shared" si="10"/>
        <v>2</v>
      </c>
      <c r="C137" t="s">
        <v>9</v>
      </c>
      <c r="D137">
        <f t="shared" si="13"/>
        <v>150</v>
      </c>
      <c r="E137">
        <f t="shared" si="14"/>
        <v>0</v>
      </c>
      <c r="F137">
        <f t="shared" si="11"/>
        <v>150</v>
      </c>
      <c r="G137">
        <f>SUM($E$2:E137)</f>
        <v>11000</v>
      </c>
      <c r="H137">
        <f>SUM($D$2:D137)</f>
        <v>9510</v>
      </c>
      <c r="I137">
        <f t="shared" si="12"/>
        <v>0</v>
      </c>
    </row>
    <row r="138" spans="1:9" x14ac:dyDescent="0.25">
      <c r="A138" s="1">
        <v>45063</v>
      </c>
      <c r="B138">
        <f t="shared" si="10"/>
        <v>3</v>
      </c>
      <c r="C138" t="s">
        <v>9</v>
      </c>
      <c r="D138">
        <f t="shared" si="13"/>
        <v>150</v>
      </c>
      <c r="E138">
        <f t="shared" si="14"/>
        <v>0</v>
      </c>
      <c r="F138">
        <f t="shared" si="11"/>
        <v>150</v>
      </c>
      <c r="G138">
        <f>SUM($E$2:E138)</f>
        <v>11000</v>
      </c>
      <c r="H138">
        <f>SUM($D$2:D138)</f>
        <v>9660</v>
      </c>
      <c r="I138">
        <f t="shared" si="12"/>
        <v>0</v>
      </c>
    </row>
    <row r="139" spans="1:9" x14ac:dyDescent="0.25">
      <c r="A139" s="1">
        <v>45064</v>
      </c>
      <c r="B139">
        <f t="shared" si="10"/>
        <v>4</v>
      </c>
      <c r="C139" t="s">
        <v>9</v>
      </c>
      <c r="D139">
        <f t="shared" si="13"/>
        <v>150</v>
      </c>
      <c r="E139">
        <f t="shared" si="14"/>
        <v>0</v>
      </c>
      <c r="F139">
        <f t="shared" si="11"/>
        <v>150</v>
      </c>
      <c r="G139">
        <f>SUM($E$2:E139)</f>
        <v>11000</v>
      </c>
      <c r="H139">
        <f>SUM($D$2:D139)</f>
        <v>9810</v>
      </c>
      <c r="I139">
        <f t="shared" si="12"/>
        <v>0</v>
      </c>
    </row>
    <row r="140" spans="1:9" x14ac:dyDescent="0.25">
      <c r="A140" s="1">
        <v>45065</v>
      </c>
      <c r="B140">
        <f t="shared" si="10"/>
        <v>5</v>
      </c>
      <c r="C140" t="s">
        <v>9</v>
      </c>
      <c r="D140">
        <f t="shared" si="13"/>
        <v>150</v>
      </c>
      <c r="E140">
        <f t="shared" si="14"/>
        <v>0</v>
      </c>
      <c r="F140">
        <f t="shared" si="11"/>
        <v>150</v>
      </c>
      <c r="G140">
        <f>SUM($E$2:E140)</f>
        <v>11000</v>
      </c>
      <c r="H140">
        <f>SUM($D$2:D140)</f>
        <v>9960</v>
      </c>
      <c r="I140">
        <f t="shared" si="12"/>
        <v>0</v>
      </c>
    </row>
    <row r="141" spans="1:9" x14ac:dyDescent="0.25">
      <c r="A141" s="1">
        <v>45066</v>
      </c>
      <c r="B141">
        <f t="shared" si="10"/>
        <v>6</v>
      </c>
      <c r="C141" t="s">
        <v>9</v>
      </c>
      <c r="D141">
        <f t="shared" si="13"/>
        <v>0</v>
      </c>
      <c r="E141">
        <f t="shared" si="14"/>
        <v>0</v>
      </c>
      <c r="F141">
        <f t="shared" si="11"/>
        <v>0</v>
      </c>
      <c r="G141">
        <f>SUM($E$2:E141)</f>
        <v>11000</v>
      </c>
      <c r="H141">
        <f>SUM($D$2:D141)</f>
        <v>9960</v>
      </c>
      <c r="I141">
        <f t="shared" si="12"/>
        <v>0</v>
      </c>
    </row>
    <row r="142" spans="1:9" x14ac:dyDescent="0.25">
      <c r="A142" s="1">
        <v>45067</v>
      </c>
      <c r="B142">
        <f t="shared" si="10"/>
        <v>7</v>
      </c>
      <c r="C142" t="s">
        <v>9</v>
      </c>
      <c r="D142">
        <f t="shared" si="13"/>
        <v>0</v>
      </c>
      <c r="E142">
        <f t="shared" si="14"/>
        <v>150</v>
      </c>
      <c r="F142">
        <f t="shared" si="11"/>
        <v>-150</v>
      </c>
      <c r="G142">
        <f>SUM($E$2:E142)</f>
        <v>11150</v>
      </c>
      <c r="H142">
        <f>SUM($D$2:D142)</f>
        <v>9960</v>
      </c>
      <c r="I142">
        <f t="shared" si="12"/>
        <v>0</v>
      </c>
    </row>
    <row r="143" spans="1:9" x14ac:dyDescent="0.25">
      <c r="A143" s="1">
        <v>45068</v>
      </c>
      <c r="B143">
        <f t="shared" si="10"/>
        <v>1</v>
      </c>
      <c r="C143" t="s">
        <v>9</v>
      </c>
      <c r="D143">
        <f t="shared" si="13"/>
        <v>150</v>
      </c>
      <c r="E143">
        <f t="shared" si="14"/>
        <v>0</v>
      </c>
      <c r="F143">
        <f t="shared" si="11"/>
        <v>150</v>
      </c>
      <c r="G143">
        <f>SUM($E$2:E143)</f>
        <v>11150</v>
      </c>
      <c r="H143">
        <f>SUM($D$2:D143)</f>
        <v>10110</v>
      </c>
      <c r="I143">
        <f t="shared" si="12"/>
        <v>0</v>
      </c>
    </row>
    <row r="144" spans="1:9" x14ac:dyDescent="0.25">
      <c r="A144" s="1">
        <v>45069</v>
      </c>
      <c r="B144">
        <f t="shared" si="10"/>
        <v>2</v>
      </c>
      <c r="C144" t="s">
        <v>9</v>
      </c>
      <c r="D144">
        <f t="shared" si="13"/>
        <v>150</v>
      </c>
      <c r="E144">
        <f t="shared" si="14"/>
        <v>0</v>
      </c>
      <c r="F144">
        <f t="shared" si="11"/>
        <v>150</v>
      </c>
      <c r="G144">
        <f>SUM($E$2:E144)</f>
        <v>11150</v>
      </c>
      <c r="H144">
        <f>SUM($D$2:D144)</f>
        <v>10260</v>
      </c>
      <c r="I144">
        <f t="shared" si="12"/>
        <v>0</v>
      </c>
    </row>
    <row r="145" spans="1:9" x14ac:dyDescent="0.25">
      <c r="A145" s="1">
        <v>45070</v>
      </c>
      <c r="B145">
        <f t="shared" si="10"/>
        <v>3</v>
      </c>
      <c r="C145" t="s">
        <v>9</v>
      </c>
      <c r="D145">
        <f t="shared" si="13"/>
        <v>150</v>
      </c>
      <c r="E145">
        <f t="shared" si="14"/>
        <v>0</v>
      </c>
      <c r="F145">
        <f t="shared" si="11"/>
        <v>150</v>
      </c>
      <c r="G145">
        <f>SUM($E$2:E145)</f>
        <v>11150</v>
      </c>
      <c r="H145">
        <f>SUM($D$2:D145)</f>
        <v>10410</v>
      </c>
      <c r="I145">
        <f t="shared" si="12"/>
        <v>0</v>
      </c>
    </row>
    <row r="146" spans="1:9" x14ac:dyDescent="0.25">
      <c r="A146" s="1">
        <v>45071</v>
      </c>
      <c r="B146">
        <f t="shared" si="10"/>
        <v>4</v>
      </c>
      <c r="C146" t="s">
        <v>9</v>
      </c>
      <c r="D146">
        <f t="shared" si="13"/>
        <v>150</v>
      </c>
      <c r="E146">
        <f t="shared" si="14"/>
        <v>0</v>
      </c>
      <c r="F146">
        <f t="shared" si="11"/>
        <v>150</v>
      </c>
      <c r="G146">
        <f>SUM($E$2:E146)</f>
        <v>11150</v>
      </c>
      <c r="H146">
        <f>SUM($D$2:D146)</f>
        <v>10560</v>
      </c>
      <c r="I146">
        <f t="shared" si="12"/>
        <v>0</v>
      </c>
    </row>
    <row r="147" spans="1:9" x14ac:dyDescent="0.25">
      <c r="A147" s="1">
        <v>45072</v>
      </c>
      <c r="B147">
        <f t="shared" si="10"/>
        <v>5</v>
      </c>
      <c r="C147" t="s">
        <v>9</v>
      </c>
      <c r="D147">
        <f t="shared" si="13"/>
        <v>150</v>
      </c>
      <c r="E147">
        <f t="shared" si="14"/>
        <v>0</v>
      </c>
      <c r="F147">
        <f t="shared" si="11"/>
        <v>150</v>
      </c>
      <c r="G147">
        <f>SUM($E$2:E147)</f>
        <v>11150</v>
      </c>
      <c r="H147">
        <f>SUM($D$2:D147)</f>
        <v>10710</v>
      </c>
      <c r="I147">
        <f t="shared" si="12"/>
        <v>0</v>
      </c>
    </row>
    <row r="148" spans="1:9" x14ac:dyDescent="0.25">
      <c r="A148" s="1">
        <v>45073</v>
      </c>
      <c r="B148">
        <f t="shared" si="10"/>
        <v>6</v>
      </c>
      <c r="C148" t="s">
        <v>9</v>
      </c>
      <c r="D148">
        <f t="shared" si="13"/>
        <v>0</v>
      </c>
      <c r="E148">
        <f t="shared" si="14"/>
        <v>0</v>
      </c>
      <c r="F148">
        <f t="shared" si="11"/>
        <v>0</v>
      </c>
      <c r="G148">
        <f>SUM($E$2:E148)</f>
        <v>11150</v>
      </c>
      <c r="H148">
        <f>SUM($D$2:D148)</f>
        <v>10710</v>
      </c>
      <c r="I148">
        <f t="shared" si="12"/>
        <v>0</v>
      </c>
    </row>
    <row r="149" spans="1:9" x14ac:dyDescent="0.25">
      <c r="A149" s="1">
        <v>45074</v>
      </c>
      <c r="B149">
        <f t="shared" si="10"/>
        <v>7</v>
      </c>
      <c r="C149" t="s">
        <v>9</v>
      </c>
      <c r="D149">
        <f t="shared" si="13"/>
        <v>0</v>
      </c>
      <c r="E149">
        <f t="shared" si="14"/>
        <v>150</v>
      </c>
      <c r="F149">
        <f t="shared" si="11"/>
        <v>-150</v>
      </c>
      <c r="G149">
        <f>SUM($E$2:E149)</f>
        <v>11300</v>
      </c>
      <c r="H149">
        <f>SUM($D$2:D149)</f>
        <v>10710</v>
      </c>
      <c r="I149">
        <f t="shared" si="12"/>
        <v>0</v>
      </c>
    </row>
    <row r="150" spans="1:9" x14ac:dyDescent="0.25">
      <c r="A150" s="1">
        <v>45075</v>
      </c>
      <c r="B150">
        <f t="shared" si="10"/>
        <v>1</v>
      </c>
      <c r="C150" t="s">
        <v>9</v>
      </c>
      <c r="D150">
        <f t="shared" si="13"/>
        <v>150</v>
      </c>
      <c r="E150">
        <f t="shared" si="14"/>
        <v>0</v>
      </c>
      <c r="F150">
        <f t="shared" si="11"/>
        <v>150</v>
      </c>
      <c r="G150">
        <f>SUM($E$2:E150)</f>
        <v>11300</v>
      </c>
      <c r="H150">
        <f>SUM($D$2:D150)</f>
        <v>10860</v>
      </c>
      <c r="I150">
        <f t="shared" si="12"/>
        <v>0</v>
      </c>
    </row>
    <row r="151" spans="1:9" x14ac:dyDescent="0.25">
      <c r="A151" s="1">
        <v>45076</v>
      </c>
      <c r="B151">
        <f t="shared" si="10"/>
        <v>2</v>
      </c>
      <c r="C151" t="s">
        <v>9</v>
      </c>
      <c r="D151">
        <f t="shared" si="13"/>
        <v>150</v>
      </c>
      <c r="E151">
        <f t="shared" si="14"/>
        <v>0</v>
      </c>
      <c r="F151">
        <f t="shared" si="11"/>
        <v>150</v>
      </c>
      <c r="G151">
        <f>SUM($E$2:E151)</f>
        <v>11300</v>
      </c>
      <c r="H151">
        <f>SUM($D$2:D151)</f>
        <v>11010</v>
      </c>
      <c r="I151">
        <f t="shared" si="12"/>
        <v>0</v>
      </c>
    </row>
    <row r="152" spans="1:9" x14ac:dyDescent="0.25">
      <c r="A152" s="1">
        <v>45077</v>
      </c>
      <c r="B152">
        <f t="shared" si="10"/>
        <v>3</v>
      </c>
      <c r="C152" t="s">
        <v>9</v>
      </c>
      <c r="D152">
        <f t="shared" si="13"/>
        <v>150</v>
      </c>
      <c r="E152">
        <f t="shared" si="14"/>
        <v>0</v>
      </c>
      <c r="F152">
        <f t="shared" si="11"/>
        <v>150</v>
      </c>
      <c r="G152">
        <f>SUM($E$2:E152)</f>
        <v>11300</v>
      </c>
      <c r="H152">
        <f>SUM($D$2:D152)</f>
        <v>11160</v>
      </c>
      <c r="I152">
        <f t="shared" si="12"/>
        <v>0</v>
      </c>
    </row>
    <row r="153" spans="1:9" x14ac:dyDescent="0.25">
      <c r="A153" s="1">
        <v>45078</v>
      </c>
      <c r="B153">
        <f t="shared" si="10"/>
        <v>4</v>
      </c>
      <c r="C153" t="s">
        <v>9</v>
      </c>
      <c r="D153">
        <f t="shared" si="13"/>
        <v>150</v>
      </c>
      <c r="E153">
        <f t="shared" si="14"/>
        <v>0</v>
      </c>
      <c r="F153">
        <f t="shared" si="11"/>
        <v>150</v>
      </c>
      <c r="G153">
        <f>SUM($E$2:E153)</f>
        <v>11300</v>
      </c>
      <c r="H153">
        <f>SUM($D$2:D153)</f>
        <v>11310</v>
      </c>
      <c r="I153">
        <f t="shared" si="12"/>
        <v>1</v>
      </c>
    </row>
    <row r="154" spans="1:9" x14ac:dyDescent="0.25">
      <c r="A154" s="1">
        <v>45079</v>
      </c>
      <c r="B154">
        <f t="shared" si="10"/>
        <v>5</v>
      </c>
      <c r="C154" t="s">
        <v>9</v>
      </c>
      <c r="D154">
        <f t="shared" si="13"/>
        <v>150</v>
      </c>
      <c r="E154">
        <f t="shared" si="14"/>
        <v>0</v>
      </c>
      <c r="F154">
        <f t="shared" si="11"/>
        <v>150</v>
      </c>
      <c r="G154">
        <f>SUM($E$2:E154)</f>
        <v>11300</v>
      </c>
      <c r="H154">
        <f>SUM($D$2:D154)</f>
        <v>11460</v>
      </c>
      <c r="I154">
        <f t="shared" si="12"/>
        <v>1</v>
      </c>
    </row>
    <row r="155" spans="1:9" x14ac:dyDescent="0.25">
      <c r="A155" s="1">
        <v>45080</v>
      </c>
      <c r="B155">
        <f t="shared" si="10"/>
        <v>6</v>
      </c>
      <c r="C155" t="s">
        <v>9</v>
      </c>
      <c r="D155">
        <f t="shared" si="13"/>
        <v>0</v>
      </c>
      <c r="E155">
        <f t="shared" si="14"/>
        <v>0</v>
      </c>
      <c r="F155">
        <f t="shared" si="11"/>
        <v>0</v>
      </c>
      <c r="G155">
        <f>SUM($E$2:E155)</f>
        <v>11300</v>
      </c>
      <c r="H155">
        <f>SUM($D$2:D155)</f>
        <v>11460</v>
      </c>
      <c r="I155">
        <f t="shared" si="12"/>
        <v>1</v>
      </c>
    </row>
    <row r="156" spans="1:9" x14ac:dyDescent="0.25">
      <c r="A156" s="1">
        <v>45081</v>
      </c>
      <c r="B156">
        <f t="shared" si="10"/>
        <v>7</v>
      </c>
      <c r="C156" t="s">
        <v>9</v>
      </c>
      <c r="D156">
        <f t="shared" si="13"/>
        <v>0</v>
      </c>
      <c r="E156">
        <f t="shared" si="14"/>
        <v>150</v>
      </c>
      <c r="F156">
        <f t="shared" si="11"/>
        <v>-150</v>
      </c>
      <c r="G156">
        <f>SUM($E$2:E156)</f>
        <v>11450</v>
      </c>
      <c r="H156">
        <f>SUM($D$2:D156)</f>
        <v>11460</v>
      </c>
      <c r="I156">
        <f t="shared" si="12"/>
        <v>1</v>
      </c>
    </row>
    <row r="157" spans="1:9" x14ac:dyDescent="0.25">
      <c r="A157" s="1">
        <v>45082</v>
      </c>
      <c r="B157">
        <f t="shared" si="10"/>
        <v>1</v>
      </c>
      <c r="C157" t="s">
        <v>9</v>
      </c>
      <c r="D157">
        <f t="shared" si="13"/>
        <v>150</v>
      </c>
      <c r="E157">
        <f t="shared" si="14"/>
        <v>0</v>
      </c>
      <c r="F157">
        <f t="shared" si="11"/>
        <v>150</v>
      </c>
      <c r="G157">
        <f>SUM($E$2:E157)</f>
        <v>11450</v>
      </c>
      <c r="H157">
        <f>SUM($D$2:D157)</f>
        <v>11610</v>
      </c>
      <c r="I157">
        <f t="shared" si="12"/>
        <v>1</v>
      </c>
    </row>
    <row r="158" spans="1:9" x14ac:dyDescent="0.25">
      <c r="A158" s="1">
        <v>45083</v>
      </c>
      <c r="B158">
        <f t="shared" si="10"/>
        <v>2</v>
      </c>
      <c r="C158" t="s">
        <v>9</v>
      </c>
      <c r="D158">
        <f t="shared" si="13"/>
        <v>150</v>
      </c>
      <c r="E158">
        <f t="shared" si="14"/>
        <v>0</v>
      </c>
      <c r="F158">
        <f t="shared" si="11"/>
        <v>150</v>
      </c>
      <c r="G158">
        <f>SUM($E$2:E158)</f>
        <v>11450</v>
      </c>
      <c r="H158">
        <f>SUM($D$2:D158)</f>
        <v>11760</v>
      </c>
      <c r="I158">
        <f t="shared" si="12"/>
        <v>1</v>
      </c>
    </row>
    <row r="159" spans="1:9" x14ac:dyDescent="0.25">
      <c r="A159" s="1">
        <v>45084</v>
      </c>
      <c r="B159">
        <f t="shared" si="10"/>
        <v>3</v>
      </c>
      <c r="C159" t="s">
        <v>9</v>
      </c>
      <c r="D159">
        <f t="shared" si="13"/>
        <v>150</v>
      </c>
      <c r="E159">
        <f t="shared" si="14"/>
        <v>0</v>
      </c>
      <c r="F159">
        <f t="shared" si="11"/>
        <v>150</v>
      </c>
      <c r="G159">
        <f>SUM($E$2:E159)</f>
        <v>11450</v>
      </c>
      <c r="H159">
        <f>SUM($D$2:D159)</f>
        <v>11910</v>
      </c>
      <c r="I159">
        <f t="shared" si="12"/>
        <v>1</v>
      </c>
    </row>
    <row r="160" spans="1:9" x14ac:dyDescent="0.25">
      <c r="A160" s="1">
        <v>45085</v>
      </c>
      <c r="B160">
        <f t="shared" si="10"/>
        <v>4</v>
      </c>
      <c r="C160" t="s">
        <v>9</v>
      </c>
      <c r="D160">
        <f t="shared" si="13"/>
        <v>150</v>
      </c>
      <c r="E160">
        <f t="shared" si="14"/>
        <v>0</v>
      </c>
      <c r="F160">
        <f t="shared" si="11"/>
        <v>150</v>
      </c>
      <c r="G160">
        <f>SUM($E$2:E160)</f>
        <v>11450</v>
      </c>
      <c r="H160">
        <f>SUM($D$2:D160)</f>
        <v>12060</v>
      </c>
      <c r="I160">
        <f t="shared" si="12"/>
        <v>1</v>
      </c>
    </row>
    <row r="161" spans="1:9" x14ac:dyDescent="0.25">
      <c r="A161" s="1">
        <v>45086</v>
      </c>
      <c r="B161">
        <f t="shared" si="10"/>
        <v>5</v>
      </c>
      <c r="C161" t="s">
        <v>9</v>
      </c>
      <c r="D161">
        <f t="shared" si="13"/>
        <v>150</v>
      </c>
      <c r="E161">
        <f t="shared" si="14"/>
        <v>0</v>
      </c>
      <c r="F161">
        <f t="shared" si="11"/>
        <v>150</v>
      </c>
      <c r="G161">
        <f>SUM($E$2:E161)</f>
        <v>11450</v>
      </c>
      <c r="H161">
        <f>SUM($D$2:D161)</f>
        <v>12210</v>
      </c>
      <c r="I161">
        <f t="shared" si="12"/>
        <v>1</v>
      </c>
    </row>
    <row r="162" spans="1:9" x14ac:dyDescent="0.25">
      <c r="A162" s="1">
        <v>45087</v>
      </c>
      <c r="B162">
        <f t="shared" si="10"/>
        <v>6</v>
      </c>
      <c r="C162" t="s">
        <v>9</v>
      </c>
      <c r="D162">
        <f t="shared" si="13"/>
        <v>0</v>
      </c>
      <c r="E162">
        <f t="shared" si="14"/>
        <v>0</v>
      </c>
      <c r="F162">
        <f t="shared" si="11"/>
        <v>0</v>
      </c>
      <c r="G162">
        <f>SUM($E$2:E162)</f>
        <v>11450</v>
      </c>
      <c r="H162">
        <f>SUM($D$2:D162)</f>
        <v>12210</v>
      </c>
      <c r="I162">
        <f t="shared" si="12"/>
        <v>1</v>
      </c>
    </row>
    <row r="163" spans="1:9" x14ac:dyDescent="0.25">
      <c r="A163" s="1">
        <v>45088</v>
      </c>
      <c r="B163">
        <f t="shared" si="10"/>
        <v>7</v>
      </c>
      <c r="C163" t="s">
        <v>9</v>
      </c>
      <c r="D163">
        <f t="shared" si="13"/>
        <v>0</v>
      </c>
      <c r="E163">
        <f t="shared" si="14"/>
        <v>150</v>
      </c>
      <c r="F163">
        <f t="shared" si="11"/>
        <v>-150</v>
      </c>
      <c r="G163">
        <f>SUM($E$2:E163)</f>
        <v>11600</v>
      </c>
      <c r="H163">
        <f>SUM($D$2:D163)</f>
        <v>12210</v>
      </c>
      <c r="I163">
        <f t="shared" si="12"/>
        <v>1</v>
      </c>
    </row>
    <row r="164" spans="1:9" x14ac:dyDescent="0.25">
      <c r="A164" s="1">
        <v>45089</v>
      </c>
      <c r="B164">
        <f t="shared" si="10"/>
        <v>1</v>
      </c>
      <c r="C164" t="s">
        <v>9</v>
      </c>
      <c r="D164">
        <f t="shared" si="13"/>
        <v>150</v>
      </c>
      <c r="E164">
        <f t="shared" si="14"/>
        <v>0</v>
      </c>
      <c r="F164">
        <f t="shared" si="11"/>
        <v>150</v>
      </c>
      <c r="G164">
        <f>SUM($E$2:E164)</f>
        <v>11600</v>
      </c>
      <c r="H164">
        <f>SUM($D$2:D164)</f>
        <v>12360</v>
      </c>
      <c r="I164">
        <f t="shared" si="12"/>
        <v>1</v>
      </c>
    </row>
    <row r="165" spans="1:9" x14ac:dyDescent="0.25">
      <c r="A165" s="1">
        <v>45090</v>
      </c>
      <c r="B165">
        <f t="shared" si="10"/>
        <v>2</v>
      </c>
      <c r="C165" t="s">
        <v>9</v>
      </c>
      <c r="D165">
        <f t="shared" si="13"/>
        <v>150</v>
      </c>
      <c r="E165">
        <f t="shared" si="14"/>
        <v>0</v>
      </c>
      <c r="F165">
        <f t="shared" si="11"/>
        <v>150</v>
      </c>
      <c r="G165">
        <f>SUM($E$2:E165)</f>
        <v>11600</v>
      </c>
      <c r="H165">
        <f>SUM($D$2:D165)</f>
        <v>12510</v>
      </c>
      <c r="I165">
        <f t="shared" si="12"/>
        <v>1</v>
      </c>
    </row>
    <row r="166" spans="1:9" x14ac:dyDescent="0.25">
      <c r="A166" s="1">
        <v>45091</v>
      </c>
      <c r="B166">
        <f t="shared" si="10"/>
        <v>3</v>
      </c>
      <c r="C166" t="s">
        <v>9</v>
      </c>
      <c r="D166">
        <f t="shared" si="13"/>
        <v>150</v>
      </c>
      <c r="E166">
        <f t="shared" si="14"/>
        <v>0</v>
      </c>
      <c r="F166">
        <f t="shared" si="11"/>
        <v>150</v>
      </c>
      <c r="G166">
        <f>SUM($E$2:E166)</f>
        <v>11600</v>
      </c>
      <c r="H166">
        <f>SUM($D$2:D166)</f>
        <v>12660</v>
      </c>
      <c r="I166">
        <f t="shared" si="12"/>
        <v>1</v>
      </c>
    </row>
    <row r="167" spans="1:9" x14ac:dyDescent="0.25">
      <c r="A167" s="1">
        <v>45092</v>
      </c>
      <c r="B167">
        <f t="shared" si="10"/>
        <v>4</v>
      </c>
      <c r="C167" t="s">
        <v>9</v>
      </c>
      <c r="D167">
        <f t="shared" si="13"/>
        <v>150</v>
      </c>
      <c r="E167">
        <f t="shared" si="14"/>
        <v>0</v>
      </c>
      <c r="F167">
        <f t="shared" si="11"/>
        <v>150</v>
      </c>
      <c r="G167">
        <f>SUM($E$2:E167)</f>
        <v>11600</v>
      </c>
      <c r="H167">
        <f>SUM($D$2:D167)</f>
        <v>12810</v>
      </c>
      <c r="I167">
        <f t="shared" si="12"/>
        <v>1</v>
      </c>
    </row>
    <row r="168" spans="1:9" x14ac:dyDescent="0.25">
      <c r="A168" s="1">
        <v>45093</v>
      </c>
      <c r="B168">
        <f t="shared" si="10"/>
        <v>5</v>
      </c>
      <c r="C168" t="s">
        <v>9</v>
      </c>
      <c r="D168">
        <f t="shared" si="13"/>
        <v>150</v>
      </c>
      <c r="E168">
        <f t="shared" si="14"/>
        <v>0</v>
      </c>
      <c r="F168">
        <f t="shared" si="11"/>
        <v>150</v>
      </c>
      <c r="G168">
        <f>SUM($E$2:E168)</f>
        <v>11600</v>
      </c>
      <c r="H168">
        <f>SUM($D$2:D168)</f>
        <v>12960</v>
      </c>
      <c r="I168">
        <f t="shared" si="12"/>
        <v>1</v>
      </c>
    </row>
    <row r="169" spans="1:9" x14ac:dyDescent="0.25">
      <c r="A169" s="1">
        <v>45094</v>
      </c>
      <c r="B169">
        <f t="shared" si="10"/>
        <v>6</v>
      </c>
      <c r="C169" t="s">
        <v>9</v>
      </c>
      <c r="D169">
        <f t="shared" si="13"/>
        <v>0</v>
      </c>
      <c r="E169">
        <f t="shared" si="14"/>
        <v>0</v>
      </c>
      <c r="F169">
        <f t="shared" si="11"/>
        <v>0</v>
      </c>
      <c r="G169">
        <f>SUM($E$2:E169)</f>
        <v>11600</v>
      </c>
      <c r="H169">
        <f>SUM($D$2:D169)</f>
        <v>12960</v>
      </c>
      <c r="I169">
        <f t="shared" si="12"/>
        <v>1</v>
      </c>
    </row>
    <row r="170" spans="1:9" x14ac:dyDescent="0.25">
      <c r="A170" s="1">
        <v>45095</v>
      </c>
      <c r="B170">
        <f t="shared" si="10"/>
        <v>7</v>
      </c>
      <c r="C170" t="s">
        <v>9</v>
      </c>
      <c r="D170">
        <f t="shared" si="13"/>
        <v>0</v>
      </c>
      <c r="E170">
        <f t="shared" si="14"/>
        <v>150</v>
      </c>
      <c r="F170">
        <f t="shared" si="11"/>
        <v>-150</v>
      </c>
      <c r="G170">
        <f>SUM($E$2:E170)</f>
        <v>11750</v>
      </c>
      <c r="H170">
        <f>SUM($D$2:D170)</f>
        <v>12960</v>
      </c>
      <c r="I170">
        <f t="shared" si="12"/>
        <v>1</v>
      </c>
    </row>
    <row r="171" spans="1:9" x14ac:dyDescent="0.25">
      <c r="A171" s="1">
        <v>45096</v>
      </c>
      <c r="B171">
        <f t="shared" si="10"/>
        <v>1</v>
      </c>
      <c r="C171" t="s">
        <v>9</v>
      </c>
      <c r="D171">
        <f t="shared" si="13"/>
        <v>150</v>
      </c>
      <c r="E171">
        <f t="shared" si="14"/>
        <v>0</v>
      </c>
      <c r="F171">
        <f t="shared" si="11"/>
        <v>150</v>
      </c>
      <c r="G171">
        <f>SUM($E$2:E171)</f>
        <v>11750</v>
      </c>
      <c r="H171">
        <f>SUM($D$2:D171)</f>
        <v>13110</v>
      </c>
      <c r="I171">
        <f t="shared" si="12"/>
        <v>1</v>
      </c>
    </row>
    <row r="172" spans="1:9" x14ac:dyDescent="0.25">
      <c r="A172" s="1">
        <v>45097</v>
      </c>
      <c r="B172">
        <f t="shared" si="10"/>
        <v>2</v>
      </c>
      <c r="C172" t="s">
        <v>9</v>
      </c>
      <c r="D172">
        <f t="shared" si="13"/>
        <v>150</v>
      </c>
      <c r="E172">
        <f t="shared" si="14"/>
        <v>0</v>
      </c>
      <c r="F172">
        <f t="shared" si="11"/>
        <v>150</v>
      </c>
      <c r="G172">
        <f>SUM($E$2:E172)</f>
        <v>11750</v>
      </c>
      <c r="H172">
        <f>SUM($D$2:D172)</f>
        <v>13260</v>
      </c>
      <c r="I172">
        <f t="shared" si="12"/>
        <v>1</v>
      </c>
    </row>
    <row r="173" spans="1:9" x14ac:dyDescent="0.25">
      <c r="A173" s="1">
        <v>45098</v>
      </c>
      <c r="B173">
        <f t="shared" si="10"/>
        <v>3</v>
      </c>
      <c r="C173" t="s">
        <v>10</v>
      </c>
      <c r="D173">
        <f t="shared" si="13"/>
        <v>270</v>
      </c>
      <c r="E173">
        <f t="shared" si="14"/>
        <v>0</v>
      </c>
      <c r="F173">
        <f t="shared" si="11"/>
        <v>270</v>
      </c>
      <c r="G173">
        <f>SUM($E$2:E173)</f>
        <v>11750</v>
      </c>
      <c r="H173">
        <f>SUM($D$2:D173)</f>
        <v>13530</v>
      </c>
      <c r="I173">
        <f t="shared" si="12"/>
        <v>1</v>
      </c>
    </row>
    <row r="174" spans="1:9" x14ac:dyDescent="0.25">
      <c r="A174" s="1">
        <v>45099</v>
      </c>
      <c r="B174">
        <f t="shared" si="10"/>
        <v>4</v>
      </c>
      <c r="C174" t="s">
        <v>10</v>
      </c>
      <c r="D174">
        <f t="shared" si="13"/>
        <v>270</v>
      </c>
      <c r="E174">
        <f t="shared" si="14"/>
        <v>0</v>
      </c>
      <c r="F174">
        <f t="shared" si="11"/>
        <v>270</v>
      </c>
      <c r="G174">
        <f>SUM($E$2:E174)</f>
        <v>11750</v>
      </c>
      <c r="H174">
        <f>SUM($D$2:D174)</f>
        <v>13800</v>
      </c>
      <c r="I174">
        <f t="shared" si="12"/>
        <v>1</v>
      </c>
    </row>
    <row r="175" spans="1:9" x14ac:dyDescent="0.25">
      <c r="A175" s="1">
        <v>45100</v>
      </c>
      <c r="B175">
        <f t="shared" si="10"/>
        <v>5</v>
      </c>
      <c r="C175" t="s">
        <v>10</v>
      </c>
      <c r="D175">
        <f t="shared" si="13"/>
        <v>270</v>
      </c>
      <c r="E175">
        <f t="shared" si="14"/>
        <v>0</v>
      </c>
      <c r="F175">
        <f t="shared" si="11"/>
        <v>270</v>
      </c>
      <c r="G175">
        <f>SUM($E$2:E175)</f>
        <v>11750</v>
      </c>
      <c r="H175">
        <f>SUM($D$2:D175)</f>
        <v>14070</v>
      </c>
      <c r="I175">
        <f t="shared" si="12"/>
        <v>1</v>
      </c>
    </row>
    <row r="176" spans="1:9" x14ac:dyDescent="0.25">
      <c r="A176" s="1">
        <v>45101</v>
      </c>
      <c r="B176">
        <f t="shared" si="10"/>
        <v>6</v>
      </c>
      <c r="C176" t="s">
        <v>10</v>
      </c>
      <c r="D176">
        <f t="shared" si="13"/>
        <v>0</v>
      </c>
      <c r="E176">
        <f t="shared" si="14"/>
        <v>0</v>
      </c>
      <c r="F176">
        <f t="shared" si="11"/>
        <v>0</v>
      </c>
      <c r="G176">
        <f>SUM($E$2:E176)</f>
        <v>11750</v>
      </c>
      <c r="H176">
        <f>SUM($D$2:D176)</f>
        <v>14070</v>
      </c>
      <c r="I176">
        <f t="shared" si="12"/>
        <v>1</v>
      </c>
    </row>
    <row r="177" spans="1:9" x14ac:dyDescent="0.25">
      <c r="A177" s="1">
        <v>45102</v>
      </c>
      <c r="B177">
        <f t="shared" si="10"/>
        <v>7</v>
      </c>
      <c r="C177" t="s">
        <v>10</v>
      </c>
      <c r="D177">
        <f t="shared" si="13"/>
        <v>0</v>
      </c>
      <c r="E177">
        <f t="shared" si="14"/>
        <v>150</v>
      </c>
      <c r="F177">
        <f t="shared" si="11"/>
        <v>-150</v>
      </c>
      <c r="G177">
        <f>SUM($E$2:E177)</f>
        <v>11900</v>
      </c>
      <c r="H177">
        <f>SUM($D$2:D177)</f>
        <v>14070</v>
      </c>
      <c r="I177">
        <f t="shared" si="12"/>
        <v>1</v>
      </c>
    </row>
    <row r="178" spans="1:9" x14ac:dyDescent="0.25">
      <c r="A178" s="1">
        <v>45103</v>
      </c>
      <c r="B178">
        <f t="shared" si="10"/>
        <v>1</v>
      </c>
      <c r="C178" t="s">
        <v>10</v>
      </c>
      <c r="D178">
        <f t="shared" si="13"/>
        <v>270</v>
      </c>
      <c r="E178">
        <f t="shared" si="14"/>
        <v>0</v>
      </c>
      <c r="F178">
        <f t="shared" si="11"/>
        <v>270</v>
      </c>
      <c r="G178">
        <f>SUM($E$2:E178)</f>
        <v>11900</v>
      </c>
      <c r="H178">
        <f>SUM($D$2:D178)</f>
        <v>14340</v>
      </c>
      <c r="I178">
        <f t="shared" si="12"/>
        <v>1</v>
      </c>
    </row>
    <row r="179" spans="1:9" x14ac:dyDescent="0.25">
      <c r="A179" s="1">
        <v>45104</v>
      </c>
      <c r="B179">
        <f t="shared" si="10"/>
        <v>2</v>
      </c>
      <c r="C179" t="s">
        <v>10</v>
      </c>
      <c r="D179">
        <f t="shared" si="13"/>
        <v>270</v>
      </c>
      <c r="E179">
        <f t="shared" si="14"/>
        <v>0</v>
      </c>
      <c r="F179">
        <f t="shared" si="11"/>
        <v>270</v>
      </c>
      <c r="G179">
        <f>SUM($E$2:E179)</f>
        <v>11900</v>
      </c>
      <c r="H179">
        <f>SUM($D$2:D179)</f>
        <v>14610</v>
      </c>
      <c r="I179">
        <f t="shared" si="12"/>
        <v>1</v>
      </c>
    </row>
    <row r="180" spans="1:9" x14ac:dyDescent="0.25">
      <c r="A180" s="1">
        <v>45105</v>
      </c>
      <c r="B180">
        <f t="shared" si="10"/>
        <v>3</v>
      </c>
      <c r="C180" t="s">
        <v>10</v>
      </c>
      <c r="D180">
        <f t="shared" si="13"/>
        <v>270</v>
      </c>
      <c r="E180">
        <f t="shared" si="14"/>
        <v>0</v>
      </c>
      <c r="F180">
        <f t="shared" si="11"/>
        <v>270</v>
      </c>
      <c r="G180">
        <f>SUM($E$2:E180)</f>
        <v>11900</v>
      </c>
      <c r="H180">
        <f>SUM($D$2:D180)</f>
        <v>14880</v>
      </c>
      <c r="I180">
        <f t="shared" si="12"/>
        <v>1</v>
      </c>
    </row>
    <row r="181" spans="1:9" x14ac:dyDescent="0.25">
      <c r="A181" s="1">
        <v>45106</v>
      </c>
      <c r="B181">
        <f t="shared" si="10"/>
        <v>4</v>
      </c>
      <c r="C181" t="s">
        <v>10</v>
      </c>
      <c r="D181">
        <f t="shared" si="13"/>
        <v>270</v>
      </c>
      <c r="E181">
        <f t="shared" si="14"/>
        <v>0</v>
      </c>
      <c r="F181">
        <f t="shared" si="11"/>
        <v>270</v>
      </c>
      <c r="G181">
        <f>SUM($E$2:E181)</f>
        <v>11900</v>
      </c>
      <c r="H181">
        <f>SUM($D$2:D181)</f>
        <v>15150</v>
      </c>
      <c r="I181">
        <f t="shared" si="12"/>
        <v>1</v>
      </c>
    </row>
    <row r="182" spans="1:9" x14ac:dyDescent="0.25">
      <c r="A182" s="1">
        <v>45107</v>
      </c>
      <c r="B182">
        <f t="shared" si="10"/>
        <v>5</v>
      </c>
      <c r="C182" t="s">
        <v>10</v>
      </c>
      <c r="D182">
        <f t="shared" si="13"/>
        <v>270</v>
      </c>
      <c r="E182">
        <f t="shared" si="14"/>
        <v>0</v>
      </c>
      <c r="F182">
        <f t="shared" si="11"/>
        <v>270</v>
      </c>
      <c r="G182">
        <f>SUM($E$2:E182)</f>
        <v>11900</v>
      </c>
      <c r="H182">
        <f>SUM($D$2:D182)</f>
        <v>15420</v>
      </c>
      <c r="I182">
        <f t="shared" si="12"/>
        <v>1</v>
      </c>
    </row>
    <row r="183" spans="1:9" x14ac:dyDescent="0.25">
      <c r="A183" s="1">
        <v>45108</v>
      </c>
      <c r="B183">
        <f t="shared" si="10"/>
        <v>6</v>
      </c>
      <c r="C183" t="s">
        <v>10</v>
      </c>
      <c r="D183">
        <f t="shared" si="13"/>
        <v>0</v>
      </c>
      <c r="E183">
        <f t="shared" si="14"/>
        <v>0</v>
      </c>
      <c r="F183">
        <f t="shared" si="11"/>
        <v>0</v>
      </c>
      <c r="G183">
        <f>SUM($E$2:E183)</f>
        <v>11900</v>
      </c>
      <c r="H183">
        <f>SUM($D$2:D183)</f>
        <v>15420</v>
      </c>
      <c r="I183">
        <f t="shared" si="12"/>
        <v>1</v>
      </c>
    </row>
    <row r="184" spans="1:9" x14ac:dyDescent="0.25">
      <c r="A184" s="1">
        <v>45109</v>
      </c>
      <c r="B184">
        <f t="shared" si="10"/>
        <v>7</v>
      </c>
      <c r="C184" t="s">
        <v>10</v>
      </c>
      <c r="D184">
        <f t="shared" si="13"/>
        <v>0</v>
      </c>
      <c r="E184">
        <f t="shared" si="14"/>
        <v>150</v>
      </c>
      <c r="F184">
        <f t="shared" si="11"/>
        <v>-150</v>
      </c>
      <c r="G184">
        <f>SUM($E$2:E184)</f>
        <v>12050</v>
      </c>
      <c r="H184">
        <f>SUM($D$2:D184)</f>
        <v>15420</v>
      </c>
      <c r="I184">
        <f t="shared" si="12"/>
        <v>1</v>
      </c>
    </row>
    <row r="185" spans="1:9" x14ac:dyDescent="0.25">
      <c r="A185" s="1">
        <v>45110</v>
      </c>
      <c r="B185">
        <f t="shared" si="10"/>
        <v>1</v>
      </c>
      <c r="C185" t="s">
        <v>10</v>
      </c>
      <c r="D185">
        <f t="shared" si="13"/>
        <v>270</v>
      </c>
      <c r="E185">
        <f t="shared" si="14"/>
        <v>0</v>
      </c>
      <c r="F185">
        <f t="shared" si="11"/>
        <v>270</v>
      </c>
      <c r="G185">
        <f>SUM($E$2:E185)</f>
        <v>12050</v>
      </c>
      <c r="H185">
        <f>SUM($D$2:D185)</f>
        <v>15690</v>
      </c>
      <c r="I185">
        <f t="shared" si="12"/>
        <v>1</v>
      </c>
    </row>
    <row r="186" spans="1:9" x14ac:dyDescent="0.25">
      <c r="A186" s="1">
        <v>45111</v>
      </c>
      <c r="B186">
        <f t="shared" si="10"/>
        <v>2</v>
      </c>
      <c r="C186" t="s">
        <v>10</v>
      </c>
      <c r="D186">
        <f t="shared" si="13"/>
        <v>270</v>
      </c>
      <c r="E186">
        <f t="shared" si="14"/>
        <v>0</v>
      </c>
      <c r="F186">
        <f t="shared" si="11"/>
        <v>270</v>
      </c>
      <c r="G186">
        <f>SUM($E$2:E186)</f>
        <v>12050</v>
      </c>
      <c r="H186">
        <f>SUM($D$2:D186)</f>
        <v>15960</v>
      </c>
      <c r="I186">
        <f t="shared" si="12"/>
        <v>1</v>
      </c>
    </row>
    <row r="187" spans="1:9" x14ac:dyDescent="0.25">
      <c r="A187" s="1">
        <v>45112</v>
      </c>
      <c r="B187">
        <f t="shared" si="10"/>
        <v>3</v>
      </c>
      <c r="C187" t="s">
        <v>10</v>
      </c>
      <c r="D187">
        <f t="shared" si="13"/>
        <v>270</v>
      </c>
      <c r="E187">
        <f t="shared" si="14"/>
        <v>0</v>
      </c>
      <c r="F187">
        <f t="shared" si="11"/>
        <v>270</v>
      </c>
      <c r="G187">
        <f>SUM($E$2:E187)</f>
        <v>12050</v>
      </c>
      <c r="H187">
        <f>SUM($D$2:D187)</f>
        <v>16230</v>
      </c>
      <c r="I187">
        <f t="shared" si="12"/>
        <v>1</v>
      </c>
    </row>
    <row r="188" spans="1:9" x14ac:dyDescent="0.25">
      <c r="A188" s="1">
        <v>45113</v>
      </c>
      <c r="B188">
        <f t="shared" si="10"/>
        <v>4</v>
      </c>
      <c r="C188" t="s">
        <v>10</v>
      </c>
      <c r="D188">
        <f t="shared" si="13"/>
        <v>270</v>
      </c>
      <c r="E188">
        <f t="shared" si="14"/>
        <v>0</v>
      </c>
      <c r="F188">
        <f t="shared" si="11"/>
        <v>270</v>
      </c>
      <c r="G188">
        <f>SUM($E$2:E188)</f>
        <v>12050</v>
      </c>
      <c r="H188">
        <f>SUM($D$2:D188)</f>
        <v>16500</v>
      </c>
      <c r="I188">
        <f t="shared" si="12"/>
        <v>1</v>
      </c>
    </row>
    <row r="189" spans="1:9" x14ac:dyDescent="0.25">
      <c r="A189" s="1">
        <v>45114</v>
      </c>
      <c r="B189">
        <f t="shared" si="10"/>
        <v>5</v>
      </c>
      <c r="C189" t="s">
        <v>10</v>
      </c>
      <c r="D189">
        <f t="shared" si="13"/>
        <v>270</v>
      </c>
      <c r="E189">
        <f t="shared" si="14"/>
        <v>0</v>
      </c>
      <c r="F189">
        <f t="shared" si="11"/>
        <v>270</v>
      </c>
      <c r="G189">
        <f>SUM($E$2:E189)</f>
        <v>12050</v>
      </c>
      <c r="H189">
        <f>SUM($D$2:D189)</f>
        <v>16770</v>
      </c>
      <c r="I189">
        <f t="shared" si="12"/>
        <v>1</v>
      </c>
    </row>
    <row r="190" spans="1:9" x14ac:dyDescent="0.25">
      <c r="A190" s="1">
        <v>45115</v>
      </c>
      <c r="B190">
        <f t="shared" si="10"/>
        <v>6</v>
      </c>
      <c r="C190" t="s">
        <v>10</v>
      </c>
      <c r="D190">
        <f t="shared" si="13"/>
        <v>0</v>
      </c>
      <c r="E190">
        <f t="shared" si="14"/>
        <v>0</v>
      </c>
      <c r="F190">
        <f t="shared" si="11"/>
        <v>0</v>
      </c>
      <c r="G190">
        <f>SUM($E$2:E190)</f>
        <v>12050</v>
      </c>
      <c r="H190">
        <f>SUM($D$2:D190)</f>
        <v>16770</v>
      </c>
      <c r="I190">
        <f t="shared" si="12"/>
        <v>1</v>
      </c>
    </row>
    <row r="191" spans="1:9" x14ac:dyDescent="0.25">
      <c r="A191" s="1">
        <v>45116</v>
      </c>
      <c r="B191">
        <f t="shared" si="10"/>
        <v>7</v>
      </c>
      <c r="C191" t="s">
        <v>10</v>
      </c>
      <c r="D191">
        <f t="shared" si="13"/>
        <v>0</v>
      </c>
      <c r="E191">
        <f t="shared" si="14"/>
        <v>150</v>
      </c>
      <c r="F191">
        <f t="shared" si="11"/>
        <v>-150</v>
      </c>
      <c r="G191">
        <f>SUM($E$2:E191)</f>
        <v>12200</v>
      </c>
      <c r="H191">
        <f>SUM($D$2:D191)</f>
        <v>16770</v>
      </c>
      <c r="I191">
        <f t="shared" si="12"/>
        <v>1</v>
      </c>
    </row>
    <row r="192" spans="1:9" x14ac:dyDescent="0.25">
      <c r="A192" s="1">
        <v>45117</v>
      </c>
      <c r="B192">
        <f t="shared" si="10"/>
        <v>1</v>
      </c>
      <c r="C192" t="s">
        <v>10</v>
      </c>
      <c r="D192">
        <f t="shared" si="13"/>
        <v>270</v>
      </c>
      <c r="E192">
        <f t="shared" si="14"/>
        <v>0</v>
      </c>
      <c r="F192">
        <f t="shared" si="11"/>
        <v>270</v>
      </c>
      <c r="G192">
        <f>SUM($E$2:E192)</f>
        <v>12200</v>
      </c>
      <c r="H192">
        <f>SUM($D$2:D192)</f>
        <v>17040</v>
      </c>
      <c r="I192">
        <f t="shared" si="12"/>
        <v>1</v>
      </c>
    </row>
    <row r="193" spans="1:9" x14ac:dyDescent="0.25">
      <c r="A193" s="1">
        <v>45118</v>
      </c>
      <c r="B193">
        <f t="shared" si="10"/>
        <v>2</v>
      </c>
      <c r="C193" t="s">
        <v>10</v>
      </c>
      <c r="D193">
        <f t="shared" si="13"/>
        <v>270</v>
      </c>
      <c r="E193">
        <f t="shared" si="14"/>
        <v>0</v>
      </c>
      <c r="F193">
        <f t="shared" si="11"/>
        <v>270</v>
      </c>
      <c r="G193">
        <f>SUM($E$2:E193)</f>
        <v>12200</v>
      </c>
      <c r="H193">
        <f>SUM($D$2:D193)</f>
        <v>17310</v>
      </c>
      <c r="I193">
        <f t="shared" si="12"/>
        <v>1</v>
      </c>
    </row>
    <row r="194" spans="1:9" x14ac:dyDescent="0.25">
      <c r="A194" s="1">
        <v>45119</v>
      </c>
      <c r="B194">
        <f t="shared" si="10"/>
        <v>3</v>
      </c>
      <c r="C194" t="s">
        <v>10</v>
      </c>
      <c r="D194">
        <f t="shared" si="13"/>
        <v>270</v>
      </c>
      <c r="E194">
        <f t="shared" si="14"/>
        <v>0</v>
      </c>
      <c r="F194">
        <f t="shared" si="11"/>
        <v>270</v>
      </c>
      <c r="G194">
        <f>SUM($E$2:E194)</f>
        <v>12200</v>
      </c>
      <c r="H194">
        <f>SUM($D$2:D194)</f>
        <v>17580</v>
      </c>
      <c r="I194">
        <f t="shared" si="12"/>
        <v>1</v>
      </c>
    </row>
    <row r="195" spans="1:9" x14ac:dyDescent="0.25">
      <c r="A195" s="1">
        <v>45120</v>
      </c>
      <c r="B195">
        <f t="shared" ref="B195:B258" si="15">WEEKDAY(A195,2)</f>
        <v>4</v>
      </c>
      <c r="C195" t="s">
        <v>10</v>
      </c>
      <c r="D195">
        <f t="shared" si="13"/>
        <v>270</v>
      </c>
      <c r="E195">
        <f t="shared" si="14"/>
        <v>0</v>
      </c>
      <c r="F195">
        <f t="shared" ref="F195:F258" si="16">D195-E195</f>
        <v>270</v>
      </c>
      <c r="G195">
        <f>SUM($E$2:E195)</f>
        <v>12200</v>
      </c>
      <c r="H195">
        <f>SUM($D$2:D195)</f>
        <v>17850</v>
      </c>
      <c r="I195">
        <f t="shared" ref="I195:I258" si="17">IF(G195&lt;H195,1,0)</f>
        <v>1</v>
      </c>
    </row>
    <row r="196" spans="1:9" x14ac:dyDescent="0.25">
      <c r="A196" s="1">
        <v>45121</v>
      </c>
      <c r="B196">
        <f t="shared" si="15"/>
        <v>5</v>
      </c>
      <c r="C196" t="s">
        <v>10</v>
      </c>
      <c r="D196">
        <f t="shared" ref="D196:D259" si="18">IF(B196&lt;6,$Q$1*VLOOKUP(C196,$S$1:$T$5,2,FALSE)*$Q$3,0)</f>
        <v>270</v>
      </c>
      <c r="E196">
        <f t="shared" ref="E196:E259" si="19">IF(B196=7,$Q$4*$Q$1,0)</f>
        <v>0</v>
      </c>
      <c r="F196">
        <f t="shared" si="16"/>
        <v>270</v>
      </c>
      <c r="G196">
        <f>SUM($E$2:E196)</f>
        <v>12200</v>
      </c>
      <c r="H196">
        <f>SUM($D$2:D196)</f>
        <v>18120</v>
      </c>
      <c r="I196">
        <f t="shared" si="17"/>
        <v>1</v>
      </c>
    </row>
    <row r="197" spans="1:9" x14ac:dyDescent="0.25">
      <c r="A197" s="1">
        <v>45122</v>
      </c>
      <c r="B197">
        <f t="shared" si="15"/>
        <v>6</v>
      </c>
      <c r="C197" t="s">
        <v>10</v>
      </c>
      <c r="D197">
        <f t="shared" si="18"/>
        <v>0</v>
      </c>
      <c r="E197">
        <f t="shared" si="19"/>
        <v>0</v>
      </c>
      <c r="F197">
        <f t="shared" si="16"/>
        <v>0</v>
      </c>
      <c r="G197">
        <f>SUM($E$2:E197)</f>
        <v>12200</v>
      </c>
      <c r="H197">
        <f>SUM($D$2:D197)</f>
        <v>18120</v>
      </c>
      <c r="I197">
        <f t="shared" si="17"/>
        <v>1</v>
      </c>
    </row>
    <row r="198" spans="1:9" x14ac:dyDescent="0.25">
      <c r="A198" s="1">
        <v>45123</v>
      </c>
      <c r="B198">
        <f t="shared" si="15"/>
        <v>7</v>
      </c>
      <c r="C198" t="s">
        <v>10</v>
      </c>
      <c r="D198">
        <f t="shared" si="18"/>
        <v>0</v>
      </c>
      <c r="E198">
        <f t="shared" si="19"/>
        <v>150</v>
      </c>
      <c r="F198">
        <f t="shared" si="16"/>
        <v>-150</v>
      </c>
      <c r="G198">
        <f>SUM($E$2:E198)</f>
        <v>12350</v>
      </c>
      <c r="H198">
        <f>SUM($D$2:D198)</f>
        <v>18120</v>
      </c>
      <c r="I198">
        <f t="shared" si="17"/>
        <v>1</v>
      </c>
    </row>
    <row r="199" spans="1:9" x14ac:dyDescent="0.25">
      <c r="A199" s="1">
        <v>45124</v>
      </c>
      <c r="B199">
        <f t="shared" si="15"/>
        <v>1</v>
      </c>
      <c r="C199" t="s">
        <v>10</v>
      </c>
      <c r="D199">
        <f t="shared" si="18"/>
        <v>270</v>
      </c>
      <c r="E199">
        <f t="shared" si="19"/>
        <v>0</v>
      </c>
      <c r="F199">
        <f t="shared" si="16"/>
        <v>270</v>
      </c>
      <c r="G199">
        <f>SUM($E$2:E199)</f>
        <v>12350</v>
      </c>
      <c r="H199">
        <f>SUM($D$2:D199)</f>
        <v>18390</v>
      </c>
      <c r="I199">
        <f t="shared" si="17"/>
        <v>1</v>
      </c>
    </row>
    <row r="200" spans="1:9" x14ac:dyDescent="0.25">
      <c r="A200" s="1">
        <v>45125</v>
      </c>
      <c r="B200">
        <f t="shared" si="15"/>
        <v>2</v>
      </c>
      <c r="C200" t="s">
        <v>10</v>
      </c>
      <c r="D200">
        <f t="shared" si="18"/>
        <v>270</v>
      </c>
      <c r="E200">
        <f t="shared" si="19"/>
        <v>0</v>
      </c>
      <c r="F200">
        <f t="shared" si="16"/>
        <v>270</v>
      </c>
      <c r="G200">
        <f>SUM($E$2:E200)</f>
        <v>12350</v>
      </c>
      <c r="H200">
        <f>SUM($D$2:D200)</f>
        <v>18660</v>
      </c>
      <c r="I200">
        <f t="shared" si="17"/>
        <v>1</v>
      </c>
    </row>
    <row r="201" spans="1:9" x14ac:dyDescent="0.25">
      <c r="A201" s="1">
        <v>45126</v>
      </c>
      <c r="B201">
        <f t="shared" si="15"/>
        <v>3</v>
      </c>
      <c r="C201" t="s">
        <v>10</v>
      </c>
      <c r="D201">
        <f t="shared" si="18"/>
        <v>270</v>
      </c>
      <c r="E201">
        <f t="shared" si="19"/>
        <v>0</v>
      </c>
      <c r="F201">
        <f t="shared" si="16"/>
        <v>270</v>
      </c>
      <c r="G201">
        <f>SUM($E$2:E201)</f>
        <v>12350</v>
      </c>
      <c r="H201">
        <f>SUM($D$2:D201)</f>
        <v>18930</v>
      </c>
      <c r="I201">
        <f t="shared" si="17"/>
        <v>1</v>
      </c>
    </row>
    <row r="202" spans="1:9" x14ac:dyDescent="0.25">
      <c r="A202" s="1">
        <v>45127</v>
      </c>
      <c r="B202">
        <f t="shared" si="15"/>
        <v>4</v>
      </c>
      <c r="C202" t="s">
        <v>10</v>
      </c>
      <c r="D202">
        <f t="shared" si="18"/>
        <v>270</v>
      </c>
      <c r="E202">
        <f t="shared" si="19"/>
        <v>0</v>
      </c>
      <c r="F202">
        <f t="shared" si="16"/>
        <v>270</v>
      </c>
      <c r="G202">
        <f>SUM($E$2:E202)</f>
        <v>12350</v>
      </c>
      <c r="H202">
        <f>SUM($D$2:D202)</f>
        <v>19200</v>
      </c>
      <c r="I202">
        <f t="shared" si="17"/>
        <v>1</v>
      </c>
    </row>
    <row r="203" spans="1:9" x14ac:dyDescent="0.25">
      <c r="A203" s="1">
        <v>45128</v>
      </c>
      <c r="B203">
        <f t="shared" si="15"/>
        <v>5</v>
      </c>
      <c r="C203" t="s">
        <v>10</v>
      </c>
      <c r="D203">
        <f t="shared" si="18"/>
        <v>270</v>
      </c>
      <c r="E203">
        <f t="shared" si="19"/>
        <v>0</v>
      </c>
      <c r="F203">
        <f t="shared" si="16"/>
        <v>270</v>
      </c>
      <c r="G203">
        <f>SUM($E$2:E203)</f>
        <v>12350</v>
      </c>
      <c r="H203">
        <f>SUM($D$2:D203)</f>
        <v>19470</v>
      </c>
      <c r="I203">
        <f t="shared" si="17"/>
        <v>1</v>
      </c>
    </row>
    <row r="204" spans="1:9" x14ac:dyDescent="0.25">
      <c r="A204" s="1">
        <v>45129</v>
      </c>
      <c r="B204">
        <f t="shared" si="15"/>
        <v>6</v>
      </c>
      <c r="C204" t="s">
        <v>10</v>
      </c>
      <c r="D204">
        <f t="shared" si="18"/>
        <v>0</v>
      </c>
      <c r="E204">
        <f t="shared" si="19"/>
        <v>0</v>
      </c>
      <c r="F204">
        <f t="shared" si="16"/>
        <v>0</v>
      </c>
      <c r="G204">
        <f>SUM($E$2:E204)</f>
        <v>12350</v>
      </c>
      <c r="H204">
        <f>SUM($D$2:D204)</f>
        <v>19470</v>
      </c>
      <c r="I204">
        <f t="shared" si="17"/>
        <v>1</v>
      </c>
    </row>
    <row r="205" spans="1:9" x14ac:dyDescent="0.25">
      <c r="A205" s="1">
        <v>45130</v>
      </c>
      <c r="B205">
        <f t="shared" si="15"/>
        <v>7</v>
      </c>
      <c r="C205" t="s">
        <v>10</v>
      </c>
      <c r="D205">
        <f t="shared" si="18"/>
        <v>0</v>
      </c>
      <c r="E205">
        <f t="shared" si="19"/>
        <v>150</v>
      </c>
      <c r="F205">
        <f t="shared" si="16"/>
        <v>-150</v>
      </c>
      <c r="G205">
        <f>SUM($E$2:E205)</f>
        <v>12500</v>
      </c>
      <c r="H205">
        <f>SUM($D$2:D205)</f>
        <v>19470</v>
      </c>
      <c r="I205">
        <f t="shared" si="17"/>
        <v>1</v>
      </c>
    </row>
    <row r="206" spans="1:9" x14ac:dyDescent="0.25">
      <c r="A206" s="1">
        <v>45131</v>
      </c>
      <c r="B206">
        <f t="shared" si="15"/>
        <v>1</v>
      </c>
      <c r="C206" t="s">
        <v>10</v>
      </c>
      <c r="D206">
        <f t="shared" si="18"/>
        <v>270</v>
      </c>
      <c r="E206">
        <f t="shared" si="19"/>
        <v>0</v>
      </c>
      <c r="F206">
        <f t="shared" si="16"/>
        <v>270</v>
      </c>
      <c r="G206">
        <f>SUM($E$2:E206)</f>
        <v>12500</v>
      </c>
      <c r="H206">
        <f>SUM($D$2:D206)</f>
        <v>19740</v>
      </c>
      <c r="I206">
        <f t="shared" si="17"/>
        <v>1</v>
      </c>
    </row>
    <row r="207" spans="1:9" x14ac:dyDescent="0.25">
      <c r="A207" s="1">
        <v>45132</v>
      </c>
      <c r="B207">
        <f t="shared" si="15"/>
        <v>2</v>
      </c>
      <c r="C207" t="s">
        <v>10</v>
      </c>
      <c r="D207">
        <f t="shared" si="18"/>
        <v>270</v>
      </c>
      <c r="E207">
        <f t="shared" si="19"/>
        <v>0</v>
      </c>
      <c r="F207">
        <f t="shared" si="16"/>
        <v>270</v>
      </c>
      <c r="G207">
        <f>SUM($E$2:E207)</f>
        <v>12500</v>
      </c>
      <c r="H207">
        <f>SUM($D$2:D207)</f>
        <v>20010</v>
      </c>
      <c r="I207">
        <f t="shared" si="17"/>
        <v>1</v>
      </c>
    </row>
    <row r="208" spans="1:9" x14ac:dyDescent="0.25">
      <c r="A208" s="1">
        <v>45133</v>
      </c>
      <c r="B208">
        <f t="shared" si="15"/>
        <v>3</v>
      </c>
      <c r="C208" t="s">
        <v>10</v>
      </c>
      <c r="D208">
        <f t="shared" si="18"/>
        <v>270</v>
      </c>
      <c r="E208">
        <f t="shared" si="19"/>
        <v>0</v>
      </c>
      <c r="F208">
        <f t="shared" si="16"/>
        <v>270</v>
      </c>
      <c r="G208">
        <f>SUM($E$2:E208)</f>
        <v>12500</v>
      </c>
      <c r="H208">
        <f>SUM($D$2:D208)</f>
        <v>20280</v>
      </c>
      <c r="I208">
        <f t="shared" si="17"/>
        <v>1</v>
      </c>
    </row>
    <row r="209" spans="1:9" x14ac:dyDescent="0.25">
      <c r="A209" s="1">
        <v>45134</v>
      </c>
      <c r="B209">
        <f t="shared" si="15"/>
        <v>4</v>
      </c>
      <c r="C209" t="s">
        <v>10</v>
      </c>
      <c r="D209">
        <f t="shared" si="18"/>
        <v>270</v>
      </c>
      <c r="E209">
        <f t="shared" si="19"/>
        <v>0</v>
      </c>
      <c r="F209">
        <f t="shared" si="16"/>
        <v>270</v>
      </c>
      <c r="G209">
        <f>SUM($E$2:E209)</f>
        <v>12500</v>
      </c>
      <c r="H209">
        <f>SUM($D$2:D209)</f>
        <v>20550</v>
      </c>
      <c r="I209">
        <f t="shared" si="17"/>
        <v>1</v>
      </c>
    </row>
    <row r="210" spans="1:9" x14ac:dyDescent="0.25">
      <c r="A210" s="1">
        <v>45135</v>
      </c>
      <c r="B210">
        <f t="shared" si="15"/>
        <v>5</v>
      </c>
      <c r="C210" t="s">
        <v>10</v>
      </c>
      <c r="D210">
        <f t="shared" si="18"/>
        <v>270</v>
      </c>
      <c r="E210">
        <f t="shared" si="19"/>
        <v>0</v>
      </c>
      <c r="F210">
        <f t="shared" si="16"/>
        <v>270</v>
      </c>
      <c r="G210">
        <f>SUM($E$2:E210)</f>
        <v>12500</v>
      </c>
      <c r="H210">
        <f>SUM($D$2:D210)</f>
        <v>20820</v>
      </c>
      <c r="I210">
        <f t="shared" si="17"/>
        <v>1</v>
      </c>
    </row>
    <row r="211" spans="1:9" x14ac:dyDescent="0.25">
      <c r="A211" s="1">
        <v>45136</v>
      </c>
      <c r="B211">
        <f t="shared" si="15"/>
        <v>6</v>
      </c>
      <c r="C211" t="s">
        <v>10</v>
      </c>
      <c r="D211">
        <f t="shared" si="18"/>
        <v>0</v>
      </c>
      <c r="E211">
        <f t="shared" si="19"/>
        <v>0</v>
      </c>
      <c r="F211">
        <f t="shared" si="16"/>
        <v>0</v>
      </c>
      <c r="G211">
        <f>SUM($E$2:E211)</f>
        <v>12500</v>
      </c>
      <c r="H211">
        <f>SUM($D$2:D211)</f>
        <v>20820</v>
      </c>
      <c r="I211">
        <f t="shared" si="17"/>
        <v>1</v>
      </c>
    </row>
    <row r="212" spans="1:9" x14ac:dyDescent="0.25">
      <c r="A212" s="1">
        <v>45137</v>
      </c>
      <c r="B212">
        <f t="shared" si="15"/>
        <v>7</v>
      </c>
      <c r="C212" t="s">
        <v>10</v>
      </c>
      <c r="D212">
        <f t="shared" si="18"/>
        <v>0</v>
      </c>
      <c r="E212">
        <f t="shared" si="19"/>
        <v>150</v>
      </c>
      <c r="F212">
        <f t="shared" si="16"/>
        <v>-150</v>
      </c>
      <c r="G212">
        <f>SUM($E$2:E212)</f>
        <v>12650</v>
      </c>
      <c r="H212">
        <f>SUM($D$2:D212)</f>
        <v>20820</v>
      </c>
      <c r="I212">
        <f t="shared" si="17"/>
        <v>1</v>
      </c>
    </row>
    <row r="213" spans="1:9" x14ac:dyDescent="0.25">
      <c r="A213" s="1">
        <v>45138</v>
      </c>
      <c r="B213">
        <f t="shared" si="15"/>
        <v>1</v>
      </c>
      <c r="C213" t="s">
        <v>10</v>
      </c>
      <c r="D213">
        <f t="shared" si="18"/>
        <v>270</v>
      </c>
      <c r="E213">
        <f t="shared" si="19"/>
        <v>0</v>
      </c>
      <c r="F213">
        <f t="shared" si="16"/>
        <v>270</v>
      </c>
      <c r="G213">
        <f>SUM($E$2:E213)</f>
        <v>12650</v>
      </c>
      <c r="H213">
        <f>SUM($D$2:D213)</f>
        <v>21090</v>
      </c>
      <c r="I213">
        <f t="shared" si="17"/>
        <v>1</v>
      </c>
    </row>
    <row r="214" spans="1:9" x14ac:dyDescent="0.25">
      <c r="A214" s="1">
        <v>45139</v>
      </c>
      <c r="B214">
        <f t="shared" si="15"/>
        <v>2</v>
      </c>
      <c r="C214" t="s">
        <v>10</v>
      </c>
      <c r="D214">
        <f t="shared" si="18"/>
        <v>270</v>
      </c>
      <c r="E214">
        <f t="shared" si="19"/>
        <v>0</v>
      </c>
      <c r="F214">
        <f t="shared" si="16"/>
        <v>270</v>
      </c>
      <c r="G214">
        <f>SUM($E$2:E214)</f>
        <v>12650</v>
      </c>
      <c r="H214">
        <f>SUM($D$2:D214)</f>
        <v>21360</v>
      </c>
      <c r="I214">
        <f t="shared" si="17"/>
        <v>1</v>
      </c>
    </row>
    <row r="215" spans="1:9" x14ac:dyDescent="0.25">
      <c r="A215" s="1">
        <v>45140</v>
      </c>
      <c r="B215">
        <f t="shared" si="15"/>
        <v>3</v>
      </c>
      <c r="C215" t="s">
        <v>10</v>
      </c>
      <c r="D215">
        <f t="shared" si="18"/>
        <v>270</v>
      </c>
      <c r="E215">
        <f t="shared" si="19"/>
        <v>0</v>
      </c>
      <c r="F215">
        <f t="shared" si="16"/>
        <v>270</v>
      </c>
      <c r="G215">
        <f>SUM($E$2:E215)</f>
        <v>12650</v>
      </c>
      <c r="H215">
        <f>SUM($D$2:D215)</f>
        <v>21630</v>
      </c>
      <c r="I215">
        <f t="shared" si="17"/>
        <v>1</v>
      </c>
    </row>
    <row r="216" spans="1:9" x14ac:dyDescent="0.25">
      <c r="A216" s="1">
        <v>45141</v>
      </c>
      <c r="B216">
        <f t="shared" si="15"/>
        <v>4</v>
      </c>
      <c r="C216" t="s">
        <v>10</v>
      </c>
      <c r="D216">
        <f t="shared" si="18"/>
        <v>270</v>
      </c>
      <c r="E216">
        <f t="shared" si="19"/>
        <v>0</v>
      </c>
      <c r="F216">
        <f t="shared" si="16"/>
        <v>270</v>
      </c>
      <c r="G216">
        <f>SUM($E$2:E216)</f>
        <v>12650</v>
      </c>
      <c r="H216">
        <f>SUM($D$2:D216)</f>
        <v>21900</v>
      </c>
      <c r="I216">
        <f t="shared" si="17"/>
        <v>1</v>
      </c>
    </row>
    <row r="217" spans="1:9" x14ac:dyDescent="0.25">
      <c r="A217" s="1">
        <v>45142</v>
      </c>
      <c r="B217">
        <f t="shared" si="15"/>
        <v>5</v>
      </c>
      <c r="C217" t="s">
        <v>10</v>
      </c>
      <c r="D217">
        <f t="shared" si="18"/>
        <v>270</v>
      </c>
      <c r="E217">
        <f t="shared" si="19"/>
        <v>0</v>
      </c>
      <c r="F217">
        <f t="shared" si="16"/>
        <v>270</v>
      </c>
      <c r="G217">
        <f>SUM($E$2:E217)</f>
        <v>12650</v>
      </c>
      <c r="H217">
        <f>SUM($D$2:D217)</f>
        <v>22170</v>
      </c>
      <c r="I217">
        <f t="shared" si="17"/>
        <v>1</v>
      </c>
    </row>
    <row r="218" spans="1:9" x14ac:dyDescent="0.25">
      <c r="A218" s="1">
        <v>45143</v>
      </c>
      <c r="B218">
        <f t="shared" si="15"/>
        <v>6</v>
      </c>
      <c r="C218" t="s">
        <v>10</v>
      </c>
      <c r="D218">
        <f t="shared" si="18"/>
        <v>0</v>
      </c>
      <c r="E218">
        <f t="shared" si="19"/>
        <v>0</v>
      </c>
      <c r="F218">
        <f t="shared" si="16"/>
        <v>0</v>
      </c>
      <c r="G218">
        <f>SUM($E$2:E218)</f>
        <v>12650</v>
      </c>
      <c r="H218">
        <f>SUM($D$2:D218)</f>
        <v>22170</v>
      </c>
      <c r="I218">
        <f t="shared" si="17"/>
        <v>1</v>
      </c>
    </row>
    <row r="219" spans="1:9" x14ac:dyDescent="0.25">
      <c r="A219" s="1">
        <v>45144</v>
      </c>
      <c r="B219">
        <f t="shared" si="15"/>
        <v>7</v>
      </c>
      <c r="C219" t="s">
        <v>10</v>
      </c>
      <c r="D219">
        <f t="shared" si="18"/>
        <v>0</v>
      </c>
      <c r="E219">
        <f t="shared" si="19"/>
        <v>150</v>
      </c>
      <c r="F219">
        <f t="shared" si="16"/>
        <v>-150</v>
      </c>
      <c r="G219">
        <f>SUM($E$2:E219)</f>
        <v>12800</v>
      </c>
      <c r="H219">
        <f>SUM($D$2:D219)</f>
        <v>22170</v>
      </c>
      <c r="I219">
        <f t="shared" si="17"/>
        <v>1</v>
      </c>
    </row>
    <row r="220" spans="1:9" x14ac:dyDescent="0.25">
      <c r="A220" s="1">
        <v>45145</v>
      </c>
      <c r="B220">
        <f t="shared" si="15"/>
        <v>1</v>
      </c>
      <c r="C220" t="s">
        <v>10</v>
      </c>
      <c r="D220">
        <f t="shared" si="18"/>
        <v>270</v>
      </c>
      <c r="E220">
        <f t="shared" si="19"/>
        <v>0</v>
      </c>
      <c r="F220">
        <f t="shared" si="16"/>
        <v>270</v>
      </c>
      <c r="G220">
        <f>SUM($E$2:E220)</f>
        <v>12800</v>
      </c>
      <c r="H220">
        <f>SUM($D$2:D220)</f>
        <v>22440</v>
      </c>
      <c r="I220">
        <f t="shared" si="17"/>
        <v>1</v>
      </c>
    </row>
    <row r="221" spans="1:9" x14ac:dyDescent="0.25">
      <c r="A221" s="1">
        <v>45146</v>
      </c>
      <c r="B221">
        <f t="shared" si="15"/>
        <v>2</v>
      </c>
      <c r="C221" t="s">
        <v>10</v>
      </c>
      <c r="D221">
        <f t="shared" si="18"/>
        <v>270</v>
      </c>
      <c r="E221">
        <f t="shared" si="19"/>
        <v>0</v>
      </c>
      <c r="F221">
        <f t="shared" si="16"/>
        <v>270</v>
      </c>
      <c r="G221">
        <f>SUM($E$2:E221)</f>
        <v>12800</v>
      </c>
      <c r="H221">
        <f>SUM($D$2:D221)</f>
        <v>22710</v>
      </c>
      <c r="I221">
        <f t="shared" si="17"/>
        <v>1</v>
      </c>
    </row>
    <row r="222" spans="1:9" x14ac:dyDescent="0.25">
      <c r="A222" s="1">
        <v>45147</v>
      </c>
      <c r="B222">
        <f t="shared" si="15"/>
        <v>3</v>
      </c>
      <c r="C222" t="s">
        <v>10</v>
      </c>
      <c r="D222">
        <f t="shared" si="18"/>
        <v>270</v>
      </c>
      <c r="E222">
        <f t="shared" si="19"/>
        <v>0</v>
      </c>
      <c r="F222">
        <f t="shared" si="16"/>
        <v>270</v>
      </c>
      <c r="G222">
        <f>SUM($E$2:E222)</f>
        <v>12800</v>
      </c>
      <c r="H222">
        <f>SUM($D$2:D222)</f>
        <v>22980</v>
      </c>
      <c r="I222">
        <f t="shared" si="17"/>
        <v>1</v>
      </c>
    </row>
    <row r="223" spans="1:9" x14ac:dyDescent="0.25">
      <c r="A223" s="1">
        <v>45148</v>
      </c>
      <c r="B223">
        <f t="shared" si="15"/>
        <v>4</v>
      </c>
      <c r="C223" t="s">
        <v>10</v>
      </c>
      <c r="D223">
        <f t="shared" si="18"/>
        <v>270</v>
      </c>
      <c r="E223">
        <f t="shared" si="19"/>
        <v>0</v>
      </c>
      <c r="F223">
        <f t="shared" si="16"/>
        <v>270</v>
      </c>
      <c r="G223">
        <f>SUM($E$2:E223)</f>
        <v>12800</v>
      </c>
      <c r="H223">
        <f>SUM($D$2:D223)</f>
        <v>23250</v>
      </c>
      <c r="I223">
        <f t="shared" si="17"/>
        <v>1</v>
      </c>
    </row>
    <row r="224" spans="1:9" x14ac:dyDescent="0.25">
      <c r="A224" s="1">
        <v>45149</v>
      </c>
      <c r="B224">
        <f t="shared" si="15"/>
        <v>5</v>
      </c>
      <c r="C224" t="s">
        <v>10</v>
      </c>
      <c r="D224">
        <f t="shared" si="18"/>
        <v>270</v>
      </c>
      <c r="E224">
        <f t="shared" si="19"/>
        <v>0</v>
      </c>
      <c r="F224">
        <f t="shared" si="16"/>
        <v>270</v>
      </c>
      <c r="G224">
        <f>SUM($E$2:E224)</f>
        <v>12800</v>
      </c>
      <c r="H224">
        <f>SUM($D$2:D224)</f>
        <v>23520</v>
      </c>
      <c r="I224">
        <f t="shared" si="17"/>
        <v>1</v>
      </c>
    </row>
    <row r="225" spans="1:9" x14ac:dyDescent="0.25">
      <c r="A225" s="1">
        <v>45150</v>
      </c>
      <c r="B225">
        <f t="shared" si="15"/>
        <v>6</v>
      </c>
      <c r="C225" t="s">
        <v>10</v>
      </c>
      <c r="D225">
        <f t="shared" si="18"/>
        <v>0</v>
      </c>
      <c r="E225">
        <f t="shared" si="19"/>
        <v>0</v>
      </c>
      <c r="F225">
        <f t="shared" si="16"/>
        <v>0</v>
      </c>
      <c r="G225">
        <f>SUM($E$2:E225)</f>
        <v>12800</v>
      </c>
      <c r="H225">
        <f>SUM($D$2:D225)</f>
        <v>23520</v>
      </c>
      <c r="I225">
        <f t="shared" si="17"/>
        <v>1</v>
      </c>
    </row>
    <row r="226" spans="1:9" x14ac:dyDescent="0.25">
      <c r="A226" s="1">
        <v>45151</v>
      </c>
      <c r="B226">
        <f t="shared" si="15"/>
        <v>7</v>
      </c>
      <c r="C226" t="s">
        <v>10</v>
      </c>
      <c r="D226">
        <f t="shared" si="18"/>
        <v>0</v>
      </c>
      <c r="E226">
        <f t="shared" si="19"/>
        <v>150</v>
      </c>
      <c r="F226">
        <f t="shared" si="16"/>
        <v>-150</v>
      </c>
      <c r="G226">
        <f>SUM($E$2:E226)</f>
        <v>12950</v>
      </c>
      <c r="H226">
        <f>SUM($D$2:D226)</f>
        <v>23520</v>
      </c>
      <c r="I226">
        <f t="shared" si="17"/>
        <v>1</v>
      </c>
    </row>
    <row r="227" spans="1:9" x14ac:dyDescent="0.25">
      <c r="A227" s="1">
        <v>45152</v>
      </c>
      <c r="B227">
        <f t="shared" si="15"/>
        <v>1</v>
      </c>
      <c r="C227" t="s">
        <v>10</v>
      </c>
      <c r="D227">
        <f t="shared" si="18"/>
        <v>270</v>
      </c>
      <c r="E227">
        <f t="shared" si="19"/>
        <v>0</v>
      </c>
      <c r="F227">
        <f t="shared" si="16"/>
        <v>270</v>
      </c>
      <c r="G227">
        <f>SUM($E$2:E227)</f>
        <v>12950</v>
      </c>
      <c r="H227">
        <f>SUM($D$2:D227)</f>
        <v>23790</v>
      </c>
      <c r="I227">
        <f t="shared" si="17"/>
        <v>1</v>
      </c>
    </row>
    <row r="228" spans="1:9" x14ac:dyDescent="0.25">
      <c r="A228" s="1">
        <v>45153</v>
      </c>
      <c r="B228">
        <f t="shared" si="15"/>
        <v>2</v>
      </c>
      <c r="C228" t="s">
        <v>10</v>
      </c>
      <c r="D228">
        <f t="shared" si="18"/>
        <v>270</v>
      </c>
      <c r="E228">
        <f t="shared" si="19"/>
        <v>0</v>
      </c>
      <c r="F228">
        <f t="shared" si="16"/>
        <v>270</v>
      </c>
      <c r="G228">
        <f>SUM($E$2:E228)</f>
        <v>12950</v>
      </c>
      <c r="H228">
        <f>SUM($D$2:D228)</f>
        <v>24060</v>
      </c>
      <c r="I228">
        <f t="shared" si="17"/>
        <v>1</v>
      </c>
    </row>
    <row r="229" spans="1:9" x14ac:dyDescent="0.25">
      <c r="A229" s="1">
        <v>45154</v>
      </c>
      <c r="B229">
        <f t="shared" si="15"/>
        <v>3</v>
      </c>
      <c r="C229" t="s">
        <v>10</v>
      </c>
      <c r="D229">
        <f t="shared" si="18"/>
        <v>270</v>
      </c>
      <c r="E229">
        <f t="shared" si="19"/>
        <v>0</v>
      </c>
      <c r="F229">
        <f t="shared" si="16"/>
        <v>270</v>
      </c>
      <c r="G229">
        <f>SUM($E$2:E229)</f>
        <v>12950</v>
      </c>
      <c r="H229">
        <f>SUM($D$2:D229)</f>
        <v>24330</v>
      </c>
      <c r="I229">
        <f t="shared" si="17"/>
        <v>1</v>
      </c>
    </row>
    <row r="230" spans="1:9" x14ac:dyDescent="0.25">
      <c r="A230" s="1">
        <v>45155</v>
      </c>
      <c r="B230">
        <f t="shared" si="15"/>
        <v>4</v>
      </c>
      <c r="C230" t="s">
        <v>10</v>
      </c>
      <c r="D230">
        <f t="shared" si="18"/>
        <v>270</v>
      </c>
      <c r="E230">
        <f t="shared" si="19"/>
        <v>0</v>
      </c>
      <c r="F230">
        <f t="shared" si="16"/>
        <v>270</v>
      </c>
      <c r="G230">
        <f>SUM($E$2:E230)</f>
        <v>12950</v>
      </c>
      <c r="H230">
        <f>SUM($D$2:D230)</f>
        <v>24600</v>
      </c>
      <c r="I230">
        <f t="shared" si="17"/>
        <v>1</v>
      </c>
    </row>
    <row r="231" spans="1:9" x14ac:dyDescent="0.25">
      <c r="A231" s="1">
        <v>45156</v>
      </c>
      <c r="B231">
        <f t="shared" si="15"/>
        <v>5</v>
      </c>
      <c r="C231" t="s">
        <v>10</v>
      </c>
      <c r="D231">
        <f t="shared" si="18"/>
        <v>270</v>
      </c>
      <c r="E231">
        <f t="shared" si="19"/>
        <v>0</v>
      </c>
      <c r="F231">
        <f t="shared" si="16"/>
        <v>270</v>
      </c>
      <c r="G231">
        <f>SUM($E$2:E231)</f>
        <v>12950</v>
      </c>
      <c r="H231">
        <f>SUM($D$2:D231)</f>
        <v>24870</v>
      </c>
      <c r="I231">
        <f t="shared" si="17"/>
        <v>1</v>
      </c>
    </row>
    <row r="232" spans="1:9" x14ac:dyDescent="0.25">
      <c r="A232" s="1">
        <v>45157</v>
      </c>
      <c r="B232">
        <f t="shared" si="15"/>
        <v>6</v>
      </c>
      <c r="C232" t="s">
        <v>10</v>
      </c>
      <c r="D232">
        <f t="shared" si="18"/>
        <v>0</v>
      </c>
      <c r="E232">
        <f t="shared" si="19"/>
        <v>0</v>
      </c>
      <c r="F232">
        <f t="shared" si="16"/>
        <v>0</v>
      </c>
      <c r="G232">
        <f>SUM($E$2:E232)</f>
        <v>12950</v>
      </c>
      <c r="H232">
        <f>SUM($D$2:D232)</f>
        <v>24870</v>
      </c>
      <c r="I232">
        <f t="shared" si="17"/>
        <v>1</v>
      </c>
    </row>
    <row r="233" spans="1:9" x14ac:dyDescent="0.25">
      <c r="A233" s="1">
        <v>45158</v>
      </c>
      <c r="B233">
        <f t="shared" si="15"/>
        <v>7</v>
      </c>
      <c r="C233" t="s">
        <v>10</v>
      </c>
      <c r="D233">
        <f t="shared" si="18"/>
        <v>0</v>
      </c>
      <c r="E233">
        <f t="shared" si="19"/>
        <v>150</v>
      </c>
      <c r="F233">
        <f t="shared" si="16"/>
        <v>-150</v>
      </c>
      <c r="G233">
        <f>SUM($E$2:E233)</f>
        <v>13100</v>
      </c>
      <c r="H233">
        <f>SUM($D$2:D233)</f>
        <v>24870</v>
      </c>
      <c r="I233">
        <f t="shared" si="17"/>
        <v>1</v>
      </c>
    </row>
    <row r="234" spans="1:9" x14ac:dyDescent="0.25">
      <c r="A234" s="1">
        <v>45159</v>
      </c>
      <c r="B234">
        <f t="shared" si="15"/>
        <v>1</v>
      </c>
      <c r="C234" t="s">
        <v>10</v>
      </c>
      <c r="D234">
        <f t="shared" si="18"/>
        <v>270</v>
      </c>
      <c r="E234">
        <f t="shared" si="19"/>
        <v>0</v>
      </c>
      <c r="F234">
        <f t="shared" si="16"/>
        <v>270</v>
      </c>
      <c r="G234">
        <f>SUM($E$2:E234)</f>
        <v>13100</v>
      </c>
      <c r="H234">
        <f>SUM($D$2:D234)</f>
        <v>25140</v>
      </c>
      <c r="I234">
        <f t="shared" si="17"/>
        <v>1</v>
      </c>
    </row>
    <row r="235" spans="1:9" x14ac:dyDescent="0.25">
      <c r="A235" s="1">
        <v>45160</v>
      </c>
      <c r="B235">
        <f t="shared" si="15"/>
        <v>2</v>
      </c>
      <c r="C235" t="s">
        <v>10</v>
      </c>
      <c r="D235">
        <f t="shared" si="18"/>
        <v>270</v>
      </c>
      <c r="E235">
        <f t="shared" si="19"/>
        <v>0</v>
      </c>
      <c r="F235">
        <f t="shared" si="16"/>
        <v>270</v>
      </c>
      <c r="G235">
        <f>SUM($E$2:E235)</f>
        <v>13100</v>
      </c>
      <c r="H235">
        <f>SUM($D$2:D235)</f>
        <v>25410</v>
      </c>
      <c r="I235">
        <f t="shared" si="17"/>
        <v>1</v>
      </c>
    </row>
    <row r="236" spans="1:9" x14ac:dyDescent="0.25">
      <c r="A236" s="1">
        <v>45161</v>
      </c>
      <c r="B236">
        <f t="shared" si="15"/>
        <v>3</v>
      </c>
      <c r="C236" t="s">
        <v>10</v>
      </c>
      <c r="D236">
        <f t="shared" si="18"/>
        <v>270</v>
      </c>
      <c r="E236">
        <f t="shared" si="19"/>
        <v>0</v>
      </c>
      <c r="F236">
        <f t="shared" si="16"/>
        <v>270</v>
      </c>
      <c r="G236">
        <f>SUM($E$2:E236)</f>
        <v>13100</v>
      </c>
      <c r="H236">
        <f>SUM($D$2:D236)</f>
        <v>25680</v>
      </c>
      <c r="I236">
        <f t="shared" si="17"/>
        <v>1</v>
      </c>
    </row>
    <row r="237" spans="1:9" x14ac:dyDescent="0.25">
      <c r="A237" s="1">
        <v>45162</v>
      </c>
      <c r="B237">
        <f t="shared" si="15"/>
        <v>4</v>
      </c>
      <c r="C237" t="s">
        <v>10</v>
      </c>
      <c r="D237">
        <f t="shared" si="18"/>
        <v>270</v>
      </c>
      <c r="E237">
        <f t="shared" si="19"/>
        <v>0</v>
      </c>
      <c r="F237">
        <f t="shared" si="16"/>
        <v>270</v>
      </c>
      <c r="G237">
        <f>SUM($E$2:E237)</f>
        <v>13100</v>
      </c>
      <c r="H237">
        <f>SUM($D$2:D237)</f>
        <v>25950</v>
      </c>
      <c r="I237">
        <f t="shared" si="17"/>
        <v>1</v>
      </c>
    </row>
    <row r="238" spans="1:9" x14ac:dyDescent="0.25">
      <c r="A238" s="1">
        <v>45163</v>
      </c>
      <c r="B238">
        <f t="shared" si="15"/>
        <v>5</v>
      </c>
      <c r="C238" t="s">
        <v>10</v>
      </c>
      <c r="D238">
        <f t="shared" si="18"/>
        <v>270</v>
      </c>
      <c r="E238">
        <f t="shared" si="19"/>
        <v>0</v>
      </c>
      <c r="F238">
        <f t="shared" si="16"/>
        <v>270</v>
      </c>
      <c r="G238">
        <f>SUM($E$2:E238)</f>
        <v>13100</v>
      </c>
      <c r="H238">
        <f>SUM($D$2:D238)</f>
        <v>26220</v>
      </c>
      <c r="I238">
        <f t="shared" si="17"/>
        <v>1</v>
      </c>
    </row>
    <row r="239" spans="1:9" x14ac:dyDescent="0.25">
      <c r="A239" s="1">
        <v>45164</v>
      </c>
      <c r="B239">
        <f t="shared" si="15"/>
        <v>6</v>
      </c>
      <c r="C239" t="s">
        <v>10</v>
      </c>
      <c r="D239">
        <f t="shared" si="18"/>
        <v>0</v>
      </c>
      <c r="E239">
        <f t="shared" si="19"/>
        <v>0</v>
      </c>
      <c r="F239">
        <f t="shared" si="16"/>
        <v>0</v>
      </c>
      <c r="G239">
        <f>SUM($E$2:E239)</f>
        <v>13100</v>
      </c>
      <c r="H239">
        <f>SUM($D$2:D239)</f>
        <v>26220</v>
      </c>
      <c r="I239">
        <f t="shared" si="17"/>
        <v>1</v>
      </c>
    </row>
    <row r="240" spans="1:9" x14ac:dyDescent="0.25">
      <c r="A240" s="1">
        <v>45165</v>
      </c>
      <c r="B240">
        <f t="shared" si="15"/>
        <v>7</v>
      </c>
      <c r="C240" t="s">
        <v>10</v>
      </c>
      <c r="D240">
        <f t="shared" si="18"/>
        <v>0</v>
      </c>
      <c r="E240">
        <f t="shared" si="19"/>
        <v>150</v>
      </c>
      <c r="F240">
        <f t="shared" si="16"/>
        <v>-150</v>
      </c>
      <c r="G240">
        <f>SUM($E$2:E240)</f>
        <v>13250</v>
      </c>
      <c r="H240">
        <f>SUM($D$2:D240)</f>
        <v>26220</v>
      </c>
      <c r="I240">
        <f t="shared" si="17"/>
        <v>1</v>
      </c>
    </row>
    <row r="241" spans="1:9" x14ac:dyDescent="0.25">
      <c r="A241" s="1">
        <v>45166</v>
      </c>
      <c r="B241">
        <f t="shared" si="15"/>
        <v>1</v>
      </c>
      <c r="C241" t="s">
        <v>10</v>
      </c>
      <c r="D241">
        <f t="shared" si="18"/>
        <v>270</v>
      </c>
      <c r="E241">
        <f t="shared" si="19"/>
        <v>0</v>
      </c>
      <c r="F241">
        <f t="shared" si="16"/>
        <v>270</v>
      </c>
      <c r="G241">
        <f>SUM($E$2:E241)</f>
        <v>13250</v>
      </c>
      <c r="H241">
        <f>SUM($D$2:D241)</f>
        <v>26490</v>
      </c>
      <c r="I241">
        <f t="shared" si="17"/>
        <v>1</v>
      </c>
    </row>
    <row r="242" spans="1:9" x14ac:dyDescent="0.25">
      <c r="A242" s="1">
        <v>45167</v>
      </c>
      <c r="B242">
        <f t="shared" si="15"/>
        <v>2</v>
      </c>
      <c r="C242" t="s">
        <v>10</v>
      </c>
      <c r="D242">
        <f t="shared" si="18"/>
        <v>270</v>
      </c>
      <c r="E242">
        <f t="shared" si="19"/>
        <v>0</v>
      </c>
      <c r="F242">
        <f t="shared" si="16"/>
        <v>270</v>
      </c>
      <c r="G242">
        <f>SUM($E$2:E242)</f>
        <v>13250</v>
      </c>
      <c r="H242">
        <f>SUM($D$2:D242)</f>
        <v>26760</v>
      </c>
      <c r="I242">
        <f t="shared" si="17"/>
        <v>1</v>
      </c>
    </row>
    <row r="243" spans="1:9" x14ac:dyDescent="0.25">
      <c r="A243" s="1">
        <v>45168</v>
      </c>
      <c r="B243">
        <f t="shared" si="15"/>
        <v>3</v>
      </c>
      <c r="C243" t="s">
        <v>10</v>
      </c>
      <c r="D243">
        <f t="shared" si="18"/>
        <v>270</v>
      </c>
      <c r="E243">
        <f t="shared" si="19"/>
        <v>0</v>
      </c>
      <c r="F243">
        <f t="shared" si="16"/>
        <v>270</v>
      </c>
      <c r="G243">
        <f>SUM($E$2:E243)</f>
        <v>13250</v>
      </c>
      <c r="H243">
        <f>SUM($D$2:D243)</f>
        <v>27030</v>
      </c>
      <c r="I243">
        <f t="shared" si="17"/>
        <v>1</v>
      </c>
    </row>
    <row r="244" spans="1:9" x14ac:dyDescent="0.25">
      <c r="A244" s="1">
        <v>45169</v>
      </c>
      <c r="B244">
        <f t="shared" si="15"/>
        <v>4</v>
      </c>
      <c r="C244" t="s">
        <v>10</v>
      </c>
      <c r="D244">
        <f t="shared" si="18"/>
        <v>270</v>
      </c>
      <c r="E244">
        <f t="shared" si="19"/>
        <v>0</v>
      </c>
      <c r="F244">
        <f t="shared" si="16"/>
        <v>270</v>
      </c>
      <c r="G244">
        <f>SUM($E$2:E244)</f>
        <v>13250</v>
      </c>
      <c r="H244">
        <f>SUM($D$2:D244)</f>
        <v>27300</v>
      </c>
      <c r="I244">
        <f t="shared" si="17"/>
        <v>1</v>
      </c>
    </row>
    <row r="245" spans="1:9" x14ac:dyDescent="0.25">
      <c r="A245" s="1">
        <v>45170</v>
      </c>
      <c r="B245">
        <f t="shared" si="15"/>
        <v>5</v>
      </c>
      <c r="C245" t="s">
        <v>10</v>
      </c>
      <c r="D245">
        <f t="shared" si="18"/>
        <v>270</v>
      </c>
      <c r="E245">
        <f t="shared" si="19"/>
        <v>0</v>
      </c>
      <c r="F245">
        <f t="shared" si="16"/>
        <v>270</v>
      </c>
      <c r="G245">
        <f>SUM($E$2:E245)</f>
        <v>13250</v>
      </c>
      <c r="H245">
        <f>SUM($D$2:D245)</f>
        <v>27570</v>
      </c>
      <c r="I245">
        <f t="shared" si="17"/>
        <v>1</v>
      </c>
    </row>
    <row r="246" spans="1:9" x14ac:dyDescent="0.25">
      <c r="A246" s="1">
        <v>45171</v>
      </c>
      <c r="B246">
        <f t="shared" si="15"/>
        <v>6</v>
      </c>
      <c r="C246" t="s">
        <v>10</v>
      </c>
      <c r="D246">
        <f t="shared" si="18"/>
        <v>0</v>
      </c>
      <c r="E246">
        <f t="shared" si="19"/>
        <v>0</v>
      </c>
      <c r="F246">
        <f t="shared" si="16"/>
        <v>0</v>
      </c>
      <c r="G246">
        <f>SUM($E$2:E246)</f>
        <v>13250</v>
      </c>
      <c r="H246">
        <f>SUM($D$2:D246)</f>
        <v>27570</v>
      </c>
      <c r="I246">
        <f t="shared" si="17"/>
        <v>1</v>
      </c>
    </row>
    <row r="247" spans="1:9" x14ac:dyDescent="0.25">
      <c r="A247" s="1">
        <v>45172</v>
      </c>
      <c r="B247">
        <f t="shared" si="15"/>
        <v>7</v>
      </c>
      <c r="C247" t="s">
        <v>10</v>
      </c>
      <c r="D247">
        <f t="shared" si="18"/>
        <v>0</v>
      </c>
      <c r="E247">
        <f t="shared" si="19"/>
        <v>150</v>
      </c>
      <c r="F247">
        <f t="shared" si="16"/>
        <v>-150</v>
      </c>
      <c r="G247">
        <f>SUM($E$2:E247)</f>
        <v>13400</v>
      </c>
      <c r="H247">
        <f>SUM($D$2:D247)</f>
        <v>27570</v>
      </c>
      <c r="I247">
        <f t="shared" si="17"/>
        <v>1</v>
      </c>
    </row>
    <row r="248" spans="1:9" x14ac:dyDescent="0.25">
      <c r="A248" s="1">
        <v>45173</v>
      </c>
      <c r="B248">
        <f t="shared" si="15"/>
        <v>1</v>
      </c>
      <c r="C248" t="s">
        <v>10</v>
      </c>
      <c r="D248">
        <f t="shared" si="18"/>
        <v>270</v>
      </c>
      <c r="E248">
        <f t="shared" si="19"/>
        <v>0</v>
      </c>
      <c r="F248">
        <f t="shared" si="16"/>
        <v>270</v>
      </c>
      <c r="G248">
        <f>SUM($E$2:E248)</f>
        <v>13400</v>
      </c>
      <c r="H248">
        <f>SUM($D$2:D248)</f>
        <v>27840</v>
      </c>
      <c r="I248">
        <f t="shared" si="17"/>
        <v>1</v>
      </c>
    </row>
    <row r="249" spans="1:9" x14ac:dyDescent="0.25">
      <c r="A249" s="1">
        <v>45174</v>
      </c>
      <c r="B249">
        <f t="shared" si="15"/>
        <v>2</v>
      </c>
      <c r="C249" t="s">
        <v>10</v>
      </c>
      <c r="D249">
        <f t="shared" si="18"/>
        <v>270</v>
      </c>
      <c r="E249">
        <f t="shared" si="19"/>
        <v>0</v>
      </c>
      <c r="F249">
        <f t="shared" si="16"/>
        <v>270</v>
      </c>
      <c r="G249">
        <f>SUM($E$2:E249)</f>
        <v>13400</v>
      </c>
      <c r="H249">
        <f>SUM($D$2:D249)</f>
        <v>28110</v>
      </c>
      <c r="I249">
        <f t="shared" si="17"/>
        <v>1</v>
      </c>
    </row>
    <row r="250" spans="1:9" x14ac:dyDescent="0.25">
      <c r="A250" s="1">
        <v>45175</v>
      </c>
      <c r="B250">
        <f t="shared" si="15"/>
        <v>3</v>
      </c>
      <c r="C250" t="s">
        <v>10</v>
      </c>
      <c r="D250">
        <f t="shared" si="18"/>
        <v>270</v>
      </c>
      <c r="E250">
        <f t="shared" si="19"/>
        <v>0</v>
      </c>
      <c r="F250">
        <f t="shared" si="16"/>
        <v>270</v>
      </c>
      <c r="G250">
        <f>SUM($E$2:E250)</f>
        <v>13400</v>
      </c>
      <c r="H250">
        <f>SUM($D$2:D250)</f>
        <v>28380</v>
      </c>
      <c r="I250">
        <f t="shared" si="17"/>
        <v>1</v>
      </c>
    </row>
    <row r="251" spans="1:9" x14ac:dyDescent="0.25">
      <c r="A251" s="1">
        <v>45176</v>
      </c>
      <c r="B251">
        <f t="shared" si="15"/>
        <v>4</v>
      </c>
      <c r="C251" t="s">
        <v>10</v>
      </c>
      <c r="D251">
        <f t="shared" si="18"/>
        <v>270</v>
      </c>
      <c r="E251">
        <f t="shared" si="19"/>
        <v>0</v>
      </c>
      <c r="F251">
        <f t="shared" si="16"/>
        <v>270</v>
      </c>
      <c r="G251">
        <f>SUM($E$2:E251)</f>
        <v>13400</v>
      </c>
      <c r="H251">
        <f>SUM($D$2:D251)</f>
        <v>28650</v>
      </c>
      <c r="I251">
        <f t="shared" si="17"/>
        <v>1</v>
      </c>
    </row>
    <row r="252" spans="1:9" x14ac:dyDescent="0.25">
      <c r="A252" s="1">
        <v>45177</v>
      </c>
      <c r="B252">
        <f t="shared" si="15"/>
        <v>5</v>
      </c>
      <c r="C252" t="s">
        <v>10</v>
      </c>
      <c r="D252">
        <f t="shared" si="18"/>
        <v>270</v>
      </c>
      <c r="E252">
        <f t="shared" si="19"/>
        <v>0</v>
      </c>
      <c r="F252">
        <f t="shared" si="16"/>
        <v>270</v>
      </c>
      <c r="G252">
        <f>SUM($E$2:E252)</f>
        <v>13400</v>
      </c>
      <c r="H252">
        <f>SUM($D$2:D252)</f>
        <v>28920</v>
      </c>
      <c r="I252">
        <f t="shared" si="17"/>
        <v>1</v>
      </c>
    </row>
    <row r="253" spans="1:9" x14ac:dyDescent="0.25">
      <c r="A253" s="1">
        <v>45178</v>
      </c>
      <c r="B253">
        <f t="shared" si="15"/>
        <v>6</v>
      </c>
      <c r="C253" t="s">
        <v>10</v>
      </c>
      <c r="D253">
        <f t="shared" si="18"/>
        <v>0</v>
      </c>
      <c r="E253">
        <f t="shared" si="19"/>
        <v>0</v>
      </c>
      <c r="F253">
        <f t="shared" si="16"/>
        <v>0</v>
      </c>
      <c r="G253">
        <f>SUM($E$2:E253)</f>
        <v>13400</v>
      </c>
      <c r="H253">
        <f>SUM($D$2:D253)</f>
        <v>28920</v>
      </c>
      <c r="I253">
        <f t="shared" si="17"/>
        <v>1</v>
      </c>
    </row>
    <row r="254" spans="1:9" x14ac:dyDescent="0.25">
      <c r="A254" s="1">
        <v>45179</v>
      </c>
      <c r="B254">
        <f t="shared" si="15"/>
        <v>7</v>
      </c>
      <c r="C254" t="s">
        <v>10</v>
      </c>
      <c r="D254">
        <f t="shared" si="18"/>
        <v>0</v>
      </c>
      <c r="E254">
        <f t="shared" si="19"/>
        <v>150</v>
      </c>
      <c r="F254">
        <f t="shared" si="16"/>
        <v>-150</v>
      </c>
      <c r="G254">
        <f>SUM($E$2:E254)</f>
        <v>13550</v>
      </c>
      <c r="H254">
        <f>SUM($D$2:D254)</f>
        <v>28920</v>
      </c>
      <c r="I254">
        <f t="shared" si="17"/>
        <v>1</v>
      </c>
    </row>
    <row r="255" spans="1:9" x14ac:dyDescent="0.25">
      <c r="A255" s="1">
        <v>45180</v>
      </c>
      <c r="B255">
        <f t="shared" si="15"/>
        <v>1</v>
      </c>
      <c r="C255" t="s">
        <v>10</v>
      </c>
      <c r="D255">
        <f t="shared" si="18"/>
        <v>270</v>
      </c>
      <c r="E255">
        <f t="shared" si="19"/>
        <v>0</v>
      </c>
      <c r="F255">
        <f t="shared" si="16"/>
        <v>270</v>
      </c>
      <c r="G255">
        <f>SUM($E$2:E255)</f>
        <v>13550</v>
      </c>
      <c r="H255">
        <f>SUM($D$2:D255)</f>
        <v>29190</v>
      </c>
      <c r="I255">
        <f t="shared" si="17"/>
        <v>1</v>
      </c>
    </row>
    <row r="256" spans="1:9" x14ac:dyDescent="0.25">
      <c r="A256" s="1">
        <v>45181</v>
      </c>
      <c r="B256">
        <f t="shared" si="15"/>
        <v>2</v>
      </c>
      <c r="C256" t="s">
        <v>10</v>
      </c>
      <c r="D256">
        <f t="shared" si="18"/>
        <v>270</v>
      </c>
      <c r="E256">
        <f t="shared" si="19"/>
        <v>0</v>
      </c>
      <c r="F256">
        <f t="shared" si="16"/>
        <v>270</v>
      </c>
      <c r="G256">
        <f>SUM($E$2:E256)</f>
        <v>13550</v>
      </c>
      <c r="H256">
        <f>SUM($D$2:D256)</f>
        <v>29460</v>
      </c>
      <c r="I256">
        <f t="shared" si="17"/>
        <v>1</v>
      </c>
    </row>
    <row r="257" spans="1:9" x14ac:dyDescent="0.25">
      <c r="A257" s="1">
        <v>45182</v>
      </c>
      <c r="B257">
        <f t="shared" si="15"/>
        <v>3</v>
      </c>
      <c r="C257" t="s">
        <v>10</v>
      </c>
      <c r="D257">
        <f t="shared" si="18"/>
        <v>270</v>
      </c>
      <c r="E257">
        <f t="shared" si="19"/>
        <v>0</v>
      </c>
      <c r="F257">
        <f t="shared" si="16"/>
        <v>270</v>
      </c>
      <c r="G257">
        <f>SUM($E$2:E257)</f>
        <v>13550</v>
      </c>
      <c r="H257">
        <f>SUM($D$2:D257)</f>
        <v>29730</v>
      </c>
      <c r="I257">
        <f t="shared" si="17"/>
        <v>1</v>
      </c>
    </row>
    <row r="258" spans="1:9" x14ac:dyDescent="0.25">
      <c r="A258" s="1">
        <v>45183</v>
      </c>
      <c r="B258">
        <f t="shared" si="15"/>
        <v>4</v>
      </c>
      <c r="C258" t="s">
        <v>10</v>
      </c>
      <c r="D258">
        <f t="shared" si="18"/>
        <v>270</v>
      </c>
      <c r="E258">
        <f t="shared" si="19"/>
        <v>0</v>
      </c>
      <c r="F258">
        <f t="shared" si="16"/>
        <v>270</v>
      </c>
      <c r="G258">
        <f>SUM($E$2:E258)</f>
        <v>13550</v>
      </c>
      <c r="H258">
        <f>SUM($D$2:D258)</f>
        <v>30000</v>
      </c>
      <c r="I258">
        <f t="shared" si="17"/>
        <v>1</v>
      </c>
    </row>
    <row r="259" spans="1:9" x14ac:dyDescent="0.25">
      <c r="A259" s="1">
        <v>45184</v>
      </c>
      <c r="B259">
        <f t="shared" ref="B259:B322" si="20">WEEKDAY(A259,2)</f>
        <v>5</v>
      </c>
      <c r="C259" t="s">
        <v>10</v>
      </c>
      <c r="D259">
        <f t="shared" si="18"/>
        <v>270</v>
      </c>
      <c r="E259">
        <f t="shared" si="19"/>
        <v>0</v>
      </c>
      <c r="F259">
        <f t="shared" ref="F259:F322" si="21">D259-E259</f>
        <v>270</v>
      </c>
      <c r="G259">
        <f>SUM($E$2:E259)</f>
        <v>13550</v>
      </c>
      <c r="H259">
        <f>SUM($D$2:D259)</f>
        <v>30270</v>
      </c>
      <c r="I259">
        <f t="shared" ref="I259:I322" si="22">IF(G259&lt;H259,1,0)</f>
        <v>1</v>
      </c>
    </row>
    <row r="260" spans="1:9" x14ac:dyDescent="0.25">
      <c r="A260" s="1">
        <v>45185</v>
      </c>
      <c r="B260">
        <f t="shared" si="20"/>
        <v>6</v>
      </c>
      <c r="C260" t="s">
        <v>10</v>
      </c>
      <c r="D260">
        <f t="shared" ref="D260:D323" si="23">IF(B260&lt;6,$Q$1*VLOOKUP(C260,$S$1:$T$5,2,FALSE)*$Q$3,0)</f>
        <v>0</v>
      </c>
      <c r="E260">
        <f t="shared" ref="E260:E323" si="24">IF(B260=7,$Q$4*$Q$1,0)</f>
        <v>0</v>
      </c>
      <c r="F260">
        <f t="shared" si="21"/>
        <v>0</v>
      </c>
      <c r="G260">
        <f>SUM($E$2:E260)</f>
        <v>13550</v>
      </c>
      <c r="H260">
        <f>SUM($D$2:D260)</f>
        <v>30270</v>
      </c>
      <c r="I260">
        <f t="shared" si="22"/>
        <v>1</v>
      </c>
    </row>
    <row r="261" spans="1:9" x14ac:dyDescent="0.25">
      <c r="A261" s="1">
        <v>45186</v>
      </c>
      <c r="B261">
        <f t="shared" si="20"/>
        <v>7</v>
      </c>
      <c r="C261" t="s">
        <v>10</v>
      </c>
      <c r="D261">
        <f t="shared" si="23"/>
        <v>0</v>
      </c>
      <c r="E261">
        <f t="shared" si="24"/>
        <v>150</v>
      </c>
      <c r="F261">
        <f t="shared" si="21"/>
        <v>-150</v>
      </c>
      <c r="G261">
        <f>SUM($E$2:E261)</f>
        <v>13700</v>
      </c>
      <c r="H261">
        <f>SUM($D$2:D261)</f>
        <v>30270</v>
      </c>
      <c r="I261">
        <f t="shared" si="22"/>
        <v>1</v>
      </c>
    </row>
    <row r="262" spans="1:9" x14ac:dyDescent="0.25">
      <c r="A262" s="1">
        <v>45187</v>
      </c>
      <c r="B262">
        <f t="shared" si="20"/>
        <v>1</v>
      </c>
      <c r="C262" t="s">
        <v>10</v>
      </c>
      <c r="D262">
        <f t="shared" si="23"/>
        <v>270</v>
      </c>
      <c r="E262">
        <f t="shared" si="24"/>
        <v>0</v>
      </c>
      <c r="F262">
        <f t="shared" si="21"/>
        <v>270</v>
      </c>
      <c r="G262">
        <f>SUM($E$2:E262)</f>
        <v>13700</v>
      </c>
      <c r="H262">
        <f>SUM($D$2:D262)</f>
        <v>30540</v>
      </c>
      <c r="I262">
        <f t="shared" si="22"/>
        <v>1</v>
      </c>
    </row>
    <row r="263" spans="1:9" x14ac:dyDescent="0.25">
      <c r="A263" s="1">
        <v>45188</v>
      </c>
      <c r="B263">
        <f t="shared" si="20"/>
        <v>2</v>
      </c>
      <c r="C263" t="s">
        <v>10</v>
      </c>
      <c r="D263">
        <f t="shared" si="23"/>
        <v>270</v>
      </c>
      <c r="E263">
        <f t="shared" si="24"/>
        <v>0</v>
      </c>
      <c r="F263">
        <f t="shared" si="21"/>
        <v>270</v>
      </c>
      <c r="G263">
        <f>SUM($E$2:E263)</f>
        <v>13700</v>
      </c>
      <c r="H263">
        <f>SUM($D$2:D263)</f>
        <v>30810</v>
      </c>
      <c r="I263">
        <f t="shared" si="22"/>
        <v>1</v>
      </c>
    </row>
    <row r="264" spans="1:9" x14ac:dyDescent="0.25">
      <c r="A264" s="1">
        <v>45189</v>
      </c>
      <c r="B264">
        <f t="shared" si="20"/>
        <v>3</v>
      </c>
      <c r="C264" t="s">
        <v>10</v>
      </c>
      <c r="D264">
        <f t="shared" si="23"/>
        <v>270</v>
      </c>
      <c r="E264">
        <f t="shared" si="24"/>
        <v>0</v>
      </c>
      <c r="F264">
        <f t="shared" si="21"/>
        <v>270</v>
      </c>
      <c r="G264">
        <f>SUM($E$2:E264)</f>
        <v>13700</v>
      </c>
      <c r="H264">
        <f>SUM($D$2:D264)</f>
        <v>31080</v>
      </c>
      <c r="I264">
        <f t="shared" si="22"/>
        <v>1</v>
      </c>
    </row>
    <row r="265" spans="1:9" x14ac:dyDescent="0.25">
      <c r="A265" s="1">
        <v>45190</v>
      </c>
      <c r="B265">
        <f t="shared" si="20"/>
        <v>4</v>
      </c>
      <c r="C265" t="s">
        <v>10</v>
      </c>
      <c r="D265">
        <f t="shared" si="23"/>
        <v>270</v>
      </c>
      <c r="E265">
        <f t="shared" si="24"/>
        <v>0</v>
      </c>
      <c r="F265">
        <f t="shared" si="21"/>
        <v>270</v>
      </c>
      <c r="G265">
        <f>SUM($E$2:E265)</f>
        <v>13700</v>
      </c>
      <c r="H265">
        <f>SUM($D$2:D265)</f>
        <v>31350</v>
      </c>
      <c r="I265">
        <f t="shared" si="22"/>
        <v>1</v>
      </c>
    </row>
    <row r="266" spans="1:9" x14ac:dyDescent="0.25">
      <c r="A266" s="1">
        <v>45191</v>
      </c>
      <c r="B266">
        <f t="shared" si="20"/>
        <v>5</v>
      </c>
      <c r="C266" t="s">
        <v>10</v>
      </c>
      <c r="D266">
        <f t="shared" si="23"/>
        <v>270</v>
      </c>
      <c r="E266">
        <f t="shared" si="24"/>
        <v>0</v>
      </c>
      <c r="F266">
        <f t="shared" si="21"/>
        <v>270</v>
      </c>
      <c r="G266">
        <f>SUM($E$2:E266)</f>
        <v>13700</v>
      </c>
      <c r="H266">
        <f>SUM($D$2:D266)</f>
        <v>31620</v>
      </c>
      <c r="I266">
        <f t="shared" si="22"/>
        <v>1</v>
      </c>
    </row>
    <row r="267" spans="1:9" x14ac:dyDescent="0.25">
      <c r="A267" s="1">
        <v>45192</v>
      </c>
      <c r="B267">
        <f t="shared" si="20"/>
        <v>6</v>
      </c>
      <c r="C267" t="s">
        <v>11</v>
      </c>
      <c r="D267">
        <f t="shared" si="23"/>
        <v>0</v>
      </c>
      <c r="E267">
        <f t="shared" si="24"/>
        <v>0</v>
      </c>
      <c r="F267">
        <f t="shared" si="21"/>
        <v>0</v>
      </c>
      <c r="G267">
        <f>SUM($E$2:E267)</f>
        <v>13700</v>
      </c>
      <c r="H267">
        <f>SUM($D$2:D267)</f>
        <v>31620</v>
      </c>
      <c r="I267">
        <f t="shared" si="22"/>
        <v>1</v>
      </c>
    </row>
    <row r="268" spans="1:9" x14ac:dyDescent="0.25">
      <c r="A268" s="1">
        <v>45193</v>
      </c>
      <c r="B268">
        <f t="shared" si="20"/>
        <v>7</v>
      </c>
      <c r="C268" t="s">
        <v>11</v>
      </c>
      <c r="D268">
        <f t="shared" si="23"/>
        <v>0</v>
      </c>
      <c r="E268">
        <f t="shared" si="24"/>
        <v>150</v>
      </c>
      <c r="F268">
        <f t="shared" si="21"/>
        <v>-150</v>
      </c>
      <c r="G268">
        <f>SUM($E$2:E268)</f>
        <v>13850</v>
      </c>
      <c r="H268">
        <f>SUM($D$2:D268)</f>
        <v>31620</v>
      </c>
      <c r="I268">
        <f t="shared" si="22"/>
        <v>1</v>
      </c>
    </row>
    <row r="269" spans="1:9" x14ac:dyDescent="0.25">
      <c r="A269" s="1">
        <v>45194</v>
      </c>
      <c r="B269">
        <f t="shared" si="20"/>
        <v>1</v>
      </c>
      <c r="C269" t="s">
        <v>11</v>
      </c>
      <c r="D269">
        <f t="shared" si="23"/>
        <v>120</v>
      </c>
      <c r="E269">
        <f t="shared" si="24"/>
        <v>0</v>
      </c>
      <c r="F269">
        <f t="shared" si="21"/>
        <v>120</v>
      </c>
      <c r="G269">
        <f>SUM($E$2:E269)</f>
        <v>13850</v>
      </c>
      <c r="H269">
        <f>SUM($D$2:D269)</f>
        <v>31740</v>
      </c>
      <c r="I269">
        <f t="shared" si="22"/>
        <v>1</v>
      </c>
    </row>
    <row r="270" spans="1:9" x14ac:dyDescent="0.25">
      <c r="A270" s="1">
        <v>45195</v>
      </c>
      <c r="B270">
        <f t="shared" si="20"/>
        <v>2</v>
      </c>
      <c r="C270" t="s">
        <v>11</v>
      </c>
      <c r="D270">
        <f t="shared" si="23"/>
        <v>120</v>
      </c>
      <c r="E270">
        <f t="shared" si="24"/>
        <v>0</v>
      </c>
      <c r="F270">
        <f t="shared" si="21"/>
        <v>120</v>
      </c>
      <c r="G270">
        <f>SUM($E$2:E270)</f>
        <v>13850</v>
      </c>
      <c r="H270">
        <f>SUM($D$2:D270)</f>
        <v>31860</v>
      </c>
      <c r="I270">
        <f t="shared" si="22"/>
        <v>1</v>
      </c>
    </row>
    <row r="271" spans="1:9" x14ac:dyDescent="0.25">
      <c r="A271" s="1">
        <v>45196</v>
      </c>
      <c r="B271">
        <f t="shared" si="20"/>
        <v>3</v>
      </c>
      <c r="C271" t="s">
        <v>11</v>
      </c>
      <c r="D271">
        <f t="shared" si="23"/>
        <v>120</v>
      </c>
      <c r="E271">
        <f t="shared" si="24"/>
        <v>0</v>
      </c>
      <c r="F271">
        <f t="shared" si="21"/>
        <v>120</v>
      </c>
      <c r="G271">
        <f>SUM($E$2:E271)</f>
        <v>13850</v>
      </c>
      <c r="H271">
        <f>SUM($D$2:D271)</f>
        <v>31980</v>
      </c>
      <c r="I271">
        <f t="shared" si="22"/>
        <v>1</v>
      </c>
    </row>
    <row r="272" spans="1:9" x14ac:dyDescent="0.25">
      <c r="A272" s="1">
        <v>45197</v>
      </c>
      <c r="B272">
        <f t="shared" si="20"/>
        <v>4</v>
      </c>
      <c r="C272" t="s">
        <v>11</v>
      </c>
      <c r="D272">
        <f t="shared" si="23"/>
        <v>120</v>
      </c>
      <c r="E272">
        <f t="shared" si="24"/>
        <v>0</v>
      </c>
      <c r="F272">
        <f t="shared" si="21"/>
        <v>120</v>
      </c>
      <c r="G272">
        <f>SUM($E$2:E272)</f>
        <v>13850</v>
      </c>
      <c r="H272">
        <f>SUM($D$2:D272)</f>
        <v>32100</v>
      </c>
      <c r="I272">
        <f t="shared" si="22"/>
        <v>1</v>
      </c>
    </row>
    <row r="273" spans="1:9" x14ac:dyDescent="0.25">
      <c r="A273" s="1">
        <v>45198</v>
      </c>
      <c r="B273">
        <f t="shared" si="20"/>
        <v>5</v>
      </c>
      <c r="C273" t="s">
        <v>11</v>
      </c>
      <c r="D273">
        <f t="shared" si="23"/>
        <v>120</v>
      </c>
      <c r="E273">
        <f t="shared" si="24"/>
        <v>0</v>
      </c>
      <c r="F273">
        <f t="shared" si="21"/>
        <v>120</v>
      </c>
      <c r="G273">
        <f>SUM($E$2:E273)</f>
        <v>13850</v>
      </c>
      <c r="H273">
        <f>SUM($D$2:D273)</f>
        <v>32220</v>
      </c>
      <c r="I273">
        <f t="shared" si="22"/>
        <v>1</v>
      </c>
    </row>
    <row r="274" spans="1:9" x14ac:dyDescent="0.25">
      <c r="A274" s="1">
        <v>45199</v>
      </c>
      <c r="B274">
        <f t="shared" si="20"/>
        <v>6</v>
      </c>
      <c r="C274" t="s">
        <v>11</v>
      </c>
      <c r="D274">
        <f t="shared" si="23"/>
        <v>0</v>
      </c>
      <c r="E274">
        <f t="shared" si="24"/>
        <v>0</v>
      </c>
      <c r="F274">
        <f t="shared" si="21"/>
        <v>0</v>
      </c>
      <c r="G274">
        <f>SUM($E$2:E274)</f>
        <v>13850</v>
      </c>
      <c r="H274">
        <f>SUM($D$2:D274)</f>
        <v>32220</v>
      </c>
      <c r="I274">
        <f t="shared" si="22"/>
        <v>1</v>
      </c>
    </row>
    <row r="275" spans="1:9" x14ac:dyDescent="0.25">
      <c r="A275" s="1">
        <v>45200</v>
      </c>
      <c r="B275">
        <f t="shared" si="20"/>
        <v>7</v>
      </c>
      <c r="C275" t="s">
        <v>11</v>
      </c>
      <c r="D275">
        <f t="shared" si="23"/>
        <v>0</v>
      </c>
      <c r="E275">
        <f t="shared" si="24"/>
        <v>150</v>
      </c>
      <c r="F275">
        <f t="shared" si="21"/>
        <v>-150</v>
      </c>
      <c r="G275">
        <f>SUM($E$2:E275)</f>
        <v>14000</v>
      </c>
      <c r="H275">
        <f>SUM($D$2:D275)</f>
        <v>32220</v>
      </c>
      <c r="I275">
        <f t="shared" si="22"/>
        <v>1</v>
      </c>
    </row>
    <row r="276" spans="1:9" x14ac:dyDescent="0.25">
      <c r="A276" s="1">
        <v>45201</v>
      </c>
      <c r="B276">
        <f t="shared" si="20"/>
        <v>1</v>
      </c>
      <c r="C276" t="s">
        <v>11</v>
      </c>
      <c r="D276">
        <f t="shared" si="23"/>
        <v>120</v>
      </c>
      <c r="E276">
        <f t="shared" si="24"/>
        <v>0</v>
      </c>
      <c r="F276">
        <f t="shared" si="21"/>
        <v>120</v>
      </c>
      <c r="G276">
        <f>SUM($E$2:E276)</f>
        <v>14000</v>
      </c>
      <c r="H276">
        <f>SUM($D$2:D276)</f>
        <v>32340</v>
      </c>
      <c r="I276">
        <f t="shared" si="22"/>
        <v>1</v>
      </c>
    </row>
    <row r="277" spans="1:9" x14ac:dyDescent="0.25">
      <c r="A277" s="1">
        <v>45202</v>
      </c>
      <c r="B277">
        <f t="shared" si="20"/>
        <v>2</v>
      </c>
      <c r="C277" t="s">
        <v>11</v>
      </c>
      <c r="D277">
        <f t="shared" si="23"/>
        <v>120</v>
      </c>
      <c r="E277">
        <f t="shared" si="24"/>
        <v>0</v>
      </c>
      <c r="F277">
        <f t="shared" si="21"/>
        <v>120</v>
      </c>
      <c r="G277">
        <f>SUM($E$2:E277)</f>
        <v>14000</v>
      </c>
      <c r="H277">
        <f>SUM($D$2:D277)</f>
        <v>32460</v>
      </c>
      <c r="I277">
        <f t="shared" si="22"/>
        <v>1</v>
      </c>
    </row>
    <row r="278" spans="1:9" x14ac:dyDescent="0.25">
      <c r="A278" s="1">
        <v>45203</v>
      </c>
      <c r="B278">
        <f t="shared" si="20"/>
        <v>3</v>
      </c>
      <c r="C278" t="s">
        <v>11</v>
      </c>
      <c r="D278">
        <f t="shared" si="23"/>
        <v>120</v>
      </c>
      <c r="E278">
        <f t="shared" si="24"/>
        <v>0</v>
      </c>
      <c r="F278">
        <f t="shared" si="21"/>
        <v>120</v>
      </c>
      <c r="G278">
        <f>SUM($E$2:E278)</f>
        <v>14000</v>
      </c>
      <c r="H278">
        <f>SUM($D$2:D278)</f>
        <v>32580</v>
      </c>
      <c r="I278">
        <f t="shared" si="22"/>
        <v>1</v>
      </c>
    </row>
    <row r="279" spans="1:9" x14ac:dyDescent="0.25">
      <c r="A279" s="1">
        <v>45204</v>
      </c>
      <c r="B279">
        <f t="shared" si="20"/>
        <v>4</v>
      </c>
      <c r="C279" t="s">
        <v>11</v>
      </c>
      <c r="D279">
        <f t="shared" si="23"/>
        <v>120</v>
      </c>
      <c r="E279">
        <f t="shared" si="24"/>
        <v>0</v>
      </c>
      <c r="F279">
        <f t="shared" si="21"/>
        <v>120</v>
      </c>
      <c r="G279">
        <f>SUM($E$2:E279)</f>
        <v>14000</v>
      </c>
      <c r="H279">
        <f>SUM($D$2:D279)</f>
        <v>32700</v>
      </c>
      <c r="I279">
        <f t="shared" si="22"/>
        <v>1</v>
      </c>
    </row>
    <row r="280" spans="1:9" x14ac:dyDescent="0.25">
      <c r="A280" s="1">
        <v>45205</v>
      </c>
      <c r="B280">
        <f t="shared" si="20"/>
        <v>5</v>
      </c>
      <c r="C280" t="s">
        <v>11</v>
      </c>
      <c r="D280">
        <f t="shared" si="23"/>
        <v>120</v>
      </c>
      <c r="E280">
        <f t="shared" si="24"/>
        <v>0</v>
      </c>
      <c r="F280">
        <f t="shared" si="21"/>
        <v>120</v>
      </c>
      <c r="G280">
        <f>SUM($E$2:E280)</f>
        <v>14000</v>
      </c>
      <c r="H280">
        <f>SUM($D$2:D280)</f>
        <v>32820</v>
      </c>
      <c r="I280">
        <f t="shared" si="22"/>
        <v>1</v>
      </c>
    </row>
    <row r="281" spans="1:9" x14ac:dyDescent="0.25">
      <c r="A281" s="1">
        <v>45206</v>
      </c>
      <c r="B281">
        <f t="shared" si="20"/>
        <v>6</v>
      </c>
      <c r="C281" t="s">
        <v>11</v>
      </c>
      <c r="D281">
        <f t="shared" si="23"/>
        <v>0</v>
      </c>
      <c r="E281">
        <f t="shared" si="24"/>
        <v>0</v>
      </c>
      <c r="F281">
        <f t="shared" si="21"/>
        <v>0</v>
      </c>
      <c r="G281">
        <f>SUM($E$2:E281)</f>
        <v>14000</v>
      </c>
      <c r="H281">
        <f>SUM($D$2:D281)</f>
        <v>32820</v>
      </c>
      <c r="I281">
        <f t="shared" si="22"/>
        <v>1</v>
      </c>
    </row>
    <row r="282" spans="1:9" x14ac:dyDescent="0.25">
      <c r="A282" s="1">
        <v>45207</v>
      </c>
      <c r="B282">
        <f t="shared" si="20"/>
        <v>7</v>
      </c>
      <c r="C282" t="s">
        <v>11</v>
      </c>
      <c r="D282">
        <f t="shared" si="23"/>
        <v>0</v>
      </c>
      <c r="E282">
        <f t="shared" si="24"/>
        <v>150</v>
      </c>
      <c r="F282">
        <f t="shared" si="21"/>
        <v>-150</v>
      </c>
      <c r="G282">
        <f>SUM($E$2:E282)</f>
        <v>14150</v>
      </c>
      <c r="H282">
        <f>SUM($D$2:D282)</f>
        <v>32820</v>
      </c>
      <c r="I282">
        <f t="shared" si="22"/>
        <v>1</v>
      </c>
    </row>
    <row r="283" spans="1:9" x14ac:dyDescent="0.25">
      <c r="A283" s="1">
        <v>45208</v>
      </c>
      <c r="B283">
        <f t="shared" si="20"/>
        <v>1</v>
      </c>
      <c r="C283" t="s">
        <v>11</v>
      </c>
      <c r="D283">
        <f t="shared" si="23"/>
        <v>120</v>
      </c>
      <c r="E283">
        <f t="shared" si="24"/>
        <v>0</v>
      </c>
      <c r="F283">
        <f t="shared" si="21"/>
        <v>120</v>
      </c>
      <c r="G283">
        <f>SUM($E$2:E283)</f>
        <v>14150</v>
      </c>
      <c r="H283">
        <f>SUM($D$2:D283)</f>
        <v>32940</v>
      </c>
      <c r="I283">
        <f t="shared" si="22"/>
        <v>1</v>
      </c>
    </row>
    <row r="284" spans="1:9" x14ac:dyDescent="0.25">
      <c r="A284" s="1">
        <v>45209</v>
      </c>
      <c r="B284">
        <f t="shared" si="20"/>
        <v>2</v>
      </c>
      <c r="C284" t="s">
        <v>11</v>
      </c>
      <c r="D284">
        <f t="shared" si="23"/>
        <v>120</v>
      </c>
      <c r="E284">
        <f t="shared" si="24"/>
        <v>0</v>
      </c>
      <c r="F284">
        <f t="shared" si="21"/>
        <v>120</v>
      </c>
      <c r="G284">
        <f>SUM($E$2:E284)</f>
        <v>14150</v>
      </c>
      <c r="H284">
        <f>SUM($D$2:D284)</f>
        <v>33060</v>
      </c>
      <c r="I284">
        <f t="shared" si="22"/>
        <v>1</v>
      </c>
    </row>
    <row r="285" spans="1:9" x14ac:dyDescent="0.25">
      <c r="A285" s="1">
        <v>45210</v>
      </c>
      <c r="B285">
        <f t="shared" si="20"/>
        <v>3</v>
      </c>
      <c r="C285" t="s">
        <v>11</v>
      </c>
      <c r="D285">
        <f t="shared" si="23"/>
        <v>120</v>
      </c>
      <c r="E285">
        <f t="shared" si="24"/>
        <v>0</v>
      </c>
      <c r="F285">
        <f t="shared" si="21"/>
        <v>120</v>
      </c>
      <c r="G285">
        <f>SUM($E$2:E285)</f>
        <v>14150</v>
      </c>
      <c r="H285">
        <f>SUM($D$2:D285)</f>
        <v>33180</v>
      </c>
      <c r="I285">
        <f t="shared" si="22"/>
        <v>1</v>
      </c>
    </row>
    <row r="286" spans="1:9" x14ac:dyDescent="0.25">
      <c r="A286" s="1">
        <v>45211</v>
      </c>
      <c r="B286">
        <f t="shared" si="20"/>
        <v>4</v>
      </c>
      <c r="C286" t="s">
        <v>11</v>
      </c>
      <c r="D286">
        <f t="shared" si="23"/>
        <v>120</v>
      </c>
      <c r="E286">
        <f t="shared" si="24"/>
        <v>0</v>
      </c>
      <c r="F286">
        <f t="shared" si="21"/>
        <v>120</v>
      </c>
      <c r="G286">
        <f>SUM($E$2:E286)</f>
        <v>14150</v>
      </c>
      <c r="H286">
        <f>SUM($D$2:D286)</f>
        <v>33300</v>
      </c>
      <c r="I286">
        <f t="shared" si="22"/>
        <v>1</v>
      </c>
    </row>
    <row r="287" spans="1:9" x14ac:dyDescent="0.25">
      <c r="A287" s="1">
        <v>45212</v>
      </c>
      <c r="B287">
        <f t="shared" si="20"/>
        <v>5</v>
      </c>
      <c r="C287" t="s">
        <v>11</v>
      </c>
      <c r="D287">
        <f t="shared" si="23"/>
        <v>120</v>
      </c>
      <c r="E287">
        <f t="shared" si="24"/>
        <v>0</v>
      </c>
      <c r="F287">
        <f t="shared" si="21"/>
        <v>120</v>
      </c>
      <c r="G287">
        <f>SUM($E$2:E287)</f>
        <v>14150</v>
      </c>
      <c r="H287">
        <f>SUM($D$2:D287)</f>
        <v>33420</v>
      </c>
      <c r="I287">
        <f t="shared" si="22"/>
        <v>1</v>
      </c>
    </row>
    <row r="288" spans="1:9" x14ac:dyDescent="0.25">
      <c r="A288" s="1">
        <v>45213</v>
      </c>
      <c r="B288">
        <f t="shared" si="20"/>
        <v>6</v>
      </c>
      <c r="C288" t="s">
        <v>11</v>
      </c>
      <c r="D288">
        <f t="shared" si="23"/>
        <v>0</v>
      </c>
      <c r="E288">
        <f t="shared" si="24"/>
        <v>0</v>
      </c>
      <c r="F288">
        <f t="shared" si="21"/>
        <v>0</v>
      </c>
      <c r="G288">
        <f>SUM($E$2:E288)</f>
        <v>14150</v>
      </c>
      <c r="H288">
        <f>SUM($D$2:D288)</f>
        <v>33420</v>
      </c>
      <c r="I288">
        <f t="shared" si="22"/>
        <v>1</v>
      </c>
    </row>
    <row r="289" spans="1:9" x14ac:dyDescent="0.25">
      <c r="A289" s="1">
        <v>45214</v>
      </c>
      <c r="B289">
        <f t="shared" si="20"/>
        <v>7</v>
      </c>
      <c r="C289" t="s">
        <v>11</v>
      </c>
      <c r="D289">
        <f t="shared" si="23"/>
        <v>0</v>
      </c>
      <c r="E289">
        <f t="shared" si="24"/>
        <v>150</v>
      </c>
      <c r="F289">
        <f t="shared" si="21"/>
        <v>-150</v>
      </c>
      <c r="G289">
        <f>SUM($E$2:E289)</f>
        <v>14300</v>
      </c>
      <c r="H289">
        <f>SUM($D$2:D289)</f>
        <v>33420</v>
      </c>
      <c r="I289">
        <f t="shared" si="22"/>
        <v>1</v>
      </c>
    </row>
    <row r="290" spans="1:9" x14ac:dyDescent="0.25">
      <c r="A290" s="1">
        <v>45215</v>
      </c>
      <c r="B290">
        <f t="shared" si="20"/>
        <v>1</v>
      </c>
      <c r="C290" t="s">
        <v>11</v>
      </c>
      <c r="D290">
        <f t="shared" si="23"/>
        <v>120</v>
      </c>
      <c r="E290">
        <f t="shared" si="24"/>
        <v>0</v>
      </c>
      <c r="F290">
        <f t="shared" si="21"/>
        <v>120</v>
      </c>
      <c r="G290">
        <f>SUM($E$2:E290)</f>
        <v>14300</v>
      </c>
      <c r="H290">
        <f>SUM($D$2:D290)</f>
        <v>33540</v>
      </c>
      <c r="I290">
        <f t="shared" si="22"/>
        <v>1</v>
      </c>
    </row>
    <row r="291" spans="1:9" x14ac:dyDescent="0.25">
      <c r="A291" s="1">
        <v>45216</v>
      </c>
      <c r="B291">
        <f t="shared" si="20"/>
        <v>2</v>
      </c>
      <c r="C291" t="s">
        <v>11</v>
      </c>
      <c r="D291">
        <f t="shared" si="23"/>
        <v>120</v>
      </c>
      <c r="E291">
        <f t="shared" si="24"/>
        <v>0</v>
      </c>
      <c r="F291">
        <f t="shared" si="21"/>
        <v>120</v>
      </c>
      <c r="G291">
        <f>SUM($E$2:E291)</f>
        <v>14300</v>
      </c>
      <c r="H291">
        <f>SUM($D$2:D291)</f>
        <v>33660</v>
      </c>
      <c r="I291">
        <f t="shared" si="22"/>
        <v>1</v>
      </c>
    </row>
    <row r="292" spans="1:9" x14ac:dyDescent="0.25">
      <c r="A292" s="1">
        <v>45217</v>
      </c>
      <c r="B292">
        <f t="shared" si="20"/>
        <v>3</v>
      </c>
      <c r="C292" t="s">
        <v>11</v>
      </c>
      <c r="D292">
        <f t="shared" si="23"/>
        <v>120</v>
      </c>
      <c r="E292">
        <f t="shared" si="24"/>
        <v>0</v>
      </c>
      <c r="F292">
        <f t="shared" si="21"/>
        <v>120</v>
      </c>
      <c r="G292">
        <f>SUM($E$2:E292)</f>
        <v>14300</v>
      </c>
      <c r="H292">
        <f>SUM($D$2:D292)</f>
        <v>33780</v>
      </c>
      <c r="I292">
        <f t="shared" si="22"/>
        <v>1</v>
      </c>
    </row>
    <row r="293" spans="1:9" x14ac:dyDescent="0.25">
      <c r="A293" s="1">
        <v>45218</v>
      </c>
      <c r="B293">
        <f t="shared" si="20"/>
        <v>4</v>
      </c>
      <c r="C293" t="s">
        <v>11</v>
      </c>
      <c r="D293">
        <f t="shared" si="23"/>
        <v>120</v>
      </c>
      <c r="E293">
        <f t="shared" si="24"/>
        <v>0</v>
      </c>
      <c r="F293">
        <f t="shared" si="21"/>
        <v>120</v>
      </c>
      <c r="G293">
        <f>SUM($E$2:E293)</f>
        <v>14300</v>
      </c>
      <c r="H293">
        <f>SUM($D$2:D293)</f>
        <v>33900</v>
      </c>
      <c r="I293">
        <f t="shared" si="22"/>
        <v>1</v>
      </c>
    </row>
    <row r="294" spans="1:9" x14ac:dyDescent="0.25">
      <c r="A294" s="1">
        <v>45219</v>
      </c>
      <c r="B294">
        <f t="shared" si="20"/>
        <v>5</v>
      </c>
      <c r="C294" t="s">
        <v>11</v>
      </c>
      <c r="D294">
        <f t="shared" si="23"/>
        <v>120</v>
      </c>
      <c r="E294">
        <f t="shared" si="24"/>
        <v>0</v>
      </c>
      <c r="F294">
        <f t="shared" si="21"/>
        <v>120</v>
      </c>
      <c r="G294">
        <f>SUM($E$2:E294)</f>
        <v>14300</v>
      </c>
      <c r="H294">
        <f>SUM($D$2:D294)</f>
        <v>34020</v>
      </c>
      <c r="I294">
        <f t="shared" si="22"/>
        <v>1</v>
      </c>
    </row>
    <row r="295" spans="1:9" x14ac:dyDescent="0.25">
      <c r="A295" s="1">
        <v>45220</v>
      </c>
      <c r="B295">
        <f t="shared" si="20"/>
        <v>6</v>
      </c>
      <c r="C295" t="s">
        <v>11</v>
      </c>
      <c r="D295">
        <f t="shared" si="23"/>
        <v>0</v>
      </c>
      <c r="E295">
        <f t="shared" si="24"/>
        <v>0</v>
      </c>
      <c r="F295">
        <f t="shared" si="21"/>
        <v>0</v>
      </c>
      <c r="G295">
        <f>SUM($E$2:E295)</f>
        <v>14300</v>
      </c>
      <c r="H295">
        <f>SUM($D$2:D295)</f>
        <v>34020</v>
      </c>
      <c r="I295">
        <f t="shared" si="22"/>
        <v>1</v>
      </c>
    </row>
    <row r="296" spans="1:9" x14ac:dyDescent="0.25">
      <c r="A296" s="1">
        <v>45221</v>
      </c>
      <c r="B296">
        <f t="shared" si="20"/>
        <v>7</v>
      </c>
      <c r="C296" t="s">
        <v>11</v>
      </c>
      <c r="D296">
        <f t="shared" si="23"/>
        <v>0</v>
      </c>
      <c r="E296">
        <f t="shared" si="24"/>
        <v>150</v>
      </c>
      <c r="F296">
        <f t="shared" si="21"/>
        <v>-150</v>
      </c>
      <c r="G296">
        <f>SUM($E$2:E296)</f>
        <v>14450</v>
      </c>
      <c r="H296">
        <f>SUM($D$2:D296)</f>
        <v>34020</v>
      </c>
      <c r="I296">
        <f t="shared" si="22"/>
        <v>1</v>
      </c>
    </row>
    <row r="297" spans="1:9" x14ac:dyDescent="0.25">
      <c r="A297" s="1">
        <v>45222</v>
      </c>
      <c r="B297">
        <f t="shared" si="20"/>
        <v>1</v>
      </c>
      <c r="C297" t="s">
        <v>11</v>
      </c>
      <c r="D297">
        <f t="shared" si="23"/>
        <v>120</v>
      </c>
      <c r="E297">
        <f t="shared" si="24"/>
        <v>0</v>
      </c>
      <c r="F297">
        <f t="shared" si="21"/>
        <v>120</v>
      </c>
      <c r="G297">
        <f>SUM($E$2:E297)</f>
        <v>14450</v>
      </c>
      <c r="H297">
        <f>SUM($D$2:D297)</f>
        <v>34140</v>
      </c>
      <c r="I297">
        <f t="shared" si="22"/>
        <v>1</v>
      </c>
    </row>
    <row r="298" spans="1:9" x14ac:dyDescent="0.25">
      <c r="A298" s="1">
        <v>45223</v>
      </c>
      <c r="B298">
        <f t="shared" si="20"/>
        <v>2</v>
      </c>
      <c r="C298" t="s">
        <v>11</v>
      </c>
      <c r="D298">
        <f t="shared" si="23"/>
        <v>120</v>
      </c>
      <c r="E298">
        <f t="shared" si="24"/>
        <v>0</v>
      </c>
      <c r="F298">
        <f t="shared" si="21"/>
        <v>120</v>
      </c>
      <c r="G298">
        <f>SUM($E$2:E298)</f>
        <v>14450</v>
      </c>
      <c r="H298">
        <f>SUM($D$2:D298)</f>
        <v>34260</v>
      </c>
      <c r="I298">
        <f t="shared" si="22"/>
        <v>1</v>
      </c>
    </row>
    <row r="299" spans="1:9" x14ac:dyDescent="0.25">
      <c r="A299" s="1">
        <v>45224</v>
      </c>
      <c r="B299">
        <f t="shared" si="20"/>
        <v>3</v>
      </c>
      <c r="C299" t="s">
        <v>11</v>
      </c>
      <c r="D299">
        <f t="shared" si="23"/>
        <v>120</v>
      </c>
      <c r="E299">
        <f t="shared" si="24"/>
        <v>0</v>
      </c>
      <c r="F299">
        <f t="shared" si="21"/>
        <v>120</v>
      </c>
      <c r="G299">
        <f>SUM($E$2:E299)</f>
        <v>14450</v>
      </c>
      <c r="H299">
        <f>SUM($D$2:D299)</f>
        <v>34380</v>
      </c>
      <c r="I299">
        <f t="shared" si="22"/>
        <v>1</v>
      </c>
    </row>
    <row r="300" spans="1:9" x14ac:dyDescent="0.25">
      <c r="A300" s="1">
        <v>45225</v>
      </c>
      <c r="B300">
        <f t="shared" si="20"/>
        <v>4</v>
      </c>
      <c r="C300" t="s">
        <v>11</v>
      </c>
      <c r="D300">
        <f t="shared" si="23"/>
        <v>120</v>
      </c>
      <c r="E300">
        <f t="shared" si="24"/>
        <v>0</v>
      </c>
      <c r="F300">
        <f t="shared" si="21"/>
        <v>120</v>
      </c>
      <c r="G300">
        <f>SUM($E$2:E300)</f>
        <v>14450</v>
      </c>
      <c r="H300">
        <f>SUM($D$2:D300)</f>
        <v>34500</v>
      </c>
      <c r="I300">
        <f t="shared" si="22"/>
        <v>1</v>
      </c>
    </row>
    <row r="301" spans="1:9" x14ac:dyDescent="0.25">
      <c r="A301" s="1">
        <v>45226</v>
      </c>
      <c r="B301">
        <f t="shared" si="20"/>
        <v>5</v>
      </c>
      <c r="C301" t="s">
        <v>11</v>
      </c>
      <c r="D301">
        <f t="shared" si="23"/>
        <v>120</v>
      </c>
      <c r="E301">
        <f t="shared" si="24"/>
        <v>0</v>
      </c>
      <c r="F301">
        <f t="shared" si="21"/>
        <v>120</v>
      </c>
      <c r="G301">
        <f>SUM($E$2:E301)</f>
        <v>14450</v>
      </c>
      <c r="H301">
        <f>SUM($D$2:D301)</f>
        <v>34620</v>
      </c>
      <c r="I301">
        <f t="shared" si="22"/>
        <v>1</v>
      </c>
    </row>
    <row r="302" spans="1:9" x14ac:dyDescent="0.25">
      <c r="A302" s="1">
        <v>45227</v>
      </c>
      <c r="B302">
        <f t="shared" si="20"/>
        <v>6</v>
      </c>
      <c r="C302" t="s">
        <v>11</v>
      </c>
      <c r="D302">
        <f t="shared" si="23"/>
        <v>0</v>
      </c>
      <c r="E302">
        <f t="shared" si="24"/>
        <v>0</v>
      </c>
      <c r="F302">
        <f t="shared" si="21"/>
        <v>0</v>
      </c>
      <c r="G302">
        <f>SUM($E$2:E302)</f>
        <v>14450</v>
      </c>
      <c r="H302">
        <f>SUM($D$2:D302)</f>
        <v>34620</v>
      </c>
      <c r="I302">
        <f t="shared" si="22"/>
        <v>1</v>
      </c>
    </row>
    <row r="303" spans="1:9" x14ac:dyDescent="0.25">
      <c r="A303" s="1">
        <v>45228</v>
      </c>
      <c r="B303">
        <f t="shared" si="20"/>
        <v>7</v>
      </c>
      <c r="C303" t="s">
        <v>11</v>
      </c>
      <c r="D303">
        <f t="shared" si="23"/>
        <v>0</v>
      </c>
      <c r="E303">
        <f t="shared" si="24"/>
        <v>150</v>
      </c>
      <c r="F303">
        <f t="shared" si="21"/>
        <v>-150</v>
      </c>
      <c r="G303">
        <f>SUM($E$2:E303)</f>
        <v>14600</v>
      </c>
      <c r="H303">
        <f>SUM($D$2:D303)</f>
        <v>34620</v>
      </c>
      <c r="I303">
        <f t="shared" si="22"/>
        <v>1</v>
      </c>
    </row>
    <row r="304" spans="1:9" x14ac:dyDescent="0.25">
      <c r="A304" s="1">
        <v>45229</v>
      </c>
      <c r="B304">
        <f t="shared" si="20"/>
        <v>1</v>
      </c>
      <c r="C304" t="s">
        <v>11</v>
      </c>
      <c r="D304">
        <f t="shared" si="23"/>
        <v>120</v>
      </c>
      <c r="E304">
        <f t="shared" si="24"/>
        <v>0</v>
      </c>
      <c r="F304">
        <f t="shared" si="21"/>
        <v>120</v>
      </c>
      <c r="G304">
        <f>SUM($E$2:E304)</f>
        <v>14600</v>
      </c>
      <c r="H304">
        <f>SUM($D$2:D304)</f>
        <v>34740</v>
      </c>
      <c r="I304">
        <f t="shared" si="22"/>
        <v>1</v>
      </c>
    </row>
    <row r="305" spans="1:9" x14ac:dyDescent="0.25">
      <c r="A305" s="1">
        <v>45230</v>
      </c>
      <c r="B305">
        <f t="shared" si="20"/>
        <v>2</v>
      </c>
      <c r="C305" t="s">
        <v>11</v>
      </c>
      <c r="D305">
        <f t="shared" si="23"/>
        <v>120</v>
      </c>
      <c r="E305">
        <f t="shared" si="24"/>
        <v>0</v>
      </c>
      <c r="F305">
        <f t="shared" si="21"/>
        <v>120</v>
      </c>
      <c r="G305">
        <f>SUM($E$2:E305)</f>
        <v>14600</v>
      </c>
      <c r="H305">
        <f>SUM($D$2:D305)</f>
        <v>34860</v>
      </c>
      <c r="I305">
        <f t="shared" si="22"/>
        <v>1</v>
      </c>
    </row>
    <row r="306" spans="1:9" x14ac:dyDescent="0.25">
      <c r="A306" s="1">
        <v>45231</v>
      </c>
      <c r="B306">
        <f t="shared" si="20"/>
        <v>3</v>
      </c>
      <c r="C306" t="s">
        <v>11</v>
      </c>
      <c r="D306">
        <f t="shared" si="23"/>
        <v>120</v>
      </c>
      <c r="E306">
        <f t="shared" si="24"/>
        <v>0</v>
      </c>
      <c r="F306">
        <f t="shared" si="21"/>
        <v>120</v>
      </c>
      <c r="G306">
        <f>SUM($E$2:E306)</f>
        <v>14600</v>
      </c>
      <c r="H306">
        <f>SUM($D$2:D306)</f>
        <v>34980</v>
      </c>
      <c r="I306">
        <f t="shared" si="22"/>
        <v>1</v>
      </c>
    </row>
    <row r="307" spans="1:9" x14ac:dyDescent="0.25">
      <c r="A307" s="1">
        <v>45232</v>
      </c>
      <c r="B307">
        <f t="shared" si="20"/>
        <v>4</v>
      </c>
      <c r="C307" t="s">
        <v>11</v>
      </c>
      <c r="D307">
        <f t="shared" si="23"/>
        <v>120</v>
      </c>
      <c r="E307">
        <f t="shared" si="24"/>
        <v>0</v>
      </c>
      <c r="F307">
        <f t="shared" si="21"/>
        <v>120</v>
      </c>
      <c r="G307">
        <f>SUM($E$2:E307)</f>
        <v>14600</v>
      </c>
      <c r="H307">
        <f>SUM($D$2:D307)</f>
        <v>35100</v>
      </c>
      <c r="I307">
        <f t="shared" si="22"/>
        <v>1</v>
      </c>
    </row>
    <row r="308" spans="1:9" x14ac:dyDescent="0.25">
      <c r="A308" s="1">
        <v>45233</v>
      </c>
      <c r="B308">
        <f t="shared" si="20"/>
        <v>5</v>
      </c>
      <c r="C308" t="s">
        <v>11</v>
      </c>
      <c r="D308">
        <f t="shared" si="23"/>
        <v>120</v>
      </c>
      <c r="E308">
        <f t="shared" si="24"/>
        <v>0</v>
      </c>
      <c r="F308">
        <f t="shared" si="21"/>
        <v>120</v>
      </c>
      <c r="G308">
        <f>SUM($E$2:E308)</f>
        <v>14600</v>
      </c>
      <c r="H308">
        <f>SUM($D$2:D308)</f>
        <v>35220</v>
      </c>
      <c r="I308">
        <f t="shared" si="22"/>
        <v>1</v>
      </c>
    </row>
    <row r="309" spans="1:9" x14ac:dyDescent="0.25">
      <c r="A309" s="1">
        <v>45234</v>
      </c>
      <c r="B309">
        <f t="shared" si="20"/>
        <v>6</v>
      </c>
      <c r="C309" t="s">
        <v>11</v>
      </c>
      <c r="D309">
        <f t="shared" si="23"/>
        <v>0</v>
      </c>
      <c r="E309">
        <f t="shared" si="24"/>
        <v>0</v>
      </c>
      <c r="F309">
        <f t="shared" si="21"/>
        <v>0</v>
      </c>
      <c r="G309">
        <f>SUM($E$2:E309)</f>
        <v>14600</v>
      </c>
      <c r="H309">
        <f>SUM($D$2:D309)</f>
        <v>35220</v>
      </c>
      <c r="I309">
        <f t="shared" si="22"/>
        <v>1</v>
      </c>
    </row>
    <row r="310" spans="1:9" x14ac:dyDescent="0.25">
      <c r="A310" s="1">
        <v>45235</v>
      </c>
      <c r="B310">
        <f t="shared" si="20"/>
        <v>7</v>
      </c>
      <c r="C310" t="s">
        <v>11</v>
      </c>
      <c r="D310">
        <f t="shared" si="23"/>
        <v>0</v>
      </c>
      <c r="E310">
        <f t="shared" si="24"/>
        <v>150</v>
      </c>
      <c r="F310">
        <f t="shared" si="21"/>
        <v>-150</v>
      </c>
      <c r="G310">
        <f>SUM($E$2:E310)</f>
        <v>14750</v>
      </c>
      <c r="H310">
        <f>SUM($D$2:D310)</f>
        <v>35220</v>
      </c>
      <c r="I310">
        <f t="shared" si="22"/>
        <v>1</v>
      </c>
    </row>
    <row r="311" spans="1:9" x14ac:dyDescent="0.25">
      <c r="A311" s="1">
        <v>45236</v>
      </c>
      <c r="B311">
        <f t="shared" si="20"/>
        <v>1</v>
      </c>
      <c r="C311" t="s">
        <v>11</v>
      </c>
      <c r="D311">
        <f t="shared" si="23"/>
        <v>120</v>
      </c>
      <c r="E311">
        <f t="shared" si="24"/>
        <v>0</v>
      </c>
      <c r="F311">
        <f t="shared" si="21"/>
        <v>120</v>
      </c>
      <c r="G311">
        <f>SUM($E$2:E311)</f>
        <v>14750</v>
      </c>
      <c r="H311">
        <f>SUM($D$2:D311)</f>
        <v>35340</v>
      </c>
      <c r="I311">
        <f t="shared" si="22"/>
        <v>1</v>
      </c>
    </row>
    <row r="312" spans="1:9" x14ac:dyDescent="0.25">
      <c r="A312" s="1">
        <v>45237</v>
      </c>
      <c r="B312">
        <f t="shared" si="20"/>
        <v>2</v>
      </c>
      <c r="C312" t="s">
        <v>11</v>
      </c>
      <c r="D312">
        <f t="shared" si="23"/>
        <v>120</v>
      </c>
      <c r="E312">
        <f t="shared" si="24"/>
        <v>0</v>
      </c>
      <c r="F312">
        <f t="shared" si="21"/>
        <v>120</v>
      </c>
      <c r="G312">
        <f>SUM($E$2:E312)</f>
        <v>14750</v>
      </c>
      <c r="H312">
        <f>SUM($D$2:D312)</f>
        <v>35460</v>
      </c>
      <c r="I312">
        <f t="shared" si="22"/>
        <v>1</v>
      </c>
    </row>
    <row r="313" spans="1:9" x14ac:dyDescent="0.25">
      <c r="A313" s="1">
        <v>45238</v>
      </c>
      <c r="B313">
        <f t="shared" si="20"/>
        <v>3</v>
      </c>
      <c r="C313" t="s">
        <v>11</v>
      </c>
      <c r="D313">
        <f t="shared" si="23"/>
        <v>120</v>
      </c>
      <c r="E313">
        <f t="shared" si="24"/>
        <v>0</v>
      </c>
      <c r="F313">
        <f t="shared" si="21"/>
        <v>120</v>
      </c>
      <c r="G313">
        <f>SUM($E$2:E313)</f>
        <v>14750</v>
      </c>
      <c r="H313">
        <f>SUM($D$2:D313)</f>
        <v>35580</v>
      </c>
      <c r="I313">
        <f t="shared" si="22"/>
        <v>1</v>
      </c>
    </row>
    <row r="314" spans="1:9" x14ac:dyDescent="0.25">
      <c r="A314" s="1">
        <v>45239</v>
      </c>
      <c r="B314">
        <f t="shared" si="20"/>
        <v>4</v>
      </c>
      <c r="C314" t="s">
        <v>11</v>
      </c>
      <c r="D314">
        <f t="shared" si="23"/>
        <v>120</v>
      </c>
      <c r="E314">
        <f t="shared" si="24"/>
        <v>0</v>
      </c>
      <c r="F314">
        <f t="shared" si="21"/>
        <v>120</v>
      </c>
      <c r="G314">
        <f>SUM($E$2:E314)</f>
        <v>14750</v>
      </c>
      <c r="H314">
        <f>SUM($D$2:D314)</f>
        <v>35700</v>
      </c>
      <c r="I314">
        <f t="shared" si="22"/>
        <v>1</v>
      </c>
    </row>
    <row r="315" spans="1:9" x14ac:dyDescent="0.25">
      <c r="A315" s="1">
        <v>45240</v>
      </c>
      <c r="B315">
        <f t="shared" si="20"/>
        <v>5</v>
      </c>
      <c r="C315" t="s">
        <v>11</v>
      </c>
      <c r="D315">
        <f t="shared" si="23"/>
        <v>120</v>
      </c>
      <c r="E315">
        <f t="shared" si="24"/>
        <v>0</v>
      </c>
      <c r="F315">
        <f t="shared" si="21"/>
        <v>120</v>
      </c>
      <c r="G315">
        <f>SUM($E$2:E315)</f>
        <v>14750</v>
      </c>
      <c r="H315">
        <f>SUM($D$2:D315)</f>
        <v>35820</v>
      </c>
      <c r="I315">
        <f t="shared" si="22"/>
        <v>1</v>
      </c>
    </row>
    <row r="316" spans="1:9" x14ac:dyDescent="0.25">
      <c r="A316" s="1">
        <v>45241</v>
      </c>
      <c r="B316">
        <f t="shared" si="20"/>
        <v>6</v>
      </c>
      <c r="C316" t="s">
        <v>11</v>
      </c>
      <c r="D316">
        <f t="shared" si="23"/>
        <v>0</v>
      </c>
      <c r="E316">
        <f t="shared" si="24"/>
        <v>0</v>
      </c>
      <c r="F316">
        <f t="shared" si="21"/>
        <v>0</v>
      </c>
      <c r="G316">
        <f>SUM($E$2:E316)</f>
        <v>14750</v>
      </c>
      <c r="H316">
        <f>SUM($D$2:D316)</f>
        <v>35820</v>
      </c>
      <c r="I316">
        <f t="shared" si="22"/>
        <v>1</v>
      </c>
    </row>
    <row r="317" spans="1:9" x14ac:dyDescent="0.25">
      <c r="A317" s="1">
        <v>45242</v>
      </c>
      <c r="B317">
        <f t="shared" si="20"/>
        <v>7</v>
      </c>
      <c r="C317" t="s">
        <v>11</v>
      </c>
      <c r="D317">
        <f t="shared" si="23"/>
        <v>0</v>
      </c>
      <c r="E317">
        <f t="shared" si="24"/>
        <v>150</v>
      </c>
      <c r="F317">
        <f t="shared" si="21"/>
        <v>-150</v>
      </c>
      <c r="G317">
        <f>SUM($E$2:E317)</f>
        <v>14900</v>
      </c>
      <c r="H317">
        <f>SUM($D$2:D317)</f>
        <v>35820</v>
      </c>
      <c r="I317">
        <f t="shared" si="22"/>
        <v>1</v>
      </c>
    </row>
    <row r="318" spans="1:9" x14ac:dyDescent="0.25">
      <c r="A318" s="1">
        <v>45243</v>
      </c>
      <c r="B318">
        <f t="shared" si="20"/>
        <v>1</v>
      </c>
      <c r="C318" t="s">
        <v>11</v>
      </c>
      <c r="D318">
        <f t="shared" si="23"/>
        <v>120</v>
      </c>
      <c r="E318">
        <f t="shared" si="24"/>
        <v>0</v>
      </c>
      <c r="F318">
        <f t="shared" si="21"/>
        <v>120</v>
      </c>
      <c r="G318">
        <f>SUM($E$2:E318)</f>
        <v>14900</v>
      </c>
      <c r="H318">
        <f>SUM($D$2:D318)</f>
        <v>35940</v>
      </c>
      <c r="I318">
        <f t="shared" si="22"/>
        <v>1</v>
      </c>
    </row>
    <row r="319" spans="1:9" x14ac:dyDescent="0.25">
      <c r="A319" s="1">
        <v>45244</v>
      </c>
      <c r="B319">
        <f t="shared" si="20"/>
        <v>2</v>
      </c>
      <c r="C319" t="s">
        <v>11</v>
      </c>
      <c r="D319">
        <f t="shared" si="23"/>
        <v>120</v>
      </c>
      <c r="E319">
        <f t="shared" si="24"/>
        <v>0</v>
      </c>
      <c r="F319">
        <f t="shared" si="21"/>
        <v>120</v>
      </c>
      <c r="G319">
        <f>SUM($E$2:E319)</f>
        <v>14900</v>
      </c>
      <c r="H319">
        <f>SUM($D$2:D319)</f>
        <v>36060</v>
      </c>
      <c r="I319">
        <f t="shared" si="22"/>
        <v>1</v>
      </c>
    </row>
    <row r="320" spans="1:9" x14ac:dyDescent="0.25">
      <c r="A320" s="1">
        <v>45245</v>
      </c>
      <c r="B320">
        <f t="shared" si="20"/>
        <v>3</v>
      </c>
      <c r="C320" t="s">
        <v>11</v>
      </c>
      <c r="D320">
        <f t="shared" si="23"/>
        <v>120</v>
      </c>
      <c r="E320">
        <f t="shared" si="24"/>
        <v>0</v>
      </c>
      <c r="F320">
        <f t="shared" si="21"/>
        <v>120</v>
      </c>
      <c r="G320">
        <f>SUM($E$2:E320)</f>
        <v>14900</v>
      </c>
      <c r="H320">
        <f>SUM($D$2:D320)</f>
        <v>36180</v>
      </c>
      <c r="I320">
        <f t="shared" si="22"/>
        <v>1</v>
      </c>
    </row>
    <row r="321" spans="1:9" x14ac:dyDescent="0.25">
      <c r="A321" s="1">
        <v>45246</v>
      </c>
      <c r="B321">
        <f t="shared" si="20"/>
        <v>4</v>
      </c>
      <c r="C321" t="s">
        <v>11</v>
      </c>
      <c r="D321">
        <f t="shared" si="23"/>
        <v>120</v>
      </c>
      <c r="E321">
        <f t="shared" si="24"/>
        <v>0</v>
      </c>
      <c r="F321">
        <f t="shared" si="21"/>
        <v>120</v>
      </c>
      <c r="G321">
        <f>SUM($E$2:E321)</f>
        <v>14900</v>
      </c>
      <c r="H321">
        <f>SUM($D$2:D321)</f>
        <v>36300</v>
      </c>
      <c r="I321">
        <f t="shared" si="22"/>
        <v>1</v>
      </c>
    </row>
    <row r="322" spans="1:9" x14ac:dyDescent="0.25">
      <c r="A322" s="1">
        <v>45247</v>
      </c>
      <c r="B322">
        <f t="shared" si="20"/>
        <v>5</v>
      </c>
      <c r="C322" t="s">
        <v>11</v>
      </c>
      <c r="D322">
        <f t="shared" si="23"/>
        <v>120</v>
      </c>
      <c r="E322">
        <f t="shared" si="24"/>
        <v>0</v>
      </c>
      <c r="F322">
        <f t="shared" si="21"/>
        <v>120</v>
      </c>
      <c r="G322">
        <f>SUM($E$2:E322)</f>
        <v>14900</v>
      </c>
      <c r="H322">
        <f>SUM($D$2:D322)</f>
        <v>36420</v>
      </c>
      <c r="I322">
        <f t="shared" si="22"/>
        <v>1</v>
      </c>
    </row>
    <row r="323" spans="1:9" x14ac:dyDescent="0.25">
      <c r="A323" s="1">
        <v>45248</v>
      </c>
      <c r="B323">
        <f t="shared" ref="B323:B386" si="25">WEEKDAY(A323,2)</f>
        <v>6</v>
      </c>
      <c r="C323" t="s">
        <v>11</v>
      </c>
      <c r="D323">
        <f t="shared" si="23"/>
        <v>0</v>
      </c>
      <c r="E323">
        <f t="shared" si="24"/>
        <v>0</v>
      </c>
      <c r="F323">
        <f t="shared" ref="F323:F386" si="26">D323-E323</f>
        <v>0</v>
      </c>
      <c r="G323">
        <f>SUM($E$2:E323)</f>
        <v>14900</v>
      </c>
      <c r="H323">
        <f>SUM($D$2:D323)</f>
        <v>36420</v>
      </c>
      <c r="I323">
        <f t="shared" ref="I323:I386" si="27">IF(G323&lt;H323,1,0)</f>
        <v>1</v>
      </c>
    </row>
    <row r="324" spans="1:9" x14ac:dyDescent="0.25">
      <c r="A324" s="1">
        <v>45249</v>
      </c>
      <c r="B324">
        <f t="shared" si="25"/>
        <v>7</v>
      </c>
      <c r="C324" t="s">
        <v>11</v>
      </c>
      <c r="D324">
        <f t="shared" ref="D324:D387" si="28">IF(B324&lt;6,$Q$1*VLOOKUP(C324,$S$1:$T$5,2,FALSE)*$Q$3,0)</f>
        <v>0</v>
      </c>
      <c r="E324">
        <f t="shared" ref="E324:E387" si="29">IF(B324=7,$Q$4*$Q$1,0)</f>
        <v>150</v>
      </c>
      <c r="F324">
        <f t="shared" si="26"/>
        <v>-150</v>
      </c>
      <c r="G324">
        <f>SUM($E$2:E324)</f>
        <v>15050</v>
      </c>
      <c r="H324">
        <f>SUM($D$2:D324)</f>
        <v>36420</v>
      </c>
      <c r="I324">
        <f t="shared" si="27"/>
        <v>1</v>
      </c>
    </row>
    <row r="325" spans="1:9" x14ac:dyDescent="0.25">
      <c r="A325" s="1">
        <v>45250</v>
      </c>
      <c r="B325">
        <f t="shared" si="25"/>
        <v>1</v>
      </c>
      <c r="C325" t="s">
        <v>11</v>
      </c>
      <c r="D325">
        <f t="shared" si="28"/>
        <v>120</v>
      </c>
      <c r="E325">
        <f t="shared" si="29"/>
        <v>0</v>
      </c>
      <c r="F325">
        <f t="shared" si="26"/>
        <v>120</v>
      </c>
      <c r="G325">
        <f>SUM($E$2:E325)</f>
        <v>15050</v>
      </c>
      <c r="H325">
        <f>SUM($D$2:D325)</f>
        <v>36540</v>
      </c>
      <c r="I325">
        <f t="shared" si="27"/>
        <v>1</v>
      </c>
    </row>
    <row r="326" spans="1:9" x14ac:dyDescent="0.25">
      <c r="A326" s="1">
        <v>45251</v>
      </c>
      <c r="B326">
        <f t="shared" si="25"/>
        <v>2</v>
      </c>
      <c r="C326" t="s">
        <v>11</v>
      </c>
      <c r="D326">
        <f t="shared" si="28"/>
        <v>120</v>
      </c>
      <c r="E326">
        <f t="shared" si="29"/>
        <v>0</v>
      </c>
      <c r="F326">
        <f t="shared" si="26"/>
        <v>120</v>
      </c>
      <c r="G326">
        <f>SUM($E$2:E326)</f>
        <v>15050</v>
      </c>
      <c r="H326">
        <f>SUM($D$2:D326)</f>
        <v>36660</v>
      </c>
      <c r="I326">
        <f t="shared" si="27"/>
        <v>1</v>
      </c>
    </row>
    <row r="327" spans="1:9" x14ac:dyDescent="0.25">
      <c r="A327" s="1">
        <v>45252</v>
      </c>
      <c r="B327">
        <f t="shared" si="25"/>
        <v>3</v>
      </c>
      <c r="C327" t="s">
        <v>11</v>
      </c>
      <c r="D327">
        <f t="shared" si="28"/>
        <v>120</v>
      </c>
      <c r="E327">
        <f t="shared" si="29"/>
        <v>0</v>
      </c>
      <c r="F327">
        <f t="shared" si="26"/>
        <v>120</v>
      </c>
      <c r="G327">
        <f>SUM($E$2:E327)</f>
        <v>15050</v>
      </c>
      <c r="H327">
        <f>SUM($D$2:D327)</f>
        <v>36780</v>
      </c>
      <c r="I327">
        <f t="shared" si="27"/>
        <v>1</v>
      </c>
    </row>
    <row r="328" spans="1:9" x14ac:dyDescent="0.25">
      <c r="A328" s="1">
        <v>45253</v>
      </c>
      <c r="B328">
        <f t="shared" si="25"/>
        <v>4</v>
      </c>
      <c r="C328" t="s">
        <v>11</v>
      </c>
      <c r="D328">
        <f t="shared" si="28"/>
        <v>120</v>
      </c>
      <c r="E328">
        <f t="shared" si="29"/>
        <v>0</v>
      </c>
      <c r="F328">
        <f t="shared" si="26"/>
        <v>120</v>
      </c>
      <c r="G328">
        <f>SUM($E$2:E328)</f>
        <v>15050</v>
      </c>
      <c r="H328">
        <f>SUM($D$2:D328)</f>
        <v>36900</v>
      </c>
      <c r="I328">
        <f t="shared" si="27"/>
        <v>1</v>
      </c>
    </row>
    <row r="329" spans="1:9" x14ac:dyDescent="0.25">
      <c r="A329" s="1">
        <v>45254</v>
      </c>
      <c r="B329">
        <f t="shared" si="25"/>
        <v>5</v>
      </c>
      <c r="C329" t="s">
        <v>11</v>
      </c>
      <c r="D329">
        <f t="shared" si="28"/>
        <v>120</v>
      </c>
      <c r="E329">
        <f t="shared" si="29"/>
        <v>0</v>
      </c>
      <c r="F329">
        <f t="shared" si="26"/>
        <v>120</v>
      </c>
      <c r="G329">
        <f>SUM($E$2:E329)</f>
        <v>15050</v>
      </c>
      <c r="H329">
        <f>SUM($D$2:D329)</f>
        <v>37020</v>
      </c>
      <c r="I329">
        <f t="shared" si="27"/>
        <v>1</v>
      </c>
    </row>
    <row r="330" spans="1:9" x14ac:dyDescent="0.25">
      <c r="A330" s="1">
        <v>45255</v>
      </c>
      <c r="B330">
        <f t="shared" si="25"/>
        <v>6</v>
      </c>
      <c r="C330" t="s">
        <v>11</v>
      </c>
      <c r="D330">
        <f t="shared" si="28"/>
        <v>0</v>
      </c>
      <c r="E330">
        <f t="shared" si="29"/>
        <v>0</v>
      </c>
      <c r="F330">
        <f t="shared" si="26"/>
        <v>0</v>
      </c>
      <c r="G330">
        <f>SUM($E$2:E330)</f>
        <v>15050</v>
      </c>
      <c r="H330">
        <f>SUM($D$2:D330)</f>
        <v>37020</v>
      </c>
      <c r="I330">
        <f t="shared" si="27"/>
        <v>1</v>
      </c>
    </row>
    <row r="331" spans="1:9" x14ac:dyDescent="0.25">
      <c r="A331" s="1">
        <v>45256</v>
      </c>
      <c r="B331">
        <f t="shared" si="25"/>
        <v>7</v>
      </c>
      <c r="C331" t="s">
        <v>11</v>
      </c>
      <c r="D331">
        <f t="shared" si="28"/>
        <v>0</v>
      </c>
      <c r="E331">
        <f t="shared" si="29"/>
        <v>150</v>
      </c>
      <c r="F331">
        <f t="shared" si="26"/>
        <v>-150</v>
      </c>
      <c r="G331">
        <f>SUM($E$2:E331)</f>
        <v>15200</v>
      </c>
      <c r="H331">
        <f>SUM($D$2:D331)</f>
        <v>37020</v>
      </c>
      <c r="I331">
        <f t="shared" si="27"/>
        <v>1</v>
      </c>
    </row>
    <row r="332" spans="1:9" x14ac:dyDescent="0.25">
      <c r="A332" s="1">
        <v>45257</v>
      </c>
      <c r="B332">
        <f t="shared" si="25"/>
        <v>1</v>
      </c>
      <c r="C332" t="s">
        <v>11</v>
      </c>
      <c r="D332">
        <f t="shared" si="28"/>
        <v>120</v>
      </c>
      <c r="E332">
        <f t="shared" si="29"/>
        <v>0</v>
      </c>
      <c r="F332">
        <f t="shared" si="26"/>
        <v>120</v>
      </c>
      <c r="G332">
        <f>SUM($E$2:E332)</f>
        <v>15200</v>
      </c>
      <c r="H332">
        <f>SUM($D$2:D332)</f>
        <v>37140</v>
      </c>
      <c r="I332">
        <f t="shared" si="27"/>
        <v>1</v>
      </c>
    </row>
    <row r="333" spans="1:9" x14ac:dyDescent="0.25">
      <c r="A333" s="1">
        <v>45258</v>
      </c>
      <c r="B333">
        <f t="shared" si="25"/>
        <v>2</v>
      </c>
      <c r="C333" t="s">
        <v>11</v>
      </c>
      <c r="D333">
        <f t="shared" si="28"/>
        <v>120</v>
      </c>
      <c r="E333">
        <f t="shared" si="29"/>
        <v>0</v>
      </c>
      <c r="F333">
        <f t="shared" si="26"/>
        <v>120</v>
      </c>
      <c r="G333">
        <f>SUM($E$2:E333)</f>
        <v>15200</v>
      </c>
      <c r="H333">
        <f>SUM($D$2:D333)</f>
        <v>37260</v>
      </c>
      <c r="I333">
        <f t="shared" si="27"/>
        <v>1</v>
      </c>
    </row>
    <row r="334" spans="1:9" x14ac:dyDescent="0.25">
      <c r="A334" s="1">
        <v>45259</v>
      </c>
      <c r="B334">
        <f t="shared" si="25"/>
        <v>3</v>
      </c>
      <c r="C334" t="s">
        <v>11</v>
      </c>
      <c r="D334">
        <f t="shared" si="28"/>
        <v>120</v>
      </c>
      <c r="E334">
        <f t="shared" si="29"/>
        <v>0</v>
      </c>
      <c r="F334">
        <f t="shared" si="26"/>
        <v>120</v>
      </c>
      <c r="G334">
        <f>SUM($E$2:E334)</f>
        <v>15200</v>
      </c>
      <c r="H334">
        <f>SUM($D$2:D334)</f>
        <v>37380</v>
      </c>
      <c r="I334">
        <f t="shared" si="27"/>
        <v>1</v>
      </c>
    </row>
    <row r="335" spans="1:9" x14ac:dyDescent="0.25">
      <c r="A335" s="1">
        <v>45260</v>
      </c>
      <c r="B335">
        <f t="shared" si="25"/>
        <v>4</v>
      </c>
      <c r="C335" t="s">
        <v>11</v>
      </c>
      <c r="D335">
        <f t="shared" si="28"/>
        <v>120</v>
      </c>
      <c r="E335">
        <f t="shared" si="29"/>
        <v>0</v>
      </c>
      <c r="F335">
        <f t="shared" si="26"/>
        <v>120</v>
      </c>
      <c r="G335">
        <f>SUM($E$2:E335)</f>
        <v>15200</v>
      </c>
      <c r="H335">
        <f>SUM($D$2:D335)</f>
        <v>37500</v>
      </c>
      <c r="I335">
        <f t="shared" si="27"/>
        <v>1</v>
      </c>
    </row>
    <row r="336" spans="1:9" x14ac:dyDescent="0.25">
      <c r="A336" s="1">
        <v>45261</v>
      </c>
      <c r="B336">
        <f t="shared" si="25"/>
        <v>5</v>
      </c>
      <c r="C336" t="s">
        <v>11</v>
      </c>
      <c r="D336">
        <f t="shared" si="28"/>
        <v>120</v>
      </c>
      <c r="E336">
        <f t="shared" si="29"/>
        <v>0</v>
      </c>
      <c r="F336">
        <f t="shared" si="26"/>
        <v>120</v>
      </c>
      <c r="G336">
        <f>SUM($E$2:E336)</f>
        <v>15200</v>
      </c>
      <c r="H336">
        <f>SUM($D$2:D336)</f>
        <v>37620</v>
      </c>
      <c r="I336">
        <f t="shared" si="27"/>
        <v>1</v>
      </c>
    </row>
    <row r="337" spans="1:9" x14ac:dyDescent="0.25">
      <c r="A337" s="1">
        <v>45262</v>
      </c>
      <c r="B337">
        <f t="shared" si="25"/>
        <v>6</v>
      </c>
      <c r="C337" t="s">
        <v>11</v>
      </c>
      <c r="D337">
        <f t="shared" si="28"/>
        <v>0</v>
      </c>
      <c r="E337">
        <f t="shared" si="29"/>
        <v>0</v>
      </c>
      <c r="F337">
        <f t="shared" si="26"/>
        <v>0</v>
      </c>
      <c r="G337">
        <f>SUM($E$2:E337)</f>
        <v>15200</v>
      </c>
      <c r="H337">
        <f>SUM($D$2:D337)</f>
        <v>37620</v>
      </c>
      <c r="I337">
        <f t="shared" si="27"/>
        <v>1</v>
      </c>
    </row>
    <row r="338" spans="1:9" x14ac:dyDescent="0.25">
      <c r="A338" s="1">
        <v>45263</v>
      </c>
      <c r="B338">
        <f t="shared" si="25"/>
        <v>7</v>
      </c>
      <c r="C338" t="s">
        <v>11</v>
      </c>
      <c r="D338">
        <f t="shared" si="28"/>
        <v>0</v>
      </c>
      <c r="E338">
        <f t="shared" si="29"/>
        <v>150</v>
      </c>
      <c r="F338">
        <f t="shared" si="26"/>
        <v>-150</v>
      </c>
      <c r="G338">
        <f>SUM($E$2:E338)</f>
        <v>15350</v>
      </c>
      <c r="H338">
        <f>SUM($D$2:D338)</f>
        <v>37620</v>
      </c>
      <c r="I338">
        <f t="shared" si="27"/>
        <v>1</v>
      </c>
    </row>
    <row r="339" spans="1:9" x14ac:dyDescent="0.25">
      <c r="A339" s="1">
        <v>45264</v>
      </c>
      <c r="B339">
        <f t="shared" si="25"/>
        <v>1</v>
      </c>
      <c r="C339" t="s">
        <v>11</v>
      </c>
      <c r="D339">
        <f t="shared" si="28"/>
        <v>120</v>
      </c>
      <c r="E339">
        <f t="shared" si="29"/>
        <v>0</v>
      </c>
      <c r="F339">
        <f t="shared" si="26"/>
        <v>120</v>
      </c>
      <c r="G339">
        <f>SUM($E$2:E339)</f>
        <v>15350</v>
      </c>
      <c r="H339">
        <f>SUM($D$2:D339)</f>
        <v>37740</v>
      </c>
      <c r="I339">
        <f t="shared" si="27"/>
        <v>1</v>
      </c>
    </row>
    <row r="340" spans="1:9" x14ac:dyDescent="0.25">
      <c r="A340" s="1">
        <v>45265</v>
      </c>
      <c r="B340">
        <f t="shared" si="25"/>
        <v>2</v>
      </c>
      <c r="C340" t="s">
        <v>11</v>
      </c>
      <c r="D340">
        <f t="shared" si="28"/>
        <v>120</v>
      </c>
      <c r="E340">
        <f t="shared" si="29"/>
        <v>0</v>
      </c>
      <c r="F340">
        <f t="shared" si="26"/>
        <v>120</v>
      </c>
      <c r="G340">
        <f>SUM($E$2:E340)</f>
        <v>15350</v>
      </c>
      <c r="H340">
        <f>SUM($D$2:D340)</f>
        <v>37860</v>
      </c>
      <c r="I340">
        <f t="shared" si="27"/>
        <v>1</v>
      </c>
    </row>
    <row r="341" spans="1:9" x14ac:dyDescent="0.25">
      <c r="A341" s="1">
        <v>45266</v>
      </c>
      <c r="B341">
        <f t="shared" si="25"/>
        <v>3</v>
      </c>
      <c r="C341" t="s">
        <v>11</v>
      </c>
      <c r="D341">
        <f t="shared" si="28"/>
        <v>120</v>
      </c>
      <c r="E341">
        <f t="shared" si="29"/>
        <v>0</v>
      </c>
      <c r="F341">
        <f t="shared" si="26"/>
        <v>120</v>
      </c>
      <c r="G341">
        <f>SUM($E$2:E341)</f>
        <v>15350</v>
      </c>
      <c r="H341">
        <f>SUM($D$2:D341)</f>
        <v>37980</v>
      </c>
      <c r="I341">
        <f t="shared" si="27"/>
        <v>1</v>
      </c>
    </row>
    <row r="342" spans="1:9" x14ac:dyDescent="0.25">
      <c r="A342" s="1">
        <v>45267</v>
      </c>
      <c r="B342">
        <f t="shared" si="25"/>
        <v>4</v>
      </c>
      <c r="C342" t="s">
        <v>11</v>
      </c>
      <c r="D342">
        <f t="shared" si="28"/>
        <v>120</v>
      </c>
      <c r="E342">
        <f t="shared" si="29"/>
        <v>0</v>
      </c>
      <c r="F342">
        <f t="shared" si="26"/>
        <v>120</v>
      </c>
      <c r="G342">
        <f>SUM($E$2:E342)</f>
        <v>15350</v>
      </c>
      <c r="H342">
        <f>SUM($D$2:D342)</f>
        <v>38100</v>
      </c>
      <c r="I342">
        <f t="shared" si="27"/>
        <v>1</v>
      </c>
    </row>
    <row r="343" spans="1:9" x14ac:dyDescent="0.25">
      <c r="A343" s="1">
        <v>45268</v>
      </c>
      <c r="B343">
        <f t="shared" si="25"/>
        <v>5</v>
      </c>
      <c r="C343" t="s">
        <v>11</v>
      </c>
      <c r="D343">
        <f t="shared" si="28"/>
        <v>120</v>
      </c>
      <c r="E343">
        <f t="shared" si="29"/>
        <v>0</v>
      </c>
      <c r="F343">
        <f t="shared" si="26"/>
        <v>120</v>
      </c>
      <c r="G343">
        <f>SUM($E$2:E343)</f>
        <v>15350</v>
      </c>
      <c r="H343">
        <f>SUM($D$2:D343)</f>
        <v>38220</v>
      </c>
      <c r="I343">
        <f t="shared" si="27"/>
        <v>1</v>
      </c>
    </row>
    <row r="344" spans="1:9" x14ac:dyDescent="0.25">
      <c r="A344" s="1">
        <v>45269</v>
      </c>
      <c r="B344">
        <f t="shared" si="25"/>
        <v>6</v>
      </c>
      <c r="C344" t="s">
        <v>11</v>
      </c>
      <c r="D344">
        <f t="shared" si="28"/>
        <v>0</v>
      </c>
      <c r="E344">
        <f t="shared" si="29"/>
        <v>0</v>
      </c>
      <c r="F344">
        <f t="shared" si="26"/>
        <v>0</v>
      </c>
      <c r="G344">
        <f>SUM($E$2:E344)</f>
        <v>15350</v>
      </c>
      <c r="H344">
        <f>SUM($D$2:D344)</f>
        <v>38220</v>
      </c>
      <c r="I344">
        <f t="shared" si="27"/>
        <v>1</v>
      </c>
    </row>
    <row r="345" spans="1:9" x14ac:dyDescent="0.25">
      <c r="A345" s="1">
        <v>45270</v>
      </c>
      <c r="B345">
        <f t="shared" si="25"/>
        <v>7</v>
      </c>
      <c r="C345" t="s">
        <v>11</v>
      </c>
      <c r="D345">
        <f t="shared" si="28"/>
        <v>0</v>
      </c>
      <c r="E345">
        <f t="shared" si="29"/>
        <v>150</v>
      </c>
      <c r="F345">
        <f t="shared" si="26"/>
        <v>-150</v>
      </c>
      <c r="G345">
        <f>SUM($E$2:E345)</f>
        <v>15500</v>
      </c>
      <c r="H345">
        <f>SUM($D$2:D345)</f>
        <v>38220</v>
      </c>
      <c r="I345">
        <f t="shared" si="27"/>
        <v>1</v>
      </c>
    </row>
    <row r="346" spans="1:9" x14ac:dyDescent="0.25">
      <c r="A346" s="1">
        <v>45271</v>
      </c>
      <c r="B346">
        <f t="shared" si="25"/>
        <v>1</v>
      </c>
      <c r="C346" t="s">
        <v>11</v>
      </c>
      <c r="D346">
        <f t="shared" si="28"/>
        <v>120</v>
      </c>
      <c r="E346">
        <f t="shared" si="29"/>
        <v>0</v>
      </c>
      <c r="F346">
        <f t="shared" si="26"/>
        <v>120</v>
      </c>
      <c r="G346">
        <f>SUM($E$2:E346)</f>
        <v>15500</v>
      </c>
      <c r="H346">
        <f>SUM($D$2:D346)</f>
        <v>38340</v>
      </c>
      <c r="I346">
        <f t="shared" si="27"/>
        <v>1</v>
      </c>
    </row>
    <row r="347" spans="1:9" x14ac:dyDescent="0.25">
      <c r="A347" s="1">
        <v>45272</v>
      </c>
      <c r="B347">
        <f t="shared" si="25"/>
        <v>2</v>
      </c>
      <c r="C347" t="s">
        <v>11</v>
      </c>
      <c r="D347">
        <f t="shared" si="28"/>
        <v>120</v>
      </c>
      <c r="E347">
        <f t="shared" si="29"/>
        <v>0</v>
      </c>
      <c r="F347">
        <f t="shared" si="26"/>
        <v>120</v>
      </c>
      <c r="G347">
        <f>SUM($E$2:E347)</f>
        <v>15500</v>
      </c>
      <c r="H347">
        <f>SUM($D$2:D347)</f>
        <v>38460</v>
      </c>
      <c r="I347">
        <f t="shared" si="27"/>
        <v>1</v>
      </c>
    </row>
    <row r="348" spans="1:9" x14ac:dyDescent="0.25">
      <c r="A348" s="1">
        <v>45273</v>
      </c>
      <c r="B348">
        <f t="shared" si="25"/>
        <v>3</v>
      </c>
      <c r="C348" t="s">
        <v>11</v>
      </c>
      <c r="D348">
        <f t="shared" si="28"/>
        <v>120</v>
      </c>
      <c r="E348">
        <f t="shared" si="29"/>
        <v>0</v>
      </c>
      <c r="F348">
        <f t="shared" si="26"/>
        <v>120</v>
      </c>
      <c r="G348">
        <f>SUM($E$2:E348)</f>
        <v>15500</v>
      </c>
      <c r="H348">
        <f>SUM($D$2:D348)</f>
        <v>38580</v>
      </c>
      <c r="I348">
        <f t="shared" si="27"/>
        <v>1</v>
      </c>
    </row>
    <row r="349" spans="1:9" x14ac:dyDescent="0.25">
      <c r="A349" s="1">
        <v>45274</v>
      </c>
      <c r="B349">
        <f t="shared" si="25"/>
        <v>4</v>
      </c>
      <c r="C349" t="s">
        <v>11</v>
      </c>
      <c r="D349">
        <f t="shared" si="28"/>
        <v>120</v>
      </c>
      <c r="E349">
        <f t="shared" si="29"/>
        <v>0</v>
      </c>
      <c r="F349">
        <f t="shared" si="26"/>
        <v>120</v>
      </c>
      <c r="G349">
        <f>SUM($E$2:E349)</f>
        <v>15500</v>
      </c>
      <c r="H349">
        <f>SUM($D$2:D349)</f>
        <v>38700</v>
      </c>
      <c r="I349">
        <f t="shared" si="27"/>
        <v>1</v>
      </c>
    </row>
    <row r="350" spans="1:9" x14ac:dyDescent="0.25">
      <c r="A350" s="1">
        <v>45275</v>
      </c>
      <c r="B350">
        <f t="shared" si="25"/>
        <v>5</v>
      </c>
      <c r="C350" t="s">
        <v>11</v>
      </c>
      <c r="D350">
        <f t="shared" si="28"/>
        <v>120</v>
      </c>
      <c r="E350">
        <f t="shared" si="29"/>
        <v>0</v>
      </c>
      <c r="F350">
        <f t="shared" si="26"/>
        <v>120</v>
      </c>
      <c r="G350">
        <f>SUM($E$2:E350)</f>
        <v>15500</v>
      </c>
      <c r="H350">
        <f>SUM($D$2:D350)</f>
        <v>38820</v>
      </c>
      <c r="I350">
        <f t="shared" si="27"/>
        <v>1</v>
      </c>
    </row>
    <row r="351" spans="1:9" x14ac:dyDescent="0.25">
      <c r="A351" s="1">
        <v>45276</v>
      </c>
      <c r="B351">
        <f t="shared" si="25"/>
        <v>6</v>
      </c>
      <c r="C351" t="s">
        <v>11</v>
      </c>
      <c r="D351">
        <f t="shared" si="28"/>
        <v>0</v>
      </c>
      <c r="E351">
        <f t="shared" si="29"/>
        <v>0</v>
      </c>
      <c r="F351">
        <f t="shared" si="26"/>
        <v>0</v>
      </c>
      <c r="G351">
        <f>SUM($E$2:E351)</f>
        <v>15500</v>
      </c>
      <c r="H351">
        <f>SUM($D$2:D351)</f>
        <v>38820</v>
      </c>
      <c r="I351">
        <f t="shared" si="27"/>
        <v>1</v>
      </c>
    </row>
    <row r="352" spans="1:9" x14ac:dyDescent="0.25">
      <c r="A352" s="1">
        <v>45277</v>
      </c>
      <c r="B352">
        <f t="shared" si="25"/>
        <v>7</v>
      </c>
      <c r="C352" t="s">
        <v>11</v>
      </c>
      <c r="D352">
        <f t="shared" si="28"/>
        <v>0</v>
      </c>
      <c r="E352">
        <f t="shared" si="29"/>
        <v>150</v>
      </c>
      <c r="F352">
        <f t="shared" si="26"/>
        <v>-150</v>
      </c>
      <c r="G352">
        <f>SUM($E$2:E352)</f>
        <v>15650</v>
      </c>
      <c r="H352">
        <f>SUM($D$2:D352)</f>
        <v>38820</v>
      </c>
      <c r="I352">
        <f t="shared" si="27"/>
        <v>1</v>
      </c>
    </row>
    <row r="353" spans="1:9" x14ac:dyDescent="0.25">
      <c r="A353" s="1">
        <v>45278</v>
      </c>
      <c r="B353">
        <f t="shared" si="25"/>
        <v>1</v>
      </c>
      <c r="C353" t="s">
        <v>11</v>
      </c>
      <c r="D353">
        <f t="shared" si="28"/>
        <v>120</v>
      </c>
      <c r="E353">
        <f t="shared" si="29"/>
        <v>0</v>
      </c>
      <c r="F353">
        <f t="shared" si="26"/>
        <v>120</v>
      </c>
      <c r="G353">
        <f>SUM($E$2:E353)</f>
        <v>15650</v>
      </c>
      <c r="H353">
        <f>SUM($D$2:D353)</f>
        <v>38940</v>
      </c>
      <c r="I353">
        <f t="shared" si="27"/>
        <v>1</v>
      </c>
    </row>
    <row r="354" spans="1:9" x14ac:dyDescent="0.25">
      <c r="A354" s="1">
        <v>45279</v>
      </c>
      <c r="B354">
        <f t="shared" si="25"/>
        <v>2</v>
      </c>
      <c r="C354" t="s">
        <v>11</v>
      </c>
      <c r="D354">
        <f t="shared" si="28"/>
        <v>120</v>
      </c>
      <c r="E354">
        <f t="shared" si="29"/>
        <v>0</v>
      </c>
      <c r="F354">
        <f t="shared" si="26"/>
        <v>120</v>
      </c>
      <c r="G354">
        <f>SUM($E$2:E354)</f>
        <v>15650</v>
      </c>
      <c r="H354">
        <f>SUM($D$2:D354)</f>
        <v>39060</v>
      </c>
      <c r="I354">
        <f t="shared" si="27"/>
        <v>1</v>
      </c>
    </row>
    <row r="355" spans="1:9" x14ac:dyDescent="0.25">
      <c r="A355" s="1">
        <v>45280</v>
      </c>
      <c r="B355">
        <f t="shared" si="25"/>
        <v>3</v>
      </c>
      <c r="C355" t="s">
        <v>11</v>
      </c>
      <c r="D355">
        <f t="shared" si="28"/>
        <v>120</v>
      </c>
      <c r="E355">
        <f t="shared" si="29"/>
        <v>0</v>
      </c>
      <c r="F355">
        <f t="shared" si="26"/>
        <v>120</v>
      </c>
      <c r="G355">
        <f>SUM($E$2:E355)</f>
        <v>15650</v>
      </c>
      <c r="H355">
        <f>SUM($D$2:D355)</f>
        <v>39180</v>
      </c>
      <c r="I355">
        <f t="shared" si="27"/>
        <v>1</v>
      </c>
    </row>
    <row r="356" spans="1:9" x14ac:dyDescent="0.25">
      <c r="A356" s="1">
        <v>45281</v>
      </c>
      <c r="B356">
        <f t="shared" si="25"/>
        <v>4</v>
      </c>
      <c r="C356" t="s">
        <v>8</v>
      </c>
      <c r="D356">
        <f t="shared" si="28"/>
        <v>60</v>
      </c>
      <c r="E356">
        <f t="shared" si="29"/>
        <v>0</v>
      </c>
      <c r="F356">
        <f t="shared" si="26"/>
        <v>60</v>
      </c>
      <c r="G356">
        <f>SUM($E$2:E356)</f>
        <v>15650</v>
      </c>
      <c r="H356">
        <f>SUM($D$2:D356)</f>
        <v>39240</v>
      </c>
      <c r="I356">
        <f t="shared" si="27"/>
        <v>1</v>
      </c>
    </row>
    <row r="357" spans="1:9" x14ac:dyDescent="0.25">
      <c r="A357" s="1">
        <v>45282</v>
      </c>
      <c r="B357">
        <f t="shared" si="25"/>
        <v>5</v>
      </c>
      <c r="C357" t="s">
        <v>8</v>
      </c>
      <c r="D357">
        <f t="shared" si="28"/>
        <v>60</v>
      </c>
      <c r="E357">
        <f t="shared" si="29"/>
        <v>0</v>
      </c>
      <c r="F357">
        <f t="shared" si="26"/>
        <v>60</v>
      </c>
      <c r="G357">
        <f>SUM($E$2:E357)</f>
        <v>15650</v>
      </c>
      <c r="H357">
        <f>SUM($D$2:D357)</f>
        <v>39300</v>
      </c>
      <c r="I357">
        <f t="shared" si="27"/>
        <v>1</v>
      </c>
    </row>
    <row r="358" spans="1:9" x14ac:dyDescent="0.25">
      <c r="A358" s="1">
        <v>45283</v>
      </c>
      <c r="B358">
        <f t="shared" si="25"/>
        <v>6</v>
      </c>
      <c r="C358" t="s">
        <v>8</v>
      </c>
      <c r="D358">
        <f t="shared" si="28"/>
        <v>0</v>
      </c>
      <c r="E358">
        <f t="shared" si="29"/>
        <v>0</v>
      </c>
      <c r="F358">
        <f t="shared" si="26"/>
        <v>0</v>
      </c>
      <c r="G358">
        <f>SUM($E$2:E358)</f>
        <v>15650</v>
      </c>
      <c r="H358">
        <f>SUM($D$2:D358)</f>
        <v>39300</v>
      </c>
      <c r="I358">
        <f t="shared" si="27"/>
        <v>1</v>
      </c>
    </row>
    <row r="359" spans="1:9" x14ac:dyDescent="0.25">
      <c r="A359" s="1">
        <v>45284</v>
      </c>
      <c r="B359">
        <f t="shared" si="25"/>
        <v>7</v>
      </c>
      <c r="C359" t="s">
        <v>8</v>
      </c>
      <c r="D359">
        <f t="shared" si="28"/>
        <v>0</v>
      </c>
      <c r="E359">
        <f t="shared" si="29"/>
        <v>150</v>
      </c>
      <c r="F359">
        <f t="shared" si="26"/>
        <v>-150</v>
      </c>
      <c r="G359">
        <f>SUM($E$2:E359)</f>
        <v>15800</v>
      </c>
      <c r="H359">
        <f>SUM($D$2:D359)</f>
        <v>39300</v>
      </c>
      <c r="I359">
        <f t="shared" si="27"/>
        <v>1</v>
      </c>
    </row>
    <row r="360" spans="1:9" x14ac:dyDescent="0.25">
      <c r="A360" s="1">
        <v>45285</v>
      </c>
      <c r="B360">
        <f t="shared" si="25"/>
        <v>1</v>
      </c>
      <c r="C360" t="s">
        <v>8</v>
      </c>
      <c r="D360">
        <f t="shared" si="28"/>
        <v>60</v>
      </c>
      <c r="E360">
        <f t="shared" si="29"/>
        <v>0</v>
      </c>
      <c r="F360">
        <f t="shared" si="26"/>
        <v>60</v>
      </c>
      <c r="G360">
        <f>SUM($E$2:E360)</f>
        <v>15800</v>
      </c>
      <c r="H360">
        <f>SUM($D$2:D360)</f>
        <v>39360</v>
      </c>
      <c r="I360">
        <f t="shared" si="27"/>
        <v>1</v>
      </c>
    </row>
    <row r="361" spans="1:9" x14ac:dyDescent="0.25">
      <c r="A361" s="1">
        <v>45286</v>
      </c>
      <c r="B361">
        <f t="shared" si="25"/>
        <v>2</v>
      </c>
      <c r="C361" t="s">
        <v>8</v>
      </c>
      <c r="D361">
        <f t="shared" si="28"/>
        <v>60</v>
      </c>
      <c r="E361">
        <f t="shared" si="29"/>
        <v>0</v>
      </c>
      <c r="F361">
        <f t="shared" si="26"/>
        <v>60</v>
      </c>
      <c r="G361">
        <f>SUM($E$2:E361)</f>
        <v>15800</v>
      </c>
      <c r="H361">
        <f>SUM($D$2:D361)</f>
        <v>39420</v>
      </c>
      <c r="I361">
        <f t="shared" si="27"/>
        <v>1</v>
      </c>
    </row>
    <row r="362" spans="1:9" x14ac:dyDescent="0.25">
      <c r="A362" s="1">
        <v>45287</v>
      </c>
      <c r="B362">
        <f t="shared" si="25"/>
        <v>3</v>
      </c>
      <c r="C362" t="s">
        <v>8</v>
      </c>
      <c r="D362">
        <f t="shared" si="28"/>
        <v>60</v>
      </c>
      <c r="E362">
        <f t="shared" si="29"/>
        <v>0</v>
      </c>
      <c r="F362">
        <f t="shared" si="26"/>
        <v>60</v>
      </c>
      <c r="G362">
        <f>SUM($E$2:E362)</f>
        <v>15800</v>
      </c>
      <c r="H362">
        <f>SUM($D$2:D362)</f>
        <v>39480</v>
      </c>
      <c r="I362">
        <f t="shared" si="27"/>
        <v>1</v>
      </c>
    </row>
    <row r="363" spans="1:9" x14ac:dyDescent="0.25">
      <c r="A363" s="1">
        <v>45288</v>
      </c>
      <c r="B363">
        <f t="shared" si="25"/>
        <v>4</v>
      </c>
      <c r="C363" t="s">
        <v>8</v>
      </c>
      <c r="D363">
        <f t="shared" si="28"/>
        <v>60</v>
      </c>
      <c r="E363">
        <f t="shared" si="29"/>
        <v>0</v>
      </c>
      <c r="F363">
        <f t="shared" si="26"/>
        <v>60</v>
      </c>
      <c r="G363">
        <f>SUM($E$2:E363)</f>
        <v>15800</v>
      </c>
      <c r="H363">
        <f>SUM($D$2:D363)</f>
        <v>39540</v>
      </c>
      <c r="I363">
        <f t="shared" si="27"/>
        <v>1</v>
      </c>
    </row>
    <row r="364" spans="1:9" x14ac:dyDescent="0.25">
      <c r="A364" s="1">
        <v>45289</v>
      </c>
      <c r="B364">
        <f t="shared" si="25"/>
        <v>5</v>
      </c>
      <c r="C364" t="s">
        <v>8</v>
      </c>
      <c r="D364">
        <f t="shared" si="28"/>
        <v>60</v>
      </c>
      <c r="E364">
        <f t="shared" si="29"/>
        <v>0</v>
      </c>
      <c r="F364">
        <f t="shared" si="26"/>
        <v>60</v>
      </c>
      <c r="G364">
        <f>SUM($E$2:E364)</f>
        <v>15800</v>
      </c>
      <c r="H364">
        <f>SUM($D$2:D364)</f>
        <v>39600</v>
      </c>
      <c r="I364">
        <f t="shared" si="27"/>
        <v>1</v>
      </c>
    </row>
    <row r="365" spans="1:9" x14ac:dyDescent="0.25">
      <c r="A365" s="1">
        <v>45290</v>
      </c>
      <c r="B365">
        <f t="shared" si="25"/>
        <v>6</v>
      </c>
      <c r="C365" t="s">
        <v>8</v>
      </c>
      <c r="D365">
        <f t="shared" si="28"/>
        <v>0</v>
      </c>
      <c r="E365">
        <f t="shared" si="29"/>
        <v>0</v>
      </c>
      <c r="F365">
        <f t="shared" si="26"/>
        <v>0</v>
      </c>
      <c r="G365">
        <f>SUM($E$2:E365)</f>
        <v>15800</v>
      </c>
      <c r="H365">
        <f>SUM($D$2:D365)</f>
        <v>39600</v>
      </c>
      <c r="I365">
        <f t="shared" si="27"/>
        <v>1</v>
      </c>
    </row>
    <row r="366" spans="1:9" x14ac:dyDescent="0.25">
      <c r="A366" s="1">
        <v>45291</v>
      </c>
      <c r="B366">
        <f t="shared" si="25"/>
        <v>7</v>
      </c>
      <c r="C366" t="s">
        <v>8</v>
      </c>
      <c r="D366">
        <f t="shared" si="28"/>
        <v>0</v>
      </c>
      <c r="E366">
        <f t="shared" si="29"/>
        <v>150</v>
      </c>
      <c r="F366">
        <f t="shared" si="26"/>
        <v>-150</v>
      </c>
      <c r="G366">
        <f>SUM($E$2:E366)</f>
        <v>15950</v>
      </c>
      <c r="H366">
        <f>SUM($D$2:D366)</f>
        <v>39600</v>
      </c>
      <c r="I366">
        <f t="shared" si="27"/>
        <v>1</v>
      </c>
    </row>
    <row r="367" spans="1:9" x14ac:dyDescent="0.25">
      <c r="A367" s="1">
        <v>45292</v>
      </c>
      <c r="B367">
        <f t="shared" si="25"/>
        <v>1</v>
      </c>
      <c r="C367" t="s">
        <v>8</v>
      </c>
      <c r="D367">
        <f t="shared" si="28"/>
        <v>60</v>
      </c>
      <c r="E367">
        <f t="shared" si="29"/>
        <v>0</v>
      </c>
      <c r="F367">
        <f t="shared" si="26"/>
        <v>60</v>
      </c>
      <c r="G367">
        <f>SUM($E$2:E367)</f>
        <v>15950</v>
      </c>
      <c r="H367">
        <f>SUM($D$2:D367)</f>
        <v>39660</v>
      </c>
      <c r="I367">
        <f t="shared" si="27"/>
        <v>1</v>
      </c>
    </row>
    <row r="368" spans="1:9" x14ac:dyDescent="0.25">
      <c r="A368" s="1">
        <v>45293</v>
      </c>
      <c r="B368">
        <f t="shared" si="25"/>
        <v>2</v>
      </c>
      <c r="C368" t="s">
        <v>8</v>
      </c>
      <c r="D368">
        <f t="shared" si="28"/>
        <v>60</v>
      </c>
      <c r="E368">
        <f t="shared" si="29"/>
        <v>0</v>
      </c>
      <c r="F368">
        <f t="shared" si="26"/>
        <v>60</v>
      </c>
      <c r="G368">
        <f>SUM($E$2:E368)</f>
        <v>15950</v>
      </c>
      <c r="H368">
        <f>SUM($D$2:D368)</f>
        <v>39720</v>
      </c>
      <c r="I368">
        <f t="shared" si="27"/>
        <v>1</v>
      </c>
    </row>
    <row r="369" spans="1:9" x14ac:dyDescent="0.25">
      <c r="A369" s="1">
        <v>45294</v>
      </c>
      <c r="B369">
        <f t="shared" si="25"/>
        <v>3</v>
      </c>
      <c r="C369" t="s">
        <v>8</v>
      </c>
      <c r="D369">
        <f t="shared" si="28"/>
        <v>60</v>
      </c>
      <c r="E369">
        <f t="shared" si="29"/>
        <v>0</v>
      </c>
      <c r="F369">
        <f t="shared" si="26"/>
        <v>60</v>
      </c>
      <c r="G369">
        <f>SUM($E$2:E369)</f>
        <v>15950</v>
      </c>
      <c r="H369">
        <f>SUM($D$2:D369)</f>
        <v>39780</v>
      </c>
      <c r="I369">
        <f t="shared" si="27"/>
        <v>1</v>
      </c>
    </row>
    <row r="370" spans="1:9" x14ac:dyDescent="0.25">
      <c r="A370" s="1">
        <v>45295</v>
      </c>
      <c r="B370">
        <f t="shared" si="25"/>
        <v>4</v>
      </c>
      <c r="C370" t="s">
        <v>8</v>
      </c>
      <c r="D370">
        <f t="shared" si="28"/>
        <v>60</v>
      </c>
      <c r="E370">
        <f t="shared" si="29"/>
        <v>0</v>
      </c>
      <c r="F370">
        <f t="shared" si="26"/>
        <v>60</v>
      </c>
      <c r="G370">
        <f>SUM($E$2:E370)</f>
        <v>15950</v>
      </c>
      <c r="H370">
        <f>SUM($D$2:D370)</f>
        <v>39840</v>
      </c>
      <c r="I370">
        <f t="shared" si="27"/>
        <v>1</v>
      </c>
    </row>
    <row r="371" spans="1:9" x14ac:dyDescent="0.25">
      <c r="A371" s="1">
        <v>45296</v>
      </c>
      <c r="B371">
        <f t="shared" si="25"/>
        <v>5</v>
      </c>
      <c r="C371" t="s">
        <v>8</v>
      </c>
      <c r="D371">
        <f t="shared" si="28"/>
        <v>60</v>
      </c>
      <c r="E371">
        <f t="shared" si="29"/>
        <v>0</v>
      </c>
      <c r="F371">
        <f t="shared" si="26"/>
        <v>60</v>
      </c>
      <c r="G371">
        <f>SUM($E$2:E371)</f>
        <v>15950</v>
      </c>
      <c r="H371">
        <f>SUM($D$2:D371)</f>
        <v>39900</v>
      </c>
      <c r="I371">
        <f t="shared" si="27"/>
        <v>1</v>
      </c>
    </row>
    <row r="372" spans="1:9" x14ac:dyDescent="0.25">
      <c r="A372" s="1">
        <v>45297</v>
      </c>
      <c r="B372">
        <f t="shared" si="25"/>
        <v>6</v>
      </c>
      <c r="C372" t="s">
        <v>8</v>
      </c>
      <c r="D372">
        <f t="shared" si="28"/>
        <v>0</v>
      </c>
      <c r="E372">
        <f t="shared" si="29"/>
        <v>0</v>
      </c>
      <c r="F372">
        <f t="shared" si="26"/>
        <v>0</v>
      </c>
      <c r="G372">
        <f>SUM($E$2:E372)</f>
        <v>15950</v>
      </c>
      <c r="H372">
        <f>SUM($D$2:D372)</f>
        <v>39900</v>
      </c>
      <c r="I372">
        <f t="shared" si="27"/>
        <v>1</v>
      </c>
    </row>
    <row r="373" spans="1:9" x14ac:dyDescent="0.25">
      <c r="A373" s="1">
        <v>45298</v>
      </c>
      <c r="B373">
        <f t="shared" si="25"/>
        <v>7</v>
      </c>
      <c r="C373" t="s">
        <v>8</v>
      </c>
      <c r="D373">
        <f t="shared" si="28"/>
        <v>0</v>
      </c>
      <c r="E373">
        <f t="shared" si="29"/>
        <v>150</v>
      </c>
      <c r="F373">
        <f t="shared" si="26"/>
        <v>-150</v>
      </c>
      <c r="G373">
        <f>SUM($E$2:E373)</f>
        <v>16100</v>
      </c>
      <c r="H373">
        <f>SUM($D$2:D373)</f>
        <v>39900</v>
      </c>
      <c r="I373">
        <f t="shared" si="27"/>
        <v>1</v>
      </c>
    </row>
    <row r="374" spans="1:9" x14ac:dyDescent="0.25">
      <c r="A374" s="1">
        <v>45299</v>
      </c>
      <c r="B374">
        <f t="shared" si="25"/>
        <v>1</v>
      </c>
      <c r="C374" t="s">
        <v>8</v>
      </c>
      <c r="D374">
        <f t="shared" si="28"/>
        <v>60</v>
      </c>
      <c r="E374">
        <f t="shared" si="29"/>
        <v>0</v>
      </c>
      <c r="F374">
        <f t="shared" si="26"/>
        <v>60</v>
      </c>
      <c r="G374">
        <f>SUM($E$2:E374)</f>
        <v>16100</v>
      </c>
      <c r="H374">
        <f>SUM($D$2:D374)</f>
        <v>39960</v>
      </c>
      <c r="I374">
        <f t="shared" si="27"/>
        <v>1</v>
      </c>
    </row>
    <row r="375" spans="1:9" x14ac:dyDescent="0.25">
      <c r="A375" s="1">
        <v>45300</v>
      </c>
      <c r="B375">
        <f t="shared" si="25"/>
        <v>2</v>
      </c>
      <c r="C375" t="s">
        <v>8</v>
      </c>
      <c r="D375">
        <f t="shared" si="28"/>
        <v>60</v>
      </c>
      <c r="E375">
        <f t="shared" si="29"/>
        <v>0</v>
      </c>
      <c r="F375">
        <f t="shared" si="26"/>
        <v>60</v>
      </c>
      <c r="G375">
        <f>SUM($E$2:E375)</f>
        <v>16100</v>
      </c>
      <c r="H375">
        <f>SUM($D$2:D375)</f>
        <v>40020</v>
      </c>
      <c r="I375">
        <f t="shared" si="27"/>
        <v>1</v>
      </c>
    </row>
    <row r="376" spans="1:9" x14ac:dyDescent="0.25">
      <c r="A376" s="1">
        <v>45301</v>
      </c>
      <c r="B376">
        <f t="shared" si="25"/>
        <v>3</v>
      </c>
      <c r="C376" t="s">
        <v>8</v>
      </c>
      <c r="D376">
        <f t="shared" si="28"/>
        <v>60</v>
      </c>
      <c r="E376">
        <f t="shared" si="29"/>
        <v>0</v>
      </c>
      <c r="F376">
        <f t="shared" si="26"/>
        <v>60</v>
      </c>
      <c r="G376">
        <f>SUM($E$2:E376)</f>
        <v>16100</v>
      </c>
      <c r="H376">
        <f>SUM($D$2:D376)</f>
        <v>40080</v>
      </c>
      <c r="I376">
        <f t="shared" si="27"/>
        <v>1</v>
      </c>
    </row>
    <row r="377" spans="1:9" x14ac:dyDescent="0.25">
      <c r="A377" s="1">
        <v>45302</v>
      </c>
      <c r="B377">
        <f t="shared" si="25"/>
        <v>4</v>
      </c>
      <c r="C377" t="s">
        <v>8</v>
      </c>
      <c r="D377">
        <f t="shared" si="28"/>
        <v>60</v>
      </c>
      <c r="E377">
        <f t="shared" si="29"/>
        <v>0</v>
      </c>
      <c r="F377">
        <f t="shared" si="26"/>
        <v>60</v>
      </c>
      <c r="G377">
        <f>SUM($E$2:E377)</f>
        <v>16100</v>
      </c>
      <c r="H377">
        <f>SUM($D$2:D377)</f>
        <v>40140</v>
      </c>
      <c r="I377">
        <f t="shared" si="27"/>
        <v>1</v>
      </c>
    </row>
    <row r="378" spans="1:9" x14ac:dyDescent="0.25">
      <c r="A378" s="1">
        <v>45303</v>
      </c>
      <c r="B378">
        <f t="shared" si="25"/>
        <v>5</v>
      </c>
      <c r="C378" t="s">
        <v>8</v>
      </c>
      <c r="D378">
        <f t="shared" si="28"/>
        <v>60</v>
      </c>
      <c r="E378">
        <f t="shared" si="29"/>
        <v>0</v>
      </c>
      <c r="F378">
        <f t="shared" si="26"/>
        <v>60</v>
      </c>
      <c r="G378">
        <f>SUM($E$2:E378)</f>
        <v>16100</v>
      </c>
      <c r="H378">
        <f>SUM($D$2:D378)</f>
        <v>40200</v>
      </c>
      <c r="I378">
        <f t="shared" si="27"/>
        <v>1</v>
      </c>
    </row>
    <row r="379" spans="1:9" x14ac:dyDescent="0.25">
      <c r="A379" s="1">
        <v>45304</v>
      </c>
      <c r="B379">
        <f t="shared" si="25"/>
        <v>6</v>
      </c>
      <c r="C379" t="s">
        <v>8</v>
      </c>
      <c r="D379">
        <f t="shared" si="28"/>
        <v>0</v>
      </c>
      <c r="E379">
        <f t="shared" si="29"/>
        <v>0</v>
      </c>
      <c r="F379">
        <f t="shared" si="26"/>
        <v>0</v>
      </c>
      <c r="G379">
        <f>SUM($E$2:E379)</f>
        <v>16100</v>
      </c>
      <c r="H379">
        <f>SUM($D$2:D379)</f>
        <v>40200</v>
      </c>
      <c r="I379">
        <f t="shared" si="27"/>
        <v>1</v>
      </c>
    </row>
    <row r="380" spans="1:9" x14ac:dyDescent="0.25">
      <c r="A380" s="1">
        <v>45305</v>
      </c>
      <c r="B380">
        <f t="shared" si="25"/>
        <v>7</v>
      </c>
      <c r="C380" t="s">
        <v>8</v>
      </c>
      <c r="D380">
        <f t="shared" si="28"/>
        <v>0</v>
      </c>
      <c r="E380">
        <f t="shared" si="29"/>
        <v>150</v>
      </c>
      <c r="F380">
        <f t="shared" si="26"/>
        <v>-150</v>
      </c>
      <c r="G380">
        <f>SUM($E$2:E380)</f>
        <v>16250</v>
      </c>
      <c r="H380">
        <f>SUM($D$2:D380)</f>
        <v>40200</v>
      </c>
      <c r="I380">
        <f t="shared" si="27"/>
        <v>1</v>
      </c>
    </row>
    <row r="381" spans="1:9" x14ac:dyDescent="0.25">
      <c r="A381" s="1">
        <v>45306</v>
      </c>
      <c r="B381">
        <f t="shared" si="25"/>
        <v>1</v>
      </c>
      <c r="C381" t="s">
        <v>8</v>
      </c>
      <c r="D381">
        <f t="shared" si="28"/>
        <v>60</v>
      </c>
      <c r="E381">
        <f t="shared" si="29"/>
        <v>0</v>
      </c>
      <c r="F381">
        <f t="shared" si="26"/>
        <v>60</v>
      </c>
      <c r="G381">
        <f>SUM($E$2:E381)</f>
        <v>16250</v>
      </c>
      <c r="H381">
        <f>SUM($D$2:D381)</f>
        <v>40260</v>
      </c>
      <c r="I381">
        <f t="shared" si="27"/>
        <v>1</v>
      </c>
    </row>
    <row r="382" spans="1:9" x14ac:dyDescent="0.25">
      <c r="A382" s="1">
        <v>45307</v>
      </c>
      <c r="B382">
        <f t="shared" si="25"/>
        <v>2</v>
      </c>
      <c r="C382" t="s">
        <v>8</v>
      </c>
      <c r="D382">
        <f t="shared" si="28"/>
        <v>60</v>
      </c>
      <c r="E382">
        <f t="shared" si="29"/>
        <v>0</v>
      </c>
      <c r="F382">
        <f t="shared" si="26"/>
        <v>60</v>
      </c>
      <c r="G382">
        <f>SUM($E$2:E382)</f>
        <v>16250</v>
      </c>
      <c r="H382">
        <f>SUM($D$2:D382)</f>
        <v>40320</v>
      </c>
      <c r="I382">
        <f t="shared" si="27"/>
        <v>1</v>
      </c>
    </row>
    <row r="383" spans="1:9" x14ac:dyDescent="0.25">
      <c r="A383" s="1">
        <v>45308</v>
      </c>
      <c r="B383">
        <f t="shared" si="25"/>
        <v>3</v>
      </c>
      <c r="C383" t="s">
        <v>8</v>
      </c>
      <c r="D383">
        <f t="shared" si="28"/>
        <v>60</v>
      </c>
      <c r="E383">
        <f t="shared" si="29"/>
        <v>0</v>
      </c>
      <c r="F383">
        <f t="shared" si="26"/>
        <v>60</v>
      </c>
      <c r="G383">
        <f>SUM($E$2:E383)</f>
        <v>16250</v>
      </c>
      <c r="H383">
        <f>SUM($D$2:D383)</f>
        <v>40380</v>
      </c>
      <c r="I383">
        <f t="shared" si="27"/>
        <v>1</v>
      </c>
    </row>
    <row r="384" spans="1:9" x14ac:dyDescent="0.25">
      <c r="A384" s="1">
        <v>45309</v>
      </c>
      <c r="B384">
        <f t="shared" si="25"/>
        <v>4</v>
      </c>
      <c r="C384" t="s">
        <v>8</v>
      </c>
      <c r="D384">
        <f t="shared" si="28"/>
        <v>60</v>
      </c>
      <c r="E384">
        <f t="shared" si="29"/>
        <v>0</v>
      </c>
      <c r="F384">
        <f t="shared" si="26"/>
        <v>60</v>
      </c>
      <c r="G384">
        <f>SUM($E$2:E384)</f>
        <v>16250</v>
      </c>
      <c r="H384">
        <f>SUM($D$2:D384)</f>
        <v>40440</v>
      </c>
      <c r="I384">
        <f t="shared" si="27"/>
        <v>1</v>
      </c>
    </row>
    <row r="385" spans="1:9" x14ac:dyDescent="0.25">
      <c r="A385" s="1">
        <v>45310</v>
      </c>
      <c r="B385">
        <f t="shared" si="25"/>
        <v>5</v>
      </c>
      <c r="C385" t="s">
        <v>8</v>
      </c>
      <c r="D385">
        <f t="shared" si="28"/>
        <v>60</v>
      </c>
      <c r="E385">
        <f t="shared" si="29"/>
        <v>0</v>
      </c>
      <c r="F385">
        <f t="shared" si="26"/>
        <v>60</v>
      </c>
      <c r="G385">
        <f>SUM($E$2:E385)</f>
        <v>16250</v>
      </c>
      <c r="H385">
        <f>SUM($D$2:D385)</f>
        <v>40500</v>
      </c>
      <c r="I385">
        <f t="shared" si="27"/>
        <v>1</v>
      </c>
    </row>
    <row r="386" spans="1:9" x14ac:dyDescent="0.25">
      <c r="A386" s="1">
        <v>45311</v>
      </c>
      <c r="B386">
        <f t="shared" si="25"/>
        <v>6</v>
      </c>
      <c r="C386" t="s">
        <v>8</v>
      </c>
      <c r="D386">
        <f t="shared" si="28"/>
        <v>0</v>
      </c>
      <c r="E386">
        <f t="shared" si="29"/>
        <v>0</v>
      </c>
      <c r="F386">
        <f t="shared" si="26"/>
        <v>0</v>
      </c>
      <c r="G386">
        <f>SUM($E$2:E386)</f>
        <v>16250</v>
      </c>
      <c r="H386">
        <f>SUM($D$2:D386)</f>
        <v>40500</v>
      </c>
      <c r="I386">
        <f t="shared" si="27"/>
        <v>1</v>
      </c>
    </row>
    <row r="387" spans="1:9" x14ac:dyDescent="0.25">
      <c r="A387" s="1">
        <v>45312</v>
      </c>
      <c r="B387">
        <f t="shared" ref="B387:B450" si="30">WEEKDAY(A387,2)</f>
        <v>7</v>
      </c>
      <c r="C387" t="s">
        <v>8</v>
      </c>
      <c r="D387">
        <f t="shared" si="28"/>
        <v>0</v>
      </c>
      <c r="E387">
        <f t="shared" si="29"/>
        <v>150</v>
      </c>
      <c r="F387">
        <f t="shared" ref="F387:F450" si="31">D387-E387</f>
        <v>-150</v>
      </c>
      <c r="G387">
        <f>SUM($E$2:E387)</f>
        <v>16400</v>
      </c>
      <c r="H387">
        <f>SUM($D$2:D387)</f>
        <v>40500</v>
      </c>
      <c r="I387">
        <f t="shared" ref="I387:I450" si="32">IF(G387&lt;H387,1,0)</f>
        <v>1</v>
      </c>
    </row>
    <row r="388" spans="1:9" x14ac:dyDescent="0.25">
      <c r="A388" s="1">
        <v>45313</v>
      </c>
      <c r="B388">
        <f t="shared" si="30"/>
        <v>1</v>
      </c>
      <c r="C388" t="s">
        <v>8</v>
      </c>
      <c r="D388">
        <f t="shared" ref="D388:D451" si="33">IF(B388&lt;6,$Q$1*VLOOKUP(C388,$S$1:$T$5,2,FALSE)*$Q$3,0)</f>
        <v>60</v>
      </c>
      <c r="E388">
        <f t="shared" ref="E388:E451" si="34">IF(B388=7,$Q$4*$Q$1,0)</f>
        <v>0</v>
      </c>
      <c r="F388">
        <f t="shared" si="31"/>
        <v>60</v>
      </c>
      <c r="G388">
        <f>SUM($E$2:E388)</f>
        <v>16400</v>
      </c>
      <c r="H388">
        <f>SUM($D$2:D388)</f>
        <v>40560</v>
      </c>
      <c r="I388">
        <f t="shared" si="32"/>
        <v>1</v>
      </c>
    </row>
    <row r="389" spans="1:9" x14ac:dyDescent="0.25">
      <c r="A389" s="1">
        <v>45314</v>
      </c>
      <c r="B389">
        <f t="shared" si="30"/>
        <v>2</v>
      </c>
      <c r="C389" t="s">
        <v>8</v>
      </c>
      <c r="D389">
        <f t="shared" si="33"/>
        <v>60</v>
      </c>
      <c r="E389">
        <f t="shared" si="34"/>
        <v>0</v>
      </c>
      <c r="F389">
        <f t="shared" si="31"/>
        <v>60</v>
      </c>
      <c r="G389">
        <f>SUM($E$2:E389)</f>
        <v>16400</v>
      </c>
      <c r="H389">
        <f>SUM($D$2:D389)</f>
        <v>40620</v>
      </c>
      <c r="I389">
        <f t="shared" si="32"/>
        <v>1</v>
      </c>
    </row>
    <row r="390" spans="1:9" x14ac:dyDescent="0.25">
      <c r="A390" s="1">
        <v>45315</v>
      </c>
      <c r="B390">
        <f t="shared" si="30"/>
        <v>3</v>
      </c>
      <c r="C390" t="s">
        <v>8</v>
      </c>
      <c r="D390">
        <f t="shared" si="33"/>
        <v>60</v>
      </c>
      <c r="E390">
        <f t="shared" si="34"/>
        <v>0</v>
      </c>
      <c r="F390">
        <f t="shared" si="31"/>
        <v>60</v>
      </c>
      <c r="G390">
        <f>SUM($E$2:E390)</f>
        <v>16400</v>
      </c>
      <c r="H390">
        <f>SUM($D$2:D390)</f>
        <v>40680</v>
      </c>
      <c r="I390">
        <f t="shared" si="32"/>
        <v>1</v>
      </c>
    </row>
    <row r="391" spans="1:9" x14ac:dyDescent="0.25">
      <c r="A391" s="1">
        <v>45316</v>
      </c>
      <c r="B391">
        <f t="shared" si="30"/>
        <v>4</v>
      </c>
      <c r="C391" t="s">
        <v>8</v>
      </c>
      <c r="D391">
        <f t="shared" si="33"/>
        <v>60</v>
      </c>
      <c r="E391">
        <f t="shared" si="34"/>
        <v>0</v>
      </c>
      <c r="F391">
        <f t="shared" si="31"/>
        <v>60</v>
      </c>
      <c r="G391">
        <f>SUM($E$2:E391)</f>
        <v>16400</v>
      </c>
      <c r="H391">
        <f>SUM($D$2:D391)</f>
        <v>40740</v>
      </c>
      <c r="I391">
        <f t="shared" si="32"/>
        <v>1</v>
      </c>
    </row>
    <row r="392" spans="1:9" x14ac:dyDescent="0.25">
      <c r="A392" s="1">
        <v>45317</v>
      </c>
      <c r="B392">
        <f t="shared" si="30"/>
        <v>5</v>
      </c>
      <c r="C392" t="s">
        <v>8</v>
      </c>
      <c r="D392">
        <f t="shared" si="33"/>
        <v>60</v>
      </c>
      <c r="E392">
        <f t="shared" si="34"/>
        <v>0</v>
      </c>
      <c r="F392">
        <f t="shared" si="31"/>
        <v>60</v>
      </c>
      <c r="G392">
        <f>SUM($E$2:E392)</f>
        <v>16400</v>
      </c>
      <c r="H392">
        <f>SUM($D$2:D392)</f>
        <v>40800</v>
      </c>
      <c r="I392">
        <f t="shared" si="32"/>
        <v>1</v>
      </c>
    </row>
    <row r="393" spans="1:9" x14ac:dyDescent="0.25">
      <c r="A393" s="1">
        <v>45318</v>
      </c>
      <c r="B393">
        <f t="shared" si="30"/>
        <v>6</v>
      </c>
      <c r="C393" t="s">
        <v>8</v>
      </c>
      <c r="D393">
        <f t="shared" si="33"/>
        <v>0</v>
      </c>
      <c r="E393">
        <f t="shared" si="34"/>
        <v>0</v>
      </c>
      <c r="F393">
        <f t="shared" si="31"/>
        <v>0</v>
      </c>
      <c r="G393">
        <f>SUM($E$2:E393)</f>
        <v>16400</v>
      </c>
      <c r="H393">
        <f>SUM($D$2:D393)</f>
        <v>40800</v>
      </c>
      <c r="I393">
        <f t="shared" si="32"/>
        <v>1</v>
      </c>
    </row>
    <row r="394" spans="1:9" x14ac:dyDescent="0.25">
      <c r="A394" s="1">
        <v>45319</v>
      </c>
      <c r="B394">
        <f t="shared" si="30"/>
        <v>7</v>
      </c>
      <c r="C394" t="s">
        <v>8</v>
      </c>
      <c r="D394">
        <f t="shared" si="33"/>
        <v>0</v>
      </c>
      <c r="E394">
        <f t="shared" si="34"/>
        <v>150</v>
      </c>
      <c r="F394">
        <f t="shared" si="31"/>
        <v>-150</v>
      </c>
      <c r="G394">
        <f>SUM($E$2:E394)</f>
        <v>16550</v>
      </c>
      <c r="H394">
        <f>SUM($D$2:D394)</f>
        <v>40800</v>
      </c>
      <c r="I394">
        <f t="shared" si="32"/>
        <v>1</v>
      </c>
    </row>
    <row r="395" spans="1:9" x14ac:dyDescent="0.25">
      <c r="A395" s="1">
        <v>45320</v>
      </c>
      <c r="B395">
        <f t="shared" si="30"/>
        <v>1</v>
      </c>
      <c r="C395" t="s">
        <v>8</v>
      </c>
      <c r="D395">
        <f t="shared" si="33"/>
        <v>60</v>
      </c>
      <c r="E395">
        <f t="shared" si="34"/>
        <v>0</v>
      </c>
      <c r="F395">
        <f t="shared" si="31"/>
        <v>60</v>
      </c>
      <c r="G395">
        <f>SUM($E$2:E395)</f>
        <v>16550</v>
      </c>
      <c r="H395">
        <f>SUM($D$2:D395)</f>
        <v>40860</v>
      </c>
      <c r="I395">
        <f t="shared" si="32"/>
        <v>1</v>
      </c>
    </row>
    <row r="396" spans="1:9" x14ac:dyDescent="0.25">
      <c r="A396" s="1">
        <v>45321</v>
      </c>
      <c r="B396">
        <f t="shared" si="30"/>
        <v>2</v>
      </c>
      <c r="C396" t="s">
        <v>8</v>
      </c>
      <c r="D396">
        <f t="shared" si="33"/>
        <v>60</v>
      </c>
      <c r="E396">
        <f t="shared" si="34"/>
        <v>0</v>
      </c>
      <c r="F396">
        <f t="shared" si="31"/>
        <v>60</v>
      </c>
      <c r="G396">
        <f>SUM($E$2:E396)</f>
        <v>16550</v>
      </c>
      <c r="H396">
        <f>SUM($D$2:D396)</f>
        <v>40920</v>
      </c>
      <c r="I396">
        <f t="shared" si="32"/>
        <v>1</v>
      </c>
    </row>
    <row r="397" spans="1:9" x14ac:dyDescent="0.25">
      <c r="A397" s="1">
        <v>45322</v>
      </c>
      <c r="B397">
        <f t="shared" si="30"/>
        <v>3</v>
      </c>
      <c r="C397" t="s">
        <v>8</v>
      </c>
      <c r="D397">
        <f t="shared" si="33"/>
        <v>60</v>
      </c>
      <c r="E397">
        <f t="shared" si="34"/>
        <v>0</v>
      </c>
      <c r="F397">
        <f t="shared" si="31"/>
        <v>60</v>
      </c>
      <c r="G397">
        <f>SUM($E$2:E397)</f>
        <v>16550</v>
      </c>
      <c r="H397">
        <f>SUM($D$2:D397)</f>
        <v>40980</v>
      </c>
      <c r="I397">
        <f t="shared" si="32"/>
        <v>1</v>
      </c>
    </row>
    <row r="398" spans="1:9" x14ac:dyDescent="0.25">
      <c r="A398" s="1">
        <v>45323</v>
      </c>
      <c r="B398">
        <f t="shared" si="30"/>
        <v>4</v>
      </c>
      <c r="C398" t="s">
        <v>8</v>
      </c>
      <c r="D398">
        <f t="shared" si="33"/>
        <v>60</v>
      </c>
      <c r="E398">
        <f t="shared" si="34"/>
        <v>0</v>
      </c>
      <c r="F398">
        <f t="shared" si="31"/>
        <v>60</v>
      </c>
      <c r="G398">
        <f>SUM($E$2:E398)</f>
        <v>16550</v>
      </c>
      <c r="H398">
        <f>SUM($D$2:D398)</f>
        <v>41040</v>
      </c>
      <c r="I398">
        <f t="shared" si="32"/>
        <v>1</v>
      </c>
    </row>
    <row r="399" spans="1:9" x14ac:dyDescent="0.25">
      <c r="A399" s="1">
        <v>45324</v>
      </c>
      <c r="B399">
        <f t="shared" si="30"/>
        <v>5</v>
      </c>
      <c r="C399" t="s">
        <v>8</v>
      </c>
      <c r="D399">
        <f t="shared" si="33"/>
        <v>60</v>
      </c>
      <c r="E399">
        <f t="shared" si="34"/>
        <v>0</v>
      </c>
      <c r="F399">
        <f t="shared" si="31"/>
        <v>60</v>
      </c>
      <c r="G399">
        <f>SUM($E$2:E399)</f>
        <v>16550</v>
      </c>
      <c r="H399">
        <f>SUM($D$2:D399)</f>
        <v>41100</v>
      </c>
      <c r="I399">
        <f t="shared" si="32"/>
        <v>1</v>
      </c>
    </row>
    <row r="400" spans="1:9" x14ac:dyDescent="0.25">
      <c r="A400" s="1">
        <v>45325</v>
      </c>
      <c r="B400">
        <f t="shared" si="30"/>
        <v>6</v>
      </c>
      <c r="C400" t="s">
        <v>8</v>
      </c>
      <c r="D400">
        <f t="shared" si="33"/>
        <v>0</v>
      </c>
      <c r="E400">
        <f t="shared" si="34"/>
        <v>0</v>
      </c>
      <c r="F400">
        <f t="shared" si="31"/>
        <v>0</v>
      </c>
      <c r="G400">
        <f>SUM($E$2:E400)</f>
        <v>16550</v>
      </c>
      <c r="H400">
        <f>SUM($D$2:D400)</f>
        <v>41100</v>
      </c>
      <c r="I400">
        <f t="shared" si="32"/>
        <v>1</v>
      </c>
    </row>
    <row r="401" spans="1:9" x14ac:dyDescent="0.25">
      <c r="A401" s="1">
        <v>45326</v>
      </c>
      <c r="B401">
        <f t="shared" si="30"/>
        <v>7</v>
      </c>
      <c r="C401" t="s">
        <v>8</v>
      </c>
      <c r="D401">
        <f t="shared" si="33"/>
        <v>0</v>
      </c>
      <c r="E401">
        <f t="shared" si="34"/>
        <v>150</v>
      </c>
      <c r="F401">
        <f t="shared" si="31"/>
        <v>-150</v>
      </c>
      <c r="G401">
        <f>SUM($E$2:E401)</f>
        <v>16700</v>
      </c>
      <c r="H401">
        <f>SUM($D$2:D401)</f>
        <v>41100</v>
      </c>
      <c r="I401">
        <f t="shared" si="32"/>
        <v>1</v>
      </c>
    </row>
    <row r="402" spans="1:9" x14ac:dyDescent="0.25">
      <c r="A402" s="1">
        <v>45327</v>
      </c>
      <c r="B402">
        <f t="shared" si="30"/>
        <v>1</v>
      </c>
      <c r="C402" t="s">
        <v>8</v>
      </c>
      <c r="D402">
        <f t="shared" si="33"/>
        <v>60</v>
      </c>
      <c r="E402">
        <f t="shared" si="34"/>
        <v>0</v>
      </c>
      <c r="F402">
        <f t="shared" si="31"/>
        <v>60</v>
      </c>
      <c r="G402">
        <f>SUM($E$2:E402)</f>
        <v>16700</v>
      </c>
      <c r="H402">
        <f>SUM($D$2:D402)</f>
        <v>41160</v>
      </c>
      <c r="I402">
        <f t="shared" si="32"/>
        <v>1</v>
      </c>
    </row>
    <row r="403" spans="1:9" x14ac:dyDescent="0.25">
      <c r="A403" s="1">
        <v>45328</v>
      </c>
      <c r="B403">
        <f t="shared" si="30"/>
        <v>2</v>
      </c>
      <c r="C403" t="s">
        <v>8</v>
      </c>
      <c r="D403">
        <f t="shared" si="33"/>
        <v>60</v>
      </c>
      <c r="E403">
        <f t="shared" si="34"/>
        <v>0</v>
      </c>
      <c r="F403">
        <f t="shared" si="31"/>
        <v>60</v>
      </c>
      <c r="G403">
        <f>SUM($E$2:E403)</f>
        <v>16700</v>
      </c>
      <c r="H403">
        <f>SUM($D$2:D403)</f>
        <v>41220</v>
      </c>
      <c r="I403">
        <f t="shared" si="32"/>
        <v>1</v>
      </c>
    </row>
    <row r="404" spans="1:9" x14ac:dyDescent="0.25">
      <c r="A404" s="1">
        <v>45329</v>
      </c>
      <c r="B404">
        <f t="shared" si="30"/>
        <v>3</v>
      </c>
      <c r="C404" t="s">
        <v>8</v>
      </c>
      <c r="D404">
        <f t="shared" si="33"/>
        <v>60</v>
      </c>
      <c r="E404">
        <f t="shared" si="34"/>
        <v>0</v>
      </c>
      <c r="F404">
        <f t="shared" si="31"/>
        <v>60</v>
      </c>
      <c r="G404">
        <f>SUM($E$2:E404)</f>
        <v>16700</v>
      </c>
      <c r="H404">
        <f>SUM($D$2:D404)</f>
        <v>41280</v>
      </c>
      <c r="I404">
        <f t="shared" si="32"/>
        <v>1</v>
      </c>
    </row>
    <row r="405" spans="1:9" x14ac:dyDescent="0.25">
      <c r="A405" s="1">
        <v>45330</v>
      </c>
      <c r="B405">
        <f t="shared" si="30"/>
        <v>4</v>
      </c>
      <c r="C405" t="s">
        <v>8</v>
      </c>
      <c r="D405">
        <f t="shared" si="33"/>
        <v>60</v>
      </c>
      <c r="E405">
        <f t="shared" si="34"/>
        <v>0</v>
      </c>
      <c r="F405">
        <f t="shared" si="31"/>
        <v>60</v>
      </c>
      <c r="G405">
        <f>SUM($E$2:E405)</f>
        <v>16700</v>
      </c>
      <c r="H405">
        <f>SUM($D$2:D405)</f>
        <v>41340</v>
      </c>
      <c r="I405">
        <f t="shared" si="32"/>
        <v>1</v>
      </c>
    </row>
    <row r="406" spans="1:9" x14ac:dyDescent="0.25">
      <c r="A406" s="1">
        <v>45331</v>
      </c>
      <c r="B406">
        <f t="shared" si="30"/>
        <v>5</v>
      </c>
      <c r="C406" t="s">
        <v>8</v>
      </c>
      <c r="D406">
        <f t="shared" si="33"/>
        <v>60</v>
      </c>
      <c r="E406">
        <f t="shared" si="34"/>
        <v>0</v>
      </c>
      <c r="F406">
        <f t="shared" si="31"/>
        <v>60</v>
      </c>
      <c r="G406">
        <f>SUM($E$2:E406)</f>
        <v>16700</v>
      </c>
      <c r="H406">
        <f>SUM($D$2:D406)</f>
        <v>41400</v>
      </c>
      <c r="I406">
        <f t="shared" si="32"/>
        <v>1</v>
      </c>
    </row>
    <row r="407" spans="1:9" x14ac:dyDescent="0.25">
      <c r="A407" s="1">
        <v>45332</v>
      </c>
      <c r="B407">
        <f t="shared" si="30"/>
        <v>6</v>
      </c>
      <c r="C407" t="s">
        <v>8</v>
      </c>
      <c r="D407">
        <f t="shared" si="33"/>
        <v>0</v>
      </c>
      <c r="E407">
        <f t="shared" si="34"/>
        <v>0</v>
      </c>
      <c r="F407">
        <f t="shared" si="31"/>
        <v>0</v>
      </c>
      <c r="G407">
        <f>SUM($E$2:E407)</f>
        <v>16700</v>
      </c>
      <c r="H407">
        <f>SUM($D$2:D407)</f>
        <v>41400</v>
      </c>
      <c r="I407">
        <f t="shared" si="32"/>
        <v>1</v>
      </c>
    </row>
    <row r="408" spans="1:9" x14ac:dyDescent="0.25">
      <c r="A408" s="1">
        <v>45333</v>
      </c>
      <c r="B408">
        <f t="shared" si="30"/>
        <v>7</v>
      </c>
      <c r="C408" t="s">
        <v>8</v>
      </c>
      <c r="D408">
        <f t="shared" si="33"/>
        <v>0</v>
      </c>
      <c r="E408">
        <f t="shared" si="34"/>
        <v>150</v>
      </c>
      <c r="F408">
        <f t="shared" si="31"/>
        <v>-150</v>
      </c>
      <c r="G408">
        <f>SUM($E$2:E408)</f>
        <v>16850</v>
      </c>
      <c r="H408">
        <f>SUM($D$2:D408)</f>
        <v>41400</v>
      </c>
      <c r="I408">
        <f t="shared" si="32"/>
        <v>1</v>
      </c>
    </row>
    <row r="409" spans="1:9" x14ac:dyDescent="0.25">
      <c r="A409" s="1">
        <v>45334</v>
      </c>
      <c r="B409">
        <f t="shared" si="30"/>
        <v>1</v>
      </c>
      <c r="C409" t="s">
        <v>8</v>
      </c>
      <c r="D409">
        <f t="shared" si="33"/>
        <v>60</v>
      </c>
      <c r="E409">
        <f t="shared" si="34"/>
        <v>0</v>
      </c>
      <c r="F409">
        <f t="shared" si="31"/>
        <v>60</v>
      </c>
      <c r="G409">
        <f>SUM($E$2:E409)</f>
        <v>16850</v>
      </c>
      <c r="H409">
        <f>SUM($D$2:D409)</f>
        <v>41460</v>
      </c>
      <c r="I409">
        <f t="shared" si="32"/>
        <v>1</v>
      </c>
    </row>
    <row r="410" spans="1:9" x14ac:dyDescent="0.25">
      <c r="A410" s="1">
        <v>45335</v>
      </c>
      <c r="B410">
        <f t="shared" si="30"/>
        <v>2</v>
      </c>
      <c r="C410" t="s">
        <v>8</v>
      </c>
      <c r="D410">
        <f t="shared" si="33"/>
        <v>60</v>
      </c>
      <c r="E410">
        <f t="shared" si="34"/>
        <v>0</v>
      </c>
      <c r="F410">
        <f t="shared" si="31"/>
        <v>60</v>
      </c>
      <c r="G410">
        <f>SUM($E$2:E410)</f>
        <v>16850</v>
      </c>
      <c r="H410">
        <f>SUM($D$2:D410)</f>
        <v>41520</v>
      </c>
      <c r="I410">
        <f t="shared" si="32"/>
        <v>1</v>
      </c>
    </row>
    <row r="411" spans="1:9" x14ac:dyDescent="0.25">
      <c r="A411" s="1">
        <v>45336</v>
      </c>
      <c r="B411">
        <f t="shared" si="30"/>
        <v>3</v>
      </c>
      <c r="C411" t="s">
        <v>8</v>
      </c>
      <c r="D411">
        <f t="shared" si="33"/>
        <v>60</v>
      </c>
      <c r="E411">
        <f t="shared" si="34"/>
        <v>0</v>
      </c>
      <c r="F411">
        <f t="shared" si="31"/>
        <v>60</v>
      </c>
      <c r="G411">
        <f>SUM($E$2:E411)</f>
        <v>16850</v>
      </c>
      <c r="H411">
        <f>SUM($D$2:D411)</f>
        <v>41580</v>
      </c>
      <c r="I411">
        <f t="shared" si="32"/>
        <v>1</v>
      </c>
    </row>
    <row r="412" spans="1:9" x14ac:dyDescent="0.25">
      <c r="A412" s="1">
        <v>45337</v>
      </c>
      <c r="B412">
        <f t="shared" si="30"/>
        <v>4</v>
      </c>
      <c r="C412" t="s">
        <v>8</v>
      </c>
      <c r="D412">
        <f t="shared" si="33"/>
        <v>60</v>
      </c>
      <c r="E412">
        <f t="shared" si="34"/>
        <v>0</v>
      </c>
      <c r="F412">
        <f t="shared" si="31"/>
        <v>60</v>
      </c>
      <c r="G412">
        <f>SUM($E$2:E412)</f>
        <v>16850</v>
      </c>
      <c r="H412">
        <f>SUM($D$2:D412)</f>
        <v>41640</v>
      </c>
      <c r="I412">
        <f t="shared" si="32"/>
        <v>1</v>
      </c>
    </row>
    <row r="413" spans="1:9" x14ac:dyDescent="0.25">
      <c r="A413" s="1">
        <v>45338</v>
      </c>
      <c r="B413">
        <f t="shared" si="30"/>
        <v>5</v>
      </c>
      <c r="C413" t="s">
        <v>8</v>
      </c>
      <c r="D413">
        <f t="shared" si="33"/>
        <v>60</v>
      </c>
      <c r="E413">
        <f t="shared" si="34"/>
        <v>0</v>
      </c>
      <c r="F413">
        <f t="shared" si="31"/>
        <v>60</v>
      </c>
      <c r="G413">
        <f>SUM($E$2:E413)</f>
        <v>16850</v>
      </c>
      <c r="H413">
        <f>SUM($D$2:D413)</f>
        <v>41700</v>
      </c>
      <c r="I413">
        <f t="shared" si="32"/>
        <v>1</v>
      </c>
    </row>
    <row r="414" spans="1:9" x14ac:dyDescent="0.25">
      <c r="A414" s="1">
        <v>45339</v>
      </c>
      <c r="B414">
        <f t="shared" si="30"/>
        <v>6</v>
      </c>
      <c r="C414" t="s">
        <v>8</v>
      </c>
      <c r="D414">
        <f t="shared" si="33"/>
        <v>0</v>
      </c>
      <c r="E414">
        <f t="shared" si="34"/>
        <v>0</v>
      </c>
      <c r="F414">
        <f t="shared" si="31"/>
        <v>0</v>
      </c>
      <c r="G414">
        <f>SUM($E$2:E414)</f>
        <v>16850</v>
      </c>
      <c r="H414">
        <f>SUM($D$2:D414)</f>
        <v>41700</v>
      </c>
      <c r="I414">
        <f t="shared" si="32"/>
        <v>1</v>
      </c>
    </row>
    <row r="415" spans="1:9" x14ac:dyDescent="0.25">
      <c r="A415" s="1">
        <v>45340</v>
      </c>
      <c r="B415">
        <f t="shared" si="30"/>
        <v>7</v>
      </c>
      <c r="C415" t="s">
        <v>8</v>
      </c>
      <c r="D415">
        <f t="shared" si="33"/>
        <v>0</v>
      </c>
      <c r="E415">
        <f t="shared" si="34"/>
        <v>150</v>
      </c>
      <c r="F415">
        <f t="shared" si="31"/>
        <v>-150</v>
      </c>
      <c r="G415">
        <f>SUM($E$2:E415)</f>
        <v>17000</v>
      </c>
      <c r="H415">
        <f>SUM($D$2:D415)</f>
        <v>41700</v>
      </c>
      <c r="I415">
        <f t="shared" si="32"/>
        <v>1</v>
      </c>
    </row>
    <row r="416" spans="1:9" x14ac:dyDescent="0.25">
      <c r="A416" s="1">
        <v>45341</v>
      </c>
      <c r="B416">
        <f t="shared" si="30"/>
        <v>1</v>
      </c>
      <c r="C416" t="s">
        <v>8</v>
      </c>
      <c r="D416">
        <f t="shared" si="33"/>
        <v>60</v>
      </c>
      <c r="E416">
        <f t="shared" si="34"/>
        <v>0</v>
      </c>
      <c r="F416">
        <f t="shared" si="31"/>
        <v>60</v>
      </c>
      <c r="G416">
        <f>SUM($E$2:E416)</f>
        <v>17000</v>
      </c>
      <c r="H416">
        <f>SUM($D$2:D416)</f>
        <v>41760</v>
      </c>
      <c r="I416">
        <f t="shared" si="32"/>
        <v>1</v>
      </c>
    </row>
    <row r="417" spans="1:9" x14ac:dyDescent="0.25">
      <c r="A417" s="1">
        <v>45342</v>
      </c>
      <c r="B417">
        <f t="shared" si="30"/>
        <v>2</v>
      </c>
      <c r="C417" t="s">
        <v>8</v>
      </c>
      <c r="D417">
        <f t="shared" si="33"/>
        <v>60</v>
      </c>
      <c r="E417">
        <f t="shared" si="34"/>
        <v>0</v>
      </c>
      <c r="F417">
        <f t="shared" si="31"/>
        <v>60</v>
      </c>
      <c r="G417">
        <f>SUM($E$2:E417)</f>
        <v>17000</v>
      </c>
      <c r="H417">
        <f>SUM($D$2:D417)</f>
        <v>41820</v>
      </c>
      <c r="I417">
        <f t="shared" si="32"/>
        <v>1</v>
      </c>
    </row>
    <row r="418" spans="1:9" x14ac:dyDescent="0.25">
      <c r="A418" s="1">
        <v>45343</v>
      </c>
      <c r="B418">
        <f t="shared" si="30"/>
        <v>3</v>
      </c>
      <c r="C418" t="s">
        <v>8</v>
      </c>
      <c r="D418">
        <f t="shared" si="33"/>
        <v>60</v>
      </c>
      <c r="E418">
        <f t="shared" si="34"/>
        <v>0</v>
      </c>
      <c r="F418">
        <f t="shared" si="31"/>
        <v>60</v>
      </c>
      <c r="G418">
        <f>SUM($E$2:E418)</f>
        <v>17000</v>
      </c>
      <c r="H418">
        <f>SUM($D$2:D418)</f>
        <v>41880</v>
      </c>
      <c r="I418">
        <f t="shared" si="32"/>
        <v>1</v>
      </c>
    </row>
    <row r="419" spans="1:9" x14ac:dyDescent="0.25">
      <c r="A419" s="1">
        <v>45344</v>
      </c>
      <c r="B419">
        <f t="shared" si="30"/>
        <v>4</v>
      </c>
      <c r="C419" t="s">
        <v>8</v>
      </c>
      <c r="D419">
        <f t="shared" si="33"/>
        <v>60</v>
      </c>
      <c r="E419">
        <f t="shared" si="34"/>
        <v>0</v>
      </c>
      <c r="F419">
        <f t="shared" si="31"/>
        <v>60</v>
      </c>
      <c r="G419">
        <f>SUM($E$2:E419)</f>
        <v>17000</v>
      </c>
      <c r="H419">
        <f>SUM($D$2:D419)</f>
        <v>41940</v>
      </c>
      <c r="I419">
        <f t="shared" si="32"/>
        <v>1</v>
      </c>
    </row>
    <row r="420" spans="1:9" x14ac:dyDescent="0.25">
      <c r="A420" s="1">
        <v>45345</v>
      </c>
      <c r="B420">
        <f t="shared" si="30"/>
        <v>5</v>
      </c>
      <c r="C420" t="s">
        <v>8</v>
      </c>
      <c r="D420">
        <f t="shared" si="33"/>
        <v>60</v>
      </c>
      <c r="E420">
        <f t="shared" si="34"/>
        <v>0</v>
      </c>
      <c r="F420">
        <f t="shared" si="31"/>
        <v>60</v>
      </c>
      <c r="G420">
        <f>SUM($E$2:E420)</f>
        <v>17000</v>
      </c>
      <c r="H420">
        <f>SUM($D$2:D420)</f>
        <v>42000</v>
      </c>
      <c r="I420">
        <f t="shared" si="32"/>
        <v>1</v>
      </c>
    </row>
    <row r="421" spans="1:9" x14ac:dyDescent="0.25">
      <c r="A421" s="1">
        <v>45346</v>
      </c>
      <c r="B421">
        <f t="shared" si="30"/>
        <v>6</v>
      </c>
      <c r="C421" t="s">
        <v>8</v>
      </c>
      <c r="D421">
        <f t="shared" si="33"/>
        <v>0</v>
      </c>
      <c r="E421">
        <f t="shared" si="34"/>
        <v>0</v>
      </c>
      <c r="F421">
        <f t="shared" si="31"/>
        <v>0</v>
      </c>
      <c r="G421">
        <f>SUM($E$2:E421)</f>
        <v>17000</v>
      </c>
      <c r="H421">
        <f>SUM($D$2:D421)</f>
        <v>42000</v>
      </c>
      <c r="I421">
        <f t="shared" si="32"/>
        <v>1</v>
      </c>
    </row>
    <row r="422" spans="1:9" x14ac:dyDescent="0.25">
      <c r="A422" s="1">
        <v>45347</v>
      </c>
      <c r="B422">
        <f t="shared" si="30"/>
        <v>7</v>
      </c>
      <c r="C422" t="s">
        <v>8</v>
      </c>
      <c r="D422">
        <f t="shared" si="33"/>
        <v>0</v>
      </c>
      <c r="E422">
        <f t="shared" si="34"/>
        <v>150</v>
      </c>
      <c r="F422">
        <f t="shared" si="31"/>
        <v>-150</v>
      </c>
      <c r="G422">
        <f>SUM($E$2:E422)</f>
        <v>17150</v>
      </c>
      <c r="H422">
        <f>SUM($D$2:D422)</f>
        <v>42000</v>
      </c>
      <c r="I422">
        <f t="shared" si="32"/>
        <v>1</v>
      </c>
    </row>
    <row r="423" spans="1:9" x14ac:dyDescent="0.25">
      <c r="A423" s="1">
        <v>45348</v>
      </c>
      <c r="B423">
        <f t="shared" si="30"/>
        <v>1</v>
      </c>
      <c r="C423" t="s">
        <v>8</v>
      </c>
      <c r="D423">
        <f t="shared" si="33"/>
        <v>60</v>
      </c>
      <c r="E423">
        <f t="shared" si="34"/>
        <v>0</v>
      </c>
      <c r="F423">
        <f t="shared" si="31"/>
        <v>60</v>
      </c>
      <c r="G423">
        <f>SUM($E$2:E423)</f>
        <v>17150</v>
      </c>
      <c r="H423">
        <f>SUM($D$2:D423)</f>
        <v>42060</v>
      </c>
      <c r="I423">
        <f t="shared" si="32"/>
        <v>1</v>
      </c>
    </row>
    <row r="424" spans="1:9" x14ac:dyDescent="0.25">
      <c r="A424" s="1">
        <v>45349</v>
      </c>
      <c r="B424">
        <f t="shared" si="30"/>
        <v>2</v>
      </c>
      <c r="C424" t="s">
        <v>8</v>
      </c>
      <c r="D424">
        <f t="shared" si="33"/>
        <v>60</v>
      </c>
      <c r="E424">
        <f t="shared" si="34"/>
        <v>0</v>
      </c>
      <c r="F424">
        <f t="shared" si="31"/>
        <v>60</v>
      </c>
      <c r="G424">
        <f>SUM($E$2:E424)</f>
        <v>17150</v>
      </c>
      <c r="H424">
        <f>SUM($D$2:D424)</f>
        <v>42120</v>
      </c>
      <c r="I424">
        <f t="shared" si="32"/>
        <v>1</v>
      </c>
    </row>
    <row r="425" spans="1:9" x14ac:dyDescent="0.25">
      <c r="A425" s="1">
        <v>45350</v>
      </c>
      <c r="B425">
        <f t="shared" si="30"/>
        <v>3</v>
      </c>
      <c r="C425" t="s">
        <v>8</v>
      </c>
      <c r="D425">
        <f t="shared" si="33"/>
        <v>60</v>
      </c>
      <c r="E425">
        <f t="shared" si="34"/>
        <v>0</v>
      </c>
      <c r="F425">
        <f t="shared" si="31"/>
        <v>60</v>
      </c>
      <c r="G425">
        <f>SUM($E$2:E425)</f>
        <v>17150</v>
      </c>
      <c r="H425">
        <f>SUM($D$2:D425)</f>
        <v>42180</v>
      </c>
      <c r="I425">
        <f t="shared" si="32"/>
        <v>1</v>
      </c>
    </row>
    <row r="426" spans="1:9" x14ac:dyDescent="0.25">
      <c r="A426" s="1">
        <v>45351</v>
      </c>
      <c r="B426">
        <f t="shared" si="30"/>
        <v>4</v>
      </c>
      <c r="C426" t="s">
        <v>8</v>
      </c>
      <c r="D426">
        <f t="shared" si="33"/>
        <v>60</v>
      </c>
      <c r="E426">
        <f t="shared" si="34"/>
        <v>0</v>
      </c>
      <c r="F426">
        <f t="shared" si="31"/>
        <v>60</v>
      </c>
      <c r="G426">
        <f>SUM($E$2:E426)</f>
        <v>17150</v>
      </c>
      <c r="H426">
        <f>SUM($D$2:D426)</f>
        <v>42240</v>
      </c>
      <c r="I426">
        <f t="shared" si="32"/>
        <v>1</v>
      </c>
    </row>
    <row r="427" spans="1:9" x14ac:dyDescent="0.25">
      <c r="A427" s="1">
        <v>45352</v>
      </c>
      <c r="B427">
        <f t="shared" si="30"/>
        <v>5</v>
      </c>
      <c r="C427" t="s">
        <v>8</v>
      </c>
      <c r="D427">
        <f t="shared" si="33"/>
        <v>60</v>
      </c>
      <c r="E427">
        <f t="shared" si="34"/>
        <v>0</v>
      </c>
      <c r="F427">
        <f t="shared" si="31"/>
        <v>60</v>
      </c>
      <c r="G427">
        <f>SUM($E$2:E427)</f>
        <v>17150</v>
      </c>
      <c r="H427">
        <f>SUM($D$2:D427)</f>
        <v>42300</v>
      </c>
      <c r="I427">
        <f t="shared" si="32"/>
        <v>1</v>
      </c>
    </row>
    <row r="428" spans="1:9" x14ac:dyDescent="0.25">
      <c r="A428" s="1">
        <v>45353</v>
      </c>
      <c r="B428">
        <f t="shared" si="30"/>
        <v>6</v>
      </c>
      <c r="C428" t="s">
        <v>8</v>
      </c>
      <c r="D428">
        <f t="shared" si="33"/>
        <v>0</v>
      </c>
      <c r="E428">
        <f t="shared" si="34"/>
        <v>0</v>
      </c>
      <c r="F428">
        <f t="shared" si="31"/>
        <v>0</v>
      </c>
      <c r="G428">
        <f>SUM($E$2:E428)</f>
        <v>17150</v>
      </c>
      <c r="H428">
        <f>SUM($D$2:D428)</f>
        <v>42300</v>
      </c>
      <c r="I428">
        <f t="shared" si="32"/>
        <v>1</v>
      </c>
    </row>
    <row r="429" spans="1:9" x14ac:dyDescent="0.25">
      <c r="A429" s="1">
        <v>45354</v>
      </c>
      <c r="B429">
        <f t="shared" si="30"/>
        <v>7</v>
      </c>
      <c r="C429" t="s">
        <v>8</v>
      </c>
      <c r="D429">
        <f t="shared" si="33"/>
        <v>0</v>
      </c>
      <c r="E429">
        <f t="shared" si="34"/>
        <v>150</v>
      </c>
      <c r="F429">
        <f t="shared" si="31"/>
        <v>-150</v>
      </c>
      <c r="G429">
        <f>SUM($E$2:E429)</f>
        <v>17300</v>
      </c>
      <c r="H429">
        <f>SUM($D$2:D429)</f>
        <v>42300</v>
      </c>
      <c r="I429">
        <f t="shared" si="32"/>
        <v>1</v>
      </c>
    </row>
    <row r="430" spans="1:9" x14ac:dyDescent="0.25">
      <c r="A430" s="1">
        <v>45355</v>
      </c>
      <c r="B430">
        <f t="shared" si="30"/>
        <v>1</v>
      </c>
      <c r="C430" t="s">
        <v>8</v>
      </c>
      <c r="D430">
        <f t="shared" si="33"/>
        <v>60</v>
      </c>
      <c r="E430">
        <f t="shared" si="34"/>
        <v>0</v>
      </c>
      <c r="F430">
        <f t="shared" si="31"/>
        <v>60</v>
      </c>
      <c r="G430">
        <f>SUM($E$2:E430)</f>
        <v>17300</v>
      </c>
      <c r="H430">
        <f>SUM($D$2:D430)</f>
        <v>42360</v>
      </c>
      <c r="I430">
        <f t="shared" si="32"/>
        <v>1</v>
      </c>
    </row>
    <row r="431" spans="1:9" x14ac:dyDescent="0.25">
      <c r="A431" s="1">
        <v>45356</v>
      </c>
      <c r="B431">
        <f t="shared" si="30"/>
        <v>2</v>
      </c>
      <c r="C431" t="s">
        <v>8</v>
      </c>
      <c r="D431">
        <f t="shared" si="33"/>
        <v>60</v>
      </c>
      <c r="E431">
        <f t="shared" si="34"/>
        <v>0</v>
      </c>
      <c r="F431">
        <f t="shared" si="31"/>
        <v>60</v>
      </c>
      <c r="G431">
        <f>SUM($E$2:E431)</f>
        <v>17300</v>
      </c>
      <c r="H431">
        <f>SUM($D$2:D431)</f>
        <v>42420</v>
      </c>
      <c r="I431">
        <f t="shared" si="32"/>
        <v>1</v>
      </c>
    </row>
    <row r="432" spans="1:9" x14ac:dyDescent="0.25">
      <c r="A432" s="1">
        <v>45357</v>
      </c>
      <c r="B432">
        <f t="shared" si="30"/>
        <v>3</v>
      </c>
      <c r="C432" t="s">
        <v>8</v>
      </c>
      <c r="D432">
        <f t="shared" si="33"/>
        <v>60</v>
      </c>
      <c r="E432">
        <f t="shared" si="34"/>
        <v>0</v>
      </c>
      <c r="F432">
        <f t="shared" si="31"/>
        <v>60</v>
      </c>
      <c r="G432">
        <f>SUM($E$2:E432)</f>
        <v>17300</v>
      </c>
      <c r="H432">
        <f>SUM($D$2:D432)</f>
        <v>42480</v>
      </c>
      <c r="I432">
        <f t="shared" si="32"/>
        <v>1</v>
      </c>
    </row>
    <row r="433" spans="1:9" x14ac:dyDescent="0.25">
      <c r="A433" s="1">
        <v>45358</v>
      </c>
      <c r="B433">
        <f t="shared" si="30"/>
        <v>4</v>
      </c>
      <c r="C433" t="s">
        <v>8</v>
      </c>
      <c r="D433">
        <f t="shared" si="33"/>
        <v>60</v>
      </c>
      <c r="E433">
        <f t="shared" si="34"/>
        <v>0</v>
      </c>
      <c r="F433">
        <f t="shared" si="31"/>
        <v>60</v>
      </c>
      <c r="G433">
        <f>SUM($E$2:E433)</f>
        <v>17300</v>
      </c>
      <c r="H433">
        <f>SUM($D$2:D433)</f>
        <v>42540</v>
      </c>
      <c r="I433">
        <f t="shared" si="32"/>
        <v>1</v>
      </c>
    </row>
    <row r="434" spans="1:9" x14ac:dyDescent="0.25">
      <c r="A434" s="1">
        <v>45359</v>
      </c>
      <c r="B434">
        <f t="shared" si="30"/>
        <v>5</v>
      </c>
      <c r="C434" t="s">
        <v>8</v>
      </c>
      <c r="D434">
        <f t="shared" si="33"/>
        <v>60</v>
      </c>
      <c r="E434">
        <f t="shared" si="34"/>
        <v>0</v>
      </c>
      <c r="F434">
        <f t="shared" si="31"/>
        <v>60</v>
      </c>
      <c r="G434">
        <f>SUM($E$2:E434)</f>
        <v>17300</v>
      </c>
      <c r="H434">
        <f>SUM($D$2:D434)</f>
        <v>42600</v>
      </c>
      <c r="I434">
        <f t="shared" si="32"/>
        <v>1</v>
      </c>
    </row>
    <row r="435" spans="1:9" x14ac:dyDescent="0.25">
      <c r="A435" s="1">
        <v>45360</v>
      </c>
      <c r="B435">
        <f t="shared" si="30"/>
        <v>6</v>
      </c>
      <c r="C435" t="s">
        <v>8</v>
      </c>
      <c r="D435">
        <f t="shared" si="33"/>
        <v>0</v>
      </c>
      <c r="E435">
        <f t="shared" si="34"/>
        <v>0</v>
      </c>
      <c r="F435">
        <f t="shared" si="31"/>
        <v>0</v>
      </c>
      <c r="G435">
        <f>SUM($E$2:E435)</f>
        <v>17300</v>
      </c>
      <c r="H435">
        <f>SUM($D$2:D435)</f>
        <v>42600</v>
      </c>
      <c r="I435">
        <f t="shared" si="32"/>
        <v>1</v>
      </c>
    </row>
    <row r="436" spans="1:9" x14ac:dyDescent="0.25">
      <c r="A436" s="1">
        <v>45361</v>
      </c>
      <c r="B436">
        <f t="shared" si="30"/>
        <v>7</v>
      </c>
      <c r="C436" t="s">
        <v>8</v>
      </c>
      <c r="D436">
        <f t="shared" si="33"/>
        <v>0</v>
      </c>
      <c r="E436">
        <f t="shared" si="34"/>
        <v>150</v>
      </c>
      <c r="F436">
        <f t="shared" si="31"/>
        <v>-150</v>
      </c>
      <c r="G436">
        <f>SUM($E$2:E436)</f>
        <v>17450</v>
      </c>
      <c r="H436">
        <f>SUM($D$2:D436)</f>
        <v>42600</v>
      </c>
      <c r="I436">
        <f t="shared" si="32"/>
        <v>1</v>
      </c>
    </row>
    <row r="437" spans="1:9" x14ac:dyDescent="0.25">
      <c r="A437" s="1">
        <v>45362</v>
      </c>
      <c r="B437">
        <f t="shared" si="30"/>
        <v>1</v>
      </c>
      <c r="C437" t="s">
        <v>8</v>
      </c>
      <c r="D437">
        <f t="shared" si="33"/>
        <v>60</v>
      </c>
      <c r="E437">
        <f t="shared" si="34"/>
        <v>0</v>
      </c>
      <c r="F437">
        <f t="shared" si="31"/>
        <v>60</v>
      </c>
      <c r="G437">
        <f>SUM($E$2:E437)</f>
        <v>17450</v>
      </c>
      <c r="H437">
        <f>SUM($D$2:D437)</f>
        <v>42660</v>
      </c>
      <c r="I437">
        <f t="shared" si="32"/>
        <v>1</v>
      </c>
    </row>
    <row r="438" spans="1:9" x14ac:dyDescent="0.25">
      <c r="A438" s="1">
        <v>45363</v>
      </c>
      <c r="B438">
        <f t="shared" si="30"/>
        <v>2</v>
      </c>
      <c r="C438" t="s">
        <v>8</v>
      </c>
      <c r="D438">
        <f t="shared" si="33"/>
        <v>60</v>
      </c>
      <c r="E438">
        <f t="shared" si="34"/>
        <v>0</v>
      </c>
      <c r="F438">
        <f t="shared" si="31"/>
        <v>60</v>
      </c>
      <c r="G438">
        <f>SUM($E$2:E438)</f>
        <v>17450</v>
      </c>
      <c r="H438">
        <f>SUM($D$2:D438)</f>
        <v>42720</v>
      </c>
      <c r="I438">
        <f t="shared" si="32"/>
        <v>1</v>
      </c>
    </row>
    <row r="439" spans="1:9" x14ac:dyDescent="0.25">
      <c r="A439" s="1">
        <v>45364</v>
      </c>
      <c r="B439">
        <f t="shared" si="30"/>
        <v>3</v>
      </c>
      <c r="C439" t="s">
        <v>8</v>
      </c>
      <c r="D439">
        <f t="shared" si="33"/>
        <v>60</v>
      </c>
      <c r="E439">
        <f t="shared" si="34"/>
        <v>0</v>
      </c>
      <c r="F439">
        <f t="shared" si="31"/>
        <v>60</v>
      </c>
      <c r="G439">
        <f>SUM($E$2:E439)</f>
        <v>17450</v>
      </c>
      <c r="H439">
        <f>SUM($D$2:D439)</f>
        <v>42780</v>
      </c>
      <c r="I439">
        <f t="shared" si="32"/>
        <v>1</v>
      </c>
    </row>
    <row r="440" spans="1:9" x14ac:dyDescent="0.25">
      <c r="A440" s="1">
        <v>45365</v>
      </c>
      <c r="B440">
        <f t="shared" si="30"/>
        <v>4</v>
      </c>
      <c r="C440" t="s">
        <v>8</v>
      </c>
      <c r="D440">
        <f t="shared" si="33"/>
        <v>60</v>
      </c>
      <c r="E440">
        <f t="shared" si="34"/>
        <v>0</v>
      </c>
      <c r="F440">
        <f t="shared" si="31"/>
        <v>60</v>
      </c>
      <c r="G440">
        <f>SUM($E$2:E440)</f>
        <v>17450</v>
      </c>
      <c r="H440">
        <f>SUM($D$2:D440)</f>
        <v>42840</v>
      </c>
      <c r="I440">
        <f t="shared" si="32"/>
        <v>1</v>
      </c>
    </row>
    <row r="441" spans="1:9" x14ac:dyDescent="0.25">
      <c r="A441" s="1">
        <v>45366</v>
      </c>
      <c r="B441">
        <f t="shared" si="30"/>
        <v>5</v>
      </c>
      <c r="C441" t="s">
        <v>8</v>
      </c>
      <c r="D441">
        <f t="shared" si="33"/>
        <v>60</v>
      </c>
      <c r="E441">
        <f t="shared" si="34"/>
        <v>0</v>
      </c>
      <c r="F441">
        <f t="shared" si="31"/>
        <v>60</v>
      </c>
      <c r="G441">
        <f>SUM($E$2:E441)</f>
        <v>17450</v>
      </c>
      <c r="H441">
        <f>SUM($D$2:D441)</f>
        <v>42900</v>
      </c>
      <c r="I441">
        <f t="shared" si="32"/>
        <v>1</v>
      </c>
    </row>
    <row r="442" spans="1:9" x14ac:dyDescent="0.25">
      <c r="A442" s="1">
        <v>45367</v>
      </c>
      <c r="B442">
        <f t="shared" si="30"/>
        <v>6</v>
      </c>
      <c r="C442" t="s">
        <v>8</v>
      </c>
      <c r="D442">
        <f t="shared" si="33"/>
        <v>0</v>
      </c>
      <c r="E442">
        <f t="shared" si="34"/>
        <v>0</v>
      </c>
      <c r="F442">
        <f t="shared" si="31"/>
        <v>0</v>
      </c>
      <c r="G442">
        <f>SUM($E$2:E442)</f>
        <v>17450</v>
      </c>
      <c r="H442">
        <f>SUM($D$2:D442)</f>
        <v>42900</v>
      </c>
      <c r="I442">
        <f t="shared" si="32"/>
        <v>1</v>
      </c>
    </row>
    <row r="443" spans="1:9" x14ac:dyDescent="0.25">
      <c r="A443" s="1">
        <v>45368</v>
      </c>
      <c r="B443">
        <f t="shared" si="30"/>
        <v>7</v>
      </c>
      <c r="C443" t="s">
        <v>8</v>
      </c>
      <c r="D443">
        <f t="shared" si="33"/>
        <v>0</v>
      </c>
      <c r="E443">
        <f t="shared" si="34"/>
        <v>150</v>
      </c>
      <c r="F443">
        <f t="shared" si="31"/>
        <v>-150</v>
      </c>
      <c r="G443">
        <f>SUM($E$2:E443)</f>
        <v>17600</v>
      </c>
      <c r="H443">
        <f>SUM($D$2:D443)</f>
        <v>42900</v>
      </c>
      <c r="I443">
        <f t="shared" si="32"/>
        <v>1</v>
      </c>
    </row>
    <row r="444" spans="1:9" x14ac:dyDescent="0.25">
      <c r="A444" s="1">
        <v>45369</v>
      </c>
      <c r="B444">
        <f t="shared" si="30"/>
        <v>1</v>
      </c>
      <c r="C444" t="s">
        <v>8</v>
      </c>
      <c r="D444">
        <f t="shared" si="33"/>
        <v>60</v>
      </c>
      <c r="E444">
        <f t="shared" si="34"/>
        <v>0</v>
      </c>
      <c r="F444">
        <f t="shared" si="31"/>
        <v>60</v>
      </c>
      <c r="G444">
        <f>SUM($E$2:E444)</f>
        <v>17600</v>
      </c>
      <c r="H444">
        <f>SUM($D$2:D444)</f>
        <v>42960</v>
      </c>
      <c r="I444">
        <f t="shared" si="32"/>
        <v>1</v>
      </c>
    </row>
    <row r="445" spans="1:9" x14ac:dyDescent="0.25">
      <c r="A445" s="1">
        <v>45370</v>
      </c>
      <c r="B445">
        <f t="shared" si="30"/>
        <v>2</v>
      </c>
      <c r="C445" t="s">
        <v>8</v>
      </c>
      <c r="D445">
        <f t="shared" si="33"/>
        <v>60</v>
      </c>
      <c r="E445">
        <f t="shared" si="34"/>
        <v>0</v>
      </c>
      <c r="F445">
        <f t="shared" si="31"/>
        <v>60</v>
      </c>
      <c r="G445">
        <f>SUM($E$2:E445)</f>
        <v>17600</v>
      </c>
      <c r="H445">
        <f>SUM($D$2:D445)</f>
        <v>43020</v>
      </c>
      <c r="I445">
        <f t="shared" si="32"/>
        <v>1</v>
      </c>
    </row>
    <row r="446" spans="1:9" x14ac:dyDescent="0.25">
      <c r="A446" s="1">
        <v>45371</v>
      </c>
      <c r="B446">
        <f t="shared" si="30"/>
        <v>3</v>
      </c>
      <c r="C446" t="s">
        <v>8</v>
      </c>
      <c r="D446">
        <f t="shared" si="33"/>
        <v>60</v>
      </c>
      <c r="E446">
        <f t="shared" si="34"/>
        <v>0</v>
      </c>
      <c r="F446">
        <f t="shared" si="31"/>
        <v>60</v>
      </c>
      <c r="G446">
        <f>SUM($E$2:E446)</f>
        <v>17600</v>
      </c>
      <c r="H446">
        <f>SUM($D$2:D446)</f>
        <v>43080</v>
      </c>
      <c r="I446">
        <f t="shared" si="32"/>
        <v>1</v>
      </c>
    </row>
    <row r="447" spans="1:9" x14ac:dyDescent="0.25">
      <c r="A447" s="1">
        <v>45372</v>
      </c>
      <c r="B447">
        <f t="shared" si="30"/>
        <v>4</v>
      </c>
      <c r="C447" t="s">
        <v>9</v>
      </c>
      <c r="D447">
        <f t="shared" si="33"/>
        <v>150</v>
      </c>
      <c r="E447">
        <f t="shared" si="34"/>
        <v>0</v>
      </c>
      <c r="F447">
        <f t="shared" si="31"/>
        <v>150</v>
      </c>
      <c r="G447">
        <f>SUM($E$2:E447)</f>
        <v>17600</v>
      </c>
      <c r="H447">
        <f>SUM($D$2:D447)</f>
        <v>43230</v>
      </c>
      <c r="I447">
        <f t="shared" si="32"/>
        <v>1</v>
      </c>
    </row>
    <row r="448" spans="1:9" x14ac:dyDescent="0.25">
      <c r="A448" s="1">
        <v>45373</v>
      </c>
      <c r="B448">
        <f t="shared" si="30"/>
        <v>5</v>
      </c>
      <c r="C448" t="s">
        <v>9</v>
      </c>
      <c r="D448">
        <f t="shared" si="33"/>
        <v>150</v>
      </c>
      <c r="E448">
        <f t="shared" si="34"/>
        <v>0</v>
      </c>
      <c r="F448">
        <f t="shared" si="31"/>
        <v>150</v>
      </c>
      <c r="G448">
        <f>SUM($E$2:E448)</f>
        <v>17600</v>
      </c>
      <c r="H448">
        <f>SUM($D$2:D448)</f>
        <v>43380</v>
      </c>
      <c r="I448">
        <f t="shared" si="32"/>
        <v>1</v>
      </c>
    </row>
    <row r="449" spans="1:9" x14ac:dyDescent="0.25">
      <c r="A449" s="1">
        <v>45374</v>
      </c>
      <c r="B449">
        <f t="shared" si="30"/>
        <v>6</v>
      </c>
      <c r="C449" t="s">
        <v>9</v>
      </c>
      <c r="D449">
        <f t="shared" si="33"/>
        <v>0</v>
      </c>
      <c r="E449">
        <f t="shared" si="34"/>
        <v>0</v>
      </c>
      <c r="F449">
        <f t="shared" si="31"/>
        <v>0</v>
      </c>
      <c r="G449">
        <f>SUM($E$2:E449)</f>
        <v>17600</v>
      </c>
      <c r="H449">
        <f>SUM($D$2:D449)</f>
        <v>43380</v>
      </c>
      <c r="I449">
        <f t="shared" si="32"/>
        <v>1</v>
      </c>
    </row>
    <row r="450" spans="1:9" x14ac:dyDescent="0.25">
      <c r="A450" s="1">
        <v>45375</v>
      </c>
      <c r="B450">
        <f t="shared" si="30"/>
        <v>7</v>
      </c>
      <c r="C450" t="s">
        <v>9</v>
      </c>
      <c r="D450">
        <f t="shared" si="33"/>
        <v>0</v>
      </c>
      <c r="E450">
        <f t="shared" si="34"/>
        <v>150</v>
      </c>
      <c r="F450">
        <f t="shared" si="31"/>
        <v>-150</v>
      </c>
      <c r="G450">
        <f>SUM($E$2:E450)</f>
        <v>17750</v>
      </c>
      <c r="H450">
        <f>SUM($D$2:D450)</f>
        <v>43380</v>
      </c>
      <c r="I450">
        <f t="shared" si="32"/>
        <v>1</v>
      </c>
    </row>
    <row r="451" spans="1:9" x14ac:dyDescent="0.25">
      <c r="A451" s="1">
        <v>45376</v>
      </c>
      <c r="B451">
        <f t="shared" ref="B451:B514" si="35">WEEKDAY(A451,2)</f>
        <v>1</v>
      </c>
      <c r="C451" t="s">
        <v>9</v>
      </c>
      <c r="D451">
        <f t="shared" si="33"/>
        <v>150</v>
      </c>
      <c r="E451">
        <f t="shared" si="34"/>
        <v>0</v>
      </c>
      <c r="F451">
        <f t="shared" ref="F451:F514" si="36">D451-E451</f>
        <v>150</v>
      </c>
      <c r="G451">
        <f>SUM($E$2:E451)</f>
        <v>17750</v>
      </c>
      <c r="H451">
        <f>SUM($D$2:D451)</f>
        <v>43530</v>
      </c>
      <c r="I451">
        <f t="shared" ref="I451:I514" si="37">IF(G451&lt;H451,1,0)</f>
        <v>1</v>
      </c>
    </row>
    <row r="452" spans="1:9" x14ac:dyDescent="0.25">
      <c r="A452" s="1">
        <v>45377</v>
      </c>
      <c r="B452">
        <f t="shared" si="35"/>
        <v>2</v>
      </c>
      <c r="C452" t="s">
        <v>9</v>
      </c>
      <c r="D452">
        <f t="shared" ref="D452:D515" si="38">IF(B452&lt;6,$Q$1*VLOOKUP(C452,$S$1:$T$5,2,FALSE)*$Q$3,0)</f>
        <v>150</v>
      </c>
      <c r="E452">
        <f t="shared" ref="E452:E515" si="39">IF(B452=7,$Q$4*$Q$1,0)</f>
        <v>0</v>
      </c>
      <c r="F452">
        <f t="shared" si="36"/>
        <v>150</v>
      </c>
      <c r="G452">
        <f>SUM($E$2:E452)</f>
        <v>17750</v>
      </c>
      <c r="H452">
        <f>SUM($D$2:D452)</f>
        <v>43680</v>
      </c>
      <c r="I452">
        <f t="shared" si="37"/>
        <v>1</v>
      </c>
    </row>
    <row r="453" spans="1:9" x14ac:dyDescent="0.25">
      <c r="A453" s="1">
        <v>45378</v>
      </c>
      <c r="B453">
        <f t="shared" si="35"/>
        <v>3</v>
      </c>
      <c r="C453" t="s">
        <v>9</v>
      </c>
      <c r="D453">
        <f t="shared" si="38"/>
        <v>150</v>
      </c>
      <c r="E453">
        <f t="shared" si="39"/>
        <v>0</v>
      </c>
      <c r="F453">
        <f t="shared" si="36"/>
        <v>150</v>
      </c>
      <c r="G453">
        <f>SUM($E$2:E453)</f>
        <v>17750</v>
      </c>
      <c r="H453">
        <f>SUM($D$2:D453)</f>
        <v>43830</v>
      </c>
      <c r="I453">
        <f t="shared" si="37"/>
        <v>1</v>
      </c>
    </row>
    <row r="454" spans="1:9" x14ac:dyDescent="0.25">
      <c r="A454" s="1">
        <v>45379</v>
      </c>
      <c r="B454">
        <f t="shared" si="35"/>
        <v>4</v>
      </c>
      <c r="C454" t="s">
        <v>9</v>
      </c>
      <c r="D454">
        <f t="shared" si="38"/>
        <v>150</v>
      </c>
      <c r="E454">
        <f t="shared" si="39"/>
        <v>0</v>
      </c>
      <c r="F454">
        <f t="shared" si="36"/>
        <v>150</v>
      </c>
      <c r="G454">
        <f>SUM($E$2:E454)</f>
        <v>17750</v>
      </c>
      <c r="H454">
        <f>SUM($D$2:D454)</f>
        <v>43980</v>
      </c>
      <c r="I454">
        <f t="shared" si="37"/>
        <v>1</v>
      </c>
    </row>
    <row r="455" spans="1:9" x14ac:dyDescent="0.25">
      <c r="A455" s="1">
        <v>45380</v>
      </c>
      <c r="B455">
        <f t="shared" si="35"/>
        <v>5</v>
      </c>
      <c r="C455" t="s">
        <v>9</v>
      </c>
      <c r="D455">
        <f t="shared" si="38"/>
        <v>150</v>
      </c>
      <c r="E455">
        <f t="shared" si="39"/>
        <v>0</v>
      </c>
      <c r="F455">
        <f t="shared" si="36"/>
        <v>150</v>
      </c>
      <c r="G455">
        <f>SUM($E$2:E455)</f>
        <v>17750</v>
      </c>
      <c r="H455">
        <f>SUM($D$2:D455)</f>
        <v>44130</v>
      </c>
      <c r="I455">
        <f t="shared" si="37"/>
        <v>1</v>
      </c>
    </row>
    <row r="456" spans="1:9" x14ac:dyDescent="0.25">
      <c r="A456" s="1">
        <v>45381</v>
      </c>
      <c r="B456">
        <f t="shared" si="35"/>
        <v>6</v>
      </c>
      <c r="C456" t="s">
        <v>9</v>
      </c>
      <c r="D456">
        <f t="shared" si="38"/>
        <v>0</v>
      </c>
      <c r="E456">
        <f t="shared" si="39"/>
        <v>0</v>
      </c>
      <c r="F456">
        <f t="shared" si="36"/>
        <v>0</v>
      </c>
      <c r="G456">
        <f>SUM($E$2:E456)</f>
        <v>17750</v>
      </c>
      <c r="H456">
        <f>SUM($D$2:D456)</f>
        <v>44130</v>
      </c>
      <c r="I456">
        <f t="shared" si="37"/>
        <v>1</v>
      </c>
    </row>
    <row r="457" spans="1:9" x14ac:dyDescent="0.25">
      <c r="A457" s="1">
        <v>45382</v>
      </c>
      <c r="B457">
        <f t="shared" si="35"/>
        <v>7</v>
      </c>
      <c r="C457" t="s">
        <v>9</v>
      </c>
      <c r="D457">
        <f t="shared" si="38"/>
        <v>0</v>
      </c>
      <c r="E457">
        <f t="shared" si="39"/>
        <v>150</v>
      </c>
      <c r="F457">
        <f t="shared" si="36"/>
        <v>-150</v>
      </c>
      <c r="G457">
        <f>SUM($E$2:E457)</f>
        <v>17900</v>
      </c>
      <c r="H457">
        <f>SUM($D$2:D457)</f>
        <v>44130</v>
      </c>
      <c r="I457">
        <f t="shared" si="37"/>
        <v>1</v>
      </c>
    </row>
    <row r="458" spans="1:9" x14ac:dyDescent="0.25">
      <c r="A458" s="1">
        <v>45383</v>
      </c>
      <c r="B458">
        <f t="shared" si="35"/>
        <v>1</v>
      </c>
      <c r="C458" t="s">
        <v>9</v>
      </c>
      <c r="D458">
        <f t="shared" si="38"/>
        <v>150</v>
      </c>
      <c r="E458">
        <f t="shared" si="39"/>
        <v>0</v>
      </c>
      <c r="F458">
        <f t="shared" si="36"/>
        <v>150</v>
      </c>
      <c r="G458">
        <f>SUM($E$2:E458)</f>
        <v>17900</v>
      </c>
      <c r="H458">
        <f>SUM($D$2:D458)</f>
        <v>44280</v>
      </c>
      <c r="I458">
        <f t="shared" si="37"/>
        <v>1</v>
      </c>
    </row>
    <row r="459" spans="1:9" x14ac:dyDescent="0.25">
      <c r="A459" s="1">
        <v>45384</v>
      </c>
      <c r="B459">
        <f t="shared" si="35"/>
        <v>2</v>
      </c>
      <c r="C459" t="s">
        <v>9</v>
      </c>
      <c r="D459">
        <f t="shared" si="38"/>
        <v>150</v>
      </c>
      <c r="E459">
        <f t="shared" si="39"/>
        <v>0</v>
      </c>
      <c r="F459">
        <f t="shared" si="36"/>
        <v>150</v>
      </c>
      <c r="G459">
        <f>SUM($E$2:E459)</f>
        <v>17900</v>
      </c>
      <c r="H459">
        <f>SUM($D$2:D459)</f>
        <v>44430</v>
      </c>
      <c r="I459">
        <f t="shared" si="37"/>
        <v>1</v>
      </c>
    </row>
    <row r="460" spans="1:9" x14ac:dyDescent="0.25">
      <c r="A460" s="1">
        <v>45385</v>
      </c>
      <c r="B460">
        <f t="shared" si="35"/>
        <v>3</v>
      </c>
      <c r="C460" t="s">
        <v>9</v>
      </c>
      <c r="D460">
        <f t="shared" si="38"/>
        <v>150</v>
      </c>
      <c r="E460">
        <f t="shared" si="39"/>
        <v>0</v>
      </c>
      <c r="F460">
        <f t="shared" si="36"/>
        <v>150</v>
      </c>
      <c r="G460">
        <f>SUM($E$2:E460)</f>
        <v>17900</v>
      </c>
      <c r="H460">
        <f>SUM($D$2:D460)</f>
        <v>44580</v>
      </c>
      <c r="I460">
        <f t="shared" si="37"/>
        <v>1</v>
      </c>
    </row>
    <row r="461" spans="1:9" x14ac:dyDescent="0.25">
      <c r="A461" s="1">
        <v>45386</v>
      </c>
      <c r="B461">
        <f t="shared" si="35"/>
        <v>4</v>
      </c>
      <c r="C461" t="s">
        <v>9</v>
      </c>
      <c r="D461">
        <f t="shared" si="38"/>
        <v>150</v>
      </c>
      <c r="E461">
        <f t="shared" si="39"/>
        <v>0</v>
      </c>
      <c r="F461">
        <f t="shared" si="36"/>
        <v>150</v>
      </c>
      <c r="G461">
        <f>SUM($E$2:E461)</f>
        <v>17900</v>
      </c>
      <c r="H461">
        <f>SUM($D$2:D461)</f>
        <v>44730</v>
      </c>
      <c r="I461">
        <f t="shared" si="37"/>
        <v>1</v>
      </c>
    </row>
    <row r="462" spans="1:9" x14ac:dyDescent="0.25">
      <c r="A462" s="1">
        <v>45387</v>
      </c>
      <c r="B462">
        <f t="shared" si="35"/>
        <v>5</v>
      </c>
      <c r="C462" t="s">
        <v>9</v>
      </c>
      <c r="D462">
        <f t="shared" si="38"/>
        <v>150</v>
      </c>
      <c r="E462">
        <f t="shared" si="39"/>
        <v>0</v>
      </c>
      <c r="F462">
        <f t="shared" si="36"/>
        <v>150</v>
      </c>
      <c r="G462">
        <f>SUM($E$2:E462)</f>
        <v>17900</v>
      </c>
      <c r="H462">
        <f>SUM($D$2:D462)</f>
        <v>44880</v>
      </c>
      <c r="I462">
        <f t="shared" si="37"/>
        <v>1</v>
      </c>
    </row>
    <row r="463" spans="1:9" x14ac:dyDescent="0.25">
      <c r="A463" s="1">
        <v>45388</v>
      </c>
      <c r="B463">
        <f t="shared" si="35"/>
        <v>6</v>
      </c>
      <c r="C463" t="s">
        <v>9</v>
      </c>
      <c r="D463">
        <f t="shared" si="38"/>
        <v>0</v>
      </c>
      <c r="E463">
        <f t="shared" si="39"/>
        <v>0</v>
      </c>
      <c r="F463">
        <f t="shared" si="36"/>
        <v>0</v>
      </c>
      <c r="G463">
        <f>SUM($E$2:E463)</f>
        <v>17900</v>
      </c>
      <c r="H463">
        <f>SUM($D$2:D463)</f>
        <v>44880</v>
      </c>
      <c r="I463">
        <f t="shared" si="37"/>
        <v>1</v>
      </c>
    </row>
    <row r="464" spans="1:9" x14ac:dyDescent="0.25">
      <c r="A464" s="1">
        <v>45389</v>
      </c>
      <c r="B464">
        <f t="shared" si="35"/>
        <v>7</v>
      </c>
      <c r="C464" t="s">
        <v>9</v>
      </c>
      <c r="D464">
        <f t="shared" si="38"/>
        <v>0</v>
      </c>
      <c r="E464">
        <f t="shared" si="39"/>
        <v>150</v>
      </c>
      <c r="F464">
        <f t="shared" si="36"/>
        <v>-150</v>
      </c>
      <c r="G464">
        <f>SUM($E$2:E464)</f>
        <v>18050</v>
      </c>
      <c r="H464">
        <f>SUM($D$2:D464)</f>
        <v>44880</v>
      </c>
      <c r="I464">
        <f t="shared" si="37"/>
        <v>1</v>
      </c>
    </row>
    <row r="465" spans="1:9" x14ac:dyDescent="0.25">
      <c r="A465" s="1">
        <v>45390</v>
      </c>
      <c r="B465">
        <f t="shared" si="35"/>
        <v>1</v>
      </c>
      <c r="C465" t="s">
        <v>9</v>
      </c>
      <c r="D465">
        <f t="shared" si="38"/>
        <v>150</v>
      </c>
      <c r="E465">
        <f t="shared" si="39"/>
        <v>0</v>
      </c>
      <c r="F465">
        <f t="shared" si="36"/>
        <v>150</v>
      </c>
      <c r="G465">
        <f>SUM($E$2:E465)</f>
        <v>18050</v>
      </c>
      <c r="H465">
        <f>SUM($D$2:D465)</f>
        <v>45030</v>
      </c>
      <c r="I465">
        <f t="shared" si="37"/>
        <v>1</v>
      </c>
    </row>
    <row r="466" spans="1:9" x14ac:dyDescent="0.25">
      <c r="A466" s="1">
        <v>45391</v>
      </c>
      <c r="B466">
        <f t="shared" si="35"/>
        <v>2</v>
      </c>
      <c r="C466" t="s">
        <v>9</v>
      </c>
      <c r="D466">
        <f t="shared" si="38"/>
        <v>150</v>
      </c>
      <c r="E466">
        <f t="shared" si="39"/>
        <v>0</v>
      </c>
      <c r="F466">
        <f t="shared" si="36"/>
        <v>150</v>
      </c>
      <c r="G466">
        <f>SUM($E$2:E466)</f>
        <v>18050</v>
      </c>
      <c r="H466">
        <f>SUM($D$2:D466)</f>
        <v>45180</v>
      </c>
      <c r="I466">
        <f t="shared" si="37"/>
        <v>1</v>
      </c>
    </row>
    <row r="467" spans="1:9" x14ac:dyDescent="0.25">
      <c r="A467" s="1">
        <v>45392</v>
      </c>
      <c r="B467">
        <f t="shared" si="35"/>
        <v>3</v>
      </c>
      <c r="C467" t="s">
        <v>9</v>
      </c>
      <c r="D467">
        <f t="shared" si="38"/>
        <v>150</v>
      </c>
      <c r="E467">
        <f t="shared" si="39"/>
        <v>0</v>
      </c>
      <c r="F467">
        <f t="shared" si="36"/>
        <v>150</v>
      </c>
      <c r="G467">
        <f>SUM($E$2:E467)</f>
        <v>18050</v>
      </c>
      <c r="H467">
        <f>SUM($D$2:D467)</f>
        <v>45330</v>
      </c>
      <c r="I467">
        <f t="shared" si="37"/>
        <v>1</v>
      </c>
    </row>
    <row r="468" spans="1:9" x14ac:dyDescent="0.25">
      <c r="A468" s="1">
        <v>45393</v>
      </c>
      <c r="B468">
        <f t="shared" si="35"/>
        <v>4</v>
      </c>
      <c r="C468" t="s">
        <v>9</v>
      </c>
      <c r="D468">
        <f t="shared" si="38"/>
        <v>150</v>
      </c>
      <c r="E468">
        <f t="shared" si="39"/>
        <v>0</v>
      </c>
      <c r="F468">
        <f t="shared" si="36"/>
        <v>150</v>
      </c>
      <c r="G468">
        <f>SUM($E$2:E468)</f>
        <v>18050</v>
      </c>
      <c r="H468">
        <f>SUM($D$2:D468)</f>
        <v>45480</v>
      </c>
      <c r="I468">
        <f t="shared" si="37"/>
        <v>1</v>
      </c>
    </row>
    <row r="469" spans="1:9" x14ac:dyDescent="0.25">
      <c r="A469" s="1">
        <v>45394</v>
      </c>
      <c r="B469">
        <f t="shared" si="35"/>
        <v>5</v>
      </c>
      <c r="C469" t="s">
        <v>9</v>
      </c>
      <c r="D469">
        <f t="shared" si="38"/>
        <v>150</v>
      </c>
      <c r="E469">
        <f t="shared" si="39"/>
        <v>0</v>
      </c>
      <c r="F469">
        <f t="shared" si="36"/>
        <v>150</v>
      </c>
      <c r="G469">
        <f>SUM($E$2:E469)</f>
        <v>18050</v>
      </c>
      <c r="H469">
        <f>SUM($D$2:D469)</f>
        <v>45630</v>
      </c>
      <c r="I469">
        <f t="shared" si="37"/>
        <v>1</v>
      </c>
    </row>
    <row r="470" spans="1:9" x14ac:dyDescent="0.25">
      <c r="A470" s="1">
        <v>45395</v>
      </c>
      <c r="B470">
        <f t="shared" si="35"/>
        <v>6</v>
      </c>
      <c r="C470" t="s">
        <v>9</v>
      </c>
      <c r="D470">
        <f t="shared" si="38"/>
        <v>0</v>
      </c>
      <c r="E470">
        <f t="shared" si="39"/>
        <v>0</v>
      </c>
      <c r="F470">
        <f t="shared" si="36"/>
        <v>0</v>
      </c>
      <c r="G470">
        <f>SUM($E$2:E470)</f>
        <v>18050</v>
      </c>
      <c r="H470">
        <f>SUM($D$2:D470)</f>
        <v>45630</v>
      </c>
      <c r="I470">
        <f t="shared" si="37"/>
        <v>1</v>
      </c>
    </row>
    <row r="471" spans="1:9" x14ac:dyDescent="0.25">
      <c r="A471" s="1">
        <v>45396</v>
      </c>
      <c r="B471">
        <f t="shared" si="35"/>
        <v>7</v>
      </c>
      <c r="C471" t="s">
        <v>9</v>
      </c>
      <c r="D471">
        <f t="shared" si="38"/>
        <v>0</v>
      </c>
      <c r="E471">
        <f t="shared" si="39"/>
        <v>150</v>
      </c>
      <c r="F471">
        <f t="shared" si="36"/>
        <v>-150</v>
      </c>
      <c r="G471">
        <f>SUM($E$2:E471)</f>
        <v>18200</v>
      </c>
      <c r="H471">
        <f>SUM($D$2:D471)</f>
        <v>45630</v>
      </c>
      <c r="I471">
        <f t="shared" si="37"/>
        <v>1</v>
      </c>
    </row>
    <row r="472" spans="1:9" x14ac:dyDescent="0.25">
      <c r="A472" s="1">
        <v>45397</v>
      </c>
      <c r="B472">
        <f t="shared" si="35"/>
        <v>1</v>
      </c>
      <c r="C472" t="s">
        <v>9</v>
      </c>
      <c r="D472">
        <f t="shared" si="38"/>
        <v>150</v>
      </c>
      <c r="E472">
        <f t="shared" si="39"/>
        <v>0</v>
      </c>
      <c r="F472">
        <f t="shared" si="36"/>
        <v>150</v>
      </c>
      <c r="G472">
        <f>SUM($E$2:E472)</f>
        <v>18200</v>
      </c>
      <c r="H472">
        <f>SUM($D$2:D472)</f>
        <v>45780</v>
      </c>
      <c r="I472">
        <f t="shared" si="37"/>
        <v>1</v>
      </c>
    </row>
    <row r="473" spans="1:9" x14ac:dyDescent="0.25">
      <c r="A473" s="1">
        <v>45398</v>
      </c>
      <c r="B473">
        <f t="shared" si="35"/>
        <v>2</v>
      </c>
      <c r="C473" t="s">
        <v>9</v>
      </c>
      <c r="D473">
        <f t="shared" si="38"/>
        <v>150</v>
      </c>
      <c r="E473">
        <f t="shared" si="39"/>
        <v>0</v>
      </c>
      <c r="F473">
        <f t="shared" si="36"/>
        <v>150</v>
      </c>
      <c r="G473">
        <f>SUM($E$2:E473)</f>
        <v>18200</v>
      </c>
      <c r="H473">
        <f>SUM($D$2:D473)</f>
        <v>45930</v>
      </c>
      <c r="I473">
        <f t="shared" si="37"/>
        <v>1</v>
      </c>
    </row>
    <row r="474" spans="1:9" x14ac:dyDescent="0.25">
      <c r="A474" s="1">
        <v>45399</v>
      </c>
      <c r="B474">
        <f t="shared" si="35"/>
        <v>3</v>
      </c>
      <c r="C474" t="s">
        <v>9</v>
      </c>
      <c r="D474">
        <f t="shared" si="38"/>
        <v>150</v>
      </c>
      <c r="E474">
        <f t="shared" si="39"/>
        <v>0</v>
      </c>
      <c r="F474">
        <f t="shared" si="36"/>
        <v>150</v>
      </c>
      <c r="G474">
        <f>SUM($E$2:E474)</f>
        <v>18200</v>
      </c>
      <c r="H474">
        <f>SUM($D$2:D474)</f>
        <v>46080</v>
      </c>
      <c r="I474">
        <f t="shared" si="37"/>
        <v>1</v>
      </c>
    </row>
    <row r="475" spans="1:9" x14ac:dyDescent="0.25">
      <c r="A475" s="1">
        <v>45400</v>
      </c>
      <c r="B475">
        <f t="shared" si="35"/>
        <v>4</v>
      </c>
      <c r="C475" t="s">
        <v>9</v>
      </c>
      <c r="D475">
        <f t="shared" si="38"/>
        <v>150</v>
      </c>
      <c r="E475">
        <f t="shared" si="39"/>
        <v>0</v>
      </c>
      <c r="F475">
        <f t="shared" si="36"/>
        <v>150</v>
      </c>
      <c r="G475">
        <f>SUM($E$2:E475)</f>
        <v>18200</v>
      </c>
      <c r="H475">
        <f>SUM($D$2:D475)</f>
        <v>46230</v>
      </c>
      <c r="I475">
        <f t="shared" si="37"/>
        <v>1</v>
      </c>
    </row>
    <row r="476" spans="1:9" x14ac:dyDescent="0.25">
      <c r="A476" s="1">
        <v>45401</v>
      </c>
      <c r="B476">
        <f t="shared" si="35"/>
        <v>5</v>
      </c>
      <c r="C476" t="s">
        <v>9</v>
      </c>
      <c r="D476">
        <f t="shared" si="38"/>
        <v>150</v>
      </c>
      <c r="E476">
        <f t="shared" si="39"/>
        <v>0</v>
      </c>
      <c r="F476">
        <f t="shared" si="36"/>
        <v>150</v>
      </c>
      <c r="G476">
        <f>SUM($E$2:E476)</f>
        <v>18200</v>
      </c>
      <c r="H476">
        <f>SUM($D$2:D476)</f>
        <v>46380</v>
      </c>
      <c r="I476">
        <f t="shared" si="37"/>
        <v>1</v>
      </c>
    </row>
    <row r="477" spans="1:9" x14ac:dyDescent="0.25">
      <c r="A477" s="1">
        <v>45402</v>
      </c>
      <c r="B477">
        <f t="shared" si="35"/>
        <v>6</v>
      </c>
      <c r="C477" t="s">
        <v>9</v>
      </c>
      <c r="D477">
        <f t="shared" si="38"/>
        <v>0</v>
      </c>
      <c r="E477">
        <f t="shared" si="39"/>
        <v>0</v>
      </c>
      <c r="F477">
        <f t="shared" si="36"/>
        <v>0</v>
      </c>
      <c r="G477">
        <f>SUM($E$2:E477)</f>
        <v>18200</v>
      </c>
      <c r="H477">
        <f>SUM($D$2:D477)</f>
        <v>46380</v>
      </c>
      <c r="I477">
        <f t="shared" si="37"/>
        <v>1</v>
      </c>
    </row>
    <row r="478" spans="1:9" x14ac:dyDescent="0.25">
      <c r="A478" s="1">
        <v>45403</v>
      </c>
      <c r="B478">
        <f t="shared" si="35"/>
        <v>7</v>
      </c>
      <c r="C478" t="s">
        <v>9</v>
      </c>
      <c r="D478">
        <f t="shared" si="38"/>
        <v>0</v>
      </c>
      <c r="E478">
        <f t="shared" si="39"/>
        <v>150</v>
      </c>
      <c r="F478">
        <f t="shared" si="36"/>
        <v>-150</v>
      </c>
      <c r="G478">
        <f>SUM($E$2:E478)</f>
        <v>18350</v>
      </c>
      <c r="H478">
        <f>SUM($D$2:D478)</f>
        <v>46380</v>
      </c>
      <c r="I478">
        <f t="shared" si="37"/>
        <v>1</v>
      </c>
    </row>
    <row r="479" spans="1:9" x14ac:dyDescent="0.25">
      <c r="A479" s="1">
        <v>45404</v>
      </c>
      <c r="B479">
        <f t="shared" si="35"/>
        <v>1</v>
      </c>
      <c r="C479" t="s">
        <v>9</v>
      </c>
      <c r="D479">
        <f t="shared" si="38"/>
        <v>150</v>
      </c>
      <c r="E479">
        <f t="shared" si="39"/>
        <v>0</v>
      </c>
      <c r="F479">
        <f t="shared" si="36"/>
        <v>150</v>
      </c>
      <c r="G479">
        <f>SUM($E$2:E479)</f>
        <v>18350</v>
      </c>
      <c r="H479">
        <f>SUM($D$2:D479)</f>
        <v>46530</v>
      </c>
      <c r="I479">
        <f t="shared" si="37"/>
        <v>1</v>
      </c>
    </row>
    <row r="480" spans="1:9" x14ac:dyDescent="0.25">
      <c r="A480" s="1">
        <v>45405</v>
      </c>
      <c r="B480">
        <f t="shared" si="35"/>
        <v>2</v>
      </c>
      <c r="C480" t="s">
        <v>9</v>
      </c>
      <c r="D480">
        <f t="shared" si="38"/>
        <v>150</v>
      </c>
      <c r="E480">
        <f t="shared" si="39"/>
        <v>0</v>
      </c>
      <c r="F480">
        <f t="shared" si="36"/>
        <v>150</v>
      </c>
      <c r="G480">
        <f>SUM($E$2:E480)</f>
        <v>18350</v>
      </c>
      <c r="H480">
        <f>SUM($D$2:D480)</f>
        <v>46680</v>
      </c>
      <c r="I480">
        <f t="shared" si="37"/>
        <v>1</v>
      </c>
    </row>
    <row r="481" spans="1:9" x14ac:dyDescent="0.25">
      <c r="A481" s="1">
        <v>45406</v>
      </c>
      <c r="B481">
        <f t="shared" si="35"/>
        <v>3</v>
      </c>
      <c r="C481" t="s">
        <v>9</v>
      </c>
      <c r="D481">
        <f t="shared" si="38"/>
        <v>150</v>
      </c>
      <c r="E481">
        <f t="shared" si="39"/>
        <v>0</v>
      </c>
      <c r="F481">
        <f t="shared" si="36"/>
        <v>150</v>
      </c>
      <c r="G481">
        <f>SUM($E$2:E481)</f>
        <v>18350</v>
      </c>
      <c r="H481">
        <f>SUM($D$2:D481)</f>
        <v>46830</v>
      </c>
      <c r="I481">
        <f t="shared" si="37"/>
        <v>1</v>
      </c>
    </row>
    <row r="482" spans="1:9" x14ac:dyDescent="0.25">
      <c r="A482" s="1">
        <v>45407</v>
      </c>
      <c r="B482">
        <f t="shared" si="35"/>
        <v>4</v>
      </c>
      <c r="C482" t="s">
        <v>9</v>
      </c>
      <c r="D482">
        <f t="shared" si="38"/>
        <v>150</v>
      </c>
      <c r="E482">
        <f t="shared" si="39"/>
        <v>0</v>
      </c>
      <c r="F482">
        <f t="shared" si="36"/>
        <v>150</v>
      </c>
      <c r="G482">
        <f>SUM($E$2:E482)</f>
        <v>18350</v>
      </c>
      <c r="H482">
        <f>SUM($D$2:D482)</f>
        <v>46980</v>
      </c>
      <c r="I482">
        <f t="shared" si="37"/>
        <v>1</v>
      </c>
    </row>
    <row r="483" spans="1:9" x14ac:dyDescent="0.25">
      <c r="A483" s="1">
        <v>45408</v>
      </c>
      <c r="B483">
        <f t="shared" si="35"/>
        <v>5</v>
      </c>
      <c r="C483" t="s">
        <v>9</v>
      </c>
      <c r="D483">
        <f t="shared" si="38"/>
        <v>150</v>
      </c>
      <c r="E483">
        <f t="shared" si="39"/>
        <v>0</v>
      </c>
      <c r="F483">
        <f t="shared" si="36"/>
        <v>150</v>
      </c>
      <c r="G483">
        <f>SUM($E$2:E483)</f>
        <v>18350</v>
      </c>
      <c r="H483">
        <f>SUM($D$2:D483)</f>
        <v>47130</v>
      </c>
      <c r="I483">
        <f t="shared" si="37"/>
        <v>1</v>
      </c>
    </row>
    <row r="484" spans="1:9" x14ac:dyDescent="0.25">
      <c r="A484" s="1">
        <v>45409</v>
      </c>
      <c r="B484">
        <f t="shared" si="35"/>
        <v>6</v>
      </c>
      <c r="C484" t="s">
        <v>9</v>
      </c>
      <c r="D484">
        <f t="shared" si="38"/>
        <v>0</v>
      </c>
      <c r="E484">
        <f t="shared" si="39"/>
        <v>0</v>
      </c>
      <c r="F484">
        <f t="shared" si="36"/>
        <v>0</v>
      </c>
      <c r="G484">
        <f>SUM($E$2:E484)</f>
        <v>18350</v>
      </c>
      <c r="H484">
        <f>SUM($D$2:D484)</f>
        <v>47130</v>
      </c>
      <c r="I484">
        <f t="shared" si="37"/>
        <v>1</v>
      </c>
    </row>
    <row r="485" spans="1:9" x14ac:dyDescent="0.25">
      <c r="A485" s="1">
        <v>45410</v>
      </c>
      <c r="B485">
        <f t="shared" si="35"/>
        <v>7</v>
      </c>
      <c r="C485" t="s">
        <v>9</v>
      </c>
      <c r="D485">
        <f t="shared" si="38"/>
        <v>0</v>
      </c>
      <c r="E485">
        <f t="shared" si="39"/>
        <v>150</v>
      </c>
      <c r="F485">
        <f t="shared" si="36"/>
        <v>-150</v>
      </c>
      <c r="G485">
        <f>SUM($E$2:E485)</f>
        <v>18500</v>
      </c>
      <c r="H485">
        <f>SUM($D$2:D485)</f>
        <v>47130</v>
      </c>
      <c r="I485">
        <f t="shared" si="37"/>
        <v>1</v>
      </c>
    </row>
    <row r="486" spans="1:9" x14ac:dyDescent="0.25">
      <c r="A486" s="1">
        <v>45411</v>
      </c>
      <c r="B486">
        <f t="shared" si="35"/>
        <v>1</v>
      </c>
      <c r="C486" t="s">
        <v>9</v>
      </c>
      <c r="D486">
        <f t="shared" si="38"/>
        <v>150</v>
      </c>
      <c r="E486">
        <f t="shared" si="39"/>
        <v>0</v>
      </c>
      <c r="F486">
        <f t="shared" si="36"/>
        <v>150</v>
      </c>
      <c r="G486">
        <f>SUM($E$2:E486)</f>
        <v>18500</v>
      </c>
      <c r="H486">
        <f>SUM($D$2:D486)</f>
        <v>47280</v>
      </c>
      <c r="I486">
        <f t="shared" si="37"/>
        <v>1</v>
      </c>
    </row>
    <row r="487" spans="1:9" x14ac:dyDescent="0.25">
      <c r="A487" s="1">
        <v>45412</v>
      </c>
      <c r="B487">
        <f t="shared" si="35"/>
        <v>2</v>
      </c>
      <c r="C487" t="s">
        <v>9</v>
      </c>
      <c r="D487">
        <f t="shared" si="38"/>
        <v>150</v>
      </c>
      <c r="E487">
        <f t="shared" si="39"/>
        <v>0</v>
      </c>
      <c r="F487">
        <f t="shared" si="36"/>
        <v>150</v>
      </c>
      <c r="G487">
        <f>SUM($E$2:E487)</f>
        <v>18500</v>
      </c>
      <c r="H487">
        <f>SUM($D$2:D487)</f>
        <v>47430</v>
      </c>
      <c r="I487">
        <f t="shared" si="37"/>
        <v>1</v>
      </c>
    </row>
    <row r="488" spans="1:9" x14ac:dyDescent="0.25">
      <c r="A488" s="1">
        <v>45413</v>
      </c>
      <c r="B488">
        <f t="shared" si="35"/>
        <v>3</v>
      </c>
      <c r="C488" t="s">
        <v>9</v>
      </c>
      <c r="D488">
        <f t="shared" si="38"/>
        <v>150</v>
      </c>
      <c r="E488">
        <f t="shared" si="39"/>
        <v>0</v>
      </c>
      <c r="F488">
        <f t="shared" si="36"/>
        <v>150</v>
      </c>
      <c r="G488">
        <f>SUM($E$2:E488)</f>
        <v>18500</v>
      </c>
      <c r="H488">
        <f>SUM($D$2:D488)</f>
        <v>47580</v>
      </c>
      <c r="I488">
        <f t="shared" si="37"/>
        <v>1</v>
      </c>
    </row>
    <row r="489" spans="1:9" x14ac:dyDescent="0.25">
      <c r="A489" s="1">
        <v>45414</v>
      </c>
      <c r="B489">
        <f t="shared" si="35"/>
        <v>4</v>
      </c>
      <c r="C489" t="s">
        <v>9</v>
      </c>
      <c r="D489">
        <f t="shared" si="38"/>
        <v>150</v>
      </c>
      <c r="E489">
        <f t="shared" si="39"/>
        <v>0</v>
      </c>
      <c r="F489">
        <f t="shared" si="36"/>
        <v>150</v>
      </c>
      <c r="G489">
        <f>SUM($E$2:E489)</f>
        <v>18500</v>
      </c>
      <c r="H489">
        <f>SUM($D$2:D489)</f>
        <v>47730</v>
      </c>
      <c r="I489">
        <f t="shared" si="37"/>
        <v>1</v>
      </c>
    </row>
    <row r="490" spans="1:9" x14ac:dyDescent="0.25">
      <c r="A490" s="1">
        <v>45415</v>
      </c>
      <c r="B490">
        <f t="shared" si="35"/>
        <v>5</v>
      </c>
      <c r="C490" t="s">
        <v>9</v>
      </c>
      <c r="D490">
        <f t="shared" si="38"/>
        <v>150</v>
      </c>
      <c r="E490">
        <f t="shared" si="39"/>
        <v>0</v>
      </c>
      <c r="F490">
        <f t="shared" si="36"/>
        <v>150</v>
      </c>
      <c r="G490">
        <f>SUM($E$2:E490)</f>
        <v>18500</v>
      </c>
      <c r="H490">
        <f>SUM($D$2:D490)</f>
        <v>47880</v>
      </c>
      <c r="I490">
        <f t="shared" si="37"/>
        <v>1</v>
      </c>
    </row>
    <row r="491" spans="1:9" x14ac:dyDescent="0.25">
      <c r="A491" s="1">
        <v>45416</v>
      </c>
      <c r="B491">
        <f t="shared" si="35"/>
        <v>6</v>
      </c>
      <c r="C491" t="s">
        <v>9</v>
      </c>
      <c r="D491">
        <f t="shared" si="38"/>
        <v>0</v>
      </c>
      <c r="E491">
        <f t="shared" si="39"/>
        <v>0</v>
      </c>
      <c r="F491">
        <f t="shared" si="36"/>
        <v>0</v>
      </c>
      <c r="G491">
        <f>SUM($E$2:E491)</f>
        <v>18500</v>
      </c>
      <c r="H491">
        <f>SUM($D$2:D491)</f>
        <v>47880</v>
      </c>
      <c r="I491">
        <f t="shared" si="37"/>
        <v>1</v>
      </c>
    </row>
    <row r="492" spans="1:9" x14ac:dyDescent="0.25">
      <c r="A492" s="1">
        <v>45417</v>
      </c>
      <c r="B492">
        <f t="shared" si="35"/>
        <v>7</v>
      </c>
      <c r="C492" t="s">
        <v>9</v>
      </c>
      <c r="D492">
        <f t="shared" si="38"/>
        <v>0</v>
      </c>
      <c r="E492">
        <f t="shared" si="39"/>
        <v>150</v>
      </c>
      <c r="F492">
        <f t="shared" si="36"/>
        <v>-150</v>
      </c>
      <c r="G492">
        <f>SUM($E$2:E492)</f>
        <v>18650</v>
      </c>
      <c r="H492">
        <f>SUM($D$2:D492)</f>
        <v>47880</v>
      </c>
      <c r="I492">
        <f t="shared" si="37"/>
        <v>1</v>
      </c>
    </row>
    <row r="493" spans="1:9" x14ac:dyDescent="0.25">
      <c r="A493" s="1">
        <v>45418</v>
      </c>
      <c r="B493">
        <f t="shared" si="35"/>
        <v>1</v>
      </c>
      <c r="C493" t="s">
        <v>9</v>
      </c>
      <c r="D493">
        <f t="shared" si="38"/>
        <v>150</v>
      </c>
      <c r="E493">
        <f t="shared" si="39"/>
        <v>0</v>
      </c>
      <c r="F493">
        <f t="shared" si="36"/>
        <v>150</v>
      </c>
      <c r="G493">
        <f>SUM($E$2:E493)</f>
        <v>18650</v>
      </c>
      <c r="H493">
        <f>SUM($D$2:D493)</f>
        <v>48030</v>
      </c>
      <c r="I493">
        <f t="shared" si="37"/>
        <v>1</v>
      </c>
    </row>
    <row r="494" spans="1:9" x14ac:dyDescent="0.25">
      <c r="A494" s="1">
        <v>45419</v>
      </c>
      <c r="B494">
        <f t="shared" si="35"/>
        <v>2</v>
      </c>
      <c r="C494" t="s">
        <v>9</v>
      </c>
      <c r="D494">
        <f t="shared" si="38"/>
        <v>150</v>
      </c>
      <c r="E494">
        <f t="shared" si="39"/>
        <v>0</v>
      </c>
      <c r="F494">
        <f t="shared" si="36"/>
        <v>150</v>
      </c>
      <c r="G494">
        <f>SUM($E$2:E494)</f>
        <v>18650</v>
      </c>
      <c r="H494">
        <f>SUM($D$2:D494)</f>
        <v>48180</v>
      </c>
      <c r="I494">
        <f t="shared" si="37"/>
        <v>1</v>
      </c>
    </row>
    <row r="495" spans="1:9" x14ac:dyDescent="0.25">
      <c r="A495" s="1">
        <v>45420</v>
      </c>
      <c r="B495">
        <f t="shared" si="35"/>
        <v>3</v>
      </c>
      <c r="C495" t="s">
        <v>9</v>
      </c>
      <c r="D495">
        <f t="shared" si="38"/>
        <v>150</v>
      </c>
      <c r="E495">
        <f t="shared" si="39"/>
        <v>0</v>
      </c>
      <c r="F495">
        <f t="shared" si="36"/>
        <v>150</v>
      </c>
      <c r="G495">
        <f>SUM($E$2:E495)</f>
        <v>18650</v>
      </c>
      <c r="H495">
        <f>SUM($D$2:D495)</f>
        <v>48330</v>
      </c>
      <c r="I495">
        <f t="shared" si="37"/>
        <v>1</v>
      </c>
    </row>
    <row r="496" spans="1:9" x14ac:dyDescent="0.25">
      <c r="A496" s="1">
        <v>45421</v>
      </c>
      <c r="B496">
        <f t="shared" si="35"/>
        <v>4</v>
      </c>
      <c r="C496" t="s">
        <v>9</v>
      </c>
      <c r="D496">
        <f t="shared" si="38"/>
        <v>150</v>
      </c>
      <c r="E496">
        <f t="shared" si="39"/>
        <v>0</v>
      </c>
      <c r="F496">
        <f t="shared" si="36"/>
        <v>150</v>
      </c>
      <c r="G496">
        <f>SUM($E$2:E496)</f>
        <v>18650</v>
      </c>
      <c r="H496">
        <f>SUM($D$2:D496)</f>
        <v>48480</v>
      </c>
      <c r="I496">
        <f t="shared" si="37"/>
        <v>1</v>
      </c>
    </row>
    <row r="497" spans="1:9" x14ac:dyDescent="0.25">
      <c r="A497" s="1">
        <v>45422</v>
      </c>
      <c r="B497">
        <f t="shared" si="35"/>
        <v>5</v>
      </c>
      <c r="C497" t="s">
        <v>9</v>
      </c>
      <c r="D497">
        <f t="shared" si="38"/>
        <v>150</v>
      </c>
      <c r="E497">
        <f t="shared" si="39"/>
        <v>0</v>
      </c>
      <c r="F497">
        <f t="shared" si="36"/>
        <v>150</v>
      </c>
      <c r="G497">
        <f>SUM($E$2:E497)</f>
        <v>18650</v>
      </c>
      <c r="H497">
        <f>SUM($D$2:D497)</f>
        <v>48630</v>
      </c>
      <c r="I497">
        <f t="shared" si="37"/>
        <v>1</v>
      </c>
    </row>
    <row r="498" spans="1:9" x14ac:dyDescent="0.25">
      <c r="A498" s="1">
        <v>45423</v>
      </c>
      <c r="B498">
        <f t="shared" si="35"/>
        <v>6</v>
      </c>
      <c r="C498" t="s">
        <v>9</v>
      </c>
      <c r="D498">
        <f t="shared" si="38"/>
        <v>0</v>
      </c>
      <c r="E498">
        <f t="shared" si="39"/>
        <v>0</v>
      </c>
      <c r="F498">
        <f t="shared" si="36"/>
        <v>0</v>
      </c>
      <c r="G498">
        <f>SUM($E$2:E498)</f>
        <v>18650</v>
      </c>
      <c r="H498">
        <f>SUM($D$2:D498)</f>
        <v>48630</v>
      </c>
      <c r="I498">
        <f t="shared" si="37"/>
        <v>1</v>
      </c>
    </row>
    <row r="499" spans="1:9" x14ac:dyDescent="0.25">
      <c r="A499" s="1">
        <v>45424</v>
      </c>
      <c r="B499">
        <f t="shared" si="35"/>
        <v>7</v>
      </c>
      <c r="C499" t="s">
        <v>9</v>
      </c>
      <c r="D499">
        <f t="shared" si="38"/>
        <v>0</v>
      </c>
      <c r="E499">
        <f t="shared" si="39"/>
        <v>150</v>
      </c>
      <c r="F499">
        <f t="shared" si="36"/>
        <v>-150</v>
      </c>
      <c r="G499">
        <f>SUM($E$2:E499)</f>
        <v>18800</v>
      </c>
      <c r="H499">
        <f>SUM($D$2:D499)</f>
        <v>48630</v>
      </c>
      <c r="I499">
        <f t="shared" si="37"/>
        <v>1</v>
      </c>
    </row>
    <row r="500" spans="1:9" x14ac:dyDescent="0.25">
      <c r="A500" s="1">
        <v>45425</v>
      </c>
      <c r="B500">
        <f t="shared" si="35"/>
        <v>1</v>
      </c>
      <c r="C500" t="s">
        <v>9</v>
      </c>
      <c r="D500">
        <f t="shared" si="38"/>
        <v>150</v>
      </c>
      <c r="E500">
        <f t="shared" si="39"/>
        <v>0</v>
      </c>
      <c r="F500">
        <f t="shared" si="36"/>
        <v>150</v>
      </c>
      <c r="G500">
        <f>SUM($E$2:E500)</f>
        <v>18800</v>
      </c>
      <c r="H500">
        <f>SUM($D$2:D500)</f>
        <v>48780</v>
      </c>
      <c r="I500">
        <f t="shared" si="37"/>
        <v>1</v>
      </c>
    </row>
    <row r="501" spans="1:9" x14ac:dyDescent="0.25">
      <c r="A501" s="1">
        <v>45426</v>
      </c>
      <c r="B501">
        <f t="shared" si="35"/>
        <v>2</v>
      </c>
      <c r="C501" t="s">
        <v>9</v>
      </c>
      <c r="D501">
        <f t="shared" si="38"/>
        <v>150</v>
      </c>
      <c r="E501">
        <f t="shared" si="39"/>
        <v>0</v>
      </c>
      <c r="F501">
        <f t="shared" si="36"/>
        <v>150</v>
      </c>
      <c r="G501">
        <f>SUM($E$2:E501)</f>
        <v>18800</v>
      </c>
      <c r="H501">
        <f>SUM($D$2:D501)</f>
        <v>48930</v>
      </c>
      <c r="I501">
        <f t="shared" si="37"/>
        <v>1</v>
      </c>
    </row>
    <row r="502" spans="1:9" x14ac:dyDescent="0.25">
      <c r="A502" s="1">
        <v>45427</v>
      </c>
      <c r="B502">
        <f t="shared" si="35"/>
        <v>3</v>
      </c>
      <c r="C502" t="s">
        <v>9</v>
      </c>
      <c r="D502">
        <f t="shared" si="38"/>
        <v>150</v>
      </c>
      <c r="E502">
        <f t="shared" si="39"/>
        <v>0</v>
      </c>
      <c r="F502">
        <f t="shared" si="36"/>
        <v>150</v>
      </c>
      <c r="G502">
        <f>SUM($E$2:E502)</f>
        <v>18800</v>
      </c>
      <c r="H502">
        <f>SUM($D$2:D502)</f>
        <v>49080</v>
      </c>
      <c r="I502">
        <f t="shared" si="37"/>
        <v>1</v>
      </c>
    </row>
    <row r="503" spans="1:9" x14ac:dyDescent="0.25">
      <c r="A503" s="1">
        <v>45428</v>
      </c>
      <c r="B503">
        <f t="shared" si="35"/>
        <v>4</v>
      </c>
      <c r="C503" t="s">
        <v>9</v>
      </c>
      <c r="D503">
        <f t="shared" si="38"/>
        <v>150</v>
      </c>
      <c r="E503">
        <f t="shared" si="39"/>
        <v>0</v>
      </c>
      <c r="F503">
        <f t="shared" si="36"/>
        <v>150</v>
      </c>
      <c r="G503">
        <f>SUM($E$2:E503)</f>
        <v>18800</v>
      </c>
      <c r="H503">
        <f>SUM($D$2:D503)</f>
        <v>49230</v>
      </c>
      <c r="I503">
        <f t="shared" si="37"/>
        <v>1</v>
      </c>
    </row>
    <row r="504" spans="1:9" x14ac:dyDescent="0.25">
      <c r="A504" s="1">
        <v>45429</v>
      </c>
      <c r="B504">
        <f t="shared" si="35"/>
        <v>5</v>
      </c>
      <c r="C504" t="s">
        <v>9</v>
      </c>
      <c r="D504">
        <f t="shared" si="38"/>
        <v>150</v>
      </c>
      <c r="E504">
        <f t="shared" si="39"/>
        <v>0</v>
      </c>
      <c r="F504">
        <f t="shared" si="36"/>
        <v>150</v>
      </c>
      <c r="G504">
        <f>SUM($E$2:E504)</f>
        <v>18800</v>
      </c>
      <c r="H504">
        <f>SUM($D$2:D504)</f>
        <v>49380</v>
      </c>
      <c r="I504">
        <f t="shared" si="37"/>
        <v>1</v>
      </c>
    </row>
    <row r="505" spans="1:9" x14ac:dyDescent="0.25">
      <c r="A505" s="1">
        <v>45430</v>
      </c>
      <c r="B505">
        <f t="shared" si="35"/>
        <v>6</v>
      </c>
      <c r="C505" t="s">
        <v>9</v>
      </c>
      <c r="D505">
        <f t="shared" si="38"/>
        <v>0</v>
      </c>
      <c r="E505">
        <f t="shared" si="39"/>
        <v>0</v>
      </c>
      <c r="F505">
        <f t="shared" si="36"/>
        <v>0</v>
      </c>
      <c r="G505">
        <f>SUM($E$2:E505)</f>
        <v>18800</v>
      </c>
      <c r="H505">
        <f>SUM($D$2:D505)</f>
        <v>49380</v>
      </c>
      <c r="I505">
        <f t="shared" si="37"/>
        <v>1</v>
      </c>
    </row>
    <row r="506" spans="1:9" x14ac:dyDescent="0.25">
      <c r="A506" s="1">
        <v>45431</v>
      </c>
      <c r="B506">
        <f t="shared" si="35"/>
        <v>7</v>
      </c>
      <c r="C506" t="s">
        <v>9</v>
      </c>
      <c r="D506">
        <f t="shared" si="38"/>
        <v>0</v>
      </c>
      <c r="E506">
        <f t="shared" si="39"/>
        <v>150</v>
      </c>
      <c r="F506">
        <f t="shared" si="36"/>
        <v>-150</v>
      </c>
      <c r="G506">
        <f>SUM($E$2:E506)</f>
        <v>18950</v>
      </c>
      <c r="H506">
        <f>SUM($D$2:D506)</f>
        <v>49380</v>
      </c>
      <c r="I506">
        <f t="shared" si="37"/>
        <v>1</v>
      </c>
    </row>
    <row r="507" spans="1:9" x14ac:dyDescent="0.25">
      <c r="A507" s="1">
        <v>45432</v>
      </c>
      <c r="B507">
        <f t="shared" si="35"/>
        <v>1</v>
      </c>
      <c r="C507" t="s">
        <v>9</v>
      </c>
      <c r="D507">
        <f t="shared" si="38"/>
        <v>150</v>
      </c>
      <c r="E507">
        <f t="shared" si="39"/>
        <v>0</v>
      </c>
      <c r="F507">
        <f t="shared" si="36"/>
        <v>150</v>
      </c>
      <c r="G507">
        <f>SUM($E$2:E507)</f>
        <v>18950</v>
      </c>
      <c r="H507">
        <f>SUM($D$2:D507)</f>
        <v>49530</v>
      </c>
      <c r="I507">
        <f t="shared" si="37"/>
        <v>1</v>
      </c>
    </row>
    <row r="508" spans="1:9" x14ac:dyDescent="0.25">
      <c r="A508" s="1">
        <v>45433</v>
      </c>
      <c r="B508">
        <f t="shared" si="35"/>
        <v>2</v>
      </c>
      <c r="C508" t="s">
        <v>9</v>
      </c>
      <c r="D508">
        <f t="shared" si="38"/>
        <v>150</v>
      </c>
      <c r="E508">
        <f t="shared" si="39"/>
        <v>0</v>
      </c>
      <c r="F508">
        <f t="shared" si="36"/>
        <v>150</v>
      </c>
      <c r="G508">
        <f>SUM($E$2:E508)</f>
        <v>18950</v>
      </c>
      <c r="H508">
        <f>SUM($D$2:D508)</f>
        <v>49680</v>
      </c>
      <c r="I508">
        <f t="shared" si="37"/>
        <v>1</v>
      </c>
    </row>
    <row r="509" spans="1:9" x14ac:dyDescent="0.25">
      <c r="A509" s="1">
        <v>45434</v>
      </c>
      <c r="B509">
        <f t="shared" si="35"/>
        <v>3</v>
      </c>
      <c r="C509" t="s">
        <v>9</v>
      </c>
      <c r="D509">
        <f t="shared" si="38"/>
        <v>150</v>
      </c>
      <c r="E509">
        <f t="shared" si="39"/>
        <v>0</v>
      </c>
      <c r="F509">
        <f t="shared" si="36"/>
        <v>150</v>
      </c>
      <c r="G509">
        <f>SUM($E$2:E509)</f>
        <v>18950</v>
      </c>
      <c r="H509">
        <f>SUM($D$2:D509)</f>
        <v>49830</v>
      </c>
      <c r="I509">
        <f t="shared" si="37"/>
        <v>1</v>
      </c>
    </row>
    <row r="510" spans="1:9" x14ac:dyDescent="0.25">
      <c r="A510" s="1">
        <v>45435</v>
      </c>
      <c r="B510">
        <f t="shared" si="35"/>
        <v>4</v>
      </c>
      <c r="C510" t="s">
        <v>9</v>
      </c>
      <c r="D510">
        <f t="shared" si="38"/>
        <v>150</v>
      </c>
      <c r="E510">
        <f t="shared" si="39"/>
        <v>0</v>
      </c>
      <c r="F510">
        <f t="shared" si="36"/>
        <v>150</v>
      </c>
      <c r="G510">
        <f>SUM($E$2:E510)</f>
        <v>18950</v>
      </c>
      <c r="H510">
        <f>SUM($D$2:D510)</f>
        <v>49980</v>
      </c>
      <c r="I510">
        <f t="shared" si="37"/>
        <v>1</v>
      </c>
    </row>
    <row r="511" spans="1:9" x14ac:dyDescent="0.25">
      <c r="A511" s="1">
        <v>45436</v>
      </c>
      <c r="B511">
        <f t="shared" si="35"/>
        <v>5</v>
      </c>
      <c r="C511" t="s">
        <v>9</v>
      </c>
      <c r="D511">
        <f t="shared" si="38"/>
        <v>150</v>
      </c>
      <c r="E511">
        <f t="shared" si="39"/>
        <v>0</v>
      </c>
      <c r="F511">
        <f t="shared" si="36"/>
        <v>150</v>
      </c>
      <c r="G511">
        <f>SUM($E$2:E511)</f>
        <v>18950</v>
      </c>
      <c r="H511">
        <f>SUM($D$2:D511)</f>
        <v>50130</v>
      </c>
      <c r="I511">
        <f t="shared" si="37"/>
        <v>1</v>
      </c>
    </row>
    <row r="512" spans="1:9" x14ac:dyDescent="0.25">
      <c r="A512" s="1">
        <v>45437</v>
      </c>
      <c r="B512">
        <f t="shared" si="35"/>
        <v>6</v>
      </c>
      <c r="C512" t="s">
        <v>9</v>
      </c>
      <c r="D512">
        <f t="shared" si="38"/>
        <v>0</v>
      </c>
      <c r="E512">
        <f t="shared" si="39"/>
        <v>0</v>
      </c>
      <c r="F512">
        <f t="shared" si="36"/>
        <v>0</v>
      </c>
      <c r="G512">
        <f>SUM($E$2:E512)</f>
        <v>18950</v>
      </c>
      <c r="H512">
        <f>SUM($D$2:D512)</f>
        <v>50130</v>
      </c>
      <c r="I512">
        <f t="shared" si="37"/>
        <v>1</v>
      </c>
    </row>
    <row r="513" spans="1:9" x14ac:dyDescent="0.25">
      <c r="A513" s="1">
        <v>45438</v>
      </c>
      <c r="B513">
        <f t="shared" si="35"/>
        <v>7</v>
      </c>
      <c r="C513" t="s">
        <v>9</v>
      </c>
      <c r="D513">
        <f t="shared" si="38"/>
        <v>0</v>
      </c>
      <c r="E513">
        <f t="shared" si="39"/>
        <v>150</v>
      </c>
      <c r="F513">
        <f t="shared" si="36"/>
        <v>-150</v>
      </c>
      <c r="G513">
        <f>SUM($E$2:E513)</f>
        <v>19100</v>
      </c>
      <c r="H513">
        <f>SUM($D$2:D513)</f>
        <v>50130</v>
      </c>
      <c r="I513">
        <f t="shared" si="37"/>
        <v>1</v>
      </c>
    </row>
    <row r="514" spans="1:9" x14ac:dyDescent="0.25">
      <c r="A514" s="1">
        <v>45439</v>
      </c>
      <c r="B514">
        <f t="shared" si="35"/>
        <v>1</v>
      </c>
      <c r="C514" t="s">
        <v>9</v>
      </c>
      <c r="D514">
        <f t="shared" si="38"/>
        <v>150</v>
      </c>
      <c r="E514">
        <f t="shared" si="39"/>
        <v>0</v>
      </c>
      <c r="F514">
        <f t="shared" si="36"/>
        <v>150</v>
      </c>
      <c r="G514">
        <f>SUM($E$2:E514)</f>
        <v>19100</v>
      </c>
      <c r="H514">
        <f>SUM($D$2:D514)</f>
        <v>50280</v>
      </c>
      <c r="I514">
        <f t="shared" si="37"/>
        <v>1</v>
      </c>
    </row>
    <row r="515" spans="1:9" x14ac:dyDescent="0.25">
      <c r="A515" s="1">
        <v>45440</v>
      </c>
      <c r="B515">
        <f t="shared" ref="B515:B578" si="40">WEEKDAY(A515,2)</f>
        <v>2</v>
      </c>
      <c r="C515" t="s">
        <v>9</v>
      </c>
      <c r="D515">
        <f t="shared" si="38"/>
        <v>150</v>
      </c>
      <c r="E515">
        <f t="shared" si="39"/>
        <v>0</v>
      </c>
      <c r="F515">
        <f t="shared" ref="F515:F578" si="41">D515-E515</f>
        <v>150</v>
      </c>
      <c r="G515">
        <f>SUM($E$2:E515)</f>
        <v>19100</v>
      </c>
      <c r="H515">
        <f>SUM($D$2:D515)</f>
        <v>50430</v>
      </c>
      <c r="I515">
        <f t="shared" ref="I515:I578" si="42">IF(G515&lt;H515,1,0)</f>
        <v>1</v>
      </c>
    </row>
    <row r="516" spans="1:9" x14ac:dyDescent="0.25">
      <c r="A516" s="1">
        <v>45441</v>
      </c>
      <c r="B516">
        <f t="shared" si="40"/>
        <v>3</v>
      </c>
      <c r="C516" t="s">
        <v>9</v>
      </c>
      <c r="D516">
        <f t="shared" ref="D516:D579" si="43">IF(B516&lt;6,$Q$1*VLOOKUP(C516,$S$1:$T$5,2,FALSE)*$Q$3,0)</f>
        <v>150</v>
      </c>
      <c r="E516">
        <f t="shared" ref="E516:E579" si="44">IF(B516=7,$Q$4*$Q$1,0)</f>
        <v>0</v>
      </c>
      <c r="F516">
        <f t="shared" si="41"/>
        <v>150</v>
      </c>
      <c r="G516">
        <f>SUM($E$2:E516)</f>
        <v>19100</v>
      </c>
      <c r="H516">
        <f>SUM($D$2:D516)</f>
        <v>50580</v>
      </c>
      <c r="I516">
        <f t="shared" si="42"/>
        <v>1</v>
      </c>
    </row>
    <row r="517" spans="1:9" x14ac:dyDescent="0.25">
      <c r="A517" s="1">
        <v>45442</v>
      </c>
      <c r="B517">
        <f t="shared" si="40"/>
        <v>4</v>
      </c>
      <c r="C517" t="s">
        <v>9</v>
      </c>
      <c r="D517">
        <f t="shared" si="43"/>
        <v>150</v>
      </c>
      <c r="E517">
        <f t="shared" si="44"/>
        <v>0</v>
      </c>
      <c r="F517">
        <f t="shared" si="41"/>
        <v>150</v>
      </c>
      <c r="G517">
        <f>SUM($E$2:E517)</f>
        <v>19100</v>
      </c>
      <c r="H517">
        <f>SUM($D$2:D517)</f>
        <v>50730</v>
      </c>
      <c r="I517">
        <f t="shared" si="42"/>
        <v>1</v>
      </c>
    </row>
    <row r="518" spans="1:9" x14ac:dyDescent="0.25">
      <c r="A518" s="1">
        <v>45443</v>
      </c>
      <c r="B518">
        <f t="shared" si="40"/>
        <v>5</v>
      </c>
      <c r="C518" t="s">
        <v>9</v>
      </c>
      <c r="D518">
        <f t="shared" si="43"/>
        <v>150</v>
      </c>
      <c r="E518">
        <f t="shared" si="44"/>
        <v>0</v>
      </c>
      <c r="F518">
        <f t="shared" si="41"/>
        <v>150</v>
      </c>
      <c r="G518">
        <f>SUM($E$2:E518)</f>
        <v>19100</v>
      </c>
      <c r="H518">
        <f>SUM($D$2:D518)</f>
        <v>50880</v>
      </c>
      <c r="I518">
        <f t="shared" si="42"/>
        <v>1</v>
      </c>
    </row>
    <row r="519" spans="1:9" x14ac:dyDescent="0.25">
      <c r="A519" s="1">
        <v>45444</v>
      </c>
      <c r="B519">
        <f t="shared" si="40"/>
        <v>6</v>
      </c>
      <c r="C519" t="s">
        <v>9</v>
      </c>
      <c r="D519">
        <f t="shared" si="43"/>
        <v>0</v>
      </c>
      <c r="E519">
        <f t="shared" si="44"/>
        <v>0</v>
      </c>
      <c r="F519">
        <f t="shared" si="41"/>
        <v>0</v>
      </c>
      <c r="G519">
        <f>SUM($E$2:E519)</f>
        <v>19100</v>
      </c>
      <c r="H519">
        <f>SUM($D$2:D519)</f>
        <v>50880</v>
      </c>
      <c r="I519">
        <f t="shared" si="42"/>
        <v>1</v>
      </c>
    </row>
    <row r="520" spans="1:9" x14ac:dyDescent="0.25">
      <c r="A520" s="1">
        <v>45445</v>
      </c>
      <c r="B520">
        <f t="shared" si="40"/>
        <v>7</v>
      </c>
      <c r="C520" t="s">
        <v>9</v>
      </c>
      <c r="D520">
        <f t="shared" si="43"/>
        <v>0</v>
      </c>
      <c r="E520">
        <f t="shared" si="44"/>
        <v>150</v>
      </c>
      <c r="F520">
        <f t="shared" si="41"/>
        <v>-150</v>
      </c>
      <c r="G520">
        <f>SUM($E$2:E520)</f>
        <v>19250</v>
      </c>
      <c r="H520">
        <f>SUM($D$2:D520)</f>
        <v>50880</v>
      </c>
      <c r="I520">
        <f t="shared" si="42"/>
        <v>1</v>
      </c>
    </row>
    <row r="521" spans="1:9" x14ac:dyDescent="0.25">
      <c r="A521" s="1">
        <v>45446</v>
      </c>
      <c r="B521">
        <f t="shared" si="40"/>
        <v>1</v>
      </c>
      <c r="C521" t="s">
        <v>9</v>
      </c>
      <c r="D521">
        <f t="shared" si="43"/>
        <v>150</v>
      </c>
      <c r="E521">
        <f t="shared" si="44"/>
        <v>0</v>
      </c>
      <c r="F521">
        <f t="shared" si="41"/>
        <v>150</v>
      </c>
      <c r="G521">
        <f>SUM($E$2:E521)</f>
        <v>19250</v>
      </c>
      <c r="H521">
        <f>SUM($D$2:D521)</f>
        <v>51030</v>
      </c>
      <c r="I521">
        <f t="shared" si="42"/>
        <v>1</v>
      </c>
    </row>
    <row r="522" spans="1:9" x14ac:dyDescent="0.25">
      <c r="A522" s="1">
        <v>45447</v>
      </c>
      <c r="B522">
        <f t="shared" si="40"/>
        <v>2</v>
      </c>
      <c r="C522" t="s">
        <v>9</v>
      </c>
      <c r="D522">
        <f t="shared" si="43"/>
        <v>150</v>
      </c>
      <c r="E522">
        <f t="shared" si="44"/>
        <v>0</v>
      </c>
      <c r="F522">
        <f t="shared" si="41"/>
        <v>150</v>
      </c>
      <c r="G522">
        <f>SUM($E$2:E522)</f>
        <v>19250</v>
      </c>
      <c r="H522">
        <f>SUM($D$2:D522)</f>
        <v>51180</v>
      </c>
      <c r="I522">
        <f t="shared" si="42"/>
        <v>1</v>
      </c>
    </row>
    <row r="523" spans="1:9" x14ac:dyDescent="0.25">
      <c r="A523" s="1">
        <v>45448</v>
      </c>
      <c r="B523">
        <f t="shared" si="40"/>
        <v>3</v>
      </c>
      <c r="C523" t="s">
        <v>9</v>
      </c>
      <c r="D523">
        <f t="shared" si="43"/>
        <v>150</v>
      </c>
      <c r="E523">
        <f t="shared" si="44"/>
        <v>0</v>
      </c>
      <c r="F523">
        <f t="shared" si="41"/>
        <v>150</v>
      </c>
      <c r="G523">
        <f>SUM($E$2:E523)</f>
        <v>19250</v>
      </c>
      <c r="H523">
        <f>SUM($D$2:D523)</f>
        <v>51330</v>
      </c>
      <c r="I523">
        <f t="shared" si="42"/>
        <v>1</v>
      </c>
    </row>
    <row r="524" spans="1:9" x14ac:dyDescent="0.25">
      <c r="A524" s="1">
        <v>45449</v>
      </c>
      <c r="B524">
        <f t="shared" si="40"/>
        <v>4</v>
      </c>
      <c r="C524" t="s">
        <v>9</v>
      </c>
      <c r="D524">
        <f t="shared" si="43"/>
        <v>150</v>
      </c>
      <c r="E524">
        <f t="shared" si="44"/>
        <v>0</v>
      </c>
      <c r="F524">
        <f t="shared" si="41"/>
        <v>150</v>
      </c>
      <c r="G524">
        <f>SUM($E$2:E524)</f>
        <v>19250</v>
      </c>
      <c r="H524">
        <f>SUM($D$2:D524)</f>
        <v>51480</v>
      </c>
      <c r="I524">
        <f t="shared" si="42"/>
        <v>1</v>
      </c>
    </row>
    <row r="525" spans="1:9" x14ac:dyDescent="0.25">
      <c r="A525" s="1">
        <v>45450</v>
      </c>
      <c r="B525">
        <f t="shared" si="40"/>
        <v>5</v>
      </c>
      <c r="C525" t="s">
        <v>9</v>
      </c>
      <c r="D525">
        <f t="shared" si="43"/>
        <v>150</v>
      </c>
      <c r="E525">
        <f t="shared" si="44"/>
        <v>0</v>
      </c>
      <c r="F525">
        <f t="shared" si="41"/>
        <v>150</v>
      </c>
      <c r="G525">
        <f>SUM($E$2:E525)</f>
        <v>19250</v>
      </c>
      <c r="H525">
        <f>SUM($D$2:D525)</f>
        <v>51630</v>
      </c>
      <c r="I525">
        <f t="shared" si="42"/>
        <v>1</v>
      </c>
    </row>
    <row r="526" spans="1:9" x14ac:dyDescent="0.25">
      <c r="A526" s="1">
        <v>45451</v>
      </c>
      <c r="B526">
        <f t="shared" si="40"/>
        <v>6</v>
      </c>
      <c r="C526" t="s">
        <v>9</v>
      </c>
      <c r="D526">
        <f t="shared" si="43"/>
        <v>0</v>
      </c>
      <c r="E526">
        <f t="shared" si="44"/>
        <v>0</v>
      </c>
      <c r="F526">
        <f t="shared" si="41"/>
        <v>0</v>
      </c>
      <c r="G526">
        <f>SUM($E$2:E526)</f>
        <v>19250</v>
      </c>
      <c r="H526">
        <f>SUM($D$2:D526)</f>
        <v>51630</v>
      </c>
      <c r="I526">
        <f t="shared" si="42"/>
        <v>1</v>
      </c>
    </row>
    <row r="527" spans="1:9" x14ac:dyDescent="0.25">
      <c r="A527" s="1">
        <v>45452</v>
      </c>
      <c r="B527">
        <f t="shared" si="40"/>
        <v>7</v>
      </c>
      <c r="C527" t="s">
        <v>9</v>
      </c>
      <c r="D527">
        <f t="shared" si="43"/>
        <v>0</v>
      </c>
      <c r="E527">
        <f t="shared" si="44"/>
        <v>150</v>
      </c>
      <c r="F527">
        <f t="shared" si="41"/>
        <v>-150</v>
      </c>
      <c r="G527">
        <f>SUM($E$2:E527)</f>
        <v>19400</v>
      </c>
      <c r="H527">
        <f>SUM($D$2:D527)</f>
        <v>51630</v>
      </c>
      <c r="I527">
        <f t="shared" si="42"/>
        <v>1</v>
      </c>
    </row>
    <row r="528" spans="1:9" x14ac:dyDescent="0.25">
      <c r="A528" s="1">
        <v>45453</v>
      </c>
      <c r="B528">
        <f t="shared" si="40"/>
        <v>1</v>
      </c>
      <c r="C528" t="s">
        <v>9</v>
      </c>
      <c r="D528">
        <f t="shared" si="43"/>
        <v>150</v>
      </c>
      <c r="E528">
        <f t="shared" si="44"/>
        <v>0</v>
      </c>
      <c r="F528">
        <f t="shared" si="41"/>
        <v>150</v>
      </c>
      <c r="G528">
        <f>SUM($E$2:E528)</f>
        <v>19400</v>
      </c>
      <c r="H528">
        <f>SUM($D$2:D528)</f>
        <v>51780</v>
      </c>
      <c r="I528">
        <f t="shared" si="42"/>
        <v>1</v>
      </c>
    </row>
    <row r="529" spans="1:9" x14ac:dyDescent="0.25">
      <c r="A529" s="1">
        <v>45454</v>
      </c>
      <c r="B529">
        <f t="shared" si="40"/>
        <v>2</v>
      </c>
      <c r="C529" t="s">
        <v>9</v>
      </c>
      <c r="D529">
        <f t="shared" si="43"/>
        <v>150</v>
      </c>
      <c r="E529">
        <f t="shared" si="44"/>
        <v>0</v>
      </c>
      <c r="F529">
        <f t="shared" si="41"/>
        <v>150</v>
      </c>
      <c r="G529">
        <f>SUM($E$2:E529)</f>
        <v>19400</v>
      </c>
      <c r="H529">
        <f>SUM($D$2:D529)</f>
        <v>51930</v>
      </c>
      <c r="I529">
        <f t="shared" si="42"/>
        <v>1</v>
      </c>
    </row>
    <row r="530" spans="1:9" x14ac:dyDescent="0.25">
      <c r="A530" s="1">
        <v>45455</v>
      </c>
      <c r="B530">
        <f t="shared" si="40"/>
        <v>3</v>
      </c>
      <c r="C530" t="s">
        <v>9</v>
      </c>
      <c r="D530">
        <f t="shared" si="43"/>
        <v>150</v>
      </c>
      <c r="E530">
        <f t="shared" si="44"/>
        <v>0</v>
      </c>
      <c r="F530">
        <f t="shared" si="41"/>
        <v>150</v>
      </c>
      <c r="G530">
        <f>SUM($E$2:E530)</f>
        <v>19400</v>
      </c>
      <c r="H530">
        <f>SUM($D$2:D530)</f>
        <v>52080</v>
      </c>
      <c r="I530">
        <f t="shared" si="42"/>
        <v>1</v>
      </c>
    </row>
    <row r="531" spans="1:9" x14ac:dyDescent="0.25">
      <c r="A531" s="1">
        <v>45456</v>
      </c>
      <c r="B531">
        <f t="shared" si="40"/>
        <v>4</v>
      </c>
      <c r="C531" t="s">
        <v>9</v>
      </c>
      <c r="D531">
        <f t="shared" si="43"/>
        <v>150</v>
      </c>
      <c r="E531">
        <f t="shared" si="44"/>
        <v>0</v>
      </c>
      <c r="F531">
        <f t="shared" si="41"/>
        <v>150</v>
      </c>
      <c r="G531">
        <f>SUM($E$2:E531)</f>
        <v>19400</v>
      </c>
      <c r="H531">
        <f>SUM($D$2:D531)</f>
        <v>52230</v>
      </c>
      <c r="I531">
        <f t="shared" si="42"/>
        <v>1</v>
      </c>
    </row>
    <row r="532" spans="1:9" x14ac:dyDescent="0.25">
      <c r="A532" s="1">
        <v>45457</v>
      </c>
      <c r="B532">
        <f t="shared" si="40"/>
        <v>5</v>
      </c>
      <c r="C532" t="s">
        <v>9</v>
      </c>
      <c r="D532">
        <f t="shared" si="43"/>
        <v>150</v>
      </c>
      <c r="E532">
        <f t="shared" si="44"/>
        <v>0</v>
      </c>
      <c r="F532">
        <f t="shared" si="41"/>
        <v>150</v>
      </c>
      <c r="G532">
        <f>SUM($E$2:E532)</f>
        <v>19400</v>
      </c>
      <c r="H532">
        <f>SUM($D$2:D532)</f>
        <v>52380</v>
      </c>
      <c r="I532">
        <f t="shared" si="42"/>
        <v>1</v>
      </c>
    </row>
    <row r="533" spans="1:9" x14ac:dyDescent="0.25">
      <c r="A533" s="1">
        <v>45458</v>
      </c>
      <c r="B533">
        <f t="shared" si="40"/>
        <v>6</v>
      </c>
      <c r="C533" t="s">
        <v>9</v>
      </c>
      <c r="D533">
        <f t="shared" si="43"/>
        <v>0</v>
      </c>
      <c r="E533">
        <f t="shared" si="44"/>
        <v>0</v>
      </c>
      <c r="F533">
        <f t="shared" si="41"/>
        <v>0</v>
      </c>
      <c r="G533">
        <f>SUM($E$2:E533)</f>
        <v>19400</v>
      </c>
      <c r="H533">
        <f>SUM($D$2:D533)</f>
        <v>52380</v>
      </c>
      <c r="I533">
        <f t="shared" si="42"/>
        <v>1</v>
      </c>
    </row>
    <row r="534" spans="1:9" x14ac:dyDescent="0.25">
      <c r="A534" s="1">
        <v>45459</v>
      </c>
      <c r="B534">
        <f t="shared" si="40"/>
        <v>7</v>
      </c>
      <c r="C534" t="s">
        <v>9</v>
      </c>
      <c r="D534">
        <f t="shared" si="43"/>
        <v>0</v>
      </c>
      <c r="E534">
        <f t="shared" si="44"/>
        <v>150</v>
      </c>
      <c r="F534">
        <f t="shared" si="41"/>
        <v>-150</v>
      </c>
      <c r="G534">
        <f>SUM($E$2:E534)</f>
        <v>19550</v>
      </c>
      <c r="H534">
        <f>SUM($D$2:D534)</f>
        <v>52380</v>
      </c>
      <c r="I534">
        <f t="shared" si="42"/>
        <v>1</v>
      </c>
    </row>
    <row r="535" spans="1:9" x14ac:dyDescent="0.25">
      <c r="A535" s="1">
        <v>45460</v>
      </c>
      <c r="B535">
        <f t="shared" si="40"/>
        <v>1</v>
      </c>
      <c r="C535" t="s">
        <v>9</v>
      </c>
      <c r="D535">
        <f t="shared" si="43"/>
        <v>150</v>
      </c>
      <c r="E535">
        <f t="shared" si="44"/>
        <v>0</v>
      </c>
      <c r="F535">
        <f t="shared" si="41"/>
        <v>150</v>
      </c>
      <c r="G535">
        <f>SUM($E$2:E535)</f>
        <v>19550</v>
      </c>
      <c r="H535">
        <f>SUM($D$2:D535)</f>
        <v>52530</v>
      </c>
      <c r="I535">
        <f t="shared" si="42"/>
        <v>1</v>
      </c>
    </row>
    <row r="536" spans="1:9" x14ac:dyDescent="0.25">
      <c r="A536" s="1">
        <v>45461</v>
      </c>
      <c r="B536">
        <f t="shared" si="40"/>
        <v>2</v>
      </c>
      <c r="C536" t="s">
        <v>9</v>
      </c>
      <c r="D536">
        <f t="shared" si="43"/>
        <v>150</v>
      </c>
      <c r="E536">
        <f t="shared" si="44"/>
        <v>0</v>
      </c>
      <c r="F536">
        <f t="shared" si="41"/>
        <v>150</v>
      </c>
      <c r="G536">
        <f>SUM($E$2:E536)</f>
        <v>19550</v>
      </c>
      <c r="H536">
        <f>SUM($D$2:D536)</f>
        <v>52680</v>
      </c>
      <c r="I536">
        <f t="shared" si="42"/>
        <v>1</v>
      </c>
    </row>
    <row r="537" spans="1:9" x14ac:dyDescent="0.25">
      <c r="A537" s="1">
        <v>45462</v>
      </c>
      <c r="B537">
        <f t="shared" si="40"/>
        <v>3</v>
      </c>
      <c r="C537" t="s">
        <v>9</v>
      </c>
      <c r="D537">
        <f t="shared" si="43"/>
        <v>150</v>
      </c>
      <c r="E537">
        <f t="shared" si="44"/>
        <v>0</v>
      </c>
      <c r="F537">
        <f t="shared" si="41"/>
        <v>150</v>
      </c>
      <c r="G537">
        <f>SUM($E$2:E537)</f>
        <v>19550</v>
      </c>
      <c r="H537">
        <f>SUM($D$2:D537)</f>
        <v>52830</v>
      </c>
      <c r="I537">
        <f t="shared" si="42"/>
        <v>1</v>
      </c>
    </row>
    <row r="538" spans="1:9" x14ac:dyDescent="0.25">
      <c r="A538" s="1">
        <v>45463</v>
      </c>
      <c r="B538">
        <f t="shared" si="40"/>
        <v>4</v>
      </c>
      <c r="C538" t="s">
        <v>9</v>
      </c>
      <c r="D538">
        <f t="shared" si="43"/>
        <v>150</v>
      </c>
      <c r="E538">
        <f t="shared" si="44"/>
        <v>0</v>
      </c>
      <c r="F538">
        <f t="shared" si="41"/>
        <v>150</v>
      </c>
      <c r="G538">
        <f>SUM($E$2:E538)</f>
        <v>19550</v>
      </c>
      <c r="H538">
        <f>SUM($D$2:D538)</f>
        <v>52980</v>
      </c>
      <c r="I538">
        <f t="shared" si="42"/>
        <v>1</v>
      </c>
    </row>
    <row r="539" spans="1:9" x14ac:dyDescent="0.25">
      <c r="A539" s="1">
        <v>45464</v>
      </c>
      <c r="B539">
        <f t="shared" si="40"/>
        <v>5</v>
      </c>
      <c r="C539" t="s">
        <v>10</v>
      </c>
      <c r="D539">
        <f t="shared" si="43"/>
        <v>270</v>
      </c>
      <c r="E539">
        <f t="shared" si="44"/>
        <v>0</v>
      </c>
      <c r="F539">
        <f t="shared" si="41"/>
        <v>270</v>
      </c>
      <c r="G539">
        <f>SUM($E$2:E539)</f>
        <v>19550</v>
      </c>
      <c r="H539">
        <f>SUM($D$2:D539)</f>
        <v>53250</v>
      </c>
      <c r="I539">
        <f t="shared" si="42"/>
        <v>1</v>
      </c>
    </row>
    <row r="540" spans="1:9" x14ac:dyDescent="0.25">
      <c r="A540" s="1">
        <v>45465</v>
      </c>
      <c r="B540">
        <f t="shared" si="40"/>
        <v>6</v>
      </c>
      <c r="C540" t="s">
        <v>10</v>
      </c>
      <c r="D540">
        <f t="shared" si="43"/>
        <v>0</v>
      </c>
      <c r="E540">
        <f t="shared" si="44"/>
        <v>0</v>
      </c>
      <c r="F540">
        <f t="shared" si="41"/>
        <v>0</v>
      </c>
      <c r="G540">
        <f>SUM($E$2:E540)</f>
        <v>19550</v>
      </c>
      <c r="H540">
        <f>SUM($D$2:D540)</f>
        <v>53250</v>
      </c>
      <c r="I540">
        <f t="shared" si="42"/>
        <v>1</v>
      </c>
    </row>
    <row r="541" spans="1:9" x14ac:dyDescent="0.25">
      <c r="A541" s="1">
        <v>45466</v>
      </c>
      <c r="B541">
        <f t="shared" si="40"/>
        <v>7</v>
      </c>
      <c r="C541" t="s">
        <v>10</v>
      </c>
      <c r="D541">
        <f t="shared" si="43"/>
        <v>0</v>
      </c>
      <c r="E541">
        <f t="shared" si="44"/>
        <v>150</v>
      </c>
      <c r="F541">
        <f t="shared" si="41"/>
        <v>-150</v>
      </c>
      <c r="G541">
        <f>SUM($E$2:E541)</f>
        <v>19700</v>
      </c>
      <c r="H541">
        <f>SUM($D$2:D541)</f>
        <v>53250</v>
      </c>
      <c r="I541">
        <f t="shared" si="42"/>
        <v>1</v>
      </c>
    </row>
    <row r="542" spans="1:9" x14ac:dyDescent="0.25">
      <c r="A542" s="1">
        <v>45467</v>
      </c>
      <c r="B542">
        <f t="shared" si="40"/>
        <v>1</v>
      </c>
      <c r="C542" t="s">
        <v>10</v>
      </c>
      <c r="D542">
        <f t="shared" si="43"/>
        <v>270</v>
      </c>
      <c r="E542">
        <f t="shared" si="44"/>
        <v>0</v>
      </c>
      <c r="F542">
        <f t="shared" si="41"/>
        <v>270</v>
      </c>
      <c r="G542">
        <f>SUM($E$2:E542)</f>
        <v>19700</v>
      </c>
      <c r="H542">
        <f>SUM($D$2:D542)</f>
        <v>53520</v>
      </c>
      <c r="I542">
        <f t="shared" si="42"/>
        <v>1</v>
      </c>
    </row>
    <row r="543" spans="1:9" x14ac:dyDescent="0.25">
      <c r="A543" s="1">
        <v>45468</v>
      </c>
      <c r="B543">
        <f t="shared" si="40"/>
        <v>2</v>
      </c>
      <c r="C543" t="s">
        <v>10</v>
      </c>
      <c r="D543">
        <f t="shared" si="43"/>
        <v>270</v>
      </c>
      <c r="E543">
        <f t="shared" si="44"/>
        <v>0</v>
      </c>
      <c r="F543">
        <f t="shared" si="41"/>
        <v>270</v>
      </c>
      <c r="G543">
        <f>SUM($E$2:E543)</f>
        <v>19700</v>
      </c>
      <c r="H543">
        <f>SUM($D$2:D543)</f>
        <v>53790</v>
      </c>
      <c r="I543">
        <f t="shared" si="42"/>
        <v>1</v>
      </c>
    </row>
    <row r="544" spans="1:9" x14ac:dyDescent="0.25">
      <c r="A544" s="1">
        <v>45469</v>
      </c>
      <c r="B544">
        <f t="shared" si="40"/>
        <v>3</v>
      </c>
      <c r="C544" t="s">
        <v>10</v>
      </c>
      <c r="D544">
        <f t="shared" si="43"/>
        <v>270</v>
      </c>
      <c r="E544">
        <f t="shared" si="44"/>
        <v>0</v>
      </c>
      <c r="F544">
        <f t="shared" si="41"/>
        <v>270</v>
      </c>
      <c r="G544">
        <f>SUM($E$2:E544)</f>
        <v>19700</v>
      </c>
      <c r="H544">
        <f>SUM($D$2:D544)</f>
        <v>54060</v>
      </c>
      <c r="I544">
        <f t="shared" si="42"/>
        <v>1</v>
      </c>
    </row>
    <row r="545" spans="1:9" x14ac:dyDescent="0.25">
      <c r="A545" s="1">
        <v>45470</v>
      </c>
      <c r="B545">
        <f t="shared" si="40"/>
        <v>4</v>
      </c>
      <c r="C545" t="s">
        <v>10</v>
      </c>
      <c r="D545">
        <f t="shared" si="43"/>
        <v>270</v>
      </c>
      <c r="E545">
        <f t="shared" si="44"/>
        <v>0</v>
      </c>
      <c r="F545">
        <f t="shared" si="41"/>
        <v>270</v>
      </c>
      <c r="G545">
        <f>SUM($E$2:E545)</f>
        <v>19700</v>
      </c>
      <c r="H545">
        <f>SUM($D$2:D545)</f>
        <v>54330</v>
      </c>
      <c r="I545">
        <f t="shared" si="42"/>
        <v>1</v>
      </c>
    </row>
    <row r="546" spans="1:9" x14ac:dyDescent="0.25">
      <c r="A546" s="1">
        <v>45471</v>
      </c>
      <c r="B546">
        <f t="shared" si="40"/>
        <v>5</v>
      </c>
      <c r="C546" t="s">
        <v>10</v>
      </c>
      <c r="D546">
        <f t="shared" si="43"/>
        <v>270</v>
      </c>
      <c r="E546">
        <f t="shared" si="44"/>
        <v>0</v>
      </c>
      <c r="F546">
        <f t="shared" si="41"/>
        <v>270</v>
      </c>
      <c r="G546">
        <f>SUM($E$2:E546)</f>
        <v>19700</v>
      </c>
      <c r="H546">
        <f>SUM($D$2:D546)</f>
        <v>54600</v>
      </c>
      <c r="I546">
        <f t="shared" si="42"/>
        <v>1</v>
      </c>
    </row>
    <row r="547" spans="1:9" x14ac:dyDescent="0.25">
      <c r="A547" s="1">
        <v>45472</v>
      </c>
      <c r="B547">
        <f t="shared" si="40"/>
        <v>6</v>
      </c>
      <c r="C547" t="s">
        <v>10</v>
      </c>
      <c r="D547">
        <f t="shared" si="43"/>
        <v>0</v>
      </c>
      <c r="E547">
        <f t="shared" si="44"/>
        <v>0</v>
      </c>
      <c r="F547">
        <f t="shared" si="41"/>
        <v>0</v>
      </c>
      <c r="G547">
        <f>SUM($E$2:E547)</f>
        <v>19700</v>
      </c>
      <c r="H547">
        <f>SUM($D$2:D547)</f>
        <v>54600</v>
      </c>
      <c r="I547">
        <f t="shared" si="42"/>
        <v>1</v>
      </c>
    </row>
    <row r="548" spans="1:9" x14ac:dyDescent="0.25">
      <c r="A548" s="1">
        <v>45473</v>
      </c>
      <c r="B548">
        <f t="shared" si="40"/>
        <v>7</v>
      </c>
      <c r="C548" t="s">
        <v>10</v>
      </c>
      <c r="D548">
        <f t="shared" si="43"/>
        <v>0</v>
      </c>
      <c r="E548">
        <f t="shared" si="44"/>
        <v>150</v>
      </c>
      <c r="F548">
        <f t="shared" si="41"/>
        <v>-150</v>
      </c>
      <c r="G548">
        <f>SUM($E$2:E548)</f>
        <v>19850</v>
      </c>
      <c r="H548">
        <f>SUM($D$2:D548)</f>
        <v>54600</v>
      </c>
      <c r="I548">
        <f t="shared" si="42"/>
        <v>1</v>
      </c>
    </row>
    <row r="549" spans="1:9" x14ac:dyDescent="0.25">
      <c r="A549" s="1">
        <v>45474</v>
      </c>
      <c r="B549">
        <f t="shared" si="40"/>
        <v>1</v>
      </c>
      <c r="C549" t="s">
        <v>10</v>
      </c>
      <c r="D549">
        <f t="shared" si="43"/>
        <v>270</v>
      </c>
      <c r="E549">
        <f t="shared" si="44"/>
        <v>0</v>
      </c>
      <c r="F549">
        <f t="shared" si="41"/>
        <v>270</v>
      </c>
      <c r="G549">
        <f>SUM($E$2:E549)</f>
        <v>19850</v>
      </c>
      <c r="H549">
        <f>SUM($D$2:D549)</f>
        <v>54870</v>
      </c>
      <c r="I549">
        <f t="shared" si="42"/>
        <v>1</v>
      </c>
    </row>
    <row r="550" spans="1:9" x14ac:dyDescent="0.25">
      <c r="A550" s="1">
        <v>45475</v>
      </c>
      <c r="B550">
        <f t="shared" si="40"/>
        <v>2</v>
      </c>
      <c r="C550" t="s">
        <v>10</v>
      </c>
      <c r="D550">
        <f t="shared" si="43"/>
        <v>270</v>
      </c>
      <c r="E550">
        <f t="shared" si="44"/>
        <v>0</v>
      </c>
      <c r="F550">
        <f t="shared" si="41"/>
        <v>270</v>
      </c>
      <c r="G550">
        <f>SUM($E$2:E550)</f>
        <v>19850</v>
      </c>
      <c r="H550">
        <f>SUM($D$2:D550)</f>
        <v>55140</v>
      </c>
      <c r="I550">
        <f t="shared" si="42"/>
        <v>1</v>
      </c>
    </row>
    <row r="551" spans="1:9" x14ac:dyDescent="0.25">
      <c r="A551" s="1">
        <v>45476</v>
      </c>
      <c r="B551">
        <f t="shared" si="40"/>
        <v>3</v>
      </c>
      <c r="C551" t="s">
        <v>10</v>
      </c>
      <c r="D551">
        <f t="shared" si="43"/>
        <v>270</v>
      </c>
      <c r="E551">
        <f t="shared" si="44"/>
        <v>0</v>
      </c>
      <c r="F551">
        <f t="shared" si="41"/>
        <v>270</v>
      </c>
      <c r="G551">
        <f>SUM($E$2:E551)</f>
        <v>19850</v>
      </c>
      <c r="H551">
        <f>SUM($D$2:D551)</f>
        <v>55410</v>
      </c>
      <c r="I551">
        <f t="shared" si="42"/>
        <v>1</v>
      </c>
    </row>
    <row r="552" spans="1:9" x14ac:dyDescent="0.25">
      <c r="A552" s="1">
        <v>45477</v>
      </c>
      <c r="B552">
        <f t="shared" si="40"/>
        <v>4</v>
      </c>
      <c r="C552" t="s">
        <v>10</v>
      </c>
      <c r="D552">
        <f t="shared" si="43"/>
        <v>270</v>
      </c>
      <c r="E552">
        <f t="shared" si="44"/>
        <v>0</v>
      </c>
      <c r="F552">
        <f t="shared" si="41"/>
        <v>270</v>
      </c>
      <c r="G552">
        <f>SUM($E$2:E552)</f>
        <v>19850</v>
      </c>
      <c r="H552">
        <f>SUM($D$2:D552)</f>
        <v>55680</v>
      </c>
      <c r="I552">
        <f t="shared" si="42"/>
        <v>1</v>
      </c>
    </row>
    <row r="553" spans="1:9" x14ac:dyDescent="0.25">
      <c r="A553" s="1">
        <v>45478</v>
      </c>
      <c r="B553">
        <f t="shared" si="40"/>
        <v>5</v>
      </c>
      <c r="C553" t="s">
        <v>10</v>
      </c>
      <c r="D553">
        <f t="shared" si="43"/>
        <v>270</v>
      </c>
      <c r="E553">
        <f t="shared" si="44"/>
        <v>0</v>
      </c>
      <c r="F553">
        <f t="shared" si="41"/>
        <v>270</v>
      </c>
      <c r="G553">
        <f>SUM($E$2:E553)</f>
        <v>19850</v>
      </c>
      <c r="H553">
        <f>SUM($D$2:D553)</f>
        <v>55950</v>
      </c>
      <c r="I553">
        <f t="shared" si="42"/>
        <v>1</v>
      </c>
    </row>
    <row r="554" spans="1:9" x14ac:dyDescent="0.25">
      <c r="A554" s="1">
        <v>45479</v>
      </c>
      <c r="B554">
        <f t="shared" si="40"/>
        <v>6</v>
      </c>
      <c r="C554" t="s">
        <v>10</v>
      </c>
      <c r="D554">
        <f t="shared" si="43"/>
        <v>0</v>
      </c>
      <c r="E554">
        <f t="shared" si="44"/>
        <v>0</v>
      </c>
      <c r="F554">
        <f t="shared" si="41"/>
        <v>0</v>
      </c>
      <c r="G554">
        <f>SUM($E$2:E554)</f>
        <v>19850</v>
      </c>
      <c r="H554">
        <f>SUM($D$2:D554)</f>
        <v>55950</v>
      </c>
      <c r="I554">
        <f t="shared" si="42"/>
        <v>1</v>
      </c>
    </row>
    <row r="555" spans="1:9" x14ac:dyDescent="0.25">
      <c r="A555" s="1">
        <v>45480</v>
      </c>
      <c r="B555">
        <f t="shared" si="40"/>
        <v>7</v>
      </c>
      <c r="C555" t="s">
        <v>10</v>
      </c>
      <c r="D555">
        <f t="shared" si="43"/>
        <v>0</v>
      </c>
      <c r="E555">
        <f t="shared" si="44"/>
        <v>150</v>
      </c>
      <c r="F555">
        <f t="shared" si="41"/>
        <v>-150</v>
      </c>
      <c r="G555">
        <f>SUM($E$2:E555)</f>
        <v>20000</v>
      </c>
      <c r="H555">
        <f>SUM($D$2:D555)</f>
        <v>55950</v>
      </c>
      <c r="I555">
        <f t="shared" si="42"/>
        <v>1</v>
      </c>
    </row>
    <row r="556" spans="1:9" x14ac:dyDescent="0.25">
      <c r="A556" s="1">
        <v>45481</v>
      </c>
      <c r="B556">
        <f t="shared" si="40"/>
        <v>1</v>
      </c>
      <c r="C556" t="s">
        <v>10</v>
      </c>
      <c r="D556">
        <f t="shared" si="43"/>
        <v>270</v>
      </c>
      <c r="E556">
        <f t="shared" si="44"/>
        <v>0</v>
      </c>
      <c r="F556">
        <f t="shared" si="41"/>
        <v>270</v>
      </c>
      <c r="G556">
        <f>SUM($E$2:E556)</f>
        <v>20000</v>
      </c>
      <c r="H556">
        <f>SUM($D$2:D556)</f>
        <v>56220</v>
      </c>
      <c r="I556">
        <f t="shared" si="42"/>
        <v>1</v>
      </c>
    </row>
    <row r="557" spans="1:9" x14ac:dyDescent="0.25">
      <c r="A557" s="1">
        <v>45482</v>
      </c>
      <c r="B557">
        <f t="shared" si="40"/>
        <v>2</v>
      </c>
      <c r="C557" t="s">
        <v>10</v>
      </c>
      <c r="D557">
        <f t="shared" si="43"/>
        <v>270</v>
      </c>
      <c r="E557">
        <f t="shared" si="44"/>
        <v>0</v>
      </c>
      <c r="F557">
        <f t="shared" si="41"/>
        <v>270</v>
      </c>
      <c r="G557">
        <f>SUM($E$2:E557)</f>
        <v>20000</v>
      </c>
      <c r="H557">
        <f>SUM($D$2:D557)</f>
        <v>56490</v>
      </c>
      <c r="I557">
        <f t="shared" si="42"/>
        <v>1</v>
      </c>
    </row>
    <row r="558" spans="1:9" x14ac:dyDescent="0.25">
      <c r="A558" s="1">
        <v>45483</v>
      </c>
      <c r="B558">
        <f t="shared" si="40"/>
        <v>3</v>
      </c>
      <c r="C558" t="s">
        <v>10</v>
      </c>
      <c r="D558">
        <f t="shared" si="43"/>
        <v>270</v>
      </c>
      <c r="E558">
        <f t="shared" si="44"/>
        <v>0</v>
      </c>
      <c r="F558">
        <f t="shared" si="41"/>
        <v>270</v>
      </c>
      <c r="G558">
        <f>SUM($E$2:E558)</f>
        <v>20000</v>
      </c>
      <c r="H558">
        <f>SUM($D$2:D558)</f>
        <v>56760</v>
      </c>
      <c r="I558">
        <f t="shared" si="42"/>
        <v>1</v>
      </c>
    </row>
    <row r="559" spans="1:9" x14ac:dyDescent="0.25">
      <c r="A559" s="1">
        <v>45484</v>
      </c>
      <c r="B559">
        <f t="shared" si="40"/>
        <v>4</v>
      </c>
      <c r="C559" t="s">
        <v>10</v>
      </c>
      <c r="D559">
        <f t="shared" si="43"/>
        <v>270</v>
      </c>
      <c r="E559">
        <f t="shared" si="44"/>
        <v>0</v>
      </c>
      <c r="F559">
        <f t="shared" si="41"/>
        <v>270</v>
      </c>
      <c r="G559">
        <f>SUM($E$2:E559)</f>
        <v>20000</v>
      </c>
      <c r="H559">
        <f>SUM($D$2:D559)</f>
        <v>57030</v>
      </c>
      <c r="I559">
        <f t="shared" si="42"/>
        <v>1</v>
      </c>
    </row>
    <row r="560" spans="1:9" x14ac:dyDescent="0.25">
      <c r="A560" s="1">
        <v>45485</v>
      </c>
      <c r="B560">
        <f t="shared" si="40"/>
        <v>5</v>
      </c>
      <c r="C560" t="s">
        <v>10</v>
      </c>
      <c r="D560">
        <f t="shared" si="43"/>
        <v>270</v>
      </c>
      <c r="E560">
        <f t="shared" si="44"/>
        <v>0</v>
      </c>
      <c r="F560">
        <f t="shared" si="41"/>
        <v>270</v>
      </c>
      <c r="G560">
        <f>SUM($E$2:E560)</f>
        <v>20000</v>
      </c>
      <c r="H560">
        <f>SUM($D$2:D560)</f>
        <v>57300</v>
      </c>
      <c r="I560">
        <f t="shared" si="42"/>
        <v>1</v>
      </c>
    </row>
    <row r="561" spans="1:9" x14ac:dyDescent="0.25">
      <c r="A561" s="1">
        <v>45486</v>
      </c>
      <c r="B561">
        <f t="shared" si="40"/>
        <v>6</v>
      </c>
      <c r="C561" t="s">
        <v>10</v>
      </c>
      <c r="D561">
        <f t="shared" si="43"/>
        <v>0</v>
      </c>
      <c r="E561">
        <f t="shared" si="44"/>
        <v>0</v>
      </c>
      <c r="F561">
        <f t="shared" si="41"/>
        <v>0</v>
      </c>
      <c r="G561">
        <f>SUM($E$2:E561)</f>
        <v>20000</v>
      </c>
      <c r="H561">
        <f>SUM($D$2:D561)</f>
        <v>57300</v>
      </c>
      <c r="I561">
        <f t="shared" si="42"/>
        <v>1</v>
      </c>
    </row>
    <row r="562" spans="1:9" x14ac:dyDescent="0.25">
      <c r="A562" s="1">
        <v>45487</v>
      </c>
      <c r="B562">
        <f t="shared" si="40"/>
        <v>7</v>
      </c>
      <c r="C562" t="s">
        <v>10</v>
      </c>
      <c r="D562">
        <f t="shared" si="43"/>
        <v>0</v>
      </c>
      <c r="E562">
        <f t="shared" si="44"/>
        <v>150</v>
      </c>
      <c r="F562">
        <f t="shared" si="41"/>
        <v>-150</v>
      </c>
      <c r="G562">
        <f>SUM($E$2:E562)</f>
        <v>20150</v>
      </c>
      <c r="H562">
        <f>SUM($D$2:D562)</f>
        <v>57300</v>
      </c>
      <c r="I562">
        <f t="shared" si="42"/>
        <v>1</v>
      </c>
    </row>
    <row r="563" spans="1:9" x14ac:dyDescent="0.25">
      <c r="A563" s="1">
        <v>45488</v>
      </c>
      <c r="B563">
        <f t="shared" si="40"/>
        <v>1</v>
      </c>
      <c r="C563" t="s">
        <v>10</v>
      </c>
      <c r="D563">
        <f t="shared" si="43"/>
        <v>270</v>
      </c>
      <c r="E563">
        <f t="shared" si="44"/>
        <v>0</v>
      </c>
      <c r="F563">
        <f t="shared" si="41"/>
        <v>270</v>
      </c>
      <c r="G563">
        <f>SUM($E$2:E563)</f>
        <v>20150</v>
      </c>
      <c r="H563">
        <f>SUM($D$2:D563)</f>
        <v>57570</v>
      </c>
      <c r="I563">
        <f t="shared" si="42"/>
        <v>1</v>
      </c>
    </row>
    <row r="564" spans="1:9" x14ac:dyDescent="0.25">
      <c r="A564" s="1">
        <v>45489</v>
      </c>
      <c r="B564">
        <f t="shared" si="40"/>
        <v>2</v>
      </c>
      <c r="C564" t="s">
        <v>10</v>
      </c>
      <c r="D564">
        <f t="shared" si="43"/>
        <v>270</v>
      </c>
      <c r="E564">
        <f t="shared" si="44"/>
        <v>0</v>
      </c>
      <c r="F564">
        <f t="shared" si="41"/>
        <v>270</v>
      </c>
      <c r="G564">
        <f>SUM($E$2:E564)</f>
        <v>20150</v>
      </c>
      <c r="H564">
        <f>SUM($D$2:D564)</f>
        <v>57840</v>
      </c>
      <c r="I564">
        <f t="shared" si="42"/>
        <v>1</v>
      </c>
    </row>
    <row r="565" spans="1:9" x14ac:dyDescent="0.25">
      <c r="A565" s="1">
        <v>45490</v>
      </c>
      <c r="B565">
        <f t="shared" si="40"/>
        <v>3</v>
      </c>
      <c r="C565" t="s">
        <v>10</v>
      </c>
      <c r="D565">
        <f t="shared" si="43"/>
        <v>270</v>
      </c>
      <c r="E565">
        <f t="shared" si="44"/>
        <v>0</v>
      </c>
      <c r="F565">
        <f t="shared" si="41"/>
        <v>270</v>
      </c>
      <c r="G565">
        <f>SUM($E$2:E565)</f>
        <v>20150</v>
      </c>
      <c r="H565">
        <f>SUM($D$2:D565)</f>
        <v>58110</v>
      </c>
      <c r="I565">
        <f t="shared" si="42"/>
        <v>1</v>
      </c>
    </row>
    <row r="566" spans="1:9" x14ac:dyDescent="0.25">
      <c r="A566" s="1">
        <v>45491</v>
      </c>
      <c r="B566">
        <f t="shared" si="40"/>
        <v>4</v>
      </c>
      <c r="C566" t="s">
        <v>10</v>
      </c>
      <c r="D566">
        <f t="shared" si="43"/>
        <v>270</v>
      </c>
      <c r="E566">
        <f t="shared" si="44"/>
        <v>0</v>
      </c>
      <c r="F566">
        <f t="shared" si="41"/>
        <v>270</v>
      </c>
      <c r="G566">
        <f>SUM($E$2:E566)</f>
        <v>20150</v>
      </c>
      <c r="H566">
        <f>SUM($D$2:D566)</f>
        <v>58380</v>
      </c>
      <c r="I566">
        <f t="shared" si="42"/>
        <v>1</v>
      </c>
    </row>
    <row r="567" spans="1:9" x14ac:dyDescent="0.25">
      <c r="A567" s="1">
        <v>45492</v>
      </c>
      <c r="B567">
        <f t="shared" si="40"/>
        <v>5</v>
      </c>
      <c r="C567" t="s">
        <v>10</v>
      </c>
      <c r="D567">
        <f t="shared" si="43"/>
        <v>270</v>
      </c>
      <c r="E567">
        <f t="shared" si="44"/>
        <v>0</v>
      </c>
      <c r="F567">
        <f t="shared" si="41"/>
        <v>270</v>
      </c>
      <c r="G567">
        <f>SUM($E$2:E567)</f>
        <v>20150</v>
      </c>
      <c r="H567">
        <f>SUM($D$2:D567)</f>
        <v>58650</v>
      </c>
      <c r="I567">
        <f t="shared" si="42"/>
        <v>1</v>
      </c>
    </row>
    <row r="568" spans="1:9" x14ac:dyDescent="0.25">
      <c r="A568" s="1">
        <v>45493</v>
      </c>
      <c r="B568">
        <f t="shared" si="40"/>
        <v>6</v>
      </c>
      <c r="C568" t="s">
        <v>10</v>
      </c>
      <c r="D568">
        <f t="shared" si="43"/>
        <v>0</v>
      </c>
      <c r="E568">
        <f t="shared" si="44"/>
        <v>0</v>
      </c>
      <c r="F568">
        <f t="shared" si="41"/>
        <v>0</v>
      </c>
      <c r="G568">
        <f>SUM($E$2:E568)</f>
        <v>20150</v>
      </c>
      <c r="H568">
        <f>SUM($D$2:D568)</f>
        <v>58650</v>
      </c>
      <c r="I568">
        <f t="shared" si="42"/>
        <v>1</v>
      </c>
    </row>
    <row r="569" spans="1:9" x14ac:dyDescent="0.25">
      <c r="A569" s="1">
        <v>45494</v>
      </c>
      <c r="B569">
        <f t="shared" si="40"/>
        <v>7</v>
      </c>
      <c r="C569" t="s">
        <v>10</v>
      </c>
      <c r="D569">
        <f t="shared" si="43"/>
        <v>0</v>
      </c>
      <c r="E569">
        <f t="shared" si="44"/>
        <v>150</v>
      </c>
      <c r="F569">
        <f t="shared" si="41"/>
        <v>-150</v>
      </c>
      <c r="G569">
        <f>SUM($E$2:E569)</f>
        <v>20300</v>
      </c>
      <c r="H569">
        <f>SUM($D$2:D569)</f>
        <v>58650</v>
      </c>
      <c r="I569">
        <f t="shared" si="42"/>
        <v>1</v>
      </c>
    </row>
    <row r="570" spans="1:9" x14ac:dyDescent="0.25">
      <c r="A570" s="1">
        <v>45495</v>
      </c>
      <c r="B570">
        <f t="shared" si="40"/>
        <v>1</v>
      </c>
      <c r="C570" t="s">
        <v>10</v>
      </c>
      <c r="D570">
        <f t="shared" si="43"/>
        <v>270</v>
      </c>
      <c r="E570">
        <f t="shared" si="44"/>
        <v>0</v>
      </c>
      <c r="F570">
        <f t="shared" si="41"/>
        <v>270</v>
      </c>
      <c r="G570">
        <f>SUM($E$2:E570)</f>
        <v>20300</v>
      </c>
      <c r="H570">
        <f>SUM($D$2:D570)</f>
        <v>58920</v>
      </c>
      <c r="I570">
        <f t="shared" si="42"/>
        <v>1</v>
      </c>
    </row>
    <row r="571" spans="1:9" x14ac:dyDescent="0.25">
      <c r="A571" s="1">
        <v>45496</v>
      </c>
      <c r="B571">
        <f t="shared" si="40"/>
        <v>2</v>
      </c>
      <c r="C571" t="s">
        <v>10</v>
      </c>
      <c r="D571">
        <f t="shared" si="43"/>
        <v>270</v>
      </c>
      <c r="E571">
        <f t="shared" si="44"/>
        <v>0</v>
      </c>
      <c r="F571">
        <f t="shared" si="41"/>
        <v>270</v>
      </c>
      <c r="G571">
        <f>SUM($E$2:E571)</f>
        <v>20300</v>
      </c>
      <c r="H571">
        <f>SUM($D$2:D571)</f>
        <v>59190</v>
      </c>
      <c r="I571">
        <f t="shared" si="42"/>
        <v>1</v>
      </c>
    </row>
    <row r="572" spans="1:9" x14ac:dyDescent="0.25">
      <c r="A572" s="1">
        <v>45497</v>
      </c>
      <c r="B572">
        <f t="shared" si="40"/>
        <v>3</v>
      </c>
      <c r="C572" t="s">
        <v>10</v>
      </c>
      <c r="D572">
        <f t="shared" si="43"/>
        <v>270</v>
      </c>
      <c r="E572">
        <f t="shared" si="44"/>
        <v>0</v>
      </c>
      <c r="F572">
        <f t="shared" si="41"/>
        <v>270</v>
      </c>
      <c r="G572">
        <f>SUM($E$2:E572)</f>
        <v>20300</v>
      </c>
      <c r="H572">
        <f>SUM($D$2:D572)</f>
        <v>59460</v>
      </c>
      <c r="I572">
        <f t="shared" si="42"/>
        <v>1</v>
      </c>
    </row>
    <row r="573" spans="1:9" x14ac:dyDescent="0.25">
      <c r="A573" s="1">
        <v>45498</v>
      </c>
      <c r="B573">
        <f t="shared" si="40"/>
        <v>4</v>
      </c>
      <c r="C573" t="s">
        <v>10</v>
      </c>
      <c r="D573">
        <f t="shared" si="43"/>
        <v>270</v>
      </c>
      <c r="E573">
        <f t="shared" si="44"/>
        <v>0</v>
      </c>
      <c r="F573">
        <f t="shared" si="41"/>
        <v>270</v>
      </c>
      <c r="G573">
        <f>SUM($E$2:E573)</f>
        <v>20300</v>
      </c>
      <c r="H573">
        <f>SUM($D$2:D573)</f>
        <v>59730</v>
      </c>
      <c r="I573">
        <f t="shared" si="42"/>
        <v>1</v>
      </c>
    </row>
    <row r="574" spans="1:9" x14ac:dyDescent="0.25">
      <c r="A574" s="1">
        <v>45499</v>
      </c>
      <c r="B574">
        <f t="shared" si="40"/>
        <v>5</v>
      </c>
      <c r="C574" t="s">
        <v>10</v>
      </c>
      <c r="D574">
        <f t="shared" si="43"/>
        <v>270</v>
      </c>
      <c r="E574">
        <f t="shared" si="44"/>
        <v>0</v>
      </c>
      <c r="F574">
        <f t="shared" si="41"/>
        <v>270</v>
      </c>
      <c r="G574">
        <f>SUM($E$2:E574)</f>
        <v>20300</v>
      </c>
      <c r="H574">
        <f>SUM($D$2:D574)</f>
        <v>60000</v>
      </c>
      <c r="I574">
        <f t="shared" si="42"/>
        <v>1</v>
      </c>
    </row>
    <row r="575" spans="1:9" x14ac:dyDescent="0.25">
      <c r="A575" s="1">
        <v>45500</v>
      </c>
      <c r="B575">
        <f t="shared" si="40"/>
        <v>6</v>
      </c>
      <c r="C575" t="s">
        <v>10</v>
      </c>
      <c r="D575">
        <f t="shared" si="43"/>
        <v>0</v>
      </c>
      <c r="E575">
        <f t="shared" si="44"/>
        <v>0</v>
      </c>
      <c r="F575">
        <f t="shared" si="41"/>
        <v>0</v>
      </c>
      <c r="G575">
        <f>SUM($E$2:E575)</f>
        <v>20300</v>
      </c>
      <c r="H575">
        <f>SUM($D$2:D575)</f>
        <v>60000</v>
      </c>
      <c r="I575">
        <f t="shared" si="42"/>
        <v>1</v>
      </c>
    </row>
    <row r="576" spans="1:9" x14ac:dyDescent="0.25">
      <c r="A576" s="1">
        <v>45501</v>
      </c>
      <c r="B576">
        <f t="shared" si="40"/>
        <v>7</v>
      </c>
      <c r="C576" t="s">
        <v>10</v>
      </c>
      <c r="D576">
        <f t="shared" si="43"/>
        <v>0</v>
      </c>
      <c r="E576">
        <f t="shared" si="44"/>
        <v>150</v>
      </c>
      <c r="F576">
        <f t="shared" si="41"/>
        <v>-150</v>
      </c>
      <c r="G576">
        <f>SUM($E$2:E576)</f>
        <v>20450</v>
      </c>
      <c r="H576">
        <f>SUM($D$2:D576)</f>
        <v>60000</v>
      </c>
      <c r="I576">
        <f t="shared" si="42"/>
        <v>1</v>
      </c>
    </row>
    <row r="577" spans="1:9" x14ac:dyDescent="0.25">
      <c r="A577" s="1">
        <v>45502</v>
      </c>
      <c r="B577">
        <f t="shared" si="40"/>
        <v>1</v>
      </c>
      <c r="C577" t="s">
        <v>10</v>
      </c>
      <c r="D577">
        <f t="shared" si="43"/>
        <v>270</v>
      </c>
      <c r="E577">
        <f t="shared" si="44"/>
        <v>0</v>
      </c>
      <c r="F577">
        <f t="shared" si="41"/>
        <v>270</v>
      </c>
      <c r="G577">
        <f>SUM($E$2:E577)</f>
        <v>20450</v>
      </c>
      <c r="H577">
        <f>SUM($D$2:D577)</f>
        <v>60270</v>
      </c>
      <c r="I577">
        <f t="shared" si="42"/>
        <v>1</v>
      </c>
    </row>
    <row r="578" spans="1:9" x14ac:dyDescent="0.25">
      <c r="A578" s="1">
        <v>45503</v>
      </c>
      <c r="B578">
        <f t="shared" si="40"/>
        <v>2</v>
      </c>
      <c r="C578" t="s">
        <v>10</v>
      </c>
      <c r="D578">
        <f t="shared" si="43"/>
        <v>270</v>
      </c>
      <c r="E578">
        <f t="shared" si="44"/>
        <v>0</v>
      </c>
      <c r="F578">
        <f t="shared" si="41"/>
        <v>270</v>
      </c>
      <c r="G578">
        <f>SUM($E$2:E578)</f>
        <v>20450</v>
      </c>
      <c r="H578">
        <f>SUM($D$2:D578)</f>
        <v>60540</v>
      </c>
      <c r="I578">
        <f t="shared" si="42"/>
        <v>1</v>
      </c>
    </row>
    <row r="579" spans="1:9" x14ac:dyDescent="0.25">
      <c r="A579" s="1">
        <v>45504</v>
      </c>
      <c r="B579">
        <f t="shared" ref="B579:B642" si="45">WEEKDAY(A579,2)</f>
        <v>3</v>
      </c>
      <c r="C579" t="s">
        <v>10</v>
      </c>
      <c r="D579">
        <f t="shared" si="43"/>
        <v>270</v>
      </c>
      <c r="E579">
        <f t="shared" si="44"/>
        <v>0</v>
      </c>
      <c r="F579">
        <f t="shared" ref="F579:F642" si="46">D579-E579</f>
        <v>270</v>
      </c>
      <c r="G579">
        <f>SUM($E$2:E579)</f>
        <v>20450</v>
      </c>
      <c r="H579">
        <f>SUM($D$2:D579)</f>
        <v>60810</v>
      </c>
      <c r="I579">
        <f t="shared" ref="I579:I642" si="47">IF(G579&lt;H579,1,0)</f>
        <v>1</v>
      </c>
    </row>
    <row r="580" spans="1:9" x14ac:dyDescent="0.25">
      <c r="A580" s="1">
        <v>45505</v>
      </c>
      <c r="B580">
        <f t="shared" si="45"/>
        <v>4</v>
      </c>
      <c r="C580" t="s">
        <v>10</v>
      </c>
      <c r="D580">
        <f t="shared" ref="D580:D643" si="48">IF(B580&lt;6,$Q$1*VLOOKUP(C580,$S$1:$T$5,2,FALSE)*$Q$3,0)</f>
        <v>270</v>
      </c>
      <c r="E580">
        <f t="shared" ref="E580:E643" si="49">IF(B580=7,$Q$4*$Q$1,0)</f>
        <v>0</v>
      </c>
      <c r="F580">
        <f t="shared" si="46"/>
        <v>270</v>
      </c>
      <c r="G580">
        <f>SUM($E$2:E580)</f>
        <v>20450</v>
      </c>
      <c r="H580">
        <f>SUM($D$2:D580)</f>
        <v>61080</v>
      </c>
      <c r="I580">
        <f t="shared" si="47"/>
        <v>1</v>
      </c>
    </row>
    <row r="581" spans="1:9" x14ac:dyDescent="0.25">
      <c r="A581" s="1">
        <v>45506</v>
      </c>
      <c r="B581">
        <f t="shared" si="45"/>
        <v>5</v>
      </c>
      <c r="C581" t="s">
        <v>10</v>
      </c>
      <c r="D581">
        <f t="shared" si="48"/>
        <v>270</v>
      </c>
      <c r="E581">
        <f t="shared" si="49"/>
        <v>0</v>
      </c>
      <c r="F581">
        <f t="shared" si="46"/>
        <v>270</v>
      </c>
      <c r="G581">
        <f>SUM($E$2:E581)</f>
        <v>20450</v>
      </c>
      <c r="H581">
        <f>SUM($D$2:D581)</f>
        <v>61350</v>
      </c>
      <c r="I581">
        <f t="shared" si="47"/>
        <v>1</v>
      </c>
    </row>
    <row r="582" spans="1:9" x14ac:dyDescent="0.25">
      <c r="A582" s="1">
        <v>45507</v>
      </c>
      <c r="B582">
        <f t="shared" si="45"/>
        <v>6</v>
      </c>
      <c r="C582" t="s">
        <v>10</v>
      </c>
      <c r="D582">
        <f t="shared" si="48"/>
        <v>0</v>
      </c>
      <c r="E582">
        <f t="shared" si="49"/>
        <v>0</v>
      </c>
      <c r="F582">
        <f t="shared" si="46"/>
        <v>0</v>
      </c>
      <c r="G582">
        <f>SUM($E$2:E582)</f>
        <v>20450</v>
      </c>
      <c r="H582">
        <f>SUM($D$2:D582)</f>
        <v>61350</v>
      </c>
      <c r="I582">
        <f t="shared" si="47"/>
        <v>1</v>
      </c>
    </row>
    <row r="583" spans="1:9" x14ac:dyDescent="0.25">
      <c r="A583" s="1">
        <v>45508</v>
      </c>
      <c r="B583">
        <f t="shared" si="45"/>
        <v>7</v>
      </c>
      <c r="C583" t="s">
        <v>10</v>
      </c>
      <c r="D583">
        <f t="shared" si="48"/>
        <v>0</v>
      </c>
      <c r="E583">
        <f t="shared" si="49"/>
        <v>150</v>
      </c>
      <c r="F583">
        <f t="shared" si="46"/>
        <v>-150</v>
      </c>
      <c r="G583">
        <f>SUM($E$2:E583)</f>
        <v>20600</v>
      </c>
      <c r="H583">
        <f>SUM($D$2:D583)</f>
        <v>61350</v>
      </c>
      <c r="I583">
        <f t="shared" si="47"/>
        <v>1</v>
      </c>
    </row>
    <row r="584" spans="1:9" x14ac:dyDescent="0.25">
      <c r="A584" s="1">
        <v>45509</v>
      </c>
      <c r="B584">
        <f t="shared" si="45"/>
        <v>1</v>
      </c>
      <c r="C584" t="s">
        <v>10</v>
      </c>
      <c r="D584">
        <f t="shared" si="48"/>
        <v>270</v>
      </c>
      <c r="E584">
        <f t="shared" si="49"/>
        <v>0</v>
      </c>
      <c r="F584">
        <f t="shared" si="46"/>
        <v>270</v>
      </c>
      <c r="G584">
        <f>SUM($E$2:E584)</f>
        <v>20600</v>
      </c>
      <c r="H584">
        <f>SUM($D$2:D584)</f>
        <v>61620</v>
      </c>
      <c r="I584">
        <f t="shared" si="47"/>
        <v>1</v>
      </c>
    </row>
    <row r="585" spans="1:9" x14ac:dyDescent="0.25">
      <c r="A585" s="1">
        <v>45510</v>
      </c>
      <c r="B585">
        <f t="shared" si="45"/>
        <v>2</v>
      </c>
      <c r="C585" t="s">
        <v>10</v>
      </c>
      <c r="D585">
        <f t="shared" si="48"/>
        <v>270</v>
      </c>
      <c r="E585">
        <f t="shared" si="49"/>
        <v>0</v>
      </c>
      <c r="F585">
        <f t="shared" si="46"/>
        <v>270</v>
      </c>
      <c r="G585">
        <f>SUM($E$2:E585)</f>
        <v>20600</v>
      </c>
      <c r="H585">
        <f>SUM($D$2:D585)</f>
        <v>61890</v>
      </c>
      <c r="I585">
        <f t="shared" si="47"/>
        <v>1</v>
      </c>
    </row>
    <row r="586" spans="1:9" x14ac:dyDescent="0.25">
      <c r="A586" s="1">
        <v>45511</v>
      </c>
      <c r="B586">
        <f t="shared" si="45"/>
        <v>3</v>
      </c>
      <c r="C586" t="s">
        <v>10</v>
      </c>
      <c r="D586">
        <f t="shared" si="48"/>
        <v>270</v>
      </c>
      <c r="E586">
        <f t="shared" si="49"/>
        <v>0</v>
      </c>
      <c r="F586">
        <f t="shared" si="46"/>
        <v>270</v>
      </c>
      <c r="G586">
        <f>SUM($E$2:E586)</f>
        <v>20600</v>
      </c>
      <c r="H586">
        <f>SUM($D$2:D586)</f>
        <v>62160</v>
      </c>
      <c r="I586">
        <f t="shared" si="47"/>
        <v>1</v>
      </c>
    </row>
    <row r="587" spans="1:9" x14ac:dyDescent="0.25">
      <c r="A587" s="1">
        <v>45512</v>
      </c>
      <c r="B587">
        <f t="shared" si="45"/>
        <v>4</v>
      </c>
      <c r="C587" t="s">
        <v>10</v>
      </c>
      <c r="D587">
        <f t="shared" si="48"/>
        <v>270</v>
      </c>
      <c r="E587">
        <f t="shared" si="49"/>
        <v>0</v>
      </c>
      <c r="F587">
        <f t="shared" si="46"/>
        <v>270</v>
      </c>
      <c r="G587">
        <f>SUM($E$2:E587)</f>
        <v>20600</v>
      </c>
      <c r="H587">
        <f>SUM($D$2:D587)</f>
        <v>62430</v>
      </c>
      <c r="I587">
        <f t="shared" si="47"/>
        <v>1</v>
      </c>
    </row>
    <row r="588" spans="1:9" x14ac:dyDescent="0.25">
      <c r="A588" s="1">
        <v>45513</v>
      </c>
      <c r="B588">
        <f t="shared" si="45"/>
        <v>5</v>
      </c>
      <c r="C588" t="s">
        <v>10</v>
      </c>
      <c r="D588">
        <f t="shared" si="48"/>
        <v>270</v>
      </c>
      <c r="E588">
        <f t="shared" si="49"/>
        <v>0</v>
      </c>
      <c r="F588">
        <f t="shared" si="46"/>
        <v>270</v>
      </c>
      <c r="G588">
        <f>SUM($E$2:E588)</f>
        <v>20600</v>
      </c>
      <c r="H588">
        <f>SUM($D$2:D588)</f>
        <v>62700</v>
      </c>
      <c r="I588">
        <f t="shared" si="47"/>
        <v>1</v>
      </c>
    </row>
    <row r="589" spans="1:9" x14ac:dyDescent="0.25">
      <c r="A589" s="1">
        <v>45514</v>
      </c>
      <c r="B589">
        <f t="shared" si="45"/>
        <v>6</v>
      </c>
      <c r="C589" t="s">
        <v>10</v>
      </c>
      <c r="D589">
        <f t="shared" si="48"/>
        <v>0</v>
      </c>
      <c r="E589">
        <f t="shared" si="49"/>
        <v>0</v>
      </c>
      <c r="F589">
        <f t="shared" si="46"/>
        <v>0</v>
      </c>
      <c r="G589">
        <f>SUM($E$2:E589)</f>
        <v>20600</v>
      </c>
      <c r="H589">
        <f>SUM($D$2:D589)</f>
        <v>62700</v>
      </c>
      <c r="I589">
        <f t="shared" si="47"/>
        <v>1</v>
      </c>
    </row>
    <row r="590" spans="1:9" x14ac:dyDescent="0.25">
      <c r="A590" s="1">
        <v>45515</v>
      </c>
      <c r="B590">
        <f t="shared" si="45"/>
        <v>7</v>
      </c>
      <c r="C590" t="s">
        <v>10</v>
      </c>
      <c r="D590">
        <f t="shared" si="48"/>
        <v>0</v>
      </c>
      <c r="E590">
        <f t="shared" si="49"/>
        <v>150</v>
      </c>
      <c r="F590">
        <f t="shared" si="46"/>
        <v>-150</v>
      </c>
      <c r="G590">
        <f>SUM($E$2:E590)</f>
        <v>20750</v>
      </c>
      <c r="H590">
        <f>SUM($D$2:D590)</f>
        <v>62700</v>
      </c>
      <c r="I590">
        <f t="shared" si="47"/>
        <v>1</v>
      </c>
    </row>
    <row r="591" spans="1:9" x14ac:dyDescent="0.25">
      <c r="A591" s="1">
        <v>45516</v>
      </c>
      <c r="B591">
        <f t="shared" si="45"/>
        <v>1</v>
      </c>
      <c r="C591" t="s">
        <v>10</v>
      </c>
      <c r="D591">
        <f t="shared" si="48"/>
        <v>270</v>
      </c>
      <c r="E591">
        <f t="shared" si="49"/>
        <v>0</v>
      </c>
      <c r="F591">
        <f t="shared" si="46"/>
        <v>270</v>
      </c>
      <c r="G591">
        <f>SUM($E$2:E591)</f>
        <v>20750</v>
      </c>
      <c r="H591">
        <f>SUM($D$2:D591)</f>
        <v>62970</v>
      </c>
      <c r="I591">
        <f t="shared" si="47"/>
        <v>1</v>
      </c>
    </row>
    <row r="592" spans="1:9" x14ac:dyDescent="0.25">
      <c r="A592" s="1">
        <v>45517</v>
      </c>
      <c r="B592">
        <f t="shared" si="45"/>
        <v>2</v>
      </c>
      <c r="C592" t="s">
        <v>10</v>
      </c>
      <c r="D592">
        <f t="shared" si="48"/>
        <v>270</v>
      </c>
      <c r="E592">
        <f t="shared" si="49"/>
        <v>0</v>
      </c>
      <c r="F592">
        <f t="shared" si="46"/>
        <v>270</v>
      </c>
      <c r="G592">
        <f>SUM($E$2:E592)</f>
        <v>20750</v>
      </c>
      <c r="H592">
        <f>SUM($D$2:D592)</f>
        <v>63240</v>
      </c>
      <c r="I592">
        <f t="shared" si="47"/>
        <v>1</v>
      </c>
    </row>
    <row r="593" spans="1:9" x14ac:dyDescent="0.25">
      <c r="A593" s="1">
        <v>45518</v>
      </c>
      <c r="B593">
        <f t="shared" si="45"/>
        <v>3</v>
      </c>
      <c r="C593" t="s">
        <v>10</v>
      </c>
      <c r="D593">
        <f t="shared" si="48"/>
        <v>270</v>
      </c>
      <c r="E593">
        <f t="shared" si="49"/>
        <v>0</v>
      </c>
      <c r="F593">
        <f t="shared" si="46"/>
        <v>270</v>
      </c>
      <c r="G593">
        <f>SUM($E$2:E593)</f>
        <v>20750</v>
      </c>
      <c r="H593">
        <f>SUM($D$2:D593)</f>
        <v>63510</v>
      </c>
      <c r="I593">
        <f t="shared" si="47"/>
        <v>1</v>
      </c>
    </row>
    <row r="594" spans="1:9" x14ac:dyDescent="0.25">
      <c r="A594" s="1">
        <v>45519</v>
      </c>
      <c r="B594">
        <f t="shared" si="45"/>
        <v>4</v>
      </c>
      <c r="C594" t="s">
        <v>10</v>
      </c>
      <c r="D594">
        <f t="shared" si="48"/>
        <v>270</v>
      </c>
      <c r="E594">
        <f t="shared" si="49"/>
        <v>0</v>
      </c>
      <c r="F594">
        <f t="shared" si="46"/>
        <v>270</v>
      </c>
      <c r="G594">
        <f>SUM($E$2:E594)</f>
        <v>20750</v>
      </c>
      <c r="H594">
        <f>SUM($D$2:D594)</f>
        <v>63780</v>
      </c>
      <c r="I594">
        <f t="shared" si="47"/>
        <v>1</v>
      </c>
    </row>
    <row r="595" spans="1:9" x14ac:dyDescent="0.25">
      <c r="A595" s="1">
        <v>45520</v>
      </c>
      <c r="B595">
        <f t="shared" si="45"/>
        <v>5</v>
      </c>
      <c r="C595" t="s">
        <v>10</v>
      </c>
      <c r="D595">
        <f t="shared" si="48"/>
        <v>270</v>
      </c>
      <c r="E595">
        <f t="shared" si="49"/>
        <v>0</v>
      </c>
      <c r="F595">
        <f t="shared" si="46"/>
        <v>270</v>
      </c>
      <c r="G595">
        <f>SUM($E$2:E595)</f>
        <v>20750</v>
      </c>
      <c r="H595">
        <f>SUM($D$2:D595)</f>
        <v>64050</v>
      </c>
      <c r="I595">
        <f t="shared" si="47"/>
        <v>1</v>
      </c>
    </row>
    <row r="596" spans="1:9" x14ac:dyDescent="0.25">
      <c r="A596" s="1">
        <v>45521</v>
      </c>
      <c r="B596">
        <f t="shared" si="45"/>
        <v>6</v>
      </c>
      <c r="C596" t="s">
        <v>10</v>
      </c>
      <c r="D596">
        <f t="shared" si="48"/>
        <v>0</v>
      </c>
      <c r="E596">
        <f t="shared" si="49"/>
        <v>0</v>
      </c>
      <c r="F596">
        <f t="shared" si="46"/>
        <v>0</v>
      </c>
      <c r="G596">
        <f>SUM($E$2:E596)</f>
        <v>20750</v>
      </c>
      <c r="H596">
        <f>SUM($D$2:D596)</f>
        <v>64050</v>
      </c>
      <c r="I596">
        <f t="shared" si="47"/>
        <v>1</v>
      </c>
    </row>
    <row r="597" spans="1:9" x14ac:dyDescent="0.25">
      <c r="A597" s="1">
        <v>45522</v>
      </c>
      <c r="B597">
        <f t="shared" si="45"/>
        <v>7</v>
      </c>
      <c r="C597" t="s">
        <v>10</v>
      </c>
      <c r="D597">
        <f t="shared" si="48"/>
        <v>0</v>
      </c>
      <c r="E597">
        <f t="shared" si="49"/>
        <v>150</v>
      </c>
      <c r="F597">
        <f t="shared" si="46"/>
        <v>-150</v>
      </c>
      <c r="G597">
        <f>SUM($E$2:E597)</f>
        <v>20900</v>
      </c>
      <c r="H597">
        <f>SUM($D$2:D597)</f>
        <v>64050</v>
      </c>
      <c r="I597">
        <f t="shared" si="47"/>
        <v>1</v>
      </c>
    </row>
    <row r="598" spans="1:9" x14ac:dyDescent="0.25">
      <c r="A598" s="1">
        <v>45523</v>
      </c>
      <c r="B598">
        <f t="shared" si="45"/>
        <v>1</v>
      </c>
      <c r="C598" t="s">
        <v>10</v>
      </c>
      <c r="D598">
        <f t="shared" si="48"/>
        <v>270</v>
      </c>
      <c r="E598">
        <f t="shared" si="49"/>
        <v>0</v>
      </c>
      <c r="F598">
        <f t="shared" si="46"/>
        <v>270</v>
      </c>
      <c r="G598">
        <f>SUM($E$2:E598)</f>
        <v>20900</v>
      </c>
      <c r="H598">
        <f>SUM($D$2:D598)</f>
        <v>64320</v>
      </c>
      <c r="I598">
        <f t="shared" si="47"/>
        <v>1</v>
      </c>
    </row>
    <row r="599" spans="1:9" x14ac:dyDescent="0.25">
      <c r="A599" s="1">
        <v>45524</v>
      </c>
      <c r="B599">
        <f t="shared" si="45"/>
        <v>2</v>
      </c>
      <c r="C599" t="s">
        <v>10</v>
      </c>
      <c r="D599">
        <f t="shared" si="48"/>
        <v>270</v>
      </c>
      <c r="E599">
        <f t="shared" si="49"/>
        <v>0</v>
      </c>
      <c r="F599">
        <f t="shared" si="46"/>
        <v>270</v>
      </c>
      <c r="G599">
        <f>SUM($E$2:E599)</f>
        <v>20900</v>
      </c>
      <c r="H599">
        <f>SUM($D$2:D599)</f>
        <v>64590</v>
      </c>
      <c r="I599">
        <f t="shared" si="47"/>
        <v>1</v>
      </c>
    </row>
    <row r="600" spans="1:9" x14ac:dyDescent="0.25">
      <c r="A600" s="1">
        <v>45525</v>
      </c>
      <c r="B600">
        <f t="shared" si="45"/>
        <v>3</v>
      </c>
      <c r="C600" t="s">
        <v>10</v>
      </c>
      <c r="D600">
        <f t="shared" si="48"/>
        <v>270</v>
      </c>
      <c r="E600">
        <f t="shared" si="49"/>
        <v>0</v>
      </c>
      <c r="F600">
        <f t="shared" si="46"/>
        <v>270</v>
      </c>
      <c r="G600">
        <f>SUM($E$2:E600)</f>
        <v>20900</v>
      </c>
      <c r="H600">
        <f>SUM($D$2:D600)</f>
        <v>64860</v>
      </c>
      <c r="I600">
        <f t="shared" si="47"/>
        <v>1</v>
      </c>
    </row>
    <row r="601" spans="1:9" x14ac:dyDescent="0.25">
      <c r="A601" s="1">
        <v>45526</v>
      </c>
      <c r="B601">
        <f t="shared" si="45"/>
        <v>4</v>
      </c>
      <c r="C601" t="s">
        <v>10</v>
      </c>
      <c r="D601">
        <f t="shared" si="48"/>
        <v>270</v>
      </c>
      <c r="E601">
        <f t="shared" si="49"/>
        <v>0</v>
      </c>
      <c r="F601">
        <f t="shared" si="46"/>
        <v>270</v>
      </c>
      <c r="G601">
        <f>SUM($E$2:E601)</f>
        <v>20900</v>
      </c>
      <c r="H601">
        <f>SUM($D$2:D601)</f>
        <v>65130</v>
      </c>
      <c r="I601">
        <f t="shared" si="47"/>
        <v>1</v>
      </c>
    </row>
    <row r="602" spans="1:9" x14ac:dyDescent="0.25">
      <c r="A602" s="1">
        <v>45527</v>
      </c>
      <c r="B602">
        <f t="shared" si="45"/>
        <v>5</v>
      </c>
      <c r="C602" t="s">
        <v>10</v>
      </c>
      <c r="D602">
        <f t="shared" si="48"/>
        <v>270</v>
      </c>
      <c r="E602">
        <f t="shared" si="49"/>
        <v>0</v>
      </c>
      <c r="F602">
        <f t="shared" si="46"/>
        <v>270</v>
      </c>
      <c r="G602">
        <f>SUM($E$2:E602)</f>
        <v>20900</v>
      </c>
      <c r="H602">
        <f>SUM($D$2:D602)</f>
        <v>65400</v>
      </c>
      <c r="I602">
        <f t="shared" si="47"/>
        <v>1</v>
      </c>
    </row>
    <row r="603" spans="1:9" x14ac:dyDescent="0.25">
      <c r="A603" s="1">
        <v>45528</v>
      </c>
      <c r="B603">
        <f t="shared" si="45"/>
        <v>6</v>
      </c>
      <c r="C603" t="s">
        <v>10</v>
      </c>
      <c r="D603">
        <f t="shared" si="48"/>
        <v>0</v>
      </c>
      <c r="E603">
        <f t="shared" si="49"/>
        <v>0</v>
      </c>
      <c r="F603">
        <f t="shared" si="46"/>
        <v>0</v>
      </c>
      <c r="G603">
        <f>SUM($E$2:E603)</f>
        <v>20900</v>
      </c>
      <c r="H603">
        <f>SUM($D$2:D603)</f>
        <v>65400</v>
      </c>
      <c r="I603">
        <f t="shared" si="47"/>
        <v>1</v>
      </c>
    </row>
    <row r="604" spans="1:9" x14ac:dyDescent="0.25">
      <c r="A604" s="1">
        <v>45529</v>
      </c>
      <c r="B604">
        <f t="shared" si="45"/>
        <v>7</v>
      </c>
      <c r="C604" t="s">
        <v>10</v>
      </c>
      <c r="D604">
        <f t="shared" si="48"/>
        <v>0</v>
      </c>
      <c r="E604">
        <f t="shared" si="49"/>
        <v>150</v>
      </c>
      <c r="F604">
        <f t="shared" si="46"/>
        <v>-150</v>
      </c>
      <c r="G604">
        <f>SUM($E$2:E604)</f>
        <v>21050</v>
      </c>
      <c r="H604">
        <f>SUM($D$2:D604)</f>
        <v>65400</v>
      </c>
      <c r="I604">
        <f t="shared" si="47"/>
        <v>1</v>
      </c>
    </row>
    <row r="605" spans="1:9" x14ac:dyDescent="0.25">
      <c r="A605" s="1">
        <v>45530</v>
      </c>
      <c r="B605">
        <f t="shared" si="45"/>
        <v>1</v>
      </c>
      <c r="C605" t="s">
        <v>10</v>
      </c>
      <c r="D605">
        <f t="shared" si="48"/>
        <v>270</v>
      </c>
      <c r="E605">
        <f t="shared" si="49"/>
        <v>0</v>
      </c>
      <c r="F605">
        <f t="shared" si="46"/>
        <v>270</v>
      </c>
      <c r="G605">
        <f>SUM($E$2:E605)</f>
        <v>21050</v>
      </c>
      <c r="H605">
        <f>SUM($D$2:D605)</f>
        <v>65670</v>
      </c>
      <c r="I605">
        <f t="shared" si="47"/>
        <v>1</v>
      </c>
    </row>
    <row r="606" spans="1:9" x14ac:dyDescent="0.25">
      <c r="A606" s="1">
        <v>45531</v>
      </c>
      <c r="B606">
        <f t="shared" si="45"/>
        <v>2</v>
      </c>
      <c r="C606" t="s">
        <v>10</v>
      </c>
      <c r="D606">
        <f t="shared" si="48"/>
        <v>270</v>
      </c>
      <c r="E606">
        <f t="shared" si="49"/>
        <v>0</v>
      </c>
      <c r="F606">
        <f t="shared" si="46"/>
        <v>270</v>
      </c>
      <c r="G606">
        <f>SUM($E$2:E606)</f>
        <v>21050</v>
      </c>
      <c r="H606">
        <f>SUM($D$2:D606)</f>
        <v>65940</v>
      </c>
      <c r="I606">
        <f t="shared" si="47"/>
        <v>1</v>
      </c>
    </row>
    <row r="607" spans="1:9" x14ac:dyDescent="0.25">
      <c r="A607" s="1">
        <v>45532</v>
      </c>
      <c r="B607">
        <f t="shared" si="45"/>
        <v>3</v>
      </c>
      <c r="C607" t="s">
        <v>10</v>
      </c>
      <c r="D607">
        <f t="shared" si="48"/>
        <v>270</v>
      </c>
      <c r="E607">
        <f t="shared" si="49"/>
        <v>0</v>
      </c>
      <c r="F607">
        <f t="shared" si="46"/>
        <v>270</v>
      </c>
      <c r="G607">
        <f>SUM($E$2:E607)</f>
        <v>21050</v>
      </c>
      <c r="H607">
        <f>SUM($D$2:D607)</f>
        <v>66210</v>
      </c>
      <c r="I607">
        <f t="shared" si="47"/>
        <v>1</v>
      </c>
    </row>
    <row r="608" spans="1:9" x14ac:dyDescent="0.25">
      <c r="A608" s="1">
        <v>45533</v>
      </c>
      <c r="B608">
        <f t="shared" si="45"/>
        <v>4</v>
      </c>
      <c r="C608" t="s">
        <v>10</v>
      </c>
      <c r="D608">
        <f t="shared" si="48"/>
        <v>270</v>
      </c>
      <c r="E608">
        <f t="shared" si="49"/>
        <v>0</v>
      </c>
      <c r="F608">
        <f t="shared" si="46"/>
        <v>270</v>
      </c>
      <c r="G608">
        <f>SUM($E$2:E608)</f>
        <v>21050</v>
      </c>
      <c r="H608">
        <f>SUM($D$2:D608)</f>
        <v>66480</v>
      </c>
      <c r="I608">
        <f t="shared" si="47"/>
        <v>1</v>
      </c>
    </row>
    <row r="609" spans="1:9" x14ac:dyDescent="0.25">
      <c r="A609" s="1">
        <v>45534</v>
      </c>
      <c r="B609">
        <f t="shared" si="45"/>
        <v>5</v>
      </c>
      <c r="C609" t="s">
        <v>10</v>
      </c>
      <c r="D609">
        <f t="shared" si="48"/>
        <v>270</v>
      </c>
      <c r="E609">
        <f t="shared" si="49"/>
        <v>0</v>
      </c>
      <c r="F609">
        <f t="shared" si="46"/>
        <v>270</v>
      </c>
      <c r="G609">
        <f>SUM($E$2:E609)</f>
        <v>21050</v>
      </c>
      <c r="H609">
        <f>SUM($D$2:D609)</f>
        <v>66750</v>
      </c>
      <c r="I609">
        <f t="shared" si="47"/>
        <v>1</v>
      </c>
    </row>
    <row r="610" spans="1:9" x14ac:dyDescent="0.25">
      <c r="A610" s="1">
        <v>45535</v>
      </c>
      <c r="B610">
        <f t="shared" si="45"/>
        <v>6</v>
      </c>
      <c r="C610" t="s">
        <v>10</v>
      </c>
      <c r="D610">
        <f t="shared" si="48"/>
        <v>0</v>
      </c>
      <c r="E610">
        <f t="shared" si="49"/>
        <v>0</v>
      </c>
      <c r="F610">
        <f t="shared" si="46"/>
        <v>0</v>
      </c>
      <c r="G610">
        <f>SUM($E$2:E610)</f>
        <v>21050</v>
      </c>
      <c r="H610">
        <f>SUM($D$2:D610)</f>
        <v>66750</v>
      </c>
      <c r="I610">
        <f t="shared" si="47"/>
        <v>1</v>
      </c>
    </row>
    <row r="611" spans="1:9" x14ac:dyDescent="0.25">
      <c r="A611" s="1">
        <v>45536</v>
      </c>
      <c r="B611">
        <f t="shared" si="45"/>
        <v>7</v>
      </c>
      <c r="C611" t="s">
        <v>10</v>
      </c>
      <c r="D611">
        <f t="shared" si="48"/>
        <v>0</v>
      </c>
      <c r="E611">
        <f t="shared" si="49"/>
        <v>150</v>
      </c>
      <c r="F611">
        <f t="shared" si="46"/>
        <v>-150</v>
      </c>
      <c r="G611">
        <f>SUM($E$2:E611)</f>
        <v>21200</v>
      </c>
      <c r="H611">
        <f>SUM($D$2:D611)</f>
        <v>66750</v>
      </c>
      <c r="I611">
        <f t="shared" si="47"/>
        <v>1</v>
      </c>
    </row>
    <row r="612" spans="1:9" x14ac:dyDescent="0.25">
      <c r="A612" s="1">
        <v>45537</v>
      </c>
      <c r="B612">
        <f t="shared" si="45"/>
        <v>1</v>
      </c>
      <c r="C612" t="s">
        <v>10</v>
      </c>
      <c r="D612">
        <f t="shared" si="48"/>
        <v>270</v>
      </c>
      <c r="E612">
        <f t="shared" si="49"/>
        <v>0</v>
      </c>
      <c r="F612">
        <f t="shared" si="46"/>
        <v>270</v>
      </c>
      <c r="G612">
        <f>SUM($E$2:E612)</f>
        <v>21200</v>
      </c>
      <c r="H612">
        <f>SUM($D$2:D612)</f>
        <v>67020</v>
      </c>
      <c r="I612">
        <f t="shared" si="47"/>
        <v>1</v>
      </c>
    </row>
    <row r="613" spans="1:9" x14ac:dyDescent="0.25">
      <c r="A613" s="1">
        <v>45538</v>
      </c>
      <c r="B613">
        <f t="shared" si="45"/>
        <v>2</v>
      </c>
      <c r="C613" t="s">
        <v>10</v>
      </c>
      <c r="D613">
        <f t="shared" si="48"/>
        <v>270</v>
      </c>
      <c r="E613">
        <f t="shared" si="49"/>
        <v>0</v>
      </c>
      <c r="F613">
        <f t="shared" si="46"/>
        <v>270</v>
      </c>
      <c r="G613">
        <f>SUM($E$2:E613)</f>
        <v>21200</v>
      </c>
      <c r="H613">
        <f>SUM($D$2:D613)</f>
        <v>67290</v>
      </c>
      <c r="I613">
        <f t="shared" si="47"/>
        <v>1</v>
      </c>
    </row>
    <row r="614" spans="1:9" x14ac:dyDescent="0.25">
      <c r="A614" s="1">
        <v>45539</v>
      </c>
      <c r="B614">
        <f t="shared" si="45"/>
        <v>3</v>
      </c>
      <c r="C614" t="s">
        <v>10</v>
      </c>
      <c r="D614">
        <f t="shared" si="48"/>
        <v>270</v>
      </c>
      <c r="E614">
        <f t="shared" si="49"/>
        <v>0</v>
      </c>
      <c r="F614">
        <f t="shared" si="46"/>
        <v>270</v>
      </c>
      <c r="G614">
        <f>SUM($E$2:E614)</f>
        <v>21200</v>
      </c>
      <c r="H614">
        <f>SUM($D$2:D614)</f>
        <v>67560</v>
      </c>
      <c r="I614">
        <f t="shared" si="47"/>
        <v>1</v>
      </c>
    </row>
    <row r="615" spans="1:9" x14ac:dyDescent="0.25">
      <c r="A615" s="1">
        <v>45540</v>
      </c>
      <c r="B615">
        <f t="shared" si="45"/>
        <v>4</v>
      </c>
      <c r="C615" t="s">
        <v>10</v>
      </c>
      <c r="D615">
        <f t="shared" si="48"/>
        <v>270</v>
      </c>
      <c r="E615">
        <f t="shared" si="49"/>
        <v>0</v>
      </c>
      <c r="F615">
        <f t="shared" si="46"/>
        <v>270</v>
      </c>
      <c r="G615">
        <f>SUM($E$2:E615)</f>
        <v>21200</v>
      </c>
      <c r="H615">
        <f>SUM($D$2:D615)</f>
        <v>67830</v>
      </c>
      <c r="I615">
        <f t="shared" si="47"/>
        <v>1</v>
      </c>
    </row>
    <row r="616" spans="1:9" x14ac:dyDescent="0.25">
      <c r="A616" s="1">
        <v>45541</v>
      </c>
      <c r="B616">
        <f t="shared" si="45"/>
        <v>5</v>
      </c>
      <c r="C616" t="s">
        <v>10</v>
      </c>
      <c r="D616">
        <f t="shared" si="48"/>
        <v>270</v>
      </c>
      <c r="E616">
        <f t="shared" si="49"/>
        <v>0</v>
      </c>
      <c r="F616">
        <f t="shared" si="46"/>
        <v>270</v>
      </c>
      <c r="G616">
        <f>SUM($E$2:E616)</f>
        <v>21200</v>
      </c>
      <c r="H616">
        <f>SUM($D$2:D616)</f>
        <v>68100</v>
      </c>
      <c r="I616">
        <f t="shared" si="47"/>
        <v>1</v>
      </c>
    </row>
    <row r="617" spans="1:9" x14ac:dyDescent="0.25">
      <c r="A617" s="1">
        <v>45542</v>
      </c>
      <c r="B617">
        <f t="shared" si="45"/>
        <v>6</v>
      </c>
      <c r="C617" t="s">
        <v>10</v>
      </c>
      <c r="D617">
        <f t="shared" si="48"/>
        <v>0</v>
      </c>
      <c r="E617">
        <f t="shared" si="49"/>
        <v>0</v>
      </c>
      <c r="F617">
        <f t="shared" si="46"/>
        <v>0</v>
      </c>
      <c r="G617">
        <f>SUM($E$2:E617)</f>
        <v>21200</v>
      </c>
      <c r="H617">
        <f>SUM($D$2:D617)</f>
        <v>68100</v>
      </c>
      <c r="I617">
        <f t="shared" si="47"/>
        <v>1</v>
      </c>
    </row>
    <row r="618" spans="1:9" x14ac:dyDescent="0.25">
      <c r="A618" s="1">
        <v>45543</v>
      </c>
      <c r="B618">
        <f t="shared" si="45"/>
        <v>7</v>
      </c>
      <c r="C618" t="s">
        <v>10</v>
      </c>
      <c r="D618">
        <f t="shared" si="48"/>
        <v>0</v>
      </c>
      <c r="E618">
        <f t="shared" si="49"/>
        <v>150</v>
      </c>
      <c r="F618">
        <f t="shared" si="46"/>
        <v>-150</v>
      </c>
      <c r="G618">
        <f>SUM($E$2:E618)</f>
        <v>21350</v>
      </c>
      <c r="H618">
        <f>SUM($D$2:D618)</f>
        <v>68100</v>
      </c>
      <c r="I618">
        <f t="shared" si="47"/>
        <v>1</v>
      </c>
    </row>
    <row r="619" spans="1:9" x14ac:dyDescent="0.25">
      <c r="A619" s="1">
        <v>45544</v>
      </c>
      <c r="B619">
        <f t="shared" si="45"/>
        <v>1</v>
      </c>
      <c r="C619" t="s">
        <v>10</v>
      </c>
      <c r="D619">
        <f t="shared" si="48"/>
        <v>270</v>
      </c>
      <c r="E619">
        <f t="shared" si="49"/>
        <v>0</v>
      </c>
      <c r="F619">
        <f t="shared" si="46"/>
        <v>270</v>
      </c>
      <c r="G619">
        <f>SUM($E$2:E619)</f>
        <v>21350</v>
      </c>
      <c r="H619">
        <f>SUM($D$2:D619)</f>
        <v>68370</v>
      </c>
      <c r="I619">
        <f t="shared" si="47"/>
        <v>1</v>
      </c>
    </row>
    <row r="620" spans="1:9" x14ac:dyDescent="0.25">
      <c r="A620" s="1">
        <v>45545</v>
      </c>
      <c r="B620">
        <f t="shared" si="45"/>
        <v>2</v>
      </c>
      <c r="C620" t="s">
        <v>10</v>
      </c>
      <c r="D620">
        <f t="shared" si="48"/>
        <v>270</v>
      </c>
      <c r="E620">
        <f t="shared" si="49"/>
        <v>0</v>
      </c>
      <c r="F620">
        <f t="shared" si="46"/>
        <v>270</v>
      </c>
      <c r="G620">
        <f>SUM($E$2:E620)</f>
        <v>21350</v>
      </c>
      <c r="H620">
        <f>SUM($D$2:D620)</f>
        <v>68640</v>
      </c>
      <c r="I620">
        <f t="shared" si="47"/>
        <v>1</v>
      </c>
    </row>
    <row r="621" spans="1:9" x14ac:dyDescent="0.25">
      <c r="A621" s="1">
        <v>45546</v>
      </c>
      <c r="B621">
        <f t="shared" si="45"/>
        <v>3</v>
      </c>
      <c r="C621" t="s">
        <v>10</v>
      </c>
      <c r="D621">
        <f t="shared" si="48"/>
        <v>270</v>
      </c>
      <c r="E621">
        <f t="shared" si="49"/>
        <v>0</v>
      </c>
      <c r="F621">
        <f t="shared" si="46"/>
        <v>270</v>
      </c>
      <c r="G621">
        <f>SUM($E$2:E621)</f>
        <v>21350</v>
      </c>
      <c r="H621">
        <f>SUM($D$2:D621)</f>
        <v>68910</v>
      </c>
      <c r="I621">
        <f t="shared" si="47"/>
        <v>1</v>
      </c>
    </row>
    <row r="622" spans="1:9" x14ac:dyDescent="0.25">
      <c r="A622" s="1">
        <v>45547</v>
      </c>
      <c r="B622">
        <f t="shared" si="45"/>
        <v>4</v>
      </c>
      <c r="C622" t="s">
        <v>10</v>
      </c>
      <c r="D622">
        <f t="shared" si="48"/>
        <v>270</v>
      </c>
      <c r="E622">
        <f t="shared" si="49"/>
        <v>0</v>
      </c>
      <c r="F622">
        <f t="shared" si="46"/>
        <v>270</v>
      </c>
      <c r="G622">
        <f>SUM($E$2:E622)</f>
        <v>21350</v>
      </c>
      <c r="H622">
        <f>SUM($D$2:D622)</f>
        <v>69180</v>
      </c>
      <c r="I622">
        <f t="shared" si="47"/>
        <v>1</v>
      </c>
    </row>
    <row r="623" spans="1:9" x14ac:dyDescent="0.25">
      <c r="A623" s="1">
        <v>45548</v>
      </c>
      <c r="B623">
        <f t="shared" si="45"/>
        <v>5</v>
      </c>
      <c r="C623" t="s">
        <v>10</v>
      </c>
      <c r="D623">
        <f t="shared" si="48"/>
        <v>270</v>
      </c>
      <c r="E623">
        <f t="shared" si="49"/>
        <v>0</v>
      </c>
      <c r="F623">
        <f t="shared" si="46"/>
        <v>270</v>
      </c>
      <c r="G623">
        <f>SUM($E$2:E623)</f>
        <v>21350</v>
      </c>
      <c r="H623">
        <f>SUM($D$2:D623)</f>
        <v>69450</v>
      </c>
      <c r="I623">
        <f t="shared" si="47"/>
        <v>1</v>
      </c>
    </row>
    <row r="624" spans="1:9" x14ac:dyDescent="0.25">
      <c r="A624" s="1">
        <v>45549</v>
      </c>
      <c r="B624">
        <f t="shared" si="45"/>
        <v>6</v>
      </c>
      <c r="C624" t="s">
        <v>10</v>
      </c>
      <c r="D624">
        <f t="shared" si="48"/>
        <v>0</v>
      </c>
      <c r="E624">
        <f t="shared" si="49"/>
        <v>0</v>
      </c>
      <c r="F624">
        <f t="shared" si="46"/>
        <v>0</v>
      </c>
      <c r="G624">
        <f>SUM($E$2:E624)</f>
        <v>21350</v>
      </c>
      <c r="H624">
        <f>SUM($D$2:D624)</f>
        <v>69450</v>
      </c>
      <c r="I624">
        <f t="shared" si="47"/>
        <v>1</v>
      </c>
    </row>
    <row r="625" spans="1:9" x14ac:dyDescent="0.25">
      <c r="A625" s="1">
        <v>45550</v>
      </c>
      <c r="B625">
        <f t="shared" si="45"/>
        <v>7</v>
      </c>
      <c r="C625" t="s">
        <v>10</v>
      </c>
      <c r="D625">
        <f t="shared" si="48"/>
        <v>0</v>
      </c>
      <c r="E625">
        <f t="shared" si="49"/>
        <v>150</v>
      </c>
      <c r="F625">
        <f t="shared" si="46"/>
        <v>-150</v>
      </c>
      <c r="G625">
        <f>SUM($E$2:E625)</f>
        <v>21500</v>
      </c>
      <c r="H625">
        <f>SUM($D$2:D625)</f>
        <v>69450</v>
      </c>
      <c r="I625">
        <f t="shared" si="47"/>
        <v>1</v>
      </c>
    </row>
    <row r="626" spans="1:9" x14ac:dyDescent="0.25">
      <c r="A626" s="1">
        <v>45551</v>
      </c>
      <c r="B626">
        <f t="shared" si="45"/>
        <v>1</v>
      </c>
      <c r="C626" t="s">
        <v>10</v>
      </c>
      <c r="D626">
        <f t="shared" si="48"/>
        <v>270</v>
      </c>
      <c r="E626">
        <f t="shared" si="49"/>
        <v>0</v>
      </c>
      <c r="F626">
        <f t="shared" si="46"/>
        <v>270</v>
      </c>
      <c r="G626">
        <f>SUM($E$2:E626)</f>
        <v>21500</v>
      </c>
      <c r="H626">
        <f>SUM($D$2:D626)</f>
        <v>69720</v>
      </c>
      <c r="I626">
        <f t="shared" si="47"/>
        <v>1</v>
      </c>
    </row>
    <row r="627" spans="1:9" x14ac:dyDescent="0.25">
      <c r="A627" s="1">
        <v>45552</v>
      </c>
      <c r="B627">
        <f t="shared" si="45"/>
        <v>2</v>
      </c>
      <c r="C627" t="s">
        <v>10</v>
      </c>
      <c r="D627">
        <f t="shared" si="48"/>
        <v>270</v>
      </c>
      <c r="E627">
        <f t="shared" si="49"/>
        <v>0</v>
      </c>
      <c r="F627">
        <f t="shared" si="46"/>
        <v>270</v>
      </c>
      <c r="G627">
        <f>SUM($E$2:E627)</f>
        <v>21500</v>
      </c>
      <c r="H627">
        <f>SUM($D$2:D627)</f>
        <v>69990</v>
      </c>
      <c r="I627">
        <f t="shared" si="47"/>
        <v>1</v>
      </c>
    </row>
    <row r="628" spans="1:9" x14ac:dyDescent="0.25">
      <c r="A628" s="1">
        <v>45553</v>
      </c>
      <c r="B628">
        <f t="shared" si="45"/>
        <v>3</v>
      </c>
      <c r="C628" t="s">
        <v>10</v>
      </c>
      <c r="D628">
        <f t="shared" si="48"/>
        <v>270</v>
      </c>
      <c r="E628">
        <f t="shared" si="49"/>
        <v>0</v>
      </c>
      <c r="F628">
        <f t="shared" si="46"/>
        <v>270</v>
      </c>
      <c r="G628">
        <f>SUM($E$2:E628)</f>
        <v>21500</v>
      </c>
      <c r="H628">
        <f>SUM($D$2:D628)</f>
        <v>70260</v>
      </c>
      <c r="I628">
        <f t="shared" si="47"/>
        <v>1</v>
      </c>
    </row>
    <row r="629" spans="1:9" x14ac:dyDescent="0.25">
      <c r="A629" s="1">
        <v>45554</v>
      </c>
      <c r="B629">
        <f t="shared" si="45"/>
        <v>4</v>
      </c>
      <c r="C629" t="s">
        <v>10</v>
      </c>
      <c r="D629">
        <f t="shared" si="48"/>
        <v>270</v>
      </c>
      <c r="E629">
        <f t="shared" si="49"/>
        <v>0</v>
      </c>
      <c r="F629">
        <f t="shared" si="46"/>
        <v>270</v>
      </c>
      <c r="G629">
        <f>SUM($E$2:E629)</f>
        <v>21500</v>
      </c>
      <c r="H629">
        <f>SUM($D$2:D629)</f>
        <v>70530</v>
      </c>
      <c r="I629">
        <f t="shared" si="47"/>
        <v>1</v>
      </c>
    </row>
    <row r="630" spans="1:9" x14ac:dyDescent="0.25">
      <c r="A630" s="1">
        <v>45555</v>
      </c>
      <c r="B630">
        <f t="shared" si="45"/>
        <v>5</v>
      </c>
      <c r="C630" t="s">
        <v>10</v>
      </c>
      <c r="D630">
        <f t="shared" si="48"/>
        <v>270</v>
      </c>
      <c r="E630">
        <f t="shared" si="49"/>
        <v>0</v>
      </c>
      <c r="F630">
        <f t="shared" si="46"/>
        <v>270</v>
      </c>
      <c r="G630">
        <f>SUM($E$2:E630)</f>
        <v>21500</v>
      </c>
      <c r="H630">
        <f>SUM($D$2:D630)</f>
        <v>70800</v>
      </c>
      <c r="I630">
        <f t="shared" si="47"/>
        <v>1</v>
      </c>
    </row>
    <row r="631" spans="1:9" x14ac:dyDescent="0.25">
      <c r="A631" s="1">
        <v>45556</v>
      </c>
      <c r="B631">
        <f t="shared" si="45"/>
        <v>6</v>
      </c>
      <c r="C631" t="s">
        <v>10</v>
      </c>
      <c r="D631">
        <f t="shared" si="48"/>
        <v>0</v>
      </c>
      <c r="E631">
        <f t="shared" si="49"/>
        <v>0</v>
      </c>
      <c r="F631">
        <f t="shared" si="46"/>
        <v>0</v>
      </c>
      <c r="G631">
        <f>SUM($E$2:E631)</f>
        <v>21500</v>
      </c>
      <c r="H631">
        <f>SUM($D$2:D631)</f>
        <v>70800</v>
      </c>
      <c r="I631">
        <f t="shared" si="47"/>
        <v>1</v>
      </c>
    </row>
    <row r="632" spans="1:9" x14ac:dyDescent="0.25">
      <c r="A632" s="1">
        <v>45557</v>
      </c>
      <c r="B632">
        <f t="shared" si="45"/>
        <v>7</v>
      </c>
      <c r="C632" t="s">
        <v>10</v>
      </c>
      <c r="D632">
        <f t="shared" si="48"/>
        <v>0</v>
      </c>
      <c r="E632">
        <f t="shared" si="49"/>
        <v>150</v>
      </c>
      <c r="F632">
        <f t="shared" si="46"/>
        <v>-150</v>
      </c>
      <c r="G632">
        <f>SUM($E$2:E632)</f>
        <v>21650</v>
      </c>
      <c r="H632">
        <f>SUM($D$2:D632)</f>
        <v>70800</v>
      </c>
      <c r="I632">
        <f t="shared" si="47"/>
        <v>1</v>
      </c>
    </row>
    <row r="633" spans="1:9" x14ac:dyDescent="0.25">
      <c r="A633" s="1">
        <v>45558</v>
      </c>
      <c r="B633">
        <f t="shared" si="45"/>
        <v>1</v>
      </c>
      <c r="C633" t="s">
        <v>11</v>
      </c>
      <c r="D633">
        <f t="shared" si="48"/>
        <v>120</v>
      </c>
      <c r="E633">
        <f t="shared" si="49"/>
        <v>0</v>
      </c>
      <c r="F633">
        <f t="shared" si="46"/>
        <v>120</v>
      </c>
      <c r="G633">
        <f>SUM($E$2:E633)</f>
        <v>21650</v>
      </c>
      <c r="H633">
        <f>SUM($D$2:D633)</f>
        <v>70920</v>
      </c>
      <c r="I633">
        <f t="shared" si="47"/>
        <v>1</v>
      </c>
    </row>
    <row r="634" spans="1:9" x14ac:dyDescent="0.25">
      <c r="A634" s="1">
        <v>45559</v>
      </c>
      <c r="B634">
        <f t="shared" si="45"/>
        <v>2</v>
      </c>
      <c r="C634" t="s">
        <v>11</v>
      </c>
      <c r="D634">
        <f t="shared" si="48"/>
        <v>120</v>
      </c>
      <c r="E634">
        <f t="shared" si="49"/>
        <v>0</v>
      </c>
      <c r="F634">
        <f t="shared" si="46"/>
        <v>120</v>
      </c>
      <c r="G634">
        <f>SUM($E$2:E634)</f>
        <v>21650</v>
      </c>
      <c r="H634">
        <f>SUM($D$2:D634)</f>
        <v>71040</v>
      </c>
      <c r="I634">
        <f t="shared" si="47"/>
        <v>1</v>
      </c>
    </row>
    <row r="635" spans="1:9" x14ac:dyDescent="0.25">
      <c r="A635" s="1">
        <v>45560</v>
      </c>
      <c r="B635">
        <f t="shared" si="45"/>
        <v>3</v>
      </c>
      <c r="C635" t="s">
        <v>11</v>
      </c>
      <c r="D635">
        <f t="shared" si="48"/>
        <v>120</v>
      </c>
      <c r="E635">
        <f t="shared" si="49"/>
        <v>0</v>
      </c>
      <c r="F635">
        <f t="shared" si="46"/>
        <v>120</v>
      </c>
      <c r="G635">
        <f>SUM($E$2:E635)</f>
        <v>21650</v>
      </c>
      <c r="H635">
        <f>SUM($D$2:D635)</f>
        <v>71160</v>
      </c>
      <c r="I635">
        <f t="shared" si="47"/>
        <v>1</v>
      </c>
    </row>
    <row r="636" spans="1:9" x14ac:dyDescent="0.25">
      <c r="A636" s="1">
        <v>45561</v>
      </c>
      <c r="B636">
        <f t="shared" si="45"/>
        <v>4</v>
      </c>
      <c r="C636" t="s">
        <v>11</v>
      </c>
      <c r="D636">
        <f t="shared" si="48"/>
        <v>120</v>
      </c>
      <c r="E636">
        <f t="shared" si="49"/>
        <v>0</v>
      </c>
      <c r="F636">
        <f t="shared" si="46"/>
        <v>120</v>
      </c>
      <c r="G636">
        <f>SUM($E$2:E636)</f>
        <v>21650</v>
      </c>
      <c r="H636">
        <f>SUM($D$2:D636)</f>
        <v>71280</v>
      </c>
      <c r="I636">
        <f t="shared" si="47"/>
        <v>1</v>
      </c>
    </row>
    <row r="637" spans="1:9" x14ac:dyDescent="0.25">
      <c r="A637" s="1">
        <v>45562</v>
      </c>
      <c r="B637">
        <f t="shared" si="45"/>
        <v>5</v>
      </c>
      <c r="C637" t="s">
        <v>11</v>
      </c>
      <c r="D637">
        <f t="shared" si="48"/>
        <v>120</v>
      </c>
      <c r="E637">
        <f t="shared" si="49"/>
        <v>0</v>
      </c>
      <c r="F637">
        <f t="shared" si="46"/>
        <v>120</v>
      </c>
      <c r="G637">
        <f>SUM($E$2:E637)</f>
        <v>21650</v>
      </c>
      <c r="H637">
        <f>SUM($D$2:D637)</f>
        <v>71400</v>
      </c>
      <c r="I637">
        <f t="shared" si="47"/>
        <v>1</v>
      </c>
    </row>
    <row r="638" spans="1:9" x14ac:dyDescent="0.25">
      <c r="A638" s="1">
        <v>45563</v>
      </c>
      <c r="B638">
        <f t="shared" si="45"/>
        <v>6</v>
      </c>
      <c r="C638" t="s">
        <v>11</v>
      </c>
      <c r="D638">
        <f t="shared" si="48"/>
        <v>0</v>
      </c>
      <c r="E638">
        <f t="shared" si="49"/>
        <v>0</v>
      </c>
      <c r="F638">
        <f t="shared" si="46"/>
        <v>0</v>
      </c>
      <c r="G638">
        <f>SUM($E$2:E638)</f>
        <v>21650</v>
      </c>
      <c r="H638">
        <f>SUM($D$2:D638)</f>
        <v>71400</v>
      </c>
      <c r="I638">
        <f t="shared" si="47"/>
        <v>1</v>
      </c>
    </row>
    <row r="639" spans="1:9" x14ac:dyDescent="0.25">
      <c r="A639" s="1">
        <v>45564</v>
      </c>
      <c r="B639">
        <f t="shared" si="45"/>
        <v>7</v>
      </c>
      <c r="C639" t="s">
        <v>11</v>
      </c>
      <c r="D639">
        <f t="shared" si="48"/>
        <v>0</v>
      </c>
      <c r="E639">
        <f t="shared" si="49"/>
        <v>150</v>
      </c>
      <c r="F639">
        <f t="shared" si="46"/>
        <v>-150</v>
      </c>
      <c r="G639">
        <f>SUM($E$2:E639)</f>
        <v>21800</v>
      </c>
      <c r="H639">
        <f>SUM($D$2:D639)</f>
        <v>71400</v>
      </c>
      <c r="I639">
        <f t="shared" si="47"/>
        <v>1</v>
      </c>
    </row>
    <row r="640" spans="1:9" x14ac:dyDescent="0.25">
      <c r="A640" s="1">
        <v>45565</v>
      </c>
      <c r="B640">
        <f t="shared" si="45"/>
        <v>1</v>
      </c>
      <c r="C640" t="s">
        <v>11</v>
      </c>
      <c r="D640">
        <f t="shared" si="48"/>
        <v>120</v>
      </c>
      <c r="E640">
        <f t="shared" si="49"/>
        <v>0</v>
      </c>
      <c r="F640">
        <f t="shared" si="46"/>
        <v>120</v>
      </c>
      <c r="G640">
        <f>SUM($E$2:E640)</f>
        <v>21800</v>
      </c>
      <c r="H640">
        <f>SUM($D$2:D640)</f>
        <v>71520</v>
      </c>
      <c r="I640">
        <f t="shared" si="47"/>
        <v>1</v>
      </c>
    </row>
    <row r="641" spans="1:9" x14ac:dyDescent="0.25">
      <c r="A641" s="1">
        <v>45566</v>
      </c>
      <c r="B641">
        <f t="shared" si="45"/>
        <v>2</v>
      </c>
      <c r="C641" t="s">
        <v>11</v>
      </c>
      <c r="D641">
        <f t="shared" si="48"/>
        <v>120</v>
      </c>
      <c r="E641">
        <f t="shared" si="49"/>
        <v>0</v>
      </c>
      <c r="F641">
        <f t="shared" si="46"/>
        <v>120</v>
      </c>
      <c r="G641">
        <f>SUM($E$2:E641)</f>
        <v>21800</v>
      </c>
      <c r="H641">
        <f>SUM($D$2:D641)</f>
        <v>71640</v>
      </c>
      <c r="I641">
        <f t="shared" si="47"/>
        <v>1</v>
      </c>
    </row>
    <row r="642" spans="1:9" x14ac:dyDescent="0.25">
      <c r="A642" s="1">
        <v>45567</v>
      </c>
      <c r="B642">
        <f t="shared" si="45"/>
        <v>3</v>
      </c>
      <c r="C642" t="s">
        <v>11</v>
      </c>
      <c r="D642">
        <f t="shared" si="48"/>
        <v>120</v>
      </c>
      <c r="E642">
        <f t="shared" si="49"/>
        <v>0</v>
      </c>
      <c r="F642">
        <f t="shared" si="46"/>
        <v>120</v>
      </c>
      <c r="G642">
        <f>SUM($E$2:E642)</f>
        <v>21800</v>
      </c>
      <c r="H642">
        <f>SUM($D$2:D642)</f>
        <v>71760</v>
      </c>
      <c r="I642">
        <f t="shared" si="47"/>
        <v>1</v>
      </c>
    </row>
    <row r="643" spans="1:9" x14ac:dyDescent="0.25">
      <c r="A643" s="1">
        <v>45568</v>
      </c>
      <c r="B643">
        <f t="shared" ref="B643:B706" si="50">WEEKDAY(A643,2)</f>
        <v>4</v>
      </c>
      <c r="C643" t="s">
        <v>11</v>
      </c>
      <c r="D643">
        <f t="shared" si="48"/>
        <v>120</v>
      </c>
      <c r="E643">
        <f t="shared" si="49"/>
        <v>0</v>
      </c>
      <c r="F643">
        <f t="shared" ref="F643:F706" si="51">D643-E643</f>
        <v>120</v>
      </c>
      <c r="G643">
        <f>SUM($E$2:E643)</f>
        <v>21800</v>
      </c>
      <c r="H643">
        <f>SUM($D$2:D643)</f>
        <v>71880</v>
      </c>
      <c r="I643">
        <f t="shared" ref="I643:I706" si="52">IF(G643&lt;H643,1,0)</f>
        <v>1</v>
      </c>
    </row>
    <row r="644" spans="1:9" x14ac:dyDescent="0.25">
      <c r="A644" s="1">
        <v>45569</v>
      </c>
      <c r="B644">
        <f t="shared" si="50"/>
        <v>5</v>
      </c>
      <c r="C644" t="s">
        <v>11</v>
      </c>
      <c r="D644">
        <f t="shared" ref="D644:D707" si="53">IF(B644&lt;6,$Q$1*VLOOKUP(C644,$S$1:$T$5,2,FALSE)*$Q$3,0)</f>
        <v>120</v>
      </c>
      <c r="E644">
        <f t="shared" ref="E644:E707" si="54">IF(B644=7,$Q$4*$Q$1,0)</f>
        <v>0</v>
      </c>
      <c r="F644">
        <f t="shared" si="51"/>
        <v>120</v>
      </c>
      <c r="G644">
        <f>SUM($E$2:E644)</f>
        <v>21800</v>
      </c>
      <c r="H644">
        <f>SUM($D$2:D644)</f>
        <v>72000</v>
      </c>
      <c r="I644">
        <f t="shared" si="52"/>
        <v>1</v>
      </c>
    </row>
    <row r="645" spans="1:9" x14ac:dyDescent="0.25">
      <c r="A645" s="1">
        <v>45570</v>
      </c>
      <c r="B645">
        <f t="shared" si="50"/>
        <v>6</v>
      </c>
      <c r="C645" t="s">
        <v>11</v>
      </c>
      <c r="D645">
        <f t="shared" si="53"/>
        <v>0</v>
      </c>
      <c r="E645">
        <f t="shared" si="54"/>
        <v>0</v>
      </c>
      <c r="F645">
        <f t="shared" si="51"/>
        <v>0</v>
      </c>
      <c r="G645">
        <f>SUM($E$2:E645)</f>
        <v>21800</v>
      </c>
      <c r="H645">
        <f>SUM($D$2:D645)</f>
        <v>72000</v>
      </c>
      <c r="I645">
        <f t="shared" si="52"/>
        <v>1</v>
      </c>
    </row>
    <row r="646" spans="1:9" x14ac:dyDescent="0.25">
      <c r="A646" s="1">
        <v>45571</v>
      </c>
      <c r="B646">
        <f t="shared" si="50"/>
        <v>7</v>
      </c>
      <c r="C646" t="s">
        <v>11</v>
      </c>
      <c r="D646">
        <f t="shared" si="53"/>
        <v>0</v>
      </c>
      <c r="E646">
        <f t="shared" si="54"/>
        <v>150</v>
      </c>
      <c r="F646">
        <f t="shared" si="51"/>
        <v>-150</v>
      </c>
      <c r="G646">
        <f>SUM($E$2:E646)</f>
        <v>21950</v>
      </c>
      <c r="H646">
        <f>SUM($D$2:D646)</f>
        <v>72000</v>
      </c>
      <c r="I646">
        <f t="shared" si="52"/>
        <v>1</v>
      </c>
    </row>
    <row r="647" spans="1:9" x14ac:dyDescent="0.25">
      <c r="A647" s="1">
        <v>45572</v>
      </c>
      <c r="B647">
        <f t="shared" si="50"/>
        <v>1</v>
      </c>
      <c r="C647" t="s">
        <v>11</v>
      </c>
      <c r="D647">
        <f t="shared" si="53"/>
        <v>120</v>
      </c>
      <c r="E647">
        <f t="shared" si="54"/>
        <v>0</v>
      </c>
      <c r="F647">
        <f t="shared" si="51"/>
        <v>120</v>
      </c>
      <c r="G647">
        <f>SUM($E$2:E647)</f>
        <v>21950</v>
      </c>
      <c r="H647">
        <f>SUM($D$2:D647)</f>
        <v>72120</v>
      </c>
      <c r="I647">
        <f t="shared" si="52"/>
        <v>1</v>
      </c>
    </row>
    <row r="648" spans="1:9" x14ac:dyDescent="0.25">
      <c r="A648" s="1">
        <v>45573</v>
      </c>
      <c r="B648">
        <f t="shared" si="50"/>
        <v>2</v>
      </c>
      <c r="C648" t="s">
        <v>11</v>
      </c>
      <c r="D648">
        <f t="shared" si="53"/>
        <v>120</v>
      </c>
      <c r="E648">
        <f t="shared" si="54"/>
        <v>0</v>
      </c>
      <c r="F648">
        <f t="shared" si="51"/>
        <v>120</v>
      </c>
      <c r="G648">
        <f>SUM($E$2:E648)</f>
        <v>21950</v>
      </c>
      <c r="H648">
        <f>SUM($D$2:D648)</f>
        <v>72240</v>
      </c>
      <c r="I648">
        <f t="shared" si="52"/>
        <v>1</v>
      </c>
    </row>
    <row r="649" spans="1:9" x14ac:dyDescent="0.25">
      <c r="A649" s="1">
        <v>45574</v>
      </c>
      <c r="B649">
        <f t="shared" si="50"/>
        <v>3</v>
      </c>
      <c r="C649" t="s">
        <v>11</v>
      </c>
      <c r="D649">
        <f t="shared" si="53"/>
        <v>120</v>
      </c>
      <c r="E649">
        <f t="shared" si="54"/>
        <v>0</v>
      </c>
      <c r="F649">
        <f t="shared" si="51"/>
        <v>120</v>
      </c>
      <c r="G649">
        <f>SUM($E$2:E649)</f>
        <v>21950</v>
      </c>
      <c r="H649">
        <f>SUM($D$2:D649)</f>
        <v>72360</v>
      </c>
      <c r="I649">
        <f t="shared" si="52"/>
        <v>1</v>
      </c>
    </row>
    <row r="650" spans="1:9" x14ac:dyDescent="0.25">
      <c r="A650" s="1">
        <v>45575</v>
      </c>
      <c r="B650">
        <f t="shared" si="50"/>
        <v>4</v>
      </c>
      <c r="C650" t="s">
        <v>11</v>
      </c>
      <c r="D650">
        <f t="shared" si="53"/>
        <v>120</v>
      </c>
      <c r="E650">
        <f t="shared" si="54"/>
        <v>0</v>
      </c>
      <c r="F650">
        <f t="shared" si="51"/>
        <v>120</v>
      </c>
      <c r="G650">
        <f>SUM($E$2:E650)</f>
        <v>21950</v>
      </c>
      <c r="H650">
        <f>SUM($D$2:D650)</f>
        <v>72480</v>
      </c>
      <c r="I650">
        <f t="shared" si="52"/>
        <v>1</v>
      </c>
    </row>
    <row r="651" spans="1:9" x14ac:dyDescent="0.25">
      <c r="A651" s="1">
        <v>45576</v>
      </c>
      <c r="B651">
        <f t="shared" si="50"/>
        <v>5</v>
      </c>
      <c r="C651" t="s">
        <v>11</v>
      </c>
      <c r="D651">
        <f t="shared" si="53"/>
        <v>120</v>
      </c>
      <c r="E651">
        <f t="shared" si="54"/>
        <v>0</v>
      </c>
      <c r="F651">
        <f t="shared" si="51"/>
        <v>120</v>
      </c>
      <c r="G651">
        <f>SUM($E$2:E651)</f>
        <v>21950</v>
      </c>
      <c r="H651">
        <f>SUM($D$2:D651)</f>
        <v>72600</v>
      </c>
      <c r="I651">
        <f t="shared" si="52"/>
        <v>1</v>
      </c>
    </row>
    <row r="652" spans="1:9" x14ac:dyDescent="0.25">
      <c r="A652" s="1">
        <v>45577</v>
      </c>
      <c r="B652">
        <f t="shared" si="50"/>
        <v>6</v>
      </c>
      <c r="C652" t="s">
        <v>11</v>
      </c>
      <c r="D652">
        <f t="shared" si="53"/>
        <v>0</v>
      </c>
      <c r="E652">
        <f t="shared" si="54"/>
        <v>0</v>
      </c>
      <c r="F652">
        <f t="shared" si="51"/>
        <v>0</v>
      </c>
      <c r="G652">
        <f>SUM($E$2:E652)</f>
        <v>21950</v>
      </c>
      <c r="H652">
        <f>SUM($D$2:D652)</f>
        <v>72600</v>
      </c>
      <c r="I652">
        <f t="shared" si="52"/>
        <v>1</v>
      </c>
    </row>
    <row r="653" spans="1:9" x14ac:dyDescent="0.25">
      <c r="A653" s="1">
        <v>45578</v>
      </c>
      <c r="B653">
        <f t="shared" si="50"/>
        <v>7</v>
      </c>
      <c r="C653" t="s">
        <v>11</v>
      </c>
      <c r="D653">
        <f t="shared" si="53"/>
        <v>0</v>
      </c>
      <c r="E653">
        <f t="shared" si="54"/>
        <v>150</v>
      </c>
      <c r="F653">
        <f t="shared" si="51"/>
        <v>-150</v>
      </c>
      <c r="G653">
        <f>SUM($E$2:E653)</f>
        <v>22100</v>
      </c>
      <c r="H653">
        <f>SUM($D$2:D653)</f>
        <v>72600</v>
      </c>
      <c r="I653">
        <f t="shared" si="52"/>
        <v>1</v>
      </c>
    </row>
    <row r="654" spans="1:9" x14ac:dyDescent="0.25">
      <c r="A654" s="1">
        <v>45579</v>
      </c>
      <c r="B654">
        <f t="shared" si="50"/>
        <v>1</v>
      </c>
      <c r="C654" t="s">
        <v>11</v>
      </c>
      <c r="D654">
        <f t="shared" si="53"/>
        <v>120</v>
      </c>
      <c r="E654">
        <f t="shared" si="54"/>
        <v>0</v>
      </c>
      <c r="F654">
        <f t="shared" si="51"/>
        <v>120</v>
      </c>
      <c r="G654">
        <f>SUM($E$2:E654)</f>
        <v>22100</v>
      </c>
      <c r="H654">
        <f>SUM($D$2:D654)</f>
        <v>72720</v>
      </c>
      <c r="I654">
        <f t="shared" si="52"/>
        <v>1</v>
      </c>
    </row>
    <row r="655" spans="1:9" x14ac:dyDescent="0.25">
      <c r="A655" s="1">
        <v>45580</v>
      </c>
      <c r="B655">
        <f t="shared" si="50"/>
        <v>2</v>
      </c>
      <c r="C655" t="s">
        <v>11</v>
      </c>
      <c r="D655">
        <f t="shared" si="53"/>
        <v>120</v>
      </c>
      <c r="E655">
        <f t="shared" si="54"/>
        <v>0</v>
      </c>
      <c r="F655">
        <f t="shared" si="51"/>
        <v>120</v>
      </c>
      <c r="G655">
        <f>SUM($E$2:E655)</f>
        <v>22100</v>
      </c>
      <c r="H655">
        <f>SUM($D$2:D655)</f>
        <v>72840</v>
      </c>
      <c r="I655">
        <f t="shared" si="52"/>
        <v>1</v>
      </c>
    </row>
    <row r="656" spans="1:9" x14ac:dyDescent="0.25">
      <c r="A656" s="1">
        <v>45581</v>
      </c>
      <c r="B656">
        <f t="shared" si="50"/>
        <v>3</v>
      </c>
      <c r="C656" t="s">
        <v>11</v>
      </c>
      <c r="D656">
        <f t="shared" si="53"/>
        <v>120</v>
      </c>
      <c r="E656">
        <f t="shared" si="54"/>
        <v>0</v>
      </c>
      <c r="F656">
        <f t="shared" si="51"/>
        <v>120</v>
      </c>
      <c r="G656">
        <f>SUM($E$2:E656)</f>
        <v>22100</v>
      </c>
      <c r="H656">
        <f>SUM($D$2:D656)</f>
        <v>72960</v>
      </c>
      <c r="I656">
        <f t="shared" si="52"/>
        <v>1</v>
      </c>
    </row>
    <row r="657" spans="1:9" x14ac:dyDescent="0.25">
      <c r="A657" s="1">
        <v>45582</v>
      </c>
      <c r="B657">
        <f t="shared" si="50"/>
        <v>4</v>
      </c>
      <c r="C657" t="s">
        <v>11</v>
      </c>
      <c r="D657">
        <f t="shared" si="53"/>
        <v>120</v>
      </c>
      <c r="E657">
        <f t="shared" si="54"/>
        <v>0</v>
      </c>
      <c r="F657">
        <f t="shared" si="51"/>
        <v>120</v>
      </c>
      <c r="G657">
        <f>SUM($E$2:E657)</f>
        <v>22100</v>
      </c>
      <c r="H657">
        <f>SUM($D$2:D657)</f>
        <v>73080</v>
      </c>
      <c r="I657">
        <f t="shared" si="52"/>
        <v>1</v>
      </c>
    </row>
    <row r="658" spans="1:9" x14ac:dyDescent="0.25">
      <c r="A658" s="1">
        <v>45583</v>
      </c>
      <c r="B658">
        <f t="shared" si="50"/>
        <v>5</v>
      </c>
      <c r="C658" t="s">
        <v>11</v>
      </c>
      <c r="D658">
        <f t="shared" si="53"/>
        <v>120</v>
      </c>
      <c r="E658">
        <f t="shared" si="54"/>
        <v>0</v>
      </c>
      <c r="F658">
        <f t="shared" si="51"/>
        <v>120</v>
      </c>
      <c r="G658">
        <f>SUM($E$2:E658)</f>
        <v>22100</v>
      </c>
      <c r="H658">
        <f>SUM($D$2:D658)</f>
        <v>73200</v>
      </c>
      <c r="I658">
        <f t="shared" si="52"/>
        <v>1</v>
      </c>
    </row>
    <row r="659" spans="1:9" x14ac:dyDescent="0.25">
      <c r="A659" s="1">
        <v>45584</v>
      </c>
      <c r="B659">
        <f t="shared" si="50"/>
        <v>6</v>
      </c>
      <c r="C659" t="s">
        <v>11</v>
      </c>
      <c r="D659">
        <f t="shared" si="53"/>
        <v>0</v>
      </c>
      <c r="E659">
        <f t="shared" si="54"/>
        <v>0</v>
      </c>
      <c r="F659">
        <f t="shared" si="51"/>
        <v>0</v>
      </c>
      <c r="G659">
        <f>SUM($E$2:E659)</f>
        <v>22100</v>
      </c>
      <c r="H659">
        <f>SUM($D$2:D659)</f>
        <v>73200</v>
      </c>
      <c r="I659">
        <f t="shared" si="52"/>
        <v>1</v>
      </c>
    </row>
    <row r="660" spans="1:9" x14ac:dyDescent="0.25">
      <c r="A660" s="1">
        <v>45585</v>
      </c>
      <c r="B660">
        <f t="shared" si="50"/>
        <v>7</v>
      </c>
      <c r="C660" t="s">
        <v>11</v>
      </c>
      <c r="D660">
        <f t="shared" si="53"/>
        <v>0</v>
      </c>
      <c r="E660">
        <f t="shared" si="54"/>
        <v>150</v>
      </c>
      <c r="F660">
        <f t="shared" si="51"/>
        <v>-150</v>
      </c>
      <c r="G660">
        <f>SUM($E$2:E660)</f>
        <v>22250</v>
      </c>
      <c r="H660">
        <f>SUM($D$2:D660)</f>
        <v>73200</v>
      </c>
      <c r="I660">
        <f t="shared" si="52"/>
        <v>1</v>
      </c>
    </row>
    <row r="661" spans="1:9" x14ac:dyDescent="0.25">
      <c r="A661" s="1">
        <v>45586</v>
      </c>
      <c r="B661">
        <f t="shared" si="50"/>
        <v>1</v>
      </c>
      <c r="C661" t="s">
        <v>11</v>
      </c>
      <c r="D661">
        <f t="shared" si="53"/>
        <v>120</v>
      </c>
      <c r="E661">
        <f t="shared" si="54"/>
        <v>0</v>
      </c>
      <c r="F661">
        <f t="shared" si="51"/>
        <v>120</v>
      </c>
      <c r="G661">
        <f>SUM($E$2:E661)</f>
        <v>22250</v>
      </c>
      <c r="H661">
        <f>SUM($D$2:D661)</f>
        <v>73320</v>
      </c>
      <c r="I661">
        <f t="shared" si="52"/>
        <v>1</v>
      </c>
    </row>
    <row r="662" spans="1:9" x14ac:dyDescent="0.25">
      <c r="A662" s="1">
        <v>45587</v>
      </c>
      <c r="B662">
        <f t="shared" si="50"/>
        <v>2</v>
      </c>
      <c r="C662" t="s">
        <v>11</v>
      </c>
      <c r="D662">
        <f t="shared" si="53"/>
        <v>120</v>
      </c>
      <c r="E662">
        <f t="shared" si="54"/>
        <v>0</v>
      </c>
      <c r="F662">
        <f t="shared" si="51"/>
        <v>120</v>
      </c>
      <c r="G662">
        <f>SUM($E$2:E662)</f>
        <v>22250</v>
      </c>
      <c r="H662">
        <f>SUM($D$2:D662)</f>
        <v>73440</v>
      </c>
      <c r="I662">
        <f t="shared" si="52"/>
        <v>1</v>
      </c>
    </row>
    <row r="663" spans="1:9" x14ac:dyDescent="0.25">
      <c r="A663" s="1">
        <v>45588</v>
      </c>
      <c r="B663">
        <f t="shared" si="50"/>
        <v>3</v>
      </c>
      <c r="C663" t="s">
        <v>11</v>
      </c>
      <c r="D663">
        <f t="shared" si="53"/>
        <v>120</v>
      </c>
      <c r="E663">
        <f t="shared" si="54"/>
        <v>0</v>
      </c>
      <c r="F663">
        <f t="shared" si="51"/>
        <v>120</v>
      </c>
      <c r="G663">
        <f>SUM($E$2:E663)</f>
        <v>22250</v>
      </c>
      <c r="H663">
        <f>SUM($D$2:D663)</f>
        <v>73560</v>
      </c>
      <c r="I663">
        <f t="shared" si="52"/>
        <v>1</v>
      </c>
    </row>
    <row r="664" spans="1:9" x14ac:dyDescent="0.25">
      <c r="A664" s="1">
        <v>45589</v>
      </c>
      <c r="B664">
        <f t="shared" si="50"/>
        <v>4</v>
      </c>
      <c r="C664" t="s">
        <v>11</v>
      </c>
      <c r="D664">
        <f t="shared" si="53"/>
        <v>120</v>
      </c>
      <c r="E664">
        <f t="shared" si="54"/>
        <v>0</v>
      </c>
      <c r="F664">
        <f t="shared" si="51"/>
        <v>120</v>
      </c>
      <c r="G664">
        <f>SUM($E$2:E664)</f>
        <v>22250</v>
      </c>
      <c r="H664">
        <f>SUM($D$2:D664)</f>
        <v>73680</v>
      </c>
      <c r="I664">
        <f t="shared" si="52"/>
        <v>1</v>
      </c>
    </row>
    <row r="665" spans="1:9" x14ac:dyDescent="0.25">
      <c r="A665" s="1">
        <v>45590</v>
      </c>
      <c r="B665">
        <f t="shared" si="50"/>
        <v>5</v>
      </c>
      <c r="C665" t="s">
        <v>11</v>
      </c>
      <c r="D665">
        <f t="shared" si="53"/>
        <v>120</v>
      </c>
      <c r="E665">
        <f t="shared" si="54"/>
        <v>0</v>
      </c>
      <c r="F665">
        <f t="shared" si="51"/>
        <v>120</v>
      </c>
      <c r="G665">
        <f>SUM($E$2:E665)</f>
        <v>22250</v>
      </c>
      <c r="H665">
        <f>SUM($D$2:D665)</f>
        <v>73800</v>
      </c>
      <c r="I665">
        <f t="shared" si="52"/>
        <v>1</v>
      </c>
    </row>
    <row r="666" spans="1:9" x14ac:dyDescent="0.25">
      <c r="A666" s="1">
        <v>45591</v>
      </c>
      <c r="B666">
        <f t="shared" si="50"/>
        <v>6</v>
      </c>
      <c r="C666" t="s">
        <v>11</v>
      </c>
      <c r="D666">
        <f t="shared" si="53"/>
        <v>0</v>
      </c>
      <c r="E666">
        <f t="shared" si="54"/>
        <v>0</v>
      </c>
      <c r="F666">
        <f t="shared" si="51"/>
        <v>0</v>
      </c>
      <c r="G666">
        <f>SUM($E$2:E666)</f>
        <v>22250</v>
      </c>
      <c r="H666">
        <f>SUM($D$2:D666)</f>
        <v>73800</v>
      </c>
      <c r="I666">
        <f t="shared" si="52"/>
        <v>1</v>
      </c>
    </row>
    <row r="667" spans="1:9" x14ac:dyDescent="0.25">
      <c r="A667" s="1">
        <v>45592</v>
      </c>
      <c r="B667">
        <f t="shared" si="50"/>
        <v>7</v>
      </c>
      <c r="C667" t="s">
        <v>11</v>
      </c>
      <c r="D667">
        <f t="shared" si="53"/>
        <v>0</v>
      </c>
      <c r="E667">
        <f t="shared" si="54"/>
        <v>150</v>
      </c>
      <c r="F667">
        <f t="shared" si="51"/>
        <v>-150</v>
      </c>
      <c r="G667">
        <f>SUM($E$2:E667)</f>
        <v>22400</v>
      </c>
      <c r="H667">
        <f>SUM($D$2:D667)</f>
        <v>73800</v>
      </c>
      <c r="I667">
        <f t="shared" si="52"/>
        <v>1</v>
      </c>
    </row>
    <row r="668" spans="1:9" x14ac:dyDescent="0.25">
      <c r="A668" s="1">
        <v>45593</v>
      </c>
      <c r="B668">
        <f t="shared" si="50"/>
        <v>1</v>
      </c>
      <c r="C668" t="s">
        <v>11</v>
      </c>
      <c r="D668">
        <f t="shared" si="53"/>
        <v>120</v>
      </c>
      <c r="E668">
        <f t="shared" si="54"/>
        <v>0</v>
      </c>
      <c r="F668">
        <f t="shared" si="51"/>
        <v>120</v>
      </c>
      <c r="G668">
        <f>SUM($E$2:E668)</f>
        <v>22400</v>
      </c>
      <c r="H668">
        <f>SUM($D$2:D668)</f>
        <v>73920</v>
      </c>
      <c r="I668">
        <f t="shared" si="52"/>
        <v>1</v>
      </c>
    </row>
    <row r="669" spans="1:9" x14ac:dyDescent="0.25">
      <c r="A669" s="1">
        <v>45594</v>
      </c>
      <c r="B669">
        <f t="shared" si="50"/>
        <v>2</v>
      </c>
      <c r="C669" t="s">
        <v>11</v>
      </c>
      <c r="D669">
        <f t="shared" si="53"/>
        <v>120</v>
      </c>
      <c r="E669">
        <f t="shared" si="54"/>
        <v>0</v>
      </c>
      <c r="F669">
        <f t="shared" si="51"/>
        <v>120</v>
      </c>
      <c r="G669">
        <f>SUM($E$2:E669)</f>
        <v>22400</v>
      </c>
      <c r="H669">
        <f>SUM($D$2:D669)</f>
        <v>74040</v>
      </c>
      <c r="I669">
        <f t="shared" si="52"/>
        <v>1</v>
      </c>
    </row>
    <row r="670" spans="1:9" x14ac:dyDescent="0.25">
      <c r="A670" s="1">
        <v>45595</v>
      </c>
      <c r="B670">
        <f t="shared" si="50"/>
        <v>3</v>
      </c>
      <c r="C670" t="s">
        <v>11</v>
      </c>
      <c r="D670">
        <f t="shared" si="53"/>
        <v>120</v>
      </c>
      <c r="E670">
        <f t="shared" si="54"/>
        <v>0</v>
      </c>
      <c r="F670">
        <f t="shared" si="51"/>
        <v>120</v>
      </c>
      <c r="G670">
        <f>SUM($E$2:E670)</f>
        <v>22400</v>
      </c>
      <c r="H670">
        <f>SUM($D$2:D670)</f>
        <v>74160</v>
      </c>
      <c r="I670">
        <f t="shared" si="52"/>
        <v>1</v>
      </c>
    </row>
    <row r="671" spans="1:9" x14ac:dyDescent="0.25">
      <c r="A671" s="1">
        <v>45596</v>
      </c>
      <c r="B671">
        <f t="shared" si="50"/>
        <v>4</v>
      </c>
      <c r="C671" t="s">
        <v>11</v>
      </c>
      <c r="D671">
        <f t="shared" si="53"/>
        <v>120</v>
      </c>
      <c r="E671">
        <f t="shared" si="54"/>
        <v>0</v>
      </c>
      <c r="F671">
        <f t="shared" si="51"/>
        <v>120</v>
      </c>
      <c r="G671">
        <f>SUM($E$2:E671)</f>
        <v>22400</v>
      </c>
      <c r="H671">
        <f>SUM($D$2:D671)</f>
        <v>74280</v>
      </c>
      <c r="I671">
        <f t="shared" si="52"/>
        <v>1</v>
      </c>
    </row>
    <row r="672" spans="1:9" x14ac:dyDescent="0.25">
      <c r="A672" s="1">
        <v>45597</v>
      </c>
      <c r="B672">
        <f t="shared" si="50"/>
        <v>5</v>
      </c>
      <c r="C672" t="s">
        <v>11</v>
      </c>
      <c r="D672">
        <f t="shared" si="53"/>
        <v>120</v>
      </c>
      <c r="E672">
        <f t="shared" si="54"/>
        <v>0</v>
      </c>
      <c r="F672">
        <f t="shared" si="51"/>
        <v>120</v>
      </c>
      <c r="G672">
        <f>SUM($E$2:E672)</f>
        <v>22400</v>
      </c>
      <c r="H672">
        <f>SUM($D$2:D672)</f>
        <v>74400</v>
      </c>
      <c r="I672">
        <f t="shared" si="52"/>
        <v>1</v>
      </c>
    </row>
    <row r="673" spans="1:9" x14ac:dyDescent="0.25">
      <c r="A673" s="1">
        <v>45598</v>
      </c>
      <c r="B673">
        <f t="shared" si="50"/>
        <v>6</v>
      </c>
      <c r="C673" t="s">
        <v>11</v>
      </c>
      <c r="D673">
        <f t="shared" si="53"/>
        <v>0</v>
      </c>
      <c r="E673">
        <f t="shared" si="54"/>
        <v>0</v>
      </c>
      <c r="F673">
        <f t="shared" si="51"/>
        <v>0</v>
      </c>
      <c r="G673">
        <f>SUM($E$2:E673)</f>
        <v>22400</v>
      </c>
      <c r="H673">
        <f>SUM($D$2:D673)</f>
        <v>74400</v>
      </c>
      <c r="I673">
        <f t="shared" si="52"/>
        <v>1</v>
      </c>
    </row>
    <row r="674" spans="1:9" x14ac:dyDescent="0.25">
      <c r="A674" s="1">
        <v>45599</v>
      </c>
      <c r="B674">
        <f t="shared" si="50"/>
        <v>7</v>
      </c>
      <c r="C674" t="s">
        <v>11</v>
      </c>
      <c r="D674">
        <f t="shared" si="53"/>
        <v>0</v>
      </c>
      <c r="E674">
        <f t="shared" si="54"/>
        <v>150</v>
      </c>
      <c r="F674">
        <f t="shared" si="51"/>
        <v>-150</v>
      </c>
      <c r="G674">
        <f>SUM($E$2:E674)</f>
        <v>22550</v>
      </c>
      <c r="H674">
        <f>SUM($D$2:D674)</f>
        <v>74400</v>
      </c>
      <c r="I674">
        <f t="shared" si="52"/>
        <v>1</v>
      </c>
    </row>
    <row r="675" spans="1:9" x14ac:dyDescent="0.25">
      <c r="A675" s="1">
        <v>45600</v>
      </c>
      <c r="B675">
        <f t="shared" si="50"/>
        <v>1</v>
      </c>
      <c r="C675" t="s">
        <v>11</v>
      </c>
      <c r="D675">
        <f t="shared" si="53"/>
        <v>120</v>
      </c>
      <c r="E675">
        <f t="shared" si="54"/>
        <v>0</v>
      </c>
      <c r="F675">
        <f t="shared" si="51"/>
        <v>120</v>
      </c>
      <c r="G675">
        <f>SUM($E$2:E675)</f>
        <v>22550</v>
      </c>
      <c r="H675">
        <f>SUM($D$2:D675)</f>
        <v>74520</v>
      </c>
      <c r="I675">
        <f t="shared" si="52"/>
        <v>1</v>
      </c>
    </row>
    <row r="676" spans="1:9" x14ac:dyDescent="0.25">
      <c r="A676" s="1">
        <v>45601</v>
      </c>
      <c r="B676">
        <f t="shared" si="50"/>
        <v>2</v>
      </c>
      <c r="C676" t="s">
        <v>11</v>
      </c>
      <c r="D676">
        <f t="shared" si="53"/>
        <v>120</v>
      </c>
      <c r="E676">
        <f t="shared" si="54"/>
        <v>0</v>
      </c>
      <c r="F676">
        <f t="shared" si="51"/>
        <v>120</v>
      </c>
      <c r="G676">
        <f>SUM($E$2:E676)</f>
        <v>22550</v>
      </c>
      <c r="H676">
        <f>SUM($D$2:D676)</f>
        <v>74640</v>
      </c>
      <c r="I676">
        <f t="shared" si="52"/>
        <v>1</v>
      </c>
    </row>
    <row r="677" spans="1:9" x14ac:dyDescent="0.25">
      <c r="A677" s="1">
        <v>45602</v>
      </c>
      <c r="B677">
        <f t="shared" si="50"/>
        <v>3</v>
      </c>
      <c r="C677" t="s">
        <v>11</v>
      </c>
      <c r="D677">
        <f t="shared" si="53"/>
        <v>120</v>
      </c>
      <c r="E677">
        <f t="shared" si="54"/>
        <v>0</v>
      </c>
      <c r="F677">
        <f t="shared" si="51"/>
        <v>120</v>
      </c>
      <c r="G677">
        <f>SUM($E$2:E677)</f>
        <v>22550</v>
      </c>
      <c r="H677">
        <f>SUM($D$2:D677)</f>
        <v>74760</v>
      </c>
      <c r="I677">
        <f t="shared" si="52"/>
        <v>1</v>
      </c>
    </row>
    <row r="678" spans="1:9" x14ac:dyDescent="0.25">
      <c r="A678" s="1">
        <v>45603</v>
      </c>
      <c r="B678">
        <f t="shared" si="50"/>
        <v>4</v>
      </c>
      <c r="C678" t="s">
        <v>11</v>
      </c>
      <c r="D678">
        <f t="shared" si="53"/>
        <v>120</v>
      </c>
      <c r="E678">
        <f t="shared" si="54"/>
        <v>0</v>
      </c>
      <c r="F678">
        <f t="shared" si="51"/>
        <v>120</v>
      </c>
      <c r="G678">
        <f>SUM($E$2:E678)</f>
        <v>22550</v>
      </c>
      <c r="H678">
        <f>SUM($D$2:D678)</f>
        <v>74880</v>
      </c>
      <c r="I678">
        <f t="shared" si="52"/>
        <v>1</v>
      </c>
    </row>
    <row r="679" spans="1:9" x14ac:dyDescent="0.25">
      <c r="A679" s="1">
        <v>45604</v>
      </c>
      <c r="B679">
        <f t="shared" si="50"/>
        <v>5</v>
      </c>
      <c r="C679" t="s">
        <v>11</v>
      </c>
      <c r="D679">
        <f t="shared" si="53"/>
        <v>120</v>
      </c>
      <c r="E679">
        <f t="shared" si="54"/>
        <v>0</v>
      </c>
      <c r="F679">
        <f t="shared" si="51"/>
        <v>120</v>
      </c>
      <c r="G679">
        <f>SUM($E$2:E679)</f>
        <v>22550</v>
      </c>
      <c r="H679">
        <f>SUM($D$2:D679)</f>
        <v>75000</v>
      </c>
      <c r="I679">
        <f t="shared" si="52"/>
        <v>1</v>
      </c>
    </row>
    <row r="680" spans="1:9" x14ac:dyDescent="0.25">
      <c r="A680" s="1">
        <v>45605</v>
      </c>
      <c r="B680">
        <f t="shared" si="50"/>
        <v>6</v>
      </c>
      <c r="C680" t="s">
        <v>11</v>
      </c>
      <c r="D680">
        <f t="shared" si="53"/>
        <v>0</v>
      </c>
      <c r="E680">
        <f t="shared" si="54"/>
        <v>0</v>
      </c>
      <c r="F680">
        <f t="shared" si="51"/>
        <v>0</v>
      </c>
      <c r="G680">
        <f>SUM($E$2:E680)</f>
        <v>22550</v>
      </c>
      <c r="H680">
        <f>SUM($D$2:D680)</f>
        <v>75000</v>
      </c>
      <c r="I680">
        <f t="shared" si="52"/>
        <v>1</v>
      </c>
    </row>
    <row r="681" spans="1:9" x14ac:dyDescent="0.25">
      <c r="A681" s="1">
        <v>45606</v>
      </c>
      <c r="B681">
        <f t="shared" si="50"/>
        <v>7</v>
      </c>
      <c r="C681" t="s">
        <v>11</v>
      </c>
      <c r="D681">
        <f t="shared" si="53"/>
        <v>0</v>
      </c>
      <c r="E681">
        <f t="shared" si="54"/>
        <v>150</v>
      </c>
      <c r="F681">
        <f t="shared" si="51"/>
        <v>-150</v>
      </c>
      <c r="G681">
        <f>SUM($E$2:E681)</f>
        <v>22700</v>
      </c>
      <c r="H681">
        <f>SUM($D$2:D681)</f>
        <v>75000</v>
      </c>
      <c r="I681">
        <f t="shared" si="52"/>
        <v>1</v>
      </c>
    </row>
    <row r="682" spans="1:9" x14ac:dyDescent="0.25">
      <c r="A682" s="1">
        <v>45607</v>
      </c>
      <c r="B682">
        <f t="shared" si="50"/>
        <v>1</v>
      </c>
      <c r="C682" t="s">
        <v>11</v>
      </c>
      <c r="D682">
        <f t="shared" si="53"/>
        <v>120</v>
      </c>
      <c r="E682">
        <f t="shared" si="54"/>
        <v>0</v>
      </c>
      <c r="F682">
        <f t="shared" si="51"/>
        <v>120</v>
      </c>
      <c r="G682">
        <f>SUM($E$2:E682)</f>
        <v>22700</v>
      </c>
      <c r="H682">
        <f>SUM($D$2:D682)</f>
        <v>75120</v>
      </c>
      <c r="I682">
        <f t="shared" si="52"/>
        <v>1</v>
      </c>
    </row>
    <row r="683" spans="1:9" x14ac:dyDescent="0.25">
      <c r="A683" s="1">
        <v>45608</v>
      </c>
      <c r="B683">
        <f t="shared" si="50"/>
        <v>2</v>
      </c>
      <c r="C683" t="s">
        <v>11</v>
      </c>
      <c r="D683">
        <f t="shared" si="53"/>
        <v>120</v>
      </c>
      <c r="E683">
        <f t="shared" si="54"/>
        <v>0</v>
      </c>
      <c r="F683">
        <f t="shared" si="51"/>
        <v>120</v>
      </c>
      <c r="G683">
        <f>SUM($E$2:E683)</f>
        <v>22700</v>
      </c>
      <c r="H683">
        <f>SUM($D$2:D683)</f>
        <v>75240</v>
      </c>
      <c r="I683">
        <f t="shared" si="52"/>
        <v>1</v>
      </c>
    </row>
    <row r="684" spans="1:9" x14ac:dyDescent="0.25">
      <c r="A684" s="1">
        <v>45609</v>
      </c>
      <c r="B684">
        <f t="shared" si="50"/>
        <v>3</v>
      </c>
      <c r="C684" t="s">
        <v>11</v>
      </c>
      <c r="D684">
        <f t="shared" si="53"/>
        <v>120</v>
      </c>
      <c r="E684">
        <f t="shared" si="54"/>
        <v>0</v>
      </c>
      <c r="F684">
        <f t="shared" si="51"/>
        <v>120</v>
      </c>
      <c r="G684">
        <f>SUM($E$2:E684)</f>
        <v>22700</v>
      </c>
      <c r="H684">
        <f>SUM($D$2:D684)</f>
        <v>75360</v>
      </c>
      <c r="I684">
        <f t="shared" si="52"/>
        <v>1</v>
      </c>
    </row>
    <row r="685" spans="1:9" x14ac:dyDescent="0.25">
      <c r="A685" s="1">
        <v>45610</v>
      </c>
      <c r="B685">
        <f t="shared" si="50"/>
        <v>4</v>
      </c>
      <c r="C685" t="s">
        <v>11</v>
      </c>
      <c r="D685">
        <f t="shared" si="53"/>
        <v>120</v>
      </c>
      <c r="E685">
        <f t="shared" si="54"/>
        <v>0</v>
      </c>
      <c r="F685">
        <f t="shared" si="51"/>
        <v>120</v>
      </c>
      <c r="G685">
        <f>SUM($E$2:E685)</f>
        <v>22700</v>
      </c>
      <c r="H685">
        <f>SUM($D$2:D685)</f>
        <v>75480</v>
      </c>
      <c r="I685">
        <f t="shared" si="52"/>
        <v>1</v>
      </c>
    </row>
    <row r="686" spans="1:9" x14ac:dyDescent="0.25">
      <c r="A686" s="1">
        <v>45611</v>
      </c>
      <c r="B686">
        <f t="shared" si="50"/>
        <v>5</v>
      </c>
      <c r="C686" t="s">
        <v>11</v>
      </c>
      <c r="D686">
        <f t="shared" si="53"/>
        <v>120</v>
      </c>
      <c r="E686">
        <f t="shared" si="54"/>
        <v>0</v>
      </c>
      <c r="F686">
        <f t="shared" si="51"/>
        <v>120</v>
      </c>
      <c r="G686">
        <f>SUM($E$2:E686)</f>
        <v>22700</v>
      </c>
      <c r="H686">
        <f>SUM($D$2:D686)</f>
        <v>75600</v>
      </c>
      <c r="I686">
        <f t="shared" si="52"/>
        <v>1</v>
      </c>
    </row>
    <row r="687" spans="1:9" x14ac:dyDescent="0.25">
      <c r="A687" s="1">
        <v>45612</v>
      </c>
      <c r="B687">
        <f t="shared" si="50"/>
        <v>6</v>
      </c>
      <c r="C687" t="s">
        <v>11</v>
      </c>
      <c r="D687">
        <f t="shared" si="53"/>
        <v>0</v>
      </c>
      <c r="E687">
        <f t="shared" si="54"/>
        <v>0</v>
      </c>
      <c r="F687">
        <f t="shared" si="51"/>
        <v>0</v>
      </c>
      <c r="G687">
        <f>SUM($E$2:E687)</f>
        <v>22700</v>
      </c>
      <c r="H687">
        <f>SUM($D$2:D687)</f>
        <v>75600</v>
      </c>
      <c r="I687">
        <f t="shared" si="52"/>
        <v>1</v>
      </c>
    </row>
    <row r="688" spans="1:9" x14ac:dyDescent="0.25">
      <c r="A688" s="1">
        <v>45613</v>
      </c>
      <c r="B688">
        <f t="shared" si="50"/>
        <v>7</v>
      </c>
      <c r="C688" t="s">
        <v>11</v>
      </c>
      <c r="D688">
        <f t="shared" si="53"/>
        <v>0</v>
      </c>
      <c r="E688">
        <f t="shared" si="54"/>
        <v>150</v>
      </c>
      <c r="F688">
        <f t="shared" si="51"/>
        <v>-150</v>
      </c>
      <c r="G688">
        <f>SUM($E$2:E688)</f>
        <v>22850</v>
      </c>
      <c r="H688">
        <f>SUM($D$2:D688)</f>
        <v>75600</v>
      </c>
      <c r="I688">
        <f t="shared" si="52"/>
        <v>1</v>
      </c>
    </row>
    <row r="689" spans="1:9" x14ac:dyDescent="0.25">
      <c r="A689" s="1">
        <v>45614</v>
      </c>
      <c r="B689">
        <f t="shared" si="50"/>
        <v>1</v>
      </c>
      <c r="C689" t="s">
        <v>11</v>
      </c>
      <c r="D689">
        <f t="shared" si="53"/>
        <v>120</v>
      </c>
      <c r="E689">
        <f t="shared" si="54"/>
        <v>0</v>
      </c>
      <c r="F689">
        <f t="shared" si="51"/>
        <v>120</v>
      </c>
      <c r="G689">
        <f>SUM($E$2:E689)</f>
        <v>22850</v>
      </c>
      <c r="H689">
        <f>SUM($D$2:D689)</f>
        <v>75720</v>
      </c>
      <c r="I689">
        <f t="shared" si="52"/>
        <v>1</v>
      </c>
    </row>
    <row r="690" spans="1:9" x14ac:dyDescent="0.25">
      <c r="A690" s="1">
        <v>45615</v>
      </c>
      <c r="B690">
        <f t="shared" si="50"/>
        <v>2</v>
      </c>
      <c r="C690" t="s">
        <v>11</v>
      </c>
      <c r="D690">
        <f t="shared" si="53"/>
        <v>120</v>
      </c>
      <c r="E690">
        <f t="shared" si="54"/>
        <v>0</v>
      </c>
      <c r="F690">
        <f t="shared" si="51"/>
        <v>120</v>
      </c>
      <c r="G690">
        <f>SUM($E$2:E690)</f>
        <v>22850</v>
      </c>
      <c r="H690">
        <f>SUM($D$2:D690)</f>
        <v>75840</v>
      </c>
      <c r="I690">
        <f t="shared" si="52"/>
        <v>1</v>
      </c>
    </row>
    <row r="691" spans="1:9" x14ac:dyDescent="0.25">
      <c r="A691" s="1">
        <v>45616</v>
      </c>
      <c r="B691">
        <f t="shared" si="50"/>
        <v>3</v>
      </c>
      <c r="C691" t="s">
        <v>11</v>
      </c>
      <c r="D691">
        <f t="shared" si="53"/>
        <v>120</v>
      </c>
      <c r="E691">
        <f t="shared" si="54"/>
        <v>0</v>
      </c>
      <c r="F691">
        <f t="shared" si="51"/>
        <v>120</v>
      </c>
      <c r="G691">
        <f>SUM($E$2:E691)</f>
        <v>22850</v>
      </c>
      <c r="H691">
        <f>SUM($D$2:D691)</f>
        <v>75960</v>
      </c>
      <c r="I691">
        <f t="shared" si="52"/>
        <v>1</v>
      </c>
    </row>
    <row r="692" spans="1:9" x14ac:dyDescent="0.25">
      <c r="A692" s="1">
        <v>45617</v>
      </c>
      <c r="B692">
        <f t="shared" si="50"/>
        <v>4</v>
      </c>
      <c r="C692" t="s">
        <v>11</v>
      </c>
      <c r="D692">
        <f t="shared" si="53"/>
        <v>120</v>
      </c>
      <c r="E692">
        <f t="shared" si="54"/>
        <v>0</v>
      </c>
      <c r="F692">
        <f t="shared" si="51"/>
        <v>120</v>
      </c>
      <c r="G692">
        <f>SUM($E$2:E692)</f>
        <v>22850</v>
      </c>
      <c r="H692">
        <f>SUM($D$2:D692)</f>
        <v>76080</v>
      </c>
      <c r="I692">
        <f t="shared" si="52"/>
        <v>1</v>
      </c>
    </row>
    <row r="693" spans="1:9" x14ac:dyDescent="0.25">
      <c r="A693" s="1">
        <v>45618</v>
      </c>
      <c r="B693">
        <f t="shared" si="50"/>
        <v>5</v>
      </c>
      <c r="C693" t="s">
        <v>11</v>
      </c>
      <c r="D693">
        <f t="shared" si="53"/>
        <v>120</v>
      </c>
      <c r="E693">
        <f t="shared" si="54"/>
        <v>0</v>
      </c>
      <c r="F693">
        <f t="shared" si="51"/>
        <v>120</v>
      </c>
      <c r="G693">
        <f>SUM($E$2:E693)</f>
        <v>22850</v>
      </c>
      <c r="H693">
        <f>SUM($D$2:D693)</f>
        <v>76200</v>
      </c>
      <c r="I693">
        <f t="shared" si="52"/>
        <v>1</v>
      </c>
    </row>
    <row r="694" spans="1:9" x14ac:dyDescent="0.25">
      <c r="A694" s="1">
        <v>45619</v>
      </c>
      <c r="B694">
        <f t="shared" si="50"/>
        <v>6</v>
      </c>
      <c r="C694" t="s">
        <v>11</v>
      </c>
      <c r="D694">
        <f t="shared" si="53"/>
        <v>0</v>
      </c>
      <c r="E694">
        <f t="shared" si="54"/>
        <v>0</v>
      </c>
      <c r="F694">
        <f t="shared" si="51"/>
        <v>0</v>
      </c>
      <c r="G694">
        <f>SUM($E$2:E694)</f>
        <v>22850</v>
      </c>
      <c r="H694">
        <f>SUM($D$2:D694)</f>
        <v>76200</v>
      </c>
      <c r="I694">
        <f t="shared" si="52"/>
        <v>1</v>
      </c>
    </row>
    <row r="695" spans="1:9" x14ac:dyDescent="0.25">
      <c r="A695" s="1">
        <v>45620</v>
      </c>
      <c r="B695">
        <f t="shared" si="50"/>
        <v>7</v>
      </c>
      <c r="C695" t="s">
        <v>11</v>
      </c>
      <c r="D695">
        <f t="shared" si="53"/>
        <v>0</v>
      </c>
      <c r="E695">
        <f t="shared" si="54"/>
        <v>150</v>
      </c>
      <c r="F695">
        <f t="shared" si="51"/>
        <v>-150</v>
      </c>
      <c r="G695">
        <f>SUM($E$2:E695)</f>
        <v>23000</v>
      </c>
      <c r="H695">
        <f>SUM($D$2:D695)</f>
        <v>76200</v>
      </c>
      <c r="I695">
        <f t="shared" si="52"/>
        <v>1</v>
      </c>
    </row>
    <row r="696" spans="1:9" x14ac:dyDescent="0.25">
      <c r="A696" s="1">
        <v>45621</v>
      </c>
      <c r="B696">
        <f t="shared" si="50"/>
        <v>1</v>
      </c>
      <c r="C696" t="s">
        <v>11</v>
      </c>
      <c r="D696">
        <f t="shared" si="53"/>
        <v>120</v>
      </c>
      <c r="E696">
        <f t="shared" si="54"/>
        <v>0</v>
      </c>
      <c r="F696">
        <f t="shared" si="51"/>
        <v>120</v>
      </c>
      <c r="G696">
        <f>SUM($E$2:E696)</f>
        <v>23000</v>
      </c>
      <c r="H696">
        <f>SUM($D$2:D696)</f>
        <v>76320</v>
      </c>
      <c r="I696">
        <f t="shared" si="52"/>
        <v>1</v>
      </c>
    </row>
    <row r="697" spans="1:9" x14ac:dyDescent="0.25">
      <c r="A697" s="1">
        <v>45622</v>
      </c>
      <c r="B697">
        <f t="shared" si="50"/>
        <v>2</v>
      </c>
      <c r="C697" t="s">
        <v>11</v>
      </c>
      <c r="D697">
        <f t="shared" si="53"/>
        <v>120</v>
      </c>
      <c r="E697">
        <f t="shared" si="54"/>
        <v>0</v>
      </c>
      <c r="F697">
        <f t="shared" si="51"/>
        <v>120</v>
      </c>
      <c r="G697">
        <f>SUM($E$2:E697)</f>
        <v>23000</v>
      </c>
      <c r="H697">
        <f>SUM($D$2:D697)</f>
        <v>76440</v>
      </c>
      <c r="I697">
        <f t="shared" si="52"/>
        <v>1</v>
      </c>
    </row>
    <row r="698" spans="1:9" x14ac:dyDescent="0.25">
      <c r="A698" s="1">
        <v>45623</v>
      </c>
      <c r="B698">
        <f t="shared" si="50"/>
        <v>3</v>
      </c>
      <c r="C698" t="s">
        <v>11</v>
      </c>
      <c r="D698">
        <f t="shared" si="53"/>
        <v>120</v>
      </c>
      <c r="E698">
        <f t="shared" si="54"/>
        <v>0</v>
      </c>
      <c r="F698">
        <f t="shared" si="51"/>
        <v>120</v>
      </c>
      <c r="G698">
        <f>SUM($E$2:E698)</f>
        <v>23000</v>
      </c>
      <c r="H698">
        <f>SUM($D$2:D698)</f>
        <v>76560</v>
      </c>
      <c r="I698">
        <f t="shared" si="52"/>
        <v>1</v>
      </c>
    </row>
    <row r="699" spans="1:9" x14ac:dyDescent="0.25">
      <c r="A699" s="1">
        <v>45624</v>
      </c>
      <c r="B699">
        <f t="shared" si="50"/>
        <v>4</v>
      </c>
      <c r="C699" t="s">
        <v>11</v>
      </c>
      <c r="D699">
        <f t="shared" si="53"/>
        <v>120</v>
      </c>
      <c r="E699">
        <f t="shared" si="54"/>
        <v>0</v>
      </c>
      <c r="F699">
        <f t="shared" si="51"/>
        <v>120</v>
      </c>
      <c r="G699">
        <f>SUM($E$2:E699)</f>
        <v>23000</v>
      </c>
      <c r="H699">
        <f>SUM($D$2:D699)</f>
        <v>76680</v>
      </c>
      <c r="I699">
        <f t="shared" si="52"/>
        <v>1</v>
      </c>
    </row>
    <row r="700" spans="1:9" x14ac:dyDescent="0.25">
      <c r="A700" s="1">
        <v>45625</v>
      </c>
      <c r="B700">
        <f t="shared" si="50"/>
        <v>5</v>
      </c>
      <c r="C700" t="s">
        <v>11</v>
      </c>
      <c r="D700">
        <f t="shared" si="53"/>
        <v>120</v>
      </c>
      <c r="E700">
        <f t="shared" si="54"/>
        <v>0</v>
      </c>
      <c r="F700">
        <f t="shared" si="51"/>
        <v>120</v>
      </c>
      <c r="G700">
        <f>SUM($E$2:E700)</f>
        <v>23000</v>
      </c>
      <c r="H700">
        <f>SUM($D$2:D700)</f>
        <v>76800</v>
      </c>
      <c r="I700">
        <f t="shared" si="52"/>
        <v>1</v>
      </c>
    </row>
    <row r="701" spans="1:9" x14ac:dyDescent="0.25">
      <c r="A701" s="1">
        <v>45626</v>
      </c>
      <c r="B701">
        <f t="shared" si="50"/>
        <v>6</v>
      </c>
      <c r="C701" t="s">
        <v>11</v>
      </c>
      <c r="D701">
        <f t="shared" si="53"/>
        <v>0</v>
      </c>
      <c r="E701">
        <f t="shared" si="54"/>
        <v>0</v>
      </c>
      <c r="F701">
        <f t="shared" si="51"/>
        <v>0</v>
      </c>
      <c r="G701">
        <f>SUM($E$2:E701)</f>
        <v>23000</v>
      </c>
      <c r="H701">
        <f>SUM($D$2:D701)</f>
        <v>76800</v>
      </c>
      <c r="I701">
        <f t="shared" si="52"/>
        <v>1</v>
      </c>
    </row>
    <row r="702" spans="1:9" x14ac:dyDescent="0.25">
      <c r="A702" s="1">
        <v>45627</v>
      </c>
      <c r="B702">
        <f t="shared" si="50"/>
        <v>7</v>
      </c>
      <c r="C702" t="s">
        <v>11</v>
      </c>
      <c r="D702">
        <f t="shared" si="53"/>
        <v>0</v>
      </c>
      <c r="E702">
        <f t="shared" si="54"/>
        <v>150</v>
      </c>
      <c r="F702">
        <f t="shared" si="51"/>
        <v>-150</v>
      </c>
      <c r="G702">
        <f>SUM($E$2:E702)</f>
        <v>23150</v>
      </c>
      <c r="H702">
        <f>SUM($D$2:D702)</f>
        <v>76800</v>
      </c>
      <c r="I702">
        <f t="shared" si="52"/>
        <v>1</v>
      </c>
    </row>
    <row r="703" spans="1:9" x14ac:dyDescent="0.25">
      <c r="A703" s="1">
        <v>45628</v>
      </c>
      <c r="B703">
        <f t="shared" si="50"/>
        <v>1</v>
      </c>
      <c r="C703" t="s">
        <v>11</v>
      </c>
      <c r="D703">
        <f t="shared" si="53"/>
        <v>120</v>
      </c>
      <c r="E703">
        <f t="shared" si="54"/>
        <v>0</v>
      </c>
      <c r="F703">
        <f t="shared" si="51"/>
        <v>120</v>
      </c>
      <c r="G703">
        <f>SUM($E$2:E703)</f>
        <v>23150</v>
      </c>
      <c r="H703">
        <f>SUM($D$2:D703)</f>
        <v>76920</v>
      </c>
      <c r="I703">
        <f t="shared" si="52"/>
        <v>1</v>
      </c>
    </row>
    <row r="704" spans="1:9" x14ac:dyDescent="0.25">
      <c r="A704" s="1">
        <v>45629</v>
      </c>
      <c r="B704">
        <f t="shared" si="50"/>
        <v>2</v>
      </c>
      <c r="C704" t="s">
        <v>11</v>
      </c>
      <c r="D704">
        <f t="shared" si="53"/>
        <v>120</v>
      </c>
      <c r="E704">
        <f t="shared" si="54"/>
        <v>0</v>
      </c>
      <c r="F704">
        <f t="shared" si="51"/>
        <v>120</v>
      </c>
      <c r="G704">
        <f>SUM($E$2:E704)</f>
        <v>23150</v>
      </c>
      <c r="H704">
        <f>SUM($D$2:D704)</f>
        <v>77040</v>
      </c>
      <c r="I704">
        <f t="shared" si="52"/>
        <v>1</v>
      </c>
    </row>
    <row r="705" spans="1:9" x14ac:dyDescent="0.25">
      <c r="A705" s="1">
        <v>45630</v>
      </c>
      <c r="B705">
        <f t="shared" si="50"/>
        <v>3</v>
      </c>
      <c r="C705" t="s">
        <v>11</v>
      </c>
      <c r="D705">
        <f t="shared" si="53"/>
        <v>120</v>
      </c>
      <c r="E705">
        <f t="shared" si="54"/>
        <v>0</v>
      </c>
      <c r="F705">
        <f t="shared" si="51"/>
        <v>120</v>
      </c>
      <c r="G705">
        <f>SUM($E$2:E705)</f>
        <v>23150</v>
      </c>
      <c r="H705">
        <f>SUM($D$2:D705)</f>
        <v>77160</v>
      </c>
      <c r="I705">
        <f t="shared" si="52"/>
        <v>1</v>
      </c>
    </row>
    <row r="706" spans="1:9" x14ac:dyDescent="0.25">
      <c r="A706" s="1">
        <v>45631</v>
      </c>
      <c r="B706">
        <f t="shared" si="50"/>
        <v>4</v>
      </c>
      <c r="C706" t="s">
        <v>11</v>
      </c>
      <c r="D706">
        <f t="shared" si="53"/>
        <v>120</v>
      </c>
      <c r="E706">
        <f t="shared" si="54"/>
        <v>0</v>
      </c>
      <c r="F706">
        <f t="shared" si="51"/>
        <v>120</v>
      </c>
      <c r="G706">
        <f>SUM($E$2:E706)</f>
        <v>23150</v>
      </c>
      <c r="H706">
        <f>SUM($D$2:D706)</f>
        <v>77280</v>
      </c>
      <c r="I706">
        <f t="shared" si="52"/>
        <v>1</v>
      </c>
    </row>
    <row r="707" spans="1:9" x14ac:dyDescent="0.25">
      <c r="A707" s="1">
        <v>45632</v>
      </c>
      <c r="B707">
        <f t="shared" ref="B707:B732" si="55">WEEKDAY(A707,2)</f>
        <v>5</v>
      </c>
      <c r="C707" t="s">
        <v>11</v>
      </c>
      <c r="D707">
        <f t="shared" si="53"/>
        <v>120</v>
      </c>
      <c r="E707">
        <f t="shared" si="54"/>
        <v>0</v>
      </c>
      <c r="F707">
        <f t="shared" ref="F707:F732" si="56">D707-E707</f>
        <v>120</v>
      </c>
      <c r="G707">
        <f>SUM($E$2:E707)</f>
        <v>23150</v>
      </c>
      <c r="H707">
        <f>SUM($D$2:D707)</f>
        <v>77400</v>
      </c>
      <c r="I707">
        <f t="shared" ref="I707:I732" si="57">IF(G707&lt;H707,1,0)</f>
        <v>1</v>
      </c>
    </row>
    <row r="708" spans="1:9" x14ac:dyDescent="0.25">
      <c r="A708" s="1">
        <v>45633</v>
      </c>
      <c r="B708">
        <f t="shared" si="55"/>
        <v>6</v>
      </c>
      <c r="C708" t="s">
        <v>11</v>
      </c>
      <c r="D708">
        <f t="shared" ref="D708:D732" si="58">IF(B708&lt;6,$Q$1*VLOOKUP(C708,$S$1:$T$5,2,FALSE)*$Q$3,0)</f>
        <v>0</v>
      </c>
      <c r="E708">
        <f t="shared" ref="E708:E732" si="59">IF(B708=7,$Q$4*$Q$1,0)</f>
        <v>0</v>
      </c>
      <c r="F708">
        <f t="shared" si="56"/>
        <v>0</v>
      </c>
      <c r="G708">
        <f>SUM($E$2:E708)</f>
        <v>23150</v>
      </c>
      <c r="H708">
        <f>SUM($D$2:D708)</f>
        <v>77400</v>
      </c>
      <c r="I708">
        <f t="shared" si="57"/>
        <v>1</v>
      </c>
    </row>
    <row r="709" spans="1:9" x14ac:dyDescent="0.25">
      <c r="A709" s="1">
        <v>45634</v>
      </c>
      <c r="B709">
        <f t="shared" si="55"/>
        <v>7</v>
      </c>
      <c r="C709" t="s">
        <v>11</v>
      </c>
      <c r="D709">
        <f t="shared" si="58"/>
        <v>0</v>
      </c>
      <c r="E709">
        <f t="shared" si="59"/>
        <v>150</v>
      </c>
      <c r="F709">
        <f t="shared" si="56"/>
        <v>-150</v>
      </c>
      <c r="G709">
        <f>SUM($E$2:E709)</f>
        <v>23300</v>
      </c>
      <c r="H709">
        <f>SUM($D$2:D709)</f>
        <v>77400</v>
      </c>
      <c r="I709">
        <f t="shared" si="57"/>
        <v>1</v>
      </c>
    </row>
    <row r="710" spans="1:9" x14ac:dyDescent="0.25">
      <c r="A710" s="1">
        <v>45635</v>
      </c>
      <c r="B710">
        <f t="shared" si="55"/>
        <v>1</v>
      </c>
      <c r="C710" t="s">
        <v>11</v>
      </c>
      <c r="D710">
        <f t="shared" si="58"/>
        <v>120</v>
      </c>
      <c r="E710">
        <f t="shared" si="59"/>
        <v>0</v>
      </c>
      <c r="F710">
        <f t="shared" si="56"/>
        <v>120</v>
      </c>
      <c r="G710">
        <f>SUM($E$2:E710)</f>
        <v>23300</v>
      </c>
      <c r="H710">
        <f>SUM($D$2:D710)</f>
        <v>77520</v>
      </c>
      <c r="I710">
        <f t="shared" si="57"/>
        <v>1</v>
      </c>
    </row>
    <row r="711" spans="1:9" x14ac:dyDescent="0.25">
      <c r="A711" s="1">
        <v>45636</v>
      </c>
      <c r="B711">
        <f t="shared" si="55"/>
        <v>2</v>
      </c>
      <c r="C711" t="s">
        <v>11</v>
      </c>
      <c r="D711">
        <f t="shared" si="58"/>
        <v>120</v>
      </c>
      <c r="E711">
        <f t="shared" si="59"/>
        <v>0</v>
      </c>
      <c r="F711">
        <f t="shared" si="56"/>
        <v>120</v>
      </c>
      <c r="G711">
        <f>SUM($E$2:E711)</f>
        <v>23300</v>
      </c>
      <c r="H711">
        <f>SUM($D$2:D711)</f>
        <v>77640</v>
      </c>
      <c r="I711">
        <f t="shared" si="57"/>
        <v>1</v>
      </c>
    </row>
    <row r="712" spans="1:9" x14ac:dyDescent="0.25">
      <c r="A712" s="1">
        <v>45637</v>
      </c>
      <c r="B712">
        <f t="shared" si="55"/>
        <v>3</v>
      </c>
      <c r="C712" t="s">
        <v>11</v>
      </c>
      <c r="D712">
        <f t="shared" si="58"/>
        <v>120</v>
      </c>
      <c r="E712">
        <f t="shared" si="59"/>
        <v>0</v>
      </c>
      <c r="F712">
        <f t="shared" si="56"/>
        <v>120</v>
      </c>
      <c r="G712">
        <f>SUM($E$2:E712)</f>
        <v>23300</v>
      </c>
      <c r="H712">
        <f>SUM($D$2:D712)</f>
        <v>77760</v>
      </c>
      <c r="I712">
        <f t="shared" si="57"/>
        <v>1</v>
      </c>
    </row>
    <row r="713" spans="1:9" x14ac:dyDescent="0.25">
      <c r="A713" s="1">
        <v>45638</v>
      </c>
      <c r="B713">
        <f t="shared" si="55"/>
        <v>4</v>
      </c>
      <c r="C713" t="s">
        <v>11</v>
      </c>
      <c r="D713">
        <f t="shared" si="58"/>
        <v>120</v>
      </c>
      <c r="E713">
        <f t="shared" si="59"/>
        <v>0</v>
      </c>
      <c r="F713">
        <f t="shared" si="56"/>
        <v>120</v>
      </c>
      <c r="G713">
        <f>SUM($E$2:E713)</f>
        <v>23300</v>
      </c>
      <c r="H713">
        <f>SUM($D$2:D713)</f>
        <v>77880</v>
      </c>
      <c r="I713">
        <f t="shared" si="57"/>
        <v>1</v>
      </c>
    </row>
    <row r="714" spans="1:9" x14ac:dyDescent="0.25">
      <c r="A714" s="1">
        <v>45639</v>
      </c>
      <c r="B714">
        <f t="shared" si="55"/>
        <v>5</v>
      </c>
      <c r="C714" t="s">
        <v>11</v>
      </c>
      <c r="D714">
        <f t="shared" si="58"/>
        <v>120</v>
      </c>
      <c r="E714">
        <f t="shared" si="59"/>
        <v>0</v>
      </c>
      <c r="F714">
        <f t="shared" si="56"/>
        <v>120</v>
      </c>
      <c r="G714">
        <f>SUM($E$2:E714)</f>
        <v>23300</v>
      </c>
      <c r="H714">
        <f>SUM($D$2:D714)</f>
        <v>78000</v>
      </c>
      <c r="I714">
        <f t="shared" si="57"/>
        <v>1</v>
      </c>
    </row>
    <row r="715" spans="1:9" x14ac:dyDescent="0.25">
      <c r="A715" s="1">
        <v>45640</v>
      </c>
      <c r="B715">
        <f t="shared" si="55"/>
        <v>6</v>
      </c>
      <c r="C715" t="s">
        <v>11</v>
      </c>
      <c r="D715">
        <f t="shared" si="58"/>
        <v>0</v>
      </c>
      <c r="E715">
        <f t="shared" si="59"/>
        <v>0</v>
      </c>
      <c r="F715">
        <f t="shared" si="56"/>
        <v>0</v>
      </c>
      <c r="G715">
        <f>SUM($E$2:E715)</f>
        <v>23300</v>
      </c>
      <c r="H715">
        <f>SUM($D$2:D715)</f>
        <v>78000</v>
      </c>
      <c r="I715">
        <f t="shared" si="57"/>
        <v>1</v>
      </c>
    </row>
    <row r="716" spans="1:9" x14ac:dyDescent="0.25">
      <c r="A716" s="1">
        <v>45641</v>
      </c>
      <c r="B716">
        <f t="shared" si="55"/>
        <v>7</v>
      </c>
      <c r="C716" t="s">
        <v>11</v>
      </c>
      <c r="D716">
        <f t="shared" si="58"/>
        <v>0</v>
      </c>
      <c r="E716">
        <f t="shared" si="59"/>
        <v>150</v>
      </c>
      <c r="F716">
        <f t="shared" si="56"/>
        <v>-150</v>
      </c>
      <c r="G716">
        <f>SUM($E$2:E716)</f>
        <v>23450</v>
      </c>
      <c r="H716">
        <f>SUM($D$2:D716)</f>
        <v>78000</v>
      </c>
      <c r="I716">
        <f t="shared" si="57"/>
        <v>1</v>
      </c>
    </row>
    <row r="717" spans="1:9" x14ac:dyDescent="0.25">
      <c r="A717" s="1">
        <v>45642</v>
      </c>
      <c r="B717">
        <f t="shared" si="55"/>
        <v>1</v>
      </c>
      <c r="C717" t="s">
        <v>11</v>
      </c>
      <c r="D717">
        <f t="shared" si="58"/>
        <v>120</v>
      </c>
      <c r="E717">
        <f t="shared" si="59"/>
        <v>0</v>
      </c>
      <c r="F717">
        <f t="shared" si="56"/>
        <v>120</v>
      </c>
      <c r="G717">
        <f>SUM($E$2:E717)</f>
        <v>23450</v>
      </c>
      <c r="H717">
        <f>SUM($D$2:D717)</f>
        <v>78120</v>
      </c>
      <c r="I717">
        <f t="shared" si="57"/>
        <v>1</v>
      </c>
    </row>
    <row r="718" spans="1:9" x14ac:dyDescent="0.25">
      <c r="A718" s="1">
        <v>45643</v>
      </c>
      <c r="B718">
        <f t="shared" si="55"/>
        <v>2</v>
      </c>
      <c r="C718" t="s">
        <v>11</v>
      </c>
      <c r="D718">
        <f t="shared" si="58"/>
        <v>120</v>
      </c>
      <c r="E718">
        <f t="shared" si="59"/>
        <v>0</v>
      </c>
      <c r="F718">
        <f t="shared" si="56"/>
        <v>120</v>
      </c>
      <c r="G718">
        <f>SUM($E$2:E718)</f>
        <v>23450</v>
      </c>
      <c r="H718">
        <f>SUM($D$2:D718)</f>
        <v>78240</v>
      </c>
      <c r="I718">
        <f t="shared" si="57"/>
        <v>1</v>
      </c>
    </row>
    <row r="719" spans="1:9" x14ac:dyDescent="0.25">
      <c r="A719" s="1">
        <v>45644</v>
      </c>
      <c r="B719">
        <f t="shared" si="55"/>
        <v>3</v>
      </c>
      <c r="C719" t="s">
        <v>11</v>
      </c>
      <c r="D719">
        <f t="shared" si="58"/>
        <v>120</v>
      </c>
      <c r="E719">
        <f t="shared" si="59"/>
        <v>0</v>
      </c>
      <c r="F719">
        <f t="shared" si="56"/>
        <v>120</v>
      </c>
      <c r="G719">
        <f>SUM($E$2:E719)</f>
        <v>23450</v>
      </c>
      <c r="H719">
        <f>SUM($D$2:D719)</f>
        <v>78360</v>
      </c>
      <c r="I719">
        <f t="shared" si="57"/>
        <v>1</v>
      </c>
    </row>
    <row r="720" spans="1:9" x14ac:dyDescent="0.25">
      <c r="A720" s="1">
        <v>45645</v>
      </c>
      <c r="B720">
        <f t="shared" si="55"/>
        <v>4</v>
      </c>
      <c r="C720" t="s">
        <v>11</v>
      </c>
      <c r="D720">
        <f t="shared" si="58"/>
        <v>120</v>
      </c>
      <c r="E720">
        <f t="shared" si="59"/>
        <v>0</v>
      </c>
      <c r="F720">
        <f t="shared" si="56"/>
        <v>120</v>
      </c>
      <c r="G720">
        <f>SUM($E$2:E720)</f>
        <v>23450</v>
      </c>
      <c r="H720">
        <f>SUM($D$2:D720)</f>
        <v>78480</v>
      </c>
      <c r="I720">
        <f t="shared" si="57"/>
        <v>1</v>
      </c>
    </row>
    <row r="721" spans="1:9" x14ac:dyDescent="0.25">
      <c r="A721" s="1">
        <v>45646</v>
      </c>
      <c r="B721">
        <f t="shared" si="55"/>
        <v>5</v>
      </c>
      <c r="C721" t="s">
        <v>11</v>
      </c>
      <c r="D721">
        <f t="shared" si="58"/>
        <v>120</v>
      </c>
      <c r="E721">
        <f t="shared" si="59"/>
        <v>0</v>
      </c>
      <c r="F721">
        <f t="shared" si="56"/>
        <v>120</v>
      </c>
      <c r="G721">
        <f>SUM($E$2:E721)</f>
        <v>23450</v>
      </c>
      <c r="H721">
        <f>SUM($D$2:D721)</f>
        <v>78600</v>
      </c>
      <c r="I721">
        <f t="shared" si="57"/>
        <v>1</v>
      </c>
    </row>
    <row r="722" spans="1:9" x14ac:dyDescent="0.25">
      <c r="A722" s="1">
        <v>45647</v>
      </c>
      <c r="B722">
        <f t="shared" si="55"/>
        <v>6</v>
      </c>
      <c r="C722" t="s">
        <v>8</v>
      </c>
      <c r="D722">
        <f t="shared" si="58"/>
        <v>0</v>
      </c>
      <c r="E722">
        <f t="shared" si="59"/>
        <v>0</v>
      </c>
      <c r="F722">
        <f t="shared" si="56"/>
        <v>0</v>
      </c>
      <c r="G722">
        <f>SUM($E$2:E722)</f>
        <v>23450</v>
      </c>
      <c r="H722">
        <f>SUM($D$2:D722)</f>
        <v>78600</v>
      </c>
      <c r="I722">
        <f t="shared" si="57"/>
        <v>1</v>
      </c>
    </row>
    <row r="723" spans="1:9" x14ac:dyDescent="0.25">
      <c r="A723" s="1">
        <v>45648</v>
      </c>
      <c r="B723">
        <f t="shared" si="55"/>
        <v>7</v>
      </c>
      <c r="C723" t="s">
        <v>8</v>
      </c>
      <c r="D723">
        <f t="shared" si="58"/>
        <v>0</v>
      </c>
      <c r="E723">
        <f t="shared" si="59"/>
        <v>150</v>
      </c>
      <c r="F723">
        <f t="shared" si="56"/>
        <v>-150</v>
      </c>
      <c r="G723">
        <f>SUM($E$2:E723)</f>
        <v>23600</v>
      </c>
      <c r="H723">
        <f>SUM($D$2:D723)</f>
        <v>78600</v>
      </c>
      <c r="I723">
        <f t="shared" si="57"/>
        <v>1</v>
      </c>
    </row>
    <row r="724" spans="1:9" x14ac:dyDescent="0.25">
      <c r="A724" s="1">
        <v>45649</v>
      </c>
      <c r="B724">
        <f t="shared" si="55"/>
        <v>1</v>
      </c>
      <c r="C724" t="s">
        <v>8</v>
      </c>
      <c r="D724">
        <f t="shared" si="58"/>
        <v>60</v>
      </c>
      <c r="E724">
        <f t="shared" si="59"/>
        <v>0</v>
      </c>
      <c r="F724">
        <f t="shared" si="56"/>
        <v>60</v>
      </c>
      <c r="G724">
        <f>SUM($E$2:E724)</f>
        <v>23600</v>
      </c>
      <c r="H724">
        <f>SUM($D$2:D724)</f>
        <v>78660</v>
      </c>
      <c r="I724">
        <f t="shared" si="57"/>
        <v>1</v>
      </c>
    </row>
    <row r="725" spans="1:9" x14ac:dyDescent="0.25">
      <c r="A725" s="1">
        <v>45650</v>
      </c>
      <c r="B725">
        <f t="shared" si="55"/>
        <v>2</v>
      </c>
      <c r="C725" t="s">
        <v>8</v>
      </c>
      <c r="D725">
        <f t="shared" si="58"/>
        <v>60</v>
      </c>
      <c r="E725">
        <f t="shared" si="59"/>
        <v>0</v>
      </c>
      <c r="F725">
        <f t="shared" si="56"/>
        <v>60</v>
      </c>
      <c r="G725">
        <f>SUM($E$2:E725)</f>
        <v>23600</v>
      </c>
      <c r="H725">
        <f>SUM($D$2:D725)</f>
        <v>78720</v>
      </c>
      <c r="I725">
        <f t="shared" si="57"/>
        <v>1</v>
      </c>
    </row>
    <row r="726" spans="1:9" x14ac:dyDescent="0.25">
      <c r="A726" s="1">
        <v>45651</v>
      </c>
      <c r="B726">
        <f t="shared" si="55"/>
        <v>3</v>
      </c>
      <c r="C726" t="s">
        <v>8</v>
      </c>
      <c r="D726">
        <f t="shared" si="58"/>
        <v>60</v>
      </c>
      <c r="E726">
        <f t="shared" si="59"/>
        <v>0</v>
      </c>
      <c r="F726">
        <f t="shared" si="56"/>
        <v>60</v>
      </c>
      <c r="G726">
        <f>SUM($E$2:E726)</f>
        <v>23600</v>
      </c>
      <c r="H726">
        <f>SUM($D$2:D726)</f>
        <v>78780</v>
      </c>
      <c r="I726">
        <f t="shared" si="57"/>
        <v>1</v>
      </c>
    </row>
    <row r="727" spans="1:9" x14ac:dyDescent="0.25">
      <c r="A727" s="1">
        <v>45652</v>
      </c>
      <c r="B727">
        <f t="shared" si="55"/>
        <v>4</v>
      </c>
      <c r="C727" t="s">
        <v>8</v>
      </c>
      <c r="D727">
        <f t="shared" si="58"/>
        <v>60</v>
      </c>
      <c r="E727">
        <f t="shared" si="59"/>
        <v>0</v>
      </c>
      <c r="F727">
        <f t="shared" si="56"/>
        <v>60</v>
      </c>
      <c r="G727">
        <f>SUM($E$2:E727)</f>
        <v>23600</v>
      </c>
      <c r="H727">
        <f>SUM($D$2:D727)</f>
        <v>78840</v>
      </c>
      <c r="I727">
        <f t="shared" si="57"/>
        <v>1</v>
      </c>
    </row>
    <row r="728" spans="1:9" x14ac:dyDescent="0.25">
      <c r="A728" s="1">
        <v>45653</v>
      </c>
      <c r="B728">
        <f t="shared" si="55"/>
        <v>5</v>
      </c>
      <c r="C728" t="s">
        <v>8</v>
      </c>
      <c r="D728">
        <f t="shared" si="58"/>
        <v>60</v>
      </c>
      <c r="E728">
        <f t="shared" si="59"/>
        <v>0</v>
      </c>
      <c r="F728">
        <f t="shared" si="56"/>
        <v>60</v>
      </c>
      <c r="G728">
        <f>SUM($E$2:E728)</f>
        <v>23600</v>
      </c>
      <c r="H728">
        <f>SUM($D$2:D728)</f>
        <v>78900</v>
      </c>
      <c r="I728">
        <f t="shared" si="57"/>
        <v>1</v>
      </c>
    </row>
    <row r="729" spans="1:9" x14ac:dyDescent="0.25">
      <c r="A729" s="1">
        <v>45654</v>
      </c>
      <c r="B729">
        <f t="shared" si="55"/>
        <v>6</v>
      </c>
      <c r="C729" t="s">
        <v>8</v>
      </c>
      <c r="D729">
        <f t="shared" si="58"/>
        <v>0</v>
      </c>
      <c r="E729">
        <f t="shared" si="59"/>
        <v>0</v>
      </c>
      <c r="F729">
        <f t="shared" si="56"/>
        <v>0</v>
      </c>
      <c r="G729">
        <f>SUM($E$2:E729)</f>
        <v>23600</v>
      </c>
      <c r="H729">
        <f>SUM($D$2:D729)</f>
        <v>78900</v>
      </c>
      <c r="I729">
        <f t="shared" si="57"/>
        <v>1</v>
      </c>
    </row>
    <row r="730" spans="1:9" x14ac:dyDescent="0.25">
      <c r="A730" s="1">
        <v>45655</v>
      </c>
      <c r="B730">
        <f t="shared" si="55"/>
        <v>7</v>
      </c>
      <c r="C730" t="s">
        <v>8</v>
      </c>
      <c r="D730">
        <f t="shared" si="58"/>
        <v>0</v>
      </c>
      <c r="E730">
        <f t="shared" si="59"/>
        <v>150</v>
      </c>
      <c r="F730">
        <f t="shared" si="56"/>
        <v>-150</v>
      </c>
      <c r="G730">
        <f>SUM($E$2:E730)</f>
        <v>23750</v>
      </c>
      <c r="H730">
        <f>SUM($D$2:D730)</f>
        <v>78900</v>
      </c>
      <c r="I730">
        <f t="shared" si="57"/>
        <v>1</v>
      </c>
    </row>
    <row r="731" spans="1:9" x14ac:dyDescent="0.25">
      <c r="A731" s="1">
        <v>45656</v>
      </c>
      <c r="B731">
        <f t="shared" si="55"/>
        <v>1</v>
      </c>
      <c r="C731" t="s">
        <v>8</v>
      </c>
      <c r="D731">
        <f t="shared" si="58"/>
        <v>60</v>
      </c>
      <c r="E731">
        <f t="shared" si="59"/>
        <v>0</v>
      </c>
      <c r="F731">
        <f t="shared" si="56"/>
        <v>60</v>
      </c>
      <c r="G731">
        <f>SUM($E$2:E731)</f>
        <v>23750</v>
      </c>
      <c r="H731">
        <f>SUM($D$2:D731)</f>
        <v>78960</v>
      </c>
      <c r="I731">
        <f t="shared" si="57"/>
        <v>1</v>
      </c>
    </row>
    <row r="732" spans="1:9" x14ac:dyDescent="0.25">
      <c r="A732" s="1">
        <v>45657</v>
      </c>
      <c r="B732">
        <f t="shared" si="55"/>
        <v>2</v>
      </c>
      <c r="C732" t="s">
        <v>8</v>
      </c>
      <c r="D732">
        <f t="shared" si="58"/>
        <v>60</v>
      </c>
      <c r="E732">
        <f t="shared" si="59"/>
        <v>0</v>
      </c>
      <c r="F732">
        <f t="shared" si="56"/>
        <v>60</v>
      </c>
      <c r="G732">
        <f>SUM($E$2:E732)</f>
        <v>23750</v>
      </c>
      <c r="H732">
        <f>SUM($D$2:D732)</f>
        <v>79020</v>
      </c>
      <c r="I732">
        <f t="shared" si="57"/>
        <v>1</v>
      </c>
    </row>
  </sheetData>
  <conditionalFormatting sqref="A1:A1048576">
    <cfRule type="cellIs" dxfId="6" priority="2" operator="equal">
      <formula>45291</formula>
    </cfRule>
  </conditionalFormatting>
  <conditionalFormatting sqref="I1:I1048576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DFDF-2CFC-49B9-B70C-0D85E51BE5D1}">
  <dimension ref="A1:T732"/>
  <sheetViews>
    <sheetView tabSelected="1" topLeftCell="B16" workbookViewId="0">
      <selection activeCell="R37" sqref="R37:S49"/>
    </sheetView>
  </sheetViews>
  <sheetFormatPr defaultRowHeight="15" x14ac:dyDescent="0.25"/>
  <cols>
    <col min="1" max="1" width="10.140625" bestFit="1" customWidth="1"/>
    <col min="3" max="3" width="10" bestFit="1" customWidth="1"/>
    <col min="16" max="16" width="28" bestFit="1" customWidth="1"/>
    <col min="18" max="18" width="17.7109375" bestFit="1" customWidth="1"/>
    <col min="19" max="19" width="14.28515625" bestFit="1" customWidth="1"/>
  </cols>
  <sheetData>
    <row r="1" spans="1:20" x14ac:dyDescent="0.25">
      <c r="A1" t="s">
        <v>7</v>
      </c>
      <c r="B1" t="s">
        <v>6</v>
      </c>
      <c r="C1" t="s">
        <v>12</v>
      </c>
      <c r="D1" t="s">
        <v>13</v>
      </c>
      <c r="E1" t="s">
        <v>17</v>
      </c>
      <c r="F1" t="s">
        <v>15</v>
      </c>
      <c r="P1" t="s">
        <v>0</v>
      </c>
      <c r="Q1">
        <v>10</v>
      </c>
      <c r="S1" t="s">
        <v>4</v>
      </c>
      <c r="T1" t="s">
        <v>5</v>
      </c>
    </row>
    <row r="2" spans="1:20" x14ac:dyDescent="0.25">
      <c r="A2" s="1">
        <v>44927</v>
      </c>
      <c r="B2">
        <f>WEEKDAY(A2,2)</f>
        <v>7</v>
      </c>
      <c r="C2" t="s">
        <v>8</v>
      </c>
      <c r="D2">
        <v>0</v>
      </c>
      <c r="E2">
        <f>$Q$1*$Q$2+$Q$4*$Q$1</f>
        <v>8150</v>
      </c>
      <c r="F2">
        <f>D2-E2</f>
        <v>-8150</v>
      </c>
      <c r="P2" t="s">
        <v>3</v>
      </c>
      <c r="Q2">
        <v>800</v>
      </c>
      <c r="S2" t="s">
        <v>8</v>
      </c>
      <c r="T2" s="2">
        <v>0.2</v>
      </c>
    </row>
    <row r="3" spans="1:20" x14ac:dyDescent="0.25">
      <c r="A3" s="1">
        <v>44928</v>
      </c>
      <c r="B3">
        <f t="shared" ref="B3:B66" si="0">WEEKDAY(A3,2)</f>
        <v>1</v>
      </c>
      <c r="C3" t="s">
        <v>8</v>
      </c>
      <c r="D3">
        <f>IF(B3&lt;6,$Q$1*VLOOKUP(C3,$S$1:$T$5,2,FALSE)*$Q$3,0)</f>
        <v>60</v>
      </c>
      <c r="E3">
        <f>IF(B3=7,$Q$4*$Q$1,0)</f>
        <v>0</v>
      </c>
      <c r="F3">
        <f t="shared" ref="F3:F66" si="1">D3-E3</f>
        <v>60</v>
      </c>
      <c r="P3" t="s">
        <v>1</v>
      </c>
      <c r="Q3">
        <v>30</v>
      </c>
      <c r="S3" t="s">
        <v>9</v>
      </c>
      <c r="T3" s="2">
        <v>0.5</v>
      </c>
    </row>
    <row r="4" spans="1:20" x14ac:dyDescent="0.25">
      <c r="A4" s="1">
        <v>44929</v>
      </c>
      <c r="B4">
        <f t="shared" si="0"/>
        <v>2</v>
      </c>
      <c r="C4" t="s">
        <v>8</v>
      </c>
      <c r="D4">
        <f t="shared" ref="D4:D67" si="2">IF(B4&lt;6,$Q$1*VLOOKUP(C4,$S$1:$T$5,2,FALSE)*$Q$3,0)</f>
        <v>60</v>
      </c>
      <c r="E4">
        <f t="shared" ref="E4:E67" si="3">IF(B4=7,$Q$4*$Q$1,0)</f>
        <v>0</v>
      </c>
      <c r="F4">
        <f t="shared" si="1"/>
        <v>60</v>
      </c>
      <c r="P4" t="s">
        <v>2</v>
      </c>
      <c r="Q4">
        <v>15</v>
      </c>
      <c r="S4" t="s">
        <v>10</v>
      </c>
      <c r="T4" s="2">
        <v>0.9</v>
      </c>
    </row>
    <row r="5" spans="1:20" x14ac:dyDescent="0.25">
      <c r="A5" s="1">
        <v>44930</v>
      </c>
      <c r="B5">
        <f t="shared" si="0"/>
        <v>3</v>
      </c>
      <c r="C5" t="s">
        <v>8</v>
      </c>
      <c r="D5">
        <f t="shared" si="2"/>
        <v>60</v>
      </c>
      <c r="E5">
        <f t="shared" si="3"/>
        <v>0</v>
      </c>
      <c r="F5">
        <f t="shared" si="1"/>
        <v>60</v>
      </c>
      <c r="S5" t="s">
        <v>11</v>
      </c>
      <c r="T5" s="2">
        <v>0.4</v>
      </c>
    </row>
    <row r="6" spans="1:20" x14ac:dyDescent="0.25">
      <c r="A6" s="1">
        <v>44931</v>
      </c>
      <c r="B6">
        <f t="shared" si="0"/>
        <v>4</v>
      </c>
      <c r="C6" t="s">
        <v>8</v>
      </c>
      <c r="D6">
        <f t="shared" si="2"/>
        <v>60</v>
      </c>
      <c r="E6">
        <f t="shared" si="3"/>
        <v>0</v>
      </c>
      <c r="F6">
        <f t="shared" si="1"/>
        <v>60</v>
      </c>
    </row>
    <row r="7" spans="1:20" x14ac:dyDescent="0.25">
      <c r="A7" s="1">
        <v>44932</v>
      </c>
      <c r="B7">
        <f t="shared" si="0"/>
        <v>5</v>
      </c>
      <c r="C7" t="s">
        <v>8</v>
      </c>
      <c r="D7">
        <f t="shared" si="2"/>
        <v>60</v>
      </c>
      <c r="E7">
        <f t="shared" si="3"/>
        <v>0</v>
      </c>
      <c r="F7">
        <f t="shared" si="1"/>
        <v>60</v>
      </c>
    </row>
    <row r="8" spans="1:20" x14ac:dyDescent="0.25">
      <c r="A8" s="1">
        <v>44933</v>
      </c>
      <c r="B8">
        <f t="shared" si="0"/>
        <v>6</v>
      </c>
      <c r="C8" t="s">
        <v>8</v>
      </c>
      <c r="D8">
        <f t="shared" si="2"/>
        <v>0</v>
      </c>
      <c r="E8">
        <f t="shared" si="3"/>
        <v>0</v>
      </c>
      <c r="F8">
        <f t="shared" si="1"/>
        <v>0</v>
      </c>
    </row>
    <row r="9" spans="1:20" x14ac:dyDescent="0.25">
      <c r="A9" s="1">
        <v>44934</v>
      </c>
      <c r="B9">
        <f t="shared" si="0"/>
        <v>7</v>
      </c>
      <c r="C9" t="s">
        <v>8</v>
      </c>
      <c r="D9">
        <f t="shared" si="2"/>
        <v>0</v>
      </c>
      <c r="E9">
        <f t="shared" si="3"/>
        <v>150</v>
      </c>
      <c r="F9">
        <f t="shared" si="1"/>
        <v>-150</v>
      </c>
    </row>
    <row r="10" spans="1:20" x14ac:dyDescent="0.25">
      <c r="A10" s="1">
        <v>44935</v>
      </c>
      <c r="B10">
        <f t="shared" si="0"/>
        <v>1</v>
      </c>
      <c r="C10" t="s">
        <v>8</v>
      </c>
      <c r="D10">
        <f t="shared" si="2"/>
        <v>60</v>
      </c>
      <c r="E10">
        <f t="shared" si="3"/>
        <v>0</v>
      </c>
      <c r="F10">
        <f t="shared" si="1"/>
        <v>60</v>
      </c>
    </row>
    <row r="11" spans="1:20" x14ac:dyDescent="0.25">
      <c r="A11" s="1">
        <v>44936</v>
      </c>
      <c r="B11">
        <f t="shared" si="0"/>
        <v>2</v>
      </c>
      <c r="C11" t="s">
        <v>8</v>
      </c>
      <c r="D11">
        <f t="shared" si="2"/>
        <v>60</v>
      </c>
      <c r="E11">
        <f t="shared" si="3"/>
        <v>0</v>
      </c>
      <c r="F11">
        <f t="shared" si="1"/>
        <v>60</v>
      </c>
    </row>
    <row r="12" spans="1:20" x14ac:dyDescent="0.25">
      <c r="A12" s="1">
        <v>44937</v>
      </c>
      <c r="B12">
        <f t="shared" si="0"/>
        <v>3</v>
      </c>
      <c r="C12" t="s">
        <v>8</v>
      </c>
      <c r="D12">
        <f t="shared" si="2"/>
        <v>60</v>
      </c>
      <c r="E12">
        <f t="shared" si="3"/>
        <v>0</v>
      </c>
      <c r="F12">
        <f t="shared" si="1"/>
        <v>60</v>
      </c>
    </row>
    <row r="13" spans="1:20" x14ac:dyDescent="0.25">
      <c r="A13" s="1">
        <v>44938</v>
      </c>
      <c r="B13">
        <f t="shared" si="0"/>
        <v>4</v>
      </c>
      <c r="C13" t="s">
        <v>8</v>
      </c>
      <c r="D13">
        <f t="shared" si="2"/>
        <v>60</v>
      </c>
      <c r="E13">
        <f t="shared" si="3"/>
        <v>0</v>
      </c>
      <c r="F13">
        <f t="shared" si="1"/>
        <v>60</v>
      </c>
    </row>
    <row r="14" spans="1:20" x14ac:dyDescent="0.25">
      <c r="A14" s="1">
        <v>44939</v>
      </c>
      <c r="B14">
        <f t="shared" si="0"/>
        <v>5</v>
      </c>
      <c r="C14" t="s">
        <v>8</v>
      </c>
      <c r="D14">
        <f t="shared" si="2"/>
        <v>60</v>
      </c>
      <c r="E14">
        <f t="shared" si="3"/>
        <v>0</v>
      </c>
      <c r="F14">
        <f t="shared" si="1"/>
        <v>60</v>
      </c>
    </row>
    <row r="15" spans="1:20" x14ac:dyDescent="0.25">
      <c r="A15" s="1">
        <v>44940</v>
      </c>
      <c r="B15">
        <f t="shared" si="0"/>
        <v>6</v>
      </c>
      <c r="C15" t="s">
        <v>8</v>
      </c>
      <c r="D15">
        <f t="shared" si="2"/>
        <v>0</v>
      </c>
      <c r="E15">
        <f t="shared" si="3"/>
        <v>0</v>
      </c>
      <c r="F15">
        <f t="shared" si="1"/>
        <v>0</v>
      </c>
    </row>
    <row r="16" spans="1:20" x14ac:dyDescent="0.25">
      <c r="A16" s="1">
        <v>44941</v>
      </c>
      <c r="B16">
        <f t="shared" si="0"/>
        <v>7</v>
      </c>
      <c r="C16" t="s">
        <v>8</v>
      </c>
      <c r="D16">
        <f t="shared" si="2"/>
        <v>0</v>
      </c>
      <c r="E16">
        <f t="shared" si="3"/>
        <v>150</v>
      </c>
      <c r="F16">
        <f t="shared" si="1"/>
        <v>-150</v>
      </c>
    </row>
    <row r="17" spans="1:6" x14ac:dyDescent="0.25">
      <c r="A17" s="1">
        <v>44942</v>
      </c>
      <c r="B17">
        <f t="shared" si="0"/>
        <v>1</v>
      </c>
      <c r="C17" t="s">
        <v>8</v>
      </c>
      <c r="D17">
        <f t="shared" si="2"/>
        <v>60</v>
      </c>
      <c r="E17">
        <f t="shared" si="3"/>
        <v>0</v>
      </c>
      <c r="F17">
        <f t="shared" si="1"/>
        <v>60</v>
      </c>
    </row>
    <row r="18" spans="1:6" x14ac:dyDescent="0.25">
      <c r="A18" s="1">
        <v>44943</v>
      </c>
      <c r="B18">
        <f t="shared" si="0"/>
        <v>2</v>
      </c>
      <c r="C18" t="s">
        <v>8</v>
      </c>
      <c r="D18">
        <f t="shared" si="2"/>
        <v>60</v>
      </c>
      <c r="E18">
        <f t="shared" si="3"/>
        <v>0</v>
      </c>
      <c r="F18">
        <f t="shared" si="1"/>
        <v>60</v>
      </c>
    </row>
    <row r="19" spans="1:6" x14ac:dyDescent="0.25">
      <c r="A19" s="1">
        <v>44944</v>
      </c>
      <c r="B19">
        <f t="shared" si="0"/>
        <v>3</v>
      </c>
      <c r="C19" t="s">
        <v>8</v>
      </c>
      <c r="D19">
        <f t="shared" si="2"/>
        <v>60</v>
      </c>
      <c r="E19">
        <f t="shared" si="3"/>
        <v>0</v>
      </c>
      <c r="F19">
        <f t="shared" si="1"/>
        <v>60</v>
      </c>
    </row>
    <row r="20" spans="1:6" x14ac:dyDescent="0.25">
      <c r="A20" s="1">
        <v>44945</v>
      </c>
      <c r="B20">
        <f t="shared" si="0"/>
        <v>4</v>
      </c>
      <c r="C20" t="s">
        <v>8</v>
      </c>
      <c r="D20">
        <f t="shared" si="2"/>
        <v>60</v>
      </c>
      <c r="E20">
        <f t="shared" si="3"/>
        <v>0</v>
      </c>
      <c r="F20">
        <f t="shared" si="1"/>
        <v>60</v>
      </c>
    </row>
    <row r="21" spans="1:6" x14ac:dyDescent="0.25">
      <c r="A21" s="1">
        <v>44946</v>
      </c>
      <c r="B21">
        <f t="shared" si="0"/>
        <v>5</v>
      </c>
      <c r="C21" t="s">
        <v>8</v>
      </c>
      <c r="D21">
        <f t="shared" si="2"/>
        <v>60</v>
      </c>
      <c r="E21">
        <f t="shared" si="3"/>
        <v>0</v>
      </c>
      <c r="F21">
        <f t="shared" si="1"/>
        <v>60</v>
      </c>
    </row>
    <row r="22" spans="1:6" x14ac:dyDescent="0.25">
      <c r="A22" s="1">
        <v>44947</v>
      </c>
      <c r="B22">
        <f t="shared" si="0"/>
        <v>6</v>
      </c>
      <c r="C22" t="s">
        <v>8</v>
      </c>
      <c r="D22">
        <f t="shared" si="2"/>
        <v>0</v>
      </c>
      <c r="E22">
        <f t="shared" si="3"/>
        <v>0</v>
      </c>
      <c r="F22">
        <f t="shared" si="1"/>
        <v>0</v>
      </c>
    </row>
    <row r="23" spans="1:6" x14ac:dyDescent="0.25">
      <c r="A23" s="1">
        <v>44948</v>
      </c>
      <c r="B23">
        <f t="shared" si="0"/>
        <v>7</v>
      </c>
      <c r="C23" t="s">
        <v>8</v>
      </c>
      <c r="D23">
        <f t="shared" si="2"/>
        <v>0</v>
      </c>
      <c r="E23">
        <f t="shared" si="3"/>
        <v>150</v>
      </c>
      <c r="F23">
        <f t="shared" si="1"/>
        <v>-150</v>
      </c>
    </row>
    <row r="24" spans="1:6" x14ac:dyDescent="0.25">
      <c r="A24" s="1">
        <v>44949</v>
      </c>
      <c r="B24">
        <f t="shared" si="0"/>
        <v>1</v>
      </c>
      <c r="C24" t="s">
        <v>8</v>
      </c>
      <c r="D24">
        <f t="shared" si="2"/>
        <v>60</v>
      </c>
      <c r="E24">
        <f t="shared" si="3"/>
        <v>0</v>
      </c>
      <c r="F24">
        <f t="shared" si="1"/>
        <v>60</v>
      </c>
    </row>
    <row r="25" spans="1:6" x14ac:dyDescent="0.25">
      <c r="A25" s="1">
        <v>44950</v>
      </c>
      <c r="B25">
        <f t="shared" si="0"/>
        <v>2</v>
      </c>
      <c r="C25" t="s">
        <v>8</v>
      </c>
      <c r="D25">
        <f t="shared" si="2"/>
        <v>60</v>
      </c>
      <c r="E25">
        <f t="shared" si="3"/>
        <v>0</v>
      </c>
      <c r="F25">
        <f t="shared" si="1"/>
        <v>60</v>
      </c>
    </row>
    <row r="26" spans="1:6" x14ac:dyDescent="0.25">
      <c r="A26" s="1">
        <v>44951</v>
      </c>
      <c r="B26">
        <f t="shared" si="0"/>
        <v>3</v>
      </c>
      <c r="C26" t="s">
        <v>8</v>
      </c>
      <c r="D26">
        <f t="shared" si="2"/>
        <v>60</v>
      </c>
      <c r="E26">
        <f t="shared" si="3"/>
        <v>0</v>
      </c>
      <c r="F26">
        <f t="shared" si="1"/>
        <v>60</v>
      </c>
    </row>
    <row r="27" spans="1:6" x14ac:dyDescent="0.25">
      <c r="A27" s="1">
        <v>44952</v>
      </c>
      <c r="B27">
        <f t="shared" si="0"/>
        <v>4</v>
      </c>
      <c r="C27" t="s">
        <v>8</v>
      </c>
      <c r="D27">
        <f t="shared" si="2"/>
        <v>60</v>
      </c>
      <c r="E27">
        <f t="shared" si="3"/>
        <v>0</v>
      </c>
      <c r="F27">
        <f t="shared" si="1"/>
        <v>60</v>
      </c>
    </row>
    <row r="28" spans="1:6" x14ac:dyDescent="0.25">
      <c r="A28" s="1">
        <v>44953</v>
      </c>
      <c r="B28">
        <f t="shared" si="0"/>
        <v>5</v>
      </c>
      <c r="C28" t="s">
        <v>8</v>
      </c>
      <c r="D28">
        <f t="shared" si="2"/>
        <v>60</v>
      </c>
      <c r="E28">
        <f t="shared" si="3"/>
        <v>0</v>
      </c>
      <c r="F28">
        <f t="shared" si="1"/>
        <v>60</v>
      </c>
    </row>
    <row r="29" spans="1:6" x14ac:dyDescent="0.25">
      <c r="A29" s="1">
        <v>44954</v>
      </c>
      <c r="B29">
        <f t="shared" si="0"/>
        <v>6</v>
      </c>
      <c r="C29" t="s">
        <v>8</v>
      </c>
      <c r="D29">
        <f t="shared" si="2"/>
        <v>0</v>
      </c>
      <c r="E29">
        <f t="shared" si="3"/>
        <v>0</v>
      </c>
      <c r="F29">
        <f t="shared" si="1"/>
        <v>0</v>
      </c>
    </row>
    <row r="30" spans="1:6" x14ac:dyDescent="0.25">
      <c r="A30" s="1">
        <v>44955</v>
      </c>
      <c r="B30">
        <f t="shared" si="0"/>
        <v>7</v>
      </c>
      <c r="C30" t="s">
        <v>8</v>
      </c>
      <c r="D30">
        <f t="shared" si="2"/>
        <v>0</v>
      </c>
      <c r="E30">
        <f t="shared" si="3"/>
        <v>150</v>
      </c>
      <c r="F30">
        <f t="shared" si="1"/>
        <v>-150</v>
      </c>
    </row>
    <row r="31" spans="1:6" x14ac:dyDescent="0.25">
      <c r="A31" s="1">
        <v>44956</v>
      </c>
      <c r="B31">
        <f t="shared" si="0"/>
        <v>1</v>
      </c>
      <c r="C31" t="s">
        <v>8</v>
      </c>
      <c r="D31">
        <f t="shared" si="2"/>
        <v>60</v>
      </c>
      <c r="E31">
        <f t="shared" si="3"/>
        <v>0</v>
      </c>
      <c r="F31">
        <f t="shared" si="1"/>
        <v>60</v>
      </c>
    </row>
    <row r="32" spans="1:6" x14ac:dyDescent="0.25">
      <c r="A32" s="1">
        <v>44957</v>
      </c>
      <c r="B32">
        <f t="shared" si="0"/>
        <v>2</v>
      </c>
      <c r="C32" t="s">
        <v>8</v>
      </c>
      <c r="D32">
        <f t="shared" si="2"/>
        <v>60</v>
      </c>
      <c r="E32">
        <f t="shared" si="3"/>
        <v>0</v>
      </c>
      <c r="F32">
        <f t="shared" si="1"/>
        <v>60</v>
      </c>
    </row>
    <row r="33" spans="1:19" x14ac:dyDescent="0.25">
      <c r="A33" s="1">
        <v>44958</v>
      </c>
      <c r="B33">
        <f t="shared" si="0"/>
        <v>3</v>
      </c>
      <c r="C33" t="s">
        <v>8</v>
      </c>
      <c r="D33">
        <f t="shared" si="2"/>
        <v>60</v>
      </c>
      <c r="E33">
        <f t="shared" si="3"/>
        <v>0</v>
      </c>
      <c r="F33">
        <f t="shared" si="1"/>
        <v>60</v>
      </c>
    </row>
    <row r="34" spans="1:19" x14ac:dyDescent="0.25">
      <c r="A34" s="1">
        <v>44959</v>
      </c>
      <c r="B34">
        <f t="shared" si="0"/>
        <v>4</v>
      </c>
      <c r="C34" t="s">
        <v>8</v>
      </c>
      <c r="D34">
        <f t="shared" si="2"/>
        <v>60</v>
      </c>
      <c r="E34">
        <f t="shared" si="3"/>
        <v>0</v>
      </c>
      <c r="F34">
        <f t="shared" si="1"/>
        <v>60</v>
      </c>
    </row>
    <row r="35" spans="1:19" x14ac:dyDescent="0.25">
      <c r="A35" s="1">
        <v>44960</v>
      </c>
      <c r="B35">
        <f t="shared" si="0"/>
        <v>5</v>
      </c>
      <c r="C35" t="s">
        <v>8</v>
      </c>
      <c r="D35">
        <f t="shared" si="2"/>
        <v>60</v>
      </c>
      <c r="E35">
        <f t="shared" si="3"/>
        <v>0</v>
      </c>
      <c r="F35">
        <f t="shared" si="1"/>
        <v>60</v>
      </c>
      <c r="R35" s="6" t="s">
        <v>35</v>
      </c>
      <c r="S35" t="s">
        <v>22</v>
      </c>
    </row>
    <row r="36" spans="1:19" x14ac:dyDescent="0.25">
      <c r="A36" s="1">
        <v>44961</v>
      </c>
      <c r="B36">
        <f t="shared" si="0"/>
        <v>6</v>
      </c>
      <c r="C36" t="s">
        <v>8</v>
      </c>
      <c r="D36">
        <f t="shared" si="2"/>
        <v>0</v>
      </c>
      <c r="E36">
        <f t="shared" si="3"/>
        <v>0</v>
      </c>
      <c r="F36">
        <f t="shared" si="1"/>
        <v>0</v>
      </c>
    </row>
    <row r="37" spans="1:19" x14ac:dyDescent="0.25">
      <c r="A37" s="1">
        <v>44962</v>
      </c>
      <c r="B37">
        <f t="shared" si="0"/>
        <v>7</v>
      </c>
      <c r="C37" t="s">
        <v>8</v>
      </c>
      <c r="D37">
        <f t="shared" si="2"/>
        <v>0</v>
      </c>
      <c r="E37">
        <f t="shared" si="3"/>
        <v>150</v>
      </c>
      <c r="F37">
        <f t="shared" si="1"/>
        <v>-150</v>
      </c>
      <c r="R37" s="3" t="s">
        <v>37</v>
      </c>
      <c r="S37" s="3" t="s">
        <v>36</v>
      </c>
    </row>
    <row r="38" spans="1:19" x14ac:dyDescent="0.25">
      <c r="A38" s="1">
        <v>44963</v>
      </c>
      <c r="B38">
        <f t="shared" si="0"/>
        <v>1</v>
      </c>
      <c r="C38" t="s">
        <v>8</v>
      </c>
      <c r="D38">
        <f t="shared" si="2"/>
        <v>60</v>
      </c>
      <c r="E38">
        <f t="shared" si="3"/>
        <v>0</v>
      </c>
      <c r="F38">
        <f t="shared" si="1"/>
        <v>60</v>
      </c>
      <c r="R38" s="8" t="s">
        <v>23</v>
      </c>
      <c r="S38" s="9">
        <v>-7430</v>
      </c>
    </row>
    <row r="39" spans="1:19" x14ac:dyDescent="0.25">
      <c r="A39" s="1">
        <v>44964</v>
      </c>
      <c r="B39">
        <f t="shared" si="0"/>
        <v>2</v>
      </c>
      <c r="C39" t="s">
        <v>8</v>
      </c>
      <c r="D39">
        <f t="shared" si="2"/>
        <v>60</v>
      </c>
      <c r="E39">
        <f t="shared" si="3"/>
        <v>0</v>
      </c>
      <c r="F39">
        <f t="shared" si="1"/>
        <v>60</v>
      </c>
      <c r="R39" s="8" t="s">
        <v>24</v>
      </c>
      <c r="S39" s="9">
        <v>600</v>
      </c>
    </row>
    <row r="40" spans="1:19" x14ac:dyDescent="0.25">
      <c r="A40" s="1">
        <v>44965</v>
      </c>
      <c r="B40">
        <f t="shared" si="0"/>
        <v>3</v>
      </c>
      <c r="C40" t="s">
        <v>8</v>
      </c>
      <c r="D40">
        <f t="shared" si="2"/>
        <v>60</v>
      </c>
      <c r="E40">
        <f t="shared" si="3"/>
        <v>0</v>
      </c>
      <c r="F40">
        <f t="shared" si="1"/>
        <v>60</v>
      </c>
      <c r="R40" s="8" t="s">
        <v>25</v>
      </c>
      <c r="S40" s="9">
        <v>1590</v>
      </c>
    </row>
    <row r="41" spans="1:19" x14ac:dyDescent="0.25">
      <c r="A41" s="1">
        <v>44966</v>
      </c>
      <c r="B41">
        <f t="shared" si="0"/>
        <v>4</v>
      </c>
      <c r="C41" t="s">
        <v>8</v>
      </c>
      <c r="D41">
        <f t="shared" si="2"/>
        <v>60</v>
      </c>
      <c r="E41">
        <f t="shared" si="3"/>
        <v>0</v>
      </c>
      <c r="F41">
        <f t="shared" si="1"/>
        <v>60</v>
      </c>
      <c r="R41" s="8" t="s">
        <v>26</v>
      </c>
      <c r="S41" s="9">
        <v>2250</v>
      </c>
    </row>
    <row r="42" spans="1:19" x14ac:dyDescent="0.25">
      <c r="A42" s="1">
        <v>44967</v>
      </c>
      <c r="B42">
        <f t="shared" si="0"/>
        <v>5</v>
      </c>
      <c r="C42" t="s">
        <v>8</v>
      </c>
      <c r="D42">
        <f t="shared" si="2"/>
        <v>60</v>
      </c>
      <c r="E42">
        <f t="shared" si="3"/>
        <v>0</v>
      </c>
      <c r="F42">
        <f t="shared" si="1"/>
        <v>60</v>
      </c>
      <c r="R42" s="8" t="s">
        <v>27</v>
      </c>
      <c r="S42" s="9">
        <v>2850</v>
      </c>
    </row>
    <row r="43" spans="1:19" x14ac:dyDescent="0.25">
      <c r="A43" s="1">
        <v>44968</v>
      </c>
      <c r="B43">
        <f t="shared" si="0"/>
        <v>6</v>
      </c>
      <c r="C43" t="s">
        <v>8</v>
      </c>
      <c r="D43">
        <f t="shared" si="2"/>
        <v>0</v>
      </c>
      <c r="E43">
        <f t="shared" si="3"/>
        <v>0</v>
      </c>
      <c r="F43">
        <f t="shared" si="1"/>
        <v>0</v>
      </c>
      <c r="R43" s="8" t="s">
        <v>28</v>
      </c>
      <c r="S43" s="9">
        <v>3660</v>
      </c>
    </row>
    <row r="44" spans="1:19" x14ac:dyDescent="0.25">
      <c r="A44" s="1">
        <v>44969</v>
      </c>
      <c r="B44">
        <f t="shared" si="0"/>
        <v>7</v>
      </c>
      <c r="C44" t="s">
        <v>8</v>
      </c>
      <c r="D44">
        <f t="shared" si="2"/>
        <v>0</v>
      </c>
      <c r="E44">
        <f t="shared" si="3"/>
        <v>150</v>
      </c>
      <c r="F44">
        <f t="shared" si="1"/>
        <v>-150</v>
      </c>
      <c r="R44" s="8" t="s">
        <v>29</v>
      </c>
      <c r="S44" s="9">
        <v>4920</v>
      </c>
    </row>
    <row r="45" spans="1:19" x14ac:dyDescent="0.25">
      <c r="A45" s="1">
        <v>44970</v>
      </c>
      <c r="B45">
        <f t="shared" si="0"/>
        <v>1</v>
      </c>
      <c r="C45" t="s">
        <v>8</v>
      </c>
      <c r="D45">
        <f t="shared" si="2"/>
        <v>60</v>
      </c>
      <c r="E45">
        <f t="shared" si="3"/>
        <v>0</v>
      </c>
      <c r="F45">
        <f t="shared" si="1"/>
        <v>60</v>
      </c>
      <c r="R45" s="8" t="s">
        <v>30</v>
      </c>
      <c r="S45" s="9">
        <v>5610</v>
      </c>
    </row>
    <row r="46" spans="1:19" x14ac:dyDescent="0.25">
      <c r="A46" s="1">
        <v>44971</v>
      </c>
      <c r="B46">
        <f t="shared" si="0"/>
        <v>2</v>
      </c>
      <c r="C46" t="s">
        <v>8</v>
      </c>
      <c r="D46">
        <f t="shared" si="2"/>
        <v>60</v>
      </c>
      <c r="E46">
        <f t="shared" si="3"/>
        <v>0</v>
      </c>
      <c r="F46">
        <f t="shared" si="1"/>
        <v>60</v>
      </c>
      <c r="R46" s="8" t="s">
        <v>31</v>
      </c>
      <c r="S46" s="9">
        <v>4320</v>
      </c>
    </row>
    <row r="47" spans="1:19" x14ac:dyDescent="0.25">
      <c r="A47" s="1">
        <v>44972</v>
      </c>
      <c r="B47">
        <f t="shared" si="0"/>
        <v>3</v>
      </c>
      <c r="C47" t="s">
        <v>8</v>
      </c>
      <c r="D47">
        <f t="shared" si="2"/>
        <v>60</v>
      </c>
      <c r="E47">
        <f t="shared" si="3"/>
        <v>0</v>
      </c>
      <c r="F47">
        <f t="shared" si="1"/>
        <v>60</v>
      </c>
      <c r="R47" s="8" t="s">
        <v>32</v>
      </c>
      <c r="S47" s="9">
        <v>1890</v>
      </c>
    </row>
    <row r="48" spans="1:19" x14ac:dyDescent="0.25">
      <c r="A48" s="1">
        <v>44973</v>
      </c>
      <c r="B48">
        <f t="shared" si="0"/>
        <v>4</v>
      </c>
      <c r="C48" t="s">
        <v>8</v>
      </c>
      <c r="D48">
        <f t="shared" si="2"/>
        <v>60</v>
      </c>
      <c r="E48">
        <f t="shared" si="3"/>
        <v>0</v>
      </c>
      <c r="F48">
        <f t="shared" si="1"/>
        <v>60</v>
      </c>
      <c r="R48" s="8" t="s">
        <v>33</v>
      </c>
      <c r="S48" s="9">
        <v>2040</v>
      </c>
    </row>
    <row r="49" spans="1:19" x14ac:dyDescent="0.25">
      <c r="A49" s="1">
        <v>44974</v>
      </c>
      <c r="B49">
        <f t="shared" si="0"/>
        <v>5</v>
      </c>
      <c r="C49" t="s">
        <v>8</v>
      </c>
      <c r="D49">
        <f t="shared" si="2"/>
        <v>60</v>
      </c>
      <c r="E49">
        <f t="shared" si="3"/>
        <v>0</v>
      </c>
      <c r="F49">
        <f t="shared" si="1"/>
        <v>60</v>
      </c>
      <c r="R49" s="8" t="s">
        <v>34</v>
      </c>
      <c r="S49" s="9">
        <v>1350</v>
      </c>
    </row>
    <row r="50" spans="1:19" x14ac:dyDescent="0.25">
      <c r="A50" s="1">
        <v>44975</v>
      </c>
      <c r="B50">
        <f t="shared" si="0"/>
        <v>6</v>
      </c>
      <c r="C50" t="s">
        <v>8</v>
      </c>
      <c r="D50">
        <f t="shared" si="2"/>
        <v>0</v>
      </c>
      <c r="E50">
        <f t="shared" si="3"/>
        <v>0</v>
      </c>
      <c r="F50">
        <f t="shared" si="1"/>
        <v>0</v>
      </c>
      <c r="R50" s="7" t="s">
        <v>21</v>
      </c>
      <c r="S50" s="5">
        <v>23650</v>
      </c>
    </row>
    <row r="51" spans="1:19" x14ac:dyDescent="0.25">
      <c r="A51" s="1">
        <v>44976</v>
      </c>
      <c r="B51">
        <f t="shared" si="0"/>
        <v>7</v>
      </c>
      <c r="C51" t="s">
        <v>8</v>
      </c>
      <c r="D51">
        <f t="shared" si="2"/>
        <v>0</v>
      </c>
      <c r="E51">
        <f t="shared" si="3"/>
        <v>150</v>
      </c>
      <c r="F51">
        <f t="shared" si="1"/>
        <v>-150</v>
      </c>
    </row>
    <row r="52" spans="1:19" x14ac:dyDescent="0.25">
      <c r="A52" s="1">
        <v>44977</v>
      </c>
      <c r="B52">
        <f t="shared" si="0"/>
        <v>1</v>
      </c>
      <c r="C52" t="s">
        <v>8</v>
      </c>
      <c r="D52">
        <f t="shared" si="2"/>
        <v>60</v>
      </c>
      <c r="E52">
        <f t="shared" si="3"/>
        <v>0</v>
      </c>
      <c r="F52">
        <f t="shared" si="1"/>
        <v>60</v>
      </c>
    </row>
    <row r="53" spans="1:19" x14ac:dyDescent="0.25">
      <c r="A53" s="1">
        <v>44978</v>
      </c>
      <c r="B53">
        <f t="shared" si="0"/>
        <v>2</v>
      </c>
      <c r="C53" t="s">
        <v>8</v>
      </c>
      <c r="D53">
        <f t="shared" si="2"/>
        <v>60</v>
      </c>
      <c r="E53">
        <f t="shared" si="3"/>
        <v>0</v>
      </c>
      <c r="F53">
        <f t="shared" si="1"/>
        <v>60</v>
      </c>
    </row>
    <row r="54" spans="1:19" x14ac:dyDescent="0.25">
      <c r="A54" s="1">
        <v>44979</v>
      </c>
      <c r="B54">
        <f t="shared" si="0"/>
        <v>3</v>
      </c>
      <c r="C54" t="s">
        <v>8</v>
      </c>
      <c r="D54">
        <f t="shared" si="2"/>
        <v>60</v>
      </c>
      <c r="E54">
        <f t="shared" si="3"/>
        <v>0</v>
      </c>
      <c r="F54">
        <f t="shared" si="1"/>
        <v>60</v>
      </c>
    </row>
    <row r="55" spans="1:19" x14ac:dyDescent="0.25">
      <c r="A55" s="1">
        <v>44980</v>
      </c>
      <c r="B55">
        <f t="shared" si="0"/>
        <v>4</v>
      </c>
      <c r="C55" t="s">
        <v>8</v>
      </c>
      <c r="D55">
        <f t="shared" si="2"/>
        <v>60</v>
      </c>
      <c r="E55">
        <f t="shared" si="3"/>
        <v>0</v>
      </c>
      <c r="F55">
        <f t="shared" si="1"/>
        <v>60</v>
      </c>
    </row>
    <row r="56" spans="1:19" x14ac:dyDescent="0.25">
      <c r="A56" s="1">
        <v>44981</v>
      </c>
      <c r="B56">
        <f t="shared" si="0"/>
        <v>5</v>
      </c>
      <c r="C56" t="s">
        <v>8</v>
      </c>
      <c r="D56">
        <f t="shared" si="2"/>
        <v>60</v>
      </c>
      <c r="E56">
        <f t="shared" si="3"/>
        <v>0</v>
      </c>
      <c r="F56">
        <f t="shared" si="1"/>
        <v>60</v>
      </c>
    </row>
    <row r="57" spans="1:19" x14ac:dyDescent="0.25">
      <c r="A57" s="1">
        <v>44982</v>
      </c>
      <c r="B57">
        <f t="shared" si="0"/>
        <v>6</v>
      </c>
      <c r="C57" t="s">
        <v>8</v>
      </c>
      <c r="D57">
        <f t="shared" si="2"/>
        <v>0</v>
      </c>
      <c r="E57">
        <f t="shared" si="3"/>
        <v>0</v>
      </c>
      <c r="F57">
        <f t="shared" si="1"/>
        <v>0</v>
      </c>
    </row>
    <row r="58" spans="1:19" x14ac:dyDescent="0.25">
      <c r="A58" s="1">
        <v>44983</v>
      </c>
      <c r="B58">
        <f t="shared" si="0"/>
        <v>7</v>
      </c>
      <c r="C58" t="s">
        <v>8</v>
      </c>
      <c r="D58">
        <f t="shared" si="2"/>
        <v>0</v>
      </c>
      <c r="E58">
        <f t="shared" si="3"/>
        <v>150</v>
      </c>
      <c r="F58">
        <f t="shared" si="1"/>
        <v>-150</v>
      </c>
    </row>
    <row r="59" spans="1:19" x14ac:dyDescent="0.25">
      <c r="A59" s="1">
        <v>44984</v>
      </c>
      <c r="B59">
        <f t="shared" si="0"/>
        <v>1</v>
      </c>
      <c r="C59" t="s">
        <v>8</v>
      </c>
      <c r="D59">
        <f t="shared" si="2"/>
        <v>60</v>
      </c>
      <c r="E59">
        <f t="shared" si="3"/>
        <v>0</v>
      </c>
      <c r="F59">
        <f t="shared" si="1"/>
        <v>60</v>
      </c>
    </row>
    <row r="60" spans="1:19" x14ac:dyDescent="0.25">
      <c r="A60" s="1">
        <v>44985</v>
      </c>
      <c r="B60">
        <f t="shared" si="0"/>
        <v>2</v>
      </c>
      <c r="C60" t="s">
        <v>8</v>
      </c>
      <c r="D60">
        <f t="shared" si="2"/>
        <v>60</v>
      </c>
      <c r="E60">
        <f t="shared" si="3"/>
        <v>0</v>
      </c>
      <c r="F60">
        <f t="shared" si="1"/>
        <v>60</v>
      </c>
    </row>
    <row r="61" spans="1:19" x14ac:dyDescent="0.25">
      <c r="A61" s="1">
        <v>44986</v>
      </c>
      <c r="B61">
        <f t="shared" si="0"/>
        <v>3</v>
      </c>
      <c r="C61" t="s">
        <v>8</v>
      </c>
      <c r="D61">
        <f t="shared" si="2"/>
        <v>60</v>
      </c>
      <c r="E61">
        <f t="shared" si="3"/>
        <v>0</v>
      </c>
      <c r="F61">
        <f t="shared" si="1"/>
        <v>60</v>
      </c>
    </row>
    <row r="62" spans="1:19" x14ac:dyDescent="0.25">
      <c r="A62" s="1">
        <v>44987</v>
      </c>
      <c r="B62">
        <f t="shared" si="0"/>
        <v>4</v>
      </c>
      <c r="C62" t="s">
        <v>8</v>
      </c>
      <c r="D62">
        <f t="shared" si="2"/>
        <v>60</v>
      </c>
      <c r="E62">
        <f t="shared" si="3"/>
        <v>0</v>
      </c>
      <c r="F62">
        <f t="shared" si="1"/>
        <v>60</v>
      </c>
    </row>
    <row r="63" spans="1:19" x14ac:dyDescent="0.25">
      <c r="A63" s="1">
        <v>44988</v>
      </c>
      <c r="B63">
        <f t="shared" si="0"/>
        <v>5</v>
      </c>
      <c r="C63" t="s">
        <v>8</v>
      </c>
      <c r="D63">
        <f t="shared" si="2"/>
        <v>60</v>
      </c>
      <c r="E63">
        <f t="shared" si="3"/>
        <v>0</v>
      </c>
      <c r="F63">
        <f t="shared" si="1"/>
        <v>60</v>
      </c>
    </row>
    <row r="64" spans="1:19" x14ac:dyDescent="0.25">
      <c r="A64" s="1">
        <v>44989</v>
      </c>
      <c r="B64">
        <f t="shared" si="0"/>
        <v>6</v>
      </c>
      <c r="C64" t="s">
        <v>8</v>
      </c>
      <c r="D64">
        <f t="shared" si="2"/>
        <v>0</v>
      </c>
      <c r="E64">
        <f t="shared" si="3"/>
        <v>0</v>
      </c>
      <c r="F64">
        <f t="shared" si="1"/>
        <v>0</v>
      </c>
    </row>
    <row r="65" spans="1:6" x14ac:dyDescent="0.25">
      <c r="A65" s="1">
        <v>44990</v>
      </c>
      <c r="B65">
        <f t="shared" si="0"/>
        <v>7</v>
      </c>
      <c r="C65" t="s">
        <v>8</v>
      </c>
      <c r="D65">
        <f t="shared" si="2"/>
        <v>0</v>
      </c>
      <c r="E65">
        <f t="shared" si="3"/>
        <v>150</v>
      </c>
      <c r="F65">
        <f t="shared" si="1"/>
        <v>-150</v>
      </c>
    </row>
    <row r="66" spans="1:6" x14ac:dyDescent="0.25">
      <c r="A66" s="1">
        <v>44991</v>
      </c>
      <c r="B66">
        <f t="shared" si="0"/>
        <v>1</v>
      </c>
      <c r="C66" t="s">
        <v>8</v>
      </c>
      <c r="D66">
        <f t="shared" si="2"/>
        <v>60</v>
      </c>
      <c r="E66">
        <f t="shared" si="3"/>
        <v>0</v>
      </c>
      <c r="F66">
        <f t="shared" si="1"/>
        <v>60</v>
      </c>
    </row>
    <row r="67" spans="1:6" x14ac:dyDescent="0.25">
      <c r="A67" s="1">
        <v>44992</v>
      </c>
      <c r="B67">
        <f t="shared" ref="B67:B130" si="4">WEEKDAY(A67,2)</f>
        <v>2</v>
      </c>
      <c r="C67" t="s">
        <v>8</v>
      </c>
      <c r="D67">
        <f t="shared" si="2"/>
        <v>60</v>
      </c>
      <c r="E67">
        <f t="shared" si="3"/>
        <v>0</v>
      </c>
      <c r="F67">
        <f t="shared" ref="F67:F130" si="5">D67-E67</f>
        <v>60</v>
      </c>
    </row>
    <row r="68" spans="1:6" x14ac:dyDescent="0.25">
      <c r="A68" s="1">
        <v>44993</v>
      </c>
      <c r="B68">
        <f t="shared" si="4"/>
        <v>3</v>
      </c>
      <c r="C68" t="s">
        <v>8</v>
      </c>
      <c r="D68">
        <f t="shared" ref="D68:D131" si="6">IF(B68&lt;6,$Q$1*VLOOKUP(C68,$S$1:$T$5,2,FALSE)*$Q$3,0)</f>
        <v>60</v>
      </c>
      <c r="E68">
        <f t="shared" ref="E68:E131" si="7">IF(B68=7,$Q$4*$Q$1,0)</f>
        <v>0</v>
      </c>
      <c r="F68">
        <f t="shared" si="5"/>
        <v>60</v>
      </c>
    </row>
    <row r="69" spans="1:6" x14ac:dyDescent="0.25">
      <c r="A69" s="1">
        <v>44994</v>
      </c>
      <c r="B69">
        <f t="shared" si="4"/>
        <v>4</v>
      </c>
      <c r="C69" t="s">
        <v>8</v>
      </c>
      <c r="D69">
        <f t="shared" si="6"/>
        <v>60</v>
      </c>
      <c r="E69">
        <f t="shared" si="7"/>
        <v>0</v>
      </c>
      <c r="F69">
        <f t="shared" si="5"/>
        <v>60</v>
      </c>
    </row>
    <row r="70" spans="1:6" x14ac:dyDescent="0.25">
      <c r="A70" s="1">
        <v>44995</v>
      </c>
      <c r="B70">
        <f t="shared" si="4"/>
        <v>5</v>
      </c>
      <c r="C70" t="s">
        <v>8</v>
      </c>
      <c r="D70">
        <f t="shared" si="6"/>
        <v>60</v>
      </c>
      <c r="E70">
        <f t="shared" si="7"/>
        <v>0</v>
      </c>
      <c r="F70">
        <f t="shared" si="5"/>
        <v>60</v>
      </c>
    </row>
    <row r="71" spans="1:6" x14ac:dyDescent="0.25">
      <c r="A71" s="1">
        <v>44996</v>
      </c>
      <c r="B71">
        <f t="shared" si="4"/>
        <v>6</v>
      </c>
      <c r="C71" t="s">
        <v>8</v>
      </c>
      <c r="D71">
        <f t="shared" si="6"/>
        <v>0</v>
      </c>
      <c r="E71">
        <f t="shared" si="7"/>
        <v>0</v>
      </c>
      <c r="F71">
        <f t="shared" si="5"/>
        <v>0</v>
      </c>
    </row>
    <row r="72" spans="1:6" x14ac:dyDescent="0.25">
      <c r="A72" s="1">
        <v>44997</v>
      </c>
      <c r="B72">
        <f t="shared" si="4"/>
        <v>7</v>
      </c>
      <c r="C72" t="s">
        <v>8</v>
      </c>
      <c r="D72">
        <f t="shared" si="6"/>
        <v>0</v>
      </c>
      <c r="E72">
        <f t="shared" si="7"/>
        <v>150</v>
      </c>
      <c r="F72">
        <f t="shared" si="5"/>
        <v>-150</v>
      </c>
    </row>
    <row r="73" spans="1:6" x14ac:dyDescent="0.25">
      <c r="A73" s="1">
        <v>44998</v>
      </c>
      <c r="B73">
        <f t="shared" si="4"/>
        <v>1</v>
      </c>
      <c r="C73" t="s">
        <v>8</v>
      </c>
      <c r="D73">
        <f t="shared" si="6"/>
        <v>60</v>
      </c>
      <c r="E73">
        <f t="shared" si="7"/>
        <v>0</v>
      </c>
      <c r="F73">
        <f t="shared" si="5"/>
        <v>60</v>
      </c>
    </row>
    <row r="74" spans="1:6" x14ac:dyDescent="0.25">
      <c r="A74" s="1">
        <v>44999</v>
      </c>
      <c r="B74">
        <f t="shared" si="4"/>
        <v>2</v>
      </c>
      <c r="C74" t="s">
        <v>8</v>
      </c>
      <c r="D74">
        <f t="shared" si="6"/>
        <v>60</v>
      </c>
      <c r="E74">
        <f t="shared" si="7"/>
        <v>0</v>
      </c>
      <c r="F74">
        <f t="shared" si="5"/>
        <v>60</v>
      </c>
    </row>
    <row r="75" spans="1:6" x14ac:dyDescent="0.25">
      <c r="A75" s="1">
        <v>45000</v>
      </c>
      <c r="B75">
        <f t="shared" si="4"/>
        <v>3</v>
      </c>
      <c r="C75" t="s">
        <v>8</v>
      </c>
      <c r="D75">
        <f t="shared" si="6"/>
        <v>60</v>
      </c>
      <c r="E75">
        <f t="shared" si="7"/>
        <v>0</v>
      </c>
      <c r="F75">
        <f t="shared" si="5"/>
        <v>60</v>
      </c>
    </row>
    <row r="76" spans="1:6" x14ac:dyDescent="0.25">
      <c r="A76" s="1">
        <v>45001</v>
      </c>
      <c r="B76">
        <f t="shared" si="4"/>
        <v>4</v>
      </c>
      <c r="C76" t="s">
        <v>8</v>
      </c>
      <c r="D76">
        <f t="shared" si="6"/>
        <v>60</v>
      </c>
      <c r="E76">
        <f t="shared" si="7"/>
        <v>0</v>
      </c>
      <c r="F76">
        <f t="shared" si="5"/>
        <v>60</v>
      </c>
    </row>
    <row r="77" spans="1:6" x14ac:dyDescent="0.25">
      <c r="A77" s="1">
        <v>45002</v>
      </c>
      <c r="B77">
        <f t="shared" si="4"/>
        <v>5</v>
      </c>
      <c r="C77" t="s">
        <v>8</v>
      </c>
      <c r="D77">
        <f t="shared" si="6"/>
        <v>60</v>
      </c>
      <c r="E77">
        <f t="shared" si="7"/>
        <v>0</v>
      </c>
      <c r="F77">
        <f t="shared" si="5"/>
        <v>60</v>
      </c>
    </row>
    <row r="78" spans="1:6" x14ac:dyDescent="0.25">
      <c r="A78" s="1">
        <v>45003</v>
      </c>
      <c r="B78">
        <f t="shared" si="4"/>
        <v>6</v>
      </c>
      <c r="C78" t="s">
        <v>8</v>
      </c>
      <c r="D78">
        <f t="shared" si="6"/>
        <v>0</v>
      </c>
      <c r="E78">
        <f t="shared" si="7"/>
        <v>0</v>
      </c>
      <c r="F78">
        <f t="shared" si="5"/>
        <v>0</v>
      </c>
    </row>
    <row r="79" spans="1:6" x14ac:dyDescent="0.25">
      <c r="A79" s="1">
        <v>45004</v>
      </c>
      <c r="B79">
        <f t="shared" si="4"/>
        <v>7</v>
      </c>
      <c r="C79" t="s">
        <v>8</v>
      </c>
      <c r="D79">
        <f t="shared" si="6"/>
        <v>0</v>
      </c>
      <c r="E79">
        <f t="shared" si="7"/>
        <v>150</v>
      </c>
      <c r="F79">
        <f t="shared" si="5"/>
        <v>-150</v>
      </c>
    </row>
    <row r="80" spans="1:6" x14ac:dyDescent="0.25">
      <c r="A80" s="1">
        <v>45005</v>
      </c>
      <c r="B80">
        <f t="shared" si="4"/>
        <v>1</v>
      </c>
      <c r="C80" t="s">
        <v>8</v>
      </c>
      <c r="D80">
        <f t="shared" si="6"/>
        <v>60</v>
      </c>
      <c r="E80">
        <f t="shared" si="7"/>
        <v>0</v>
      </c>
      <c r="F80">
        <f t="shared" si="5"/>
        <v>60</v>
      </c>
    </row>
    <row r="81" spans="1:6" x14ac:dyDescent="0.25">
      <c r="A81" s="1">
        <v>45006</v>
      </c>
      <c r="B81">
        <f t="shared" si="4"/>
        <v>2</v>
      </c>
      <c r="C81" t="s">
        <v>9</v>
      </c>
      <c r="D81">
        <f t="shared" si="6"/>
        <v>150</v>
      </c>
      <c r="E81">
        <f t="shared" si="7"/>
        <v>0</v>
      </c>
      <c r="F81">
        <f t="shared" si="5"/>
        <v>150</v>
      </c>
    </row>
    <row r="82" spans="1:6" x14ac:dyDescent="0.25">
      <c r="A82" s="1">
        <v>45007</v>
      </c>
      <c r="B82">
        <f t="shared" si="4"/>
        <v>3</v>
      </c>
      <c r="C82" t="s">
        <v>9</v>
      </c>
      <c r="D82">
        <f t="shared" si="6"/>
        <v>150</v>
      </c>
      <c r="E82">
        <f t="shared" si="7"/>
        <v>0</v>
      </c>
      <c r="F82">
        <f t="shared" si="5"/>
        <v>150</v>
      </c>
    </row>
    <row r="83" spans="1:6" x14ac:dyDescent="0.25">
      <c r="A83" s="1">
        <v>45008</v>
      </c>
      <c r="B83">
        <f t="shared" si="4"/>
        <v>4</v>
      </c>
      <c r="C83" t="s">
        <v>9</v>
      </c>
      <c r="D83">
        <f t="shared" si="6"/>
        <v>150</v>
      </c>
      <c r="E83">
        <f t="shared" si="7"/>
        <v>0</v>
      </c>
      <c r="F83">
        <f t="shared" si="5"/>
        <v>150</v>
      </c>
    </row>
    <row r="84" spans="1:6" x14ac:dyDescent="0.25">
      <c r="A84" s="1">
        <v>45009</v>
      </c>
      <c r="B84">
        <f t="shared" si="4"/>
        <v>5</v>
      </c>
      <c r="C84" t="s">
        <v>9</v>
      </c>
      <c r="D84">
        <f t="shared" si="6"/>
        <v>150</v>
      </c>
      <c r="E84">
        <f t="shared" si="7"/>
        <v>0</v>
      </c>
      <c r="F84">
        <f t="shared" si="5"/>
        <v>150</v>
      </c>
    </row>
    <row r="85" spans="1:6" x14ac:dyDescent="0.25">
      <c r="A85" s="1">
        <v>45010</v>
      </c>
      <c r="B85">
        <f t="shared" si="4"/>
        <v>6</v>
      </c>
      <c r="C85" t="s">
        <v>9</v>
      </c>
      <c r="D85">
        <f t="shared" si="6"/>
        <v>0</v>
      </c>
      <c r="E85">
        <f t="shared" si="7"/>
        <v>0</v>
      </c>
      <c r="F85">
        <f t="shared" si="5"/>
        <v>0</v>
      </c>
    </row>
    <row r="86" spans="1:6" x14ac:dyDescent="0.25">
      <c r="A86" s="1">
        <v>45011</v>
      </c>
      <c r="B86">
        <f t="shared" si="4"/>
        <v>7</v>
      </c>
      <c r="C86" t="s">
        <v>9</v>
      </c>
      <c r="D86">
        <f t="shared" si="6"/>
        <v>0</v>
      </c>
      <c r="E86">
        <f t="shared" si="7"/>
        <v>150</v>
      </c>
      <c r="F86">
        <f t="shared" si="5"/>
        <v>-150</v>
      </c>
    </row>
    <row r="87" spans="1:6" x14ac:dyDescent="0.25">
      <c r="A87" s="1">
        <v>45012</v>
      </c>
      <c r="B87">
        <f t="shared" si="4"/>
        <v>1</v>
      </c>
      <c r="C87" t="s">
        <v>9</v>
      </c>
      <c r="D87">
        <f t="shared" si="6"/>
        <v>150</v>
      </c>
      <c r="E87">
        <f t="shared" si="7"/>
        <v>0</v>
      </c>
      <c r="F87">
        <f t="shared" si="5"/>
        <v>150</v>
      </c>
    </row>
    <row r="88" spans="1:6" x14ac:dyDescent="0.25">
      <c r="A88" s="1">
        <v>45013</v>
      </c>
      <c r="B88">
        <f t="shared" si="4"/>
        <v>2</v>
      </c>
      <c r="C88" t="s">
        <v>9</v>
      </c>
      <c r="D88">
        <f t="shared" si="6"/>
        <v>150</v>
      </c>
      <c r="E88">
        <f t="shared" si="7"/>
        <v>0</v>
      </c>
      <c r="F88">
        <f t="shared" si="5"/>
        <v>150</v>
      </c>
    </row>
    <row r="89" spans="1:6" x14ac:dyDescent="0.25">
      <c r="A89" s="1">
        <v>45014</v>
      </c>
      <c r="B89">
        <f t="shared" si="4"/>
        <v>3</v>
      </c>
      <c r="C89" t="s">
        <v>9</v>
      </c>
      <c r="D89">
        <f t="shared" si="6"/>
        <v>150</v>
      </c>
      <c r="E89">
        <f t="shared" si="7"/>
        <v>0</v>
      </c>
      <c r="F89">
        <f t="shared" si="5"/>
        <v>150</v>
      </c>
    </row>
    <row r="90" spans="1:6" x14ac:dyDescent="0.25">
      <c r="A90" s="1">
        <v>45015</v>
      </c>
      <c r="B90">
        <f t="shared" si="4"/>
        <v>4</v>
      </c>
      <c r="C90" t="s">
        <v>9</v>
      </c>
      <c r="D90">
        <f t="shared" si="6"/>
        <v>150</v>
      </c>
      <c r="E90">
        <f t="shared" si="7"/>
        <v>0</v>
      </c>
      <c r="F90">
        <f t="shared" si="5"/>
        <v>150</v>
      </c>
    </row>
    <row r="91" spans="1:6" x14ac:dyDescent="0.25">
      <c r="A91" s="1">
        <v>45016</v>
      </c>
      <c r="B91">
        <f t="shared" si="4"/>
        <v>5</v>
      </c>
      <c r="C91" t="s">
        <v>9</v>
      </c>
      <c r="D91">
        <f t="shared" si="6"/>
        <v>150</v>
      </c>
      <c r="E91">
        <f t="shared" si="7"/>
        <v>0</v>
      </c>
      <c r="F91">
        <f t="shared" si="5"/>
        <v>150</v>
      </c>
    </row>
    <row r="92" spans="1:6" x14ac:dyDescent="0.25">
      <c r="A92" s="1">
        <v>45017</v>
      </c>
      <c r="B92">
        <f t="shared" si="4"/>
        <v>6</v>
      </c>
      <c r="C92" t="s">
        <v>9</v>
      </c>
      <c r="D92">
        <f t="shared" si="6"/>
        <v>0</v>
      </c>
      <c r="E92">
        <f t="shared" si="7"/>
        <v>0</v>
      </c>
      <c r="F92">
        <f t="shared" si="5"/>
        <v>0</v>
      </c>
    </row>
    <row r="93" spans="1:6" x14ac:dyDescent="0.25">
      <c r="A93" s="1">
        <v>45018</v>
      </c>
      <c r="B93">
        <f t="shared" si="4"/>
        <v>7</v>
      </c>
      <c r="C93" t="s">
        <v>9</v>
      </c>
      <c r="D93">
        <f t="shared" si="6"/>
        <v>0</v>
      </c>
      <c r="E93">
        <f t="shared" si="7"/>
        <v>150</v>
      </c>
      <c r="F93">
        <f t="shared" si="5"/>
        <v>-150</v>
      </c>
    </row>
    <row r="94" spans="1:6" x14ac:dyDescent="0.25">
      <c r="A94" s="1">
        <v>45019</v>
      </c>
      <c r="B94">
        <f t="shared" si="4"/>
        <v>1</v>
      </c>
      <c r="C94" t="s">
        <v>9</v>
      </c>
      <c r="D94">
        <f t="shared" si="6"/>
        <v>150</v>
      </c>
      <c r="E94">
        <f t="shared" si="7"/>
        <v>0</v>
      </c>
      <c r="F94">
        <f t="shared" si="5"/>
        <v>150</v>
      </c>
    </row>
    <row r="95" spans="1:6" x14ac:dyDescent="0.25">
      <c r="A95" s="1">
        <v>45020</v>
      </c>
      <c r="B95">
        <f t="shared" si="4"/>
        <v>2</v>
      </c>
      <c r="C95" t="s">
        <v>9</v>
      </c>
      <c r="D95">
        <f t="shared" si="6"/>
        <v>150</v>
      </c>
      <c r="E95">
        <f t="shared" si="7"/>
        <v>0</v>
      </c>
      <c r="F95">
        <f t="shared" si="5"/>
        <v>150</v>
      </c>
    </row>
    <row r="96" spans="1:6" x14ac:dyDescent="0.25">
      <c r="A96" s="1">
        <v>45021</v>
      </c>
      <c r="B96">
        <f t="shared" si="4"/>
        <v>3</v>
      </c>
      <c r="C96" t="s">
        <v>9</v>
      </c>
      <c r="D96">
        <f t="shared" si="6"/>
        <v>150</v>
      </c>
      <c r="E96">
        <f t="shared" si="7"/>
        <v>0</v>
      </c>
      <c r="F96">
        <f t="shared" si="5"/>
        <v>150</v>
      </c>
    </row>
    <row r="97" spans="1:6" x14ac:dyDescent="0.25">
      <c r="A97" s="1">
        <v>45022</v>
      </c>
      <c r="B97">
        <f t="shared" si="4"/>
        <v>4</v>
      </c>
      <c r="C97" t="s">
        <v>9</v>
      </c>
      <c r="D97">
        <f t="shared" si="6"/>
        <v>150</v>
      </c>
      <c r="E97">
        <f t="shared" si="7"/>
        <v>0</v>
      </c>
      <c r="F97">
        <f t="shared" si="5"/>
        <v>150</v>
      </c>
    </row>
    <row r="98" spans="1:6" x14ac:dyDescent="0.25">
      <c r="A98" s="1">
        <v>45023</v>
      </c>
      <c r="B98">
        <f t="shared" si="4"/>
        <v>5</v>
      </c>
      <c r="C98" t="s">
        <v>9</v>
      </c>
      <c r="D98">
        <f t="shared" si="6"/>
        <v>150</v>
      </c>
      <c r="E98">
        <f t="shared" si="7"/>
        <v>0</v>
      </c>
      <c r="F98">
        <f t="shared" si="5"/>
        <v>150</v>
      </c>
    </row>
    <row r="99" spans="1:6" x14ac:dyDescent="0.25">
      <c r="A99" s="1">
        <v>45024</v>
      </c>
      <c r="B99">
        <f t="shared" si="4"/>
        <v>6</v>
      </c>
      <c r="C99" t="s">
        <v>9</v>
      </c>
      <c r="D99">
        <f t="shared" si="6"/>
        <v>0</v>
      </c>
      <c r="E99">
        <f t="shared" si="7"/>
        <v>0</v>
      </c>
      <c r="F99">
        <f t="shared" si="5"/>
        <v>0</v>
      </c>
    </row>
    <row r="100" spans="1:6" x14ac:dyDescent="0.25">
      <c r="A100" s="1">
        <v>45025</v>
      </c>
      <c r="B100">
        <f t="shared" si="4"/>
        <v>7</v>
      </c>
      <c r="C100" t="s">
        <v>9</v>
      </c>
      <c r="D100">
        <f t="shared" si="6"/>
        <v>0</v>
      </c>
      <c r="E100">
        <f t="shared" si="7"/>
        <v>150</v>
      </c>
      <c r="F100">
        <f t="shared" si="5"/>
        <v>-150</v>
      </c>
    </row>
    <row r="101" spans="1:6" x14ac:dyDescent="0.25">
      <c r="A101" s="1">
        <v>45026</v>
      </c>
      <c r="B101">
        <f t="shared" si="4"/>
        <v>1</v>
      </c>
      <c r="C101" t="s">
        <v>9</v>
      </c>
      <c r="D101">
        <f t="shared" si="6"/>
        <v>150</v>
      </c>
      <c r="E101">
        <f t="shared" si="7"/>
        <v>0</v>
      </c>
      <c r="F101">
        <f t="shared" si="5"/>
        <v>150</v>
      </c>
    </row>
    <row r="102" spans="1:6" x14ac:dyDescent="0.25">
      <c r="A102" s="1">
        <v>45027</v>
      </c>
      <c r="B102">
        <f t="shared" si="4"/>
        <v>2</v>
      </c>
      <c r="C102" t="s">
        <v>9</v>
      </c>
      <c r="D102">
        <f t="shared" si="6"/>
        <v>150</v>
      </c>
      <c r="E102">
        <f t="shared" si="7"/>
        <v>0</v>
      </c>
      <c r="F102">
        <f t="shared" si="5"/>
        <v>150</v>
      </c>
    </row>
    <row r="103" spans="1:6" x14ac:dyDescent="0.25">
      <c r="A103" s="1">
        <v>45028</v>
      </c>
      <c r="B103">
        <f t="shared" si="4"/>
        <v>3</v>
      </c>
      <c r="C103" t="s">
        <v>9</v>
      </c>
      <c r="D103">
        <f t="shared" si="6"/>
        <v>150</v>
      </c>
      <c r="E103">
        <f t="shared" si="7"/>
        <v>0</v>
      </c>
      <c r="F103">
        <f t="shared" si="5"/>
        <v>150</v>
      </c>
    </row>
    <row r="104" spans="1:6" x14ac:dyDescent="0.25">
      <c r="A104" s="1">
        <v>45029</v>
      </c>
      <c r="B104">
        <f t="shared" si="4"/>
        <v>4</v>
      </c>
      <c r="C104" t="s">
        <v>9</v>
      </c>
      <c r="D104">
        <f t="shared" si="6"/>
        <v>150</v>
      </c>
      <c r="E104">
        <f t="shared" si="7"/>
        <v>0</v>
      </c>
      <c r="F104">
        <f t="shared" si="5"/>
        <v>150</v>
      </c>
    </row>
    <row r="105" spans="1:6" x14ac:dyDescent="0.25">
      <c r="A105" s="1">
        <v>45030</v>
      </c>
      <c r="B105">
        <f t="shared" si="4"/>
        <v>5</v>
      </c>
      <c r="C105" t="s">
        <v>9</v>
      </c>
      <c r="D105">
        <f t="shared" si="6"/>
        <v>150</v>
      </c>
      <c r="E105">
        <f t="shared" si="7"/>
        <v>0</v>
      </c>
      <c r="F105">
        <f t="shared" si="5"/>
        <v>150</v>
      </c>
    </row>
    <row r="106" spans="1:6" x14ac:dyDescent="0.25">
      <c r="A106" s="1">
        <v>45031</v>
      </c>
      <c r="B106">
        <f t="shared" si="4"/>
        <v>6</v>
      </c>
      <c r="C106" t="s">
        <v>9</v>
      </c>
      <c r="D106">
        <f t="shared" si="6"/>
        <v>0</v>
      </c>
      <c r="E106">
        <f t="shared" si="7"/>
        <v>0</v>
      </c>
      <c r="F106">
        <f t="shared" si="5"/>
        <v>0</v>
      </c>
    </row>
    <row r="107" spans="1:6" x14ac:dyDescent="0.25">
      <c r="A107" s="1">
        <v>45032</v>
      </c>
      <c r="B107">
        <f t="shared" si="4"/>
        <v>7</v>
      </c>
      <c r="C107" t="s">
        <v>9</v>
      </c>
      <c r="D107">
        <f t="shared" si="6"/>
        <v>0</v>
      </c>
      <c r="E107">
        <f t="shared" si="7"/>
        <v>150</v>
      </c>
      <c r="F107">
        <f t="shared" si="5"/>
        <v>-150</v>
      </c>
    </row>
    <row r="108" spans="1:6" x14ac:dyDescent="0.25">
      <c r="A108" s="1">
        <v>45033</v>
      </c>
      <c r="B108">
        <f t="shared" si="4"/>
        <v>1</v>
      </c>
      <c r="C108" t="s">
        <v>9</v>
      </c>
      <c r="D108">
        <f t="shared" si="6"/>
        <v>150</v>
      </c>
      <c r="E108">
        <f t="shared" si="7"/>
        <v>0</v>
      </c>
      <c r="F108">
        <f t="shared" si="5"/>
        <v>150</v>
      </c>
    </row>
    <row r="109" spans="1:6" x14ac:dyDescent="0.25">
      <c r="A109" s="1">
        <v>45034</v>
      </c>
      <c r="B109">
        <f t="shared" si="4"/>
        <v>2</v>
      </c>
      <c r="C109" t="s">
        <v>9</v>
      </c>
      <c r="D109">
        <f t="shared" si="6"/>
        <v>150</v>
      </c>
      <c r="E109">
        <f t="shared" si="7"/>
        <v>0</v>
      </c>
      <c r="F109">
        <f t="shared" si="5"/>
        <v>150</v>
      </c>
    </row>
    <row r="110" spans="1:6" x14ac:dyDescent="0.25">
      <c r="A110" s="1">
        <v>45035</v>
      </c>
      <c r="B110">
        <f t="shared" si="4"/>
        <v>3</v>
      </c>
      <c r="C110" t="s">
        <v>9</v>
      </c>
      <c r="D110">
        <f t="shared" si="6"/>
        <v>150</v>
      </c>
      <c r="E110">
        <f t="shared" si="7"/>
        <v>0</v>
      </c>
      <c r="F110">
        <f t="shared" si="5"/>
        <v>150</v>
      </c>
    </row>
    <row r="111" spans="1:6" x14ac:dyDescent="0.25">
      <c r="A111" s="1">
        <v>45036</v>
      </c>
      <c r="B111">
        <f t="shared" si="4"/>
        <v>4</v>
      </c>
      <c r="C111" t="s">
        <v>9</v>
      </c>
      <c r="D111">
        <f t="shared" si="6"/>
        <v>150</v>
      </c>
      <c r="E111">
        <f t="shared" si="7"/>
        <v>0</v>
      </c>
      <c r="F111">
        <f t="shared" si="5"/>
        <v>150</v>
      </c>
    </row>
    <row r="112" spans="1:6" x14ac:dyDescent="0.25">
      <c r="A112" s="1">
        <v>45037</v>
      </c>
      <c r="B112">
        <f t="shared" si="4"/>
        <v>5</v>
      </c>
      <c r="C112" t="s">
        <v>9</v>
      </c>
      <c r="D112">
        <f t="shared" si="6"/>
        <v>150</v>
      </c>
      <c r="E112">
        <f t="shared" si="7"/>
        <v>0</v>
      </c>
      <c r="F112">
        <f t="shared" si="5"/>
        <v>150</v>
      </c>
    </row>
    <row r="113" spans="1:6" x14ac:dyDescent="0.25">
      <c r="A113" s="1">
        <v>45038</v>
      </c>
      <c r="B113">
        <f t="shared" si="4"/>
        <v>6</v>
      </c>
      <c r="C113" t="s">
        <v>9</v>
      </c>
      <c r="D113">
        <f t="shared" si="6"/>
        <v>0</v>
      </c>
      <c r="E113">
        <f t="shared" si="7"/>
        <v>0</v>
      </c>
      <c r="F113">
        <f t="shared" si="5"/>
        <v>0</v>
      </c>
    </row>
    <row r="114" spans="1:6" x14ac:dyDescent="0.25">
      <c r="A114" s="1">
        <v>45039</v>
      </c>
      <c r="B114">
        <f t="shared" si="4"/>
        <v>7</v>
      </c>
      <c r="C114" t="s">
        <v>9</v>
      </c>
      <c r="D114">
        <f t="shared" si="6"/>
        <v>0</v>
      </c>
      <c r="E114">
        <f t="shared" si="7"/>
        <v>150</v>
      </c>
      <c r="F114">
        <f t="shared" si="5"/>
        <v>-150</v>
      </c>
    </row>
    <row r="115" spans="1:6" x14ac:dyDescent="0.25">
      <c r="A115" s="1">
        <v>45040</v>
      </c>
      <c r="B115">
        <f t="shared" si="4"/>
        <v>1</v>
      </c>
      <c r="C115" t="s">
        <v>9</v>
      </c>
      <c r="D115">
        <f t="shared" si="6"/>
        <v>150</v>
      </c>
      <c r="E115">
        <f t="shared" si="7"/>
        <v>0</v>
      </c>
      <c r="F115">
        <f t="shared" si="5"/>
        <v>150</v>
      </c>
    </row>
    <row r="116" spans="1:6" x14ac:dyDescent="0.25">
      <c r="A116" s="1">
        <v>45041</v>
      </c>
      <c r="B116">
        <f t="shared" si="4"/>
        <v>2</v>
      </c>
      <c r="C116" t="s">
        <v>9</v>
      </c>
      <c r="D116">
        <f t="shared" si="6"/>
        <v>150</v>
      </c>
      <c r="E116">
        <f t="shared" si="7"/>
        <v>0</v>
      </c>
      <c r="F116">
        <f t="shared" si="5"/>
        <v>150</v>
      </c>
    </row>
    <row r="117" spans="1:6" x14ac:dyDescent="0.25">
      <c r="A117" s="1">
        <v>45042</v>
      </c>
      <c r="B117">
        <f t="shared" si="4"/>
        <v>3</v>
      </c>
      <c r="C117" t="s">
        <v>9</v>
      </c>
      <c r="D117">
        <f t="shared" si="6"/>
        <v>150</v>
      </c>
      <c r="E117">
        <f t="shared" si="7"/>
        <v>0</v>
      </c>
      <c r="F117">
        <f t="shared" si="5"/>
        <v>150</v>
      </c>
    </row>
    <row r="118" spans="1:6" x14ac:dyDescent="0.25">
      <c r="A118" s="1">
        <v>45043</v>
      </c>
      <c r="B118">
        <f t="shared" si="4"/>
        <v>4</v>
      </c>
      <c r="C118" t="s">
        <v>9</v>
      </c>
      <c r="D118">
        <f t="shared" si="6"/>
        <v>150</v>
      </c>
      <c r="E118">
        <f t="shared" si="7"/>
        <v>0</v>
      </c>
      <c r="F118">
        <f t="shared" si="5"/>
        <v>150</v>
      </c>
    </row>
    <row r="119" spans="1:6" x14ac:dyDescent="0.25">
      <c r="A119" s="1">
        <v>45044</v>
      </c>
      <c r="B119">
        <f t="shared" si="4"/>
        <v>5</v>
      </c>
      <c r="C119" t="s">
        <v>9</v>
      </c>
      <c r="D119">
        <f t="shared" si="6"/>
        <v>150</v>
      </c>
      <c r="E119">
        <f t="shared" si="7"/>
        <v>0</v>
      </c>
      <c r="F119">
        <f t="shared" si="5"/>
        <v>150</v>
      </c>
    </row>
    <row r="120" spans="1:6" x14ac:dyDescent="0.25">
      <c r="A120" s="1">
        <v>45045</v>
      </c>
      <c r="B120">
        <f t="shared" si="4"/>
        <v>6</v>
      </c>
      <c r="C120" t="s">
        <v>9</v>
      </c>
      <c r="D120">
        <f t="shared" si="6"/>
        <v>0</v>
      </c>
      <c r="E120">
        <f t="shared" si="7"/>
        <v>0</v>
      </c>
      <c r="F120">
        <f t="shared" si="5"/>
        <v>0</v>
      </c>
    </row>
    <row r="121" spans="1:6" x14ac:dyDescent="0.25">
      <c r="A121" s="1">
        <v>45046</v>
      </c>
      <c r="B121">
        <f t="shared" si="4"/>
        <v>7</v>
      </c>
      <c r="C121" t="s">
        <v>9</v>
      </c>
      <c r="D121">
        <f t="shared" si="6"/>
        <v>0</v>
      </c>
      <c r="E121">
        <f t="shared" si="7"/>
        <v>150</v>
      </c>
      <c r="F121">
        <f t="shared" si="5"/>
        <v>-150</v>
      </c>
    </row>
    <row r="122" spans="1:6" x14ac:dyDescent="0.25">
      <c r="A122" s="1">
        <v>45047</v>
      </c>
      <c r="B122">
        <f t="shared" si="4"/>
        <v>1</v>
      </c>
      <c r="C122" t="s">
        <v>9</v>
      </c>
      <c r="D122">
        <f t="shared" si="6"/>
        <v>150</v>
      </c>
      <c r="E122">
        <f t="shared" si="7"/>
        <v>0</v>
      </c>
      <c r="F122">
        <f t="shared" si="5"/>
        <v>150</v>
      </c>
    </row>
    <row r="123" spans="1:6" x14ac:dyDescent="0.25">
      <c r="A123" s="1">
        <v>45048</v>
      </c>
      <c r="B123">
        <f t="shared" si="4"/>
        <v>2</v>
      </c>
      <c r="C123" t="s">
        <v>9</v>
      </c>
      <c r="D123">
        <f t="shared" si="6"/>
        <v>150</v>
      </c>
      <c r="E123">
        <f t="shared" si="7"/>
        <v>0</v>
      </c>
      <c r="F123">
        <f t="shared" si="5"/>
        <v>150</v>
      </c>
    </row>
    <row r="124" spans="1:6" x14ac:dyDescent="0.25">
      <c r="A124" s="1">
        <v>45049</v>
      </c>
      <c r="B124">
        <f t="shared" si="4"/>
        <v>3</v>
      </c>
      <c r="C124" t="s">
        <v>9</v>
      </c>
      <c r="D124">
        <f t="shared" si="6"/>
        <v>150</v>
      </c>
      <c r="E124">
        <f t="shared" si="7"/>
        <v>0</v>
      </c>
      <c r="F124">
        <f t="shared" si="5"/>
        <v>150</v>
      </c>
    </row>
    <row r="125" spans="1:6" x14ac:dyDescent="0.25">
      <c r="A125" s="1">
        <v>45050</v>
      </c>
      <c r="B125">
        <f t="shared" si="4"/>
        <v>4</v>
      </c>
      <c r="C125" t="s">
        <v>9</v>
      </c>
      <c r="D125">
        <f t="shared" si="6"/>
        <v>150</v>
      </c>
      <c r="E125">
        <f t="shared" si="7"/>
        <v>0</v>
      </c>
      <c r="F125">
        <f t="shared" si="5"/>
        <v>150</v>
      </c>
    </row>
    <row r="126" spans="1:6" x14ac:dyDescent="0.25">
      <c r="A126" s="1">
        <v>45051</v>
      </c>
      <c r="B126">
        <f t="shared" si="4"/>
        <v>5</v>
      </c>
      <c r="C126" t="s">
        <v>9</v>
      </c>
      <c r="D126">
        <f t="shared" si="6"/>
        <v>150</v>
      </c>
      <c r="E126">
        <f t="shared" si="7"/>
        <v>0</v>
      </c>
      <c r="F126">
        <f t="shared" si="5"/>
        <v>150</v>
      </c>
    </row>
    <row r="127" spans="1:6" x14ac:dyDescent="0.25">
      <c r="A127" s="1">
        <v>45052</v>
      </c>
      <c r="B127">
        <f t="shared" si="4"/>
        <v>6</v>
      </c>
      <c r="C127" t="s">
        <v>9</v>
      </c>
      <c r="D127">
        <f t="shared" si="6"/>
        <v>0</v>
      </c>
      <c r="E127">
        <f t="shared" si="7"/>
        <v>0</v>
      </c>
      <c r="F127">
        <f t="shared" si="5"/>
        <v>0</v>
      </c>
    </row>
    <row r="128" spans="1:6" x14ac:dyDescent="0.25">
      <c r="A128" s="1">
        <v>45053</v>
      </c>
      <c r="B128">
        <f t="shared" si="4"/>
        <v>7</v>
      </c>
      <c r="C128" t="s">
        <v>9</v>
      </c>
      <c r="D128">
        <f t="shared" si="6"/>
        <v>0</v>
      </c>
      <c r="E128">
        <f t="shared" si="7"/>
        <v>150</v>
      </c>
      <c r="F128">
        <f t="shared" si="5"/>
        <v>-150</v>
      </c>
    </row>
    <row r="129" spans="1:6" x14ac:dyDescent="0.25">
      <c r="A129" s="1">
        <v>45054</v>
      </c>
      <c r="B129">
        <f t="shared" si="4"/>
        <v>1</v>
      </c>
      <c r="C129" t="s">
        <v>9</v>
      </c>
      <c r="D129">
        <f t="shared" si="6"/>
        <v>150</v>
      </c>
      <c r="E129">
        <f t="shared" si="7"/>
        <v>0</v>
      </c>
      <c r="F129">
        <f t="shared" si="5"/>
        <v>150</v>
      </c>
    </row>
    <row r="130" spans="1:6" x14ac:dyDescent="0.25">
      <c r="A130" s="1">
        <v>45055</v>
      </c>
      <c r="B130">
        <f t="shared" si="4"/>
        <v>2</v>
      </c>
      <c r="C130" t="s">
        <v>9</v>
      </c>
      <c r="D130">
        <f t="shared" si="6"/>
        <v>150</v>
      </c>
      <c r="E130">
        <f t="shared" si="7"/>
        <v>0</v>
      </c>
      <c r="F130">
        <f t="shared" si="5"/>
        <v>150</v>
      </c>
    </row>
    <row r="131" spans="1:6" x14ac:dyDescent="0.25">
      <c r="A131" s="1">
        <v>45056</v>
      </c>
      <c r="B131">
        <f t="shared" ref="B131:B194" si="8">WEEKDAY(A131,2)</f>
        <v>3</v>
      </c>
      <c r="C131" t="s">
        <v>9</v>
      </c>
      <c r="D131">
        <f t="shared" si="6"/>
        <v>150</v>
      </c>
      <c r="E131">
        <f t="shared" si="7"/>
        <v>0</v>
      </c>
      <c r="F131">
        <f t="shared" ref="F131:F194" si="9">D131-E131</f>
        <v>150</v>
      </c>
    </row>
    <row r="132" spans="1:6" x14ac:dyDescent="0.25">
      <c r="A132" s="1">
        <v>45057</v>
      </c>
      <c r="B132">
        <f t="shared" si="8"/>
        <v>4</v>
      </c>
      <c r="C132" t="s">
        <v>9</v>
      </c>
      <c r="D132">
        <f t="shared" ref="D132:D195" si="10">IF(B132&lt;6,$Q$1*VLOOKUP(C132,$S$1:$T$5,2,FALSE)*$Q$3,0)</f>
        <v>150</v>
      </c>
      <c r="E132">
        <f t="shared" ref="E132:E195" si="11">IF(B132=7,$Q$4*$Q$1,0)</f>
        <v>0</v>
      </c>
      <c r="F132">
        <f t="shared" si="9"/>
        <v>150</v>
      </c>
    </row>
    <row r="133" spans="1:6" x14ac:dyDescent="0.25">
      <c r="A133" s="1">
        <v>45058</v>
      </c>
      <c r="B133">
        <f t="shared" si="8"/>
        <v>5</v>
      </c>
      <c r="C133" t="s">
        <v>9</v>
      </c>
      <c r="D133">
        <f t="shared" si="10"/>
        <v>150</v>
      </c>
      <c r="E133">
        <f t="shared" si="11"/>
        <v>0</v>
      </c>
      <c r="F133">
        <f t="shared" si="9"/>
        <v>150</v>
      </c>
    </row>
    <row r="134" spans="1:6" x14ac:dyDescent="0.25">
      <c r="A134" s="1">
        <v>45059</v>
      </c>
      <c r="B134">
        <f t="shared" si="8"/>
        <v>6</v>
      </c>
      <c r="C134" t="s">
        <v>9</v>
      </c>
      <c r="D134">
        <f t="shared" si="10"/>
        <v>0</v>
      </c>
      <c r="E134">
        <f t="shared" si="11"/>
        <v>0</v>
      </c>
      <c r="F134">
        <f t="shared" si="9"/>
        <v>0</v>
      </c>
    </row>
    <row r="135" spans="1:6" x14ac:dyDescent="0.25">
      <c r="A135" s="1">
        <v>45060</v>
      </c>
      <c r="B135">
        <f t="shared" si="8"/>
        <v>7</v>
      </c>
      <c r="C135" t="s">
        <v>9</v>
      </c>
      <c r="D135">
        <f t="shared" si="10"/>
        <v>0</v>
      </c>
      <c r="E135">
        <f t="shared" si="11"/>
        <v>150</v>
      </c>
      <c r="F135">
        <f t="shared" si="9"/>
        <v>-150</v>
      </c>
    </row>
    <row r="136" spans="1:6" x14ac:dyDescent="0.25">
      <c r="A136" s="1">
        <v>45061</v>
      </c>
      <c r="B136">
        <f t="shared" si="8"/>
        <v>1</v>
      </c>
      <c r="C136" t="s">
        <v>9</v>
      </c>
      <c r="D136">
        <f t="shared" si="10"/>
        <v>150</v>
      </c>
      <c r="E136">
        <f t="shared" si="11"/>
        <v>0</v>
      </c>
      <c r="F136">
        <f t="shared" si="9"/>
        <v>150</v>
      </c>
    </row>
    <row r="137" spans="1:6" x14ac:dyDescent="0.25">
      <c r="A137" s="1">
        <v>45062</v>
      </c>
      <c r="B137">
        <f t="shared" si="8"/>
        <v>2</v>
      </c>
      <c r="C137" t="s">
        <v>9</v>
      </c>
      <c r="D137">
        <f t="shared" si="10"/>
        <v>150</v>
      </c>
      <c r="E137">
        <f t="shared" si="11"/>
        <v>0</v>
      </c>
      <c r="F137">
        <f t="shared" si="9"/>
        <v>150</v>
      </c>
    </row>
    <row r="138" spans="1:6" x14ac:dyDescent="0.25">
      <c r="A138" s="1">
        <v>45063</v>
      </c>
      <c r="B138">
        <f t="shared" si="8"/>
        <v>3</v>
      </c>
      <c r="C138" t="s">
        <v>9</v>
      </c>
      <c r="D138">
        <f t="shared" si="10"/>
        <v>150</v>
      </c>
      <c r="E138">
        <f t="shared" si="11"/>
        <v>0</v>
      </c>
      <c r="F138">
        <f t="shared" si="9"/>
        <v>150</v>
      </c>
    </row>
    <row r="139" spans="1:6" x14ac:dyDescent="0.25">
      <c r="A139" s="1">
        <v>45064</v>
      </c>
      <c r="B139">
        <f t="shared" si="8"/>
        <v>4</v>
      </c>
      <c r="C139" t="s">
        <v>9</v>
      </c>
      <c r="D139">
        <f t="shared" si="10"/>
        <v>150</v>
      </c>
      <c r="E139">
        <f t="shared" si="11"/>
        <v>0</v>
      </c>
      <c r="F139">
        <f t="shared" si="9"/>
        <v>150</v>
      </c>
    </row>
    <row r="140" spans="1:6" x14ac:dyDescent="0.25">
      <c r="A140" s="1">
        <v>45065</v>
      </c>
      <c r="B140">
        <f t="shared" si="8"/>
        <v>5</v>
      </c>
      <c r="C140" t="s">
        <v>9</v>
      </c>
      <c r="D140">
        <f t="shared" si="10"/>
        <v>150</v>
      </c>
      <c r="E140">
        <f t="shared" si="11"/>
        <v>0</v>
      </c>
      <c r="F140">
        <f t="shared" si="9"/>
        <v>150</v>
      </c>
    </row>
    <row r="141" spans="1:6" x14ac:dyDescent="0.25">
      <c r="A141" s="1">
        <v>45066</v>
      </c>
      <c r="B141">
        <f t="shared" si="8"/>
        <v>6</v>
      </c>
      <c r="C141" t="s">
        <v>9</v>
      </c>
      <c r="D141">
        <f t="shared" si="10"/>
        <v>0</v>
      </c>
      <c r="E141">
        <f t="shared" si="11"/>
        <v>0</v>
      </c>
      <c r="F141">
        <f t="shared" si="9"/>
        <v>0</v>
      </c>
    </row>
    <row r="142" spans="1:6" x14ac:dyDescent="0.25">
      <c r="A142" s="1">
        <v>45067</v>
      </c>
      <c r="B142">
        <f t="shared" si="8"/>
        <v>7</v>
      </c>
      <c r="C142" t="s">
        <v>9</v>
      </c>
      <c r="D142">
        <f t="shared" si="10"/>
        <v>0</v>
      </c>
      <c r="E142">
        <f t="shared" si="11"/>
        <v>150</v>
      </c>
      <c r="F142">
        <f t="shared" si="9"/>
        <v>-150</v>
      </c>
    </row>
    <row r="143" spans="1:6" x14ac:dyDescent="0.25">
      <c r="A143" s="1">
        <v>45068</v>
      </c>
      <c r="B143">
        <f t="shared" si="8"/>
        <v>1</v>
      </c>
      <c r="C143" t="s">
        <v>9</v>
      </c>
      <c r="D143">
        <f t="shared" si="10"/>
        <v>150</v>
      </c>
      <c r="E143">
        <f t="shared" si="11"/>
        <v>0</v>
      </c>
      <c r="F143">
        <f t="shared" si="9"/>
        <v>150</v>
      </c>
    </row>
    <row r="144" spans="1:6" x14ac:dyDescent="0.25">
      <c r="A144" s="1">
        <v>45069</v>
      </c>
      <c r="B144">
        <f t="shared" si="8"/>
        <v>2</v>
      </c>
      <c r="C144" t="s">
        <v>9</v>
      </c>
      <c r="D144">
        <f t="shared" si="10"/>
        <v>150</v>
      </c>
      <c r="E144">
        <f t="shared" si="11"/>
        <v>0</v>
      </c>
      <c r="F144">
        <f t="shared" si="9"/>
        <v>150</v>
      </c>
    </row>
    <row r="145" spans="1:6" x14ac:dyDescent="0.25">
      <c r="A145" s="1">
        <v>45070</v>
      </c>
      <c r="B145">
        <f t="shared" si="8"/>
        <v>3</v>
      </c>
      <c r="C145" t="s">
        <v>9</v>
      </c>
      <c r="D145">
        <f t="shared" si="10"/>
        <v>150</v>
      </c>
      <c r="E145">
        <f t="shared" si="11"/>
        <v>0</v>
      </c>
      <c r="F145">
        <f t="shared" si="9"/>
        <v>150</v>
      </c>
    </row>
    <row r="146" spans="1:6" x14ac:dyDescent="0.25">
      <c r="A146" s="1">
        <v>45071</v>
      </c>
      <c r="B146">
        <f t="shared" si="8"/>
        <v>4</v>
      </c>
      <c r="C146" t="s">
        <v>9</v>
      </c>
      <c r="D146">
        <f t="shared" si="10"/>
        <v>150</v>
      </c>
      <c r="E146">
        <f t="shared" si="11"/>
        <v>0</v>
      </c>
      <c r="F146">
        <f t="shared" si="9"/>
        <v>150</v>
      </c>
    </row>
    <row r="147" spans="1:6" x14ac:dyDescent="0.25">
      <c r="A147" s="1">
        <v>45072</v>
      </c>
      <c r="B147">
        <f t="shared" si="8"/>
        <v>5</v>
      </c>
      <c r="C147" t="s">
        <v>9</v>
      </c>
      <c r="D147">
        <f t="shared" si="10"/>
        <v>150</v>
      </c>
      <c r="E147">
        <f t="shared" si="11"/>
        <v>0</v>
      </c>
      <c r="F147">
        <f t="shared" si="9"/>
        <v>150</v>
      </c>
    </row>
    <row r="148" spans="1:6" x14ac:dyDescent="0.25">
      <c r="A148" s="1">
        <v>45073</v>
      </c>
      <c r="B148">
        <f t="shared" si="8"/>
        <v>6</v>
      </c>
      <c r="C148" t="s">
        <v>9</v>
      </c>
      <c r="D148">
        <f t="shared" si="10"/>
        <v>0</v>
      </c>
      <c r="E148">
        <f t="shared" si="11"/>
        <v>0</v>
      </c>
      <c r="F148">
        <f t="shared" si="9"/>
        <v>0</v>
      </c>
    </row>
    <row r="149" spans="1:6" x14ac:dyDescent="0.25">
      <c r="A149" s="1">
        <v>45074</v>
      </c>
      <c r="B149">
        <f t="shared" si="8"/>
        <v>7</v>
      </c>
      <c r="C149" t="s">
        <v>9</v>
      </c>
      <c r="D149">
        <f t="shared" si="10"/>
        <v>0</v>
      </c>
      <c r="E149">
        <f t="shared" si="11"/>
        <v>150</v>
      </c>
      <c r="F149">
        <f t="shared" si="9"/>
        <v>-150</v>
      </c>
    </row>
    <row r="150" spans="1:6" x14ac:dyDescent="0.25">
      <c r="A150" s="1">
        <v>45075</v>
      </c>
      <c r="B150">
        <f t="shared" si="8"/>
        <v>1</v>
      </c>
      <c r="C150" t="s">
        <v>9</v>
      </c>
      <c r="D150">
        <f t="shared" si="10"/>
        <v>150</v>
      </c>
      <c r="E150">
        <f t="shared" si="11"/>
        <v>0</v>
      </c>
      <c r="F150">
        <f t="shared" si="9"/>
        <v>150</v>
      </c>
    </row>
    <row r="151" spans="1:6" x14ac:dyDescent="0.25">
      <c r="A151" s="1">
        <v>45076</v>
      </c>
      <c r="B151">
        <f t="shared" si="8"/>
        <v>2</v>
      </c>
      <c r="C151" t="s">
        <v>9</v>
      </c>
      <c r="D151">
        <f t="shared" si="10"/>
        <v>150</v>
      </c>
      <c r="E151">
        <f t="shared" si="11"/>
        <v>0</v>
      </c>
      <c r="F151">
        <f t="shared" si="9"/>
        <v>150</v>
      </c>
    </row>
    <row r="152" spans="1:6" x14ac:dyDescent="0.25">
      <c r="A152" s="1">
        <v>45077</v>
      </c>
      <c r="B152">
        <f t="shared" si="8"/>
        <v>3</v>
      </c>
      <c r="C152" t="s">
        <v>9</v>
      </c>
      <c r="D152">
        <f t="shared" si="10"/>
        <v>150</v>
      </c>
      <c r="E152">
        <f t="shared" si="11"/>
        <v>0</v>
      </c>
      <c r="F152">
        <f t="shared" si="9"/>
        <v>150</v>
      </c>
    </row>
    <row r="153" spans="1:6" x14ac:dyDescent="0.25">
      <c r="A153" s="1">
        <v>45078</v>
      </c>
      <c r="B153">
        <f t="shared" si="8"/>
        <v>4</v>
      </c>
      <c r="C153" t="s">
        <v>9</v>
      </c>
      <c r="D153">
        <f t="shared" si="10"/>
        <v>150</v>
      </c>
      <c r="E153">
        <f t="shared" si="11"/>
        <v>0</v>
      </c>
      <c r="F153">
        <f t="shared" si="9"/>
        <v>150</v>
      </c>
    </row>
    <row r="154" spans="1:6" x14ac:dyDescent="0.25">
      <c r="A154" s="1">
        <v>45079</v>
      </c>
      <c r="B154">
        <f t="shared" si="8"/>
        <v>5</v>
      </c>
      <c r="C154" t="s">
        <v>9</v>
      </c>
      <c r="D154">
        <f t="shared" si="10"/>
        <v>150</v>
      </c>
      <c r="E154">
        <f t="shared" si="11"/>
        <v>0</v>
      </c>
      <c r="F154">
        <f t="shared" si="9"/>
        <v>150</v>
      </c>
    </row>
    <row r="155" spans="1:6" x14ac:dyDescent="0.25">
      <c r="A155" s="1">
        <v>45080</v>
      </c>
      <c r="B155">
        <f t="shared" si="8"/>
        <v>6</v>
      </c>
      <c r="C155" t="s">
        <v>9</v>
      </c>
      <c r="D155">
        <f t="shared" si="10"/>
        <v>0</v>
      </c>
      <c r="E155">
        <f t="shared" si="11"/>
        <v>0</v>
      </c>
      <c r="F155">
        <f t="shared" si="9"/>
        <v>0</v>
      </c>
    </row>
    <row r="156" spans="1:6" x14ac:dyDescent="0.25">
      <c r="A156" s="1">
        <v>45081</v>
      </c>
      <c r="B156">
        <f t="shared" si="8"/>
        <v>7</v>
      </c>
      <c r="C156" t="s">
        <v>9</v>
      </c>
      <c r="D156">
        <f t="shared" si="10"/>
        <v>0</v>
      </c>
      <c r="E156">
        <f t="shared" si="11"/>
        <v>150</v>
      </c>
      <c r="F156">
        <f t="shared" si="9"/>
        <v>-150</v>
      </c>
    </row>
    <row r="157" spans="1:6" x14ac:dyDescent="0.25">
      <c r="A157" s="1">
        <v>45082</v>
      </c>
      <c r="B157">
        <f t="shared" si="8"/>
        <v>1</v>
      </c>
      <c r="C157" t="s">
        <v>9</v>
      </c>
      <c r="D157">
        <f t="shared" si="10"/>
        <v>150</v>
      </c>
      <c r="E157">
        <f t="shared" si="11"/>
        <v>0</v>
      </c>
      <c r="F157">
        <f t="shared" si="9"/>
        <v>150</v>
      </c>
    </row>
    <row r="158" spans="1:6" x14ac:dyDescent="0.25">
      <c r="A158" s="1">
        <v>45083</v>
      </c>
      <c r="B158">
        <f t="shared" si="8"/>
        <v>2</v>
      </c>
      <c r="C158" t="s">
        <v>9</v>
      </c>
      <c r="D158">
        <f t="shared" si="10"/>
        <v>150</v>
      </c>
      <c r="E158">
        <f t="shared" si="11"/>
        <v>0</v>
      </c>
      <c r="F158">
        <f t="shared" si="9"/>
        <v>150</v>
      </c>
    </row>
    <row r="159" spans="1:6" x14ac:dyDescent="0.25">
      <c r="A159" s="1">
        <v>45084</v>
      </c>
      <c r="B159">
        <f t="shared" si="8"/>
        <v>3</v>
      </c>
      <c r="C159" t="s">
        <v>9</v>
      </c>
      <c r="D159">
        <f t="shared" si="10"/>
        <v>150</v>
      </c>
      <c r="E159">
        <f t="shared" si="11"/>
        <v>0</v>
      </c>
      <c r="F159">
        <f t="shared" si="9"/>
        <v>150</v>
      </c>
    </row>
    <row r="160" spans="1:6" x14ac:dyDescent="0.25">
      <c r="A160" s="1">
        <v>45085</v>
      </c>
      <c r="B160">
        <f t="shared" si="8"/>
        <v>4</v>
      </c>
      <c r="C160" t="s">
        <v>9</v>
      </c>
      <c r="D160">
        <f t="shared" si="10"/>
        <v>150</v>
      </c>
      <c r="E160">
        <f t="shared" si="11"/>
        <v>0</v>
      </c>
      <c r="F160">
        <f t="shared" si="9"/>
        <v>150</v>
      </c>
    </row>
    <row r="161" spans="1:6" x14ac:dyDescent="0.25">
      <c r="A161" s="1">
        <v>45086</v>
      </c>
      <c r="B161">
        <f t="shared" si="8"/>
        <v>5</v>
      </c>
      <c r="C161" t="s">
        <v>9</v>
      </c>
      <c r="D161">
        <f t="shared" si="10"/>
        <v>150</v>
      </c>
      <c r="E161">
        <f t="shared" si="11"/>
        <v>0</v>
      </c>
      <c r="F161">
        <f t="shared" si="9"/>
        <v>150</v>
      </c>
    </row>
    <row r="162" spans="1:6" x14ac:dyDescent="0.25">
      <c r="A162" s="1">
        <v>45087</v>
      </c>
      <c r="B162">
        <f t="shared" si="8"/>
        <v>6</v>
      </c>
      <c r="C162" t="s">
        <v>9</v>
      </c>
      <c r="D162">
        <f t="shared" si="10"/>
        <v>0</v>
      </c>
      <c r="E162">
        <f t="shared" si="11"/>
        <v>0</v>
      </c>
      <c r="F162">
        <f t="shared" si="9"/>
        <v>0</v>
      </c>
    </row>
    <row r="163" spans="1:6" x14ac:dyDescent="0.25">
      <c r="A163" s="1">
        <v>45088</v>
      </c>
      <c r="B163">
        <f t="shared" si="8"/>
        <v>7</v>
      </c>
      <c r="C163" t="s">
        <v>9</v>
      </c>
      <c r="D163">
        <f t="shared" si="10"/>
        <v>0</v>
      </c>
      <c r="E163">
        <f t="shared" si="11"/>
        <v>150</v>
      </c>
      <c r="F163">
        <f t="shared" si="9"/>
        <v>-150</v>
      </c>
    </row>
    <row r="164" spans="1:6" x14ac:dyDescent="0.25">
      <c r="A164" s="1">
        <v>45089</v>
      </c>
      <c r="B164">
        <f t="shared" si="8"/>
        <v>1</v>
      </c>
      <c r="C164" t="s">
        <v>9</v>
      </c>
      <c r="D164">
        <f t="shared" si="10"/>
        <v>150</v>
      </c>
      <c r="E164">
        <f t="shared" si="11"/>
        <v>0</v>
      </c>
      <c r="F164">
        <f t="shared" si="9"/>
        <v>150</v>
      </c>
    </row>
    <row r="165" spans="1:6" x14ac:dyDescent="0.25">
      <c r="A165" s="1">
        <v>45090</v>
      </c>
      <c r="B165">
        <f t="shared" si="8"/>
        <v>2</v>
      </c>
      <c r="C165" t="s">
        <v>9</v>
      </c>
      <c r="D165">
        <f t="shared" si="10"/>
        <v>150</v>
      </c>
      <c r="E165">
        <f t="shared" si="11"/>
        <v>0</v>
      </c>
      <c r="F165">
        <f t="shared" si="9"/>
        <v>150</v>
      </c>
    </row>
    <row r="166" spans="1:6" x14ac:dyDescent="0.25">
      <c r="A166" s="1">
        <v>45091</v>
      </c>
      <c r="B166">
        <f t="shared" si="8"/>
        <v>3</v>
      </c>
      <c r="C166" t="s">
        <v>9</v>
      </c>
      <c r="D166">
        <f t="shared" si="10"/>
        <v>150</v>
      </c>
      <c r="E166">
        <f t="shared" si="11"/>
        <v>0</v>
      </c>
      <c r="F166">
        <f t="shared" si="9"/>
        <v>150</v>
      </c>
    </row>
    <row r="167" spans="1:6" x14ac:dyDescent="0.25">
      <c r="A167" s="1">
        <v>45092</v>
      </c>
      <c r="B167">
        <f t="shared" si="8"/>
        <v>4</v>
      </c>
      <c r="C167" t="s">
        <v>9</v>
      </c>
      <c r="D167">
        <f t="shared" si="10"/>
        <v>150</v>
      </c>
      <c r="E167">
        <f t="shared" si="11"/>
        <v>0</v>
      </c>
      <c r="F167">
        <f t="shared" si="9"/>
        <v>150</v>
      </c>
    </row>
    <row r="168" spans="1:6" x14ac:dyDescent="0.25">
      <c r="A168" s="1">
        <v>45093</v>
      </c>
      <c r="B168">
        <f t="shared" si="8"/>
        <v>5</v>
      </c>
      <c r="C168" t="s">
        <v>9</v>
      </c>
      <c r="D168">
        <f t="shared" si="10"/>
        <v>150</v>
      </c>
      <c r="E168">
        <f t="shared" si="11"/>
        <v>0</v>
      </c>
      <c r="F168">
        <f t="shared" si="9"/>
        <v>150</v>
      </c>
    </row>
    <row r="169" spans="1:6" x14ac:dyDescent="0.25">
      <c r="A169" s="1">
        <v>45094</v>
      </c>
      <c r="B169">
        <f t="shared" si="8"/>
        <v>6</v>
      </c>
      <c r="C169" t="s">
        <v>9</v>
      </c>
      <c r="D169">
        <f t="shared" si="10"/>
        <v>0</v>
      </c>
      <c r="E169">
        <f t="shared" si="11"/>
        <v>0</v>
      </c>
      <c r="F169">
        <f t="shared" si="9"/>
        <v>0</v>
      </c>
    </row>
    <row r="170" spans="1:6" x14ac:dyDescent="0.25">
      <c r="A170" s="1">
        <v>45095</v>
      </c>
      <c r="B170">
        <f t="shared" si="8"/>
        <v>7</v>
      </c>
      <c r="C170" t="s">
        <v>9</v>
      </c>
      <c r="D170">
        <f t="shared" si="10"/>
        <v>0</v>
      </c>
      <c r="E170">
        <f t="shared" si="11"/>
        <v>150</v>
      </c>
      <c r="F170">
        <f t="shared" si="9"/>
        <v>-150</v>
      </c>
    </row>
    <row r="171" spans="1:6" x14ac:dyDescent="0.25">
      <c r="A171" s="1">
        <v>45096</v>
      </c>
      <c r="B171">
        <f t="shared" si="8"/>
        <v>1</v>
      </c>
      <c r="C171" t="s">
        <v>9</v>
      </c>
      <c r="D171">
        <f t="shared" si="10"/>
        <v>150</v>
      </c>
      <c r="E171">
        <f t="shared" si="11"/>
        <v>0</v>
      </c>
      <c r="F171">
        <f t="shared" si="9"/>
        <v>150</v>
      </c>
    </row>
    <row r="172" spans="1:6" x14ac:dyDescent="0.25">
      <c r="A172" s="1">
        <v>45097</v>
      </c>
      <c r="B172">
        <f t="shared" si="8"/>
        <v>2</v>
      </c>
      <c r="C172" t="s">
        <v>9</v>
      </c>
      <c r="D172">
        <f t="shared" si="10"/>
        <v>150</v>
      </c>
      <c r="E172">
        <f t="shared" si="11"/>
        <v>0</v>
      </c>
      <c r="F172">
        <f t="shared" si="9"/>
        <v>150</v>
      </c>
    </row>
    <row r="173" spans="1:6" x14ac:dyDescent="0.25">
      <c r="A173" s="1">
        <v>45098</v>
      </c>
      <c r="B173">
        <f t="shared" si="8"/>
        <v>3</v>
      </c>
      <c r="C173" t="s">
        <v>10</v>
      </c>
      <c r="D173">
        <f t="shared" si="10"/>
        <v>270</v>
      </c>
      <c r="E173">
        <f t="shared" si="11"/>
        <v>0</v>
      </c>
      <c r="F173">
        <f t="shared" si="9"/>
        <v>270</v>
      </c>
    </row>
    <row r="174" spans="1:6" x14ac:dyDescent="0.25">
      <c r="A174" s="1">
        <v>45099</v>
      </c>
      <c r="B174">
        <f t="shared" si="8"/>
        <v>4</v>
      </c>
      <c r="C174" t="s">
        <v>10</v>
      </c>
      <c r="D174">
        <f t="shared" si="10"/>
        <v>270</v>
      </c>
      <c r="E174">
        <f t="shared" si="11"/>
        <v>0</v>
      </c>
      <c r="F174">
        <f t="shared" si="9"/>
        <v>270</v>
      </c>
    </row>
    <row r="175" spans="1:6" x14ac:dyDescent="0.25">
      <c r="A175" s="1">
        <v>45100</v>
      </c>
      <c r="B175">
        <f t="shared" si="8"/>
        <v>5</v>
      </c>
      <c r="C175" t="s">
        <v>10</v>
      </c>
      <c r="D175">
        <f t="shared" si="10"/>
        <v>270</v>
      </c>
      <c r="E175">
        <f t="shared" si="11"/>
        <v>0</v>
      </c>
      <c r="F175">
        <f t="shared" si="9"/>
        <v>270</v>
      </c>
    </row>
    <row r="176" spans="1:6" x14ac:dyDescent="0.25">
      <c r="A176" s="1">
        <v>45101</v>
      </c>
      <c r="B176">
        <f t="shared" si="8"/>
        <v>6</v>
      </c>
      <c r="C176" t="s">
        <v>10</v>
      </c>
      <c r="D176">
        <f t="shared" si="10"/>
        <v>0</v>
      </c>
      <c r="E176">
        <f t="shared" si="11"/>
        <v>0</v>
      </c>
      <c r="F176">
        <f t="shared" si="9"/>
        <v>0</v>
      </c>
    </row>
    <row r="177" spans="1:6" x14ac:dyDescent="0.25">
      <c r="A177" s="1">
        <v>45102</v>
      </c>
      <c r="B177">
        <f t="shared" si="8"/>
        <v>7</v>
      </c>
      <c r="C177" t="s">
        <v>10</v>
      </c>
      <c r="D177">
        <f t="shared" si="10"/>
        <v>0</v>
      </c>
      <c r="E177">
        <f t="shared" si="11"/>
        <v>150</v>
      </c>
      <c r="F177">
        <f t="shared" si="9"/>
        <v>-150</v>
      </c>
    </row>
    <row r="178" spans="1:6" x14ac:dyDescent="0.25">
      <c r="A178" s="1">
        <v>45103</v>
      </c>
      <c r="B178">
        <f t="shared" si="8"/>
        <v>1</v>
      </c>
      <c r="C178" t="s">
        <v>10</v>
      </c>
      <c r="D178">
        <f t="shared" si="10"/>
        <v>270</v>
      </c>
      <c r="E178">
        <f t="shared" si="11"/>
        <v>0</v>
      </c>
      <c r="F178">
        <f t="shared" si="9"/>
        <v>270</v>
      </c>
    </row>
    <row r="179" spans="1:6" x14ac:dyDescent="0.25">
      <c r="A179" s="1">
        <v>45104</v>
      </c>
      <c r="B179">
        <f t="shared" si="8"/>
        <v>2</v>
      </c>
      <c r="C179" t="s">
        <v>10</v>
      </c>
      <c r="D179">
        <f t="shared" si="10"/>
        <v>270</v>
      </c>
      <c r="E179">
        <f t="shared" si="11"/>
        <v>0</v>
      </c>
      <c r="F179">
        <f t="shared" si="9"/>
        <v>270</v>
      </c>
    </row>
    <row r="180" spans="1:6" x14ac:dyDescent="0.25">
      <c r="A180" s="1">
        <v>45105</v>
      </c>
      <c r="B180">
        <f t="shared" si="8"/>
        <v>3</v>
      </c>
      <c r="C180" t="s">
        <v>10</v>
      </c>
      <c r="D180">
        <f t="shared" si="10"/>
        <v>270</v>
      </c>
      <c r="E180">
        <f t="shared" si="11"/>
        <v>0</v>
      </c>
      <c r="F180">
        <f t="shared" si="9"/>
        <v>270</v>
      </c>
    </row>
    <row r="181" spans="1:6" x14ac:dyDescent="0.25">
      <c r="A181" s="1">
        <v>45106</v>
      </c>
      <c r="B181">
        <f t="shared" si="8"/>
        <v>4</v>
      </c>
      <c r="C181" t="s">
        <v>10</v>
      </c>
      <c r="D181">
        <f t="shared" si="10"/>
        <v>270</v>
      </c>
      <c r="E181">
        <f t="shared" si="11"/>
        <v>0</v>
      </c>
      <c r="F181">
        <f t="shared" si="9"/>
        <v>270</v>
      </c>
    </row>
    <row r="182" spans="1:6" x14ac:dyDescent="0.25">
      <c r="A182" s="1">
        <v>45107</v>
      </c>
      <c r="B182">
        <f t="shared" si="8"/>
        <v>5</v>
      </c>
      <c r="C182" t="s">
        <v>10</v>
      </c>
      <c r="D182">
        <f t="shared" si="10"/>
        <v>270</v>
      </c>
      <c r="E182">
        <f t="shared" si="11"/>
        <v>0</v>
      </c>
      <c r="F182">
        <f t="shared" si="9"/>
        <v>270</v>
      </c>
    </row>
    <row r="183" spans="1:6" x14ac:dyDescent="0.25">
      <c r="A183" s="1">
        <v>45108</v>
      </c>
      <c r="B183">
        <f t="shared" si="8"/>
        <v>6</v>
      </c>
      <c r="C183" t="s">
        <v>10</v>
      </c>
      <c r="D183">
        <f t="shared" si="10"/>
        <v>0</v>
      </c>
      <c r="E183">
        <f t="shared" si="11"/>
        <v>0</v>
      </c>
      <c r="F183">
        <f t="shared" si="9"/>
        <v>0</v>
      </c>
    </row>
    <row r="184" spans="1:6" x14ac:dyDescent="0.25">
      <c r="A184" s="1">
        <v>45109</v>
      </c>
      <c r="B184">
        <f t="shared" si="8"/>
        <v>7</v>
      </c>
      <c r="C184" t="s">
        <v>10</v>
      </c>
      <c r="D184">
        <f t="shared" si="10"/>
        <v>0</v>
      </c>
      <c r="E184">
        <f t="shared" si="11"/>
        <v>150</v>
      </c>
      <c r="F184">
        <f t="shared" si="9"/>
        <v>-150</v>
      </c>
    </row>
    <row r="185" spans="1:6" x14ac:dyDescent="0.25">
      <c r="A185" s="1">
        <v>45110</v>
      </c>
      <c r="B185">
        <f t="shared" si="8"/>
        <v>1</v>
      </c>
      <c r="C185" t="s">
        <v>10</v>
      </c>
      <c r="D185">
        <f t="shared" si="10"/>
        <v>270</v>
      </c>
      <c r="E185">
        <f t="shared" si="11"/>
        <v>0</v>
      </c>
      <c r="F185">
        <f t="shared" si="9"/>
        <v>270</v>
      </c>
    </row>
    <row r="186" spans="1:6" x14ac:dyDescent="0.25">
      <c r="A186" s="1">
        <v>45111</v>
      </c>
      <c r="B186">
        <f t="shared" si="8"/>
        <v>2</v>
      </c>
      <c r="C186" t="s">
        <v>10</v>
      </c>
      <c r="D186">
        <f t="shared" si="10"/>
        <v>270</v>
      </c>
      <c r="E186">
        <f t="shared" si="11"/>
        <v>0</v>
      </c>
      <c r="F186">
        <f t="shared" si="9"/>
        <v>270</v>
      </c>
    </row>
    <row r="187" spans="1:6" x14ac:dyDescent="0.25">
      <c r="A187" s="1">
        <v>45112</v>
      </c>
      <c r="B187">
        <f t="shared" si="8"/>
        <v>3</v>
      </c>
      <c r="C187" t="s">
        <v>10</v>
      </c>
      <c r="D187">
        <f t="shared" si="10"/>
        <v>270</v>
      </c>
      <c r="E187">
        <f t="shared" si="11"/>
        <v>0</v>
      </c>
      <c r="F187">
        <f t="shared" si="9"/>
        <v>270</v>
      </c>
    </row>
    <row r="188" spans="1:6" x14ac:dyDescent="0.25">
      <c r="A188" s="1">
        <v>45113</v>
      </c>
      <c r="B188">
        <f t="shared" si="8"/>
        <v>4</v>
      </c>
      <c r="C188" t="s">
        <v>10</v>
      </c>
      <c r="D188">
        <f t="shared" si="10"/>
        <v>270</v>
      </c>
      <c r="E188">
        <f t="shared" si="11"/>
        <v>0</v>
      </c>
      <c r="F188">
        <f t="shared" si="9"/>
        <v>270</v>
      </c>
    </row>
    <row r="189" spans="1:6" x14ac:dyDescent="0.25">
      <c r="A189" s="1">
        <v>45114</v>
      </c>
      <c r="B189">
        <f t="shared" si="8"/>
        <v>5</v>
      </c>
      <c r="C189" t="s">
        <v>10</v>
      </c>
      <c r="D189">
        <f t="shared" si="10"/>
        <v>270</v>
      </c>
      <c r="E189">
        <f t="shared" si="11"/>
        <v>0</v>
      </c>
      <c r="F189">
        <f t="shared" si="9"/>
        <v>270</v>
      </c>
    </row>
    <row r="190" spans="1:6" x14ac:dyDescent="0.25">
      <c r="A190" s="1">
        <v>45115</v>
      </c>
      <c r="B190">
        <f t="shared" si="8"/>
        <v>6</v>
      </c>
      <c r="C190" t="s">
        <v>10</v>
      </c>
      <c r="D190">
        <f t="shared" si="10"/>
        <v>0</v>
      </c>
      <c r="E190">
        <f t="shared" si="11"/>
        <v>0</v>
      </c>
      <c r="F190">
        <f t="shared" si="9"/>
        <v>0</v>
      </c>
    </row>
    <row r="191" spans="1:6" x14ac:dyDescent="0.25">
      <c r="A191" s="1">
        <v>45116</v>
      </c>
      <c r="B191">
        <f t="shared" si="8"/>
        <v>7</v>
      </c>
      <c r="C191" t="s">
        <v>10</v>
      </c>
      <c r="D191">
        <f t="shared" si="10"/>
        <v>0</v>
      </c>
      <c r="E191">
        <f t="shared" si="11"/>
        <v>150</v>
      </c>
      <c r="F191">
        <f t="shared" si="9"/>
        <v>-150</v>
      </c>
    </row>
    <row r="192" spans="1:6" x14ac:dyDescent="0.25">
      <c r="A192" s="1">
        <v>45117</v>
      </c>
      <c r="B192">
        <f t="shared" si="8"/>
        <v>1</v>
      </c>
      <c r="C192" t="s">
        <v>10</v>
      </c>
      <c r="D192">
        <f t="shared" si="10"/>
        <v>270</v>
      </c>
      <c r="E192">
        <f t="shared" si="11"/>
        <v>0</v>
      </c>
      <c r="F192">
        <f t="shared" si="9"/>
        <v>270</v>
      </c>
    </row>
    <row r="193" spans="1:6" x14ac:dyDescent="0.25">
      <c r="A193" s="1">
        <v>45118</v>
      </c>
      <c r="B193">
        <f t="shared" si="8"/>
        <v>2</v>
      </c>
      <c r="C193" t="s">
        <v>10</v>
      </c>
      <c r="D193">
        <f t="shared" si="10"/>
        <v>270</v>
      </c>
      <c r="E193">
        <f t="shared" si="11"/>
        <v>0</v>
      </c>
      <c r="F193">
        <f t="shared" si="9"/>
        <v>270</v>
      </c>
    </row>
    <row r="194" spans="1:6" x14ac:dyDescent="0.25">
      <c r="A194" s="1">
        <v>45119</v>
      </c>
      <c r="B194">
        <f t="shared" si="8"/>
        <v>3</v>
      </c>
      <c r="C194" t="s">
        <v>10</v>
      </c>
      <c r="D194">
        <f t="shared" si="10"/>
        <v>270</v>
      </c>
      <c r="E194">
        <f t="shared" si="11"/>
        <v>0</v>
      </c>
      <c r="F194">
        <f t="shared" si="9"/>
        <v>270</v>
      </c>
    </row>
    <row r="195" spans="1:6" x14ac:dyDescent="0.25">
      <c r="A195" s="1">
        <v>45120</v>
      </c>
      <c r="B195">
        <f t="shared" ref="B195:B258" si="12">WEEKDAY(A195,2)</f>
        <v>4</v>
      </c>
      <c r="C195" t="s">
        <v>10</v>
      </c>
      <c r="D195">
        <f t="shared" si="10"/>
        <v>270</v>
      </c>
      <c r="E195">
        <f t="shared" si="11"/>
        <v>0</v>
      </c>
      <c r="F195">
        <f t="shared" ref="F195:F258" si="13">D195-E195</f>
        <v>270</v>
      </c>
    </row>
    <row r="196" spans="1:6" x14ac:dyDescent="0.25">
      <c r="A196" s="1">
        <v>45121</v>
      </c>
      <c r="B196">
        <f t="shared" si="12"/>
        <v>5</v>
      </c>
      <c r="C196" t="s">
        <v>10</v>
      </c>
      <c r="D196">
        <f t="shared" ref="D196:D259" si="14">IF(B196&lt;6,$Q$1*VLOOKUP(C196,$S$1:$T$5,2,FALSE)*$Q$3,0)</f>
        <v>270</v>
      </c>
      <c r="E196">
        <f t="shared" ref="E196:E259" si="15">IF(B196=7,$Q$4*$Q$1,0)</f>
        <v>0</v>
      </c>
      <c r="F196">
        <f t="shared" si="13"/>
        <v>270</v>
      </c>
    </row>
    <row r="197" spans="1:6" x14ac:dyDescent="0.25">
      <c r="A197" s="1">
        <v>45122</v>
      </c>
      <c r="B197">
        <f t="shared" si="12"/>
        <v>6</v>
      </c>
      <c r="C197" t="s">
        <v>10</v>
      </c>
      <c r="D197">
        <f t="shared" si="14"/>
        <v>0</v>
      </c>
      <c r="E197">
        <f t="shared" si="15"/>
        <v>0</v>
      </c>
      <c r="F197">
        <f t="shared" si="13"/>
        <v>0</v>
      </c>
    </row>
    <row r="198" spans="1:6" x14ac:dyDescent="0.25">
      <c r="A198" s="1">
        <v>45123</v>
      </c>
      <c r="B198">
        <f t="shared" si="12"/>
        <v>7</v>
      </c>
      <c r="C198" t="s">
        <v>10</v>
      </c>
      <c r="D198">
        <f t="shared" si="14"/>
        <v>0</v>
      </c>
      <c r="E198">
        <f t="shared" si="15"/>
        <v>150</v>
      </c>
      <c r="F198">
        <f t="shared" si="13"/>
        <v>-150</v>
      </c>
    </row>
    <row r="199" spans="1:6" x14ac:dyDescent="0.25">
      <c r="A199" s="1">
        <v>45124</v>
      </c>
      <c r="B199">
        <f t="shared" si="12"/>
        <v>1</v>
      </c>
      <c r="C199" t="s">
        <v>10</v>
      </c>
      <c r="D199">
        <f t="shared" si="14"/>
        <v>270</v>
      </c>
      <c r="E199">
        <f t="shared" si="15"/>
        <v>0</v>
      </c>
      <c r="F199">
        <f t="shared" si="13"/>
        <v>270</v>
      </c>
    </row>
    <row r="200" spans="1:6" x14ac:dyDescent="0.25">
      <c r="A200" s="1">
        <v>45125</v>
      </c>
      <c r="B200">
        <f t="shared" si="12"/>
        <v>2</v>
      </c>
      <c r="C200" t="s">
        <v>10</v>
      </c>
      <c r="D200">
        <f t="shared" si="14"/>
        <v>270</v>
      </c>
      <c r="E200">
        <f t="shared" si="15"/>
        <v>0</v>
      </c>
      <c r="F200">
        <f t="shared" si="13"/>
        <v>270</v>
      </c>
    </row>
    <row r="201" spans="1:6" x14ac:dyDescent="0.25">
      <c r="A201" s="1">
        <v>45126</v>
      </c>
      <c r="B201">
        <f t="shared" si="12"/>
        <v>3</v>
      </c>
      <c r="C201" t="s">
        <v>10</v>
      </c>
      <c r="D201">
        <f t="shared" si="14"/>
        <v>270</v>
      </c>
      <c r="E201">
        <f t="shared" si="15"/>
        <v>0</v>
      </c>
      <c r="F201">
        <f t="shared" si="13"/>
        <v>270</v>
      </c>
    </row>
    <row r="202" spans="1:6" x14ac:dyDescent="0.25">
      <c r="A202" s="1">
        <v>45127</v>
      </c>
      <c r="B202">
        <f t="shared" si="12"/>
        <v>4</v>
      </c>
      <c r="C202" t="s">
        <v>10</v>
      </c>
      <c r="D202">
        <f t="shared" si="14"/>
        <v>270</v>
      </c>
      <c r="E202">
        <f t="shared" si="15"/>
        <v>0</v>
      </c>
      <c r="F202">
        <f t="shared" si="13"/>
        <v>270</v>
      </c>
    </row>
    <row r="203" spans="1:6" x14ac:dyDescent="0.25">
      <c r="A203" s="1">
        <v>45128</v>
      </c>
      <c r="B203">
        <f t="shared" si="12"/>
        <v>5</v>
      </c>
      <c r="C203" t="s">
        <v>10</v>
      </c>
      <c r="D203">
        <f t="shared" si="14"/>
        <v>270</v>
      </c>
      <c r="E203">
        <f t="shared" si="15"/>
        <v>0</v>
      </c>
      <c r="F203">
        <f t="shared" si="13"/>
        <v>270</v>
      </c>
    </row>
    <row r="204" spans="1:6" x14ac:dyDescent="0.25">
      <c r="A204" s="1">
        <v>45129</v>
      </c>
      <c r="B204">
        <f t="shared" si="12"/>
        <v>6</v>
      </c>
      <c r="C204" t="s">
        <v>10</v>
      </c>
      <c r="D204">
        <f t="shared" si="14"/>
        <v>0</v>
      </c>
      <c r="E204">
        <f t="shared" si="15"/>
        <v>0</v>
      </c>
      <c r="F204">
        <f t="shared" si="13"/>
        <v>0</v>
      </c>
    </row>
    <row r="205" spans="1:6" x14ac:dyDescent="0.25">
      <c r="A205" s="1">
        <v>45130</v>
      </c>
      <c r="B205">
        <f t="shared" si="12"/>
        <v>7</v>
      </c>
      <c r="C205" t="s">
        <v>10</v>
      </c>
      <c r="D205">
        <f t="shared" si="14"/>
        <v>0</v>
      </c>
      <c r="E205">
        <f t="shared" si="15"/>
        <v>150</v>
      </c>
      <c r="F205">
        <f t="shared" si="13"/>
        <v>-150</v>
      </c>
    </row>
    <row r="206" spans="1:6" x14ac:dyDescent="0.25">
      <c r="A206" s="1">
        <v>45131</v>
      </c>
      <c r="B206">
        <f t="shared" si="12"/>
        <v>1</v>
      </c>
      <c r="C206" t="s">
        <v>10</v>
      </c>
      <c r="D206">
        <f t="shared" si="14"/>
        <v>270</v>
      </c>
      <c r="E206">
        <f t="shared" si="15"/>
        <v>0</v>
      </c>
      <c r="F206">
        <f t="shared" si="13"/>
        <v>270</v>
      </c>
    </row>
    <row r="207" spans="1:6" x14ac:dyDescent="0.25">
      <c r="A207" s="1">
        <v>45132</v>
      </c>
      <c r="B207">
        <f t="shared" si="12"/>
        <v>2</v>
      </c>
      <c r="C207" t="s">
        <v>10</v>
      </c>
      <c r="D207">
        <f t="shared" si="14"/>
        <v>270</v>
      </c>
      <c r="E207">
        <f t="shared" si="15"/>
        <v>0</v>
      </c>
      <c r="F207">
        <f t="shared" si="13"/>
        <v>270</v>
      </c>
    </row>
    <row r="208" spans="1:6" x14ac:dyDescent="0.25">
      <c r="A208" s="1">
        <v>45133</v>
      </c>
      <c r="B208">
        <f t="shared" si="12"/>
        <v>3</v>
      </c>
      <c r="C208" t="s">
        <v>10</v>
      </c>
      <c r="D208">
        <f t="shared" si="14"/>
        <v>270</v>
      </c>
      <c r="E208">
        <f t="shared" si="15"/>
        <v>0</v>
      </c>
      <c r="F208">
        <f t="shared" si="13"/>
        <v>270</v>
      </c>
    </row>
    <row r="209" spans="1:6" x14ac:dyDescent="0.25">
      <c r="A209" s="1">
        <v>45134</v>
      </c>
      <c r="B209">
        <f t="shared" si="12"/>
        <v>4</v>
      </c>
      <c r="C209" t="s">
        <v>10</v>
      </c>
      <c r="D209">
        <f t="shared" si="14"/>
        <v>270</v>
      </c>
      <c r="E209">
        <f t="shared" si="15"/>
        <v>0</v>
      </c>
      <c r="F209">
        <f t="shared" si="13"/>
        <v>270</v>
      </c>
    </row>
    <row r="210" spans="1:6" x14ac:dyDescent="0.25">
      <c r="A210" s="1">
        <v>45135</v>
      </c>
      <c r="B210">
        <f t="shared" si="12"/>
        <v>5</v>
      </c>
      <c r="C210" t="s">
        <v>10</v>
      </c>
      <c r="D210">
        <f t="shared" si="14"/>
        <v>270</v>
      </c>
      <c r="E210">
        <f t="shared" si="15"/>
        <v>0</v>
      </c>
      <c r="F210">
        <f t="shared" si="13"/>
        <v>270</v>
      </c>
    </row>
    <row r="211" spans="1:6" x14ac:dyDescent="0.25">
      <c r="A211" s="1">
        <v>45136</v>
      </c>
      <c r="B211">
        <f t="shared" si="12"/>
        <v>6</v>
      </c>
      <c r="C211" t="s">
        <v>10</v>
      </c>
      <c r="D211">
        <f t="shared" si="14"/>
        <v>0</v>
      </c>
      <c r="E211">
        <f t="shared" si="15"/>
        <v>0</v>
      </c>
      <c r="F211">
        <f t="shared" si="13"/>
        <v>0</v>
      </c>
    </row>
    <row r="212" spans="1:6" x14ac:dyDescent="0.25">
      <c r="A212" s="1">
        <v>45137</v>
      </c>
      <c r="B212">
        <f t="shared" si="12"/>
        <v>7</v>
      </c>
      <c r="C212" t="s">
        <v>10</v>
      </c>
      <c r="D212">
        <f t="shared" si="14"/>
        <v>0</v>
      </c>
      <c r="E212">
        <f t="shared" si="15"/>
        <v>150</v>
      </c>
      <c r="F212">
        <f t="shared" si="13"/>
        <v>-150</v>
      </c>
    </row>
    <row r="213" spans="1:6" x14ac:dyDescent="0.25">
      <c r="A213" s="1">
        <v>45138</v>
      </c>
      <c r="B213">
        <f t="shared" si="12"/>
        <v>1</v>
      </c>
      <c r="C213" t="s">
        <v>10</v>
      </c>
      <c r="D213">
        <f t="shared" si="14"/>
        <v>270</v>
      </c>
      <c r="E213">
        <f t="shared" si="15"/>
        <v>0</v>
      </c>
      <c r="F213">
        <f t="shared" si="13"/>
        <v>270</v>
      </c>
    </row>
    <row r="214" spans="1:6" x14ac:dyDescent="0.25">
      <c r="A214" s="1">
        <v>45139</v>
      </c>
      <c r="B214">
        <f t="shared" si="12"/>
        <v>2</v>
      </c>
      <c r="C214" t="s">
        <v>10</v>
      </c>
      <c r="D214">
        <f t="shared" si="14"/>
        <v>270</v>
      </c>
      <c r="E214">
        <f t="shared" si="15"/>
        <v>0</v>
      </c>
      <c r="F214">
        <f t="shared" si="13"/>
        <v>270</v>
      </c>
    </row>
    <row r="215" spans="1:6" x14ac:dyDescent="0.25">
      <c r="A215" s="1">
        <v>45140</v>
      </c>
      <c r="B215">
        <f t="shared" si="12"/>
        <v>3</v>
      </c>
      <c r="C215" t="s">
        <v>10</v>
      </c>
      <c r="D215">
        <f t="shared" si="14"/>
        <v>270</v>
      </c>
      <c r="E215">
        <f t="shared" si="15"/>
        <v>0</v>
      </c>
      <c r="F215">
        <f t="shared" si="13"/>
        <v>270</v>
      </c>
    </row>
    <row r="216" spans="1:6" x14ac:dyDescent="0.25">
      <c r="A216" s="1">
        <v>45141</v>
      </c>
      <c r="B216">
        <f t="shared" si="12"/>
        <v>4</v>
      </c>
      <c r="C216" t="s">
        <v>10</v>
      </c>
      <c r="D216">
        <f t="shared" si="14"/>
        <v>270</v>
      </c>
      <c r="E216">
        <f t="shared" si="15"/>
        <v>0</v>
      </c>
      <c r="F216">
        <f t="shared" si="13"/>
        <v>270</v>
      </c>
    </row>
    <row r="217" spans="1:6" x14ac:dyDescent="0.25">
      <c r="A217" s="1">
        <v>45142</v>
      </c>
      <c r="B217">
        <f t="shared" si="12"/>
        <v>5</v>
      </c>
      <c r="C217" t="s">
        <v>10</v>
      </c>
      <c r="D217">
        <f t="shared" si="14"/>
        <v>270</v>
      </c>
      <c r="E217">
        <f t="shared" si="15"/>
        <v>0</v>
      </c>
      <c r="F217">
        <f t="shared" si="13"/>
        <v>270</v>
      </c>
    </row>
    <row r="218" spans="1:6" x14ac:dyDescent="0.25">
      <c r="A218" s="1">
        <v>45143</v>
      </c>
      <c r="B218">
        <f t="shared" si="12"/>
        <v>6</v>
      </c>
      <c r="C218" t="s">
        <v>10</v>
      </c>
      <c r="D218">
        <f t="shared" si="14"/>
        <v>0</v>
      </c>
      <c r="E218">
        <f t="shared" si="15"/>
        <v>0</v>
      </c>
      <c r="F218">
        <f t="shared" si="13"/>
        <v>0</v>
      </c>
    </row>
    <row r="219" spans="1:6" x14ac:dyDescent="0.25">
      <c r="A219" s="1">
        <v>45144</v>
      </c>
      <c r="B219">
        <f t="shared" si="12"/>
        <v>7</v>
      </c>
      <c r="C219" t="s">
        <v>10</v>
      </c>
      <c r="D219">
        <f t="shared" si="14"/>
        <v>0</v>
      </c>
      <c r="E219">
        <f t="shared" si="15"/>
        <v>150</v>
      </c>
      <c r="F219">
        <f t="shared" si="13"/>
        <v>-150</v>
      </c>
    </row>
    <row r="220" spans="1:6" x14ac:dyDescent="0.25">
      <c r="A220" s="1">
        <v>45145</v>
      </c>
      <c r="B220">
        <f t="shared" si="12"/>
        <v>1</v>
      </c>
      <c r="C220" t="s">
        <v>10</v>
      </c>
      <c r="D220">
        <f t="shared" si="14"/>
        <v>270</v>
      </c>
      <c r="E220">
        <f t="shared" si="15"/>
        <v>0</v>
      </c>
      <c r="F220">
        <f t="shared" si="13"/>
        <v>270</v>
      </c>
    </row>
    <row r="221" spans="1:6" x14ac:dyDescent="0.25">
      <c r="A221" s="1">
        <v>45146</v>
      </c>
      <c r="B221">
        <f t="shared" si="12"/>
        <v>2</v>
      </c>
      <c r="C221" t="s">
        <v>10</v>
      </c>
      <c r="D221">
        <f t="shared" si="14"/>
        <v>270</v>
      </c>
      <c r="E221">
        <f t="shared" si="15"/>
        <v>0</v>
      </c>
      <c r="F221">
        <f t="shared" si="13"/>
        <v>270</v>
      </c>
    </row>
    <row r="222" spans="1:6" x14ac:dyDescent="0.25">
      <c r="A222" s="1">
        <v>45147</v>
      </c>
      <c r="B222">
        <f t="shared" si="12"/>
        <v>3</v>
      </c>
      <c r="C222" t="s">
        <v>10</v>
      </c>
      <c r="D222">
        <f t="shared" si="14"/>
        <v>270</v>
      </c>
      <c r="E222">
        <f t="shared" si="15"/>
        <v>0</v>
      </c>
      <c r="F222">
        <f t="shared" si="13"/>
        <v>270</v>
      </c>
    </row>
    <row r="223" spans="1:6" x14ac:dyDescent="0.25">
      <c r="A223" s="1">
        <v>45148</v>
      </c>
      <c r="B223">
        <f t="shared" si="12"/>
        <v>4</v>
      </c>
      <c r="C223" t="s">
        <v>10</v>
      </c>
      <c r="D223">
        <f t="shared" si="14"/>
        <v>270</v>
      </c>
      <c r="E223">
        <f t="shared" si="15"/>
        <v>0</v>
      </c>
      <c r="F223">
        <f t="shared" si="13"/>
        <v>270</v>
      </c>
    </row>
    <row r="224" spans="1:6" x14ac:dyDescent="0.25">
      <c r="A224" s="1">
        <v>45149</v>
      </c>
      <c r="B224">
        <f t="shared" si="12"/>
        <v>5</v>
      </c>
      <c r="C224" t="s">
        <v>10</v>
      </c>
      <c r="D224">
        <f t="shared" si="14"/>
        <v>270</v>
      </c>
      <c r="E224">
        <f t="shared" si="15"/>
        <v>0</v>
      </c>
      <c r="F224">
        <f t="shared" si="13"/>
        <v>270</v>
      </c>
    </row>
    <row r="225" spans="1:6" x14ac:dyDescent="0.25">
      <c r="A225" s="1">
        <v>45150</v>
      </c>
      <c r="B225">
        <f t="shared" si="12"/>
        <v>6</v>
      </c>
      <c r="C225" t="s">
        <v>10</v>
      </c>
      <c r="D225">
        <f t="shared" si="14"/>
        <v>0</v>
      </c>
      <c r="E225">
        <f t="shared" si="15"/>
        <v>0</v>
      </c>
      <c r="F225">
        <f t="shared" si="13"/>
        <v>0</v>
      </c>
    </row>
    <row r="226" spans="1:6" x14ac:dyDescent="0.25">
      <c r="A226" s="1">
        <v>45151</v>
      </c>
      <c r="B226">
        <f t="shared" si="12"/>
        <v>7</v>
      </c>
      <c r="C226" t="s">
        <v>10</v>
      </c>
      <c r="D226">
        <f t="shared" si="14"/>
        <v>0</v>
      </c>
      <c r="E226">
        <f t="shared" si="15"/>
        <v>150</v>
      </c>
      <c r="F226">
        <f t="shared" si="13"/>
        <v>-150</v>
      </c>
    </row>
    <row r="227" spans="1:6" x14ac:dyDescent="0.25">
      <c r="A227" s="1">
        <v>45152</v>
      </c>
      <c r="B227">
        <f t="shared" si="12"/>
        <v>1</v>
      </c>
      <c r="C227" t="s">
        <v>10</v>
      </c>
      <c r="D227">
        <f t="shared" si="14"/>
        <v>270</v>
      </c>
      <c r="E227">
        <f t="shared" si="15"/>
        <v>0</v>
      </c>
      <c r="F227">
        <f t="shared" si="13"/>
        <v>270</v>
      </c>
    </row>
    <row r="228" spans="1:6" x14ac:dyDescent="0.25">
      <c r="A228" s="1">
        <v>45153</v>
      </c>
      <c r="B228">
        <f t="shared" si="12"/>
        <v>2</v>
      </c>
      <c r="C228" t="s">
        <v>10</v>
      </c>
      <c r="D228">
        <f t="shared" si="14"/>
        <v>270</v>
      </c>
      <c r="E228">
        <f t="shared" si="15"/>
        <v>0</v>
      </c>
      <c r="F228">
        <f t="shared" si="13"/>
        <v>270</v>
      </c>
    </row>
    <row r="229" spans="1:6" x14ac:dyDescent="0.25">
      <c r="A229" s="1">
        <v>45154</v>
      </c>
      <c r="B229">
        <f t="shared" si="12"/>
        <v>3</v>
      </c>
      <c r="C229" t="s">
        <v>10</v>
      </c>
      <c r="D229">
        <f t="shared" si="14"/>
        <v>270</v>
      </c>
      <c r="E229">
        <f t="shared" si="15"/>
        <v>0</v>
      </c>
      <c r="F229">
        <f t="shared" si="13"/>
        <v>270</v>
      </c>
    </row>
    <row r="230" spans="1:6" x14ac:dyDescent="0.25">
      <c r="A230" s="1">
        <v>45155</v>
      </c>
      <c r="B230">
        <f t="shared" si="12"/>
        <v>4</v>
      </c>
      <c r="C230" t="s">
        <v>10</v>
      </c>
      <c r="D230">
        <f t="shared" si="14"/>
        <v>270</v>
      </c>
      <c r="E230">
        <f t="shared" si="15"/>
        <v>0</v>
      </c>
      <c r="F230">
        <f t="shared" si="13"/>
        <v>270</v>
      </c>
    </row>
    <row r="231" spans="1:6" x14ac:dyDescent="0.25">
      <c r="A231" s="1">
        <v>45156</v>
      </c>
      <c r="B231">
        <f t="shared" si="12"/>
        <v>5</v>
      </c>
      <c r="C231" t="s">
        <v>10</v>
      </c>
      <c r="D231">
        <f t="shared" si="14"/>
        <v>270</v>
      </c>
      <c r="E231">
        <f t="shared" si="15"/>
        <v>0</v>
      </c>
      <c r="F231">
        <f t="shared" si="13"/>
        <v>270</v>
      </c>
    </row>
    <row r="232" spans="1:6" x14ac:dyDescent="0.25">
      <c r="A232" s="1">
        <v>45157</v>
      </c>
      <c r="B232">
        <f t="shared" si="12"/>
        <v>6</v>
      </c>
      <c r="C232" t="s">
        <v>10</v>
      </c>
      <c r="D232">
        <f t="shared" si="14"/>
        <v>0</v>
      </c>
      <c r="E232">
        <f t="shared" si="15"/>
        <v>0</v>
      </c>
      <c r="F232">
        <f t="shared" si="13"/>
        <v>0</v>
      </c>
    </row>
    <row r="233" spans="1:6" x14ac:dyDescent="0.25">
      <c r="A233" s="1">
        <v>45158</v>
      </c>
      <c r="B233">
        <f t="shared" si="12"/>
        <v>7</v>
      </c>
      <c r="C233" t="s">
        <v>10</v>
      </c>
      <c r="D233">
        <f t="shared" si="14"/>
        <v>0</v>
      </c>
      <c r="E233">
        <f t="shared" si="15"/>
        <v>150</v>
      </c>
      <c r="F233">
        <f t="shared" si="13"/>
        <v>-150</v>
      </c>
    </row>
    <row r="234" spans="1:6" x14ac:dyDescent="0.25">
      <c r="A234" s="1">
        <v>45159</v>
      </c>
      <c r="B234">
        <f t="shared" si="12"/>
        <v>1</v>
      </c>
      <c r="C234" t="s">
        <v>10</v>
      </c>
      <c r="D234">
        <f t="shared" si="14"/>
        <v>270</v>
      </c>
      <c r="E234">
        <f t="shared" si="15"/>
        <v>0</v>
      </c>
      <c r="F234">
        <f t="shared" si="13"/>
        <v>270</v>
      </c>
    </row>
    <row r="235" spans="1:6" x14ac:dyDescent="0.25">
      <c r="A235" s="1">
        <v>45160</v>
      </c>
      <c r="B235">
        <f t="shared" si="12"/>
        <v>2</v>
      </c>
      <c r="C235" t="s">
        <v>10</v>
      </c>
      <c r="D235">
        <f t="shared" si="14"/>
        <v>270</v>
      </c>
      <c r="E235">
        <f t="shared" si="15"/>
        <v>0</v>
      </c>
      <c r="F235">
        <f t="shared" si="13"/>
        <v>270</v>
      </c>
    </row>
    <row r="236" spans="1:6" x14ac:dyDescent="0.25">
      <c r="A236" s="1">
        <v>45161</v>
      </c>
      <c r="B236">
        <f t="shared" si="12"/>
        <v>3</v>
      </c>
      <c r="C236" t="s">
        <v>10</v>
      </c>
      <c r="D236">
        <f t="shared" si="14"/>
        <v>270</v>
      </c>
      <c r="E236">
        <f t="shared" si="15"/>
        <v>0</v>
      </c>
      <c r="F236">
        <f t="shared" si="13"/>
        <v>270</v>
      </c>
    </row>
    <row r="237" spans="1:6" x14ac:dyDescent="0.25">
      <c r="A237" s="1">
        <v>45162</v>
      </c>
      <c r="B237">
        <f t="shared" si="12"/>
        <v>4</v>
      </c>
      <c r="C237" t="s">
        <v>10</v>
      </c>
      <c r="D237">
        <f t="shared" si="14"/>
        <v>270</v>
      </c>
      <c r="E237">
        <f t="shared" si="15"/>
        <v>0</v>
      </c>
      <c r="F237">
        <f t="shared" si="13"/>
        <v>270</v>
      </c>
    </row>
    <row r="238" spans="1:6" x14ac:dyDescent="0.25">
      <c r="A238" s="1">
        <v>45163</v>
      </c>
      <c r="B238">
        <f t="shared" si="12"/>
        <v>5</v>
      </c>
      <c r="C238" t="s">
        <v>10</v>
      </c>
      <c r="D238">
        <f t="shared" si="14"/>
        <v>270</v>
      </c>
      <c r="E238">
        <f t="shared" si="15"/>
        <v>0</v>
      </c>
      <c r="F238">
        <f t="shared" si="13"/>
        <v>270</v>
      </c>
    </row>
    <row r="239" spans="1:6" x14ac:dyDescent="0.25">
      <c r="A239" s="1">
        <v>45164</v>
      </c>
      <c r="B239">
        <f t="shared" si="12"/>
        <v>6</v>
      </c>
      <c r="C239" t="s">
        <v>10</v>
      </c>
      <c r="D239">
        <f t="shared" si="14"/>
        <v>0</v>
      </c>
      <c r="E239">
        <f t="shared" si="15"/>
        <v>0</v>
      </c>
      <c r="F239">
        <f t="shared" si="13"/>
        <v>0</v>
      </c>
    </row>
    <row r="240" spans="1:6" x14ac:dyDescent="0.25">
      <c r="A240" s="1">
        <v>45165</v>
      </c>
      <c r="B240">
        <f t="shared" si="12"/>
        <v>7</v>
      </c>
      <c r="C240" t="s">
        <v>10</v>
      </c>
      <c r="D240">
        <f t="shared" si="14"/>
        <v>0</v>
      </c>
      <c r="E240">
        <f t="shared" si="15"/>
        <v>150</v>
      </c>
      <c r="F240">
        <f t="shared" si="13"/>
        <v>-150</v>
      </c>
    </row>
    <row r="241" spans="1:6" x14ac:dyDescent="0.25">
      <c r="A241" s="1">
        <v>45166</v>
      </c>
      <c r="B241">
        <f t="shared" si="12"/>
        <v>1</v>
      </c>
      <c r="C241" t="s">
        <v>10</v>
      </c>
      <c r="D241">
        <f t="shared" si="14"/>
        <v>270</v>
      </c>
      <c r="E241">
        <f t="shared" si="15"/>
        <v>0</v>
      </c>
      <c r="F241">
        <f t="shared" si="13"/>
        <v>270</v>
      </c>
    </row>
    <row r="242" spans="1:6" x14ac:dyDescent="0.25">
      <c r="A242" s="1">
        <v>45167</v>
      </c>
      <c r="B242">
        <f t="shared" si="12"/>
        <v>2</v>
      </c>
      <c r="C242" t="s">
        <v>10</v>
      </c>
      <c r="D242">
        <f t="shared" si="14"/>
        <v>270</v>
      </c>
      <c r="E242">
        <f t="shared" si="15"/>
        <v>0</v>
      </c>
      <c r="F242">
        <f t="shared" si="13"/>
        <v>270</v>
      </c>
    </row>
    <row r="243" spans="1:6" x14ac:dyDescent="0.25">
      <c r="A243" s="1">
        <v>45168</v>
      </c>
      <c r="B243">
        <f t="shared" si="12"/>
        <v>3</v>
      </c>
      <c r="C243" t="s">
        <v>10</v>
      </c>
      <c r="D243">
        <f t="shared" si="14"/>
        <v>270</v>
      </c>
      <c r="E243">
        <f t="shared" si="15"/>
        <v>0</v>
      </c>
      <c r="F243">
        <f t="shared" si="13"/>
        <v>270</v>
      </c>
    </row>
    <row r="244" spans="1:6" x14ac:dyDescent="0.25">
      <c r="A244" s="1">
        <v>45169</v>
      </c>
      <c r="B244">
        <f t="shared" si="12"/>
        <v>4</v>
      </c>
      <c r="C244" t="s">
        <v>10</v>
      </c>
      <c r="D244">
        <f t="shared" si="14"/>
        <v>270</v>
      </c>
      <c r="E244">
        <f t="shared" si="15"/>
        <v>0</v>
      </c>
      <c r="F244">
        <f t="shared" si="13"/>
        <v>270</v>
      </c>
    </row>
    <row r="245" spans="1:6" x14ac:dyDescent="0.25">
      <c r="A245" s="1">
        <v>45170</v>
      </c>
      <c r="B245">
        <f t="shared" si="12"/>
        <v>5</v>
      </c>
      <c r="C245" t="s">
        <v>10</v>
      </c>
      <c r="D245">
        <f t="shared" si="14"/>
        <v>270</v>
      </c>
      <c r="E245">
        <f t="shared" si="15"/>
        <v>0</v>
      </c>
      <c r="F245">
        <f t="shared" si="13"/>
        <v>270</v>
      </c>
    </row>
    <row r="246" spans="1:6" x14ac:dyDescent="0.25">
      <c r="A246" s="1">
        <v>45171</v>
      </c>
      <c r="B246">
        <f t="shared" si="12"/>
        <v>6</v>
      </c>
      <c r="C246" t="s">
        <v>10</v>
      </c>
      <c r="D246">
        <f t="shared" si="14"/>
        <v>0</v>
      </c>
      <c r="E246">
        <f t="shared" si="15"/>
        <v>0</v>
      </c>
      <c r="F246">
        <f t="shared" si="13"/>
        <v>0</v>
      </c>
    </row>
    <row r="247" spans="1:6" x14ac:dyDescent="0.25">
      <c r="A247" s="1">
        <v>45172</v>
      </c>
      <c r="B247">
        <f t="shared" si="12"/>
        <v>7</v>
      </c>
      <c r="C247" t="s">
        <v>10</v>
      </c>
      <c r="D247">
        <f t="shared" si="14"/>
        <v>0</v>
      </c>
      <c r="E247">
        <f t="shared" si="15"/>
        <v>150</v>
      </c>
      <c r="F247">
        <f t="shared" si="13"/>
        <v>-150</v>
      </c>
    </row>
    <row r="248" spans="1:6" x14ac:dyDescent="0.25">
      <c r="A248" s="1">
        <v>45173</v>
      </c>
      <c r="B248">
        <f t="shared" si="12"/>
        <v>1</v>
      </c>
      <c r="C248" t="s">
        <v>10</v>
      </c>
      <c r="D248">
        <f t="shared" si="14"/>
        <v>270</v>
      </c>
      <c r="E248">
        <f t="shared" si="15"/>
        <v>0</v>
      </c>
      <c r="F248">
        <f t="shared" si="13"/>
        <v>270</v>
      </c>
    </row>
    <row r="249" spans="1:6" x14ac:dyDescent="0.25">
      <c r="A249" s="1">
        <v>45174</v>
      </c>
      <c r="B249">
        <f t="shared" si="12"/>
        <v>2</v>
      </c>
      <c r="C249" t="s">
        <v>10</v>
      </c>
      <c r="D249">
        <f t="shared" si="14"/>
        <v>270</v>
      </c>
      <c r="E249">
        <f t="shared" si="15"/>
        <v>0</v>
      </c>
      <c r="F249">
        <f t="shared" si="13"/>
        <v>270</v>
      </c>
    </row>
    <row r="250" spans="1:6" x14ac:dyDescent="0.25">
      <c r="A250" s="1">
        <v>45175</v>
      </c>
      <c r="B250">
        <f t="shared" si="12"/>
        <v>3</v>
      </c>
      <c r="C250" t="s">
        <v>10</v>
      </c>
      <c r="D250">
        <f t="shared" si="14"/>
        <v>270</v>
      </c>
      <c r="E250">
        <f t="shared" si="15"/>
        <v>0</v>
      </c>
      <c r="F250">
        <f t="shared" si="13"/>
        <v>270</v>
      </c>
    </row>
    <row r="251" spans="1:6" x14ac:dyDescent="0.25">
      <c r="A251" s="1">
        <v>45176</v>
      </c>
      <c r="B251">
        <f t="shared" si="12"/>
        <v>4</v>
      </c>
      <c r="C251" t="s">
        <v>10</v>
      </c>
      <c r="D251">
        <f t="shared" si="14"/>
        <v>270</v>
      </c>
      <c r="E251">
        <f t="shared" si="15"/>
        <v>0</v>
      </c>
      <c r="F251">
        <f t="shared" si="13"/>
        <v>270</v>
      </c>
    </row>
    <row r="252" spans="1:6" x14ac:dyDescent="0.25">
      <c r="A252" s="1">
        <v>45177</v>
      </c>
      <c r="B252">
        <f t="shared" si="12"/>
        <v>5</v>
      </c>
      <c r="C252" t="s">
        <v>10</v>
      </c>
      <c r="D252">
        <f t="shared" si="14"/>
        <v>270</v>
      </c>
      <c r="E252">
        <f t="shared" si="15"/>
        <v>0</v>
      </c>
      <c r="F252">
        <f t="shared" si="13"/>
        <v>270</v>
      </c>
    </row>
    <row r="253" spans="1:6" x14ac:dyDescent="0.25">
      <c r="A253" s="1">
        <v>45178</v>
      </c>
      <c r="B253">
        <f t="shared" si="12"/>
        <v>6</v>
      </c>
      <c r="C253" t="s">
        <v>10</v>
      </c>
      <c r="D253">
        <f t="shared" si="14"/>
        <v>0</v>
      </c>
      <c r="E253">
        <f t="shared" si="15"/>
        <v>0</v>
      </c>
      <c r="F253">
        <f t="shared" si="13"/>
        <v>0</v>
      </c>
    </row>
    <row r="254" spans="1:6" x14ac:dyDescent="0.25">
      <c r="A254" s="1">
        <v>45179</v>
      </c>
      <c r="B254">
        <f t="shared" si="12"/>
        <v>7</v>
      </c>
      <c r="C254" t="s">
        <v>10</v>
      </c>
      <c r="D254">
        <f t="shared" si="14"/>
        <v>0</v>
      </c>
      <c r="E254">
        <f t="shared" si="15"/>
        <v>150</v>
      </c>
      <c r="F254">
        <f t="shared" si="13"/>
        <v>-150</v>
      </c>
    </row>
    <row r="255" spans="1:6" x14ac:dyDescent="0.25">
      <c r="A255" s="1">
        <v>45180</v>
      </c>
      <c r="B255">
        <f t="shared" si="12"/>
        <v>1</v>
      </c>
      <c r="C255" t="s">
        <v>10</v>
      </c>
      <c r="D255">
        <f t="shared" si="14"/>
        <v>270</v>
      </c>
      <c r="E255">
        <f t="shared" si="15"/>
        <v>0</v>
      </c>
      <c r="F255">
        <f t="shared" si="13"/>
        <v>270</v>
      </c>
    </row>
    <row r="256" spans="1:6" x14ac:dyDescent="0.25">
      <c r="A256" s="1">
        <v>45181</v>
      </c>
      <c r="B256">
        <f t="shared" si="12"/>
        <v>2</v>
      </c>
      <c r="C256" t="s">
        <v>10</v>
      </c>
      <c r="D256">
        <f t="shared" si="14"/>
        <v>270</v>
      </c>
      <c r="E256">
        <f t="shared" si="15"/>
        <v>0</v>
      </c>
      <c r="F256">
        <f t="shared" si="13"/>
        <v>270</v>
      </c>
    </row>
    <row r="257" spans="1:6" x14ac:dyDescent="0.25">
      <c r="A257" s="1">
        <v>45182</v>
      </c>
      <c r="B257">
        <f t="shared" si="12"/>
        <v>3</v>
      </c>
      <c r="C257" t="s">
        <v>10</v>
      </c>
      <c r="D257">
        <f t="shared" si="14"/>
        <v>270</v>
      </c>
      <c r="E257">
        <f t="shared" si="15"/>
        <v>0</v>
      </c>
      <c r="F257">
        <f t="shared" si="13"/>
        <v>270</v>
      </c>
    </row>
    <row r="258" spans="1:6" x14ac:dyDescent="0.25">
      <c r="A258" s="1">
        <v>45183</v>
      </c>
      <c r="B258">
        <f t="shared" si="12"/>
        <v>4</v>
      </c>
      <c r="C258" t="s">
        <v>10</v>
      </c>
      <c r="D258">
        <f t="shared" si="14"/>
        <v>270</v>
      </c>
      <c r="E258">
        <f t="shared" si="15"/>
        <v>0</v>
      </c>
      <c r="F258">
        <f t="shared" si="13"/>
        <v>270</v>
      </c>
    </row>
    <row r="259" spans="1:6" x14ac:dyDescent="0.25">
      <c r="A259" s="1">
        <v>45184</v>
      </c>
      <c r="B259">
        <f t="shared" ref="B259:B322" si="16">WEEKDAY(A259,2)</f>
        <v>5</v>
      </c>
      <c r="C259" t="s">
        <v>10</v>
      </c>
      <c r="D259">
        <f t="shared" si="14"/>
        <v>270</v>
      </c>
      <c r="E259">
        <f t="shared" si="15"/>
        <v>0</v>
      </c>
      <c r="F259">
        <f t="shared" ref="F259:F322" si="17">D259-E259</f>
        <v>270</v>
      </c>
    </row>
    <row r="260" spans="1:6" x14ac:dyDescent="0.25">
      <c r="A260" s="1">
        <v>45185</v>
      </c>
      <c r="B260">
        <f t="shared" si="16"/>
        <v>6</v>
      </c>
      <c r="C260" t="s">
        <v>10</v>
      </c>
      <c r="D260">
        <f t="shared" ref="D260:D323" si="18">IF(B260&lt;6,$Q$1*VLOOKUP(C260,$S$1:$T$5,2,FALSE)*$Q$3,0)</f>
        <v>0</v>
      </c>
      <c r="E260">
        <f t="shared" ref="E260:E323" si="19">IF(B260=7,$Q$4*$Q$1,0)</f>
        <v>0</v>
      </c>
      <c r="F260">
        <f t="shared" si="17"/>
        <v>0</v>
      </c>
    </row>
    <row r="261" spans="1:6" x14ac:dyDescent="0.25">
      <c r="A261" s="1">
        <v>45186</v>
      </c>
      <c r="B261">
        <f t="shared" si="16"/>
        <v>7</v>
      </c>
      <c r="C261" t="s">
        <v>10</v>
      </c>
      <c r="D261">
        <f t="shared" si="18"/>
        <v>0</v>
      </c>
      <c r="E261">
        <f t="shared" si="19"/>
        <v>150</v>
      </c>
      <c r="F261">
        <f t="shared" si="17"/>
        <v>-150</v>
      </c>
    </row>
    <row r="262" spans="1:6" x14ac:dyDescent="0.25">
      <c r="A262" s="1">
        <v>45187</v>
      </c>
      <c r="B262">
        <f t="shared" si="16"/>
        <v>1</v>
      </c>
      <c r="C262" t="s">
        <v>10</v>
      </c>
      <c r="D262">
        <f t="shared" si="18"/>
        <v>270</v>
      </c>
      <c r="E262">
        <f t="shared" si="19"/>
        <v>0</v>
      </c>
      <c r="F262">
        <f t="shared" si="17"/>
        <v>270</v>
      </c>
    </row>
    <row r="263" spans="1:6" x14ac:dyDescent="0.25">
      <c r="A263" s="1">
        <v>45188</v>
      </c>
      <c r="B263">
        <f t="shared" si="16"/>
        <v>2</v>
      </c>
      <c r="C263" t="s">
        <v>10</v>
      </c>
      <c r="D263">
        <f t="shared" si="18"/>
        <v>270</v>
      </c>
      <c r="E263">
        <f t="shared" si="19"/>
        <v>0</v>
      </c>
      <c r="F263">
        <f t="shared" si="17"/>
        <v>270</v>
      </c>
    </row>
    <row r="264" spans="1:6" x14ac:dyDescent="0.25">
      <c r="A264" s="1">
        <v>45189</v>
      </c>
      <c r="B264">
        <f t="shared" si="16"/>
        <v>3</v>
      </c>
      <c r="C264" t="s">
        <v>10</v>
      </c>
      <c r="D264">
        <f t="shared" si="18"/>
        <v>270</v>
      </c>
      <c r="E264">
        <f t="shared" si="19"/>
        <v>0</v>
      </c>
      <c r="F264">
        <f t="shared" si="17"/>
        <v>270</v>
      </c>
    </row>
    <row r="265" spans="1:6" x14ac:dyDescent="0.25">
      <c r="A265" s="1">
        <v>45190</v>
      </c>
      <c r="B265">
        <f t="shared" si="16"/>
        <v>4</v>
      </c>
      <c r="C265" t="s">
        <v>10</v>
      </c>
      <c r="D265">
        <f t="shared" si="18"/>
        <v>270</v>
      </c>
      <c r="E265">
        <f t="shared" si="19"/>
        <v>0</v>
      </c>
      <c r="F265">
        <f t="shared" si="17"/>
        <v>270</v>
      </c>
    </row>
    <row r="266" spans="1:6" x14ac:dyDescent="0.25">
      <c r="A266" s="1">
        <v>45191</v>
      </c>
      <c r="B266">
        <f t="shared" si="16"/>
        <v>5</v>
      </c>
      <c r="C266" t="s">
        <v>10</v>
      </c>
      <c r="D266">
        <f t="shared" si="18"/>
        <v>270</v>
      </c>
      <c r="E266">
        <f t="shared" si="19"/>
        <v>0</v>
      </c>
      <c r="F266">
        <f t="shared" si="17"/>
        <v>270</v>
      </c>
    </row>
    <row r="267" spans="1:6" x14ac:dyDescent="0.25">
      <c r="A267" s="1">
        <v>45192</v>
      </c>
      <c r="B267">
        <f t="shared" si="16"/>
        <v>6</v>
      </c>
      <c r="C267" t="s">
        <v>11</v>
      </c>
      <c r="D267">
        <f t="shared" si="18"/>
        <v>0</v>
      </c>
      <c r="E267">
        <f t="shared" si="19"/>
        <v>0</v>
      </c>
      <c r="F267">
        <f t="shared" si="17"/>
        <v>0</v>
      </c>
    </row>
    <row r="268" spans="1:6" x14ac:dyDescent="0.25">
      <c r="A268" s="1">
        <v>45193</v>
      </c>
      <c r="B268">
        <f t="shared" si="16"/>
        <v>7</v>
      </c>
      <c r="C268" t="s">
        <v>11</v>
      </c>
      <c r="D268">
        <f t="shared" si="18"/>
        <v>0</v>
      </c>
      <c r="E268">
        <f t="shared" si="19"/>
        <v>150</v>
      </c>
      <c r="F268">
        <f t="shared" si="17"/>
        <v>-150</v>
      </c>
    </row>
    <row r="269" spans="1:6" x14ac:dyDescent="0.25">
      <c r="A269" s="1">
        <v>45194</v>
      </c>
      <c r="B269">
        <f t="shared" si="16"/>
        <v>1</v>
      </c>
      <c r="C269" t="s">
        <v>11</v>
      </c>
      <c r="D269">
        <f t="shared" si="18"/>
        <v>120</v>
      </c>
      <c r="E269">
        <f t="shared" si="19"/>
        <v>0</v>
      </c>
      <c r="F269">
        <f t="shared" si="17"/>
        <v>120</v>
      </c>
    </row>
    <row r="270" spans="1:6" x14ac:dyDescent="0.25">
      <c r="A270" s="1">
        <v>45195</v>
      </c>
      <c r="B270">
        <f t="shared" si="16"/>
        <v>2</v>
      </c>
      <c r="C270" t="s">
        <v>11</v>
      </c>
      <c r="D270">
        <f t="shared" si="18"/>
        <v>120</v>
      </c>
      <c r="E270">
        <f t="shared" si="19"/>
        <v>0</v>
      </c>
      <c r="F270">
        <f t="shared" si="17"/>
        <v>120</v>
      </c>
    </row>
    <row r="271" spans="1:6" x14ac:dyDescent="0.25">
      <c r="A271" s="1">
        <v>45196</v>
      </c>
      <c r="B271">
        <f t="shared" si="16"/>
        <v>3</v>
      </c>
      <c r="C271" t="s">
        <v>11</v>
      </c>
      <c r="D271">
        <f t="shared" si="18"/>
        <v>120</v>
      </c>
      <c r="E271">
        <f t="shared" si="19"/>
        <v>0</v>
      </c>
      <c r="F271">
        <f t="shared" si="17"/>
        <v>120</v>
      </c>
    </row>
    <row r="272" spans="1:6" x14ac:dyDescent="0.25">
      <c r="A272" s="1">
        <v>45197</v>
      </c>
      <c r="B272">
        <f t="shared" si="16"/>
        <v>4</v>
      </c>
      <c r="C272" t="s">
        <v>11</v>
      </c>
      <c r="D272">
        <f t="shared" si="18"/>
        <v>120</v>
      </c>
      <c r="E272">
        <f t="shared" si="19"/>
        <v>0</v>
      </c>
      <c r="F272">
        <f t="shared" si="17"/>
        <v>120</v>
      </c>
    </row>
    <row r="273" spans="1:6" x14ac:dyDescent="0.25">
      <c r="A273" s="1">
        <v>45198</v>
      </c>
      <c r="B273">
        <f t="shared" si="16"/>
        <v>5</v>
      </c>
      <c r="C273" t="s">
        <v>11</v>
      </c>
      <c r="D273">
        <f t="shared" si="18"/>
        <v>120</v>
      </c>
      <c r="E273">
        <f t="shared" si="19"/>
        <v>0</v>
      </c>
      <c r="F273">
        <f t="shared" si="17"/>
        <v>120</v>
      </c>
    </row>
    <row r="274" spans="1:6" x14ac:dyDescent="0.25">
      <c r="A274" s="1">
        <v>45199</v>
      </c>
      <c r="B274">
        <f t="shared" si="16"/>
        <v>6</v>
      </c>
      <c r="C274" t="s">
        <v>11</v>
      </c>
      <c r="D274">
        <f t="shared" si="18"/>
        <v>0</v>
      </c>
      <c r="E274">
        <f t="shared" si="19"/>
        <v>0</v>
      </c>
      <c r="F274">
        <f t="shared" si="17"/>
        <v>0</v>
      </c>
    </row>
    <row r="275" spans="1:6" x14ac:dyDescent="0.25">
      <c r="A275" s="1">
        <v>45200</v>
      </c>
      <c r="B275">
        <f t="shared" si="16"/>
        <v>7</v>
      </c>
      <c r="C275" t="s">
        <v>11</v>
      </c>
      <c r="D275">
        <f t="shared" si="18"/>
        <v>0</v>
      </c>
      <c r="E275">
        <f t="shared" si="19"/>
        <v>150</v>
      </c>
      <c r="F275">
        <f t="shared" si="17"/>
        <v>-150</v>
      </c>
    </row>
    <row r="276" spans="1:6" x14ac:dyDescent="0.25">
      <c r="A276" s="1">
        <v>45201</v>
      </c>
      <c r="B276">
        <f t="shared" si="16"/>
        <v>1</v>
      </c>
      <c r="C276" t="s">
        <v>11</v>
      </c>
      <c r="D276">
        <f t="shared" si="18"/>
        <v>120</v>
      </c>
      <c r="E276">
        <f t="shared" si="19"/>
        <v>0</v>
      </c>
      <c r="F276">
        <f t="shared" si="17"/>
        <v>120</v>
      </c>
    </row>
    <row r="277" spans="1:6" x14ac:dyDescent="0.25">
      <c r="A277" s="1">
        <v>45202</v>
      </c>
      <c r="B277">
        <f t="shared" si="16"/>
        <v>2</v>
      </c>
      <c r="C277" t="s">
        <v>11</v>
      </c>
      <c r="D277">
        <f t="shared" si="18"/>
        <v>120</v>
      </c>
      <c r="E277">
        <f t="shared" si="19"/>
        <v>0</v>
      </c>
      <c r="F277">
        <f t="shared" si="17"/>
        <v>120</v>
      </c>
    </row>
    <row r="278" spans="1:6" x14ac:dyDescent="0.25">
      <c r="A278" s="1">
        <v>45203</v>
      </c>
      <c r="B278">
        <f t="shared" si="16"/>
        <v>3</v>
      </c>
      <c r="C278" t="s">
        <v>11</v>
      </c>
      <c r="D278">
        <f t="shared" si="18"/>
        <v>120</v>
      </c>
      <c r="E278">
        <f t="shared" si="19"/>
        <v>0</v>
      </c>
      <c r="F278">
        <f t="shared" si="17"/>
        <v>120</v>
      </c>
    </row>
    <row r="279" spans="1:6" x14ac:dyDescent="0.25">
      <c r="A279" s="1">
        <v>45204</v>
      </c>
      <c r="B279">
        <f t="shared" si="16"/>
        <v>4</v>
      </c>
      <c r="C279" t="s">
        <v>11</v>
      </c>
      <c r="D279">
        <f t="shared" si="18"/>
        <v>120</v>
      </c>
      <c r="E279">
        <f t="shared" si="19"/>
        <v>0</v>
      </c>
      <c r="F279">
        <f t="shared" si="17"/>
        <v>120</v>
      </c>
    </row>
    <row r="280" spans="1:6" x14ac:dyDescent="0.25">
      <c r="A280" s="1">
        <v>45205</v>
      </c>
      <c r="B280">
        <f t="shared" si="16"/>
        <v>5</v>
      </c>
      <c r="C280" t="s">
        <v>11</v>
      </c>
      <c r="D280">
        <f t="shared" si="18"/>
        <v>120</v>
      </c>
      <c r="E280">
        <f t="shared" si="19"/>
        <v>0</v>
      </c>
      <c r="F280">
        <f t="shared" si="17"/>
        <v>120</v>
      </c>
    </row>
    <row r="281" spans="1:6" x14ac:dyDescent="0.25">
      <c r="A281" s="1">
        <v>45206</v>
      </c>
      <c r="B281">
        <f t="shared" si="16"/>
        <v>6</v>
      </c>
      <c r="C281" t="s">
        <v>11</v>
      </c>
      <c r="D281">
        <f t="shared" si="18"/>
        <v>0</v>
      </c>
      <c r="E281">
        <f t="shared" si="19"/>
        <v>0</v>
      </c>
      <c r="F281">
        <f t="shared" si="17"/>
        <v>0</v>
      </c>
    </row>
    <row r="282" spans="1:6" x14ac:dyDescent="0.25">
      <c r="A282" s="1">
        <v>45207</v>
      </c>
      <c r="B282">
        <f t="shared" si="16"/>
        <v>7</v>
      </c>
      <c r="C282" t="s">
        <v>11</v>
      </c>
      <c r="D282">
        <f t="shared" si="18"/>
        <v>0</v>
      </c>
      <c r="E282">
        <f t="shared" si="19"/>
        <v>150</v>
      </c>
      <c r="F282">
        <f t="shared" si="17"/>
        <v>-150</v>
      </c>
    </row>
    <row r="283" spans="1:6" x14ac:dyDescent="0.25">
      <c r="A283" s="1">
        <v>45208</v>
      </c>
      <c r="B283">
        <f t="shared" si="16"/>
        <v>1</v>
      </c>
      <c r="C283" t="s">
        <v>11</v>
      </c>
      <c r="D283">
        <f t="shared" si="18"/>
        <v>120</v>
      </c>
      <c r="E283">
        <f t="shared" si="19"/>
        <v>0</v>
      </c>
      <c r="F283">
        <f t="shared" si="17"/>
        <v>120</v>
      </c>
    </row>
    <row r="284" spans="1:6" x14ac:dyDescent="0.25">
      <c r="A284" s="1">
        <v>45209</v>
      </c>
      <c r="B284">
        <f t="shared" si="16"/>
        <v>2</v>
      </c>
      <c r="C284" t="s">
        <v>11</v>
      </c>
      <c r="D284">
        <f t="shared" si="18"/>
        <v>120</v>
      </c>
      <c r="E284">
        <f t="shared" si="19"/>
        <v>0</v>
      </c>
      <c r="F284">
        <f t="shared" si="17"/>
        <v>120</v>
      </c>
    </row>
    <row r="285" spans="1:6" x14ac:dyDescent="0.25">
      <c r="A285" s="1">
        <v>45210</v>
      </c>
      <c r="B285">
        <f t="shared" si="16"/>
        <v>3</v>
      </c>
      <c r="C285" t="s">
        <v>11</v>
      </c>
      <c r="D285">
        <f t="shared" si="18"/>
        <v>120</v>
      </c>
      <c r="E285">
        <f t="shared" si="19"/>
        <v>0</v>
      </c>
      <c r="F285">
        <f t="shared" si="17"/>
        <v>120</v>
      </c>
    </row>
    <row r="286" spans="1:6" x14ac:dyDescent="0.25">
      <c r="A286" s="1">
        <v>45211</v>
      </c>
      <c r="B286">
        <f t="shared" si="16"/>
        <v>4</v>
      </c>
      <c r="C286" t="s">
        <v>11</v>
      </c>
      <c r="D286">
        <f t="shared" si="18"/>
        <v>120</v>
      </c>
      <c r="E286">
        <f t="shared" si="19"/>
        <v>0</v>
      </c>
      <c r="F286">
        <f t="shared" si="17"/>
        <v>120</v>
      </c>
    </row>
    <row r="287" spans="1:6" x14ac:dyDescent="0.25">
      <c r="A287" s="1">
        <v>45212</v>
      </c>
      <c r="B287">
        <f t="shared" si="16"/>
        <v>5</v>
      </c>
      <c r="C287" t="s">
        <v>11</v>
      </c>
      <c r="D287">
        <f t="shared" si="18"/>
        <v>120</v>
      </c>
      <c r="E287">
        <f t="shared" si="19"/>
        <v>0</v>
      </c>
      <c r="F287">
        <f t="shared" si="17"/>
        <v>120</v>
      </c>
    </row>
    <row r="288" spans="1:6" x14ac:dyDescent="0.25">
      <c r="A288" s="1">
        <v>45213</v>
      </c>
      <c r="B288">
        <f t="shared" si="16"/>
        <v>6</v>
      </c>
      <c r="C288" t="s">
        <v>11</v>
      </c>
      <c r="D288">
        <f t="shared" si="18"/>
        <v>0</v>
      </c>
      <c r="E288">
        <f t="shared" si="19"/>
        <v>0</v>
      </c>
      <c r="F288">
        <f t="shared" si="17"/>
        <v>0</v>
      </c>
    </row>
    <row r="289" spans="1:6" x14ac:dyDescent="0.25">
      <c r="A289" s="1">
        <v>45214</v>
      </c>
      <c r="B289">
        <f t="shared" si="16"/>
        <v>7</v>
      </c>
      <c r="C289" t="s">
        <v>11</v>
      </c>
      <c r="D289">
        <f t="shared" si="18"/>
        <v>0</v>
      </c>
      <c r="E289">
        <f t="shared" si="19"/>
        <v>150</v>
      </c>
      <c r="F289">
        <f t="shared" si="17"/>
        <v>-150</v>
      </c>
    </row>
    <row r="290" spans="1:6" x14ac:dyDescent="0.25">
      <c r="A290" s="1">
        <v>45215</v>
      </c>
      <c r="B290">
        <f t="shared" si="16"/>
        <v>1</v>
      </c>
      <c r="C290" t="s">
        <v>11</v>
      </c>
      <c r="D290">
        <f t="shared" si="18"/>
        <v>120</v>
      </c>
      <c r="E290">
        <f t="shared" si="19"/>
        <v>0</v>
      </c>
      <c r="F290">
        <f t="shared" si="17"/>
        <v>120</v>
      </c>
    </row>
    <row r="291" spans="1:6" x14ac:dyDescent="0.25">
      <c r="A291" s="1">
        <v>45216</v>
      </c>
      <c r="B291">
        <f t="shared" si="16"/>
        <v>2</v>
      </c>
      <c r="C291" t="s">
        <v>11</v>
      </c>
      <c r="D291">
        <f t="shared" si="18"/>
        <v>120</v>
      </c>
      <c r="E291">
        <f t="shared" si="19"/>
        <v>0</v>
      </c>
      <c r="F291">
        <f t="shared" si="17"/>
        <v>120</v>
      </c>
    </row>
    <row r="292" spans="1:6" x14ac:dyDescent="0.25">
      <c r="A292" s="1">
        <v>45217</v>
      </c>
      <c r="B292">
        <f t="shared" si="16"/>
        <v>3</v>
      </c>
      <c r="C292" t="s">
        <v>11</v>
      </c>
      <c r="D292">
        <f t="shared" si="18"/>
        <v>120</v>
      </c>
      <c r="E292">
        <f t="shared" si="19"/>
        <v>0</v>
      </c>
      <c r="F292">
        <f t="shared" si="17"/>
        <v>120</v>
      </c>
    </row>
    <row r="293" spans="1:6" x14ac:dyDescent="0.25">
      <c r="A293" s="1">
        <v>45218</v>
      </c>
      <c r="B293">
        <f t="shared" si="16"/>
        <v>4</v>
      </c>
      <c r="C293" t="s">
        <v>11</v>
      </c>
      <c r="D293">
        <f t="shared" si="18"/>
        <v>120</v>
      </c>
      <c r="E293">
        <f t="shared" si="19"/>
        <v>0</v>
      </c>
      <c r="F293">
        <f t="shared" si="17"/>
        <v>120</v>
      </c>
    </row>
    <row r="294" spans="1:6" x14ac:dyDescent="0.25">
      <c r="A294" s="1">
        <v>45219</v>
      </c>
      <c r="B294">
        <f t="shared" si="16"/>
        <v>5</v>
      </c>
      <c r="C294" t="s">
        <v>11</v>
      </c>
      <c r="D294">
        <f t="shared" si="18"/>
        <v>120</v>
      </c>
      <c r="E294">
        <f t="shared" si="19"/>
        <v>0</v>
      </c>
      <c r="F294">
        <f t="shared" si="17"/>
        <v>120</v>
      </c>
    </row>
    <row r="295" spans="1:6" x14ac:dyDescent="0.25">
      <c r="A295" s="1">
        <v>45220</v>
      </c>
      <c r="B295">
        <f t="shared" si="16"/>
        <v>6</v>
      </c>
      <c r="C295" t="s">
        <v>11</v>
      </c>
      <c r="D295">
        <f t="shared" si="18"/>
        <v>0</v>
      </c>
      <c r="E295">
        <f t="shared" si="19"/>
        <v>0</v>
      </c>
      <c r="F295">
        <f t="shared" si="17"/>
        <v>0</v>
      </c>
    </row>
    <row r="296" spans="1:6" x14ac:dyDescent="0.25">
      <c r="A296" s="1">
        <v>45221</v>
      </c>
      <c r="B296">
        <f t="shared" si="16"/>
        <v>7</v>
      </c>
      <c r="C296" t="s">
        <v>11</v>
      </c>
      <c r="D296">
        <f t="shared" si="18"/>
        <v>0</v>
      </c>
      <c r="E296">
        <f t="shared" si="19"/>
        <v>150</v>
      </c>
      <c r="F296">
        <f t="shared" si="17"/>
        <v>-150</v>
      </c>
    </row>
    <row r="297" spans="1:6" x14ac:dyDescent="0.25">
      <c r="A297" s="1">
        <v>45222</v>
      </c>
      <c r="B297">
        <f t="shared" si="16"/>
        <v>1</v>
      </c>
      <c r="C297" t="s">
        <v>11</v>
      </c>
      <c r="D297">
        <f t="shared" si="18"/>
        <v>120</v>
      </c>
      <c r="E297">
        <f t="shared" si="19"/>
        <v>0</v>
      </c>
      <c r="F297">
        <f t="shared" si="17"/>
        <v>120</v>
      </c>
    </row>
    <row r="298" spans="1:6" x14ac:dyDescent="0.25">
      <c r="A298" s="1">
        <v>45223</v>
      </c>
      <c r="B298">
        <f t="shared" si="16"/>
        <v>2</v>
      </c>
      <c r="C298" t="s">
        <v>11</v>
      </c>
      <c r="D298">
        <f t="shared" si="18"/>
        <v>120</v>
      </c>
      <c r="E298">
        <f t="shared" si="19"/>
        <v>0</v>
      </c>
      <c r="F298">
        <f t="shared" si="17"/>
        <v>120</v>
      </c>
    </row>
    <row r="299" spans="1:6" x14ac:dyDescent="0.25">
      <c r="A299" s="1">
        <v>45224</v>
      </c>
      <c r="B299">
        <f t="shared" si="16"/>
        <v>3</v>
      </c>
      <c r="C299" t="s">
        <v>11</v>
      </c>
      <c r="D299">
        <f t="shared" si="18"/>
        <v>120</v>
      </c>
      <c r="E299">
        <f t="shared" si="19"/>
        <v>0</v>
      </c>
      <c r="F299">
        <f t="shared" si="17"/>
        <v>120</v>
      </c>
    </row>
    <row r="300" spans="1:6" x14ac:dyDescent="0.25">
      <c r="A300" s="1">
        <v>45225</v>
      </c>
      <c r="B300">
        <f t="shared" si="16"/>
        <v>4</v>
      </c>
      <c r="C300" t="s">
        <v>11</v>
      </c>
      <c r="D300">
        <f t="shared" si="18"/>
        <v>120</v>
      </c>
      <c r="E300">
        <f t="shared" si="19"/>
        <v>0</v>
      </c>
      <c r="F300">
        <f t="shared" si="17"/>
        <v>120</v>
      </c>
    </row>
    <row r="301" spans="1:6" x14ac:dyDescent="0.25">
      <c r="A301" s="1">
        <v>45226</v>
      </c>
      <c r="B301">
        <f t="shared" si="16"/>
        <v>5</v>
      </c>
      <c r="C301" t="s">
        <v>11</v>
      </c>
      <c r="D301">
        <f t="shared" si="18"/>
        <v>120</v>
      </c>
      <c r="E301">
        <f t="shared" si="19"/>
        <v>0</v>
      </c>
      <c r="F301">
        <f t="shared" si="17"/>
        <v>120</v>
      </c>
    </row>
    <row r="302" spans="1:6" x14ac:dyDescent="0.25">
      <c r="A302" s="1">
        <v>45227</v>
      </c>
      <c r="B302">
        <f t="shared" si="16"/>
        <v>6</v>
      </c>
      <c r="C302" t="s">
        <v>11</v>
      </c>
      <c r="D302">
        <f t="shared" si="18"/>
        <v>0</v>
      </c>
      <c r="E302">
        <f t="shared" si="19"/>
        <v>0</v>
      </c>
      <c r="F302">
        <f t="shared" si="17"/>
        <v>0</v>
      </c>
    </row>
    <row r="303" spans="1:6" x14ac:dyDescent="0.25">
      <c r="A303" s="1">
        <v>45228</v>
      </c>
      <c r="B303">
        <f t="shared" si="16"/>
        <v>7</v>
      </c>
      <c r="C303" t="s">
        <v>11</v>
      </c>
      <c r="D303">
        <f t="shared" si="18"/>
        <v>0</v>
      </c>
      <c r="E303">
        <f t="shared" si="19"/>
        <v>150</v>
      </c>
      <c r="F303">
        <f t="shared" si="17"/>
        <v>-150</v>
      </c>
    </row>
    <row r="304" spans="1:6" x14ac:dyDescent="0.25">
      <c r="A304" s="1">
        <v>45229</v>
      </c>
      <c r="B304">
        <f t="shared" si="16"/>
        <v>1</v>
      </c>
      <c r="C304" t="s">
        <v>11</v>
      </c>
      <c r="D304">
        <f t="shared" si="18"/>
        <v>120</v>
      </c>
      <c r="E304">
        <f t="shared" si="19"/>
        <v>0</v>
      </c>
      <c r="F304">
        <f t="shared" si="17"/>
        <v>120</v>
      </c>
    </row>
    <row r="305" spans="1:6" x14ac:dyDescent="0.25">
      <c r="A305" s="1">
        <v>45230</v>
      </c>
      <c r="B305">
        <f t="shared" si="16"/>
        <v>2</v>
      </c>
      <c r="C305" t="s">
        <v>11</v>
      </c>
      <c r="D305">
        <f t="shared" si="18"/>
        <v>120</v>
      </c>
      <c r="E305">
        <f t="shared" si="19"/>
        <v>0</v>
      </c>
      <c r="F305">
        <f t="shared" si="17"/>
        <v>120</v>
      </c>
    </row>
    <row r="306" spans="1:6" x14ac:dyDescent="0.25">
      <c r="A306" s="1">
        <v>45231</v>
      </c>
      <c r="B306">
        <f t="shared" si="16"/>
        <v>3</v>
      </c>
      <c r="C306" t="s">
        <v>11</v>
      </c>
      <c r="D306">
        <f t="shared" si="18"/>
        <v>120</v>
      </c>
      <c r="E306">
        <f t="shared" si="19"/>
        <v>0</v>
      </c>
      <c r="F306">
        <f t="shared" si="17"/>
        <v>120</v>
      </c>
    </row>
    <row r="307" spans="1:6" x14ac:dyDescent="0.25">
      <c r="A307" s="1">
        <v>45232</v>
      </c>
      <c r="B307">
        <f t="shared" si="16"/>
        <v>4</v>
      </c>
      <c r="C307" t="s">
        <v>11</v>
      </c>
      <c r="D307">
        <f t="shared" si="18"/>
        <v>120</v>
      </c>
      <c r="E307">
        <f t="shared" si="19"/>
        <v>0</v>
      </c>
      <c r="F307">
        <f t="shared" si="17"/>
        <v>120</v>
      </c>
    </row>
    <row r="308" spans="1:6" x14ac:dyDescent="0.25">
      <c r="A308" s="1">
        <v>45233</v>
      </c>
      <c r="B308">
        <f t="shared" si="16"/>
        <v>5</v>
      </c>
      <c r="C308" t="s">
        <v>11</v>
      </c>
      <c r="D308">
        <f t="shared" si="18"/>
        <v>120</v>
      </c>
      <c r="E308">
        <f t="shared" si="19"/>
        <v>0</v>
      </c>
      <c r="F308">
        <f t="shared" si="17"/>
        <v>120</v>
      </c>
    </row>
    <row r="309" spans="1:6" x14ac:dyDescent="0.25">
      <c r="A309" s="1">
        <v>45234</v>
      </c>
      <c r="B309">
        <f t="shared" si="16"/>
        <v>6</v>
      </c>
      <c r="C309" t="s">
        <v>11</v>
      </c>
      <c r="D309">
        <f t="shared" si="18"/>
        <v>0</v>
      </c>
      <c r="E309">
        <f t="shared" si="19"/>
        <v>0</v>
      </c>
      <c r="F309">
        <f t="shared" si="17"/>
        <v>0</v>
      </c>
    </row>
    <row r="310" spans="1:6" x14ac:dyDescent="0.25">
      <c r="A310" s="1">
        <v>45235</v>
      </c>
      <c r="B310">
        <f t="shared" si="16"/>
        <v>7</v>
      </c>
      <c r="C310" t="s">
        <v>11</v>
      </c>
      <c r="D310">
        <f t="shared" si="18"/>
        <v>0</v>
      </c>
      <c r="E310">
        <f t="shared" si="19"/>
        <v>150</v>
      </c>
      <c r="F310">
        <f t="shared" si="17"/>
        <v>-150</v>
      </c>
    </row>
    <row r="311" spans="1:6" x14ac:dyDescent="0.25">
      <c r="A311" s="1">
        <v>45236</v>
      </c>
      <c r="B311">
        <f t="shared" si="16"/>
        <v>1</v>
      </c>
      <c r="C311" t="s">
        <v>11</v>
      </c>
      <c r="D311">
        <f t="shared" si="18"/>
        <v>120</v>
      </c>
      <c r="E311">
        <f t="shared" si="19"/>
        <v>0</v>
      </c>
      <c r="F311">
        <f t="shared" si="17"/>
        <v>120</v>
      </c>
    </row>
    <row r="312" spans="1:6" x14ac:dyDescent="0.25">
      <c r="A312" s="1">
        <v>45237</v>
      </c>
      <c r="B312">
        <f t="shared" si="16"/>
        <v>2</v>
      </c>
      <c r="C312" t="s">
        <v>11</v>
      </c>
      <c r="D312">
        <f t="shared" si="18"/>
        <v>120</v>
      </c>
      <c r="E312">
        <f t="shared" si="19"/>
        <v>0</v>
      </c>
      <c r="F312">
        <f t="shared" si="17"/>
        <v>120</v>
      </c>
    </row>
    <row r="313" spans="1:6" x14ac:dyDescent="0.25">
      <c r="A313" s="1">
        <v>45238</v>
      </c>
      <c r="B313">
        <f t="shared" si="16"/>
        <v>3</v>
      </c>
      <c r="C313" t="s">
        <v>11</v>
      </c>
      <c r="D313">
        <f t="shared" si="18"/>
        <v>120</v>
      </c>
      <c r="E313">
        <f t="shared" si="19"/>
        <v>0</v>
      </c>
      <c r="F313">
        <f t="shared" si="17"/>
        <v>120</v>
      </c>
    </row>
    <row r="314" spans="1:6" x14ac:dyDescent="0.25">
      <c r="A314" s="1">
        <v>45239</v>
      </c>
      <c r="B314">
        <f t="shared" si="16"/>
        <v>4</v>
      </c>
      <c r="C314" t="s">
        <v>11</v>
      </c>
      <c r="D314">
        <f t="shared" si="18"/>
        <v>120</v>
      </c>
      <c r="E314">
        <f t="shared" si="19"/>
        <v>0</v>
      </c>
      <c r="F314">
        <f t="shared" si="17"/>
        <v>120</v>
      </c>
    </row>
    <row r="315" spans="1:6" x14ac:dyDescent="0.25">
      <c r="A315" s="1">
        <v>45240</v>
      </c>
      <c r="B315">
        <f t="shared" si="16"/>
        <v>5</v>
      </c>
      <c r="C315" t="s">
        <v>11</v>
      </c>
      <c r="D315">
        <f t="shared" si="18"/>
        <v>120</v>
      </c>
      <c r="E315">
        <f t="shared" si="19"/>
        <v>0</v>
      </c>
      <c r="F315">
        <f t="shared" si="17"/>
        <v>120</v>
      </c>
    </row>
    <row r="316" spans="1:6" x14ac:dyDescent="0.25">
      <c r="A316" s="1">
        <v>45241</v>
      </c>
      <c r="B316">
        <f t="shared" si="16"/>
        <v>6</v>
      </c>
      <c r="C316" t="s">
        <v>11</v>
      </c>
      <c r="D316">
        <f t="shared" si="18"/>
        <v>0</v>
      </c>
      <c r="E316">
        <f t="shared" si="19"/>
        <v>0</v>
      </c>
      <c r="F316">
        <f t="shared" si="17"/>
        <v>0</v>
      </c>
    </row>
    <row r="317" spans="1:6" x14ac:dyDescent="0.25">
      <c r="A317" s="1">
        <v>45242</v>
      </c>
      <c r="B317">
        <f t="shared" si="16"/>
        <v>7</v>
      </c>
      <c r="C317" t="s">
        <v>11</v>
      </c>
      <c r="D317">
        <f t="shared" si="18"/>
        <v>0</v>
      </c>
      <c r="E317">
        <f t="shared" si="19"/>
        <v>150</v>
      </c>
      <c r="F317">
        <f t="shared" si="17"/>
        <v>-150</v>
      </c>
    </row>
    <row r="318" spans="1:6" x14ac:dyDescent="0.25">
      <c r="A318" s="1">
        <v>45243</v>
      </c>
      <c r="B318">
        <f t="shared" si="16"/>
        <v>1</v>
      </c>
      <c r="C318" t="s">
        <v>11</v>
      </c>
      <c r="D318">
        <f t="shared" si="18"/>
        <v>120</v>
      </c>
      <c r="E318">
        <f t="shared" si="19"/>
        <v>0</v>
      </c>
      <c r="F318">
        <f t="shared" si="17"/>
        <v>120</v>
      </c>
    </row>
    <row r="319" spans="1:6" x14ac:dyDescent="0.25">
      <c r="A319" s="1">
        <v>45244</v>
      </c>
      <c r="B319">
        <f t="shared" si="16"/>
        <v>2</v>
      </c>
      <c r="C319" t="s">
        <v>11</v>
      </c>
      <c r="D319">
        <f t="shared" si="18"/>
        <v>120</v>
      </c>
      <c r="E319">
        <f t="shared" si="19"/>
        <v>0</v>
      </c>
      <c r="F319">
        <f t="shared" si="17"/>
        <v>120</v>
      </c>
    </row>
    <row r="320" spans="1:6" x14ac:dyDescent="0.25">
      <c r="A320" s="1">
        <v>45245</v>
      </c>
      <c r="B320">
        <f t="shared" si="16"/>
        <v>3</v>
      </c>
      <c r="C320" t="s">
        <v>11</v>
      </c>
      <c r="D320">
        <f t="shared" si="18"/>
        <v>120</v>
      </c>
      <c r="E320">
        <f t="shared" si="19"/>
        <v>0</v>
      </c>
      <c r="F320">
        <f t="shared" si="17"/>
        <v>120</v>
      </c>
    </row>
    <row r="321" spans="1:6" x14ac:dyDescent="0.25">
      <c r="A321" s="1">
        <v>45246</v>
      </c>
      <c r="B321">
        <f t="shared" si="16"/>
        <v>4</v>
      </c>
      <c r="C321" t="s">
        <v>11</v>
      </c>
      <c r="D321">
        <f t="shared" si="18"/>
        <v>120</v>
      </c>
      <c r="E321">
        <f t="shared" si="19"/>
        <v>0</v>
      </c>
      <c r="F321">
        <f t="shared" si="17"/>
        <v>120</v>
      </c>
    </row>
    <row r="322" spans="1:6" x14ac:dyDescent="0.25">
      <c r="A322" s="1">
        <v>45247</v>
      </c>
      <c r="B322">
        <f t="shared" si="16"/>
        <v>5</v>
      </c>
      <c r="C322" t="s">
        <v>11</v>
      </c>
      <c r="D322">
        <f t="shared" si="18"/>
        <v>120</v>
      </c>
      <c r="E322">
        <f t="shared" si="19"/>
        <v>0</v>
      </c>
      <c r="F322">
        <f t="shared" si="17"/>
        <v>120</v>
      </c>
    </row>
    <row r="323" spans="1:6" x14ac:dyDescent="0.25">
      <c r="A323" s="1">
        <v>45248</v>
      </c>
      <c r="B323">
        <f t="shared" ref="B323:B386" si="20">WEEKDAY(A323,2)</f>
        <v>6</v>
      </c>
      <c r="C323" t="s">
        <v>11</v>
      </c>
      <c r="D323">
        <f t="shared" si="18"/>
        <v>0</v>
      </c>
      <c r="E323">
        <f t="shared" si="19"/>
        <v>0</v>
      </c>
      <c r="F323">
        <f t="shared" ref="F323:F386" si="21">D323-E323</f>
        <v>0</v>
      </c>
    </row>
    <row r="324" spans="1:6" x14ac:dyDescent="0.25">
      <c r="A324" s="1">
        <v>45249</v>
      </c>
      <c r="B324">
        <f t="shared" si="20"/>
        <v>7</v>
      </c>
      <c r="C324" t="s">
        <v>11</v>
      </c>
      <c r="D324">
        <f t="shared" ref="D324:D387" si="22">IF(B324&lt;6,$Q$1*VLOOKUP(C324,$S$1:$T$5,2,FALSE)*$Q$3,0)</f>
        <v>0</v>
      </c>
      <c r="E324">
        <f t="shared" ref="E324:E387" si="23">IF(B324=7,$Q$4*$Q$1,0)</f>
        <v>150</v>
      </c>
      <c r="F324">
        <f t="shared" si="21"/>
        <v>-150</v>
      </c>
    </row>
    <row r="325" spans="1:6" x14ac:dyDescent="0.25">
      <c r="A325" s="1">
        <v>45250</v>
      </c>
      <c r="B325">
        <f t="shared" si="20"/>
        <v>1</v>
      </c>
      <c r="C325" t="s">
        <v>11</v>
      </c>
      <c r="D325">
        <f t="shared" si="22"/>
        <v>120</v>
      </c>
      <c r="E325">
        <f t="shared" si="23"/>
        <v>0</v>
      </c>
      <c r="F325">
        <f t="shared" si="21"/>
        <v>120</v>
      </c>
    </row>
    <row r="326" spans="1:6" x14ac:dyDescent="0.25">
      <c r="A326" s="1">
        <v>45251</v>
      </c>
      <c r="B326">
        <f t="shared" si="20"/>
        <v>2</v>
      </c>
      <c r="C326" t="s">
        <v>11</v>
      </c>
      <c r="D326">
        <f t="shared" si="22"/>
        <v>120</v>
      </c>
      <c r="E326">
        <f t="shared" si="23"/>
        <v>0</v>
      </c>
      <c r="F326">
        <f t="shared" si="21"/>
        <v>120</v>
      </c>
    </row>
    <row r="327" spans="1:6" x14ac:dyDescent="0.25">
      <c r="A327" s="1">
        <v>45252</v>
      </c>
      <c r="B327">
        <f t="shared" si="20"/>
        <v>3</v>
      </c>
      <c r="C327" t="s">
        <v>11</v>
      </c>
      <c r="D327">
        <f t="shared" si="22"/>
        <v>120</v>
      </c>
      <c r="E327">
        <f t="shared" si="23"/>
        <v>0</v>
      </c>
      <c r="F327">
        <f t="shared" si="21"/>
        <v>120</v>
      </c>
    </row>
    <row r="328" spans="1:6" x14ac:dyDescent="0.25">
      <c r="A328" s="1">
        <v>45253</v>
      </c>
      <c r="B328">
        <f t="shared" si="20"/>
        <v>4</v>
      </c>
      <c r="C328" t="s">
        <v>11</v>
      </c>
      <c r="D328">
        <f t="shared" si="22"/>
        <v>120</v>
      </c>
      <c r="E328">
        <f t="shared" si="23"/>
        <v>0</v>
      </c>
      <c r="F328">
        <f t="shared" si="21"/>
        <v>120</v>
      </c>
    </row>
    <row r="329" spans="1:6" x14ac:dyDescent="0.25">
      <c r="A329" s="1">
        <v>45254</v>
      </c>
      <c r="B329">
        <f t="shared" si="20"/>
        <v>5</v>
      </c>
      <c r="C329" t="s">
        <v>11</v>
      </c>
      <c r="D329">
        <f t="shared" si="22"/>
        <v>120</v>
      </c>
      <c r="E329">
        <f t="shared" si="23"/>
        <v>0</v>
      </c>
      <c r="F329">
        <f t="shared" si="21"/>
        <v>120</v>
      </c>
    </row>
    <row r="330" spans="1:6" x14ac:dyDescent="0.25">
      <c r="A330" s="1">
        <v>45255</v>
      </c>
      <c r="B330">
        <f t="shared" si="20"/>
        <v>6</v>
      </c>
      <c r="C330" t="s">
        <v>11</v>
      </c>
      <c r="D330">
        <f t="shared" si="22"/>
        <v>0</v>
      </c>
      <c r="E330">
        <f t="shared" si="23"/>
        <v>0</v>
      </c>
      <c r="F330">
        <f t="shared" si="21"/>
        <v>0</v>
      </c>
    </row>
    <row r="331" spans="1:6" x14ac:dyDescent="0.25">
      <c r="A331" s="1">
        <v>45256</v>
      </c>
      <c r="B331">
        <f t="shared" si="20"/>
        <v>7</v>
      </c>
      <c r="C331" t="s">
        <v>11</v>
      </c>
      <c r="D331">
        <f t="shared" si="22"/>
        <v>0</v>
      </c>
      <c r="E331">
        <f t="shared" si="23"/>
        <v>150</v>
      </c>
      <c r="F331">
        <f t="shared" si="21"/>
        <v>-150</v>
      </c>
    </row>
    <row r="332" spans="1:6" x14ac:dyDescent="0.25">
      <c r="A332" s="1">
        <v>45257</v>
      </c>
      <c r="B332">
        <f t="shared" si="20"/>
        <v>1</v>
      </c>
      <c r="C332" t="s">
        <v>11</v>
      </c>
      <c r="D332">
        <f t="shared" si="22"/>
        <v>120</v>
      </c>
      <c r="E332">
        <f t="shared" si="23"/>
        <v>0</v>
      </c>
      <c r="F332">
        <f t="shared" si="21"/>
        <v>120</v>
      </c>
    </row>
    <row r="333" spans="1:6" x14ac:dyDescent="0.25">
      <c r="A333" s="1">
        <v>45258</v>
      </c>
      <c r="B333">
        <f t="shared" si="20"/>
        <v>2</v>
      </c>
      <c r="C333" t="s">
        <v>11</v>
      </c>
      <c r="D333">
        <f t="shared" si="22"/>
        <v>120</v>
      </c>
      <c r="E333">
        <f t="shared" si="23"/>
        <v>0</v>
      </c>
      <c r="F333">
        <f t="shared" si="21"/>
        <v>120</v>
      </c>
    </row>
    <row r="334" spans="1:6" x14ac:dyDescent="0.25">
      <c r="A334" s="1">
        <v>45259</v>
      </c>
      <c r="B334">
        <f t="shared" si="20"/>
        <v>3</v>
      </c>
      <c r="C334" t="s">
        <v>11</v>
      </c>
      <c r="D334">
        <f t="shared" si="22"/>
        <v>120</v>
      </c>
      <c r="E334">
        <f t="shared" si="23"/>
        <v>0</v>
      </c>
      <c r="F334">
        <f t="shared" si="21"/>
        <v>120</v>
      </c>
    </row>
    <row r="335" spans="1:6" x14ac:dyDescent="0.25">
      <c r="A335" s="1">
        <v>45260</v>
      </c>
      <c r="B335">
        <f t="shared" si="20"/>
        <v>4</v>
      </c>
      <c r="C335" t="s">
        <v>11</v>
      </c>
      <c r="D335">
        <f t="shared" si="22"/>
        <v>120</v>
      </c>
      <c r="E335">
        <f t="shared" si="23"/>
        <v>0</v>
      </c>
      <c r="F335">
        <f t="shared" si="21"/>
        <v>120</v>
      </c>
    </row>
    <row r="336" spans="1:6" x14ac:dyDescent="0.25">
      <c r="A336" s="1">
        <v>45261</v>
      </c>
      <c r="B336">
        <f t="shared" si="20"/>
        <v>5</v>
      </c>
      <c r="C336" t="s">
        <v>11</v>
      </c>
      <c r="D336">
        <f t="shared" si="22"/>
        <v>120</v>
      </c>
      <c r="E336">
        <f t="shared" si="23"/>
        <v>0</v>
      </c>
      <c r="F336">
        <f t="shared" si="21"/>
        <v>120</v>
      </c>
    </row>
    <row r="337" spans="1:6" x14ac:dyDescent="0.25">
      <c r="A337" s="1">
        <v>45262</v>
      </c>
      <c r="B337">
        <f t="shared" si="20"/>
        <v>6</v>
      </c>
      <c r="C337" t="s">
        <v>11</v>
      </c>
      <c r="D337">
        <f t="shared" si="22"/>
        <v>0</v>
      </c>
      <c r="E337">
        <f t="shared" si="23"/>
        <v>0</v>
      </c>
      <c r="F337">
        <f t="shared" si="21"/>
        <v>0</v>
      </c>
    </row>
    <row r="338" spans="1:6" x14ac:dyDescent="0.25">
      <c r="A338" s="1">
        <v>45263</v>
      </c>
      <c r="B338">
        <f t="shared" si="20"/>
        <v>7</v>
      </c>
      <c r="C338" t="s">
        <v>11</v>
      </c>
      <c r="D338">
        <f t="shared" si="22"/>
        <v>0</v>
      </c>
      <c r="E338">
        <f t="shared" si="23"/>
        <v>150</v>
      </c>
      <c r="F338">
        <f t="shared" si="21"/>
        <v>-150</v>
      </c>
    </row>
    <row r="339" spans="1:6" x14ac:dyDescent="0.25">
      <c r="A339" s="1">
        <v>45264</v>
      </c>
      <c r="B339">
        <f t="shared" si="20"/>
        <v>1</v>
      </c>
      <c r="C339" t="s">
        <v>11</v>
      </c>
      <c r="D339">
        <f t="shared" si="22"/>
        <v>120</v>
      </c>
      <c r="E339">
        <f t="shared" si="23"/>
        <v>0</v>
      </c>
      <c r="F339">
        <f t="shared" si="21"/>
        <v>120</v>
      </c>
    </row>
    <row r="340" spans="1:6" x14ac:dyDescent="0.25">
      <c r="A340" s="1">
        <v>45265</v>
      </c>
      <c r="B340">
        <f t="shared" si="20"/>
        <v>2</v>
      </c>
      <c r="C340" t="s">
        <v>11</v>
      </c>
      <c r="D340">
        <f t="shared" si="22"/>
        <v>120</v>
      </c>
      <c r="E340">
        <f t="shared" si="23"/>
        <v>0</v>
      </c>
      <c r="F340">
        <f t="shared" si="21"/>
        <v>120</v>
      </c>
    </row>
    <row r="341" spans="1:6" x14ac:dyDescent="0.25">
      <c r="A341" s="1">
        <v>45266</v>
      </c>
      <c r="B341">
        <f t="shared" si="20"/>
        <v>3</v>
      </c>
      <c r="C341" t="s">
        <v>11</v>
      </c>
      <c r="D341">
        <f t="shared" si="22"/>
        <v>120</v>
      </c>
      <c r="E341">
        <f t="shared" si="23"/>
        <v>0</v>
      </c>
      <c r="F341">
        <f t="shared" si="21"/>
        <v>120</v>
      </c>
    </row>
    <row r="342" spans="1:6" x14ac:dyDescent="0.25">
      <c r="A342" s="1">
        <v>45267</v>
      </c>
      <c r="B342">
        <f t="shared" si="20"/>
        <v>4</v>
      </c>
      <c r="C342" t="s">
        <v>11</v>
      </c>
      <c r="D342">
        <f t="shared" si="22"/>
        <v>120</v>
      </c>
      <c r="E342">
        <f t="shared" si="23"/>
        <v>0</v>
      </c>
      <c r="F342">
        <f t="shared" si="21"/>
        <v>120</v>
      </c>
    </row>
    <row r="343" spans="1:6" x14ac:dyDescent="0.25">
      <c r="A343" s="1">
        <v>45268</v>
      </c>
      <c r="B343">
        <f t="shared" si="20"/>
        <v>5</v>
      </c>
      <c r="C343" t="s">
        <v>11</v>
      </c>
      <c r="D343">
        <f t="shared" si="22"/>
        <v>120</v>
      </c>
      <c r="E343">
        <f t="shared" si="23"/>
        <v>0</v>
      </c>
      <c r="F343">
        <f t="shared" si="21"/>
        <v>120</v>
      </c>
    </row>
    <row r="344" spans="1:6" x14ac:dyDescent="0.25">
      <c r="A344" s="1">
        <v>45269</v>
      </c>
      <c r="B344">
        <f t="shared" si="20"/>
        <v>6</v>
      </c>
      <c r="C344" t="s">
        <v>11</v>
      </c>
      <c r="D344">
        <f t="shared" si="22"/>
        <v>0</v>
      </c>
      <c r="E344">
        <f t="shared" si="23"/>
        <v>0</v>
      </c>
      <c r="F344">
        <f t="shared" si="21"/>
        <v>0</v>
      </c>
    </row>
    <row r="345" spans="1:6" x14ac:dyDescent="0.25">
      <c r="A345" s="1">
        <v>45270</v>
      </c>
      <c r="B345">
        <f t="shared" si="20"/>
        <v>7</v>
      </c>
      <c r="C345" t="s">
        <v>11</v>
      </c>
      <c r="D345">
        <f t="shared" si="22"/>
        <v>0</v>
      </c>
      <c r="E345">
        <f t="shared" si="23"/>
        <v>150</v>
      </c>
      <c r="F345">
        <f t="shared" si="21"/>
        <v>-150</v>
      </c>
    </row>
    <row r="346" spans="1:6" x14ac:dyDescent="0.25">
      <c r="A346" s="1">
        <v>45271</v>
      </c>
      <c r="B346">
        <f t="shared" si="20"/>
        <v>1</v>
      </c>
      <c r="C346" t="s">
        <v>11</v>
      </c>
      <c r="D346">
        <f t="shared" si="22"/>
        <v>120</v>
      </c>
      <c r="E346">
        <f t="shared" si="23"/>
        <v>0</v>
      </c>
      <c r="F346">
        <f t="shared" si="21"/>
        <v>120</v>
      </c>
    </row>
    <row r="347" spans="1:6" x14ac:dyDescent="0.25">
      <c r="A347" s="1">
        <v>45272</v>
      </c>
      <c r="B347">
        <f t="shared" si="20"/>
        <v>2</v>
      </c>
      <c r="C347" t="s">
        <v>11</v>
      </c>
      <c r="D347">
        <f t="shared" si="22"/>
        <v>120</v>
      </c>
      <c r="E347">
        <f t="shared" si="23"/>
        <v>0</v>
      </c>
      <c r="F347">
        <f t="shared" si="21"/>
        <v>120</v>
      </c>
    </row>
    <row r="348" spans="1:6" x14ac:dyDescent="0.25">
      <c r="A348" s="1">
        <v>45273</v>
      </c>
      <c r="B348">
        <f t="shared" si="20"/>
        <v>3</v>
      </c>
      <c r="C348" t="s">
        <v>11</v>
      </c>
      <c r="D348">
        <f t="shared" si="22"/>
        <v>120</v>
      </c>
      <c r="E348">
        <f t="shared" si="23"/>
        <v>0</v>
      </c>
      <c r="F348">
        <f t="shared" si="21"/>
        <v>120</v>
      </c>
    </row>
    <row r="349" spans="1:6" x14ac:dyDescent="0.25">
      <c r="A349" s="1">
        <v>45274</v>
      </c>
      <c r="B349">
        <f t="shared" si="20"/>
        <v>4</v>
      </c>
      <c r="C349" t="s">
        <v>11</v>
      </c>
      <c r="D349">
        <f t="shared" si="22"/>
        <v>120</v>
      </c>
      <c r="E349">
        <f t="shared" si="23"/>
        <v>0</v>
      </c>
      <c r="F349">
        <f t="shared" si="21"/>
        <v>120</v>
      </c>
    </row>
    <row r="350" spans="1:6" x14ac:dyDescent="0.25">
      <c r="A350" s="1">
        <v>45275</v>
      </c>
      <c r="B350">
        <f t="shared" si="20"/>
        <v>5</v>
      </c>
      <c r="C350" t="s">
        <v>11</v>
      </c>
      <c r="D350">
        <f t="shared" si="22"/>
        <v>120</v>
      </c>
      <c r="E350">
        <f t="shared" si="23"/>
        <v>0</v>
      </c>
      <c r="F350">
        <f t="shared" si="21"/>
        <v>120</v>
      </c>
    </row>
    <row r="351" spans="1:6" x14ac:dyDescent="0.25">
      <c r="A351" s="1">
        <v>45276</v>
      </c>
      <c r="B351">
        <f t="shared" si="20"/>
        <v>6</v>
      </c>
      <c r="C351" t="s">
        <v>11</v>
      </c>
      <c r="D351">
        <f t="shared" si="22"/>
        <v>0</v>
      </c>
      <c r="E351">
        <f t="shared" si="23"/>
        <v>0</v>
      </c>
      <c r="F351">
        <f t="shared" si="21"/>
        <v>0</v>
      </c>
    </row>
    <row r="352" spans="1:6" x14ac:dyDescent="0.25">
      <c r="A352" s="1">
        <v>45277</v>
      </c>
      <c r="B352">
        <f t="shared" si="20"/>
        <v>7</v>
      </c>
      <c r="C352" t="s">
        <v>11</v>
      </c>
      <c r="D352">
        <f t="shared" si="22"/>
        <v>0</v>
      </c>
      <c r="E352">
        <f t="shared" si="23"/>
        <v>150</v>
      </c>
      <c r="F352">
        <f t="shared" si="21"/>
        <v>-150</v>
      </c>
    </row>
    <row r="353" spans="1:6" x14ac:dyDescent="0.25">
      <c r="A353" s="1">
        <v>45278</v>
      </c>
      <c r="B353">
        <f t="shared" si="20"/>
        <v>1</v>
      </c>
      <c r="C353" t="s">
        <v>11</v>
      </c>
      <c r="D353">
        <f t="shared" si="22"/>
        <v>120</v>
      </c>
      <c r="E353">
        <f t="shared" si="23"/>
        <v>0</v>
      </c>
      <c r="F353">
        <f t="shared" si="21"/>
        <v>120</v>
      </c>
    </row>
    <row r="354" spans="1:6" x14ac:dyDescent="0.25">
      <c r="A354" s="1">
        <v>45279</v>
      </c>
      <c r="B354">
        <f t="shared" si="20"/>
        <v>2</v>
      </c>
      <c r="C354" t="s">
        <v>11</v>
      </c>
      <c r="D354">
        <f t="shared" si="22"/>
        <v>120</v>
      </c>
      <c r="E354">
        <f t="shared" si="23"/>
        <v>0</v>
      </c>
      <c r="F354">
        <f t="shared" si="21"/>
        <v>120</v>
      </c>
    </row>
    <row r="355" spans="1:6" x14ac:dyDescent="0.25">
      <c r="A355" s="1">
        <v>45280</v>
      </c>
      <c r="B355">
        <f t="shared" si="20"/>
        <v>3</v>
      </c>
      <c r="C355" t="s">
        <v>11</v>
      </c>
      <c r="D355">
        <f t="shared" si="22"/>
        <v>120</v>
      </c>
      <c r="E355">
        <f t="shared" si="23"/>
        <v>0</v>
      </c>
      <c r="F355">
        <f t="shared" si="21"/>
        <v>120</v>
      </c>
    </row>
    <row r="356" spans="1:6" x14ac:dyDescent="0.25">
      <c r="A356" s="1">
        <v>45281</v>
      </c>
      <c r="B356">
        <f t="shared" si="20"/>
        <v>4</v>
      </c>
      <c r="C356" t="s">
        <v>8</v>
      </c>
      <c r="D356">
        <f t="shared" si="22"/>
        <v>60</v>
      </c>
      <c r="E356">
        <f t="shared" si="23"/>
        <v>0</v>
      </c>
      <c r="F356">
        <f t="shared" si="21"/>
        <v>60</v>
      </c>
    </row>
    <row r="357" spans="1:6" x14ac:dyDescent="0.25">
      <c r="A357" s="1">
        <v>45282</v>
      </c>
      <c r="B357">
        <f t="shared" si="20"/>
        <v>5</v>
      </c>
      <c r="C357" t="s">
        <v>8</v>
      </c>
      <c r="D357">
        <f t="shared" si="22"/>
        <v>60</v>
      </c>
      <c r="E357">
        <f t="shared" si="23"/>
        <v>0</v>
      </c>
      <c r="F357">
        <f t="shared" si="21"/>
        <v>60</v>
      </c>
    </row>
    <row r="358" spans="1:6" x14ac:dyDescent="0.25">
      <c r="A358" s="1">
        <v>45283</v>
      </c>
      <c r="B358">
        <f t="shared" si="20"/>
        <v>6</v>
      </c>
      <c r="C358" t="s">
        <v>8</v>
      </c>
      <c r="D358">
        <f t="shared" si="22"/>
        <v>0</v>
      </c>
      <c r="E358">
        <f t="shared" si="23"/>
        <v>0</v>
      </c>
      <c r="F358">
        <f t="shared" si="21"/>
        <v>0</v>
      </c>
    </row>
    <row r="359" spans="1:6" x14ac:dyDescent="0.25">
      <c r="A359" s="1">
        <v>45284</v>
      </c>
      <c r="B359">
        <f t="shared" si="20"/>
        <v>7</v>
      </c>
      <c r="C359" t="s">
        <v>8</v>
      </c>
      <c r="D359">
        <f t="shared" si="22"/>
        <v>0</v>
      </c>
      <c r="E359">
        <f t="shared" si="23"/>
        <v>150</v>
      </c>
      <c r="F359">
        <f t="shared" si="21"/>
        <v>-150</v>
      </c>
    </row>
    <row r="360" spans="1:6" x14ac:dyDescent="0.25">
      <c r="A360" s="1">
        <v>45285</v>
      </c>
      <c r="B360">
        <f t="shared" si="20"/>
        <v>1</v>
      </c>
      <c r="C360" t="s">
        <v>8</v>
      </c>
      <c r="D360">
        <f t="shared" si="22"/>
        <v>60</v>
      </c>
      <c r="E360">
        <f t="shared" si="23"/>
        <v>0</v>
      </c>
      <c r="F360">
        <f t="shared" si="21"/>
        <v>60</v>
      </c>
    </row>
    <row r="361" spans="1:6" x14ac:dyDescent="0.25">
      <c r="A361" s="1">
        <v>45286</v>
      </c>
      <c r="B361">
        <f t="shared" si="20"/>
        <v>2</v>
      </c>
      <c r="C361" t="s">
        <v>8</v>
      </c>
      <c r="D361">
        <f t="shared" si="22"/>
        <v>60</v>
      </c>
      <c r="E361">
        <f t="shared" si="23"/>
        <v>0</v>
      </c>
      <c r="F361">
        <f t="shared" si="21"/>
        <v>60</v>
      </c>
    </row>
    <row r="362" spans="1:6" x14ac:dyDescent="0.25">
      <c r="A362" s="1">
        <v>45287</v>
      </c>
      <c r="B362">
        <f t="shared" si="20"/>
        <v>3</v>
      </c>
      <c r="C362" t="s">
        <v>8</v>
      </c>
      <c r="D362">
        <f t="shared" si="22"/>
        <v>60</v>
      </c>
      <c r="E362">
        <f t="shared" si="23"/>
        <v>0</v>
      </c>
      <c r="F362">
        <f t="shared" si="21"/>
        <v>60</v>
      </c>
    </row>
    <row r="363" spans="1:6" x14ac:dyDescent="0.25">
      <c r="A363" s="1">
        <v>45288</v>
      </c>
      <c r="B363">
        <f t="shared" si="20"/>
        <v>4</v>
      </c>
      <c r="C363" t="s">
        <v>8</v>
      </c>
      <c r="D363">
        <f t="shared" si="22"/>
        <v>60</v>
      </c>
      <c r="E363">
        <f t="shared" si="23"/>
        <v>0</v>
      </c>
      <c r="F363">
        <f t="shared" si="21"/>
        <v>60</v>
      </c>
    </row>
    <row r="364" spans="1:6" x14ac:dyDescent="0.25">
      <c r="A364" s="1">
        <v>45289</v>
      </c>
      <c r="B364">
        <f t="shared" si="20"/>
        <v>5</v>
      </c>
      <c r="C364" t="s">
        <v>8</v>
      </c>
      <c r="D364">
        <f t="shared" si="22"/>
        <v>60</v>
      </c>
      <c r="E364">
        <f t="shared" si="23"/>
        <v>0</v>
      </c>
      <c r="F364">
        <f t="shared" si="21"/>
        <v>60</v>
      </c>
    </row>
    <row r="365" spans="1:6" x14ac:dyDescent="0.25">
      <c r="A365" s="1">
        <v>45290</v>
      </c>
      <c r="B365">
        <f t="shared" si="20"/>
        <v>6</v>
      </c>
      <c r="C365" t="s">
        <v>8</v>
      </c>
      <c r="D365">
        <f t="shared" si="22"/>
        <v>0</v>
      </c>
      <c r="E365">
        <f t="shared" si="23"/>
        <v>0</v>
      </c>
      <c r="F365">
        <f t="shared" si="21"/>
        <v>0</v>
      </c>
    </row>
    <row r="366" spans="1:6" x14ac:dyDescent="0.25">
      <c r="A366" s="1">
        <v>45291</v>
      </c>
      <c r="B366">
        <f t="shared" si="20"/>
        <v>7</v>
      </c>
      <c r="C366" t="s">
        <v>8</v>
      </c>
      <c r="D366">
        <f t="shared" si="22"/>
        <v>0</v>
      </c>
      <c r="E366">
        <f t="shared" si="23"/>
        <v>150</v>
      </c>
      <c r="F366">
        <f t="shared" si="21"/>
        <v>-150</v>
      </c>
    </row>
    <row r="367" spans="1:6" x14ac:dyDescent="0.25">
      <c r="A367" s="1">
        <v>45292</v>
      </c>
      <c r="B367">
        <f t="shared" si="20"/>
        <v>1</v>
      </c>
      <c r="C367" t="s">
        <v>8</v>
      </c>
      <c r="D367">
        <f t="shared" si="22"/>
        <v>60</v>
      </c>
      <c r="E367">
        <f t="shared" si="23"/>
        <v>0</v>
      </c>
      <c r="F367">
        <f t="shared" si="21"/>
        <v>60</v>
      </c>
    </row>
    <row r="368" spans="1:6" x14ac:dyDescent="0.25">
      <c r="A368" s="1">
        <v>45293</v>
      </c>
      <c r="B368">
        <f t="shared" si="20"/>
        <v>2</v>
      </c>
      <c r="C368" t="s">
        <v>8</v>
      </c>
      <c r="D368">
        <f t="shared" si="22"/>
        <v>60</v>
      </c>
      <c r="E368">
        <f t="shared" si="23"/>
        <v>0</v>
      </c>
      <c r="F368">
        <f t="shared" si="21"/>
        <v>60</v>
      </c>
    </row>
    <row r="369" spans="1:6" x14ac:dyDescent="0.25">
      <c r="A369" s="1">
        <v>45294</v>
      </c>
      <c r="B369">
        <f t="shared" si="20"/>
        <v>3</v>
      </c>
      <c r="C369" t="s">
        <v>8</v>
      </c>
      <c r="D369">
        <f t="shared" si="22"/>
        <v>60</v>
      </c>
      <c r="E369">
        <f t="shared" si="23"/>
        <v>0</v>
      </c>
      <c r="F369">
        <f t="shared" si="21"/>
        <v>60</v>
      </c>
    </row>
    <row r="370" spans="1:6" x14ac:dyDescent="0.25">
      <c r="A370" s="1">
        <v>45295</v>
      </c>
      <c r="B370">
        <f t="shared" si="20"/>
        <v>4</v>
      </c>
      <c r="C370" t="s">
        <v>8</v>
      </c>
      <c r="D370">
        <f t="shared" si="22"/>
        <v>60</v>
      </c>
      <c r="E370">
        <f t="shared" si="23"/>
        <v>0</v>
      </c>
      <c r="F370">
        <f t="shared" si="21"/>
        <v>60</v>
      </c>
    </row>
    <row r="371" spans="1:6" x14ac:dyDescent="0.25">
      <c r="A371" s="1">
        <v>45296</v>
      </c>
      <c r="B371">
        <f t="shared" si="20"/>
        <v>5</v>
      </c>
      <c r="C371" t="s">
        <v>8</v>
      </c>
      <c r="D371">
        <f t="shared" si="22"/>
        <v>60</v>
      </c>
      <c r="E371">
        <f t="shared" si="23"/>
        <v>0</v>
      </c>
      <c r="F371">
        <f t="shared" si="21"/>
        <v>60</v>
      </c>
    </row>
    <row r="372" spans="1:6" x14ac:dyDescent="0.25">
      <c r="A372" s="1">
        <v>45297</v>
      </c>
      <c r="B372">
        <f t="shared" si="20"/>
        <v>6</v>
      </c>
      <c r="C372" t="s">
        <v>8</v>
      </c>
      <c r="D372">
        <f t="shared" si="22"/>
        <v>0</v>
      </c>
      <c r="E372">
        <f t="shared" si="23"/>
        <v>0</v>
      </c>
      <c r="F372">
        <f t="shared" si="21"/>
        <v>0</v>
      </c>
    </row>
    <row r="373" spans="1:6" x14ac:dyDescent="0.25">
      <c r="A373" s="1">
        <v>45298</v>
      </c>
      <c r="B373">
        <f t="shared" si="20"/>
        <v>7</v>
      </c>
      <c r="C373" t="s">
        <v>8</v>
      </c>
      <c r="D373">
        <f t="shared" si="22"/>
        <v>0</v>
      </c>
      <c r="E373">
        <f t="shared" si="23"/>
        <v>150</v>
      </c>
      <c r="F373">
        <f t="shared" si="21"/>
        <v>-150</v>
      </c>
    </row>
    <row r="374" spans="1:6" x14ac:dyDescent="0.25">
      <c r="A374" s="1">
        <v>45299</v>
      </c>
      <c r="B374">
        <f t="shared" si="20"/>
        <v>1</v>
      </c>
      <c r="C374" t="s">
        <v>8</v>
      </c>
      <c r="D374">
        <f t="shared" si="22"/>
        <v>60</v>
      </c>
      <c r="E374">
        <f t="shared" si="23"/>
        <v>0</v>
      </c>
      <c r="F374">
        <f t="shared" si="21"/>
        <v>60</v>
      </c>
    </row>
    <row r="375" spans="1:6" x14ac:dyDescent="0.25">
      <c r="A375" s="1">
        <v>45300</v>
      </c>
      <c r="B375">
        <f t="shared" si="20"/>
        <v>2</v>
      </c>
      <c r="C375" t="s">
        <v>8</v>
      </c>
      <c r="D375">
        <f t="shared" si="22"/>
        <v>60</v>
      </c>
      <c r="E375">
        <f t="shared" si="23"/>
        <v>0</v>
      </c>
      <c r="F375">
        <f t="shared" si="21"/>
        <v>60</v>
      </c>
    </row>
    <row r="376" spans="1:6" x14ac:dyDescent="0.25">
      <c r="A376" s="1">
        <v>45301</v>
      </c>
      <c r="B376">
        <f t="shared" si="20"/>
        <v>3</v>
      </c>
      <c r="C376" t="s">
        <v>8</v>
      </c>
      <c r="D376">
        <f t="shared" si="22"/>
        <v>60</v>
      </c>
      <c r="E376">
        <f t="shared" si="23"/>
        <v>0</v>
      </c>
      <c r="F376">
        <f t="shared" si="21"/>
        <v>60</v>
      </c>
    </row>
    <row r="377" spans="1:6" x14ac:dyDescent="0.25">
      <c r="A377" s="1">
        <v>45302</v>
      </c>
      <c r="B377">
        <f t="shared" si="20"/>
        <v>4</v>
      </c>
      <c r="C377" t="s">
        <v>8</v>
      </c>
      <c r="D377">
        <f t="shared" si="22"/>
        <v>60</v>
      </c>
      <c r="E377">
        <f t="shared" si="23"/>
        <v>0</v>
      </c>
      <c r="F377">
        <f t="shared" si="21"/>
        <v>60</v>
      </c>
    </row>
    <row r="378" spans="1:6" x14ac:dyDescent="0.25">
      <c r="A378" s="1">
        <v>45303</v>
      </c>
      <c r="B378">
        <f t="shared" si="20"/>
        <v>5</v>
      </c>
      <c r="C378" t="s">
        <v>8</v>
      </c>
      <c r="D378">
        <f t="shared" si="22"/>
        <v>60</v>
      </c>
      <c r="E378">
        <f t="shared" si="23"/>
        <v>0</v>
      </c>
      <c r="F378">
        <f t="shared" si="21"/>
        <v>60</v>
      </c>
    </row>
    <row r="379" spans="1:6" x14ac:dyDescent="0.25">
      <c r="A379" s="1">
        <v>45304</v>
      </c>
      <c r="B379">
        <f t="shared" si="20"/>
        <v>6</v>
      </c>
      <c r="C379" t="s">
        <v>8</v>
      </c>
      <c r="D379">
        <f t="shared" si="22"/>
        <v>0</v>
      </c>
      <c r="E379">
        <f t="shared" si="23"/>
        <v>0</v>
      </c>
      <c r="F379">
        <f t="shared" si="21"/>
        <v>0</v>
      </c>
    </row>
    <row r="380" spans="1:6" x14ac:dyDescent="0.25">
      <c r="A380" s="1">
        <v>45305</v>
      </c>
      <c r="B380">
        <f t="shared" si="20"/>
        <v>7</v>
      </c>
      <c r="C380" t="s">
        <v>8</v>
      </c>
      <c r="D380">
        <f t="shared" si="22"/>
        <v>0</v>
      </c>
      <c r="E380">
        <f t="shared" si="23"/>
        <v>150</v>
      </c>
      <c r="F380">
        <f t="shared" si="21"/>
        <v>-150</v>
      </c>
    </row>
    <row r="381" spans="1:6" x14ac:dyDescent="0.25">
      <c r="A381" s="1">
        <v>45306</v>
      </c>
      <c r="B381">
        <f t="shared" si="20"/>
        <v>1</v>
      </c>
      <c r="C381" t="s">
        <v>8</v>
      </c>
      <c r="D381">
        <f t="shared" si="22"/>
        <v>60</v>
      </c>
      <c r="E381">
        <f t="shared" si="23"/>
        <v>0</v>
      </c>
      <c r="F381">
        <f t="shared" si="21"/>
        <v>60</v>
      </c>
    </row>
    <row r="382" spans="1:6" x14ac:dyDescent="0.25">
      <c r="A382" s="1">
        <v>45307</v>
      </c>
      <c r="B382">
        <f t="shared" si="20"/>
        <v>2</v>
      </c>
      <c r="C382" t="s">
        <v>8</v>
      </c>
      <c r="D382">
        <f t="shared" si="22"/>
        <v>60</v>
      </c>
      <c r="E382">
        <f t="shared" si="23"/>
        <v>0</v>
      </c>
      <c r="F382">
        <f t="shared" si="21"/>
        <v>60</v>
      </c>
    </row>
    <row r="383" spans="1:6" x14ac:dyDescent="0.25">
      <c r="A383" s="1">
        <v>45308</v>
      </c>
      <c r="B383">
        <f t="shared" si="20"/>
        <v>3</v>
      </c>
      <c r="C383" t="s">
        <v>8</v>
      </c>
      <c r="D383">
        <f t="shared" si="22"/>
        <v>60</v>
      </c>
      <c r="E383">
        <f t="shared" si="23"/>
        <v>0</v>
      </c>
      <c r="F383">
        <f t="shared" si="21"/>
        <v>60</v>
      </c>
    </row>
    <row r="384" spans="1:6" x14ac:dyDescent="0.25">
      <c r="A384" s="1">
        <v>45309</v>
      </c>
      <c r="B384">
        <f t="shared" si="20"/>
        <v>4</v>
      </c>
      <c r="C384" t="s">
        <v>8</v>
      </c>
      <c r="D384">
        <f t="shared" si="22"/>
        <v>60</v>
      </c>
      <c r="E384">
        <f t="shared" si="23"/>
        <v>0</v>
      </c>
      <c r="F384">
        <f t="shared" si="21"/>
        <v>60</v>
      </c>
    </row>
    <row r="385" spans="1:6" x14ac:dyDescent="0.25">
      <c r="A385" s="1">
        <v>45310</v>
      </c>
      <c r="B385">
        <f t="shared" si="20"/>
        <v>5</v>
      </c>
      <c r="C385" t="s">
        <v>8</v>
      </c>
      <c r="D385">
        <f t="shared" si="22"/>
        <v>60</v>
      </c>
      <c r="E385">
        <f t="shared" si="23"/>
        <v>0</v>
      </c>
      <c r="F385">
        <f t="shared" si="21"/>
        <v>60</v>
      </c>
    </row>
    <row r="386" spans="1:6" x14ac:dyDescent="0.25">
      <c r="A386" s="1">
        <v>45311</v>
      </c>
      <c r="B386">
        <f t="shared" si="20"/>
        <v>6</v>
      </c>
      <c r="C386" t="s">
        <v>8</v>
      </c>
      <c r="D386">
        <f t="shared" si="22"/>
        <v>0</v>
      </c>
      <c r="E386">
        <f t="shared" si="23"/>
        <v>0</v>
      </c>
      <c r="F386">
        <f t="shared" si="21"/>
        <v>0</v>
      </c>
    </row>
    <row r="387" spans="1:6" x14ac:dyDescent="0.25">
      <c r="A387" s="1">
        <v>45312</v>
      </c>
      <c r="B387">
        <f t="shared" ref="B387:B450" si="24">WEEKDAY(A387,2)</f>
        <v>7</v>
      </c>
      <c r="C387" t="s">
        <v>8</v>
      </c>
      <c r="D387">
        <f t="shared" si="22"/>
        <v>0</v>
      </c>
      <c r="E387">
        <f t="shared" si="23"/>
        <v>150</v>
      </c>
      <c r="F387">
        <f t="shared" ref="F387:F450" si="25">D387-E387</f>
        <v>-150</v>
      </c>
    </row>
    <row r="388" spans="1:6" x14ac:dyDescent="0.25">
      <c r="A388" s="1">
        <v>45313</v>
      </c>
      <c r="B388">
        <f t="shared" si="24"/>
        <v>1</v>
      </c>
      <c r="C388" t="s">
        <v>8</v>
      </c>
      <c r="D388">
        <f t="shared" ref="D388:D451" si="26">IF(B388&lt;6,$Q$1*VLOOKUP(C388,$S$1:$T$5,2,FALSE)*$Q$3,0)</f>
        <v>60</v>
      </c>
      <c r="E388">
        <f t="shared" ref="E388:E451" si="27">IF(B388=7,$Q$4*$Q$1,0)</f>
        <v>0</v>
      </c>
      <c r="F388">
        <f t="shared" si="25"/>
        <v>60</v>
      </c>
    </row>
    <row r="389" spans="1:6" x14ac:dyDescent="0.25">
      <c r="A389" s="1">
        <v>45314</v>
      </c>
      <c r="B389">
        <f t="shared" si="24"/>
        <v>2</v>
      </c>
      <c r="C389" t="s">
        <v>8</v>
      </c>
      <c r="D389">
        <f t="shared" si="26"/>
        <v>60</v>
      </c>
      <c r="E389">
        <f t="shared" si="27"/>
        <v>0</v>
      </c>
      <c r="F389">
        <f t="shared" si="25"/>
        <v>60</v>
      </c>
    </row>
    <row r="390" spans="1:6" x14ac:dyDescent="0.25">
      <c r="A390" s="1">
        <v>45315</v>
      </c>
      <c r="B390">
        <f t="shared" si="24"/>
        <v>3</v>
      </c>
      <c r="C390" t="s">
        <v>8</v>
      </c>
      <c r="D390">
        <f t="shared" si="26"/>
        <v>60</v>
      </c>
      <c r="E390">
        <f t="shared" si="27"/>
        <v>0</v>
      </c>
      <c r="F390">
        <f t="shared" si="25"/>
        <v>60</v>
      </c>
    </row>
    <row r="391" spans="1:6" x14ac:dyDescent="0.25">
      <c r="A391" s="1">
        <v>45316</v>
      </c>
      <c r="B391">
        <f t="shared" si="24"/>
        <v>4</v>
      </c>
      <c r="C391" t="s">
        <v>8</v>
      </c>
      <c r="D391">
        <f t="shared" si="26"/>
        <v>60</v>
      </c>
      <c r="E391">
        <f t="shared" si="27"/>
        <v>0</v>
      </c>
      <c r="F391">
        <f t="shared" si="25"/>
        <v>60</v>
      </c>
    </row>
    <row r="392" spans="1:6" x14ac:dyDescent="0.25">
      <c r="A392" s="1">
        <v>45317</v>
      </c>
      <c r="B392">
        <f t="shared" si="24"/>
        <v>5</v>
      </c>
      <c r="C392" t="s">
        <v>8</v>
      </c>
      <c r="D392">
        <f t="shared" si="26"/>
        <v>60</v>
      </c>
      <c r="E392">
        <f t="shared" si="27"/>
        <v>0</v>
      </c>
      <c r="F392">
        <f t="shared" si="25"/>
        <v>60</v>
      </c>
    </row>
    <row r="393" spans="1:6" x14ac:dyDescent="0.25">
      <c r="A393" s="1">
        <v>45318</v>
      </c>
      <c r="B393">
        <f t="shared" si="24"/>
        <v>6</v>
      </c>
      <c r="C393" t="s">
        <v>8</v>
      </c>
      <c r="D393">
        <f t="shared" si="26"/>
        <v>0</v>
      </c>
      <c r="E393">
        <f t="shared" si="27"/>
        <v>0</v>
      </c>
      <c r="F393">
        <f t="shared" si="25"/>
        <v>0</v>
      </c>
    </row>
    <row r="394" spans="1:6" x14ac:dyDescent="0.25">
      <c r="A394" s="1">
        <v>45319</v>
      </c>
      <c r="B394">
        <f t="shared" si="24"/>
        <v>7</v>
      </c>
      <c r="C394" t="s">
        <v>8</v>
      </c>
      <c r="D394">
        <f t="shared" si="26"/>
        <v>0</v>
      </c>
      <c r="E394">
        <f t="shared" si="27"/>
        <v>150</v>
      </c>
      <c r="F394">
        <f t="shared" si="25"/>
        <v>-150</v>
      </c>
    </row>
    <row r="395" spans="1:6" x14ac:dyDescent="0.25">
      <c r="A395" s="1">
        <v>45320</v>
      </c>
      <c r="B395">
        <f t="shared" si="24"/>
        <v>1</v>
      </c>
      <c r="C395" t="s">
        <v>8</v>
      </c>
      <c r="D395">
        <f t="shared" si="26"/>
        <v>60</v>
      </c>
      <c r="E395">
        <f t="shared" si="27"/>
        <v>0</v>
      </c>
      <c r="F395">
        <f t="shared" si="25"/>
        <v>60</v>
      </c>
    </row>
    <row r="396" spans="1:6" x14ac:dyDescent="0.25">
      <c r="A396" s="1">
        <v>45321</v>
      </c>
      <c r="B396">
        <f t="shared" si="24"/>
        <v>2</v>
      </c>
      <c r="C396" t="s">
        <v>8</v>
      </c>
      <c r="D396">
        <f t="shared" si="26"/>
        <v>60</v>
      </c>
      <c r="E396">
        <f t="shared" si="27"/>
        <v>0</v>
      </c>
      <c r="F396">
        <f t="shared" si="25"/>
        <v>60</v>
      </c>
    </row>
    <row r="397" spans="1:6" x14ac:dyDescent="0.25">
      <c r="A397" s="1">
        <v>45322</v>
      </c>
      <c r="B397">
        <f t="shared" si="24"/>
        <v>3</v>
      </c>
      <c r="C397" t="s">
        <v>8</v>
      </c>
      <c r="D397">
        <f t="shared" si="26"/>
        <v>60</v>
      </c>
      <c r="E397">
        <f t="shared" si="27"/>
        <v>0</v>
      </c>
      <c r="F397">
        <f t="shared" si="25"/>
        <v>60</v>
      </c>
    </row>
    <row r="398" spans="1:6" x14ac:dyDescent="0.25">
      <c r="A398" s="1">
        <v>45323</v>
      </c>
      <c r="B398">
        <f t="shared" si="24"/>
        <v>4</v>
      </c>
      <c r="C398" t="s">
        <v>8</v>
      </c>
      <c r="D398">
        <f t="shared" si="26"/>
        <v>60</v>
      </c>
      <c r="E398">
        <f t="shared" si="27"/>
        <v>0</v>
      </c>
      <c r="F398">
        <f t="shared" si="25"/>
        <v>60</v>
      </c>
    </row>
    <row r="399" spans="1:6" x14ac:dyDescent="0.25">
      <c r="A399" s="1">
        <v>45324</v>
      </c>
      <c r="B399">
        <f t="shared" si="24"/>
        <v>5</v>
      </c>
      <c r="C399" t="s">
        <v>8</v>
      </c>
      <c r="D399">
        <f t="shared" si="26"/>
        <v>60</v>
      </c>
      <c r="E399">
        <f t="shared" si="27"/>
        <v>0</v>
      </c>
      <c r="F399">
        <f t="shared" si="25"/>
        <v>60</v>
      </c>
    </row>
    <row r="400" spans="1:6" x14ac:dyDescent="0.25">
      <c r="A400" s="1">
        <v>45325</v>
      </c>
      <c r="B400">
        <f t="shared" si="24"/>
        <v>6</v>
      </c>
      <c r="C400" t="s">
        <v>8</v>
      </c>
      <c r="D400">
        <f t="shared" si="26"/>
        <v>0</v>
      </c>
      <c r="E400">
        <f t="shared" si="27"/>
        <v>0</v>
      </c>
      <c r="F400">
        <f t="shared" si="25"/>
        <v>0</v>
      </c>
    </row>
    <row r="401" spans="1:6" x14ac:dyDescent="0.25">
      <c r="A401" s="1">
        <v>45326</v>
      </c>
      <c r="B401">
        <f t="shared" si="24"/>
        <v>7</v>
      </c>
      <c r="C401" t="s">
        <v>8</v>
      </c>
      <c r="D401">
        <f t="shared" si="26"/>
        <v>0</v>
      </c>
      <c r="E401">
        <f t="shared" si="27"/>
        <v>150</v>
      </c>
      <c r="F401">
        <f t="shared" si="25"/>
        <v>-150</v>
      </c>
    </row>
    <row r="402" spans="1:6" x14ac:dyDescent="0.25">
      <c r="A402" s="1">
        <v>45327</v>
      </c>
      <c r="B402">
        <f t="shared" si="24"/>
        <v>1</v>
      </c>
      <c r="C402" t="s">
        <v>8</v>
      </c>
      <c r="D402">
        <f t="shared" si="26"/>
        <v>60</v>
      </c>
      <c r="E402">
        <f t="shared" si="27"/>
        <v>0</v>
      </c>
      <c r="F402">
        <f t="shared" si="25"/>
        <v>60</v>
      </c>
    </row>
    <row r="403" spans="1:6" x14ac:dyDescent="0.25">
      <c r="A403" s="1">
        <v>45328</v>
      </c>
      <c r="B403">
        <f t="shared" si="24"/>
        <v>2</v>
      </c>
      <c r="C403" t="s">
        <v>8</v>
      </c>
      <c r="D403">
        <f t="shared" si="26"/>
        <v>60</v>
      </c>
      <c r="E403">
        <f t="shared" si="27"/>
        <v>0</v>
      </c>
      <c r="F403">
        <f t="shared" si="25"/>
        <v>60</v>
      </c>
    </row>
    <row r="404" spans="1:6" x14ac:dyDescent="0.25">
      <c r="A404" s="1">
        <v>45329</v>
      </c>
      <c r="B404">
        <f t="shared" si="24"/>
        <v>3</v>
      </c>
      <c r="C404" t="s">
        <v>8</v>
      </c>
      <c r="D404">
        <f t="shared" si="26"/>
        <v>60</v>
      </c>
      <c r="E404">
        <f t="shared" si="27"/>
        <v>0</v>
      </c>
      <c r="F404">
        <f t="shared" si="25"/>
        <v>60</v>
      </c>
    </row>
    <row r="405" spans="1:6" x14ac:dyDescent="0.25">
      <c r="A405" s="1">
        <v>45330</v>
      </c>
      <c r="B405">
        <f t="shared" si="24"/>
        <v>4</v>
      </c>
      <c r="C405" t="s">
        <v>8</v>
      </c>
      <c r="D405">
        <f t="shared" si="26"/>
        <v>60</v>
      </c>
      <c r="E405">
        <f t="shared" si="27"/>
        <v>0</v>
      </c>
      <c r="F405">
        <f t="shared" si="25"/>
        <v>60</v>
      </c>
    </row>
    <row r="406" spans="1:6" x14ac:dyDescent="0.25">
      <c r="A406" s="1">
        <v>45331</v>
      </c>
      <c r="B406">
        <f t="shared" si="24"/>
        <v>5</v>
      </c>
      <c r="C406" t="s">
        <v>8</v>
      </c>
      <c r="D406">
        <f t="shared" si="26"/>
        <v>60</v>
      </c>
      <c r="E406">
        <f t="shared" si="27"/>
        <v>0</v>
      </c>
      <c r="F406">
        <f t="shared" si="25"/>
        <v>60</v>
      </c>
    </row>
    <row r="407" spans="1:6" x14ac:dyDescent="0.25">
      <c r="A407" s="1">
        <v>45332</v>
      </c>
      <c r="B407">
        <f t="shared" si="24"/>
        <v>6</v>
      </c>
      <c r="C407" t="s">
        <v>8</v>
      </c>
      <c r="D407">
        <f t="shared" si="26"/>
        <v>0</v>
      </c>
      <c r="E407">
        <f t="shared" si="27"/>
        <v>0</v>
      </c>
      <c r="F407">
        <f t="shared" si="25"/>
        <v>0</v>
      </c>
    </row>
    <row r="408" spans="1:6" x14ac:dyDescent="0.25">
      <c r="A408" s="1">
        <v>45333</v>
      </c>
      <c r="B408">
        <f t="shared" si="24"/>
        <v>7</v>
      </c>
      <c r="C408" t="s">
        <v>8</v>
      </c>
      <c r="D408">
        <f t="shared" si="26"/>
        <v>0</v>
      </c>
      <c r="E408">
        <f t="shared" si="27"/>
        <v>150</v>
      </c>
      <c r="F408">
        <f t="shared" si="25"/>
        <v>-150</v>
      </c>
    </row>
    <row r="409" spans="1:6" x14ac:dyDescent="0.25">
      <c r="A409" s="1">
        <v>45334</v>
      </c>
      <c r="B409">
        <f t="shared" si="24"/>
        <v>1</v>
      </c>
      <c r="C409" t="s">
        <v>8</v>
      </c>
      <c r="D409">
        <f t="shared" si="26"/>
        <v>60</v>
      </c>
      <c r="E409">
        <f t="shared" si="27"/>
        <v>0</v>
      </c>
      <c r="F409">
        <f t="shared" si="25"/>
        <v>60</v>
      </c>
    </row>
    <row r="410" spans="1:6" x14ac:dyDescent="0.25">
      <c r="A410" s="1">
        <v>45335</v>
      </c>
      <c r="B410">
        <f t="shared" si="24"/>
        <v>2</v>
      </c>
      <c r="C410" t="s">
        <v>8</v>
      </c>
      <c r="D410">
        <f t="shared" si="26"/>
        <v>60</v>
      </c>
      <c r="E410">
        <f t="shared" si="27"/>
        <v>0</v>
      </c>
      <c r="F410">
        <f t="shared" si="25"/>
        <v>60</v>
      </c>
    </row>
    <row r="411" spans="1:6" x14ac:dyDescent="0.25">
      <c r="A411" s="1">
        <v>45336</v>
      </c>
      <c r="B411">
        <f t="shared" si="24"/>
        <v>3</v>
      </c>
      <c r="C411" t="s">
        <v>8</v>
      </c>
      <c r="D411">
        <f t="shared" si="26"/>
        <v>60</v>
      </c>
      <c r="E411">
        <f t="shared" si="27"/>
        <v>0</v>
      </c>
      <c r="F411">
        <f t="shared" si="25"/>
        <v>60</v>
      </c>
    </row>
    <row r="412" spans="1:6" x14ac:dyDescent="0.25">
      <c r="A412" s="1">
        <v>45337</v>
      </c>
      <c r="B412">
        <f t="shared" si="24"/>
        <v>4</v>
      </c>
      <c r="C412" t="s">
        <v>8</v>
      </c>
      <c r="D412">
        <f t="shared" si="26"/>
        <v>60</v>
      </c>
      <c r="E412">
        <f t="shared" si="27"/>
        <v>0</v>
      </c>
      <c r="F412">
        <f t="shared" si="25"/>
        <v>60</v>
      </c>
    </row>
    <row r="413" spans="1:6" x14ac:dyDescent="0.25">
      <c r="A413" s="1">
        <v>45338</v>
      </c>
      <c r="B413">
        <f t="shared" si="24"/>
        <v>5</v>
      </c>
      <c r="C413" t="s">
        <v>8</v>
      </c>
      <c r="D413">
        <f t="shared" si="26"/>
        <v>60</v>
      </c>
      <c r="E413">
        <f t="shared" si="27"/>
        <v>0</v>
      </c>
      <c r="F413">
        <f t="shared" si="25"/>
        <v>60</v>
      </c>
    </row>
    <row r="414" spans="1:6" x14ac:dyDescent="0.25">
      <c r="A414" s="1">
        <v>45339</v>
      </c>
      <c r="B414">
        <f t="shared" si="24"/>
        <v>6</v>
      </c>
      <c r="C414" t="s">
        <v>8</v>
      </c>
      <c r="D414">
        <f t="shared" si="26"/>
        <v>0</v>
      </c>
      <c r="E414">
        <f t="shared" si="27"/>
        <v>0</v>
      </c>
      <c r="F414">
        <f t="shared" si="25"/>
        <v>0</v>
      </c>
    </row>
    <row r="415" spans="1:6" x14ac:dyDescent="0.25">
      <c r="A415" s="1">
        <v>45340</v>
      </c>
      <c r="B415">
        <f t="shared" si="24"/>
        <v>7</v>
      </c>
      <c r="C415" t="s">
        <v>8</v>
      </c>
      <c r="D415">
        <f t="shared" si="26"/>
        <v>0</v>
      </c>
      <c r="E415">
        <f t="shared" si="27"/>
        <v>150</v>
      </c>
      <c r="F415">
        <f t="shared" si="25"/>
        <v>-150</v>
      </c>
    </row>
    <row r="416" spans="1:6" x14ac:dyDescent="0.25">
      <c r="A416" s="1">
        <v>45341</v>
      </c>
      <c r="B416">
        <f t="shared" si="24"/>
        <v>1</v>
      </c>
      <c r="C416" t="s">
        <v>8</v>
      </c>
      <c r="D416">
        <f t="shared" si="26"/>
        <v>60</v>
      </c>
      <c r="E416">
        <f t="shared" si="27"/>
        <v>0</v>
      </c>
      <c r="F416">
        <f t="shared" si="25"/>
        <v>60</v>
      </c>
    </row>
    <row r="417" spans="1:6" x14ac:dyDescent="0.25">
      <c r="A417" s="1">
        <v>45342</v>
      </c>
      <c r="B417">
        <f t="shared" si="24"/>
        <v>2</v>
      </c>
      <c r="C417" t="s">
        <v>8</v>
      </c>
      <c r="D417">
        <f t="shared" si="26"/>
        <v>60</v>
      </c>
      <c r="E417">
        <f t="shared" si="27"/>
        <v>0</v>
      </c>
      <c r="F417">
        <f t="shared" si="25"/>
        <v>60</v>
      </c>
    </row>
    <row r="418" spans="1:6" x14ac:dyDescent="0.25">
      <c r="A418" s="1">
        <v>45343</v>
      </c>
      <c r="B418">
        <f t="shared" si="24"/>
        <v>3</v>
      </c>
      <c r="C418" t="s">
        <v>8</v>
      </c>
      <c r="D418">
        <f t="shared" si="26"/>
        <v>60</v>
      </c>
      <c r="E418">
        <f t="shared" si="27"/>
        <v>0</v>
      </c>
      <c r="F418">
        <f t="shared" si="25"/>
        <v>60</v>
      </c>
    </row>
    <row r="419" spans="1:6" x14ac:dyDescent="0.25">
      <c r="A419" s="1">
        <v>45344</v>
      </c>
      <c r="B419">
        <f t="shared" si="24"/>
        <v>4</v>
      </c>
      <c r="C419" t="s">
        <v>8</v>
      </c>
      <c r="D419">
        <f t="shared" si="26"/>
        <v>60</v>
      </c>
      <c r="E419">
        <f t="shared" si="27"/>
        <v>0</v>
      </c>
      <c r="F419">
        <f t="shared" si="25"/>
        <v>60</v>
      </c>
    </row>
    <row r="420" spans="1:6" x14ac:dyDescent="0.25">
      <c r="A420" s="1">
        <v>45345</v>
      </c>
      <c r="B420">
        <f t="shared" si="24"/>
        <v>5</v>
      </c>
      <c r="C420" t="s">
        <v>8</v>
      </c>
      <c r="D420">
        <f t="shared" si="26"/>
        <v>60</v>
      </c>
      <c r="E420">
        <f t="shared" si="27"/>
        <v>0</v>
      </c>
      <c r="F420">
        <f t="shared" si="25"/>
        <v>60</v>
      </c>
    </row>
    <row r="421" spans="1:6" x14ac:dyDescent="0.25">
      <c r="A421" s="1">
        <v>45346</v>
      </c>
      <c r="B421">
        <f t="shared" si="24"/>
        <v>6</v>
      </c>
      <c r="C421" t="s">
        <v>8</v>
      </c>
      <c r="D421">
        <f t="shared" si="26"/>
        <v>0</v>
      </c>
      <c r="E421">
        <f t="shared" si="27"/>
        <v>0</v>
      </c>
      <c r="F421">
        <f t="shared" si="25"/>
        <v>0</v>
      </c>
    </row>
    <row r="422" spans="1:6" x14ac:dyDescent="0.25">
      <c r="A422" s="1">
        <v>45347</v>
      </c>
      <c r="B422">
        <f t="shared" si="24"/>
        <v>7</v>
      </c>
      <c r="C422" t="s">
        <v>8</v>
      </c>
      <c r="D422">
        <f t="shared" si="26"/>
        <v>0</v>
      </c>
      <c r="E422">
        <f t="shared" si="27"/>
        <v>150</v>
      </c>
      <c r="F422">
        <f t="shared" si="25"/>
        <v>-150</v>
      </c>
    </row>
    <row r="423" spans="1:6" x14ac:dyDescent="0.25">
      <c r="A423" s="1">
        <v>45348</v>
      </c>
      <c r="B423">
        <f t="shared" si="24"/>
        <v>1</v>
      </c>
      <c r="C423" t="s">
        <v>8</v>
      </c>
      <c r="D423">
        <f t="shared" si="26"/>
        <v>60</v>
      </c>
      <c r="E423">
        <f t="shared" si="27"/>
        <v>0</v>
      </c>
      <c r="F423">
        <f t="shared" si="25"/>
        <v>60</v>
      </c>
    </row>
    <row r="424" spans="1:6" x14ac:dyDescent="0.25">
      <c r="A424" s="1">
        <v>45349</v>
      </c>
      <c r="B424">
        <f t="shared" si="24"/>
        <v>2</v>
      </c>
      <c r="C424" t="s">
        <v>8</v>
      </c>
      <c r="D424">
        <f t="shared" si="26"/>
        <v>60</v>
      </c>
      <c r="E424">
        <f t="shared" si="27"/>
        <v>0</v>
      </c>
      <c r="F424">
        <f t="shared" si="25"/>
        <v>60</v>
      </c>
    </row>
    <row r="425" spans="1:6" x14ac:dyDescent="0.25">
      <c r="A425" s="1">
        <v>45350</v>
      </c>
      <c r="B425">
        <f t="shared" si="24"/>
        <v>3</v>
      </c>
      <c r="C425" t="s">
        <v>8</v>
      </c>
      <c r="D425">
        <f t="shared" si="26"/>
        <v>60</v>
      </c>
      <c r="E425">
        <f t="shared" si="27"/>
        <v>0</v>
      </c>
      <c r="F425">
        <f t="shared" si="25"/>
        <v>60</v>
      </c>
    </row>
    <row r="426" spans="1:6" x14ac:dyDescent="0.25">
      <c r="A426" s="1">
        <v>45351</v>
      </c>
      <c r="B426">
        <f t="shared" si="24"/>
        <v>4</v>
      </c>
      <c r="C426" t="s">
        <v>8</v>
      </c>
      <c r="D426">
        <f t="shared" si="26"/>
        <v>60</v>
      </c>
      <c r="E426">
        <f t="shared" si="27"/>
        <v>0</v>
      </c>
      <c r="F426">
        <f t="shared" si="25"/>
        <v>60</v>
      </c>
    </row>
    <row r="427" spans="1:6" x14ac:dyDescent="0.25">
      <c r="A427" s="1">
        <v>45352</v>
      </c>
      <c r="B427">
        <f t="shared" si="24"/>
        <v>5</v>
      </c>
      <c r="C427" t="s">
        <v>8</v>
      </c>
      <c r="D427">
        <f t="shared" si="26"/>
        <v>60</v>
      </c>
      <c r="E427">
        <f t="shared" si="27"/>
        <v>0</v>
      </c>
      <c r="F427">
        <f t="shared" si="25"/>
        <v>60</v>
      </c>
    </row>
    <row r="428" spans="1:6" x14ac:dyDescent="0.25">
      <c r="A428" s="1">
        <v>45353</v>
      </c>
      <c r="B428">
        <f t="shared" si="24"/>
        <v>6</v>
      </c>
      <c r="C428" t="s">
        <v>8</v>
      </c>
      <c r="D428">
        <f t="shared" si="26"/>
        <v>0</v>
      </c>
      <c r="E428">
        <f t="shared" si="27"/>
        <v>0</v>
      </c>
      <c r="F428">
        <f t="shared" si="25"/>
        <v>0</v>
      </c>
    </row>
    <row r="429" spans="1:6" x14ac:dyDescent="0.25">
      <c r="A429" s="1">
        <v>45354</v>
      </c>
      <c r="B429">
        <f t="shared" si="24"/>
        <v>7</v>
      </c>
      <c r="C429" t="s">
        <v>8</v>
      </c>
      <c r="D429">
        <f t="shared" si="26"/>
        <v>0</v>
      </c>
      <c r="E429">
        <f t="shared" si="27"/>
        <v>150</v>
      </c>
      <c r="F429">
        <f t="shared" si="25"/>
        <v>-150</v>
      </c>
    </row>
    <row r="430" spans="1:6" x14ac:dyDescent="0.25">
      <c r="A430" s="1">
        <v>45355</v>
      </c>
      <c r="B430">
        <f t="shared" si="24"/>
        <v>1</v>
      </c>
      <c r="C430" t="s">
        <v>8</v>
      </c>
      <c r="D430">
        <f t="shared" si="26"/>
        <v>60</v>
      </c>
      <c r="E430">
        <f t="shared" si="27"/>
        <v>0</v>
      </c>
      <c r="F430">
        <f t="shared" si="25"/>
        <v>60</v>
      </c>
    </row>
    <row r="431" spans="1:6" x14ac:dyDescent="0.25">
      <c r="A431" s="1">
        <v>45356</v>
      </c>
      <c r="B431">
        <f t="shared" si="24"/>
        <v>2</v>
      </c>
      <c r="C431" t="s">
        <v>8</v>
      </c>
      <c r="D431">
        <f t="shared" si="26"/>
        <v>60</v>
      </c>
      <c r="E431">
        <f t="shared" si="27"/>
        <v>0</v>
      </c>
      <c r="F431">
        <f t="shared" si="25"/>
        <v>60</v>
      </c>
    </row>
    <row r="432" spans="1:6" x14ac:dyDescent="0.25">
      <c r="A432" s="1">
        <v>45357</v>
      </c>
      <c r="B432">
        <f t="shared" si="24"/>
        <v>3</v>
      </c>
      <c r="C432" t="s">
        <v>8</v>
      </c>
      <c r="D432">
        <f t="shared" si="26"/>
        <v>60</v>
      </c>
      <c r="E432">
        <f t="shared" si="27"/>
        <v>0</v>
      </c>
      <c r="F432">
        <f t="shared" si="25"/>
        <v>60</v>
      </c>
    </row>
    <row r="433" spans="1:6" x14ac:dyDescent="0.25">
      <c r="A433" s="1">
        <v>45358</v>
      </c>
      <c r="B433">
        <f t="shared" si="24"/>
        <v>4</v>
      </c>
      <c r="C433" t="s">
        <v>8</v>
      </c>
      <c r="D433">
        <f t="shared" si="26"/>
        <v>60</v>
      </c>
      <c r="E433">
        <f t="shared" si="27"/>
        <v>0</v>
      </c>
      <c r="F433">
        <f t="shared" si="25"/>
        <v>60</v>
      </c>
    </row>
    <row r="434" spans="1:6" x14ac:dyDescent="0.25">
      <c r="A434" s="1">
        <v>45359</v>
      </c>
      <c r="B434">
        <f t="shared" si="24"/>
        <v>5</v>
      </c>
      <c r="C434" t="s">
        <v>8</v>
      </c>
      <c r="D434">
        <f t="shared" si="26"/>
        <v>60</v>
      </c>
      <c r="E434">
        <f t="shared" si="27"/>
        <v>0</v>
      </c>
      <c r="F434">
        <f t="shared" si="25"/>
        <v>60</v>
      </c>
    </row>
    <row r="435" spans="1:6" x14ac:dyDescent="0.25">
      <c r="A435" s="1">
        <v>45360</v>
      </c>
      <c r="B435">
        <f t="shared" si="24"/>
        <v>6</v>
      </c>
      <c r="C435" t="s">
        <v>8</v>
      </c>
      <c r="D435">
        <f t="shared" si="26"/>
        <v>0</v>
      </c>
      <c r="E435">
        <f t="shared" si="27"/>
        <v>0</v>
      </c>
      <c r="F435">
        <f t="shared" si="25"/>
        <v>0</v>
      </c>
    </row>
    <row r="436" spans="1:6" x14ac:dyDescent="0.25">
      <c r="A436" s="1">
        <v>45361</v>
      </c>
      <c r="B436">
        <f t="shared" si="24"/>
        <v>7</v>
      </c>
      <c r="C436" t="s">
        <v>8</v>
      </c>
      <c r="D436">
        <f t="shared" si="26"/>
        <v>0</v>
      </c>
      <c r="E436">
        <f t="shared" si="27"/>
        <v>150</v>
      </c>
      <c r="F436">
        <f t="shared" si="25"/>
        <v>-150</v>
      </c>
    </row>
    <row r="437" spans="1:6" x14ac:dyDescent="0.25">
      <c r="A437" s="1">
        <v>45362</v>
      </c>
      <c r="B437">
        <f t="shared" si="24"/>
        <v>1</v>
      </c>
      <c r="C437" t="s">
        <v>8</v>
      </c>
      <c r="D437">
        <f t="shared" si="26"/>
        <v>60</v>
      </c>
      <c r="E437">
        <f t="shared" si="27"/>
        <v>0</v>
      </c>
      <c r="F437">
        <f t="shared" si="25"/>
        <v>60</v>
      </c>
    </row>
    <row r="438" spans="1:6" x14ac:dyDescent="0.25">
      <c r="A438" s="1">
        <v>45363</v>
      </c>
      <c r="B438">
        <f t="shared" si="24"/>
        <v>2</v>
      </c>
      <c r="C438" t="s">
        <v>8</v>
      </c>
      <c r="D438">
        <f t="shared" si="26"/>
        <v>60</v>
      </c>
      <c r="E438">
        <f t="shared" si="27"/>
        <v>0</v>
      </c>
      <c r="F438">
        <f t="shared" si="25"/>
        <v>60</v>
      </c>
    </row>
    <row r="439" spans="1:6" x14ac:dyDescent="0.25">
      <c r="A439" s="1">
        <v>45364</v>
      </c>
      <c r="B439">
        <f t="shared" si="24"/>
        <v>3</v>
      </c>
      <c r="C439" t="s">
        <v>8</v>
      </c>
      <c r="D439">
        <f t="shared" si="26"/>
        <v>60</v>
      </c>
      <c r="E439">
        <f t="shared" si="27"/>
        <v>0</v>
      </c>
      <c r="F439">
        <f t="shared" si="25"/>
        <v>60</v>
      </c>
    </row>
    <row r="440" spans="1:6" x14ac:dyDescent="0.25">
      <c r="A440" s="1">
        <v>45365</v>
      </c>
      <c r="B440">
        <f t="shared" si="24"/>
        <v>4</v>
      </c>
      <c r="C440" t="s">
        <v>8</v>
      </c>
      <c r="D440">
        <f t="shared" si="26"/>
        <v>60</v>
      </c>
      <c r="E440">
        <f t="shared" si="27"/>
        <v>0</v>
      </c>
      <c r="F440">
        <f t="shared" si="25"/>
        <v>60</v>
      </c>
    </row>
    <row r="441" spans="1:6" x14ac:dyDescent="0.25">
      <c r="A441" s="1">
        <v>45366</v>
      </c>
      <c r="B441">
        <f t="shared" si="24"/>
        <v>5</v>
      </c>
      <c r="C441" t="s">
        <v>8</v>
      </c>
      <c r="D441">
        <f t="shared" si="26"/>
        <v>60</v>
      </c>
      <c r="E441">
        <f t="shared" si="27"/>
        <v>0</v>
      </c>
      <c r="F441">
        <f t="shared" si="25"/>
        <v>60</v>
      </c>
    </row>
    <row r="442" spans="1:6" x14ac:dyDescent="0.25">
      <c r="A442" s="1">
        <v>45367</v>
      </c>
      <c r="B442">
        <f t="shared" si="24"/>
        <v>6</v>
      </c>
      <c r="C442" t="s">
        <v>8</v>
      </c>
      <c r="D442">
        <f t="shared" si="26"/>
        <v>0</v>
      </c>
      <c r="E442">
        <f t="shared" si="27"/>
        <v>0</v>
      </c>
      <c r="F442">
        <f t="shared" si="25"/>
        <v>0</v>
      </c>
    </row>
    <row r="443" spans="1:6" x14ac:dyDescent="0.25">
      <c r="A443" s="1">
        <v>45368</v>
      </c>
      <c r="B443">
        <f t="shared" si="24"/>
        <v>7</v>
      </c>
      <c r="C443" t="s">
        <v>8</v>
      </c>
      <c r="D443">
        <f t="shared" si="26"/>
        <v>0</v>
      </c>
      <c r="E443">
        <f t="shared" si="27"/>
        <v>150</v>
      </c>
      <c r="F443">
        <f t="shared" si="25"/>
        <v>-150</v>
      </c>
    </row>
    <row r="444" spans="1:6" x14ac:dyDescent="0.25">
      <c r="A444" s="1">
        <v>45369</v>
      </c>
      <c r="B444">
        <f t="shared" si="24"/>
        <v>1</v>
      </c>
      <c r="C444" t="s">
        <v>8</v>
      </c>
      <c r="D444">
        <f t="shared" si="26"/>
        <v>60</v>
      </c>
      <c r="E444">
        <f t="shared" si="27"/>
        <v>0</v>
      </c>
      <c r="F444">
        <f t="shared" si="25"/>
        <v>60</v>
      </c>
    </row>
    <row r="445" spans="1:6" x14ac:dyDescent="0.25">
      <c r="A445" s="1">
        <v>45370</v>
      </c>
      <c r="B445">
        <f t="shared" si="24"/>
        <v>2</v>
      </c>
      <c r="C445" t="s">
        <v>8</v>
      </c>
      <c r="D445">
        <f t="shared" si="26"/>
        <v>60</v>
      </c>
      <c r="E445">
        <f t="shared" si="27"/>
        <v>0</v>
      </c>
      <c r="F445">
        <f t="shared" si="25"/>
        <v>60</v>
      </c>
    </row>
    <row r="446" spans="1:6" x14ac:dyDescent="0.25">
      <c r="A446" s="1">
        <v>45371</v>
      </c>
      <c r="B446">
        <f t="shared" si="24"/>
        <v>3</v>
      </c>
      <c r="C446" t="s">
        <v>8</v>
      </c>
      <c r="D446">
        <f t="shared" si="26"/>
        <v>60</v>
      </c>
      <c r="E446">
        <f t="shared" si="27"/>
        <v>0</v>
      </c>
      <c r="F446">
        <f t="shared" si="25"/>
        <v>60</v>
      </c>
    </row>
    <row r="447" spans="1:6" x14ac:dyDescent="0.25">
      <c r="A447" s="1">
        <v>45372</v>
      </c>
      <c r="B447">
        <f t="shared" si="24"/>
        <v>4</v>
      </c>
      <c r="C447" t="s">
        <v>9</v>
      </c>
      <c r="D447">
        <f t="shared" si="26"/>
        <v>150</v>
      </c>
      <c r="E447">
        <f t="shared" si="27"/>
        <v>0</v>
      </c>
      <c r="F447">
        <f t="shared" si="25"/>
        <v>150</v>
      </c>
    </row>
    <row r="448" spans="1:6" x14ac:dyDescent="0.25">
      <c r="A448" s="1">
        <v>45373</v>
      </c>
      <c r="B448">
        <f t="shared" si="24"/>
        <v>5</v>
      </c>
      <c r="C448" t="s">
        <v>9</v>
      </c>
      <c r="D448">
        <f t="shared" si="26"/>
        <v>150</v>
      </c>
      <c r="E448">
        <f t="shared" si="27"/>
        <v>0</v>
      </c>
      <c r="F448">
        <f t="shared" si="25"/>
        <v>150</v>
      </c>
    </row>
    <row r="449" spans="1:6" x14ac:dyDescent="0.25">
      <c r="A449" s="1">
        <v>45374</v>
      </c>
      <c r="B449">
        <f t="shared" si="24"/>
        <v>6</v>
      </c>
      <c r="C449" t="s">
        <v>9</v>
      </c>
      <c r="D449">
        <f t="shared" si="26"/>
        <v>0</v>
      </c>
      <c r="E449">
        <f t="shared" si="27"/>
        <v>0</v>
      </c>
      <c r="F449">
        <f t="shared" si="25"/>
        <v>0</v>
      </c>
    </row>
    <row r="450" spans="1:6" x14ac:dyDescent="0.25">
      <c r="A450" s="1">
        <v>45375</v>
      </c>
      <c r="B450">
        <f t="shared" si="24"/>
        <v>7</v>
      </c>
      <c r="C450" t="s">
        <v>9</v>
      </c>
      <c r="D450">
        <f t="shared" si="26"/>
        <v>0</v>
      </c>
      <c r="E450">
        <f t="shared" si="27"/>
        <v>150</v>
      </c>
      <c r="F450">
        <f t="shared" si="25"/>
        <v>-150</v>
      </c>
    </row>
    <row r="451" spans="1:6" x14ac:dyDescent="0.25">
      <c r="A451" s="1">
        <v>45376</v>
      </c>
      <c r="B451">
        <f t="shared" ref="B451:B514" si="28">WEEKDAY(A451,2)</f>
        <v>1</v>
      </c>
      <c r="C451" t="s">
        <v>9</v>
      </c>
      <c r="D451">
        <f t="shared" si="26"/>
        <v>150</v>
      </c>
      <c r="E451">
        <f t="shared" si="27"/>
        <v>0</v>
      </c>
      <c r="F451">
        <f t="shared" ref="F451:F514" si="29">D451-E451</f>
        <v>150</v>
      </c>
    </row>
    <row r="452" spans="1:6" x14ac:dyDescent="0.25">
      <c r="A452" s="1">
        <v>45377</v>
      </c>
      <c r="B452">
        <f t="shared" si="28"/>
        <v>2</v>
      </c>
      <c r="C452" t="s">
        <v>9</v>
      </c>
      <c r="D452">
        <f t="shared" ref="D452:D515" si="30">IF(B452&lt;6,$Q$1*VLOOKUP(C452,$S$1:$T$5,2,FALSE)*$Q$3,0)</f>
        <v>150</v>
      </c>
      <c r="E452">
        <f t="shared" ref="E452:E515" si="31">IF(B452=7,$Q$4*$Q$1,0)</f>
        <v>0</v>
      </c>
      <c r="F452">
        <f t="shared" si="29"/>
        <v>150</v>
      </c>
    </row>
    <row r="453" spans="1:6" x14ac:dyDescent="0.25">
      <c r="A453" s="1">
        <v>45378</v>
      </c>
      <c r="B453">
        <f t="shared" si="28"/>
        <v>3</v>
      </c>
      <c r="C453" t="s">
        <v>9</v>
      </c>
      <c r="D453">
        <f t="shared" si="30"/>
        <v>150</v>
      </c>
      <c r="E453">
        <f t="shared" si="31"/>
        <v>0</v>
      </c>
      <c r="F453">
        <f t="shared" si="29"/>
        <v>150</v>
      </c>
    </row>
    <row r="454" spans="1:6" x14ac:dyDescent="0.25">
      <c r="A454" s="1">
        <v>45379</v>
      </c>
      <c r="B454">
        <f t="shared" si="28"/>
        <v>4</v>
      </c>
      <c r="C454" t="s">
        <v>9</v>
      </c>
      <c r="D454">
        <f t="shared" si="30"/>
        <v>150</v>
      </c>
      <c r="E454">
        <f t="shared" si="31"/>
        <v>0</v>
      </c>
      <c r="F454">
        <f t="shared" si="29"/>
        <v>150</v>
      </c>
    </row>
    <row r="455" spans="1:6" x14ac:dyDescent="0.25">
      <c r="A455" s="1">
        <v>45380</v>
      </c>
      <c r="B455">
        <f t="shared" si="28"/>
        <v>5</v>
      </c>
      <c r="C455" t="s">
        <v>9</v>
      </c>
      <c r="D455">
        <f t="shared" si="30"/>
        <v>150</v>
      </c>
      <c r="E455">
        <f t="shared" si="31"/>
        <v>0</v>
      </c>
      <c r="F455">
        <f t="shared" si="29"/>
        <v>150</v>
      </c>
    </row>
    <row r="456" spans="1:6" x14ac:dyDescent="0.25">
      <c r="A456" s="1">
        <v>45381</v>
      </c>
      <c r="B456">
        <f t="shared" si="28"/>
        <v>6</v>
      </c>
      <c r="C456" t="s">
        <v>9</v>
      </c>
      <c r="D456">
        <f t="shared" si="30"/>
        <v>0</v>
      </c>
      <c r="E456">
        <f t="shared" si="31"/>
        <v>0</v>
      </c>
      <c r="F456">
        <f t="shared" si="29"/>
        <v>0</v>
      </c>
    </row>
    <row r="457" spans="1:6" x14ac:dyDescent="0.25">
      <c r="A457" s="1">
        <v>45382</v>
      </c>
      <c r="B457">
        <f t="shared" si="28"/>
        <v>7</v>
      </c>
      <c r="C457" t="s">
        <v>9</v>
      </c>
      <c r="D457">
        <f t="shared" si="30"/>
        <v>0</v>
      </c>
      <c r="E457">
        <f t="shared" si="31"/>
        <v>150</v>
      </c>
      <c r="F457">
        <f t="shared" si="29"/>
        <v>-150</v>
      </c>
    </row>
    <row r="458" spans="1:6" x14ac:dyDescent="0.25">
      <c r="A458" s="1">
        <v>45383</v>
      </c>
      <c r="B458">
        <f t="shared" si="28"/>
        <v>1</v>
      </c>
      <c r="C458" t="s">
        <v>9</v>
      </c>
      <c r="D458">
        <f t="shared" si="30"/>
        <v>150</v>
      </c>
      <c r="E458">
        <f t="shared" si="31"/>
        <v>0</v>
      </c>
      <c r="F458">
        <f t="shared" si="29"/>
        <v>150</v>
      </c>
    </row>
    <row r="459" spans="1:6" x14ac:dyDescent="0.25">
      <c r="A459" s="1">
        <v>45384</v>
      </c>
      <c r="B459">
        <f t="shared" si="28"/>
        <v>2</v>
      </c>
      <c r="C459" t="s">
        <v>9</v>
      </c>
      <c r="D459">
        <f t="shared" si="30"/>
        <v>150</v>
      </c>
      <c r="E459">
        <f t="shared" si="31"/>
        <v>0</v>
      </c>
      <c r="F459">
        <f t="shared" si="29"/>
        <v>150</v>
      </c>
    </row>
    <row r="460" spans="1:6" x14ac:dyDescent="0.25">
      <c r="A460" s="1">
        <v>45385</v>
      </c>
      <c r="B460">
        <f t="shared" si="28"/>
        <v>3</v>
      </c>
      <c r="C460" t="s">
        <v>9</v>
      </c>
      <c r="D460">
        <f t="shared" si="30"/>
        <v>150</v>
      </c>
      <c r="E460">
        <f t="shared" si="31"/>
        <v>0</v>
      </c>
      <c r="F460">
        <f t="shared" si="29"/>
        <v>150</v>
      </c>
    </row>
    <row r="461" spans="1:6" x14ac:dyDescent="0.25">
      <c r="A461" s="1">
        <v>45386</v>
      </c>
      <c r="B461">
        <f t="shared" si="28"/>
        <v>4</v>
      </c>
      <c r="C461" t="s">
        <v>9</v>
      </c>
      <c r="D461">
        <f t="shared" si="30"/>
        <v>150</v>
      </c>
      <c r="E461">
        <f t="shared" si="31"/>
        <v>0</v>
      </c>
      <c r="F461">
        <f t="shared" si="29"/>
        <v>150</v>
      </c>
    </row>
    <row r="462" spans="1:6" x14ac:dyDescent="0.25">
      <c r="A462" s="1">
        <v>45387</v>
      </c>
      <c r="B462">
        <f t="shared" si="28"/>
        <v>5</v>
      </c>
      <c r="C462" t="s">
        <v>9</v>
      </c>
      <c r="D462">
        <f t="shared" si="30"/>
        <v>150</v>
      </c>
      <c r="E462">
        <f t="shared" si="31"/>
        <v>0</v>
      </c>
      <c r="F462">
        <f t="shared" si="29"/>
        <v>150</v>
      </c>
    </row>
    <row r="463" spans="1:6" x14ac:dyDescent="0.25">
      <c r="A463" s="1">
        <v>45388</v>
      </c>
      <c r="B463">
        <f t="shared" si="28"/>
        <v>6</v>
      </c>
      <c r="C463" t="s">
        <v>9</v>
      </c>
      <c r="D463">
        <f t="shared" si="30"/>
        <v>0</v>
      </c>
      <c r="E463">
        <f t="shared" si="31"/>
        <v>0</v>
      </c>
      <c r="F463">
        <f t="shared" si="29"/>
        <v>0</v>
      </c>
    </row>
    <row r="464" spans="1:6" x14ac:dyDescent="0.25">
      <c r="A464" s="1">
        <v>45389</v>
      </c>
      <c r="B464">
        <f t="shared" si="28"/>
        <v>7</v>
      </c>
      <c r="C464" t="s">
        <v>9</v>
      </c>
      <c r="D464">
        <f t="shared" si="30"/>
        <v>0</v>
      </c>
      <c r="E464">
        <f t="shared" si="31"/>
        <v>150</v>
      </c>
      <c r="F464">
        <f t="shared" si="29"/>
        <v>-150</v>
      </c>
    </row>
    <row r="465" spans="1:6" x14ac:dyDescent="0.25">
      <c r="A465" s="1">
        <v>45390</v>
      </c>
      <c r="B465">
        <f t="shared" si="28"/>
        <v>1</v>
      </c>
      <c r="C465" t="s">
        <v>9</v>
      </c>
      <c r="D465">
        <f t="shared" si="30"/>
        <v>150</v>
      </c>
      <c r="E465">
        <f t="shared" si="31"/>
        <v>0</v>
      </c>
      <c r="F465">
        <f t="shared" si="29"/>
        <v>150</v>
      </c>
    </row>
    <row r="466" spans="1:6" x14ac:dyDescent="0.25">
      <c r="A466" s="1">
        <v>45391</v>
      </c>
      <c r="B466">
        <f t="shared" si="28"/>
        <v>2</v>
      </c>
      <c r="C466" t="s">
        <v>9</v>
      </c>
      <c r="D466">
        <f t="shared" si="30"/>
        <v>150</v>
      </c>
      <c r="E466">
        <f t="shared" si="31"/>
        <v>0</v>
      </c>
      <c r="F466">
        <f t="shared" si="29"/>
        <v>150</v>
      </c>
    </row>
    <row r="467" spans="1:6" x14ac:dyDescent="0.25">
      <c r="A467" s="1">
        <v>45392</v>
      </c>
      <c r="B467">
        <f t="shared" si="28"/>
        <v>3</v>
      </c>
      <c r="C467" t="s">
        <v>9</v>
      </c>
      <c r="D467">
        <f t="shared" si="30"/>
        <v>150</v>
      </c>
      <c r="E467">
        <f t="shared" si="31"/>
        <v>0</v>
      </c>
      <c r="F467">
        <f t="shared" si="29"/>
        <v>150</v>
      </c>
    </row>
    <row r="468" spans="1:6" x14ac:dyDescent="0.25">
      <c r="A468" s="1">
        <v>45393</v>
      </c>
      <c r="B468">
        <f t="shared" si="28"/>
        <v>4</v>
      </c>
      <c r="C468" t="s">
        <v>9</v>
      </c>
      <c r="D468">
        <f t="shared" si="30"/>
        <v>150</v>
      </c>
      <c r="E468">
        <f t="shared" si="31"/>
        <v>0</v>
      </c>
      <c r="F468">
        <f t="shared" si="29"/>
        <v>150</v>
      </c>
    </row>
    <row r="469" spans="1:6" x14ac:dyDescent="0.25">
      <c r="A469" s="1">
        <v>45394</v>
      </c>
      <c r="B469">
        <f t="shared" si="28"/>
        <v>5</v>
      </c>
      <c r="C469" t="s">
        <v>9</v>
      </c>
      <c r="D469">
        <f t="shared" si="30"/>
        <v>150</v>
      </c>
      <c r="E469">
        <f t="shared" si="31"/>
        <v>0</v>
      </c>
      <c r="F469">
        <f t="shared" si="29"/>
        <v>150</v>
      </c>
    </row>
    <row r="470" spans="1:6" x14ac:dyDescent="0.25">
      <c r="A470" s="1">
        <v>45395</v>
      </c>
      <c r="B470">
        <f t="shared" si="28"/>
        <v>6</v>
      </c>
      <c r="C470" t="s">
        <v>9</v>
      </c>
      <c r="D470">
        <f t="shared" si="30"/>
        <v>0</v>
      </c>
      <c r="E470">
        <f t="shared" si="31"/>
        <v>0</v>
      </c>
      <c r="F470">
        <f t="shared" si="29"/>
        <v>0</v>
      </c>
    </row>
    <row r="471" spans="1:6" x14ac:dyDescent="0.25">
      <c r="A471" s="1">
        <v>45396</v>
      </c>
      <c r="B471">
        <f t="shared" si="28"/>
        <v>7</v>
      </c>
      <c r="C471" t="s">
        <v>9</v>
      </c>
      <c r="D471">
        <f t="shared" si="30"/>
        <v>0</v>
      </c>
      <c r="E471">
        <f t="shared" si="31"/>
        <v>150</v>
      </c>
      <c r="F471">
        <f t="shared" si="29"/>
        <v>-150</v>
      </c>
    </row>
    <row r="472" spans="1:6" x14ac:dyDescent="0.25">
      <c r="A472" s="1">
        <v>45397</v>
      </c>
      <c r="B472">
        <f t="shared" si="28"/>
        <v>1</v>
      </c>
      <c r="C472" t="s">
        <v>9</v>
      </c>
      <c r="D472">
        <f t="shared" si="30"/>
        <v>150</v>
      </c>
      <c r="E472">
        <f t="shared" si="31"/>
        <v>0</v>
      </c>
      <c r="F472">
        <f t="shared" si="29"/>
        <v>150</v>
      </c>
    </row>
    <row r="473" spans="1:6" x14ac:dyDescent="0.25">
      <c r="A473" s="1">
        <v>45398</v>
      </c>
      <c r="B473">
        <f t="shared" si="28"/>
        <v>2</v>
      </c>
      <c r="C473" t="s">
        <v>9</v>
      </c>
      <c r="D473">
        <f t="shared" si="30"/>
        <v>150</v>
      </c>
      <c r="E473">
        <f t="shared" si="31"/>
        <v>0</v>
      </c>
      <c r="F473">
        <f t="shared" si="29"/>
        <v>150</v>
      </c>
    </row>
    <row r="474" spans="1:6" x14ac:dyDescent="0.25">
      <c r="A474" s="1">
        <v>45399</v>
      </c>
      <c r="B474">
        <f t="shared" si="28"/>
        <v>3</v>
      </c>
      <c r="C474" t="s">
        <v>9</v>
      </c>
      <c r="D474">
        <f t="shared" si="30"/>
        <v>150</v>
      </c>
      <c r="E474">
        <f t="shared" si="31"/>
        <v>0</v>
      </c>
      <c r="F474">
        <f t="shared" si="29"/>
        <v>150</v>
      </c>
    </row>
    <row r="475" spans="1:6" x14ac:dyDescent="0.25">
      <c r="A475" s="1">
        <v>45400</v>
      </c>
      <c r="B475">
        <f t="shared" si="28"/>
        <v>4</v>
      </c>
      <c r="C475" t="s">
        <v>9</v>
      </c>
      <c r="D475">
        <f t="shared" si="30"/>
        <v>150</v>
      </c>
      <c r="E475">
        <f t="shared" si="31"/>
        <v>0</v>
      </c>
      <c r="F475">
        <f t="shared" si="29"/>
        <v>150</v>
      </c>
    </row>
    <row r="476" spans="1:6" x14ac:dyDescent="0.25">
      <c r="A476" s="1">
        <v>45401</v>
      </c>
      <c r="B476">
        <f t="shared" si="28"/>
        <v>5</v>
      </c>
      <c r="C476" t="s">
        <v>9</v>
      </c>
      <c r="D476">
        <f t="shared" si="30"/>
        <v>150</v>
      </c>
      <c r="E476">
        <f t="shared" si="31"/>
        <v>0</v>
      </c>
      <c r="F476">
        <f t="shared" si="29"/>
        <v>150</v>
      </c>
    </row>
    <row r="477" spans="1:6" x14ac:dyDescent="0.25">
      <c r="A477" s="1">
        <v>45402</v>
      </c>
      <c r="B477">
        <f t="shared" si="28"/>
        <v>6</v>
      </c>
      <c r="C477" t="s">
        <v>9</v>
      </c>
      <c r="D477">
        <f t="shared" si="30"/>
        <v>0</v>
      </c>
      <c r="E477">
        <f t="shared" si="31"/>
        <v>0</v>
      </c>
      <c r="F477">
        <f t="shared" si="29"/>
        <v>0</v>
      </c>
    </row>
    <row r="478" spans="1:6" x14ac:dyDescent="0.25">
      <c r="A478" s="1">
        <v>45403</v>
      </c>
      <c r="B478">
        <f t="shared" si="28"/>
        <v>7</v>
      </c>
      <c r="C478" t="s">
        <v>9</v>
      </c>
      <c r="D478">
        <f t="shared" si="30"/>
        <v>0</v>
      </c>
      <c r="E478">
        <f t="shared" si="31"/>
        <v>150</v>
      </c>
      <c r="F478">
        <f t="shared" si="29"/>
        <v>-150</v>
      </c>
    </row>
    <row r="479" spans="1:6" x14ac:dyDescent="0.25">
      <c r="A479" s="1">
        <v>45404</v>
      </c>
      <c r="B479">
        <f t="shared" si="28"/>
        <v>1</v>
      </c>
      <c r="C479" t="s">
        <v>9</v>
      </c>
      <c r="D479">
        <f t="shared" si="30"/>
        <v>150</v>
      </c>
      <c r="E479">
        <f t="shared" si="31"/>
        <v>0</v>
      </c>
      <c r="F479">
        <f t="shared" si="29"/>
        <v>150</v>
      </c>
    </row>
    <row r="480" spans="1:6" x14ac:dyDescent="0.25">
      <c r="A480" s="1">
        <v>45405</v>
      </c>
      <c r="B480">
        <f t="shared" si="28"/>
        <v>2</v>
      </c>
      <c r="C480" t="s">
        <v>9</v>
      </c>
      <c r="D480">
        <f t="shared" si="30"/>
        <v>150</v>
      </c>
      <c r="E480">
        <f t="shared" si="31"/>
        <v>0</v>
      </c>
      <c r="F480">
        <f t="shared" si="29"/>
        <v>150</v>
      </c>
    </row>
    <row r="481" spans="1:6" x14ac:dyDescent="0.25">
      <c r="A481" s="1">
        <v>45406</v>
      </c>
      <c r="B481">
        <f t="shared" si="28"/>
        <v>3</v>
      </c>
      <c r="C481" t="s">
        <v>9</v>
      </c>
      <c r="D481">
        <f t="shared" si="30"/>
        <v>150</v>
      </c>
      <c r="E481">
        <f t="shared" si="31"/>
        <v>0</v>
      </c>
      <c r="F481">
        <f t="shared" si="29"/>
        <v>150</v>
      </c>
    </row>
    <row r="482" spans="1:6" x14ac:dyDescent="0.25">
      <c r="A482" s="1">
        <v>45407</v>
      </c>
      <c r="B482">
        <f t="shared" si="28"/>
        <v>4</v>
      </c>
      <c r="C482" t="s">
        <v>9</v>
      </c>
      <c r="D482">
        <f t="shared" si="30"/>
        <v>150</v>
      </c>
      <c r="E482">
        <f t="shared" si="31"/>
        <v>0</v>
      </c>
      <c r="F482">
        <f t="shared" si="29"/>
        <v>150</v>
      </c>
    </row>
    <row r="483" spans="1:6" x14ac:dyDescent="0.25">
      <c r="A483" s="1">
        <v>45408</v>
      </c>
      <c r="B483">
        <f t="shared" si="28"/>
        <v>5</v>
      </c>
      <c r="C483" t="s">
        <v>9</v>
      </c>
      <c r="D483">
        <f t="shared" si="30"/>
        <v>150</v>
      </c>
      <c r="E483">
        <f t="shared" si="31"/>
        <v>0</v>
      </c>
      <c r="F483">
        <f t="shared" si="29"/>
        <v>150</v>
      </c>
    </row>
    <row r="484" spans="1:6" x14ac:dyDescent="0.25">
      <c r="A484" s="1">
        <v>45409</v>
      </c>
      <c r="B484">
        <f t="shared" si="28"/>
        <v>6</v>
      </c>
      <c r="C484" t="s">
        <v>9</v>
      </c>
      <c r="D484">
        <f t="shared" si="30"/>
        <v>0</v>
      </c>
      <c r="E484">
        <f t="shared" si="31"/>
        <v>0</v>
      </c>
      <c r="F484">
        <f t="shared" si="29"/>
        <v>0</v>
      </c>
    </row>
    <row r="485" spans="1:6" x14ac:dyDescent="0.25">
      <c r="A485" s="1">
        <v>45410</v>
      </c>
      <c r="B485">
        <f t="shared" si="28"/>
        <v>7</v>
      </c>
      <c r="C485" t="s">
        <v>9</v>
      </c>
      <c r="D485">
        <f t="shared" si="30"/>
        <v>0</v>
      </c>
      <c r="E485">
        <f t="shared" si="31"/>
        <v>150</v>
      </c>
      <c r="F485">
        <f t="shared" si="29"/>
        <v>-150</v>
      </c>
    </row>
    <row r="486" spans="1:6" x14ac:dyDescent="0.25">
      <c r="A486" s="1">
        <v>45411</v>
      </c>
      <c r="B486">
        <f t="shared" si="28"/>
        <v>1</v>
      </c>
      <c r="C486" t="s">
        <v>9</v>
      </c>
      <c r="D486">
        <f t="shared" si="30"/>
        <v>150</v>
      </c>
      <c r="E486">
        <f t="shared" si="31"/>
        <v>0</v>
      </c>
      <c r="F486">
        <f t="shared" si="29"/>
        <v>150</v>
      </c>
    </row>
    <row r="487" spans="1:6" x14ac:dyDescent="0.25">
      <c r="A487" s="1">
        <v>45412</v>
      </c>
      <c r="B487">
        <f t="shared" si="28"/>
        <v>2</v>
      </c>
      <c r="C487" t="s">
        <v>9</v>
      </c>
      <c r="D487">
        <f t="shared" si="30"/>
        <v>150</v>
      </c>
      <c r="E487">
        <f t="shared" si="31"/>
        <v>0</v>
      </c>
      <c r="F487">
        <f t="shared" si="29"/>
        <v>150</v>
      </c>
    </row>
    <row r="488" spans="1:6" x14ac:dyDescent="0.25">
      <c r="A488" s="1">
        <v>45413</v>
      </c>
      <c r="B488">
        <f t="shared" si="28"/>
        <v>3</v>
      </c>
      <c r="C488" t="s">
        <v>9</v>
      </c>
      <c r="D488">
        <f t="shared" si="30"/>
        <v>150</v>
      </c>
      <c r="E488">
        <f t="shared" si="31"/>
        <v>0</v>
      </c>
      <c r="F488">
        <f t="shared" si="29"/>
        <v>150</v>
      </c>
    </row>
    <row r="489" spans="1:6" x14ac:dyDescent="0.25">
      <c r="A489" s="1">
        <v>45414</v>
      </c>
      <c r="B489">
        <f t="shared" si="28"/>
        <v>4</v>
      </c>
      <c r="C489" t="s">
        <v>9</v>
      </c>
      <c r="D489">
        <f t="shared" si="30"/>
        <v>150</v>
      </c>
      <c r="E489">
        <f t="shared" si="31"/>
        <v>0</v>
      </c>
      <c r="F489">
        <f t="shared" si="29"/>
        <v>150</v>
      </c>
    </row>
    <row r="490" spans="1:6" x14ac:dyDescent="0.25">
      <c r="A490" s="1">
        <v>45415</v>
      </c>
      <c r="B490">
        <f t="shared" si="28"/>
        <v>5</v>
      </c>
      <c r="C490" t="s">
        <v>9</v>
      </c>
      <c r="D490">
        <f t="shared" si="30"/>
        <v>150</v>
      </c>
      <c r="E490">
        <f t="shared" si="31"/>
        <v>0</v>
      </c>
      <c r="F490">
        <f t="shared" si="29"/>
        <v>150</v>
      </c>
    </row>
    <row r="491" spans="1:6" x14ac:dyDescent="0.25">
      <c r="A491" s="1">
        <v>45416</v>
      </c>
      <c r="B491">
        <f t="shared" si="28"/>
        <v>6</v>
      </c>
      <c r="C491" t="s">
        <v>9</v>
      </c>
      <c r="D491">
        <f t="shared" si="30"/>
        <v>0</v>
      </c>
      <c r="E491">
        <f t="shared" si="31"/>
        <v>0</v>
      </c>
      <c r="F491">
        <f t="shared" si="29"/>
        <v>0</v>
      </c>
    </row>
    <row r="492" spans="1:6" x14ac:dyDescent="0.25">
      <c r="A492" s="1">
        <v>45417</v>
      </c>
      <c r="B492">
        <f t="shared" si="28"/>
        <v>7</v>
      </c>
      <c r="C492" t="s">
        <v>9</v>
      </c>
      <c r="D492">
        <f t="shared" si="30"/>
        <v>0</v>
      </c>
      <c r="E492">
        <f t="shared" si="31"/>
        <v>150</v>
      </c>
      <c r="F492">
        <f t="shared" si="29"/>
        <v>-150</v>
      </c>
    </row>
    <row r="493" spans="1:6" x14ac:dyDescent="0.25">
      <c r="A493" s="1">
        <v>45418</v>
      </c>
      <c r="B493">
        <f t="shared" si="28"/>
        <v>1</v>
      </c>
      <c r="C493" t="s">
        <v>9</v>
      </c>
      <c r="D493">
        <f t="shared" si="30"/>
        <v>150</v>
      </c>
      <c r="E493">
        <f t="shared" si="31"/>
        <v>0</v>
      </c>
      <c r="F493">
        <f t="shared" si="29"/>
        <v>150</v>
      </c>
    </row>
    <row r="494" spans="1:6" x14ac:dyDescent="0.25">
      <c r="A494" s="1">
        <v>45419</v>
      </c>
      <c r="B494">
        <f t="shared" si="28"/>
        <v>2</v>
      </c>
      <c r="C494" t="s">
        <v>9</v>
      </c>
      <c r="D494">
        <f t="shared" si="30"/>
        <v>150</v>
      </c>
      <c r="E494">
        <f t="shared" si="31"/>
        <v>0</v>
      </c>
      <c r="F494">
        <f t="shared" si="29"/>
        <v>150</v>
      </c>
    </row>
    <row r="495" spans="1:6" x14ac:dyDescent="0.25">
      <c r="A495" s="1">
        <v>45420</v>
      </c>
      <c r="B495">
        <f t="shared" si="28"/>
        <v>3</v>
      </c>
      <c r="C495" t="s">
        <v>9</v>
      </c>
      <c r="D495">
        <f t="shared" si="30"/>
        <v>150</v>
      </c>
      <c r="E495">
        <f t="shared" si="31"/>
        <v>0</v>
      </c>
      <c r="F495">
        <f t="shared" si="29"/>
        <v>150</v>
      </c>
    </row>
    <row r="496" spans="1:6" x14ac:dyDescent="0.25">
      <c r="A496" s="1">
        <v>45421</v>
      </c>
      <c r="B496">
        <f t="shared" si="28"/>
        <v>4</v>
      </c>
      <c r="C496" t="s">
        <v>9</v>
      </c>
      <c r="D496">
        <f t="shared" si="30"/>
        <v>150</v>
      </c>
      <c r="E496">
        <f t="shared" si="31"/>
        <v>0</v>
      </c>
      <c r="F496">
        <f t="shared" si="29"/>
        <v>150</v>
      </c>
    </row>
    <row r="497" spans="1:6" x14ac:dyDescent="0.25">
      <c r="A497" s="1">
        <v>45422</v>
      </c>
      <c r="B497">
        <f t="shared" si="28"/>
        <v>5</v>
      </c>
      <c r="C497" t="s">
        <v>9</v>
      </c>
      <c r="D497">
        <f t="shared" si="30"/>
        <v>150</v>
      </c>
      <c r="E497">
        <f t="shared" si="31"/>
        <v>0</v>
      </c>
      <c r="F497">
        <f t="shared" si="29"/>
        <v>150</v>
      </c>
    </row>
    <row r="498" spans="1:6" x14ac:dyDescent="0.25">
      <c r="A498" s="1">
        <v>45423</v>
      </c>
      <c r="B498">
        <f t="shared" si="28"/>
        <v>6</v>
      </c>
      <c r="C498" t="s">
        <v>9</v>
      </c>
      <c r="D498">
        <f t="shared" si="30"/>
        <v>0</v>
      </c>
      <c r="E498">
        <f t="shared" si="31"/>
        <v>0</v>
      </c>
      <c r="F498">
        <f t="shared" si="29"/>
        <v>0</v>
      </c>
    </row>
    <row r="499" spans="1:6" x14ac:dyDescent="0.25">
      <c r="A499" s="1">
        <v>45424</v>
      </c>
      <c r="B499">
        <f t="shared" si="28"/>
        <v>7</v>
      </c>
      <c r="C499" t="s">
        <v>9</v>
      </c>
      <c r="D499">
        <f t="shared" si="30"/>
        <v>0</v>
      </c>
      <c r="E499">
        <f t="shared" si="31"/>
        <v>150</v>
      </c>
      <c r="F499">
        <f t="shared" si="29"/>
        <v>-150</v>
      </c>
    </row>
    <row r="500" spans="1:6" x14ac:dyDescent="0.25">
      <c r="A500" s="1">
        <v>45425</v>
      </c>
      <c r="B500">
        <f t="shared" si="28"/>
        <v>1</v>
      </c>
      <c r="C500" t="s">
        <v>9</v>
      </c>
      <c r="D500">
        <f t="shared" si="30"/>
        <v>150</v>
      </c>
      <c r="E500">
        <f t="shared" si="31"/>
        <v>0</v>
      </c>
      <c r="F500">
        <f t="shared" si="29"/>
        <v>150</v>
      </c>
    </row>
    <row r="501" spans="1:6" x14ac:dyDescent="0.25">
      <c r="A501" s="1">
        <v>45426</v>
      </c>
      <c r="B501">
        <f t="shared" si="28"/>
        <v>2</v>
      </c>
      <c r="C501" t="s">
        <v>9</v>
      </c>
      <c r="D501">
        <f t="shared" si="30"/>
        <v>150</v>
      </c>
      <c r="E501">
        <f t="shared" si="31"/>
        <v>0</v>
      </c>
      <c r="F501">
        <f t="shared" si="29"/>
        <v>150</v>
      </c>
    </row>
    <row r="502" spans="1:6" x14ac:dyDescent="0.25">
      <c r="A502" s="1">
        <v>45427</v>
      </c>
      <c r="B502">
        <f t="shared" si="28"/>
        <v>3</v>
      </c>
      <c r="C502" t="s">
        <v>9</v>
      </c>
      <c r="D502">
        <f t="shared" si="30"/>
        <v>150</v>
      </c>
      <c r="E502">
        <f t="shared" si="31"/>
        <v>0</v>
      </c>
      <c r="F502">
        <f t="shared" si="29"/>
        <v>150</v>
      </c>
    </row>
    <row r="503" spans="1:6" x14ac:dyDescent="0.25">
      <c r="A503" s="1">
        <v>45428</v>
      </c>
      <c r="B503">
        <f t="shared" si="28"/>
        <v>4</v>
      </c>
      <c r="C503" t="s">
        <v>9</v>
      </c>
      <c r="D503">
        <f t="shared" si="30"/>
        <v>150</v>
      </c>
      <c r="E503">
        <f t="shared" si="31"/>
        <v>0</v>
      </c>
      <c r="F503">
        <f t="shared" si="29"/>
        <v>150</v>
      </c>
    </row>
    <row r="504" spans="1:6" x14ac:dyDescent="0.25">
      <c r="A504" s="1">
        <v>45429</v>
      </c>
      <c r="B504">
        <f t="shared" si="28"/>
        <v>5</v>
      </c>
      <c r="C504" t="s">
        <v>9</v>
      </c>
      <c r="D504">
        <f t="shared" si="30"/>
        <v>150</v>
      </c>
      <c r="E504">
        <f t="shared" si="31"/>
        <v>0</v>
      </c>
      <c r="F504">
        <f t="shared" si="29"/>
        <v>150</v>
      </c>
    </row>
    <row r="505" spans="1:6" x14ac:dyDescent="0.25">
      <c r="A505" s="1">
        <v>45430</v>
      </c>
      <c r="B505">
        <f t="shared" si="28"/>
        <v>6</v>
      </c>
      <c r="C505" t="s">
        <v>9</v>
      </c>
      <c r="D505">
        <f t="shared" si="30"/>
        <v>0</v>
      </c>
      <c r="E505">
        <f t="shared" si="31"/>
        <v>0</v>
      </c>
      <c r="F505">
        <f t="shared" si="29"/>
        <v>0</v>
      </c>
    </row>
    <row r="506" spans="1:6" x14ac:dyDescent="0.25">
      <c r="A506" s="1">
        <v>45431</v>
      </c>
      <c r="B506">
        <f t="shared" si="28"/>
        <v>7</v>
      </c>
      <c r="C506" t="s">
        <v>9</v>
      </c>
      <c r="D506">
        <f t="shared" si="30"/>
        <v>0</v>
      </c>
      <c r="E506">
        <f t="shared" si="31"/>
        <v>150</v>
      </c>
      <c r="F506">
        <f t="shared" si="29"/>
        <v>-150</v>
      </c>
    </row>
    <row r="507" spans="1:6" x14ac:dyDescent="0.25">
      <c r="A507" s="1">
        <v>45432</v>
      </c>
      <c r="B507">
        <f t="shared" si="28"/>
        <v>1</v>
      </c>
      <c r="C507" t="s">
        <v>9</v>
      </c>
      <c r="D507">
        <f t="shared" si="30"/>
        <v>150</v>
      </c>
      <c r="E507">
        <f t="shared" si="31"/>
        <v>0</v>
      </c>
      <c r="F507">
        <f t="shared" si="29"/>
        <v>150</v>
      </c>
    </row>
    <row r="508" spans="1:6" x14ac:dyDescent="0.25">
      <c r="A508" s="1">
        <v>45433</v>
      </c>
      <c r="B508">
        <f t="shared" si="28"/>
        <v>2</v>
      </c>
      <c r="C508" t="s">
        <v>9</v>
      </c>
      <c r="D508">
        <f t="shared" si="30"/>
        <v>150</v>
      </c>
      <c r="E508">
        <f t="shared" si="31"/>
        <v>0</v>
      </c>
      <c r="F508">
        <f t="shared" si="29"/>
        <v>150</v>
      </c>
    </row>
    <row r="509" spans="1:6" x14ac:dyDescent="0.25">
      <c r="A509" s="1">
        <v>45434</v>
      </c>
      <c r="B509">
        <f t="shared" si="28"/>
        <v>3</v>
      </c>
      <c r="C509" t="s">
        <v>9</v>
      </c>
      <c r="D509">
        <f t="shared" si="30"/>
        <v>150</v>
      </c>
      <c r="E509">
        <f t="shared" si="31"/>
        <v>0</v>
      </c>
      <c r="F509">
        <f t="shared" si="29"/>
        <v>150</v>
      </c>
    </row>
    <row r="510" spans="1:6" x14ac:dyDescent="0.25">
      <c r="A510" s="1">
        <v>45435</v>
      </c>
      <c r="B510">
        <f t="shared" si="28"/>
        <v>4</v>
      </c>
      <c r="C510" t="s">
        <v>9</v>
      </c>
      <c r="D510">
        <f t="shared" si="30"/>
        <v>150</v>
      </c>
      <c r="E510">
        <f t="shared" si="31"/>
        <v>0</v>
      </c>
      <c r="F510">
        <f t="shared" si="29"/>
        <v>150</v>
      </c>
    </row>
    <row r="511" spans="1:6" x14ac:dyDescent="0.25">
      <c r="A511" s="1">
        <v>45436</v>
      </c>
      <c r="B511">
        <f t="shared" si="28"/>
        <v>5</v>
      </c>
      <c r="C511" t="s">
        <v>9</v>
      </c>
      <c r="D511">
        <f t="shared" si="30"/>
        <v>150</v>
      </c>
      <c r="E511">
        <f t="shared" si="31"/>
        <v>0</v>
      </c>
      <c r="F511">
        <f t="shared" si="29"/>
        <v>150</v>
      </c>
    </row>
    <row r="512" spans="1:6" x14ac:dyDescent="0.25">
      <c r="A512" s="1">
        <v>45437</v>
      </c>
      <c r="B512">
        <f t="shared" si="28"/>
        <v>6</v>
      </c>
      <c r="C512" t="s">
        <v>9</v>
      </c>
      <c r="D512">
        <f t="shared" si="30"/>
        <v>0</v>
      </c>
      <c r="E512">
        <f t="shared" si="31"/>
        <v>0</v>
      </c>
      <c r="F512">
        <f t="shared" si="29"/>
        <v>0</v>
      </c>
    </row>
    <row r="513" spans="1:6" x14ac:dyDescent="0.25">
      <c r="A513" s="1">
        <v>45438</v>
      </c>
      <c r="B513">
        <f t="shared" si="28"/>
        <v>7</v>
      </c>
      <c r="C513" t="s">
        <v>9</v>
      </c>
      <c r="D513">
        <f t="shared" si="30"/>
        <v>0</v>
      </c>
      <c r="E513">
        <f t="shared" si="31"/>
        <v>150</v>
      </c>
      <c r="F513">
        <f t="shared" si="29"/>
        <v>-150</v>
      </c>
    </row>
    <row r="514" spans="1:6" x14ac:dyDescent="0.25">
      <c r="A514" s="1">
        <v>45439</v>
      </c>
      <c r="B514">
        <f t="shared" si="28"/>
        <v>1</v>
      </c>
      <c r="C514" t="s">
        <v>9</v>
      </c>
      <c r="D514">
        <f t="shared" si="30"/>
        <v>150</v>
      </c>
      <c r="E514">
        <f t="shared" si="31"/>
        <v>0</v>
      </c>
      <c r="F514">
        <f t="shared" si="29"/>
        <v>150</v>
      </c>
    </row>
    <row r="515" spans="1:6" x14ac:dyDescent="0.25">
      <c r="A515" s="1">
        <v>45440</v>
      </c>
      <c r="B515">
        <f t="shared" ref="B515:B578" si="32">WEEKDAY(A515,2)</f>
        <v>2</v>
      </c>
      <c r="C515" t="s">
        <v>9</v>
      </c>
      <c r="D515">
        <f t="shared" si="30"/>
        <v>150</v>
      </c>
      <c r="E515">
        <f t="shared" si="31"/>
        <v>0</v>
      </c>
      <c r="F515">
        <f t="shared" ref="F515:F578" si="33">D515-E515</f>
        <v>150</v>
      </c>
    </row>
    <row r="516" spans="1:6" x14ac:dyDescent="0.25">
      <c r="A516" s="1">
        <v>45441</v>
      </c>
      <c r="B516">
        <f t="shared" si="32"/>
        <v>3</v>
      </c>
      <c r="C516" t="s">
        <v>9</v>
      </c>
      <c r="D516">
        <f t="shared" ref="D516:D579" si="34">IF(B516&lt;6,$Q$1*VLOOKUP(C516,$S$1:$T$5,2,FALSE)*$Q$3,0)</f>
        <v>150</v>
      </c>
      <c r="E516">
        <f t="shared" ref="E516:E579" si="35">IF(B516=7,$Q$4*$Q$1,0)</f>
        <v>0</v>
      </c>
      <c r="F516">
        <f t="shared" si="33"/>
        <v>150</v>
      </c>
    </row>
    <row r="517" spans="1:6" x14ac:dyDescent="0.25">
      <c r="A517" s="1">
        <v>45442</v>
      </c>
      <c r="B517">
        <f t="shared" si="32"/>
        <v>4</v>
      </c>
      <c r="C517" t="s">
        <v>9</v>
      </c>
      <c r="D517">
        <f t="shared" si="34"/>
        <v>150</v>
      </c>
      <c r="E517">
        <f t="shared" si="35"/>
        <v>0</v>
      </c>
      <c r="F517">
        <f t="shared" si="33"/>
        <v>150</v>
      </c>
    </row>
    <row r="518" spans="1:6" x14ac:dyDescent="0.25">
      <c r="A518" s="1">
        <v>45443</v>
      </c>
      <c r="B518">
        <f t="shared" si="32"/>
        <v>5</v>
      </c>
      <c r="C518" t="s">
        <v>9</v>
      </c>
      <c r="D518">
        <f t="shared" si="34"/>
        <v>150</v>
      </c>
      <c r="E518">
        <f t="shared" si="35"/>
        <v>0</v>
      </c>
      <c r="F518">
        <f t="shared" si="33"/>
        <v>150</v>
      </c>
    </row>
    <row r="519" spans="1:6" x14ac:dyDescent="0.25">
      <c r="A519" s="1">
        <v>45444</v>
      </c>
      <c r="B519">
        <f t="shared" si="32"/>
        <v>6</v>
      </c>
      <c r="C519" t="s">
        <v>9</v>
      </c>
      <c r="D519">
        <f t="shared" si="34"/>
        <v>0</v>
      </c>
      <c r="E519">
        <f t="shared" si="35"/>
        <v>0</v>
      </c>
      <c r="F519">
        <f t="shared" si="33"/>
        <v>0</v>
      </c>
    </row>
    <row r="520" spans="1:6" x14ac:dyDescent="0.25">
      <c r="A520" s="1">
        <v>45445</v>
      </c>
      <c r="B520">
        <f t="shared" si="32"/>
        <v>7</v>
      </c>
      <c r="C520" t="s">
        <v>9</v>
      </c>
      <c r="D520">
        <f t="shared" si="34"/>
        <v>0</v>
      </c>
      <c r="E520">
        <f t="shared" si="35"/>
        <v>150</v>
      </c>
      <c r="F520">
        <f t="shared" si="33"/>
        <v>-150</v>
      </c>
    </row>
    <row r="521" spans="1:6" x14ac:dyDescent="0.25">
      <c r="A521" s="1">
        <v>45446</v>
      </c>
      <c r="B521">
        <f t="shared" si="32"/>
        <v>1</v>
      </c>
      <c r="C521" t="s">
        <v>9</v>
      </c>
      <c r="D521">
        <f t="shared" si="34"/>
        <v>150</v>
      </c>
      <c r="E521">
        <f t="shared" si="35"/>
        <v>0</v>
      </c>
      <c r="F521">
        <f t="shared" si="33"/>
        <v>150</v>
      </c>
    </row>
    <row r="522" spans="1:6" x14ac:dyDescent="0.25">
      <c r="A522" s="1">
        <v>45447</v>
      </c>
      <c r="B522">
        <f t="shared" si="32"/>
        <v>2</v>
      </c>
      <c r="C522" t="s">
        <v>9</v>
      </c>
      <c r="D522">
        <f t="shared" si="34"/>
        <v>150</v>
      </c>
      <c r="E522">
        <f t="shared" si="35"/>
        <v>0</v>
      </c>
      <c r="F522">
        <f t="shared" si="33"/>
        <v>150</v>
      </c>
    </row>
    <row r="523" spans="1:6" x14ac:dyDescent="0.25">
      <c r="A523" s="1">
        <v>45448</v>
      </c>
      <c r="B523">
        <f t="shared" si="32"/>
        <v>3</v>
      </c>
      <c r="C523" t="s">
        <v>9</v>
      </c>
      <c r="D523">
        <f t="shared" si="34"/>
        <v>150</v>
      </c>
      <c r="E523">
        <f t="shared" si="35"/>
        <v>0</v>
      </c>
      <c r="F523">
        <f t="shared" si="33"/>
        <v>150</v>
      </c>
    </row>
    <row r="524" spans="1:6" x14ac:dyDescent="0.25">
      <c r="A524" s="1">
        <v>45449</v>
      </c>
      <c r="B524">
        <f t="shared" si="32"/>
        <v>4</v>
      </c>
      <c r="C524" t="s">
        <v>9</v>
      </c>
      <c r="D524">
        <f t="shared" si="34"/>
        <v>150</v>
      </c>
      <c r="E524">
        <f t="shared" si="35"/>
        <v>0</v>
      </c>
      <c r="F524">
        <f t="shared" si="33"/>
        <v>150</v>
      </c>
    </row>
    <row r="525" spans="1:6" x14ac:dyDescent="0.25">
      <c r="A525" s="1">
        <v>45450</v>
      </c>
      <c r="B525">
        <f t="shared" si="32"/>
        <v>5</v>
      </c>
      <c r="C525" t="s">
        <v>9</v>
      </c>
      <c r="D525">
        <f t="shared" si="34"/>
        <v>150</v>
      </c>
      <c r="E525">
        <f t="shared" si="35"/>
        <v>0</v>
      </c>
      <c r="F525">
        <f t="shared" si="33"/>
        <v>150</v>
      </c>
    </row>
    <row r="526" spans="1:6" x14ac:dyDescent="0.25">
      <c r="A526" s="1">
        <v>45451</v>
      </c>
      <c r="B526">
        <f t="shared" si="32"/>
        <v>6</v>
      </c>
      <c r="C526" t="s">
        <v>9</v>
      </c>
      <c r="D526">
        <f t="shared" si="34"/>
        <v>0</v>
      </c>
      <c r="E526">
        <f t="shared" si="35"/>
        <v>0</v>
      </c>
      <c r="F526">
        <f t="shared" si="33"/>
        <v>0</v>
      </c>
    </row>
    <row r="527" spans="1:6" x14ac:dyDescent="0.25">
      <c r="A527" s="1">
        <v>45452</v>
      </c>
      <c r="B527">
        <f t="shared" si="32"/>
        <v>7</v>
      </c>
      <c r="C527" t="s">
        <v>9</v>
      </c>
      <c r="D527">
        <f t="shared" si="34"/>
        <v>0</v>
      </c>
      <c r="E527">
        <f t="shared" si="35"/>
        <v>150</v>
      </c>
      <c r="F527">
        <f t="shared" si="33"/>
        <v>-150</v>
      </c>
    </row>
    <row r="528" spans="1:6" x14ac:dyDescent="0.25">
      <c r="A528" s="1">
        <v>45453</v>
      </c>
      <c r="B528">
        <f t="shared" si="32"/>
        <v>1</v>
      </c>
      <c r="C528" t="s">
        <v>9</v>
      </c>
      <c r="D528">
        <f t="shared" si="34"/>
        <v>150</v>
      </c>
      <c r="E528">
        <f t="shared" si="35"/>
        <v>0</v>
      </c>
      <c r="F528">
        <f t="shared" si="33"/>
        <v>150</v>
      </c>
    </row>
    <row r="529" spans="1:6" x14ac:dyDescent="0.25">
      <c r="A529" s="1">
        <v>45454</v>
      </c>
      <c r="B529">
        <f t="shared" si="32"/>
        <v>2</v>
      </c>
      <c r="C529" t="s">
        <v>9</v>
      </c>
      <c r="D529">
        <f t="shared" si="34"/>
        <v>150</v>
      </c>
      <c r="E529">
        <f t="shared" si="35"/>
        <v>0</v>
      </c>
      <c r="F529">
        <f t="shared" si="33"/>
        <v>150</v>
      </c>
    </row>
    <row r="530" spans="1:6" x14ac:dyDescent="0.25">
      <c r="A530" s="1">
        <v>45455</v>
      </c>
      <c r="B530">
        <f t="shared" si="32"/>
        <v>3</v>
      </c>
      <c r="C530" t="s">
        <v>9</v>
      </c>
      <c r="D530">
        <f t="shared" si="34"/>
        <v>150</v>
      </c>
      <c r="E530">
        <f t="shared" si="35"/>
        <v>0</v>
      </c>
      <c r="F530">
        <f t="shared" si="33"/>
        <v>150</v>
      </c>
    </row>
    <row r="531" spans="1:6" x14ac:dyDescent="0.25">
      <c r="A531" s="1">
        <v>45456</v>
      </c>
      <c r="B531">
        <f t="shared" si="32"/>
        <v>4</v>
      </c>
      <c r="C531" t="s">
        <v>9</v>
      </c>
      <c r="D531">
        <f t="shared" si="34"/>
        <v>150</v>
      </c>
      <c r="E531">
        <f t="shared" si="35"/>
        <v>0</v>
      </c>
      <c r="F531">
        <f t="shared" si="33"/>
        <v>150</v>
      </c>
    </row>
    <row r="532" spans="1:6" x14ac:dyDescent="0.25">
      <c r="A532" s="1">
        <v>45457</v>
      </c>
      <c r="B532">
        <f t="shared" si="32"/>
        <v>5</v>
      </c>
      <c r="C532" t="s">
        <v>9</v>
      </c>
      <c r="D532">
        <f t="shared" si="34"/>
        <v>150</v>
      </c>
      <c r="E532">
        <f t="shared" si="35"/>
        <v>0</v>
      </c>
      <c r="F532">
        <f t="shared" si="33"/>
        <v>150</v>
      </c>
    </row>
    <row r="533" spans="1:6" x14ac:dyDescent="0.25">
      <c r="A533" s="1">
        <v>45458</v>
      </c>
      <c r="B533">
        <f t="shared" si="32"/>
        <v>6</v>
      </c>
      <c r="C533" t="s">
        <v>9</v>
      </c>
      <c r="D533">
        <f t="shared" si="34"/>
        <v>0</v>
      </c>
      <c r="E533">
        <f t="shared" si="35"/>
        <v>0</v>
      </c>
      <c r="F533">
        <f t="shared" si="33"/>
        <v>0</v>
      </c>
    </row>
    <row r="534" spans="1:6" x14ac:dyDescent="0.25">
      <c r="A534" s="1">
        <v>45459</v>
      </c>
      <c r="B534">
        <f t="shared" si="32"/>
        <v>7</v>
      </c>
      <c r="C534" t="s">
        <v>9</v>
      </c>
      <c r="D534">
        <f t="shared" si="34"/>
        <v>0</v>
      </c>
      <c r="E534">
        <f t="shared" si="35"/>
        <v>150</v>
      </c>
      <c r="F534">
        <f t="shared" si="33"/>
        <v>-150</v>
      </c>
    </row>
    <row r="535" spans="1:6" x14ac:dyDescent="0.25">
      <c r="A535" s="1">
        <v>45460</v>
      </c>
      <c r="B535">
        <f t="shared" si="32"/>
        <v>1</v>
      </c>
      <c r="C535" t="s">
        <v>9</v>
      </c>
      <c r="D535">
        <f t="shared" si="34"/>
        <v>150</v>
      </c>
      <c r="E535">
        <f t="shared" si="35"/>
        <v>0</v>
      </c>
      <c r="F535">
        <f t="shared" si="33"/>
        <v>150</v>
      </c>
    </row>
    <row r="536" spans="1:6" x14ac:dyDescent="0.25">
      <c r="A536" s="1">
        <v>45461</v>
      </c>
      <c r="B536">
        <f t="shared" si="32"/>
        <v>2</v>
      </c>
      <c r="C536" t="s">
        <v>9</v>
      </c>
      <c r="D536">
        <f t="shared" si="34"/>
        <v>150</v>
      </c>
      <c r="E536">
        <f t="shared" si="35"/>
        <v>0</v>
      </c>
      <c r="F536">
        <f t="shared" si="33"/>
        <v>150</v>
      </c>
    </row>
    <row r="537" spans="1:6" x14ac:dyDescent="0.25">
      <c r="A537" s="1">
        <v>45462</v>
      </c>
      <c r="B537">
        <f t="shared" si="32"/>
        <v>3</v>
      </c>
      <c r="C537" t="s">
        <v>9</v>
      </c>
      <c r="D537">
        <f t="shared" si="34"/>
        <v>150</v>
      </c>
      <c r="E537">
        <f t="shared" si="35"/>
        <v>0</v>
      </c>
      <c r="F537">
        <f t="shared" si="33"/>
        <v>150</v>
      </c>
    </row>
    <row r="538" spans="1:6" x14ac:dyDescent="0.25">
      <c r="A538" s="1">
        <v>45463</v>
      </c>
      <c r="B538">
        <f t="shared" si="32"/>
        <v>4</v>
      </c>
      <c r="C538" t="s">
        <v>9</v>
      </c>
      <c r="D538">
        <f t="shared" si="34"/>
        <v>150</v>
      </c>
      <c r="E538">
        <f t="shared" si="35"/>
        <v>0</v>
      </c>
      <c r="F538">
        <f t="shared" si="33"/>
        <v>150</v>
      </c>
    </row>
    <row r="539" spans="1:6" x14ac:dyDescent="0.25">
      <c r="A539" s="1">
        <v>45464</v>
      </c>
      <c r="B539">
        <f t="shared" si="32"/>
        <v>5</v>
      </c>
      <c r="C539" t="s">
        <v>10</v>
      </c>
      <c r="D539">
        <f t="shared" si="34"/>
        <v>270</v>
      </c>
      <c r="E539">
        <f t="shared" si="35"/>
        <v>0</v>
      </c>
      <c r="F539">
        <f t="shared" si="33"/>
        <v>270</v>
      </c>
    </row>
    <row r="540" spans="1:6" x14ac:dyDescent="0.25">
      <c r="A540" s="1">
        <v>45465</v>
      </c>
      <c r="B540">
        <f t="shared" si="32"/>
        <v>6</v>
      </c>
      <c r="C540" t="s">
        <v>10</v>
      </c>
      <c r="D540">
        <f t="shared" si="34"/>
        <v>0</v>
      </c>
      <c r="E540">
        <f t="shared" si="35"/>
        <v>0</v>
      </c>
      <c r="F540">
        <f t="shared" si="33"/>
        <v>0</v>
      </c>
    </row>
    <row r="541" spans="1:6" x14ac:dyDescent="0.25">
      <c r="A541" s="1">
        <v>45466</v>
      </c>
      <c r="B541">
        <f t="shared" si="32"/>
        <v>7</v>
      </c>
      <c r="C541" t="s">
        <v>10</v>
      </c>
      <c r="D541">
        <f t="shared" si="34"/>
        <v>0</v>
      </c>
      <c r="E541">
        <f t="shared" si="35"/>
        <v>150</v>
      </c>
      <c r="F541">
        <f t="shared" si="33"/>
        <v>-150</v>
      </c>
    </row>
    <row r="542" spans="1:6" x14ac:dyDescent="0.25">
      <c r="A542" s="1">
        <v>45467</v>
      </c>
      <c r="B542">
        <f t="shared" si="32"/>
        <v>1</v>
      </c>
      <c r="C542" t="s">
        <v>10</v>
      </c>
      <c r="D542">
        <f t="shared" si="34"/>
        <v>270</v>
      </c>
      <c r="E542">
        <f t="shared" si="35"/>
        <v>0</v>
      </c>
      <c r="F542">
        <f t="shared" si="33"/>
        <v>270</v>
      </c>
    </row>
    <row r="543" spans="1:6" x14ac:dyDescent="0.25">
      <c r="A543" s="1">
        <v>45468</v>
      </c>
      <c r="B543">
        <f t="shared" si="32"/>
        <v>2</v>
      </c>
      <c r="C543" t="s">
        <v>10</v>
      </c>
      <c r="D543">
        <f t="shared" si="34"/>
        <v>270</v>
      </c>
      <c r="E543">
        <f t="shared" si="35"/>
        <v>0</v>
      </c>
      <c r="F543">
        <f t="shared" si="33"/>
        <v>270</v>
      </c>
    </row>
    <row r="544" spans="1:6" x14ac:dyDescent="0.25">
      <c r="A544" s="1">
        <v>45469</v>
      </c>
      <c r="B544">
        <f t="shared" si="32"/>
        <v>3</v>
      </c>
      <c r="C544" t="s">
        <v>10</v>
      </c>
      <c r="D544">
        <f t="shared" si="34"/>
        <v>270</v>
      </c>
      <c r="E544">
        <f t="shared" si="35"/>
        <v>0</v>
      </c>
      <c r="F544">
        <f t="shared" si="33"/>
        <v>270</v>
      </c>
    </row>
    <row r="545" spans="1:6" x14ac:dyDescent="0.25">
      <c r="A545" s="1">
        <v>45470</v>
      </c>
      <c r="B545">
        <f t="shared" si="32"/>
        <v>4</v>
      </c>
      <c r="C545" t="s">
        <v>10</v>
      </c>
      <c r="D545">
        <f t="shared" si="34"/>
        <v>270</v>
      </c>
      <c r="E545">
        <f t="shared" si="35"/>
        <v>0</v>
      </c>
      <c r="F545">
        <f t="shared" si="33"/>
        <v>270</v>
      </c>
    </row>
    <row r="546" spans="1:6" x14ac:dyDescent="0.25">
      <c r="A546" s="1">
        <v>45471</v>
      </c>
      <c r="B546">
        <f t="shared" si="32"/>
        <v>5</v>
      </c>
      <c r="C546" t="s">
        <v>10</v>
      </c>
      <c r="D546">
        <f t="shared" si="34"/>
        <v>270</v>
      </c>
      <c r="E546">
        <f t="shared" si="35"/>
        <v>0</v>
      </c>
      <c r="F546">
        <f t="shared" si="33"/>
        <v>270</v>
      </c>
    </row>
    <row r="547" spans="1:6" x14ac:dyDescent="0.25">
      <c r="A547" s="1">
        <v>45472</v>
      </c>
      <c r="B547">
        <f t="shared" si="32"/>
        <v>6</v>
      </c>
      <c r="C547" t="s">
        <v>10</v>
      </c>
      <c r="D547">
        <f t="shared" si="34"/>
        <v>0</v>
      </c>
      <c r="E547">
        <f t="shared" si="35"/>
        <v>0</v>
      </c>
      <c r="F547">
        <f t="shared" si="33"/>
        <v>0</v>
      </c>
    </row>
    <row r="548" spans="1:6" x14ac:dyDescent="0.25">
      <c r="A548" s="1">
        <v>45473</v>
      </c>
      <c r="B548">
        <f t="shared" si="32"/>
        <v>7</v>
      </c>
      <c r="C548" t="s">
        <v>10</v>
      </c>
      <c r="D548">
        <f t="shared" si="34"/>
        <v>0</v>
      </c>
      <c r="E548">
        <f t="shared" si="35"/>
        <v>150</v>
      </c>
      <c r="F548">
        <f t="shared" si="33"/>
        <v>-150</v>
      </c>
    </row>
    <row r="549" spans="1:6" x14ac:dyDescent="0.25">
      <c r="A549" s="1">
        <v>45474</v>
      </c>
      <c r="B549">
        <f t="shared" si="32"/>
        <v>1</v>
      </c>
      <c r="C549" t="s">
        <v>10</v>
      </c>
      <c r="D549">
        <f t="shared" si="34"/>
        <v>270</v>
      </c>
      <c r="E549">
        <f t="shared" si="35"/>
        <v>0</v>
      </c>
      <c r="F549">
        <f t="shared" si="33"/>
        <v>270</v>
      </c>
    </row>
    <row r="550" spans="1:6" x14ac:dyDescent="0.25">
      <c r="A550" s="1">
        <v>45475</v>
      </c>
      <c r="B550">
        <f t="shared" si="32"/>
        <v>2</v>
      </c>
      <c r="C550" t="s">
        <v>10</v>
      </c>
      <c r="D550">
        <f t="shared" si="34"/>
        <v>270</v>
      </c>
      <c r="E550">
        <f t="shared" si="35"/>
        <v>0</v>
      </c>
      <c r="F550">
        <f t="shared" si="33"/>
        <v>270</v>
      </c>
    </row>
    <row r="551" spans="1:6" x14ac:dyDescent="0.25">
      <c r="A551" s="1">
        <v>45476</v>
      </c>
      <c r="B551">
        <f t="shared" si="32"/>
        <v>3</v>
      </c>
      <c r="C551" t="s">
        <v>10</v>
      </c>
      <c r="D551">
        <f t="shared" si="34"/>
        <v>270</v>
      </c>
      <c r="E551">
        <f t="shared" si="35"/>
        <v>0</v>
      </c>
      <c r="F551">
        <f t="shared" si="33"/>
        <v>270</v>
      </c>
    </row>
    <row r="552" spans="1:6" x14ac:dyDescent="0.25">
      <c r="A552" s="1">
        <v>45477</v>
      </c>
      <c r="B552">
        <f t="shared" si="32"/>
        <v>4</v>
      </c>
      <c r="C552" t="s">
        <v>10</v>
      </c>
      <c r="D552">
        <f t="shared" si="34"/>
        <v>270</v>
      </c>
      <c r="E552">
        <f t="shared" si="35"/>
        <v>0</v>
      </c>
      <c r="F552">
        <f t="shared" si="33"/>
        <v>270</v>
      </c>
    </row>
    <row r="553" spans="1:6" x14ac:dyDescent="0.25">
      <c r="A553" s="1">
        <v>45478</v>
      </c>
      <c r="B553">
        <f t="shared" si="32"/>
        <v>5</v>
      </c>
      <c r="C553" t="s">
        <v>10</v>
      </c>
      <c r="D553">
        <f t="shared" si="34"/>
        <v>270</v>
      </c>
      <c r="E553">
        <f t="shared" si="35"/>
        <v>0</v>
      </c>
      <c r="F553">
        <f t="shared" si="33"/>
        <v>270</v>
      </c>
    </row>
    <row r="554" spans="1:6" x14ac:dyDescent="0.25">
      <c r="A554" s="1">
        <v>45479</v>
      </c>
      <c r="B554">
        <f t="shared" si="32"/>
        <v>6</v>
      </c>
      <c r="C554" t="s">
        <v>10</v>
      </c>
      <c r="D554">
        <f t="shared" si="34"/>
        <v>0</v>
      </c>
      <c r="E554">
        <f t="shared" si="35"/>
        <v>0</v>
      </c>
      <c r="F554">
        <f t="shared" si="33"/>
        <v>0</v>
      </c>
    </row>
    <row r="555" spans="1:6" x14ac:dyDescent="0.25">
      <c r="A555" s="1">
        <v>45480</v>
      </c>
      <c r="B555">
        <f t="shared" si="32"/>
        <v>7</v>
      </c>
      <c r="C555" t="s">
        <v>10</v>
      </c>
      <c r="D555">
        <f t="shared" si="34"/>
        <v>0</v>
      </c>
      <c r="E555">
        <f t="shared" si="35"/>
        <v>150</v>
      </c>
      <c r="F555">
        <f t="shared" si="33"/>
        <v>-150</v>
      </c>
    </row>
    <row r="556" spans="1:6" x14ac:dyDescent="0.25">
      <c r="A556" s="1">
        <v>45481</v>
      </c>
      <c r="B556">
        <f t="shared" si="32"/>
        <v>1</v>
      </c>
      <c r="C556" t="s">
        <v>10</v>
      </c>
      <c r="D556">
        <f t="shared" si="34"/>
        <v>270</v>
      </c>
      <c r="E556">
        <f t="shared" si="35"/>
        <v>0</v>
      </c>
      <c r="F556">
        <f t="shared" si="33"/>
        <v>270</v>
      </c>
    </row>
    <row r="557" spans="1:6" x14ac:dyDescent="0.25">
      <c r="A557" s="1">
        <v>45482</v>
      </c>
      <c r="B557">
        <f t="shared" si="32"/>
        <v>2</v>
      </c>
      <c r="C557" t="s">
        <v>10</v>
      </c>
      <c r="D557">
        <f t="shared" si="34"/>
        <v>270</v>
      </c>
      <c r="E557">
        <f t="shared" si="35"/>
        <v>0</v>
      </c>
      <c r="F557">
        <f t="shared" si="33"/>
        <v>270</v>
      </c>
    </row>
    <row r="558" spans="1:6" x14ac:dyDescent="0.25">
      <c r="A558" s="1">
        <v>45483</v>
      </c>
      <c r="B558">
        <f t="shared" si="32"/>
        <v>3</v>
      </c>
      <c r="C558" t="s">
        <v>10</v>
      </c>
      <c r="D558">
        <f t="shared" si="34"/>
        <v>270</v>
      </c>
      <c r="E558">
        <f t="shared" si="35"/>
        <v>0</v>
      </c>
      <c r="F558">
        <f t="shared" si="33"/>
        <v>270</v>
      </c>
    </row>
    <row r="559" spans="1:6" x14ac:dyDescent="0.25">
      <c r="A559" s="1">
        <v>45484</v>
      </c>
      <c r="B559">
        <f t="shared" si="32"/>
        <v>4</v>
      </c>
      <c r="C559" t="s">
        <v>10</v>
      </c>
      <c r="D559">
        <f t="shared" si="34"/>
        <v>270</v>
      </c>
      <c r="E559">
        <f t="shared" si="35"/>
        <v>0</v>
      </c>
      <c r="F559">
        <f t="shared" si="33"/>
        <v>270</v>
      </c>
    </row>
    <row r="560" spans="1:6" x14ac:dyDescent="0.25">
      <c r="A560" s="1">
        <v>45485</v>
      </c>
      <c r="B560">
        <f t="shared" si="32"/>
        <v>5</v>
      </c>
      <c r="C560" t="s">
        <v>10</v>
      </c>
      <c r="D560">
        <f t="shared" si="34"/>
        <v>270</v>
      </c>
      <c r="E560">
        <f t="shared" si="35"/>
        <v>0</v>
      </c>
      <c r="F560">
        <f t="shared" si="33"/>
        <v>270</v>
      </c>
    </row>
    <row r="561" spans="1:6" x14ac:dyDescent="0.25">
      <c r="A561" s="1">
        <v>45486</v>
      </c>
      <c r="B561">
        <f t="shared" si="32"/>
        <v>6</v>
      </c>
      <c r="C561" t="s">
        <v>10</v>
      </c>
      <c r="D561">
        <f t="shared" si="34"/>
        <v>0</v>
      </c>
      <c r="E561">
        <f t="shared" si="35"/>
        <v>0</v>
      </c>
      <c r="F561">
        <f t="shared" si="33"/>
        <v>0</v>
      </c>
    </row>
    <row r="562" spans="1:6" x14ac:dyDescent="0.25">
      <c r="A562" s="1">
        <v>45487</v>
      </c>
      <c r="B562">
        <f t="shared" si="32"/>
        <v>7</v>
      </c>
      <c r="C562" t="s">
        <v>10</v>
      </c>
      <c r="D562">
        <f t="shared" si="34"/>
        <v>0</v>
      </c>
      <c r="E562">
        <f t="shared" si="35"/>
        <v>150</v>
      </c>
      <c r="F562">
        <f t="shared" si="33"/>
        <v>-150</v>
      </c>
    </row>
    <row r="563" spans="1:6" x14ac:dyDescent="0.25">
      <c r="A563" s="1">
        <v>45488</v>
      </c>
      <c r="B563">
        <f t="shared" si="32"/>
        <v>1</v>
      </c>
      <c r="C563" t="s">
        <v>10</v>
      </c>
      <c r="D563">
        <f t="shared" si="34"/>
        <v>270</v>
      </c>
      <c r="E563">
        <f t="shared" si="35"/>
        <v>0</v>
      </c>
      <c r="F563">
        <f t="shared" si="33"/>
        <v>270</v>
      </c>
    </row>
    <row r="564" spans="1:6" x14ac:dyDescent="0.25">
      <c r="A564" s="1">
        <v>45489</v>
      </c>
      <c r="B564">
        <f t="shared" si="32"/>
        <v>2</v>
      </c>
      <c r="C564" t="s">
        <v>10</v>
      </c>
      <c r="D564">
        <f t="shared" si="34"/>
        <v>270</v>
      </c>
      <c r="E564">
        <f t="shared" si="35"/>
        <v>0</v>
      </c>
      <c r="F564">
        <f t="shared" si="33"/>
        <v>270</v>
      </c>
    </row>
    <row r="565" spans="1:6" x14ac:dyDescent="0.25">
      <c r="A565" s="1">
        <v>45490</v>
      </c>
      <c r="B565">
        <f t="shared" si="32"/>
        <v>3</v>
      </c>
      <c r="C565" t="s">
        <v>10</v>
      </c>
      <c r="D565">
        <f t="shared" si="34"/>
        <v>270</v>
      </c>
      <c r="E565">
        <f t="shared" si="35"/>
        <v>0</v>
      </c>
      <c r="F565">
        <f t="shared" si="33"/>
        <v>270</v>
      </c>
    </row>
    <row r="566" spans="1:6" x14ac:dyDescent="0.25">
      <c r="A566" s="1">
        <v>45491</v>
      </c>
      <c r="B566">
        <f t="shared" si="32"/>
        <v>4</v>
      </c>
      <c r="C566" t="s">
        <v>10</v>
      </c>
      <c r="D566">
        <f t="shared" si="34"/>
        <v>270</v>
      </c>
      <c r="E566">
        <f t="shared" si="35"/>
        <v>0</v>
      </c>
      <c r="F566">
        <f t="shared" si="33"/>
        <v>270</v>
      </c>
    </row>
    <row r="567" spans="1:6" x14ac:dyDescent="0.25">
      <c r="A567" s="1">
        <v>45492</v>
      </c>
      <c r="B567">
        <f t="shared" si="32"/>
        <v>5</v>
      </c>
      <c r="C567" t="s">
        <v>10</v>
      </c>
      <c r="D567">
        <f t="shared" si="34"/>
        <v>270</v>
      </c>
      <c r="E567">
        <f t="shared" si="35"/>
        <v>0</v>
      </c>
      <c r="F567">
        <f t="shared" si="33"/>
        <v>270</v>
      </c>
    </row>
    <row r="568" spans="1:6" x14ac:dyDescent="0.25">
      <c r="A568" s="1">
        <v>45493</v>
      </c>
      <c r="B568">
        <f t="shared" si="32"/>
        <v>6</v>
      </c>
      <c r="C568" t="s">
        <v>10</v>
      </c>
      <c r="D568">
        <f t="shared" si="34"/>
        <v>0</v>
      </c>
      <c r="E568">
        <f t="shared" si="35"/>
        <v>0</v>
      </c>
      <c r="F568">
        <f t="shared" si="33"/>
        <v>0</v>
      </c>
    </row>
    <row r="569" spans="1:6" x14ac:dyDescent="0.25">
      <c r="A569" s="1">
        <v>45494</v>
      </c>
      <c r="B569">
        <f t="shared" si="32"/>
        <v>7</v>
      </c>
      <c r="C569" t="s">
        <v>10</v>
      </c>
      <c r="D569">
        <f t="shared" si="34"/>
        <v>0</v>
      </c>
      <c r="E569">
        <f t="shared" si="35"/>
        <v>150</v>
      </c>
      <c r="F569">
        <f t="shared" si="33"/>
        <v>-150</v>
      </c>
    </row>
    <row r="570" spans="1:6" x14ac:dyDescent="0.25">
      <c r="A570" s="1">
        <v>45495</v>
      </c>
      <c r="B570">
        <f t="shared" si="32"/>
        <v>1</v>
      </c>
      <c r="C570" t="s">
        <v>10</v>
      </c>
      <c r="D570">
        <f t="shared" si="34"/>
        <v>270</v>
      </c>
      <c r="E570">
        <f t="shared" si="35"/>
        <v>0</v>
      </c>
      <c r="F570">
        <f t="shared" si="33"/>
        <v>270</v>
      </c>
    </row>
    <row r="571" spans="1:6" x14ac:dyDescent="0.25">
      <c r="A571" s="1">
        <v>45496</v>
      </c>
      <c r="B571">
        <f t="shared" si="32"/>
        <v>2</v>
      </c>
      <c r="C571" t="s">
        <v>10</v>
      </c>
      <c r="D571">
        <f t="shared" si="34"/>
        <v>270</v>
      </c>
      <c r="E571">
        <f t="shared" si="35"/>
        <v>0</v>
      </c>
      <c r="F571">
        <f t="shared" si="33"/>
        <v>270</v>
      </c>
    </row>
    <row r="572" spans="1:6" x14ac:dyDescent="0.25">
      <c r="A572" s="1">
        <v>45497</v>
      </c>
      <c r="B572">
        <f t="shared" si="32"/>
        <v>3</v>
      </c>
      <c r="C572" t="s">
        <v>10</v>
      </c>
      <c r="D572">
        <f t="shared" si="34"/>
        <v>270</v>
      </c>
      <c r="E572">
        <f t="shared" si="35"/>
        <v>0</v>
      </c>
      <c r="F572">
        <f t="shared" si="33"/>
        <v>270</v>
      </c>
    </row>
    <row r="573" spans="1:6" x14ac:dyDescent="0.25">
      <c r="A573" s="1">
        <v>45498</v>
      </c>
      <c r="B573">
        <f t="shared" si="32"/>
        <v>4</v>
      </c>
      <c r="C573" t="s">
        <v>10</v>
      </c>
      <c r="D573">
        <f t="shared" si="34"/>
        <v>270</v>
      </c>
      <c r="E573">
        <f t="shared" si="35"/>
        <v>0</v>
      </c>
      <c r="F573">
        <f t="shared" si="33"/>
        <v>270</v>
      </c>
    </row>
    <row r="574" spans="1:6" x14ac:dyDescent="0.25">
      <c r="A574" s="1">
        <v>45499</v>
      </c>
      <c r="B574">
        <f t="shared" si="32"/>
        <v>5</v>
      </c>
      <c r="C574" t="s">
        <v>10</v>
      </c>
      <c r="D574">
        <f t="shared" si="34"/>
        <v>270</v>
      </c>
      <c r="E574">
        <f t="shared" si="35"/>
        <v>0</v>
      </c>
      <c r="F574">
        <f t="shared" si="33"/>
        <v>270</v>
      </c>
    </row>
    <row r="575" spans="1:6" x14ac:dyDescent="0.25">
      <c r="A575" s="1">
        <v>45500</v>
      </c>
      <c r="B575">
        <f t="shared" si="32"/>
        <v>6</v>
      </c>
      <c r="C575" t="s">
        <v>10</v>
      </c>
      <c r="D575">
        <f t="shared" si="34"/>
        <v>0</v>
      </c>
      <c r="E575">
        <f t="shared" si="35"/>
        <v>0</v>
      </c>
      <c r="F575">
        <f t="shared" si="33"/>
        <v>0</v>
      </c>
    </row>
    <row r="576" spans="1:6" x14ac:dyDescent="0.25">
      <c r="A576" s="1">
        <v>45501</v>
      </c>
      <c r="B576">
        <f t="shared" si="32"/>
        <v>7</v>
      </c>
      <c r="C576" t="s">
        <v>10</v>
      </c>
      <c r="D576">
        <f t="shared" si="34"/>
        <v>0</v>
      </c>
      <c r="E576">
        <f t="shared" si="35"/>
        <v>150</v>
      </c>
      <c r="F576">
        <f t="shared" si="33"/>
        <v>-150</v>
      </c>
    </row>
    <row r="577" spans="1:6" x14ac:dyDescent="0.25">
      <c r="A577" s="1">
        <v>45502</v>
      </c>
      <c r="B577">
        <f t="shared" si="32"/>
        <v>1</v>
      </c>
      <c r="C577" t="s">
        <v>10</v>
      </c>
      <c r="D577">
        <f t="shared" si="34"/>
        <v>270</v>
      </c>
      <c r="E577">
        <f t="shared" si="35"/>
        <v>0</v>
      </c>
      <c r="F577">
        <f t="shared" si="33"/>
        <v>270</v>
      </c>
    </row>
    <row r="578" spans="1:6" x14ac:dyDescent="0.25">
      <c r="A578" s="1">
        <v>45503</v>
      </c>
      <c r="B578">
        <f t="shared" si="32"/>
        <v>2</v>
      </c>
      <c r="C578" t="s">
        <v>10</v>
      </c>
      <c r="D578">
        <f t="shared" si="34"/>
        <v>270</v>
      </c>
      <c r="E578">
        <f t="shared" si="35"/>
        <v>0</v>
      </c>
      <c r="F578">
        <f t="shared" si="33"/>
        <v>270</v>
      </c>
    </row>
    <row r="579" spans="1:6" x14ac:dyDescent="0.25">
      <c r="A579" s="1">
        <v>45504</v>
      </c>
      <c r="B579">
        <f t="shared" ref="B579:B642" si="36">WEEKDAY(A579,2)</f>
        <v>3</v>
      </c>
      <c r="C579" t="s">
        <v>10</v>
      </c>
      <c r="D579">
        <f t="shared" si="34"/>
        <v>270</v>
      </c>
      <c r="E579">
        <f t="shared" si="35"/>
        <v>0</v>
      </c>
      <c r="F579">
        <f t="shared" ref="F579:F642" si="37">D579-E579</f>
        <v>270</v>
      </c>
    </row>
    <row r="580" spans="1:6" x14ac:dyDescent="0.25">
      <c r="A580" s="1">
        <v>45505</v>
      </c>
      <c r="B580">
        <f t="shared" si="36"/>
        <v>4</v>
      </c>
      <c r="C580" t="s">
        <v>10</v>
      </c>
      <c r="D580">
        <f t="shared" ref="D580:D643" si="38">IF(B580&lt;6,$Q$1*VLOOKUP(C580,$S$1:$T$5,2,FALSE)*$Q$3,0)</f>
        <v>270</v>
      </c>
      <c r="E580">
        <f t="shared" ref="E580:E643" si="39">IF(B580=7,$Q$4*$Q$1,0)</f>
        <v>0</v>
      </c>
      <c r="F580">
        <f t="shared" si="37"/>
        <v>270</v>
      </c>
    </row>
    <row r="581" spans="1:6" x14ac:dyDescent="0.25">
      <c r="A581" s="1">
        <v>45506</v>
      </c>
      <c r="B581">
        <f t="shared" si="36"/>
        <v>5</v>
      </c>
      <c r="C581" t="s">
        <v>10</v>
      </c>
      <c r="D581">
        <f t="shared" si="38"/>
        <v>270</v>
      </c>
      <c r="E581">
        <f t="shared" si="39"/>
        <v>0</v>
      </c>
      <c r="F581">
        <f t="shared" si="37"/>
        <v>270</v>
      </c>
    </row>
    <row r="582" spans="1:6" x14ac:dyDescent="0.25">
      <c r="A582" s="1">
        <v>45507</v>
      </c>
      <c r="B582">
        <f t="shared" si="36"/>
        <v>6</v>
      </c>
      <c r="C582" t="s">
        <v>10</v>
      </c>
      <c r="D582">
        <f t="shared" si="38"/>
        <v>0</v>
      </c>
      <c r="E582">
        <f t="shared" si="39"/>
        <v>0</v>
      </c>
      <c r="F582">
        <f t="shared" si="37"/>
        <v>0</v>
      </c>
    </row>
    <row r="583" spans="1:6" x14ac:dyDescent="0.25">
      <c r="A583" s="1">
        <v>45508</v>
      </c>
      <c r="B583">
        <f t="shared" si="36"/>
        <v>7</v>
      </c>
      <c r="C583" t="s">
        <v>10</v>
      </c>
      <c r="D583">
        <f t="shared" si="38"/>
        <v>0</v>
      </c>
      <c r="E583">
        <f t="shared" si="39"/>
        <v>150</v>
      </c>
      <c r="F583">
        <f t="shared" si="37"/>
        <v>-150</v>
      </c>
    </row>
    <row r="584" spans="1:6" x14ac:dyDescent="0.25">
      <c r="A584" s="1">
        <v>45509</v>
      </c>
      <c r="B584">
        <f t="shared" si="36"/>
        <v>1</v>
      </c>
      <c r="C584" t="s">
        <v>10</v>
      </c>
      <c r="D584">
        <f t="shared" si="38"/>
        <v>270</v>
      </c>
      <c r="E584">
        <f t="shared" si="39"/>
        <v>0</v>
      </c>
      <c r="F584">
        <f t="shared" si="37"/>
        <v>270</v>
      </c>
    </row>
    <row r="585" spans="1:6" x14ac:dyDescent="0.25">
      <c r="A585" s="1">
        <v>45510</v>
      </c>
      <c r="B585">
        <f t="shared" si="36"/>
        <v>2</v>
      </c>
      <c r="C585" t="s">
        <v>10</v>
      </c>
      <c r="D585">
        <f t="shared" si="38"/>
        <v>270</v>
      </c>
      <c r="E585">
        <f t="shared" si="39"/>
        <v>0</v>
      </c>
      <c r="F585">
        <f t="shared" si="37"/>
        <v>270</v>
      </c>
    </row>
    <row r="586" spans="1:6" x14ac:dyDescent="0.25">
      <c r="A586" s="1">
        <v>45511</v>
      </c>
      <c r="B586">
        <f t="shared" si="36"/>
        <v>3</v>
      </c>
      <c r="C586" t="s">
        <v>10</v>
      </c>
      <c r="D586">
        <f t="shared" si="38"/>
        <v>270</v>
      </c>
      <c r="E586">
        <f t="shared" si="39"/>
        <v>0</v>
      </c>
      <c r="F586">
        <f t="shared" si="37"/>
        <v>270</v>
      </c>
    </row>
    <row r="587" spans="1:6" x14ac:dyDescent="0.25">
      <c r="A587" s="1">
        <v>45512</v>
      </c>
      <c r="B587">
        <f t="shared" si="36"/>
        <v>4</v>
      </c>
      <c r="C587" t="s">
        <v>10</v>
      </c>
      <c r="D587">
        <f t="shared" si="38"/>
        <v>270</v>
      </c>
      <c r="E587">
        <f t="shared" si="39"/>
        <v>0</v>
      </c>
      <c r="F587">
        <f t="shared" si="37"/>
        <v>270</v>
      </c>
    </row>
    <row r="588" spans="1:6" x14ac:dyDescent="0.25">
      <c r="A588" s="1">
        <v>45513</v>
      </c>
      <c r="B588">
        <f t="shared" si="36"/>
        <v>5</v>
      </c>
      <c r="C588" t="s">
        <v>10</v>
      </c>
      <c r="D588">
        <f t="shared" si="38"/>
        <v>270</v>
      </c>
      <c r="E588">
        <f t="shared" si="39"/>
        <v>0</v>
      </c>
      <c r="F588">
        <f t="shared" si="37"/>
        <v>270</v>
      </c>
    </row>
    <row r="589" spans="1:6" x14ac:dyDescent="0.25">
      <c r="A589" s="1">
        <v>45514</v>
      </c>
      <c r="B589">
        <f t="shared" si="36"/>
        <v>6</v>
      </c>
      <c r="C589" t="s">
        <v>10</v>
      </c>
      <c r="D589">
        <f t="shared" si="38"/>
        <v>0</v>
      </c>
      <c r="E589">
        <f t="shared" si="39"/>
        <v>0</v>
      </c>
      <c r="F589">
        <f t="shared" si="37"/>
        <v>0</v>
      </c>
    </row>
    <row r="590" spans="1:6" x14ac:dyDescent="0.25">
      <c r="A590" s="1">
        <v>45515</v>
      </c>
      <c r="B590">
        <f t="shared" si="36"/>
        <v>7</v>
      </c>
      <c r="C590" t="s">
        <v>10</v>
      </c>
      <c r="D590">
        <f t="shared" si="38"/>
        <v>0</v>
      </c>
      <c r="E590">
        <f t="shared" si="39"/>
        <v>150</v>
      </c>
      <c r="F590">
        <f t="shared" si="37"/>
        <v>-150</v>
      </c>
    </row>
    <row r="591" spans="1:6" x14ac:dyDescent="0.25">
      <c r="A591" s="1">
        <v>45516</v>
      </c>
      <c r="B591">
        <f t="shared" si="36"/>
        <v>1</v>
      </c>
      <c r="C591" t="s">
        <v>10</v>
      </c>
      <c r="D591">
        <f t="shared" si="38"/>
        <v>270</v>
      </c>
      <c r="E591">
        <f t="shared" si="39"/>
        <v>0</v>
      </c>
      <c r="F591">
        <f t="shared" si="37"/>
        <v>270</v>
      </c>
    </row>
    <row r="592" spans="1:6" x14ac:dyDescent="0.25">
      <c r="A592" s="1">
        <v>45517</v>
      </c>
      <c r="B592">
        <f t="shared" si="36"/>
        <v>2</v>
      </c>
      <c r="C592" t="s">
        <v>10</v>
      </c>
      <c r="D592">
        <f t="shared" si="38"/>
        <v>270</v>
      </c>
      <c r="E592">
        <f t="shared" si="39"/>
        <v>0</v>
      </c>
      <c r="F592">
        <f t="shared" si="37"/>
        <v>270</v>
      </c>
    </row>
    <row r="593" spans="1:6" x14ac:dyDescent="0.25">
      <c r="A593" s="1">
        <v>45518</v>
      </c>
      <c r="B593">
        <f t="shared" si="36"/>
        <v>3</v>
      </c>
      <c r="C593" t="s">
        <v>10</v>
      </c>
      <c r="D593">
        <f t="shared" si="38"/>
        <v>270</v>
      </c>
      <c r="E593">
        <f t="shared" si="39"/>
        <v>0</v>
      </c>
      <c r="F593">
        <f t="shared" si="37"/>
        <v>270</v>
      </c>
    </row>
    <row r="594" spans="1:6" x14ac:dyDescent="0.25">
      <c r="A594" s="1">
        <v>45519</v>
      </c>
      <c r="B594">
        <f t="shared" si="36"/>
        <v>4</v>
      </c>
      <c r="C594" t="s">
        <v>10</v>
      </c>
      <c r="D594">
        <f t="shared" si="38"/>
        <v>270</v>
      </c>
      <c r="E594">
        <f t="shared" si="39"/>
        <v>0</v>
      </c>
      <c r="F594">
        <f t="shared" si="37"/>
        <v>270</v>
      </c>
    </row>
    <row r="595" spans="1:6" x14ac:dyDescent="0.25">
      <c r="A595" s="1">
        <v>45520</v>
      </c>
      <c r="B595">
        <f t="shared" si="36"/>
        <v>5</v>
      </c>
      <c r="C595" t="s">
        <v>10</v>
      </c>
      <c r="D595">
        <f t="shared" si="38"/>
        <v>270</v>
      </c>
      <c r="E595">
        <f t="shared" si="39"/>
        <v>0</v>
      </c>
      <c r="F595">
        <f t="shared" si="37"/>
        <v>270</v>
      </c>
    </row>
    <row r="596" spans="1:6" x14ac:dyDescent="0.25">
      <c r="A596" s="1">
        <v>45521</v>
      </c>
      <c r="B596">
        <f t="shared" si="36"/>
        <v>6</v>
      </c>
      <c r="C596" t="s">
        <v>10</v>
      </c>
      <c r="D596">
        <f t="shared" si="38"/>
        <v>0</v>
      </c>
      <c r="E596">
        <f t="shared" si="39"/>
        <v>0</v>
      </c>
      <c r="F596">
        <f t="shared" si="37"/>
        <v>0</v>
      </c>
    </row>
    <row r="597" spans="1:6" x14ac:dyDescent="0.25">
      <c r="A597" s="1">
        <v>45522</v>
      </c>
      <c r="B597">
        <f t="shared" si="36"/>
        <v>7</v>
      </c>
      <c r="C597" t="s">
        <v>10</v>
      </c>
      <c r="D597">
        <f t="shared" si="38"/>
        <v>0</v>
      </c>
      <c r="E597">
        <f t="shared" si="39"/>
        <v>150</v>
      </c>
      <c r="F597">
        <f t="shared" si="37"/>
        <v>-150</v>
      </c>
    </row>
    <row r="598" spans="1:6" x14ac:dyDescent="0.25">
      <c r="A598" s="1">
        <v>45523</v>
      </c>
      <c r="B598">
        <f t="shared" si="36"/>
        <v>1</v>
      </c>
      <c r="C598" t="s">
        <v>10</v>
      </c>
      <c r="D598">
        <f t="shared" si="38"/>
        <v>270</v>
      </c>
      <c r="E598">
        <f t="shared" si="39"/>
        <v>0</v>
      </c>
      <c r="F598">
        <f t="shared" si="37"/>
        <v>270</v>
      </c>
    </row>
    <row r="599" spans="1:6" x14ac:dyDescent="0.25">
      <c r="A599" s="1">
        <v>45524</v>
      </c>
      <c r="B599">
        <f t="shared" si="36"/>
        <v>2</v>
      </c>
      <c r="C599" t="s">
        <v>10</v>
      </c>
      <c r="D599">
        <f t="shared" si="38"/>
        <v>270</v>
      </c>
      <c r="E599">
        <f t="shared" si="39"/>
        <v>0</v>
      </c>
      <c r="F599">
        <f t="shared" si="37"/>
        <v>270</v>
      </c>
    </row>
    <row r="600" spans="1:6" x14ac:dyDescent="0.25">
      <c r="A600" s="1">
        <v>45525</v>
      </c>
      <c r="B600">
        <f t="shared" si="36"/>
        <v>3</v>
      </c>
      <c r="C600" t="s">
        <v>10</v>
      </c>
      <c r="D600">
        <f t="shared" si="38"/>
        <v>270</v>
      </c>
      <c r="E600">
        <f t="shared" si="39"/>
        <v>0</v>
      </c>
      <c r="F600">
        <f t="shared" si="37"/>
        <v>270</v>
      </c>
    </row>
    <row r="601" spans="1:6" x14ac:dyDescent="0.25">
      <c r="A601" s="1">
        <v>45526</v>
      </c>
      <c r="B601">
        <f t="shared" si="36"/>
        <v>4</v>
      </c>
      <c r="C601" t="s">
        <v>10</v>
      </c>
      <c r="D601">
        <f t="shared" si="38"/>
        <v>270</v>
      </c>
      <c r="E601">
        <f t="shared" si="39"/>
        <v>0</v>
      </c>
      <c r="F601">
        <f t="shared" si="37"/>
        <v>270</v>
      </c>
    </row>
    <row r="602" spans="1:6" x14ac:dyDescent="0.25">
      <c r="A602" s="1">
        <v>45527</v>
      </c>
      <c r="B602">
        <f t="shared" si="36"/>
        <v>5</v>
      </c>
      <c r="C602" t="s">
        <v>10</v>
      </c>
      <c r="D602">
        <f t="shared" si="38"/>
        <v>270</v>
      </c>
      <c r="E602">
        <f t="shared" si="39"/>
        <v>0</v>
      </c>
      <c r="F602">
        <f t="shared" si="37"/>
        <v>270</v>
      </c>
    </row>
    <row r="603" spans="1:6" x14ac:dyDescent="0.25">
      <c r="A603" s="1">
        <v>45528</v>
      </c>
      <c r="B603">
        <f t="shared" si="36"/>
        <v>6</v>
      </c>
      <c r="C603" t="s">
        <v>10</v>
      </c>
      <c r="D603">
        <f t="shared" si="38"/>
        <v>0</v>
      </c>
      <c r="E603">
        <f t="shared" si="39"/>
        <v>0</v>
      </c>
      <c r="F603">
        <f t="shared" si="37"/>
        <v>0</v>
      </c>
    </row>
    <row r="604" spans="1:6" x14ac:dyDescent="0.25">
      <c r="A604" s="1">
        <v>45529</v>
      </c>
      <c r="B604">
        <f t="shared" si="36"/>
        <v>7</v>
      </c>
      <c r="C604" t="s">
        <v>10</v>
      </c>
      <c r="D604">
        <f t="shared" si="38"/>
        <v>0</v>
      </c>
      <c r="E604">
        <f t="shared" si="39"/>
        <v>150</v>
      </c>
      <c r="F604">
        <f t="shared" si="37"/>
        <v>-150</v>
      </c>
    </row>
    <row r="605" spans="1:6" x14ac:dyDescent="0.25">
      <c r="A605" s="1">
        <v>45530</v>
      </c>
      <c r="B605">
        <f t="shared" si="36"/>
        <v>1</v>
      </c>
      <c r="C605" t="s">
        <v>10</v>
      </c>
      <c r="D605">
        <f t="shared" si="38"/>
        <v>270</v>
      </c>
      <c r="E605">
        <f t="shared" si="39"/>
        <v>0</v>
      </c>
      <c r="F605">
        <f t="shared" si="37"/>
        <v>270</v>
      </c>
    </row>
    <row r="606" spans="1:6" x14ac:dyDescent="0.25">
      <c r="A606" s="1">
        <v>45531</v>
      </c>
      <c r="B606">
        <f t="shared" si="36"/>
        <v>2</v>
      </c>
      <c r="C606" t="s">
        <v>10</v>
      </c>
      <c r="D606">
        <f t="shared" si="38"/>
        <v>270</v>
      </c>
      <c r="E606">
        <f t="shared" si="39"/>
        <v>0</v>
      </c>
      <c r="F606">
        <f t="shared" si="37"/>
        <v>270</v>
      </c>
    </row>
    <row r="607" spans="1:6" x14ac:dyDescent="0.25">
      <c r="A607" s="1">
        <v>45532</v>
      </c>
      <c r="B607">
        <f t="shared" si="36"/>
        <v>3</v>
      </c>
      <c r="C607" t="s">
        <v>10</v>
      </c>
      <c r="D607">
        <f t="shared" si="38"/>
        <v>270</v>
      </c>
      <c r="E607">
        <f t="shared" si="39"/>
        <v>0</v>
      </c>
      <c r="F607">
        <f t="shared" si="37"/>
        <v>270</v>
      </c>
    </row>
    <row r="608" spans="1:6" x14ac:dyDescent="0.25">
      <c r="A608" s="1">
        <v>45533</v>
      </c>
      <c r="B608">
        <f t="shared" si="36"/>
        <v>4</v>
      </c>
      <c r="C608" t="s">
        <v>10</v>
      </c>
      <c r="D608">
        <f t="shared" si="38"/>
        <v>270</v>
      </c>
      <c r="E608">
        <f t="shared" si="39"/>
        <v>0</v>
      </c>
      <c r="F608">
        <f t="shared" si="37"/>
        <v>270</v>
      </c>
    </row>
    <row r="609" spans="1:6" x14ac:dyDescent="0.25">
      <c r="A609" s="1">
        <v>45534</v>
      </c>
      <c r="B609">
        <f t="shared" si="36"/>
        <v>5</v>
      </c>
      <c r="C609" t="s">
        <v>10</v>
      </c>
      <c r="D609">
        <f t="shared" si="38"/>
        <v>270</v>
      </c>
      <c r="E609">
        <f t="shared" si="39"/>
        <v>0</v>
      </c>
      <c r="F609">
        <f t="shared" si="37"/>
        <v>270</v>
      </c>
    </row>
    <row r="610" spans="1:6" x14ac:dyDescent="0.25">
      <c r="A610" s="1">
        <v>45535</v>
      </c>
      <c r="B610">
        <f t="shared" si="36"/>
        <v>6</v>
      </c>
      <c r="C610" t="s">
        <v>10</v>
      </c>
      <c r="D610">
        <f t="shared" si="38"/>
        <v>0</v>
      </c>
      <c r="E610">
        <f t="shared" si="39"/>
        <v>0</v>
      </c>
      <c r="F610">
        <f t="shared" si="37"/>
        <v>0</v>
      </c>
    </row>
    <row r="611" spans="1:6" x14ac:dyDescent="0.25">
      <c r="A611" s="1">
        <v>45536</v>
      </c>
      <c r="B611">
        <f t="shared" si="36"/>
        <v>7</v>
      </c>
      <c r="C611" t="s">
        <v>10</v>
      </c>
      <c r="D611">
        <f t="shared" si="38"/>
        <v>0</v>
      </c>
      <c r="E611">
        <f t="shared" si="39"/>
        <v>150</v>
      </c>
      <c r="F611">
        <f t="shared" si="37"/>
        <v>-150</v>
      </c>
    </row>
    <row r="612" spans="1:6" x14ac:dyDescent="0.25">
      <c r="A612" s="1">
        <v>45537</v>
      </c>
      <c r="B612">
        <f t="shared" si="36"/>
        <v>1</v>
      </c>
      <c r="C612" t="s">
        <v>10</v>
      </c>
      <c r="D612">
        <f t="shared" si="38"/>
        <v>270</v>
      </c>
      <c r="E612">
        <f t="shared" si="39"/>
        <v>0</v>
      </c>
      <c r="F612">
        <f t="shared" si="37"/>
        <v>270</v>
      </c>
    </row>
    <row r="613" spans="1:6" x14ac:dyDescent="0.25">
      <c r="A613" s="1">
        <v>45538</v>
      </c>
      <c r="B613">
        <f t="shared" si="36"/>
        <v>2</v>
      </c>
      <c r="C613" t="s">
        <v>10</v>
      </c>
      <c r="D613">
        <f t="shared" si="38"/>
        <v>270</v>
      </c>
      <c r="E613">
        <f t="shared" si="39"/>
        <v>0</v>
      </c>
      <c r="F613">
        <f t="shared" si="37"/>
        <v>270</v>
      </c>
    </row>
    <row r="614" spans="1:6" x14ac:dyDescent="0.25">
      <c r="A614" s="1">
        <v>45539</v>
      </c>
      <c r="B614">
        <f t="shared" si="36"/>
        <v>3</v>
      </c>
      <c r="C614" t="s">
        <v>10</v>
      </c>
      <c r="D614">
        <f t="shared" si="38"/>
        <v>270</v>
      </c>
      <c r="E614">
        <f t="shared" si="39"/>
        <v>0</v>
      </c>
      <c r="F614">
        <f t="shared" si="37"/>
        <v>270</v>
      </c>
    </row>
    <row r="615" spans="1:6" x14ac:dyDescent="0.25">
      <c r="A615" s="1">
        <v>45540</v>
      </c>
      <c r="B615">
        <f t="shared" si="36"/>
        <v>4</v>
      </c>
      <c r="C615" t="s">
        <v>10</v>
      </c>
      <c r="D615">
        <f t="shared" si="38"/>
        <v>270</v>
      </c>
      <c r="E615">
        <f t="shared" si="39"/>
        <v>0</v>
      </c>
      <c r="F615">
        <f t="shared" si="37"/>
        <v>270</v>
      </c>
    </row>
    <row r="616" spans="1:6" x14ac:dyDescent="0.25">
      <c r="A616" s="1">
        <v>45541</v>
      </c>
      <c r="B616">
        <f t="shared" si="36"/>
        <v>5</v>
      </c>
      <c r="C616" t="s">
        <v>10</v>
      </c>
      <c r="D616">
        <f t="shared" si="38"/>
        <v>270</v>
      </c>
      <c r="E616">
        <f t="shared" si="39"/>
        <v>0</v>
      </c>
      <c r="F616">
        <f t="shared" si="37"/>
        <v>270</v>
      </c>
    </row>
    <row r="617" spans="1:6" x14ac:dyDescent="0.25">
      <c r="A617" s="1">
        <v>45542</v>
      </c>
      <c r="B617">
        <f t="shared" si="36"/>
        <v>6</v>
      </c>
      <c r="C617" t="s">
        <v>10</v>
      </c>
      <c r="D617">
        <f t="shared" si="38"/>
        <v>0</v>
      </c>
      <c r="E617">
        <f t="shared" si="39"/>
        <v>0</v>
      </c>
      <c r="F617">
        <f t="shared" si="37"/>
        <v>0</v>
      </c>
    </row>
    <row r="618" spans="1:6" x14ac:dyDescent="0.25">
      <c r="A618" s="1">
        <v>45543</v>
      </c>
      <c r="B618">
        <f t="shared" si="36"/>
        <v>7</v>
      </c>
      <c r="C618" t="s">
        <v>10</v>
      </c>
      <c r="D618">
        <f t="shared" si="38"/>
        <v>0</v>
      </c>
      <c r="E618">
        <f t="shared" si="39"/>
        <v>150</v>
      </c>
      <c r="F618">
        <f t="shared" si="37"/>
        <v>-150</v>
      </c>
    </row>
    <row r="619" spans="1:6" x14ac:dyDescent="0.25">
      <c r="A619" s="1">
        <v>45544</v>
      </c>
      <c r="B619">
        <f t="shared" si="36"/>
        <v>1</v>
      </c>
      <c r="C619" t="s">
        <v>10</v>
      </c>
      <c r="D619">
        <f t="shared" si="38"/>
        <v>270</v>
      </c>
      <c r="E619">
        <f t="shared" si="39"/>
        <v>0</v>
      </c>
      <c r="F619">
        <f t="shared" si="37"/>
        <v>270</v>
      </c>
    </row>
    <row r="620" spans="1:6" x14ac:dyDescent="0.25">
      <c r="A620" s="1">
        <v>45545</v>
      </c>
      <c r="B620">
        <f t="shared" si="36"/>
        <v>2</v>
      </c>
      <c r="C620" t="s">
        <v>10</v>
      </c>
      <c r="D620">
        <f t="shared" si="38"/>
        <v>270</v>
      </c>
      <c r="E620">
        <f t="shared" si="39"/>
        <v>0</v>
      </c>
      <c r="F620">
        <f t="shared" si="37"/>
        <v>270</v>
      </c>
    </row>
    <row r="621" spans="1:6" x14ac:dyDescent="0.25">
      <c r="A621" s="1">
        <v>45546</v>
      </c>
      <c r="B621">
        <f t="shared" si="36"/>
        <v>3</v>
      </c>
      <c r="C621" t="s">
        <v>10</v>
      </c>
      <c r="D621">
        <f t="shared" si="38"/>
        <v>270</v>
      </c>
      <c r="E621">
        <f t="shared" si="39"/>
        <v>0</v>
      </c>
      <c r="F621">
        <f t="shared" si="37"/>
        <v>270</v>
      </c>
    </row>
    <row r="622" spans="1:6" x14ac:dyDescent="0.25">
      <c r="A622" s="1">
        <v>45547</v>
      </c>
      <c r="B622">
        <f t="shared" si="36"/>
        <v>4</v>
      </c>
      <c r="C622" t="s">
        <v>10</v>
      </c>
      <c r="D622">
        <f t="shared" si="38"/>
        <v>270</v>
      </c>
      <c r="E622">
        <f t="shared" si="39"/>
        <v>0</v>
      </c>
      <c r="F622">
        <f t="shared" si="37"/>
        <v>270</v>
      </c>
    </row>
    <row r="623" spans="1:6" x14ac:dyDescent="0.25">
      <c r="A623" s="1">
        <v>45548</v>
      </c>
      <c r="B623">
        <f t="shared" si="36"/>
        <v>5</v>
      </c>
      <c r="C623" t="s">
        <v>10</v>
      </c>
      <c r="D623">
        <f t="shared" si="38"/>
        <v>270</v>
      </c>
      <c r="E623">
        <f t="shared" si="39"/>
        <v>0</v>
      </c>
      <c r="F623">
        <f t="shared" si="37"/>
        <v>270</v>
      </c>
    </row>
    <row r="624" spans="1:6" x14ac:dyDescent="0.25">
      <c r="A624" s="1">
        <v>45549</v>
      </c>
      <c r="B624">
        <f t="shared" si="36"/>
        <v>6</v>
      </c>
      <c r="C624" t="s">
        <v>10</v>
      </c>
      <c r="D624">
        <f t="shared" si="38"/>
        <v>0</v>
      </c>
      <c r="E624">
        <f t="shared" si="39"/>
        <v>0</v>
      </c>
      <c r="F624">
        <f t="shared" si="37"/>
        <v>0</v>
      </c>
    </row>
    <row r="625" spans="1:6" x14ac:dyDescent="0.25">
      <c r="A625" s="1">
        <v>45550</v>
      </c>
      <c r="B625">
        <f t="shared" si="36"/>
        <v>7</v>
      </c>
      <c r="C625" t="s">
        <v>10</v>
      </c>
      <c r="D625">
        <f t="shared" si="38"/>
        <v>0</v>
      </c>
      <c r="E625">
        <f t="shared" si="39"/>
        <v>150</v>
      </c>
      <c r="F625">
        <f t="shared" si="37"/>
        <v>-150</v>
      </c>
    </row>
    <row r="626" spans="1:6" x14ac:dyDescent="0.25">
      <c r="A626" s="1">
        <v>45551</v>
      </c>
      <c r="B626">
        <f t="shared" si="36"/>
        <v>1</v>
      </c>
      <c r="C626" t="s">
        <v>10</v>
      </c>
      <c r="D626">
        <f t="shared" si="38"/>
        <v>270</v>
      </c>
      <c r="E626">
        <f t="shared" si="39"/>
        <v>0</v>
      </c>
      <c r="F626">
        <f t="shared" si="37"/>
        <v>270</v>
      </c>
    </row>
    <row r="627" spans="1:6" x14ac:dyDescent="0.25">
      <c r="A627" s="1">
        <v>45552</v>
      </c>
      <c r="B627">
        <f t="shared" si="36"/>
        <v>2</v>
      </c>
      <c r="C627" t="s">
        <v>10</v>
      </c>
      <c r="D627">
        <f t="shared" si="38"/>
        <v>270</v>
      </c>
      <c r="E627">
        <f t="shared" si="39"/>
        <v>0</v>
      </c>
      <c r="F627">
        <f t="shared" si="37"/>
        <v>270</v>
      </c>
    </row>
    <row r="628" spans="1:6" x14ac:dyDescent="0.25">
      <c r="A628" s="1">
        <v>45553</v>
      </c>
      <c r="B628">
        <f t="shared" si="36"/>
        <v>3</v>
      </c>
      <c r="C628" t="s">
        <v>10</v>
      </c>
      <c r="D628">
        <f t="shared" si="38"/>
        <v>270</v>
      </c>
      <c r="E628">
        <f t="shared" si="39"/>
        <v>0</v>
      </c>
      <c r="F628">
        <f t="shared" si="37"/>
        <v>270</v>
      </c>
    </row>
    <row r="629" spans="1:6" x14ac:dyDescent="0.25">
      <c r="A629" s="1">
        <v>45554</v>
      </c>
      <c r="B629">
        <f t="shared" si="36"/>
        <v>4</v>
      </c>
      <c r="C629" t="s">
        <v>10</v>
      </c>
      <c r="D629">
        <f t="shared" si="38"/>
        <v>270</v>
      </c>
      <c r="E629">
        <f t="shared" si="39"/>
        <v>0</v>
      </c>
      <c r="F629">
        <f t="shared" si="37"/>
        <v>270</v>
      </c>
    </row>
    <row r="630" spans="1:6" x14ac:dyDescent="0.25">
      <c r="A630" s="1">
        <v>45555</v>
      </c>
      <c r="B630">
        <f t="shared" si="36"/>
        <v>5</v>
      </c>
      <c r="C630" t="s">
        <v>10</v>
      </c>
      <c r="D630">
        <f t="shared" si="38"/>
        <v>270</v>
      </c>
      <c r="E630">
        <f t="shared" si="39"/>
        <v>0</v>
      </c>
      <c r="F630">
        <f t="shared" si="37"/>
        <v>270</v>
      </c>
    </row>
    <row r="631" spans="1:6" x14ac:dyDescent="0.25">
      <c r="A631" s="1">
        <v>45556</v>
      </c>
      <c r="B631">
        <f t="shared" si="36"/>
        <v>6</v>
      </c>
      <c r="C631" t="s">
        <v>10</v>
      </c>
      <c r="D631">
        <f t="shared" si="38"/>
        <v>0</v>
      </c>
      <c r="E631">
        <f t="shared" si="39"/>
        <v>0</v>
      </c>
      <c r="F631">
        <f t="shared" si="37"/>
        <v>0</v>
      </c>
    </row>
    <row r="632" spans="1:6" x14ac:dyDescent="0.25">
      <c r="A632" s="1">
        <v>45557</v>
      </c>
      <c r="B632">
        <f t="shared" si="36"/>
        <v>7</v>
      </c>
      <c r="C632" t="s">
        <v>10</v>
      </c>
      <c r="D632">
        <f t="shared" si="38"/>
        <v>0</v>
      </c>
      <c r="E632">
        <f t="shared" si="39"/>
        <v>150</v>
      </c>
      <c r="F632">
        <f t="shared" si="37"/>
        <v>-150</v>
      </c>
    </row>
    <row r="633" spans="1:6" x14ac:dyDescent="0.25">
      <c r="A633" s="1">
        <v>45558</v>
      </c>
      <c r="B633">
        <f t="shared" si="36"/>
        <v>1</v>
      </c>
      <c r="C633" t="s">
        <v>11</v>
      </c>
      <c r="D633">
        <f t="shared" si="38"/>
        <v>120</v>
      </c>
      <c r="E633">
        <f t="shared" si="39"/>
        <v>0</v>
      </c>
      <c r="F633">
        <f t="shared" si="37"/>
        <v>120</v>
      </c>
    </row>
    <row r="634" spans="1:6" x14ac:dyDescent="0.25">
      <c r="A634" s="1">
        <v>45559</v>
      </c>
      <c r="B634">
        <f t="shared" si="36"/>
        <v>2</v>
      </c>
      <c r="C634" t="s">
        <v>11</v>
      </c>
      <c r="D634">
        <f t="shared" si="38"/>
        <v>120</v>
      </c>
      <c r="E634">
        <f t="shared" si="39"/>
        <v>0</v>
      </c>
      <c r="F634">
        <f t="shared" si="37"/>
        <v>120</v>
      </c>
    </row>
    <row r="635" spans="1:6" x14ac:dyDescent="0.25">
      <c r="A635" s="1">
        <v>45560</v>
      </c>
      <c r="B635">
        <f t="shared" si="36"/>
        <v>3</v>
      </c>
      <c r="C635" t="s">
        <v>11</v>
      </c>
      <c r="D635">
        <f t="shared" si="38"/>
        <v>120</v>
      </c>
      <c r="E635">
        <f t="shared" si="39"/>
        <v>0</v>
      </c>
      <c r="F635">
        <f t="shared" si="37"/>
        <v>120</v>
      </c>
    </row>
    <row r="636" spans="1:6" x14ac:dyDescent="0.25">
      <c r="A636" s="1">
        <v>45561</v>
      </c>
      <c r="B636">
        <f t="shared" si="36"/>
        <v>4</v>
      </c>
      <c r="C636" t="s">
        <v>11</v>
      </c>
      <c r="D636">
        <f t="shared" si="38"/>
        <v>120</v>
      </c>
      <c r="E636">
        <f t="shared" si="39"/>
        <v>0</v>
      </c>
      <c r="F636">
        <f t="shared" si="37"/>
        <v>120</v>
      </c>
    </row>
    <row r="637" spans="1:6" x14ac:dyDescent="0.25">
      <c r="A637" s="1">
        <v>45562</v>
      </c>
      <c r="B637">
        <f t="shared" si="36"/>
        <v>5</v>
      </c>
      <c r="C637" t="s">
        <v>11</v>
      </c>
      <c r="D637">
        <f t="shared" si="38"/>
        <v>120</v>
      </c>
      <c r="E637">
        <f t="shared" si="39"/>
        <v>0</v>
      </c>
      <c r="F637">
        <f t="shared" si="37"/>
        <v>120</v>
      </c>
    </row>
    <row r="638" spans="1:6" x14ac:dyDescent="0.25">
      <c r="A638" s="1">
        <v>45563</v>
      </c>
      <c r="B638">
        <f t="shared" si="36"/>
        <v>6</v>
      </c>
      <c r="C638" t="s">
        <v>11</v>
      </c>
      <c r="D638">
        <f t="shared" si="38"/>
        <v>0</v>
      </c>
      <c r="E638">
        <f t="shared" si="39"/>
        <v>0</v>
      </c>
      <c r="F638">
        <f t="shared" si="37"/>
        <v>0</v>
      </c>
    </row>
    <row r="639" spans="1:6" x14ac:dyDescent="0.25">
      <c r="A639" s="1">
        <v>45564</v>
      </c>
      <c r="B639">
        <f t="shared" si="36"/>
        <v>7</v>
      </c>
      <c r="C639" t="s">
        <v>11</v>
      </c>
      <c r="D639">
        <f t="shared" si="38"/>
        <v>0</v>
      </c>
      <c r="E639">
        <f t="shared" si="39"/>
        <v>150</v>
      </c>
      <c r="F639">
        <f t="shared" si="37"/>
        <v>-150</v>
      </c>
    </row>
    <row r="640" spans="1:6" x14ac:dyDescent="0.25">
      <c r="A640" s="1">
        <v>45565</v>
      </c>
      <c r="B640">
        <f t="shared" si="36"/>
        <v>1</v>
      </c>
      <c r="C640" t="s">
        <v>11</v>
      </c>
      <c r="D640">
        <f t="shared" si="38"/>
        <v>120</v>
      </c>
      <c r="E640">
        <f t="shared" si="39"/>
        <v>0</v>
      </c>
      <c r="F640">
        <f t="shared" si="37"/>
        <v>120</v>
      </c>
    </row>
    <row r="641" spans="1:6" x14ac:dyDescent="0.25">
      <c r="A641" s="1">
        <v>45566</v>
      </c>
      <c r="B641">
        <f t="shared" si="36"/>
        <v>2</v>
      </c>
      <c r="C641" t="s">
        <v>11</v>
      </c>
      <c r="D641">
        <f t="shared" si="38"/>
        <v>120</v>
      </c>
      <c r="E641">
        <f t="shared" si="39"/>
        <v>0</v>
      </c>
      <c r="F641">
        <f t="shared" si="37"/>
        <v>120</v>
      </c>
    </row>
    <row r="642" spans="1:6" x14ac:dyDescent="0.25">
      <c r="A642" s="1">
        <v>45567</v>
      </c>
      <c r="B642">
        <f t="shared" si="36"/>
        <v>3</v>
      </c>
      <c r="C642" t="s">
        <v>11</v>
      </c>
      <c r="D642">
        <f t="shared" si="38"/>
        <v>120</v>
      </c>
      <c r="E642">
        <f t="shared" si="39"/>
        <v>0</v>
      </c>
      <c r="F642">
        <f t="shared" si="37"/>
        <v>120</v>
      </c>
    </row>
    <row r="643" spans="1:6" x14ac:dyDescent="0.25">
      <c r="A643" s="1">
        <v>45568</v>
      </c>
      <c r="B643">
        <f t="shared" ref="B643:B706" si="40">WEEKDAY(A643,2)</f>
        <v>4</v>
      </c>
      <c r="C643" t="s">
        <v>11</v>
      </c>
      <c r="D643">
        <f t="shared" si="38"/>
        <v>120</v>
      </c>
      <c r="E643">
        <f t="shared" si="39"/>
        <v>0</v>
      </c>
      <c r="F643">
        <f t="shared" ref="F643:F706" si="41">D643-E643</f>
        <v>120</v>
      </c>
    </row>
    <row r="644" spans="1:6" x14ac:dyDescent="0.25">
      <c r="A644" s="1">
        <v>45569</v>
      </c>
      <c r="B644">
        <f t="shared" si="40"/>
        <v>5</v>
      </c>
      <c r="C644" t="s">
        <v>11</v>
      </c>
      <c r="D644">
        <f t="shared" ref="D644:D707" si="42">IF(B644&lt;6,$Q$1*VLOOKUP(C644,$S$1:$T$5,2,FALSE)*$Q$3,0)</f>
        <v>120</v>
      </c>
      <c r="E644">
        <f t="shared" ref="E644:E707" si="43">IF(B644=7,$Q$4*$Q$1,0)</f>
        <v>0</v>
      </c>
      <c r="F644">
        <f t="shared" si="41"/>
        <v>120</v>
      </c>
    </row>
    <row r="645" spans="1:6" x14ac:dyDescent="0.25">
      <c r="A645" s="1">
        <v>45570</v>
      </c>
      <c r="B645">
        <f t="shared" si="40"/>
        <v>6</v>
      </c>
      <c r="C645" t="s">
        <v>11</v>
      </c>
      <c r="D645">
        <f t="shared" si="42"/>
        <v>0</v>
      </c>
      <c r="E645">
        <f t="shared" si="43"/>
        <v>0</v>
      </c>
      <c r="F645">
        <f t="shared" si="41"/>
        <v>0</v>
      </c>
    </row>
    <row r="646" spans="1:6" x14ac:dyDescent="0.25">
      <c r="A646" s="1">
        <v>45571</v>
      </c>
      <c r="B646">
        <f t="shared" si="40"/>
        <v>7</v>
      </c>
      <c r="C646" t="s">
        <v>11</v>
      </c>
      <c r="D646">
        <f t="shared" si="42"/>
        <v>0</v>
      </c>
      <c r="E646">
        <f t="shared" si="43"/>
        <v>150</v>
      </c>
      <c r="F646">
        <f t="shared" si="41"/>
        <v>-150</v>
      </c>
    </row>
    <row r="647" spans="1:6" x14ac:dyDescent="0.25">
      <c r="A647" s="1">
        <v>45572</v>
      </c>
      <c r="B647">
        <f t="shared" si="40"/>
        <v>1</v>
      </c>
      <c r="C647" t="s">
        <v>11</v>
      </c>
      <c r="D647">
        <f t="shared" si="42"/>
        <v>120</v>
      </c>
      <c r="E647">
        <f t="shared" si="43"/>
        <v>0</v>
      </c>
      <c r="F647">
        <f t="shared" si="41"/>
        <v>120</v>
      </c>
    </row>
    <row r="648" spans="1:6" x14ac:dyDescent="0.25">
      <c r="A648" s="1">
        <v>45573</v>
      </c>
      <c r="B648">
        <f t="shared" si="40"/>
        <v>2</v>
      </c>
      <c r="C648" t="s">
        <v>11</v>
      </c>
      <c r="D648">
        <f t="shared" si="42"/>
        <v>120</v>
      </c>
      <c r="E648">
        <f t="shared" si="43"/>
        <v>0</v>
      </c>
      <c r="F648">
        <f t="shared" si="41"/>
        <v>120</v>
      </c>
    </row>
    <row r="649" spans="1:6" x14ac:dyDescent="0.25">
      <c r="A649" s="1">
        <v>45574</v>
      </c>
      <c r="B649">
        <f t="shared" si="40"/>
        <v>3</v>
      </c>
      <c r="C649" t="s">
        <v>11</v>
      </c>
      <c r="D649">
        <f t="shared" si="42"/>
        <v>120</v>
      </c>
      <c r="E649">
        <f t="shared" si="43"/>
        <v>0</v>
      </c>
      <c r="F649">
        <f t="shared" si="41"/>
        <v>120</v>
      </c>
    </row>
    <row r="650" spans="1:6" x14ac:dyDescent="0.25">
      <c r="A650" s="1">
        <v>45575</v>
      </c>
      <c r="B650">
        <f t="shared" si="40"/>
        <v>4</v>
      </c>
      <c r="C650" t="s">
        <v>11</v>
      </c>
      <c r="D650">
        <f t="shared" si="42"/>
        <v>120</v>
      </c>
      <c r="E650">
        <f t="shared" si="43"/>
        <v>0</v>
      </c>
      <c r="F650">
        <f t="shared" si="41"/>
        <v>120</v>
      </c>
    </row>
    <row r="651" spans="1:6" x14ac:dyDescent="0.25">
      <c r="A651" s="1">
        <v>45576</v>
      </c>
      <c r="B651">
        <f t="shared" si="40"/>
        <v>5</v>
      </c>
      <c r="C651" t="s">
        <v>11</v>
      </c>
      <c r="D651">
        <f t="shared" si="42"/>
        <v>120</v>
      </c>
      <c r="E651">
        <f t="shared" si="43"/>
        <v>0</v>
      </c>
      <c r="F651">
        <f t="shared" si="41"/>
        <v>120</v>
      </c>
    </row>
    <row r="652" spans="1:6" x14ac:dyDescent="0.25">
      <c r="A652" s="1">
        <v>45577</v>
      </c>
      <c r="B652">
        <f t="shared" si="40"/>
        <v>6</v>
      </c>
      <c r="C652" t="s">
        <v>11</v>
      </c>
      <c r="D652">
        <f t="shared" si="42"/>
        <v>0</v>
      </c>
      <c r="E652">
        <f t="shared" si="43"/>
        <v>0</v>
      </c>
      <c r="F652">
        <f t="shared" si="41"/>
        <v>0</v>
      </c>
    </row>
    <row r="653" spans="1:6" x14ac:dyDescent="0.25">
      <c r="A653" s="1">
        <v>45578</v>
      </c>
      <c r="B653">
        <f t="shared" si="40"/>
        <v>7</v>
      </c>
      <c r="C653" t="s">
        <v>11</v>
      </c>
      <c r="D653">
        <f t="shared" si="42"/>
        <v>0</v>
      </c>
      <c r="E653">
        <f t="shared" si="43"/>
        <v>150</v>
      </c>
      <c r="F653">
        <f t="shared" si="41"/>
        <v>-150</v>
      </c>
    </row>
    <row r="654" spans="1:6" x14ac:dyDescent="0.25">
      <c r="A654" s="1">
        <v>45579</v>
      </c>
      <c r="B654">
        <f t="shared" si="40"/>
        <v>1</v>
      </c>
      <c r="C654" t="s">
        <v>11</v>
      </c>
      <c r="D654">
        <f t="shared" si="42"/>
        <v>120</v>
      </c>
      <c r="E654">
        <f t="shared" si="43"/>
        <v>0</v>
      </c>
      <c r="F654">
        <f t="shared" si="41"/>
        <v>120</v>
      </c>
    </row>
    <row r="655" spans="1:6" x14ac:dyDescent="0.25">
      <c r="A655" s="1">
        <v>45580</v>
      </c>
      <c r="B655">
        <f t="shared" si="40"/>
        <v>2</v>
      </c>
      <c r="C655" t="s">
        <v>11</v>
      </c>
      <c r="D655">
        <f t="shared" si="42"/>
        <v>120</v>
      </c>
      <c r="E655">
        <f t="shared" si="43"/>
        <v>0</v>
      </c>
      <c r="F655">
        <f t="shared" si="41"/>
        <v>120</v>
      </c>
    </row>
    <row r="656" spans="1:6" x14ac:dyDescent="0.25">
      <c r="A656" s="1">
        <v>45581</v>
      </c>
      <c r="B656">
        <f t="shared" si="40"/>
        <v>3</v>
      </c>
      <c r="C656" t="s">
        <v>11</v>
      </c>
      <c r="D656">
        <f t="shared" si="42"/>
        <v>120</v>
      </c>
      <c r="E656">
        <f t="shared" si="43"/>
        <v>0</v>
      </c>
      <c r="F656">
        <f t="shared" si="41"/>
        <v>120</v>
      </c>
    </row>
    <row r="657" spans="1:6" x14ac:dyDescent="0.25">
      <c r="A657" s="1">
        <v>45582</v>
      </c>
      <c r="B657">
        <f t="shared" si="40"/>
        <v>4</v>
      </c>
      <c r="C657" t="s">
        <v>11</v>
      </c>
      <c r="D657">
        <f t="shared" si="42"/>
        <v>120</v>
      </c>
      <c r="E657">
        <f t="shared" si="43"/>
        <v>0</v>
      </c>
      <c r="F657">
        <f t="shared" si="41"/>
        <v>120</v>
      </c>
    </row>
    <row r="658" spans="1:6" x14ac:dyDescent="0.25">
      <c r="A658" s="1">
        <v>45583</v>
      </c>
      <c r="B658">
        <f t="shared" si="40"/>
        <v>5</v>
      </c>
      <c r="C658" t="s">
        <v>11</v>
      </c>
      <c r="D658">
        <f t="shared" si="42"/>
        <v>120</v>
      </c>
      <c r="E658">
        <f t="shared" si="43"/>
        <v>0</v>
      </c>
      <c r="F658">
        <f t="shared" si="41"/>
        <v>120</v>
      </c>
    </row>
    <row r="659" spans="1:6" x14ac:dyDescent="0.25">
      <c r="A659" s="1">
        <v>45584</v>
      </c>
      <c r="B659">
        <f t="shared" si="40"/>
        <v>6</v>
      </c>
      <c r="C659" t="s">
        <v>11</v>
      </c>
      <c r="D659">
        <f t="shared" si="42"/>
        <v>0</v>
      </c>
      <c r="E659">
        <f t="shared" si="43"/>
        <v>0</v>
      </c>
      <c r="F659">
        <f t="shared" si="41"/>
        <v>0</v>
      </c>
    </row>
    <row r="660" spans="1:6" x14ac:dyDescent="0.25">
      <c r="A660" s="1">
        <v>45585</v>
      </c>
      <c r="B660">
        <f t="shared" si="40"/>
        <v>7</v>
      </c>
      <c r="C660" t="s">
        <v>11</v>
      </c>
      <c r="D660">
        <f t="shared" si="42"/>
        <v>0</v>
      </c>
      <c r="E660">
        <f t="shared" si="43"/>
        <v>150</v>
      </c>
      <c r="F660">
        <f t="shared" si="41"/>
        <v>-150</v>
      </c>
    </row>
    <row r="661" spans="1:6" x14ac:dyDescent="0.25">
      <c r="A661" s="1">
        <v>45586</v>
      </c>
      <c r="B661">
        <f t="shared" si="40"/>
        <v>1</v>
      </c>
      <c r="C661" t="s">
        <v>11</v>
      </c>
      <c r="D661">
        <f t="shared" si="42"/>
        <v>120</v>
      </c>
      <c r="E661">
        <f t="shared" si="43"/>
        <v>0</v>
      </c>
      <c r="F661">
        <f t="shared" si="41"/>
        <v>120</v>
      </c>
    </row>
    <row r="662" spans="1:6" x14ac:dyDescent="0.25">
      <c r="A662" s="1">
        <v>45587</v>
      </c>
      <c r="B662">
        <f t="shared" si="40"/>
        <v>2</v>
      </c>
      <c r="C662" t="s">
        <v>11</v>
      </c>
      <c r="D662">
        <f t="shared" si="42"/>
        <v>120</v>
      </c>
      <c r="E662">
        <f t="shared" si="43"/>
        <v>0</v>
      </c>
      <c r="F662">
        <f t="shared" si="41"/>
        <v>120</v>
      </c>
    </row>
    <row r="663" spans="1:6" x14ac:dyDescent="0.25">
      <c r="A663" s="1">
        <v>45588</v>
      </c>
      <c r="B663">
        <f t="shared" si="40"/>
        <v>3</v>
      </c>
      <c r="C663" t="s">
        <v>11</v>
      </c>
      <c r="D663">
        <f t="shared" si="42"/>
        <v>120</v>
      </c>
      <c r="E663">
        <f t="shared" si="43"/>
        <v>0</v>
      </c>
      <c r="F663">
        <f t="shared" si="41"/>
        <v>120</v>
      </c>
    </row>
    <row r="664" spans="1:6" x14ac:dyDescent="0.25">
      <c r="A664" s="1">
        <v>45589</v>
      </c>
      <c r="B664">
        <f t="shared" si="40"/>
        <v>4</v>
      </c>
      <c r="C664" t="s">
        <v>11</v>
      </c>
      <c r="D664">
        <f t="shared" si="42"/>
        <v>120</v>
      </c>
      <c r="E664">
        <f t="shared" si="43"/>
        <v>0</v>
      </c>
      <c r="F664">
        <f t="shared" si="41"/>
        <v>120</v>
      </c>
    </row>
    <row r="665" spans="1:6" x14ac:dyDescent="0.25">
      <c r="A665" s="1">
        <v>45590</v>
      </c>
      <c r="B665">
        <f t="shared" si="40"/>
        <v>5</v>
      </c>
      <c r="C665" t="s">
        <v>11</v>
      </c>
      <c r="D665">
        <f t="shared" si="42"/>
        <v>120</v>
      </c>
      <c r="E665">
        <f t="shared" si="43"/>
        <v>0</v>
      </c>
      <c r="F665">
        <f t="shared" si="41"/>
        <v>120</v>
      </c>
    </row>
    <row r="666" spans="1:6" x14ac:dyDescent="0.25">
      <c r="A666" s="1">
        <v>45591</v>
      </c>
      <c r="B666">
        <f t="shared" si="40"/>
        <v>6</v>
      </c>
      <c r="C666" t="s">
        <v>11</v>
      </c>
      <c r="D666">
        <f t="shared" si="42"/>
        <v>0</v>
      </c>
      <c r="E666">
        <f t="shared" si="43"/>
        <v>0</v>
      </c>
      <c r="F666">
        <f t="shared" si="41"/>
        <v>0</v>
      </c>
    </row>
    <row r="667" spans="1:6" x14ac:dyDescent="0.25">
      <c r="A667" s="1">
        <v>45592</v>
      </c>
      <c r="B667">
        <f t="shared" si="40"/>
        <v>7</v>
      </c>
      <c r="C667" t="s">
        <v>11</v>
      </c>
      <c r="D667">
        <f t="shared" si="42"/>
        <v>0</v>
      </c>
      <c r="E667">
        <f t="shared" si="43"/>
        <v>150</v>
      </c>
      <c r="F667">
        <f t="shared" si="41"/>
        <v>-150</v>
      </c>
    </row>
    <row r="668" spans="1:6" x14ac:dyDescent="0.25">
      <c r="A668" s="1">
        <v>45593</v>
      </c>
      <c r="B668">
        <f t="shared" si="40"/>
        <v>1</v>
      </c>
      <c r="C668" t="s">
        <v>11</v>
      </c>
      <c r="D668">
        <f t="shared" si="42"/>
        <v>120</v>
      </c>
      <c r="E668">
        <f t="shared" si="43"/>
        <v>0</v>
      </c>
      <c r="F668">
        <f t="shared" si="41"/>
        <v>120</v>
      </c>
    </row>
    <row r="669" spans="1:6" x14ac:dyDescent="0.25">
      <c r="A669" s="1">
        <v>45594</v>
      </c>
      <c r="B669">
        <f t="shared" si="40"/>
        <v>2</v>
      </c>
      <c r="C669" t="s">
        <v>11</v>
      </c>
      <c r="D669">
        <f t="shared" si="42"/>
        <v>120</v>
      </c>
      <c r="E669">
        <f t="shared" si="43"/>
        <v>0</v>
      </c>
      <c r="F669">
        <f t="shared" si="41"/>
        <v>120</v>
      </c>
    </row>
    <row r="670" spans="1:6" x14ac:dyDescent="0.25">
      <c r="A670" s="1">
        <v>45595</v>
      </c>
      <c r="B670">
        <f t="shared" si="40"/>
        <v>3</v>
      </c>
      <c r="C670" t="s">
        <v>11</v>
      </c>
      <c r="D670">
        <f t="shared" si="42"/>
        <v>120</v>
      </c>
      <c r="E670">
        <f t="shared" si="43"/>
        <v>0</v>
      </c>
      <c r="F670">
        <f t="shared" si="41"/>
        <v>120</v>
      </c>
    </row>
    <row r="671" spans="1:6" x14ac:dyDescent="0.25">
      <c r="A671" s="1">
        <v>45596</v>
      </c>
      <c r="B671">
        <f t="shared" si="40"/>
        <v>4</v>
      </c>
      <c r="C671" t="s">
        <v>11</v>
      </c>
      <c r="D671">
        <f t="shared" si="42"/>
        <v>120</v>
      </c>
      <c r="E671">
        <f t="shared" si="43"/>
        <v>0</v>
      </c>
      <c r="F671">
        <f t="shared" si="41"/>
        <v>120</v>
      </c>
    </row>
    <row r="672" spans="1:6" x14ac:dyDescent="0.25">
      <c r="A672" s="1">
        <v>45597</v>
      </c>
      <c r="B672">
        <f t="shared" si="40"/>
        <v>5</v>
      </c>
      <c r="C672" t="s">
        <v>11</v>
      </c>
      <c r="D672">
        <f t="shared" si="42"/>
        <v>120</v>
      </c>
      <c r="E672">
        <f t="shared" si="43"/>
        <v>0</v>
      </c>
      <c r="F672">
        <f t="shared" si="41"/>
        <v>120</v>
      </c>
    </row>
    <row r="673" spans="1:6" x14ac:dyDescent="0.25">
      <c r="A673" s="1">
        <v>45598</v>
      </c>
      <c r="B673">
        <f t="shared" si="40"/>
        <v>6</v>
      </c>
      <c r="C673" t="s">
        <v>11</v>
      </c>
      <c r="D673">
        <f t="shared" si="42"/>
        <v>0</v>
      </c>
      <c r="E673">
        <f t="shared" si="43"/>
        <v>0</v>
      </c>
      <c r="F673">
        <f t="shared" si="41"/>
        <v>0</v>
      </c>
    </row>
    <row r="674" spans="1:6" x14ac:dyDescent="0.25">
      <c r="A674" s="1">
        <v>45599</v>
      </c>
      <c r="B674">
        <f t="shared" si="40"/>
        <v>7</v>
      </c>
      <c r="C674" t="s">
        <v>11</v>
      </c>
      <c r="D674">
        <f t="shared" si="42"/>
        <v>0</v>
      </c>
      <c r="E674">
        <f t="shared" si="43"/>
        <v>150</v>
      </c>
      <c r="F674">
        <f t="shared" si="41"/>
        <v>-150</v>
      </c>
    </row>
    <row r="675" spans="1:6" x14ac:dyDescent="0.25">
      <c r="A675" s="1">
        <v>45600</v>
      </c>
      <c r="B675">
        <f t="shared" si="40"/>
        <v>1</v>
      </c>
      <c r="C675" t="s">
        <v>11</v>
      </c>
      <c r="D675">
        <f t="shared" si="42"/>
        <v>120</v>
      </c>
      <c r="E675">
        <f t="shared" si="43"/>
        <v>0</v>
      </c>
      <c r="F675">
        <f t="shared" si="41"/>
        <v>120</v>
      </c>
    </row>
    <row r="676" spans="1:6" x14ac:dyDescent="0.25">
      <c r="A676" s="1">
        <v>45601</v>
      </c>
      <c r="B676">
        <f t="shared" si="40"/>
        <v>2</v>
      </c>
      <c r="C676" t="s">
        <v>11</v>
      </c>
      <c r="D676">
        <f t="shared" si="42"/>
        <v>120</v>
      </c>
      <c r="E676">
        <f t="shared" si="43"/>
        <v>0</v>
      </c>
      <c r="F676">
        <f t="shared" si="41"/>
        <v>120</v>
      </c>
    </row>
    <row r="677" spans="1:6" x14ac:dyDescent="0.25">
      <c r="A677" s="1">
        <v>45602</v>
      </c>
      <c r="B677">
        <f t="shared" si="40"/>
        <v>3</v>
      </c>
      <c r="C677" t="s">
        <v>11</v>
      </c>
      <c r="D677">
        <f t="shared" si="42"/>
        <v>120</v>
      </c>
      <c r="E677">
        <f t="shared" si="43"/>
        <v>0</v>
      </c>
      <c r="F677">
        <f t="shared" si="41"/>
        <v>120</v>
      </c>
    </row>
    <row r="678" spans="1:6" x14ac:dyDescent="0.25">
      <c r="A678" s="1">
        <v>45603</v>
      </c>
      <c r="B678">
        <f t="shared" si="40"/>
        <v>4</v>
      </c>
      <c r="C678" t="s">
        <v>11</v>
      </c>
      <c r="D678">
        <f t="shared" si="42"/>
        <v>120</v>
      </c>
      <c r="E678">
        <f t="shared" si="43"/>
        <v>0</v>
      </c>
      <c r="F678">
        <f t="shared" si="41"/>
        <v>120</v>
      </c>
    </row>
    <row r="679" spans="1:6" x14ac:dyDescent="0.25">
      <c r="A679" s="1">
        <v>45604</v>
      </c>
      <c r="B679">
        <f t="shared" si="40"/>
        <v>5</v>
      </c>
      <c r="C679" t="s">
        <v>11</v>
      </c>
      <c r="D679">
        <f t="shared" si="42"/>
        <v>120</v>
      </c>
      <c r="E679">
        <f t="shared" si="43"/>
        <v>0</v>
      </c>
      <c r="F679">
        <f t="shared" si="41"/>
        <v>120</v>
      </c>
    </row>
    <row r="680" spans="1:6" x14ac:dyDescent="0.25">
      <c r="A680" s="1">
        <v>45605</v>
      </c>
      <c r="B680">
        <f t="shared" si="40"/>
        <v>6</v>
      </c>
      <c r="C680" t="s">
        <v>11</v>
      </c>
      <c r="D680">
        <f t="shared" si="42"/>
        <v>0</v>
      </c>
      <c r="E680">
        <f t="shared" si="43"/>
        <v>0</v>
      </c>
      <c r="F680">
        <f t="shared" si="41"/>
        <v>0</v>
      </c>
    </row>
    <row r="681" spans="1:6" x14ac:dyDescent="0.25">
      <c r="A681" s="1">
        <v>45606</v>
      </c>
      <c r="B681">
        <f t="shared" si="40"/>
        <v>7</v>
      </c>
      <c r="C681" t="s">
        <v>11</v>
      </c>
      <c r="D681">
        <f t="shared" si="42"/>
        <v>0</v>
      </c>
      <c r="E681">
        <f t="shared" si="43"/>
        <v>150</v>
      </c>
      <c r="F681">
        <f t="shared" si="41"/>
        <v>-150</v>
      </c>
    </row>
    <row r="682" spans="1:6" x14ac:dyDescent="0.25">
      <c r="A682" s="1">
        <v>45607</v>
      </c>
      <c r="B682">
        <f t="shared" si="40"/>
        <v>1</v>
      </c>
      <c r="C682" t="s">
        <v>11</v>
      </c>
      <c r="D682">
        <f t="shared" si="42"/>
        <v>120</v>
      </c>
      <c r="E682">
        <f t="shared" si="43"/>
        <v>0</v>
      </c>
      <c r="F682">
        <f t="shared" si="41"/>
        <v>120</v>
      </c>
    </row>
    <row r="683" spans="1:6" x14ac:dyDescent="0.25">
      <c r="A683" s="1">
        <v>45608</v>
      </c>
      <c r="B683">
        <f t="shared" si="40"/>
        <v>2</v>
      </c>
      <c r="C683" t="s">
        <v>11</v>
      </c>
      <c r="D683">
        <f t="shared" si="42"/>
        <v>120</v>
      </c>
      <c r="E683">
        <f t="shared" si="43"/>
        <v>0</v>
      </c>
      <c r="F683">
        <f t="shared" si="41"/>
        <v>120</v>
      </c>
    </row>
    <row r="684" spans="1:6" x14ac:dyDescent="0.25">
      <c r="A684" s="1">
        <v>45609</v>
      </c>
      <c r="B684">
        <f t="shared" si="40"/>
        <v>3</v>
      </c>
      <c r="C684" t="s">
        <v>11</v>
      </c>
      <c r="D684">
        <f t="shared" si="42"/>
        <v>120</v>
      </c>
      <c r="E684">
        <f t="shared" si="43"/>
        <v>0</v>
      </c>
      <c r="F684">
        <f t="shared" si="41"/>
        <v>120</v>
      </c>
    </row>
    <row r="685" spans="1:6" x14ac:dyDescent="0.25">
      <c r="A685" s="1">
        <v>45610</v>
      </c>
      <c r="B685">
        <f t="shared" si="40"/>
        <v>4</v>
      </c>
      <c r="C685" t="s">
        <v>11</v>
      </c>
      <c r="D685">
        <f t="shared" si="42"/>
        <v>120</v>
      </c>
      <c r="E685">
        <f t="shared" si="43"/>
        <v>0</v>
      </c>
      <c r="F685">
        <f t="shared" si="41"/>
        <v>120</v>
      </c>
    </row>
    <row r="686" spans="1:6" x14ac:dyDescent="0.25">
      <c r="A686" s="1">
        <v>45611</v>
      </c>
      <c r="B686">
        <f t="shared" si="40"/>
        <v>5</v>
      </c>
      <c r="C686" t="s">
        <v>11</v>
      </c>
      <c r="D686">
        <f t="shared" si="42"/>
        <v>120</v>
      </c>
      <c r="E686">
        <f t="shared" si="43"/>
        <v>0</v>
      </c>
      <c r="F686">
        <f t="shared" si="41"/>
        <v>120</v>
      </c>
    </row>
    <row r="687" spans="1:6" x14ac:dyDescent="0.25">
      <c r="A687" s="1">
        <v>45612</v>
      </c>
      <c r="B687">
        <f t="shared" si="40"/>
        <v>6</v>
      </c>
      <c r="C687" t="s">
        <v>11</v>
      </c>
      <c r="D687">
        <f t="shared" si="42"/>
        <v>0</v>
      </c>
      <c r="E687">
        <f t="shared" si="43"/>
        <v>0</v>
      </c>
      <c r="F687">
        <f t="shared" si="41"/>
        <v>0</v>
      </c>
    </row>
    <row r="688" spans="1:6" x14ac:dyDescent="0.25">
      <c r="A688" s="1">
        <v>45613</v>
      </c>
      <c r="B688">
        <f t="shared" si="40"/>
        <v>7</v>
      </c>
      <c r="C688" t="s">
        <v>11</v>
      </c>
      <c r="D688">
        <f t="shared" si="42"/>
        <v>0</v>
      </c>
      <c r="E688">
        <f t="shared" si="43"/>
        <v>150</v>
      </c>
      <c r="F688">
        <f t="shared" si="41"/>
        <v>-150</v>
      </c>
    </row>
    <row r="689" spans="1:6" x14ac:dyDescent="0.25">
      <c r="A689" s="1">
        <v>45614</v>
      </c>
      <c r="B689">
        <f t="shared" si="40"/>
        <v>1</v>
      </c>
      <c r="C689" t="s">
        <v>11</v>
      </c>
      <c r="D689">
        <f t="shared" si="42"/>
        <v>120</v>
      </c>
      <c r="E689">
        <f t="shared" si="43"/>
        <v>0</v>
      </c>
      <c r="F689">
        <f t="shared" si="41"/>
        <v>120</v>
      </c>
    </row>
    <row r="690" spans="1:6" x14ac:dyDescent="0.25">
      <c r="A690" s="1">
        <v>45615</v>
      </c>
      <c r="B690">
        <f t="shared" si="40"/>
        <v>2</v>
      </c>
      <c r="C690" t="s">
        <v>11</v>
      </c>
      <c r="D690">
        <f t="shared" si="42"/>
        <v>120</v>
      </c>
      <c r="E690">
        <f t="shared" si="43"/>
        <v>0</v>
      </c>
      <c r="F690">
        <f t="shared" si="41"/>
        <v>120</v>
      </c>
    </row>
    <row r="691" spans="1:6" x14ac:dyDescent="0.25">
      <c r="A691" s="1">
        <v>45616</v>
      </c>
      <c r="B691">
        <f t="shared" si="40"/>
        <v>3</v>
      </c>
      <c r="C691" t="s">
        <v>11</v>
      </c>
      <c r="D691">
        <f t="shared" si="42"/>
        <v>120</v>
      </c>
      <c r="E691">
        <f t="shared" si="43"/>
        <v>0</v>
      </c>
      <c r="F691">
        <f t="shared" si="41"/>
        <v>120</v>
      </c>
    </row>
    <row r="692" spans="1:6" x14ac:dyDescent="0.25">
      <c r="A692" s="1">
        <v>45617</v>
      </c>
      <c r="B692">
        <f t="shared" si="40"/>
        <v>4</v>
      </c>
      <c r="C692" t="s">
        <v>11</v>
      </c>
      <c r="D692">
        <f t="shared" si="42"/>
        <v>120</v>
      </c>
      <c r="E692">
        <f t="shared" si="43"/>
        <v>0</v>
      </c>
      <c r="F692">
        <f t="shared" si="41"/>
        <v>120</v>
      </c>
    </row>
    <row r="693" spans="1:6" x14ac:dyDescent="0.25">
      <c r="A693" s="1">
        <v>45618</v>
      </c>
      <c r="B693">
        <f t="shared" si="40"/>
        <v>5</v>
      </c>
      <c r="C693" t="s">
        <v>11</v>
      </c>
      <c r="D693">
        <f t="shared" si="42"/>
        <v>120</v>
      </c>
      <c r="E693">
        <f t="shared" si="43"/>
        <v>0</v>
      </c>
      <c r="F693">
        <f t="shared" si="41"/>
        <v>120</v>
      </c>
    </row>
    <row r="694" spans="1:6" x14ac:dyDescent="0.25">
      <c r="A694" s="1">
        <v>45619</v>
      </c>
      <c r="B694">
        <f t="shared" si="40"/>
        <v>6</v>
      </c>
      <c r="C694" t="s">
        <v>11</v>
      </c>
      <c r="D694">
        <f t="shared" si="42"/>
        <v>0</v>
      </c>
      <c r="E694">
        <f t="shared" si="43"/>
        <v>0</v>
      </c>
      <c r="F694">
        <f t="shared" si="41"/>
        <v>0</v>
      </c>
    </row>
    <row r="695" spans="1:6" x14ac:dyDescent="0.25">
      <c r="A695" s="1">
        <v>45620</v>
      </c>
      <c r="B695">
        <f t="shared" si="40"/>
        <v>7</v>
      </c>
      <c r="C695" t="s">
        <v>11</v>
      </c>
      <c r="D695">
        <f t="shared" si="42"/>
        <v>0</v>
      </c>
      <c r="E695">
        <f t="shared" si="43"/>
        <v>150</v>
      </c>
      <c r="F695">
        <f t="shared" si="41"/>
        <v>-150</v>
      </c>
    </row>
    <row r="696" spans="1:6" x14ac:dyDescent="0.25">
      <c r="A696" s="1">
        <v>45621</v>
      </c>
      <c r="B696">
        <f t="shared" si="40"/>
        <v>1</v>
      </c>
      <c r="C696" t="s">
        <v>11</v>
      </c>
      <c r="D696">
        <f t="shared" si="42"/>
        <v>120</v>
      </c>
      <c r="E696">
        <f t="shared" si="43"/>
        <v>0</v>
      </c>
      <c r="F696">
        <f t="shared" si="41"/>
        <v>120</v>
      </c>
    </row>
    <row r="697" spans="1:6" x14ac:dyDescent="0.25">
      <c r="A697" s="1">
        <v>45622</v>
      </c>
      <c r="B697">
        <f t="shared" si="40"/>
        <v>2</v>
      </c>
      <c r="C697" t="s">
        <v>11</v>
      </c>
      <c r="D697">
        <f t="shared" si="42"/>
        <v>120</v>
      </c>
      <c r="E697">
        <f t="shared" si="43"/>
        <v>0</v>
      </c>
      <c r="F697">
        <f t="shared" si="41"/>
        <v>120</v>
      </c>
    </row>
    <row r="698" spans="1:6" x14ac:dyDescent="0.25">
      <c r="A698" s="1">
        <v>45623</v>
      </c>
      <c r="B698">
        <f t="shared" si="40"/>
        <v>3</v>
      </c>
      <c r="C698" t="s">
        <v>11</v>
      </c>
      <c r="D698">
        <f t="shared" si="42"/>
        <v>120</v>
      </c>
      <c r="E698">
        <f t="shared" si="43"/>
        <v>0</v>
      </c>
      <c r="F698">
        <f t="shared" si="41"/>
        <v>120</v>
      </c>
    </row>
    <row r="699" spans="1:6" x14ac:dyDescent="0.25">
      <c r="A699" s="1">
        <v>45624</v>
      </c>
      <c r="B699">
        <f t="shared" si="40"/>
        <v>4</v>
      </c>
      <c r="C699" t="s">
        <v>11</v>
      </c>
      <c r="D699">
        <f t="shared" si="42"/>
        <v>120</v>
      </c>
      <c r="E699">
        <f t="shared" si="43"/>
        <v>0</v>
      </c>
      <c r="F699">
        <f t="shared" si="41"/>
        <v>120</v>
      </c>
    </row>
    <row r="700" spans="1:6" x14ac:dyDescent="0.25">
      <c r="A700" s="1">
        <v>45625</v>
      </c>
      <c r="B700">
        <f t="shared" si="40"/>
        <v>5</v>
      </c>
      <c r="C700" t="s">
        <v>11</v>
      </c>
      <c r="D700">
        <f t="shared" si="42"/>
        <v>120</v>
      </c>
      <c r="E700">
        <f t="shared" si="43"/>
        <v>0</v>
      </c>
      <c r="F700">
        <f t="shared" si="41"/>
        <v>120</v>
      </c>
    </row>
    <row r="701" spans="1:6" x14ac:dyDescent="0.25">
      <c r="A701" s="1">
        <v>45626</v>
      </c>
      <c r="B701">
        <f t="shared" si="40"/>
        <v>6</v>
      </c>
      <c r="C701" t="s">
        <v>11</v>
      </c>
      <c r="D701">
        <f t="shared" si="42"/>
        <v>0</v>
      </c>
      <c r="E701">
        <f t="shared" si="43"/>
        <v>0</v>
      </c>
      <c r="F701">
        <f t="shared" si="41"/>
        <v>0</v>
      </c>
    </row>
    <row r="702" spans="1:6" x14ac:dyDescent="0.25">
      <c r="A702" s="1">
        <v>45627</v>
      </c>
      <c r="B702">
        <f t="shared" si="40"/>
        <v>7</v>
      </c>
      <c r="C702" t="s">
        <v>11</v>
      </c>
      <c r="D702">
        <f t="shared" si="42"/>
        <v>0</v>
      </c>
      <c r="E702">
        <f t="shared" si="43"/>
        <v>150</v>
      </c>
      <c r="F702">
        <f t="shared" si="41"/>
        <v>-150</v>
      </c>
    </row>
    <row r="703" spans="1:6" x14ac:dyDescent="0.25">
      <c r="A703" s="1">
        <v>45628</v>
      </c>
      <c r="B703">
        <f t="shared" si="40"/>
        <v>1</v>
      </c>
      <c r="C703" t="s">
        <v>11</v>
      </c>
      <c r="D703">
        <f t="shared" si="42"/>
        <v>120</v>
      </c>
      <c r="E703">
        <f t="shared" si="43"/>
        <v>0</v>
      </c>
      <c r="F703">
        <f t="shared" si="41"/>
        <v>120</v>
      </c>
    </row>
    <row r="704" spans="1:6" x14ac:dyDescent="0.25">
      <c r="A704" s="1">
        <v>45629</v>
      </c>
      <c r="B704">
        <f t="shared" si="40"/>
        <v>2</v>
      </c>
      <c r="C704" t="s">
        <v>11</v>
      </c>
      <c r="D704">
        <f t="shared" si="42"/>
        <v>120</v>
      </c>
      <c r="E704">
        <f t="shared" si="43"/>
        <v>0</v>
      </c>
      <c r="F704">
        <f t="shared" si="41"/>
        <v>120</v>
      </c>
    </row>
    <row r="705" spans="1:6" x14ac:dyDescent="0.25">
      <c r="A705" s="1">
        <v>45630</v>
      </c>
      <c r="B705">
        <f t="shared" si="40"/>
        <v>3</v>
      </c>
      <c r="C705" t="s">
        <v>11</v>
      </c>
      <c r="D705">
        <f t="shared" si="42"/>
        <v>120</v>
      </c>
      <c r="E705">
        <f t="shared" si="43"/>
        <v>0</v>
      </c>
      <c r="F705">
        <f t="shared" si="41"/>
        <v>120</v>
      </c>
    </row>
    <row r="706" spans="1:6" x14ac:dyDescent="0.25">
      <c r="A706" s="1">
        <v>45631</v>
      </c>
      <c r="B706">
        <f t="shared" si="40"/>
        <v>4</v>
      </c>
      <c r="C706" t="s">
        <v>11</v>
      </c>
      <c r="D706">
        <f t="shared" si="42"/>
        <v>120</v>
      </c>
      <c r="E706">
        <f t="shared" si="43"/>
        <v>0</v>
      </c>
      <c r="F706">
        <f t="shared" si="41"/>
        <v>120</v>
      </c>
    </row>
    <row r="707" spans="1:6" x14ac:dyDescent="0.25">
      <c r="A707" s="1">
        <v>45632</v>
      </c>
      <c r="B707">
        <f t="shared" ref="B707:B732" si="44">WEEKDAY(A707,2)</f>
        <v>5</v>
      </c>
      <c r="C707" t="s">
        <v>11</v>
      </c>
      <c r="D707">
        <f t="shared" si="42"/>
        <v>120</v>
      </c>
      <c r="E707">
        <f t="shared" si="43"/>
        <v>0</v>
      </c>
      <c r="F707">
        <f t="shared" ref="F707:F732" si="45">D707-E707</f>
        <v>120</v>
      </c>
    </row>
    <row r="708" spans="1:6" x14ac:dyDescent="0.25">
      <c r="A708" s="1">
        <v>45633</v>
      </c>
      <c r="B708">
        <f t="shared" si="44"/>
        <v>6</v>
      </c>
      <c r="C708" t="s">
        <v>11</v>
      </c>
      <c r="D708">
        <f t="shared" ref="D708:D732" si="46">IF(B708&lt;6,$Q$1*VLOOKUP(C708,$S$1:$T$5,2,FALSE)*$Q$3,0)</f>
        <v>0</v>
      </c>
      <c r="E708">
        <f t="shared" ref="E708:E732" si="47">IF(B708=7,$Q$4*$Q$1,0)</f>
        <v>0</v>
      </c>
      <c r="F708">
        <f t="shared" si="45"/>
        <v>0</v>
      </c>
    </row>
    <row r="709" spans="1:6" x14ac:dyDescent="0.25">
      <c r="A709" s="1">
        <v>45634</v>
      </c>
      <c r="B709">
        <f t="shared" si="44"/>
        <v>7</v>
      </c>
      <c r="C709" t="s">
        <v>11</v>
      </c>
      <c r="D709">
        <f t="shared" si="46"/>
        <v>0</v>
      </c>
      <c r="E709">
        <f t="shared" si="47"/>
        <v>150</v>
      </c>
      <c r="F709">
        <f t="shared" si="45"/>
        <v>-150</v>
      </c>
    </row>
    <row r="710" spans="1:6" x14ac:dyDescent="0.25">
      <c r="A710" s="1">
        <v>45635</v>
      </c>
      <c r="B710">
        <f t="shared" si="44"/>
        <v>1</v>
      </c>
      <c r="C710" t="s">
        <v>11</v>
      </c>
      <c r="D710">
        <f t="shared" si="46"/>
        <v>120</v>
      </c>
      <c r="E710">
        <f t="shared" si="47"/>
        <v>0</v>
      </c>
      <c r="F710">
        <f t="shared" si="45"/>
        <v>120</v>
      </c>
    </row>
    <row r="711" spans="1:6" x14ac:dyDescent="0.25">
      <c r="A711" s="1">
        <v>45636</v>
      </c>
      <c r="B711">
        <f t="shared" si="44"/>
        <v>2</v>
      </c>
      <c r="C711" t="s">
        <v>11</v>
      </c>
      <c r="D711">
        <f t="shared" si="46"/>
        <v>120</v>
      </c>
      <c r="E711">
        <f t="shared" si="47"/>
        <v>0</v>
      </c>
      <c r="F711">
        <f t="shared" si="45"/>
        <v>120</v>
      </c>
    </row>
    <row r="712" spans="1:6" x14ac:dyDescent="0.25">
      <c r="A712" s="1">
        <v>45637</v>
      </c>
      <c r="B712">
        <f t="shared" si="44"/>
        <v>3</v>
      </c>
      <c r="C712" t="s">
        <v>11</v>
      </c>
      <c r="D712">
        <f t="shared" si="46"/>
        <v>120</v>
      </c>
      <c r="E712">
        <f t="shared" si="47"/>
        <v>0</v>
      </c>
      <c r="F712">
        <f t="shared" si="45"/>
        <v>120</v>
      </c>
    </row>
    <row r="713" spans="1:6" x14ac:dyDescent="0.25">
      <c r="A713" s="1">
        <v>45638</v>
      </c>
      <c r="B713">
        <f t="shared" si="44"/>
        <v>4</v>
      </c>
      <c r="C713" t="s">
        <v>11</v>
      </c>
      <c r="D713">
        <f t="shared" si="46"/>
        <v>120</v>
      </c>
      <c r="E713">
        <f t="shared" si="47"/>
        <v>0</v>
      </c>
      <c r="F713">
        <f t="shared" si="45"/>
        <v>120</v>
      </c>
    </row>
    <row r="714" spans="1:6" x14ac:dyDescent="0.25">
      <c r="A714" s="1">
        <v>45639</v>
      </c>
      <c r="B714">
        <f t="shared" si="44"/>
        <v>5</v>
      </c>
      <c r="C714" t="s">
        <v>11</v>
      </c>
      <c r="D714">
        <f t="shared" si="46"/>
        <v>120</v>
      </c>
      <c r="E714">
        <f t="shared" si="47"/>
        <v>0</v>
      </c>
      <c r="F714">
        <f t="shared" si="45"/>
        <v>120</v>
      </c>
    </row>
    <row r="715" spans="1:6" x14ac:dyDescent="0.25">
      <c r="A715" s="1">
        <v>45640</v>
      </c>
      <c r="B715">
        <f t="shared" si="44"/>
        <v>6</v>
      </c>
      <c r="C715" t="s">
        <v>11</v>
      </c>
      <c r="D715">
        <f t="shared" si="46"/>
        <v>0</v>
      </c>
      <c r="E715">
        <f t="shared" si="47"/>
        <v>0</v>
      </c>
      <c r="F715">
        <f t="shared" si="45"/>
        <v>0</v>
      </c>
    </row>
    <row r="716" spans="1:6" x14ac:dyDescent="0.25">
      <c r="A716" s="1">
        <v>45641</v>
      </c>
      <c r="B716">
        <f t="shared" si="44"/>
        <v>7</v>
      </c>
      <c r="C716" t="s">
        <v>11</v>
      </c>
      <c r="D716">
        <f t="shared" si="46"/>
        <v>0</v>
      </c>
      <c r="E716">
        <f t="shared" si="47"/>
        <v>150</v>
      </c>
      <c r="F716">
        <f t="shared" si="45"/>
        <v>-150</v>
      </c>
    </row>
    <row r="717" spans="1:6" x14ac:dyDescent="0.25">
      <c r="A717" s="1">
        <v>45642</v>
      </c>
      <c r="B717">
        <f t="shared" si="44"/>
        <v>1</v>
      </c>
      <c r="C717" t="s">
        <v>11</v>
      </c>
      <c r="D717">
        <f t="shared" si="46"/>
        <v>120</v>
      </c>
      <c r="E717">
        <f t="shared" si="47"/>
        <v>0</v>
      </c>
      <c r="F717">
        <f t="shared" si="45"/>
        <v>120</v>
      </c>
    </row>
    <row r="718" spans="1:6" x14ac:dyDescent="0.25">
      <c r="A718" s="1">
        <v>45643</v>
      </c>
      <c r="B718">
        <f t="shared" si="44"/>
        <v>2</v>
      </c>
      <c r="C718" t="s">
        <v>11</v>
      </c>
      <c r="D718">
        <f t="shared" si="46"/>
        <v>120</v>
      </c>
      <c r="E718">
        <f t="shared" si="47"/>
        <v>0</v>
      </c>
      <c r="F718">
        <f t="shared" si="45"/>
        <v>120</v>
      </c>
    </row>
    <row r="719" spans="1:6" x14ac:dyDescent="0.25">
      <c r="A719" s="1">
        <v>45644</v>
      </c>
      <c r="B719">
        <f t="shared" si="44"/>
        <v>3</v>
      </c>
      <c r="C719" t="s">
        <v>11</v>
      </c>
      <c r="D719">
        <f t="shared" si="46"/>
        <v>120</v>
      </c>
      <c r="E719">
        <f t="shared" si="47"/>
        <v>0</v>
      </c>
      <c r="F719">
        <f t="shared" si="45"/>
        <v>120</v>
      </c>
    </row>
    <row r="720" spans="1:6" x14ac:dyDescent="0.25">
      <c r="A720" s="1">
        <v>45645</v>
      </c>
      <c r="B720">
        <f t="shared" si="44"/>
        <v>4</v>
      </c>
      <c r="C720" t="s">
        <v>11</v>
      </c>
      <c r="D720">
        <f t="shared" si="46"/>
        <v>120</v>
      </c>
      <c r="E720">
        <f t="shared" si="47"/>
        <v>0</v>
      </c>
      <c r="F720">
        <f t="shared" si="45"/>
        <v>120</v>
      </c>
    </row>
    <row r="721" spans="1:6" x14ac:dyDescent="0.25">
      <c r="A721" s="1">
        <v>45646</v>
      </c>
      <c r="B721">
        <f t="shared" si="44"/>
        <v>5</v>
      </c>
      <c r="C721" t="s">
        <v>11</v>
      </c>
      <c r="D721">
        <f t="shared" si="46"/>
        <v>120</v>
      </c>
      <c r="E721">
        <f t="shared" si="47"/>
        <v>0</v>
      </c>
      <c r="F721">
        <f t="shared" si="45"/>
        <v>120</v>
      </c>
    </row>
    <row r="722" spans="1:6" x14ac:dyDescent="0.25">
      <c r="A722" s="1">
        <v>45647</v>
      </c>
      <c r="B722">
        <f t="shared" si="44"/>
        <v>6</v>
      </c>
      <c r="C722" t="s">
        <v>8</v>
      </c>
      <c r="D722">
        <f t="shared" si="46"/>
        <v>0</v>
      </c>
      <c r="E722">
        <f t="shared" si="47"/>
        <v>0</v>
      </c>
      <c r="F722">
        <f t="shared" si="45"/>
        <v>0</v>
      </c>
    </row>
    <row r="723" spans="1:6" x14ac:dyDescent="0.25">
      <c r="A723" s="1">
        <v>45648</v>
      </c>
      <c r="B723">
        <f t="shared" si="44"/>
        <v>7</v>
      </c>
      <c r="C723" t="s">
        <v>8</v>
      </c>
      <c r="D723">
        <f t="shared" si="46"/>
        <v>0</v>
      </c>
      <c r="E723">
        <f t="shared" si="47"/>
        <v>150</v>
      </c>
      <c r="F723">
        <f t="shared" si="45"/>
        <v>-150</v>
      </c>
    </row>
    <row r="724" spans="1:6" x14ac:dyDescent="0.25">
      <c r="A724" s="1">
        <v>45649</v>
      </c>
      <c r="B724">
        <f t="shared" si="44"/>
        <v>1</v>
      </c>
      <c r="C724" t="s">
        <v>8</v>
      </c>
      <c r="D724">
        <f t="shared" si="46"/>
        <v>60</v>
      </c>
      <c r="E724">
        <f t="shared" si="47"/>
        <v>0</v>
      </c>
      <c r="F724">
        <f t="shared" si="45"/>
        <v>60</v>
      </c>
    </row>
    <row r="725" spans="1:6" x14ac:dyDescent="0.25">
      <c r="A725" s="1">
        <v>45650</v>
      </c>
      <c r="B725">
        <f t="shared" si="44"/>
        <v>2</v>
      </c>
      <c r="C725" t="s">
        <v>8</v>
      </c>
      <c r="D725">
        <f t="shared" si="46"/>
        <v>60</v>
      </c>
      <c r="E725">
        <f t="shared" si="47"/>
        <v>0</v>
      </c>
      <c r="F725">
        <f t="shared" si="45"/>
        <v>60</v>
      </c>
    </row>
    <row r="726" spans="1:6" x14ac:dyDescent="0.25">
      <c r="A726" s="1">
        <v>45651</v>
      </c>
      <c r="B726">
        <f t="shared" si="44"/>
        <v>3</v>
      </c>
      <c r="C726" t="s">
        <v>8</v>
      </c>
      <c r="D726">
        <f t="shared" si="46"/>
        <v>60</v>
      </c>
      <c r="E726">
        <f t="shared" si="47"/>
        <v>0</v>
      </c>
      <c r="F726">
        <f t="shared" si="45"/>
        <v>60</v>
      </c>
    </row>
    <row r="727" spans="1:6" x14ac:dyDescent="0.25">
      <c r="A727" s="1">
        <v>45652</v>
      </c>
      <c r="B727">
        <f t="shared" si="44"/>
        <v>4</v>
      </c>
      <c r="C727" t="s">
        <v>8</v>
      </c>
      <c r="D727">
        <f t="shared" si="46"/>
        <v>60</v>
      </c>
      <c r="E727">
        <f t="shared" si="47"/>
        <v>0</v>
      </c>
      <c r="F727">
        <f t="shared" si="45"/>
        <v>60</v>
      </c>
    </row>
    <row r="728" spans="1:6" x14ac:dyDescent="0.25">
      <c r="A728" s="1">
        <v>45653</v>
      </c>
      <c r="B728">
        <f t="shared" si="44"/>
        <v>5</v>
      </c>
      <c r="C728" t="s">
        <v>8</v>
      </c>
      <c r="D728">
        <f t="shared" si="46"/>
        <v>60</v>
      </c>
      <c r="E728">
        <f t="shared" si="47"/>
        <v>0</v>
      </c>
      <c r="F728">
        <f t="shared" si="45"/>
        <v>60</v>
      </c>
    </row>
    <row r="729" spans="1:6" x14ac:dyDescent="0.25">
      <c r="A729" s="1">
        <v>45654</v>
      </c>
      <c r="B729">
        <f t="shared" si="44"/>
        <v>6</v>
      </c>
      <c r="C729" t="s">
        <v>8</v>
      </c>
      <c r="D729">
        <f t="shared" si="46"/>
        <v>0</v>
      </c>
      <c r="E729">
        <f t="shared" si="47"/>
        <v>0</v>
      </c>
      <c r="F729">
        <f t="shared" si="45"/>
        <v>0</v>
      </c>
    </row>
    <row r="730" spans="1:6" x14ac:dyDescent="0.25">
      <c r="A730" s="1">
        <v>45655</v>
      </c>
      <c r="B730">
        <f t="shared" si="44"/>
        <v>7</v>
      </c>
      <c r="C730" t="s">
        <v>8</v>
      </c>
      <c r="D730">
        <f t="shared" si="46"/>
        <v>0</v>
      </c>
      <c r="E730">
        <f t="shared" si="47"/>
        <v>150</v>
      </c>
      <c r="F730">
        <f t="shared" si="45"/>
        <v>-150</v>
      </c>
    </row>
    <row r="731" spans="1:6" x14ac:dyDescent="0.25">
      <c r="A731" s="1">
        <v>45656</v>
      </c>
      <c r="B731">
        <f t="shared" si="44"/>
        <v>1</v>
      </c>
      <c r="C731" t="s">
        <v>8</v>
      </c>
      <c r="D731">
        <f t="shared" si="46"/>
        <v>60</v>
      </c>
      <c r="E731">
        <f t="shared" si="47"/>
        <v>0</v>
      </c>
      <c r="F731">
        <f t="shared" si="45"/>
        <v>60</v>
      </c>
    </row>
    <row r="732" spans="1:6" x14ac:dyDescent="0.25">
      <c r="A732" s="1">
        <v>45657</v>
      </c>
      <c r="B732">
        <f t="shared" si="44"/>
        <v>2</v>
      </c>
      <c r="C732" t="s">
        <v>8</v>
      </c>
      <c r="D732">
        <f t="shared" si="46"/>
        <v>60</v>
      </c>
      <c r="E732">
        <f t="shared" si="47"/>
        <v>0</v>
      </c>
      <c r="F732">
        <f t="shared" si="45"/>
        <v>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D01C-1CF2-40A0-B944-726A93B7AAD5}">
  <dimension ref="A1:T732"/>
  <sheetViews>
    <sheetView topLeftCell="B10" workbookViewId="0">
      <selection activeCell="I6" sqref="I6"/>
    </sheetView>
  </sheetViews>
  <sheetFormatPr defaultRowHeight="15" x14ac:dyDescent="0.25"/>
  <cols>
    <col min="1" max="1" width="10.140625" bestFit="1" customWidth="1"/>
    <col min="3" max="3" width="10" bestFit="1" customWidth="1"/>
    <col min="8" max="8" width="11.42578125" bestFit="1" customWidth="1"/>
    <col min="16" max="16" width="28" bestFit="1" customWidth="1"/>
  </cols>
  <sheetData>
    <row r="1" spans="1:20" x14ac:dyDescent="0.25">
      <c r="A1" t="s">
        <v>7</v>
      </c>
      <c r="B1" t="s">
        <v>6</v>
      </c>
      <c r="C1" t="s">
        <v>12</v>
      </c>
      <c r="D1" t="s">
        <v>13</v>
      </c>
      <c r="E1" t="s">
        <v>17</v>
      </c>
      <c r="F1" t="s">
        <v>15</v>
      </c>
      <c r="H1" t="s">
        <v>38</v>
      </c>
      <c r="I1">
        <f>SUM(F2:F732)</f>
        <v>150094</v>
      </c>
      <c r="P1" t="s">
        <v>0</v>
      </c>
      <c r="Q1">
        <v>10</v>
      </c>
      <c r="S1" t="s">
        <v>4</v>
      </c>
      <c r="T1" t="s">
        <v>5</v>
      </c>
    </row>
    <row r="2" spans="1:20" x14ac:dyDescent="0.25">
      <c r="A2" s="1">
        <v>44927</v>
      </c>
      <c r="B2">
        <f>WEEKDAY(A2,2)</f>
        <v>7</v>
      </c>
      <c r="C2" t="s">
        <v>8</v>
      </c>
      <c r="D2">
        <v>0</v>
      </c>
      <c r="E2">
        <f>$Q$1*$Q$2+$Q$4*$Q$1</f>
        <v>8150</v>
      </c>
      <c r="F2">
        <f>D2-E2</f>
        <v>-8150</v>
      </c>
      <c r="P2" t="s">
        <v>3</v>
      </c>
      <c r="Q2">
        <v>800</v>
      </c>
      <c r="S2" t="s">
        <v>8</v>
      </c>
      <c r="T2" s="2">
        <v>0.2</v>
      </c>
    </row>
    <row r="3" spans="1:20" x14ac:dyDescent="0.25">
      <c r="A3" s="1">
        <v>44928</v>
      </c>
      <c r="B3">
        <f t="shared" ref="B3:B66" si="0">WEEKDAY(A3,2)</f>
        <v>1</v>
      </c>
      <c r="C3" t="s">
        <v>8</v>
      </c>
      <c r="D3">
        <f>IF(B3&lt;6,$Q$1*VLOOKUP(C3,$S$1:$T$5,2,FALSE)*$Q$3,0)</f>
        <v>132</v>
      </c>
      <c r="E3">
        <f>IF(B3=7,$Q$4*$Q$1,0)</f>
        <v>0</v>
      </c>
      <c r="F3">
        <f t="shared" ref="F3:F66" si="1">D3-E3</f>
        <v>132</v>
      </c>
      <c r="H3" s="3" t="s">
        <v>39</v>
      </c>
      <c r="I3" s="3">
        <v>47</v>
      </c>
      <c r="P3" t="s">
        <v>1</v>
      </c>
      <c r="Q3">
        <v>66</v>
      </c>
      <c r="S3" t="s">
        <v>9</v>
      </c>
      <c r="T3" s="2">
        <v>0.5</v>
      </c>
    </row>
    <row r="4" spans="1:20" x14ac:dyDescent="0.25">
      <c r="A4" s="1">
        <v>44929</v>
      </c>
      <c r="B4">
        <f t="shared" si="0"/>
        <v>2</v>
      </c>
      <c r="C4" t="s">
        <v>8</v>
      </c>
      <c r="D4">
        <f t="shared" ref="D4:D67" si="2">IF(B4&lt;6,$Q$1*VLOOKUP(C4,$S$1:$T$5,2,FALSE)*$Q$3,0)</f>
        <v>132</v>
      </c>
      <c r="E4">
        <f t="shared" ref="E4:E67" si="3">IF(B4=7,$Q$4*$Q$1,0)</f>
        <v>0</v>
      </c>
      <c r="F4">
        <f t="shared" si="1"/>
        <v>132</v>
      </c>
      <c r="H4" s="3" t="s">
        <v>40</v>
      </c>
      <c r="I4" s="3">
        <v>57</v>
      </c>
      <c r="P4" t="s">
        <v>2</v>
      </c>
      <c r="Q4">
        <v>15</v>
      </c>
      <c r="S4" t="s">
        <v>10</v>
      </c>
      <c r="T4" s="2">
        <v>0.9</v>
      </c>
    </row>
    <row r="5" spans="1:20" x14ac:dyDescent="0.25">
      <c r="A5" s="1">
        <v>44930</v>
      </c>
      <c r="B5">
        <f t="shared" si="0"/>
        <v>3</v>
      </c>
      <c r="C5" t="s">
        <v>8</v>
      </c>
      <c r="D5">
        <f t="shared" si="2"/>
        <v>132</v>
      </c>
      <c r="E5">
        <f t="shared" si="3"/>
        <v>0</v>
      </c>
      <c r="F5">
        <f t="shared" si="1"/>
        <v>132</v>
      </c>
      <c r="H5" s="3" t="s">
        <v>41</v>
      </c>
      <c r="I5" s="3">
        <v>66</v>
      </c>
      <c r="S5" t="s">
        <v>11</v>
      </c>
      <c r="T5" s="2">
        <v>0.4</v>
      </c>
    </row>
    <row r="6" spans="1:20" x14ac:dyDescent="0.25">
      <c r="A6" s="1">
        <v>44931</v>
      </c>
      <c r="B6">
        <f t="shared" si="0"/>
        <v>4</v>
      </c>
      <c r="C6" t="s">
        <v>8</v>
      </c>
      <c r="D6">
        <f t="shared" si="2"/>
        <v>132</v>
      </c>
      <c r="E6">
        <f t="shared" si="3"/>
        <v>0</v>
      </c>
      <c r="F6">
        <f t="shared" si="1"/>
        <v>132</v>
      </c>
    </row>
    <row r="7" spans="1:20" x14ac:dyDescent="0.25">
      <c r="A7" s="1">
        <v>44932</v>
      </c>
      <c r="B7">
        <f t="shared" si="0"/>
        <v>5</v>
      </c>
      <c r="C7" t="s">
        <v>8</v>
      </c>
      <c r="D7">
        <f t="shared" si="2"/>
        <v>132</v>
      </c>
      <c r="E7">
        <f t="shared" si="3"/>
        <v>0</v>
      </c>
      <c r="F7">
        <f t="shared" si="1"/>
        <v>132</v>
      </c>
    </row>
    <row r="8" spans="1:20" x14ac:dyDescent="0.25">
      <c r="A8" s="1">
        <v>44933</v>
      </c>
      <c r="B8">
        <f t="shared" si="0"/>
        <v>6</v>
      </c>
      <c r="C8" t="s">
        <v>8</v>
      </c>
      <c r="D8">
        <f t="shared" si="2"/>
        <v>0</v>
      </c>
      <c r="E8">
        <f t="shared" si="3"/>
        <v>0</v>
      </c>
      <c r="F8">
        <f t="shared" si="1"/>
        <v>0</v>
      </c>
    </row>
    <row r="9" spans="1:20" x14ac:dyDescent="0.25">
      <c r="A9" s="1">
        <v>44934</v>
      </c>
      <c r="B9">
        <f t="shared" si="0"/>
        <v>7</v>
      </c>
      <c r="C9" t="s">
        <v>8</v>
      </c>
      <c r="D9">
        <f t="shared" si="2"/>
        <v>0</v>
      </c>
      <c r="E9">
        <f t="shared" si="3"/>
        <v>150</v>
      </c>
      <c r="F9">
        <f t="shared" si="1"/>
        <v>-150</v>
      </c>
    </row>
    <row r="10" spans="1:20" x14ac:dyDescent="0.25">
      <c r="A10" s="1">
        <v>44935</v>
      </c>
      <c r="B10">
        <f t="shared" si="0"/>
        <v>1</v>
      </c>
      <c r="C10" t="s">
        <v>8</v>
      </c>
      <c r="D10">
        <f t="shared" si="2"/>
        <v>132</v>
      </c>
      <c r="E10">
        <f t="shared" si="3"/>
        <v>0</v>
      </c>
      <c r="F10">
        <f t="shared" si="1"/>
        <v>132</v>
      </c>
    </row>
    <row r="11" spans="1:20" x14ac:dyDescent="0.25">
      <c r="A11" s="1">
        <v>44936</v>
      </c>
      <c r="B11">
        <f t="shared" si="0"/>
        <v>2</v>
      </c>
      <c r="C11" t="s">
        <v>8</v>
      </c>
      <c r="D11">
        <f t="shared" si="2"/>
        <v>132</v>
      </c>
      <c r="E11">
        <f t="shared" si="3"/>
        <v>0</v>
      </c>
      <c r="F11">
        <f t="shared" si="1"/>
        <v>132</v>
      </c>
    </row>
    <row r="12" spans="1:20" x14ac:dyDescent="0.25">
      <c r="A12" s="1">
        <v>44937</v>
      </c>
      <c r="B12">
        <f t="shared" si="0"/>
        <v>3</v>
      </c>
      <c r="C12" t="s">
        <v>8</v>
      </c>
      <c r="D12">
        <f t="shared" si="2"/>
        <v>132</v>
      </c>
      <c r="E12">
        <f t="shared" si="3"/>
        <v>0</v>
      </c>
      <c r="F12">
        <f t="shared" si="1"/>
        <v>132</v>
      </c>
    </row>
    <row r="13" spans="1:20" x14ac:dyDescent="0.25">
      <c r="A13" s="1">
        <v>44938</v>
      </c>
      <c r="B13">
        <f t="shared" si="0"/>
        <v>4</v>
      </c>
      <c r="C13" t="s">
        <v>8</v>
      </c>
      <c r="D13">
        <f t="shared" si="2"/>
        <v>132</v>
      </c>
      <c r="E13">
        <f t="shared" si="3"/>
        <v>0</v>
      </c>
      <c r="F13">
        <f t="shared" si="1"/>
        <v>132</v>
      </c>
    </row>
    <row r="14" spans="1:20" x14ac:dyDescent="0.25">
      <c r="A14" s="1">
        <v>44939</v>
      </c>
      <c r="B14">
        <f t="shared" si="0"/>
        <v>5</v>
      </c>
      <c r="C14" t="s">
        <v>8</v>
      </c>
      <c r="D14">
        <f t="shared" si="2"/>
        <v>132</v>
      </c>
      <c r="E14">
        <f t="shared" si="3"/>
        <v>0</v>
      </c>
      <c r="F14">
        <f t="shared" si="1"/>
        <v>132</v>
      </c>
    </row>
    <row r="15" spans="1:20" x14ac:dyDescent="0.25">
      <c r="A15" s="1">
        <v>44940</v>
      </c>
      <c r="B15">
        <f t="shared" si="0"/>
        <v>6</v>
      </c>
      <c r="C15" t="s">
        <v>8</v>
      </c>
      <c r="D15">
        <f t="shared" si="2"/>
        <v>0</v>
      </c>
      <c r="E15">
        <f t="shared" si="3"/>
        <v>0</v>
      </c>
      <c r="F15">
        <f t="shared" si="1"/>
        <v>0</v>
      </c>
    </row>
    <row r="16" spans="1:20" x14ac:dyDescent="0.25">
      <c r="A16" s="1">
        <v>44941</v>
      </c>
      <c r="B16">
        <f t="shared" si="0"/>
        <v>7</v>
      </c>
      <c r="C16" t="s">
        <v>8</v>
      </c>
      <c r="D16">
        <f t="shared" si="2"/>
        <v>0</v>
      </c>
      <c r="E16">
        <f t="shared" si="3"/>
        <v>150</v>
      </c>
      <c r="F16">
        <f t="shared" si="1"/>
        <v>-150</v>
      </c>
    </row>
    <row r="17" spans="1:6" x14ac:dyDescent="0.25">
      <c r="A17" s="1">
        <v>44942</v>
      </c>
      <c r="B17">
        <f t="shared" si="0"/>
        <v>1</v>
      </c>
      <c r="C17" t="s">
        <v>8</v>
      </c>
      <c r="D17">
        <f t="shared" si="2"/>
        <v>132</v>
      </c>
      <c r="E17">
        <f t="shared" si="3"/>
        <v>0</v>
      </c>
      <c r="F17">
        <f t="shared" si="1"/>
        <v>132</v>
      </c>
    </row>
    <row r="18" spans="1:6" x14ac:dyDescent="0.25">
      <c r="A18" s="1">
        <v>44943</v>
      </c>
      <c r="B18">
        <f t="shared" si="0"/>
        <v>2</v>
      </c>
      <c r="C18" t="s">
        <v>8</v>
      </c>
      <c r="D18">
        <f t="shared" si="2"/>
        <v>132</v>
      </c>
      <c r="E18">
        <f t="shared" si="3"/>
        <v>0</v>
      </c>
      <c r="F18">
        <f t="shared" si="1"/>
        <v>132</v>
      </c>
    </row>
    <row r="19" spans="1:6" x14ac:dyDescent="0.25">
      <c r="A19" s="1">
        <v>44944</v>
      </c>
      <c r="B19">
        <f t="shared" si="0"/>
        <v>3</v>
      </c>
      <c r="C19" t="s">
        <v>8</v>
      </c>
      <c r="D19">
        <f t="shared" si="2"/>
        <v>132</v>
      </c>
      <c r="E19">
        <f t="shared" si="3"/>
        <v>0</v>
      </c>
      <c r="F19">
        <f t="shared" si="1"/>
        <v>132</v>
      </c>
    </row>
    <row r="20" spans="1:6" x14ac:dyDescent="0.25">
      <c r="A20" s="1">
        <v>44945</v>
      </c>
      <c r="B20">
        <f t="shared" si="0"/>
        <v>4</v>
      </c>
      <c r="C20" t="s">
        <v>8</v>
      </c>
      <c r="D20">
        <f t="shared" si="2"/>
        <v>132</v>
      </c>
      <c r="E20">
        <f t="shared" si="3"/>
        <v>0</v>
      </c>
      <c r="F20">
        <f t="shared" si="1"/>
        <v>132</v>
      </c>
    </row>
    <row r="21" spans="1:6" x14ac:dyDescent="0.25">
      <c r="A21" s="1">
        <v>44946</v>
      </c>
      <c r="B21">
        <f t="shared" si="0"/>
        <v>5</v>
      </c>
      <c r="C21" t="s">
        <v>8</v>
      </c>
      <c r="D21">
        <f t="shared" si="2"/>
        <v>132</v>
      </c>
      <c r="E21">
        <f t="shared" si="3"/>
        <v>0</v>
      </c>
      <c r="F21">
        <f t="shared" si="1"/>
        <v>132</v>
      </c>
    </row>
    <row r="22" spans="1:6" x14ac:dyDescent="0.25">
      <c r="A22" s="1">
        <v>44947</v>
      </c>
      <c r="B22">
        <f t="shared" si="0"/>
        <v>6</v>
      </c>
      <c r="C22" t="s">
        <v>8</v>
      </c>
      <c r="D22">
        <f t="shared" si="2"/>
        <v>0</v>
      </c>
      <c r="E22">
        <f t="shared" si="3"/>
        <v>0</v>
      </c>
      <c r="F22">
        <f t="shared" si="1"/>
        <v>0</v>
      </c>
    </row>
    <row r="23" spans="1:6" x14ac:dyDescent="0.25">
      <c r="A23" s="1">
        <v>44948</v>
      </c>
      <c r="B23">
        <f t="shared" si="0"/>
        <v>7</v>
      </c>
      <c r="C23" t="s">
        <v>8</v>
      </c>
      <c r="D23">
        <f t="shared" si="2"/>
        <v>0</v>
      </c>
      <c r="E23">
        <f t="shared" si="3"/>
        <v>150</v>
      </c>
      <c r="F23">
        <f t="shared" si="1"/>
        <v>-150</v>
      </c>
    </row>
    <row r="24" spans="1:6" x14ac:dyDescent="0.25">
      <c r="A24" s="1">
        <v>44949</v>
      </c>
      <c r="B24">
        <f t="shared" si="0"/>
        <v>1</v>
      </c>
      <c r="C24" t="s">
        <v>8</v>
      </c>
      <c r="D24">
        <f t="shared" si="2"/>
        <v>132</v>
      </c>
      <c r="E24">
        <f t="shared" si="3"/>
        <v>0</v>
      </c>
      <c r="F24">
        <f t="shared" si="1"/>
        <v>132</v>
      </c>
    </row>
    <row r="25" spans="1:6" x14ac:dyDescent="0.25">
      <c r="A25" s="1">
        <v>44950</v>
      </c>
      <c r="B25">
        <f t="shared" si="0"/>
        <v>2</v>
      </c>
      <c r="C25" t="s">
        <v>8</v>
      </c>
      <c r="D25">
        <f t="shared" si="2"/>
        <v>132</v>
      </c>
      <c r="E25">
        <f t="shared" si="3"/>
        <v>0</v>
      </c>
      <c r="F25">
        <f t="shared" si="1"/>
        <v>132</v>
      </c>
    </row>
    <row r="26" spans="1:6" x14ac:dyDescent="0.25">
      <c r="A26" s="1">
        <v>44951</v>
      </c>
      <c r="B26">
        <f t="shared" si="0"/>
        <v>3</v>
      </c>
      <c r="C26" t="s">
        <v>8</v>
      </c>
      <c r="D26">
        <f t="shared" si="2"/>
        <v>132</v>
      </c>
      <c r="E26">
        <f t="shared" si="3"/>
        <v>0</v>
      </c>
      <c r="F26">
        <f t="shared" si="1"/>
        <v>132</v>
      </c>
    </row>
    <row r="27" spans="1:6" x14ac:dyDescent="0.25">
      <c r="A27" s="1">
        <v>44952</v>
      </c>
      <c r="B27">
        <f t="shared" si="0"/>
        <v>4</v>
      </c>
      <c r="C27" t="s">
        <v>8</v>
      </c>
      <c r="D27">
        <f t="shared" si="2"/>
        <v>132</v>
      </c>
      <c r="E27">
        <f t="shared" si="3"/>
        <v>0</v>
      </c>
      <c r="F27">
        <f t="shared" si="1"/>
        <v>132</v>
      </c>
    </row>
    <row r="28" spans="1:6" x14ac:dyDescent="0.25">
      <c r="A28" s="1">
        <v>44953</v>
      </c>
      <c r="B28">
        <f t="shared" si="0"/>
        <v>5</v>
      </c>
      <c r="C28" t="s">
        <v>8</v>
      </c>
      <c r="D28">
        <f t="shared" si="2"/>
        <v>132</v>
      </c>
      <c r="E28">
        <f t="shared" si="3"/>
        <v>0</v>
      </c>
      <c r="F28">
        <f t="shared" si="1"/>
        <v>132</v>
      </c>
    </row>
    <row r="29" spans="1:6" x14ac:dyDescent="0.25">
      <c r="A29" s="1">
        <v>44954</v>
      </c>
      <c r="B29">
        <f t="shared" si="0"/>
        <v>6</v>
      </c>
      <c r="C29" t="s">
        <v>8</v>
      </c>
      <c r="D29">
        <f t="shared" si="2"/>
        <v>0</v>
      </c>
      <c r="E29">
        <f t="shared" si="3"/>
        <v>0</v>
      </c>
      <c r="F29">
        <f t="shared" si="1"/>
        <v>0</v>
      </c>
    </row>
    <row r="30" spans="1:6" x14ac:dyDescent="0.25">
      <c r="A30" s="1">
        <v>44955</v>
      </c>
      <c r="B30">
        <f t="shared" si="0"/>
        <v>7</v>
      </c>
      <c r="C30" t="s">
        <v>8</v>
      </c>
      <c r="D30">
        <f t="shared" si="2"/>
        <v>0</v>
      </c>
      <c r="E30">
        <f t="shared" si="3"/>
        <v>150</v>
      </c>
      <c r="F30">
        <f t="shared" si="1"/>
        <v>-150</v>
      </c>
    </row>
    <row r="31" spans="1:6" x14ac:dyDescent="0.25">
      <c r="A31" s="1">
        <v>44956</v>
      </c>
      <c r="B31">
        <f t="shared" si="0"/>
        <v>1</v>
      </c>
      <c r="C31" t="s">
        <v>8</v>
      </c>
      <c r="D31">
        <f t="shared" si="2"/>
        <v>132</v>
      </c>
      <c r="E31">
        <f t="shared" si="3"/>
        <v>0</v>
      </c>
      <c r="F31">
        <f t="shared" si="1"/>
        <v>132</v>
      </c>
    </row>
    <row r="32" spans="1:6" x14ac:dyDescent="0.25">
      <c r="A32" s="1">
        <v>44957</v>
      </c>
      <c r="B32">
        <f t="shared" si="0"/>
        <v>2</v>
      </c>
      <c r="C32" t="s">
        <v>8</v>
      </c>
      <c r="D32">
        <f t="shared" si="2"/>
        <v>132</v>
      </c>
      <c r="E32">
        <f t="shared" si="3"/>
        <v>0</v>
      </c>
      <c r="F32">
        <f t="shared" si="1"/>
        <v>132</v>
      </c>
    </row>
    <row r="33" spans="1:6" x14ac:dyDescent="0.25">
      <c r="A33" s="1">
        <v>44958</v>
      </c>
      <c r="B33">
        <f t="shared" si="0"/>
        <v>3</v>
      </c>
      <c r="C33" t="s">
        <v>8</v>
      </c>
      <c r="D33">
        <f t="shared" si="2"/>
        <v>132</v>
      </c>
      <c r="E33">
        <f t="shared" si="3"/>
        <v>0</v>
      </c>
      <c r="F33">
        <f t="shared" si="1"/>
        <v>132</v>
      </c>
    </row>
    <row r="34" spans="1:6" x14ac:dyDescent="0.25">
      <c r="A34" s="1">
        <v>44959</v>
      </c>
      <c r="B34">
        <f t="shared" si="0"/>
        <v>4</v>
      </c>
      <c r="C34" t="s">
        <v>8</v>
      </c>
      <c r="D34">
        <f t="shared" si="2"/>
        <v>132</v>
      </c>
      <c r="E34">
        <f t="shared" si="3"/>
        <v>0</v>
      </c>
      <c r="F34">
        <f t="shared" si="1"/>
        <v>132</v>
      </c>
    </row>
    <row r="35" spans="1:6" x14ac:dyDescent="0.25">
      <c r="A35" s="1">
        <v>44960</v>
      </c>
      <c r="B35">
        <f t="shared" si="0"/>
        <v>5</v>
      </c>
      <c r="C35" t="s">
        <v>8</v>
      </c>
      <c r="D35">
        <f t="shared" si="2"/>
        <v>132</v>
      </c>
      <c r="E35">
        <f t="shared" si="3"/>
        <v>0</v>
      </c>
      <c r="F35">
        <f t="shared" si="1"/>
        <v>132</v>
      </c>
    </row>
    <row r="36" spans="1:6" x14ac:dyDescent="0.25">
      <c r="A36" s="1">
        <v>44961</v>
      </c>
      <c r="B36">
        <f t="shared" si="0"/>
        <v>6</v>
      </c>
      <c r="C36" t="s">
        <v>8</v>
      </c>
      <c r="D36">
        <f t="shared" si="2"/>
        <v>0</v>
      </c>
      <c r="E36">
        <f t="shared" si="3"/>
        <v>0</v>
      </c>
      <c r="F36">
        <f t="shared" si="1"/>
        <v>0</v>
      </c>
    </row>
    <row r="37" spans="1:6" x14ac:dyDescent="0.25">
      <c r="A37" s="1">
        <v>44962</v>
      </c>
      <c r="B37">
        <f t="shared" si="0"/>
        <v>7</v>
      </c>
      <c r="C37" t="s">
        <v>8</v>
      </c>
      <c r="D37">
        <f t="shared" si="2"/>
        <v>0</v>
      </c>
      <c r="E37">
        <f t="shared" si="3"/>
        <v>150</v>
      </c>
      <c r="F37">
        <f t="shared" si="1"/>
        <v>-150</v>
      </c>
    </row>
    <row r="38" spans="1:6" x14ac:dyDescent="0.25">
      <c r="A38" s="1">
        <v>44963</v>
      </c>
      <c r="B38">
        <f t="shared" si="0"/>
        <v>1</v>
      </c>
      <c r="C38" t="s">
        <v>8</v>
      </c>
      <c r="D38">
        <f t="shared" si="2"/>
        <v>132</v>
      </c>
      <c r="E38">
        <f t="shared" si="3"/>
        <v>0</v>
      </c>
      <c r="F38">
        <f t="shared" si="1"/>
        <v>132</v>
      </c>
    </row>
    <row r="39" spans="1:6" x14ac:dyDescent="0.25">
      <c r="A39" s="1">
        <v>44964</v>
      </c>
      <c r="B39">
        <f t="shared" si="0"/>
        <v>2</v>
      </c>
      <c r="C39" t="s">
        <v>8</v>
      </c>
      <c r="D39">
        <f t="shared" si="2"/>
        <v>132</v>
      </c>
      <c r="E39">
        <f t="shared" si="3"/>
        <v>0</v>
      </c>
      <c r="F39">
        <f t="shared" si="1"/>
        <v>132</v>
      </c>
    </row>
    <row r="40" spans="1:6" x14ac:dyDescent="0.25">
      <c r="A40" s="1">
        <v>44965</v>
      </c>
      <c r="B40">
        <f t="shared" si="0"/>
        <v>3</v>
      </c>
      <c r="C40" t="s">
        <v>8</v>
      </c>
      <c r="D40">
        <f t="shared" si="2"/>
        <v>132</v>
      </c>
      <c r="E40">
        <f t="shared" si="3"/>
        <v>0</v>
      </c>
      <c r="F40">
        <f t="shared" si="1"/>
        <v>132</v>
      </c>
    </row>
    <row r="41" spans="1:6" x14ac:dyDescent="0.25">
      <c r="A41" s="1">
        <v>44966</v>
      </c>
      <c r="B41">
        <f t="shared" si="0"/>
        <v>4</v>
      </c>
      <c r="C41" t="s">
        <v>8</v>
      </c>
      <c r="D41">
        <f t="shared" si="2"/>
        <v>132</v>
      </c>
      <c r="E41">
        <f t="shared" si="3"/>
        <v>0</v>
      </c>
      <c r="F41">
        <f t="shared" si="1"/>
        <v>132</v>
      </c>
    </row>
    <row r="42" spans="1:6" x14ac:dyDescent="0.25">
      <c r="A42" s="1">
        <v>44967</v>
      </c>
      <c r="B42">
        <f t="shared" si="0"/>
        <v>5</v>
      </c>
      <c r="C42" t="s">
        <v>8</v>
      </c>
      <c r="D42">
        <f t="shared" si="2"/>
        <v>132</v>
      </c>
      <c r="E42">
        <f t="shared" si="3"/>
        <v>0</v>
      </c>
      <c r="F42">
        <f t="shared" si="1"/>
        <v>132</v>
      </c>
    </row>
    <row r="43" spans="1:6" x14ac:dyDescent="0.25">
      <c r="A43" s="1">
        <v>44968</v>
      </c>
      <c r="B43">
        <f t="shared" si="0"/>
        <v>6</v>
      </c>
      <c r="C43" t="s">
        <v>8</v>
      </c>
      <c r="D43">
        <f t="shared" si="2"/>
        <v>0</v>
      </c>
      <c r="E43">
        <f t="shared" si="3"/>
        <v>0</v>
      </c>
      <c r="F43">
        <f t="shared" si="1"/>
        <v>0</v>
      </c>
    </row>
    <row r="44" spans="1:6" x14ac:dyDescent="0.25">
      <c r="A44" s="1">
        <v>44969</v>
      </c>
      <c r="B44">
        <f t="shared" si="0"/>
        <v>7</v>
      </c>
      <c r="C44" t="s">
        <v>8</v>
      </c>
      <c r="D44">
        <f t="shared" si="2"/>
        <v>0</v>
      </c>
      <c r="E44">
        <f t="shared" si="3"/>
        <v>150</v>
      </c>
      <c r="F44">
        <f t="shared" si="1"/>
        <v>-150</v>
      </c>
    </row>
    <row r="45" spans="1:6" x14ac:dyDescent="0.25">
      <c r="A45" s="1">
        <v>44970</v>
      </c>
      <c r="B45">
        <f t="shared" si="0"/>
        <v>1</v>
      </c>
      <c r="C45" t="s">
        <v>8</v>
      </c>
      <c r="D45">
        <f t="shared" si="2"/>
        <v>132</v>
      </c>
      <c r="E45">
        <f t="shared" si="3"/>
        <v>0</v>
      </c>
      <c r="F45">
        <f t="shared" si="1"/>
        <v>132</v>
      </c>
    </row>
    <row r="46" spans="1:6" x14ac:dyDescent="0.25">
      <c r="A46" s="1">
        <v>44971</v>
      </c>
      <c r="B46">
        <f t="shared" si="0"/>
        <v>2</v>
      </c>
      <c r="C46" t="s">
        <v>8</v>
      </c>
      <c r="D46">
        <f t="shared" si="2"/>
        <v>132</v>
      </c>
      <c r="E46">
        <f t="shared" si="3"/>
        <v>0</v>
      </c>
      <c r="F46">
        <f t="shared" si="1"/>
        <v>132</v>
      </c>
    </row>
    <row r="47" spans="1:6" x14ac:dyDescent="0.25">
      <c r="A47" s="1">
        <v>44972</v>
      </c>
      <c r="B47">
        <f t="shared" si="0"/>
        <v>3</v>
      </c>
      <c r="C47" t="s">
        <v>8</v>
      </c>
      <c r="D47">
        <f t="shared" si="2"/>
        <v>132</v>
      </c>
      <c r="E47">
        <f t="shared" si="3"/>
        <v>0</v>
      </c>
      <c r="F47">
        <f t="shared" si="1"/>
        <v>132</v>
      </c>
    </row>
    <row r="48" spans="1:6" x14ac:dyDescent="0.25">
      <c r="A48" s="1">
        <v>44973</v>
      </c>
      <c r="B48">
        <f t="shared" si="0"/>
        <v>4</v>
      </c>
      <c r="C48" t="s">
        <v>8</v>
      </c>
      <c r="D48">
        <f t="shared" si="2"/>
        <v>132</v>
      </c>
      <c r="E48">
        <f t="shared" si="3"/>
        <v>0</v>
      </c>
      <c r="F48">
        <f t="shared" si="1"/>
        <v>132</v>
      </c>
    </row>
    <row r="49" spans="1:6" x14ac:dyDescent="0.25">
      <c r="A49" s="1">
        <v>44974</v>
      </c>
      <c r="B49">
        <f t="shared" si="0"/>
        <v>5</v>
      </c>
      <c r="C49" t="s">
        <v>8</v>
      </c>
      <c r="D49">
        <f t="shared" si="2"/>
        <v>132</v>
      </c>
      <c r="E49">
        <f t="shared" si="3"/>
        <v>0</v>
      </c>
      <c r="F49">
        <f t="shared" si="1"/>
        <v>132</v>
      </c>
    </row>
    <row r="50" spans="1:6" x14ac:dyDescent="0.25">
      <c r="A50" s="1">
        <v>44975</v>
      </c>
      <c r="B50">
        <f t="shared" si="0"/>
        <v>6</v>
      </c>
      <c r="C50" t="s">
        <v>8</v>
      </c>
      <c r="D50">
        <f t="shared" si="2"/>
        <v>0</v>
      </c>
      <c r="E50">
        <f t="shared" si="3"/>
        <v>0</v>
      </c>
      <c r="F50">
        <f t="shared" si="1"/>
        <v>0</v>
      </c>
    </row>
    <row r="51" spans="1:6" x14ac:dyDescent="0.25">
      <c r="A51" s="1">
        <v>44976</v>
      </c>
      <c r="B51">
        <f t="shared" si="0"/>
        <v>7</v>
      </c>
      <c r="C51" t="s">
        <v>8</v>
      </c>
      <c r="D51">
        <f t="shared" si="2"/>
        <v>0</v>
      </c>
      <c r="E51">
        <f t="shared" si="3"/>
        <v>150</v>
      </c>
      <c r="F51">
        <f t="shared" si="1"/>
        <v>-150</v>
      </c>
    </row>
    <row r="52" spans="1:6" x14ac:dyDescent="0.25">
      <c r="A52" s="1">
        <v>44977</v>
      </c>
      <c r="B52">
        <f t="shared" si="0"/>
        <v>1</v>
      </c>
      <c r="C52" t="s">
        <v>8</v>
      </c>
      <c r="D52">
        <f t="shared" si="2"/>
        <v>132</v>
      </c>
      <c r="E52">
        <f t="shared" si="3"/>
        <v>0</v>
      </c>
      <c r="F52">
        <f t="shared" si="1"/>
        <v>132</v>
      </c>
    </row>
    <row r="53" spans="1:6" x14ac:dyDescent="0.25">
      <c r="A53" s="1">
        <v>44978</v>
      </c>
      <c r="B53">
        <f t="shared" si="0"/>
        <v>2</v>
      </c>
      <c r="C53" t="s">
        <v>8</v>
      </c>
      <c r="D53">
        <f t="shared" si="2"/>
        <v>132</v>
      </c>
      <c r="E53">
        <f t="shared" si="3"/>
        <v>0</v>
      </c>
      <c r="F53">
        <f t="shared" si="1"/>
        <v>132</v>
      </c>
    </row>
    <row r="54" spans="1:6" x14ac:dyDescent="0.25">
      <c r="A54" s="1">
        <v>44979</v>
      </c>
      <c r="B54">
        <f t="shared" si="0"/>
        <v>3</v>
      </c>
      <c r="C54" t="s">
        <v>8</v>
      </c>
      <c r="D54">
        <f t="shared" si="2"/>
        <v>132</v>
      </c>
      <c r="E54">
        <f t="shared" si="3"/>
        <v>0</v>
      </c>
      <c r="F54">
        <f t="shared" si="1"/>
        <v>132</v>
      </c>
    </row>
    <row r="55" spans="1:6" x14ac:dyDescent="0.25">
      <c r="A55" s="1">
        <v>44980</v>
      </c>
      <c r="B55">
        <f t="shared" si="0"/>
        <v>4</v>
      </c>
      <c r="C55" t="s">
        <v>8</v>
      </c>
      <c r="D55">
        <f t="shared" si="2"/>
        <v>132</v>
      </c>
      <c r="E55">
        <f t="shared" si="3"/>
        <v>0</v>
      </c>
      <c r="F55">
        <f t="shared" si="1"/>
        <v>132</v>
      </c>
    </row>
    <row r="56" spans="1:6" x14ac:dyDescent="0.25">
      <c r="A56" s="1">
        <v>44981</v>
      </c>
      <c r="B56">
        <f t="shared" si="0"/>
        <v>5</v>
      </c>
      <c r="C56" t="s">
        <v>8</v>
      </c>
      <c r="D56">
        <f t="shared" si="2"/>
        <v>132</v>
      </c>
      <c r="E56">
        <f t="shared" si="3"/>
        <v>0</v>
      </c>
      <c r="F56">
        <f t="shared" si="1"/>
        <v>132</v>
      </c>
    </row>
    <row r="57" spans="1:6" x14ac:dyDescent="0.25">
      <c r="A57" s="1">
        <v>44982</v>
      </c>
      <c r="B57">
        <f t="shared" si="0"/>
        <v>6</v>
      </c>
      <c r="C57" t="s">
        <v>8</v>
      </c>
      <c r="D57">
        <f t="shared" si="2"/>
        <v>0</v>
      </c>
      <c r="E57">
        <f t="shared" si="3"/>
        <v>0</v>
      </c>
      <c r="F57">
        <f t="shared" si="1"/>
        <v>0</v>
      </c>
    </row>
    <row r="58" spans="1:6" x14ac:dyDescent="0.25">
      <c r="A58" s="1">
        <v>44983</v>
      </c>
      <c r="B58">
        <f t="shared" si="0"/>
        <v>7</v>
      </c>
      <c r="C58" t="s">
        <v>8</v>
      </c>
      <c r="D58">
        <f t="shared" si="2"/>
        <v>0</v>
      </c>
      <c r="E58">
        <f t="shared" si="3"/>
        <v>150</v>
      </c>
      <c r="F58">
        <f t="shared" si="1"/>
        <v>-150</v>
      </c>
    </row>
    <row r="59" spans="1:6" x14ac:dyDescent="0.25">
      <c r="A59" s="1">
        <v>44984</v>
      </c>
      <c r="B59">
        <f t="shared" si="0"/>
        <v>1</v>
      </c>
      <c r="C59" t="s">
        <v>8</v>
      </c>
      <c r="D59">
        <f t="shared" si="2"/>
        <v>132</v>
      </c>
      <c r="E59">
        <f t="shared" si="3"/>
        <v>0</v>
      </c>
      <c r="F59">
        <f t="shared" si="1"/>
        <v>132</v>
      </c>
    </row>
    <row r="60" spans="1:6" x14ac:dyDescent="0.25">
      <c r="A60" s="1">
        <v>44985</v>
      </c>
      <c r="B60">
        <f t="shared" si="0"/>
        <v>2</v>
      </c>
      <c r="C60" t="s">
        <v>8</v>
      </c>
      <c r="D60">
        <f t="shared" si="2"/>
        <v>132</v>
      </c>
      <c r="E60">
        <f t="shared" si="3"/>
        <v>0</v>
      </c>
      <c r="F60">
        <f t="shared" si="1"/>
        <v>132</v>
      </c>
    </row>
    <row r="61" spans="1:6" x14ac:dyDescent="0.25">
      <c r="A61" s="1">
        <v>44986</v>
      </c>
      <c r="B61">
        <f t="shared" si="0"/>
        <v>3</v>
      </c>
      <c r="C61" t="s">
        <v>8</v>
      </c>
      <c r="D61">
        <f t="shared" si="2"/>
        <v>132</v>
      </c>
      <c r="E61">
        <f t="shared" si="3"/>
        <v>0</v>
      </c>
      <c r="F61">
        <f t="shared" si="1"/>
        <v>132</v>
      </c>
    </row>
    <row r="62" spans="1:6" x14ac:dyDescent="0.25">
      <c r="A62" s="1">
        <v>44987</v>
      </c>
      <c r="B62">
        <f t="shared" si="0"/>
        <v>4</v>
      </c>
      <c r="C62" t="s">
        <v>8</v>
      </c>
      <c r="D62">
        <f t="shared" si="2"/>
        <v>132</v>
      </c>
      <c r="E62">
        <f t="shared" si="3"/>
        <v>0</v>
      </c>
      <c r="F62">
        <f t="shared" si="1"/>
        <v>132</v>
      </c>
    </row>
    <row r="63" spans="1:6" x14ac:dyDescent="0.25">
      <c r="A63" s="1">
        <v>44988</v>
      </c>
      <c r="B63">
        <f t="shared" si="0"/>
        <v>5</v>
      </c>
      <c r="C63" t="s">
        <v>8</v>
      </c>
      <c r="D63">
        <f t="shared" si="2"/>
        <v>132</v>
      </c>
      <c r="E63">
        <f t="shared" si="3"/>
        <v>0</v>
      </c>
      <c r="F63">
        <f t="shared" si="1"/>
        <v>132</v>
      </c>
    </row>
    <row r="64" spans="1:6" x14ac:dyDescent="0.25">
      <c r="A64" s="1">
        <v>44989</v>
      </c>
      <c r="B64">
        <f t="shared" si="0"/>
        <v>6</v>
      </c>
      <c r="C64" t="s">
        <v>8</v>
      </c>
      <c r="D64">
        <f t="shared" si="2"/>
        <v>0</v>
      </c>
      <c r="E64">
        <f t="shared" si="3"/>
        <v>0</v>
      </c>
      <c r="F64">
        <f t="shared" si="1"/>
        <v>0</v>
      </c>
    </row>
    <row r="65" spans="1:6" x14ac:dyDescent="0.25">
      <c r="A65" s="1">
        <v>44990</v>
      </c>
      <c r="B65">
        <f t="shared" si="0"/>
        <v>7</v>
      </c>
      <c r="C65" t="s">
        <v>8</v>
      </c>
      <c r="D65">
        <f t="shared" si="2"/>
        <v>0</v>
      </c>
      <c r="E65">
        <f t="shared" si="3"/>
        <v>150</v>
      </c>
      <c r="F65">
        <f t="shared" si="1"/>
        <v>-150</v>
      </c>
    </row>
    <row r="66" spans="1:6" x14ac:dyDescent="0.25">
      <c r="A66" s="1">
        <v>44991</v>
      </c>
      <c r="B66">
        <f t="shared" si="0"/>
        <v>1</v>
      </c>
      <c r="C66" t="s">
        <v>8</v>
      </c>
      <c r="D66">
        <f t="shared" si="2"/>
        <v>132</v>
      </c>
      <c r="E66">
        <f t="shared" si="3"/>
        <v>0</v>
      </c>
      <c r="F66">
        <f t="shared" si="1"/>
        <v>132</v>
      </c>
    </row>
    <row r="67" spans="1:6" x14ac:dyDescent="0.25">
      <c r="A67" s="1">
        <v>44992</v>
      </c>
      <c r="B67">
        <f t="shared" ref="B67:B130" si="4">WEEKDAY(A67,2)</f>
        <v>2</v>
      </c>
      <c r="C67" t="s">
        <v>8</v>
      </c>
      <c r="D67">
        <f t="shared" si="2"/>
        <v>132</v>
      </c>
      <c r="E67">
        <f t="shared" si="3"/>
        <v>0</v>
      </c>
      <c r="F67">
        <f t="shared" ref="F67:F130" si="5">D67-E67</f>
        <v>132</v>
      </c>
    </row>
    <row r="68" spans="1:6" x14ac:dyDescent="0.25">
      <c r="A68" s="1">
        <v>44993</v>
      </c>
      <c r="B68">
        <f t="shared" si="4"/>
        <v>3</v>
      </c>
      <c r="C68" t="s">
        <v>8</v>
      </c>
      <c r="D68">
        <f t="shared" ref="D68:D131" si="6">IF(B68&lt;6,$Q$1*VLOOKUP(C68,$S$1:$T$5,2,FALSE)*$Q$3,0)</f>
        <v>132</v>
      </c>
      <c r="E68">
        <f t="shared" ref="E68:E131" si="7">IF(B68=7,$Q$4*$Q$1,0)</f>
        <v>0</v>
      </c>
      <c r="F68">
        <f t="shared" si="5"/>
        <v>132</v>
      </c>
    </row>
    <row r="69" spans="1:6" x14ac:dyDescent="0.25">
      <c r="A69" s="1">
        <v>44994</v>
      </c>
      <c r="B69">
        <f t="shared" si="4"/>
        <v>4</v>
      </c>
      <c r="C69" t="s">
        <v>8</v>
      </c>
      <c r="D69">
        <f t="shared" si="6"/>
        <v>132</v>
      </c>
      <c r="E69">
        <f t="shared" si="7"/>
        <v>0</v>
      </c>
      <c r="F69">
        <f t="shared" si="5"/>
        <v>132</v>
      </c>
    </row>
    <row r="70" spans="1:6" x14ac:dyDescent="0.25">
      <c r="A70" s="1">
        <v>44995</v>
      </c>
      <c r="B70">
        <f t="shared" si="4"/>
        <v>5</v>
      </c>
      <c r="C70" t="s">
        <v>8</v>
      </c>
      <c r="D70">
        <f t="shared" si="6"/>
        <v>132</v>
      </c>
      <c r="E70">
        <f t="shared" si="7"/>
        <v>0</v>
      </c>
      <c r="F70">
        <f t="shared" si="5"/>
        <v>132</v>
      </c>
    </row>
    <row r="71" spans="1:6" x14ac:dyDescent="0.25">
      <c r="A71" s="1">
        <v>44996</v>
      </c>
      <c r="B71">
        <f t="shared" si="4"/>
        <v>6</v>
      </c>
      <c r="C71" t="s">
        <v>8</v>
      </c>
      <c r="D71">
        <f t="shared" si="6"/>
        <v>0</v>
      </c>
      <c r="E71">
        <f t="shared" si="7"/>
        <v>0</v>
      </c>
      <c r="F71">
        <f t="shared" si="5"/>
        <v>0</v>
      </c>
    </row>
    <row r="72" spans="1:6" x14ac:dyDescent="0.25">
      <c r="A72" s="1">
        <v>44997</v>
      </c>
      <c r="B72">
        <f t="shared" si="4"/>
        <v>7</v>
      </c>
      <c r="C72" t="s">
        <v>8</v>
      </c>
      <c r="D72">
        <f t="shared" si="6"/>
        <v>0</v>
      </c>
      <c r="E72">
        <f t="shared" si="7"/>
        <v>150</v>
      </c>
      <c r="F72">
        <f t="shared" si="5"/>
        <v>-150</v>
      </c>
    </row>
    <row r="73" spans="1:6" x14ac:dyDescent="0.25">
      <c r="A73" s="1">
        <v>44998</v>
      </c>
      <c r="B73">
        <f t="shared" si="4"/>
        <v>1</v>
      </c>
      <c r="C73" t="s">
        <v>8</v>
      </c>
      <c r="D73">
        <f t="shared" si="6"/>
        <v>132</v>
      </c>
      <c r="E73">
        <f t="shared" si="7"/>
        <v>0</v>
      </c>
      <c r="F73">
        <f t="shared" si="5"/>
        <v>132</v>
      </c>
    </row>
    <row r="74" spans="1:6" x14ac:dyDescent="0.25">
      <c r="A74" s="1">
        <v>44999</v>
      </c>
      <c r="B74">
        <f t="shared" si="4"/>
        <v>2</v>
      </c>
      <c r="C74" t="s">
        <v>8</v>
      </c>
      <c r="D74">
        <f t="shared" si="6"/>
        <v>132</v>
      </c>
      <c r="E74">
        <f t="shared" si="7"/>
        <v>0</v>
      </c>
      <c r="F74">
        <f t="shared" si="5"/>
        <v>132</v>
      </c>
    </row>
    <row r="75" spans="1:6" x14ac:dyDescent="0.25">
      <c r="A75" s="1">
        <v>45000</v>
      </c>
      <c r="B75">
        <f t="shared" si="4"/>
        <v>3</v>
      </c>
      <c r="C75" t="s">
        <v>8</v>
      </c>
      <c r="D75">
        <f t="shared" si="6"/>
        <v>132</v>
      </c>
      <c r="E75">
        <f t="shared" si="7"/>
        <v>0</v>
      </c>
      <c r="F75">
        <f t="shared" si="5"/>
        <v>132</v>
      </c>
    </row>
    <row r="76" spans="1:6" x14ac:dyDescent="0.25">
      <c r="A76" s="1">
        <v>45001</v>
      </c>
      <c r="B76">
        <f t="shared" si="4"/>
        <v>4</v>
      </c>
      <c r="C76" t="s">
        <v>8</v>
      </c>
      <c r="D76">
        <f t="shared" si="6"/>
        <v>132</v>
      </c>
      <c r="E76">
        <f t="shared" si="7"/>
        <v>0</v>
      </c>
      <c r="F76">
        <f t="shared" si="5"/>
        <v>132</v>
      </c>
    </row>
    <row r="77" spans="1:6" x14ac:dyDescent="0.25">
      <c r="A77" s="1">
        <v>45002</v>
      </c>
      <c r="B77">
        <f t="shared" si="4"/>
        <v>5</v>
      </c>
      <c r="C77" t="s">
        <v>8</v>
      </c>
      <c r="D77">
        <f t="shared" si="6"/>
        <v>132</v>
      </c>
      <c r="E77">
        <f t="shared" si="7"/>
        <v>0</v>
      </c>
      <c r="F77">
        <f t="shared" si="5"/>
        <v>132</v>
      </c>
    </row>
    <row r="78" spans="1:6" x14ac:dyDescent="0.25">
      <c r="A78" s="1">
        <v>45003</v>
      </c>
      <c r="B78">
        <f t="shared" si="4"/>
        <v>6</v>
      </c>
      <c r="C78" t="s">
        <v>8</v>
      </c>
      <c r="D78">
        <f t="shared" si="6"/>
        <v>0</v>
      </c>
      <c r="E78">
        <f t="shared" si="7"/>
        <v>0</v>
      </c>
      <c r="F78">
        <f t="shared" si="5"/>
        <v>0</v>
      </c>
    </row>
    <row r="79" spans="1:6" x14ac:dyDescent="0.25">
      <c r="A79" s="1">
        <v>45004</v>
      </c>
      <c r="B79">
        <f t="shared" si="4"/>
        <v>7</v>
      </c>
      <c r="C79" t="s">
        <v>8</v>
      </c>
      <c r="D79">
        <f t="shared" si="6"/>
        <v>0</v>
      </c>
      <c r="E79">
        <f t="shared" si="7"/>
        <v>150</v>
      </c>
      <c r="F79">
        <f t="shared" si="5"/>
        <v>-150</v>
      </c>
    </row>
    <row r="80" spans="1:6" x14ac:dyDescent="0.25">
      <c r="A80" s="1">
        <v>45005</v>
      </c>
      <c r="B80">
        <f t="shared" si="4"/>
        <v>1</v>
      </c>
      <c r="C80" t="s">
        <v>8</v>
      </c>
      <c r="D80">
        <f t="shared" si="6"/>
        <v>132</v>
      </c>
      <c r="E80">
        <f t="shared" si="7"/>
        <v>0</v>
      </c>
      <c r="F80">
        <f t="shared" si="5"/>
        <v>132</v>
      </c>
    </row>
    <row r="81" spans="1:6" x14ac:dyDescent="0.25">
      <c r="A81" s="1">
        <v>45006</v>
      </c>
      <c r="B81">
        <f t="shared" si="4"/>
        <v>2</v>
      </c>
      <c r="C81" t="s">
        <v>9</v>
      </c>
      <c r="D81">
        <f t="shared" si="6"/>
        <v>330</v>
      </c>
      <c r="E81">
        <f t="shared" si="7"/>
        <v>0</v>
      </c>
      <c r="F81">
        <f t="shared" si="5"/>
        <v>330</v>
      </c>
    </row>
    <row r="82" spans="1:6" x14ac:dyDescent="0.25">
      <c r="A82" s="1">
        <v>45007</v>
      </c>
      <c r="B82">
        <f t="shared" si="4"/>
        <v>3</v>
      </c>
      <c r="C82" t="s">
        <v>9</v>
      </c>
      <c r="D82">
        <f t="shared" si="6"/>
        <v>330</v>
      </c>
      <c r="E82">
        <f t="shared" si="7"/>
        <v>0</v>
      </c>
      <c r="F82">
        <f t="shared" si="5"/>
        <v>330</v>
      </c>
    </row>
    <row r="83" spans="1:6" x14ac:dyDescent="0.25">
      <c r="A83" s="1">
        <v>45008</v>
      </c>
      <c r="B83">
        <f t="shared" si="4"/>
        <v>4</v>
      </c>
      <c r="C83" t="s">
        <v>9</v>
      </c>
      <c r="D83">
        <f t="shared" si="6"/>
        <v>330</v>
      </c>
      <c r="E83">
        <f t="shared" si="7"/>
        <v>0</v>
      </c>
      <c r="F83">
        <f t="shared" si="5"/>
        <v>330</v>
      </c>
    </row>
    <row r="84" spans="1:6" x14ac:dyDescent="0.25">
      <c r="A84" s="1">
        <v>45009</v>
      </c>
      <c r="B84">
        <f t="shared" si="4"/>
        <v>5</v>
      </c>
      <c r="C84" t="s">
        <v>9</v>
      </c>
      <c r="D84">
        <f t="shared" si="6"/>
        <v>330</v>
      </c>
      <c r="E84">
        <f t="shared" si="7"/>
        <v>0</v>
      </c>
      <c r="F84">
        <f t="shared" si="5"/>
        <v>330</v>
      </c>
    </row>
    <row r="85" spans="1:6" x14ac:dyDescent="0.25">
      <c r="A85" s="1">
        <v>45010</v>
      </c>
      <c r="B85">
        <f t="shared" si="4"/>
        <v>6</v>
      </c>
      <c r="C85" t="s">
        <v>9</v>
      </c>
      <c r="D85">
        <f t="shared" si="6"/>
        <v>0</v>
      </c>
      <c r="E85">
        <f t="shared" si="7"/>
        <v>0</v>
      </c>
      <c r="F85">
        <f t="shared" si="5"/>
        <v>0</v>
      </c>
    </row>
    <row r="86" spans="1:6" x14ac:dyDescent="0.25">
      <c r="A86" s="1">
        <v>45011</v>
      </c>
      <c r="B86">
        <f t="shared" si="4"/>
        <v>7</v>
      </c>
      <c r="C86" t="s">
        <v>9</v>
      </c>
      <c r="D86">
        <f t="shared" si="6"/>
        <v>0</v>
      </c>
      <c r="E86">
        <f t="shared" si="7"/>
        <v>150</v>
      </c>
      <c r="F86">
        <f t="shared" si="5"/>
        <v>-150</v>
      </c>
    </row>
    <row r="87" spans="1:6" x14ac:dyDescent="0.25">
      <c r="A87" s="1">
        <v>45012</v>
      </c>
      <c r="B87">
        <f t="shared" si="4"/>
        <v>1</v>
      </c>
      <c r="C87" t="s">
        <v>9</v>
      </c>
      <c r="D87">
        <f t="shared" si="6"/>
        <v>330</v>
      </c>
      <c r="E87">
        <f t="shared" si="7"/>
        <v>0</v>
      </c>
      <c r="F87">
        <f t="shared" si="5"/>
        <v>330</v>
      </c>
    </row>
    <row r="88" spans="1:6" x14ac:dyDescent="0.25">
      <c r="A88" s="1">
        <v>45013</v>
      </c>
      <c r="B88">
        <f t="shared" si="4"/>
        <v>2</v>
      </c>
      <c r="C88" t="s">
        <v>9</v>
      </c>
      <c r="D88">
        <f t="shared" si="6"/>
        <v>330</v>
      </c>
      <c r="E88">
        <f t="shared" si="7"/>
        <v>0</v>
      </c>
      <c r="F88">
        <f t="shared" si="5"/>
        <v>330</v>
      </c>
    </row>
    <row r="89" spans="1:6" x14ac:dyDescent="0.25">
      <c r="A89" s="1">
        <v>45014</v>
      </c>
      <c r="B89">
        <f t="shared" si="4"/>
        <v>3</v>
      </c>
      <c r="C89" t="s">
        <v>9</v>
      </c>
      <c r="D89">
        <f t="shared" si="6"/>
        <v>330</v>
      </c>
      <c r="E89">
        <f t="shared" si="7"/>
        <v>0</v>
      </c>
      <c r="F89">
        <f t="shared" si="5"/>
        <v>330</v>
      </c>
    </row>
    <row r="90" spans="1:6" x14ac:dyDescent="0.25">
      <c r="A90" s="1">
        <v>45015</v>
      </c>
      <c r="B90">
        <f t="shared" si="4"/>
        <v>4</v>
      </c>
      <c r="C90" t="s">
        <v>9</v>
      </c>
      <c r="D90">
        <f t="shared" si="6"/>
        <v>330</v>
      </c>
      <c r="E90">
        <f t="shared" si="7"/>
        <v>0</v>
      </c>
      <c r="F90">
        <f t="shared" si="5"/>
        <v>330</v>
      </c>
    </row>
    <row r="91" spans="1:6" x14ac:dyDescent="0.25">
      <c r="A91" s="1">
        <v>45016</v>
      </c>
      <c r="B91">
        <f t="shared" si="4"/>
        <v>5</v>
      </c>
      <c r="C91" t="s">
        <v>9</v>
      </c>
      <c r="D91">
        <f t="shared" si="6"/>
        <v>330</v>
      </c>
      <c r="E91">
        <f t="shared" si="7"/>
        <v>0</v>
      </c>
      <c r="F91">
        <f t="shared" si="5"/>
        <v>330</v>
      </c>
    </row>
    <row r="92" spans="1:6" x14ac:dyDescent="0.25">
      <c r="A92" s="1">
        <v>45017</v>
      </c>
      <c r="B92">
        <f t="shared" si="4"/>
        <v>6</v>
      </c>
      <c r="C92" t="s">
        <v>9</v>
      </c>
      <c r="D92">
        <f t="shared" si="6"/>
        <v>0</v>
      </c>
      <c r="E92">
        <f t="shared" si="7"/>
        <v>0</v>
      </c>
      <c r="F92">
        <f t="shared" si="5"/>
        <v>0</v>
      </c>
    </row>
    <row r="93" spans="1:6" x14ac:dyDescent="0.25">
      <c r="A93" s="1">
        <v>45018</v>
      </c>
      <c r="B93">
        <f t="shared" si="4"/>
        <v>7</v>
      </c>
      <c r="C93" t="s">
        <v>9</v>
      </c>
      <c r="D93">
        <f t="shared" si="6"/>
        <v>0</v>
      </c>
      <c r="E93">
        <f t="shared" si="7"/>
        <v>150</v>
      </c>
      <c r="F93">
        <f t="shared" si="5"/>
        <v>-150</v>
      </c>
    </row>
    <row r="94" spans="1:6" x14ac:dyDescent="0.25">
      <c r="A94" s="1">
        <v>45019</v>
      </c>
      <c r="B94">
        <f t="shared" si="4"/>
        <v>1</v>
      </c>
      <c r="C94" t="s">
        <v>9</v>
      </c>
      <c r="D94">
        <f t="shared" si="6"/>
        <v>330</v>
      </c>
      <c r="E94">
        <f t="shared" si="7"/>
        <v>0</v>
      </c>
      <c r="F94">
        <f t="shared" si="5"/>
        <v>330</v>
      </c>
    </row>
    <row r="95" spans="1:6" x14ac:dyDescent="0.25">
      <c r="A95" s="1">
        <v>45020</v>
      </c>
      <c r="B95">
        <f t="shared" si="4"/>
        <v>2</v>
      </c>
      <c r="C95" t="s">
        <v>9</v>
      </c>
      <c r="D95">
        <f t="shared" si="6"/>
        <v>330</v>
      </c>
      <c r="E95">
        <f t="shared" si="7"/>
        <v>0</v>
      </c>
      <c r="F95">
        <f t="shared" si="5"/>
        <v>330</v>
      </c>
    </row>
    <row r="96" spans="1:6" x14ac:dyDescent="0.25">
      <c r="A96" s="1">
        <v>45021</v>
      </c>
      <c r="B96">
        <f t="shared" si="4"/>
        <v>3</v>
      </c>
      <c r="C96" t="s">
        <v>9</v>
      </c>
      <c r="D96">
        <f t="shared" si="6"/>
        <v>330</v>
      </c>
      <c r="E96">
        <f t="shared" si="7"/>
        <v>0</v>
      </c>
      <c r="F96">
        <f t="shared" si="5"/>
        <v>330</v>
      </c>
    </row>
    <row r="97" spans="1:6" x14ac:dyDescent="0.25">
      <c r="A97" s="1">
        <v>45022</v>
      </c>
      <c r="B97">
        <f t="shared" si="4"/>
        <v>4</v>
      </c>
      <c r="C97" t="s">
        <v>9</v>
      </c>
      <c r="D97">
        <f t="shared" si="6"/>
        <v>330</v>
      </c>
      <c r="E97">
        <f t="shared" si="7"/>
        <v>0</v>
      </c>
      <c r="F97">
        <f t="shared" si="5"/>
        <v>330</v>
      </c>
    </row>
    <row r="98" spans="1:6" x14ac:dyDescent="0.25">
      <c r="A98" s="1">
        <v>45023</v>
      </c>
      <c r="B98">
        <f t="shared" si="4"/>
        <v>5</v>
      </c>
      <c r="C98" t="s">
        <v>9</v>
      </c>
      <c r="D98">
        <f t="shared" si="6"/>
        <v>330</v>
      </c>
      <c r="E98">
        <f t="shared" si="7"/>
        <v>0</v>
      </c>
      <c r="F98">
        <f t="shared" si="5"/>
        <v>330</v>
      </c>
    </row>
    <row r="99" spans="1:6" x14ac:dyDescent="0.25">
      <c r="A99" s="1">
        <v>45024</v>
      </c>
      <c r="B99">
        <f t="shared" si="4"/>
        <v>6</v>
      </c>
      <c r="C99" t="s">
        <v>9</v>
      </c>
      <c r="D99">
        <f t="shared" si="6"/>
        <v>0</v>
      </c>
      <c r="E99">
        <f t="shared" si="7"/>
        <v>0</v>
      </c>
      <c r="F99">
        <f t="shared" si="5"/>
        <v>0</v>
      </c>
    </row>
    <row r="100" spans="1:6" x14ac:dyDescent="0.25">
      <c r="A100" s="1">
        <v>45025</v>
      </c>
      <c r="B100">
        <f t="shared" si="4"/>
        <v>7</v>
      </c>
      <c r="C100" t="s">
        <v>9</v>
      </c>
      <c r="D100">
        <f t="shared" si="6"/>
        <v>0</v>
      </c>
      <c r="E100">
        <f t="shared" si="7"/>
        <v>150</v>
      </c>
      <c r="F100">
        <f t="shared" si="5"/>
        <v>-150</v>
      </c>
    </row>
    <row r="101" spans="1:6" x14ac:dyDescent="0.25">
      <c r="A101" s="1">
        <v>45026</v>
      </c>
      <c r="B101">
        <f t="shared" si="4"/>
        <v>1</v>
      </c>
      <c r="C101" t="s">
        <v>9</v>
      </c>
      <c r="D101">
        <f t="shared" si="6"/>
        <v>330</v>
      </c>
      <c r="E101">
        <f t="shared" si="7"/>
        <v>0</v>
      </c>
      <c r="F101">
        <f t="shared" si="5"/>
        <v>330</v>
      </c>
    </row>
    <row r="102" spans="1:6" x14ac:dyDescent="0.25">
      <c r="A102" s="1">
        <v>45027</v>
      </c>
      <c r="B102">
        <f t="shared" si="4"/>
        <v>2</v>
      </c>
      <c r="C102" t="s">
        <v>9</v>
      </c>
      <c r="D102">
        <f t="shared" si="6"/>
        <v>330</v>
      </c>
      <c r="E102">
        <f t="shared" si="7"/>
        <v>0</v>
      </c>
      <c r="F102">
        <f t="shared" si="5"/>
        <v>330</v>
      </c>
    </row>
    <row r="103" spans="1:6" x14ac:dyDescent="0.25">
      <c r="A103" s="1">
        <v>45028</v>
      </c>
      <c r="B103">
        <f t="shared" si="4"/>
        <v>3</v>
      </c>
      <c r="C103" t="s">
        <v>9</v>
      </c>
      <c r="D103">
        <f t="shared" si="6"/>
        <v>330</v>
      </c>
      <c r="E103">
        <f t="shared" si="7"/>
        <v>0</v>
      </c>
      <c r="F103">
        <f t="shared" si="5"/>
        <v>330</v>
      </c>
    </row>
    <row r="104" spans="1:6" x14ac:dyDescent="0.25">
      <c r="A104" s="1">
        <v>45029</v>
      </c>
      <c r="B104">
        <f t="shared" si="4"/>
        <v>4</v>
      </c>
      <c r="C104" t="s">
        <v>9</v>
      </c>
      <c r="D104">
        <f t="shared" si="6"/>
        <v>330</v>
      </c>
      <c r="E104">
        <f t="shared" si="7"/>
        <v>0</v>
      </c>
      <c r="F104">
        <f t="shared" si="5"/>
        <v>330</v>
      </c>
    </row>
    <row r="105" spans="1:6" x14ac:dyDescent="0.25">
      <c r="A105" s="1">
        <v>45030</v>
      </c>
      <c r="B105">
        <f t="shared" si="4"/>
        <v>5</v>
      </c>
      <c r="C105" t="s">
        <v>9</v>
      </c>
      <c r="D105">
        <f t="shared" si="6"/>
        <v>330</v>
      </c>
      <c r="E105">
        <f t="shared" si="7"/>
        <v>0</v>
      </c>
      <c r="F105">
        <f t="shared" si="5"/>
        <v>330</v>
      </c>
    </row>
    <row r="106" spans="1:6" x14ac:dyDescent="0.25">
      <c r="A106" s="1">
        <v>45031</v>
      </c>
      <c r="B106">
        <f t="shared" si="4"/>
        <v>6</v>
      </c>
      <c r="C106" t="s">
        <v>9</v>
      </c>
      <c r="D106">
        <f t="shared" si="6"/>
        <v>0</v>
      </c>
      <c r="E106">
        <f t="shared" si="7"/>
        <v>0</v>
      </c>
      <c r="F106">
        <f t="shared" si="5"/>
        <v>0</v>
      </c>
    </row>
    <row r="107" spans="1:6" x14ac:dyDescent="0.25">
      <c r="A107" s="1">
        <v>45032</v>
      </c>
      <c r="B107">
        <f t="shared" si="4"/>
        <v>7</v>
      </c>
      <c r="C107" t="s">
        <v>9</v>
      </c>
      <c r="D107">
        <f t="shared" si="6"/>
        <v>0</v>
      </c>
      <c r="E107">
        <f t="shared" si="7"/>
        <v>150</v>
      </c>
      <c r="F107">
        <f t="shared" si="5"/>
        <v>-150</v>
      </c>
    </row>
    <row r="108" spans="1:6" x14ac:dyDescent="0.25">
      <c r="A108" s="1">
        <v>45033</v>
      </c>
      <c r="B108">
        <f t="shared" si="4"/>
        <v>1</v>
      </c>
      <c r="C108" t="s">
        <v>9</v>
      </c>
      <c r="D108">
        <f t="shared" si="6"/>
        <v>330</v>
      </c>
      <c r="E108">
        <f t="shared" si="7"/>
        <v>0</v>
      </c>
      <c r="F108">
        <f t="shared" si="5"/>
        <v>330</v>
      </c>
    </row>
    <row r="109" spans="1:6" x14ac:dyDescent="0.25">
      <c r="A109" s="1">
        <v>45034</v>
      </c>
      <c r="B109">
        <f t="shared" si="4"/>
        <v>2</v>
      </c>
      <c r="C109" t="s">
        <v>9</v>
      </c>
      <c r="D109">
        <f t="shared" si="6"/>
        <v>330</v>
      </c>
      <c r="E109">
        <f t="shared" si="7"/>
        <v>0</v>
      </c>
      <c r="F109">
        <f t="shared" si="5"/>
        <v>330</v>
      </c>
    </row>
    <row r="110" spans="1:6" x14ac:dyDescent="0.25">
      <c r="A110" s="1">
        <v>45035</v>
      </c>
      <c r="B110">
        <f t="shared" si="4"/>
        <v>3</v>
      </c>
      <c r="C110" t="s">
        <v>9</v>
      </c>
      <c r="D110">
        <f t="shared" si="6"/>
        <v>330</v>
      </c>
      <c r="E110">
        <f t="shared" si="7"/>
        <v>0</v>
      </c>
      <c r="F110">
        <f t="shared" si="5"/>
        <v>330</v>
      </c>
    </row>
    <row r="111" spans="1:6" x14ac:dyDescent="0.25">
      <c r="A111" s="1">
        <v>45036</v>
      </c>
      <c r="B111">
        <f t="shared" si="4"/>
        <v>4</v>
      </c>
      <c r="C111" t="s">
        <v>9</v>
      </c>
      <c r="D111">
        <f t="shared" si="6"/>
        <v>330</v>
      </c>
      <c r="E111">
        <f t="shared" si="7"/>
        <v>0</v>
      </c>
      <c r="F111">
        <f t="shared" si="5"/>
        <v>330</v>
      </c>
    </row>
    <row r="112" spans="1:6" x14ac:dyDescent="0.25">
      <c r="A112" s="1">
        <v>45037</v>
      </c>
      <c r="B112">
        <f t="shared" si="4"/>
        <v>5</v>
      </c>
      <c r="C112" t="s">
        <v>9</v>
      </c>
      <c r="D112">
        <f t="shared" si="6"/>
        <v>330</v>
      </c>
      <c r="E112">
        <f t="shared" si="7"/>
        <v>0</v>
      </c>
      <c r="F112">
        <f t="shared" si="5"/>
        <v>330</v>
      </c>
    </row>
    <row r="113" spans="1:6" x14ac:dyDescent="0.25">
      <c r="A113" s="1">
        <v>45038</v>
      </c>
      <c r="B113">
        <f t="shared" si="4"/>
        <v>6</v>
      </c>
      <c r="C113" t="s">
        <v>9</v>
      </c>
      <c r="D113">
        <f t="shared" si="6"/>
        <v>0</v>
      </c>
      <c r="E113">
        <f t="shared" si="7"/>
        <v>0</v>
      </c>
      <c r="F113">
        <f t="shared" si="5"/>
        <v>0</v>
      </c>
    </row>
    <row r="114" spans="1:6" x14ac:dyDescent="0.25">
      <c r="A114" s="1">
        <v>45039</v>
      </c>
      <c r="B114">
        <f t="shared" si="4"/>
        <v>7</v>
      </c>
      <c r="C114" t="s">
        <v>9</v>
      </c>
      <c r="D114">
        <f t="shared" si="6"/>
        <v>0</v>
      </c>
      <c r="E114">
        <f t="shared" si="7"/>
        <v>150</v>
      </c>
      <c r="F114">
        <f t="shared" si="5"/>
        <v>-150</v>
      </c>
    </row>
    <row r="115" spans="1:6" x14ac:dyDescent="0.25">
      <c r="A115" s="1">
        <v>45040</v>
      </c>
      <c r="B115">
        <f t="shared" si="4"/>
        <v>1</v>
      </c>
      <c r="C115" t="s">
        <v>9</v>
      </c>
      <c r="D115">
        <f t="shared" si="6"/>
        <v>330</v>
      </c>
      <c r="E115">
        <f t="shared" si="7"/>
        <v>0</v>
      </c>
      <c r="F115">
        <f t="shared" si="5"/>
        <v>330</v>
      </c>
    </row>
    <row r="116" spans="1:6" x14ac:dyDescent="0.25">
      <c r="A116" s="1">
        <v>45041</v>
      </c>
      <c r="B116">
        <f t="shared" si="4"/>
        <v>2</v>
      </c>
      <c r="C116" t="s">
        <v>9</v>
      </c>
      <c r="D116">
        <f t="shared" si="6"/>
        <v>330</v>
      </c>
      <c r="E116">
        <f t="shared" si="7"/>
        <v>0</v>
      </c>
      <c r="F116">
        <f t="shared" si="5"/>
        <v>330</v>
      </c>
    </row>
    <row r="117" spans="1:6" x14ac:dyDescent="0.25">
      <c r="A117" s="1">
        <v>45042</v>
      </c>
      <c r="B117">
        <f t="shared" si="4"/>
        <v>3</v>
      </c>
      <c r="C117" t="s">
        <v>9</v>
      </c>
      <c r="D117">
        <f t="shared" si="6"/>
        <v>330</v>
      </c>
      <c r="E117">
        <f t="shared" si="7"/>
        <v>0</v>
      </c>
      <c r="F117">
        <f t="shared" si="5"/>
        <v>330</v>
      </c>
    </row>
    <row r="118" spans="1:6" x14ac:dyDescent="0.25">
      <c r="A118" s="1">
        <v>45043</v>
      </c>
      <c r="B118">
        <f t="shared" si="4"/>
        <v>4</v>
      </c>
      <c r="C118" t="s">
        <v>9</v>
      </c>
      <c r="D118">
        <f t="shared" si="6"/>
        <v>330</v>
      </c>
      <c r="E118">
        <f t="shared" si="7"/>
        <v>0</v>
      </c>
      <c r="F118">
        <f t="shared" si="5"/>
        <v>330</v>
      </c>
    </row>
    <row r="119" spans="1:6" x14ac:dyDescent="0.25">
      <c r="A119" s="1">
        <v>45044</v>
      </c>
      <c r="B119">
        <f t="shared" si="4"/>
        <v>5</v>
      </c>
      <c r="C119" t="s">
        <v>9</v>
      </c>
      <c r="D119">
        <f t="shared" si="6"/>
        <v>330</v>
      </c>
      <c r="E119">
        <f t="shared" si="7"/>
        <v>0</v>
      </c>
      <c r="F119">
        <f t="shared" si="5"/>
        <v>330</v>
      </c>
    </row>
    <row r="120" spans="1:6" x14ac:dyDescent="0.25">
      <c r="A120" s="1">
        <v>45045</v>
      </c>
      <c r="B120">
        <f t="shared" si="4"/>
        <v>6</v>
      </c>
      <c r="C120" t="s">
        <v>9</v>
      </c>
      <c r="D120">
        <f t="shared" si="6"/>
        <v>0</v>
      </c>
      <c r="E120">
        <f t="shared" si="7"/>
        <v>0</v>
      </c>
      <c r="F120">
        <f t="shared" si="5"/>
        <v>0</v>
      </c>
    </row>
    <row r="121" spans="1:6" x14ac:dyDescent="0.25">
      <c r="A121" s="1">
        <v>45046</v>
      </c>
      <c r="B121">
        <f t="shared" si="4"/>
        <v>7</v>
      </c>
      <c r="C121" t="s">
        <v>9</v>
      </c>
      <c r="D121">
        <f t="shared" si="6"/>
        <v>0</v>
      </c>
      <c r="E121">
        <f t="shared" si="7"/>
        <v>150</v>
      </c>
      <c r="F121">
        <f t="shared" si="5"/>
        <v>-150</v>
      </c>
    </row>
    <row r="122" spans="1:6" x14ac:dyDescent="0.25">
      <c r="A122" s="1">
        <v>45047</v>
      </c>
      <c r="B122">
        <f t="shared" si="4"/>
        <v>1</v>
      </c>
      <c r="C122" t="s">
        <v>9</v>
      </c>
      <c r="D122">
        <f t="shared" si="6"/>
        <v>330</v>
      </c>
      <c r="E122">
        <f t="shared" si="7"/>
        <v>0</v>
      </c>
      <c r="F122">
        <f t="shared" si="5"/>
        <v>330</v>
      </c>
    </row>
    <row r="123" spans="1:6" x14ac:dyDescent="0.25">
      <c r="A123" s="1">
        <v>45048</v>
      </c>
      <c r="B123">
        <f t="shared" si="4"/>
        <v>2</v>
      </c>
      <c r="C123" t="s">
        <v>9</v>
      </c>
      <c r="D123">
        <f t="shared" si="6"/>
        <v>330</v>
      </c>
      <c r="E123">
        <f t="shared" si="7"/>
        <v>0</v>
      </c>
      <c r="F123">
        <f t="shared" si="5"/>
        <v>330</v>
      </c>
    </row>
    <row r="124" spans="1:6" x14ac:dyDescent="0.25">
      <c r="A124" s="1">
        <v>45049</v>
      </c>
      <c r="B124">
        <f t="shared" si="4"/>
        <v>3</v>
      </c>
      <c r="C124" t="s">
        <v>9</v>
      </c>
      <c r="D124">
        <f t="shared" si="6"/>
        <v>330</v>
      </c>
      <c r="E124">
        <f t="shared" si="7"/>
        <v>0</v>
      </c>
      <c r="F124">
        <f t="shared" si="5"/>
        <v>330</v>
      </c>
    </row>
    <row r="125" spans="1:6" x14ac:dyDescent="0.25">
      <c r="A125" s="1">
        <v>45050</v>
      </c>
      <c r="B125">
        <f t="shared" si="4"/>
        <v>4</v>
      </c>
      <c r="C125" t="s">
        <v>9</v>
      </c>
      <c r="D125">
        <f t="shared" si="6"/>
        <v>330</v>
      </c>
      <c r="E125">
        <f t="shared" si="7"/>
        <v>0</v>
      </c>
      <c r="F125">
        <f t="shared" si="5"/>
        <v>330</v>
      </c>
    </row>
    <row r="126" spans="1:6" x14ac:dyDescent="0.25">
      <c r="A126" s="1">
        <v>45051</v>
      </c>
      <c r="B126">
        <f t="shared" si="4"/>
        <v>5</v>
      </c>
      <c r="C126" t="s">
        <v>9</v>
      </c>
      <c r="D126">
        <f t="shared" si="6"/>
        <v>330</v>
      </c>
      <c r="E126">
        <f t="shared" si="7"/>
        <v>0</v>
      </c>
      <c r="F126">
        <f t="shared" si="5"/>
        <v>330</v>
      </c>
    </row>
    <row r="127" spans="1:6" x14ac:dyDescent="0.25">
      <c r="A127" s="1">
        <v>45052</v>
      </c>
      <c r="B127">
        <f t="shared" si="4"/>
        <v>6</v>
      </c>
      <c r="C127" t="s">
        <v>9</v>
      </c>
      <c r="D127">
        <f t="shared" si="6"/>
        <v>0</v>
      </c>
      <c r="E127">
        <f t="shared" si="7"/>
        <v>0</v>
      </c>
      <c r="F127">
        <f t="shared" si="5"/>
        <v>0</v>
      </c>
    </row>
    <row r="128" spans="1:6" x14ac:dyDescent="0.25">
      <c r="A128" s="1">
        <v>45053</v>
      </c>
      <c r="B128">
        <f t="shared" si="4"/>
        <v>7</v>
      </c>
      <c r="C128" t="s">
        <v>9</v>
      </c>
      <c r="D128">
        <f t="shared" si="6"/>
        <v>0</v>
      </c>
      <c r="E128">
        <f t="shared" si="7"/>
        <v>150</v>
      </c>
      <c r="F128">
        <f t="shared" si="5"/>
        <v>-150</v>
      </c>
    </row>
    <row r="129" spans="1:6" x14ac:dyDescent="0.25">
      <c r="A129" s="1">
        <v>45054</v>
      </c>
      <c r="B129">
        <f t="shared" si="4"/>
        <v>1</v>
      </c>
      <c r="C129" t="s">
        <v>9</v>
      </c>
      <c r="D129">
        <f t="shared" si="6"/>
        <v>330</v>
      </c>
      <c r="E129">
        <f t="shared" si="7"/>
        <v>0</v>
      </c>
      <c r="F129">
        <f t="shared" si="5"/>
        <v>330</v>
      </c>
    </row>
    <row r="130" spans="1:6" x14ac:dyDescent="0.25">
      <c r="A130" s="1">
        <v>45055</v>
      </c>
      <c r="B130">
        <f t="shared" si="4"/>
        <v>2</v>
      </c>
      <c r="C130" t="s">
        <v>9</v>
      </c>
      <c r="D130">
        <f t="shared" si="6"/>
        <v>330</v>
      </c>
      <c r="E130">
        <f t="shared" si="7"/>
        <v>0</v>
      </c>
      <c r="F130">
        <f t="shared" si="5"/>
        <v>330</v>
      </c>
    </row>
    <row r="131" spans="1:6" x14ac:dyDescent="0.25">
      <c r="A131" s="1">
        <v>45056</v>
      </c>
      <c r="B131">
        <f t="shared" ref="B131:B194" si="8">WEEKDAY(A131,2)</f>
        <v>3</v>
      </c>
      <c r="C131" t="s">
        <v>9</v>
      </c>
      <c r="D131">
        <f t="shared" si="6"/>
        <v>330</v>
      </c>
      <c r="E131">
        <f t="shared" si="7"/>
        <v>0</v>
      </c>
      <c r="F131">
        <f t="shared" ref="F131:F194" si="9">D131-E131</f>
        <v>330</v>
      </c>
    </row>
    <row r="132" spans="1:6" x14ac:dyDescent="0.25">
      <c r="A132" s="1">
        <v>45057</v>
      </c>
      <c r="B132">
        <f t="shared" si="8"/>
        <v>4</v>
      </c>
      <c r="C132" t="s">
        <v>9</v>
      </c>
      <c r="D132">
        <f t="shared" ref="D132:D195" si="10">IF(B132&lt;6,$Q$1*VLOOKUP(C132,$S$1:$T$5,2,FALSE)*$Q$3,0)</f>
        <v>330</v>
      </c>
      <c r="E132">
        <f t="shared" ref="E132:E195" si="11">IF(B132=7,$Q$4*$Q$1,0)</f>
        <v>0</v>
      </c>
      <c r="F132">
        <f t="shared" si="9"/>
        <v>330</v>
      </c>
    </row>
    <row r="133" spans="1:6" x14ac:dyDescent="0.25">
      <c r="A133" s="1">
        <v>45058</v>
      </c>
      <c r="B133">
        <f t="shared" si="8"/>
        <v>5</v>
      </c>
      <c r="C133" t="s">
        <v>9</v>
      </c>
      <c r="D133">
        <f t="shared" si="10"/>
        <v>330</v>
      </c>
      <c r="E133">
        <f t="shared" si="11"/>
        <v>0</v>
      </c>
      <c r="F133">
        <f t="shared" si="9"/>
        <v>330</v>
      </c>
    </row>
    <row r="134" spans="1:6" x14ac:dyDescent="0.25">
      <c r="A134" s="1">
        <v>45059</v>
      </c>
      <c r="B134">
        <f t="shared" si="8"/>
        <v>6</v>
      </c>
      <c r="C134" t="s">
        <v>9</v>
      </c>
      <c r="D134">
        <f t="shared" si="10"/>
        <v>0</v>
      </c>
      <c r="E134">
        <f t="shared" si="11"/>
        <v>0</v>
      </c>
      <c r="F134">
        <f t="shared" si="9"/>
        <v>0</v>
      </c>
    </row>
    <row r="135" spans="1:6" x14ac:dyDescent="0.25">
      <c r="A135" s="1">
        <v>45060</v>
      </c>
      <c r="B135">
        <f t="shared" si="8"/>
        <v>7</v>
      </c>
      <c r="C135" t="s">
        <v>9</v>
      </c>
      <c r="D135">
        <f t="shared" si="10"/>
        <v>0</v>
      </c>
      <c r="E135">
        <f t="shared" si="11"/>
        <v>150</v>
      </c>
      <c r="F135">
        <f t="shared" si="9"/>
        <v>-150</v>
      </c>
    </row>
    <row r="136" spans="1:6" x14ac:dyDescent="0.25">
      <c r="A136" s="1">
        <v>45061</v>
      </c>
      <c r="B136">
        <f t="shared" si="8"/>
        <v>1</v>
      </c>
      <c r="C136" t="s">
        <v>9</v>
      </c>
      <c r="D136">
        <f t="shared" si="10"/>
        <v>330</v>
      </c>
      <c r="E136">
        <f t="shared" si="11"/>
        <v>0</v>
      </c>
      <c r="F136">
        <f t="shared" si="9"/>
        <v>330</v>
      </c>
    </row>
    <row r="137" spans="1:6" x14ac:dyDescent="0.25">
      <c r="A137" s="1">
        <v>45062</v>
      </c>
      <c r="B137">
        <f t="shared" si="8"/>
        <v>2</v>
      </c>
      <c r="C137" t="s">
        <v>9</v>
      </c>
      <c r="D137">
        <f t="shared" si="10"/>
        <v>330</v>
      </c>
      <c r="E137">
        <f t="shared" si="11"/>
        <v>0</v>
      </c>
      <c r="F137">
        <f t="shared" si="9"/>
        <v>330</v>
      </c>
    </row>
    <row r="138" spans="1:6" x14ac:dyDescent="0.25">
      <c r="A138" s="1">
        <v>45063</v>
      </c>
      <c r="B138">
        <f t="shared" si="8"/>
        <v>3</v>
      </c>
      <c r="C138" t="s">
        <v>9</v>
      </c>
      <c r="D138">
        <f t="shared" si="10"/>
        <v>330</v>
      </c>
      <c r="E138">
        <f t="shared" si="11"/>
        <v>0</v>
      </c>
      <c r="F138">
        <f t="shared" si="9"/>
        <v>330</v>
      </c>
    </row>
    <row r="139" spans="1:6" x14ac:dyDescent="0.25">
      <c r="A139" s="1">
        <v>45064</v>
      </c>
      <c r="B139">
        <f t="shared" si="8"/>
        <v>4</v>
      </c>
      <c r="C139" t="s">
        <v>9</v>
      </c>
      <c r="D139">
        <f t="shared" si="10"/>
        <v>330</v>
      </c>
      <c r="E139">
        <f t="shared" si="11"/>
        <v>0</v>
      </c>
      <c r="F139">
        <f t="shared" si="9"/>
        <v>330</v>
      </c>
    </row>
    <row r="140" spans="1:6" x14ac:dyDescent="0.25">
      <c r="A140" s="1">
        <v>45065</v>
      </c>
      <c r="B140">
        <f t="shared" si="8"/>
        <v>5</v>
      </c>
      <c r="C140" t="s">
        <v>9</v>
      </c>
      <c r="D140">
        <f t="shared" si="10"/>
        <v>330</v>
      </c>
      <c r="E140">
        <f t="shared" si="11"/>
        <v>0</v>
      </c>
      <c r="F140">
        <f t="shared" si="9"/>
        <v>330</v>
      </c>
    </row>
    <row r="141" spans="1:6" x14ac:dyDescent="0.25">
      <c r="A141" s="1">
        <v>45066</v>
      </c>
      <c r="B141">
        <f t="shared" si="8"/>
        <v>6</v>
      </c>
      <c r="C141" t="s">
        <v>9</v>
      </c>
      <c r="D141">
        <f t="shared" si="10"/>
        <v>0</v>
      </c>
      <c r="E141">
        <f t="shared" si="11"/>
        <v>0</v>
      </c>
      <c r="F141">
        <f t="shared" si="9"/>
        <v>0</v>
      </c>
    </row>
    <row r="142" spans="1:6" x14ac:dyDescent="0.25">
      <c r="A142" s="1">
        <v>45067</v>
      </c>
      <c r="B142">
        <f t="shared" si="8"/>
        <v>7</v>
      </c>
      <c r="C142" t="s">
        <v>9</v>
      </c>
      <c r="D142">
        <f t="shared" si="10"/>
        <v>0</v>
      </c>
      <c r="E142">
        <f t="shared" si="11"/>
        <v>150</v>
      </c>
      <c r="F142">
        <f t="shared" si="9"/>
        <v>-150</v>
      </c>
    </row>
    <row r="143" spans="1:6" x14ac:dyDescent="0.25">
      <c r="A143" s="1">
        <v>45068</v>
      </c>
      <c r="B143">
        <f t="shared" si="8"/>
        <v>1</v>
      </c>
      <c r="C143" t="s">
        <v>9</v>
      </c>
      <c r="D143">
        <f t="shared" si="10"/>
        <v>330</v>
      </c>
      <c r="E143">
        <f t="shared" si="11"/>
        <v>0</v>
      </c>
      <c r="F143">
        <f t="shared" si="9"/>
        <v>330</v>
      </c>
    </row>
    <row r="144" spans="1:6" x14ac:dyDescent="0.25">
      <c r="A144" s="1">
        <v>45069</v>
      </c>
      <c r="B144">
        <f t="shared" si="8"/>
        <v>2</v>
      </c>
      <c r="C144" t="s">
        <v>9</v>
      </c>
      <c r="D144">
        <f t="shared" si="10"/>
        <v>330</v>
      </c>
      <c r="E144">
        <f t="shared" si="11"/>
        <v>0</v>
      </c>
      <c r="F144">
        <f t="shared" si="9"/>
        <v>330</v>
      </c>
    </row>
    <row r="145" spans="1:6" x14ac:dyDescent="0.25">
      <c r="A145" s="1">
        <v>45070</v>
      </c>
      <c r="B145">
        <f t="shared" si="8"/>
        <v>3</v>
      </c>
      <c r="C145" t="s">
        <v>9</v>
      </c>
      <c r="D145">
        <f t="shared" si="10"/>
        <v>330</v>
      </c>
      <c r="E145">
        <f t="shared" si="11"/>
        <v>0</v>
      </c>
      <c r="F145">
        <f t="shared" si="9"/>
        <v>330</v>
      </c>
    </row>
    <row r="146" spans="1:6" x14ac:dyDescent="0.25">
      <c r="A146" s="1">
        <v>45071</v>
      </c>
      <c r="B146">
        <f t="shared" si="8"/>
        <v>4</v>
      </c>
      <c r="C146" t="s">
        <v>9</v>
      </c>
      <c r="D146">
        <f t="shared" si="10"/>
        <v>330</v>
      </c>
      <c r="E146">
        <f t="shared" si="11"/>
        <v>0</v>
      </c>
      <c r="F146">
        <f t="shared" si="9"/>
        <v>330</v>
      </c>
    </row>
    <row r="147" spans="1:6" x14ac:dyDescent="0.25">
      <c r="A147" s="1">
        <v>45072</v>
      </c>
      <c r="B147">
        <f t="shared" si="8"/>
        <v>5</v>
      </c>
      <c r="C147" t="s">
        <v>9</v>
      </c>
      <c r="D147">
        <f t="shared" si="10"/>
        <v>330</v>
      </c>
      <c r="E147">
        <f t="shared" si="11"/>
        <v>0</v>
      </c>
      <c r="F147">
        <f t="shared" si="9"/>
        <v>330</v>
      </c>
    </row>
    <row r="148" spans="1:6" x14ac:dyDescent="0.25">
      <c r="A148" s="1">
        <v>45073</v>
      </c>
      <c r="B148">
        <f t="shared" si="8"/>
        <v>6</v>
      </c>
      <c r="C148" t="s">
        <v>9</v>
      </c>
      <c r="D148">
        <f t="shared" si="10"/>
        <v>0</v>
      </c>
      <c r="E148">
        <f t="shared" si="11"/>
        <v>0</v>
      </c>
      <c r="F148">
        <f t="shared" si="9"/>
        <v>0</v>
      </c>
    </row>
    <row r="149" spans="1:6" x14ac:dyDescent="0.25">
      <c r="A149" s="1">
        <v>45074</v>
      </c>
      <c r="B149">
        <f t="shared" si="8"/>
        <v>7</v>
      </c>
      <c r="C149" t="s">
        <v>9</v>
      </c>
      <c r="D149">
        <f t="shared" si="10"/>
        <v>0</v>
      </c>
      <c r="E149">
        <f t="shared" si="11"/>
        <v>150</v>
      </c>
      <c r="F149">
        <f t="shared" si="9"/>
        <v>-150</v>
      </c>
    </row>
    <row r="150" spans="1:6" x14ac:dyDescent="0.25">
      <c r="A150" s="1">
        <v>45075</v>
      </c>
      <c r="B150">
        <f t="shared" si="8"/>
        <v>1</v>
      </c>
      <c r="C150" t="s">
        <v>9</v>
      </c>
      <c r="D150">
        <f t="shared" si="10"/>
        <v>330</v>
      </c>
      <c r="E150">
        <f t="shared" si="11"/>
        <v>0</v>
      </c>
      <c r="F150">
        <f t="shared" si="9"/>
        <v>330</v>
      </c>
    </row>
    <row r="151" spans="1:6" x14ac:dyDescent="0.25">
      <c r="A151" s="1">
        <v>45076</v>
      </c>
      <c r="B151">
        <f t="shared" si="8"/>
        <v>2</v>
      </c>
      <c r="C151" t="s">
        <v>9</v>
      </c>
      <c r="D151">
        <f t="shared" si="10"/>
        <v>330</v>
      </c>
      <c r="E151">
        <f t="shared" si="11"/>
        <v>0</v>
      </c>
      <c r="F151">
        <f t="shared" si="9"/>
        <v>330</v>
      </c>
    </row>
    <row r="152" spans="1:6" x14ac:dyDescent="0.25">
      <c r="A152" s="1">
        <v>45077</v>
      </c>
      <c r="B152">
        <f t="shared" si="8"/>
        <v>3</v>
      </c>
      <c r="C152" t="s">
        <v>9</v>
      </c>
      <c r="D152">
        <f t="shared" si="10"/>
        <v>330</v>
      </c>
      <c r="E152">
        <f t="shared" si="11"/>
        <v>0</v>
      </c>
      <c r="F152">
        <f t="shared" si="9"/>
        <v>330</v>
      </c>
    </row>
    <row r="153" spans="1:6" x14ac:dyDescent="0.25">
      <c r="A153" s="1">
        <v>45078</v>
      </c>
      <c r="B153">
        <f t="shared" si="8"/>
        <v>4</v>
      </c>
      <c r="C153" t="s">
        <v>9</v>
      </c>
      <c r="D153">
        <f t="shared" si="10"/>
        <v>330</v>
      </c>
      <c r="E153">
        <f t="shared" si="11"/>
        <v>0</v>
      </c>
      <c r="F153">
        <f t="shared" si="9"/>
        <v>330</v>
      </c>
    </row>
    <row r="154" spans="1:6" x14ac:dyDescent="0.25">
      <c r="A154" s="1">
        <v>45079</v>
      </c>
      <c r="B154">
        <f t="shared" si="8"/>
        <v>5</v>
      </c>
      <c r="C154" t="s">
        <v>9</v>
      </c>
      <c r="D154">
        <f t="shared" si="10"/>
        <v>330</v>
      </c>
      <c r="E154">
        <f t="shared" si="11"/>
        <v>0</v>
      </c>
      <c r="F154">
        <f t="shared" si="9"/>
        <v>330</v>
      </c>
    </row>
    <row r="155" spans="1:6" x14ac:dyDescent="0.25">
      <c r="A155" s="1">
        <v>45080</v>
      </c>
      <c r="B155">
        <f t="shared" si="8"/>
        <v>6</v>
      </c>
      <c r="C155" t="s">
        <v>9</v>
      </c>
      <c r="D155">
        <f t="shared" si="10"/>
        <v>0</v>
      </c>
      <c r="E155">
        <f t="shared" si="11"/>
        <v>0</v>
      </c>
      <c r="F155">
        <f t="shared" si="9"/>
        <v>0</v>
      </c>
    </row>
    <row r="156" spans="1:6" x14ac:dyDescent="0.25">
      <c r="A156" s="1">
        <v>45081</v>
      </c>
      <c r="B156">
        <f t="shared" si="8"/>
        <v>7</v>
      </c>
      <c r="C156" t="s">
        <v>9</v>
      </c>
      <c r="D156">
        <f t="shared" si="10"/>
        <v>0</v>
      </c>
      <c r="E156">
        <f t="shared" si="11"/>
        <v>150</v>
      </c>
      <c r="F156">
        <f t="shared" si="9"/>
        <v>-150</v>
      </c>
    </row>
    <row r="157" spans="1:6" x14ac:dyDescent="0.25">
      <c r="A157" s="1">
        <v>45082</v>
      </c>
      <c r="B157">
        <f t="shared" si="8"/>
        <v>1</v>
      </c>
      <c r="C157" t="s">
        <v>9</v>
      </c>
      <c r="D157">
        <f t="shared" si="10"/>
        <v>330</v>
      </c>
      <c r="E157">
        <f t="shared" si="11"/>
        <v>0</v>
      </c>
      <c r="F157">
        <f t="shared" si="9"/>
        <v>330</v>
      </c>
    </row>
    <row r="158" spans="1:6" x14ac:dyDescent="0.25">
      <c r="A158" s="1">
        <v>45083</v>
      </c>
      <c r="B158">
        <f t="shared" si="8"/>
        <v>2</v>
      </c>
      <c r="C158" t="s">
        <v>9</v>
      </c>
      <c r="D158">
        <f t="shared" si="10"/>
        <v>330</v>
      </c>
      <c r="E158">
        <f t="shared" si="11"/>
        <v>0</v>
      </c>
      <c r="F158">
        <f t="shared" si="9"/>
        <v>330</v>
      </c>
    </row>
    <row r="159" spans="1:6" x14ac:dyDescent="0.25">
      <c r="A159" s="1">
        <v>45084</v>
      </c>
      <c r="B159">
        <f t="shared" si="8"/>
        <v>3</v>
      </c>
      <c r="C159" t="s">
        <v>9</v>
      </c>
      <c r="D159">
        <f t="shared" si="10"/>
        <v>330</v>
      </c>
      <c r="E159">
        <f t="shared" si="11"/>
        <v>0</v>
      </c>
      <c r="F159">
        <f t="shared" si="9"/>
        <v>330</v>
      </c>
    </row>
    <row r="160" spans="1:6" x14ac:dyDescent="0.25">
      <c r="A160" s="1">
        <v>45085</v>
      </c>
      <c r="B160">
        <f t="shared" si="8"/>
        <v>4</v>
      </c>
      <c r="C160" t="s">
        <v>9</v>
      </c>
      <c r="D160">
        <f t="shared" si="10"/>
        <v>330</v>
      </c>
      <c r="E160">
        <f t="shared" si="11"/>
        <v>0</v>
      </c>
      <c r="F160">
        <f t="shared" si="9"/>
        <v>330</v>
      </c>
    </row>
    <row r="161" spans="1:6" x14ac:dyDescent="0.25">
      <c r="A161" s="1">
        <v>45086</v>
      </c>
      <c r="B161">
        <f t="shared" si="8"/>
        <v>5</v>
      </c>
      <c r="C161" t="s">
        <v>9</v>
      </c>
      <c r="D161">
        <f t="shared" si="10"/>
        <v>330</v>
      </c>
      <c r="E161">
        <f t="shared" si="11"/>
        <v>0</v>
      </c>
      <c r="F161">
        <f t="shared" si="9"/>
        <v>330</v>
      </c>
    </row>
    <row r="162" spans="1:6" x14ac:dyDescent="0.25">
      <c r="A162" s="1">
        <v>45087</v>
      </c>
      <c r="B162">
        <f t="shared" si="8"/>
        <v>6</v>
      </c>
      <c r="C162" t="s">
        <v>9</v>
      </c>
      <c r="D162">
        <f t="shared" si="10"/>
        <v>0</v>
      </c>
      <c r="E162">
        <f t="shared" si="11"/>
        <v>0</v>
      </c>
      <c r="F162">
        <f t="shared" si="9"/>
        <v>0</v>
      </c>
    </row>
    <row r="163" spans="1:6" x14ac:dyDescent="0.25">
      <c r="A163" s="1">
        <v>45088</v>
      </c>
      <c r="B163">
        <f t="shared" si="8"/>
        <v>7</v>
      </c>
      <c r="C163" t="s">
        <v>9</v>
      </c>
      <c r="D163">
        <f t="shared" si="10"/>
        <v>0</v>
      </c>
      <c r="E163">
        <f t="shared" si="11"/>
        <v>150</v>
      </c>
      <c r="F163">
        <f t="shared" si="9"/>
        <v>-150</v>
      </c>
    </row>
    <row r="164" spans="1:6" x14ac:dyDescent="0.25">
      <c r="A164" s="1">
        <v>45089</v>
      </c>
      <c r="B164">
        <f t="shared" si="8"/>
        <v>1</v>
      </c>
      <c r="C164" t="s">
        <v>9</v>
      </c>
      <c r="D164">
        <f t="shared" si="10"/>
        <v>330</v>
      </c>
      <c r="E164">
        <f t="shared" si="11"/>
        <v>0</v>
      </c>
      <c r="F164">
        <f t="shared" si="9"/>
        <v>330</v>
      </c>
    </row>
    <row r="165" spans="1:6" x14ac:dyDescent="0.25">
      <c r="A165" s="1">
        <v>45090</v>
      </c>
      <c r="B165">
        <f t="shared" si="8"/>
        <v>2</v>
      </c>
      <c r="C165" t="s">
        <v>9</v>
      </c>
      <c r="D165">
        <f t="shared" si="10"/>
        <v>330</v>
      </c>
      <c r="E165">
        <f t="shared" si="11"/>
        <v>0</v>
      </c>
      <c r="F165">
        <f t="shared" si="9"/>
        <v>330</v>
      </c>
    </row>
    <row r="166" spans="1:6" x14ac:dyDescent="0.25">
      <c r="A166" s="1">
        <v>45091</v>
      </c>
      <c r="B166">
        <f t="shared" si="8"/>
        <v>3</v>
      </c>
      <c r="C166" t="s">
        <v>9</v>
      </c>
      <c r="D166">
        <f t="shared" si="10"/>
        <v>330</v>
      </c>
      <c r="E166">
        <f t="shared" si="11"/>
        <v>0</v>
      </c>
      <c r="F166">
        <f t="shared" si="9"/>
        <v>330</v>
      </c>
    </row>
    <row r="167" spans="1:6" x14ac:dyDescent="0.25">
      <c r="A167" s="1">
        <v>45092</v>
      </c>
      <c r="B167">
        <f t="shared" si="8"/>
        <v>4</v>
      </c>
      <c r="C167" t="s">
        <v>9</v>
      </c>
      <c r="D167">
        <f t="shared" si="10"/>
        <v>330</v>
      </c>
      <c r="E167">
        <f t="shared" si="11"/>
        <v>0</v>
      </c>
      <c r="F167">
        <f t="shared" si="9"/>
        <v>330</v>
      </c>
    </row>
    <row r="168" spans="1:6" x14ac:dyDescent="0.25">
      <c r="A168" s="1">
        <v>45093</v>
      </c>
      <c r="B168">
        <f t="shared" si="8"/>
        <v>5</v>
      </c>
      <c r="C168" t="s">
        <v>9</v>
      </c>
      <c r="D168">
        <f t="shared" si="10"/>
        <v>330</v>
      </c>
      <c r="E168">
        <f t="shared" si="11"/>
        <v>0</v>
      </c>
      <c r="F168">
        <f t="shared" si="9"/>
        <v>330</v>
      </c>
    </row>
    <row r="169" spans="1:6" x14ac:dyDescent="0.25">
      <c r="A169" s="1">
        <v>45094</v>
      </c>
      <c r="B169">
        <f t="shared" si="8"/>
        <v>6</v>
      </c>
      <c r="C169" t="s">
        <v>9</v>
      </c>
      <c r="D169">
        <f t="shared" si="10"/>
        <v>0</v>
      </c>
      <c r="E169">
        <f t="shared" si="11"/>
        <v>0</v>
      </c>
      <c r="F169">
        <f t="shared" si="9"/>
        <v>0</v>
      </c>
    </row>
    <row r="170" spans="1:6" x14ac:dyDescent="0.25">
      <c r="A170" s="1">
        <v>45095</v>
      </c>
      <c r="B170">
        <f t="shared" si="8"/>
        <v>7</v>
      </c>
      <c r="C170" t="s">
        <v>9</v>
      </c>
      <c r="D170">
        <f t="shared" si="10"/>
        <v>0</v>
      </c>
      <c r="E170">
        <f t="shared" si="11"/>
        <v>150</v>
      </c>
      <c r="F170">
        <f t="shared" si="9"/>
        <v>-150</v>
      </c>
    </row>
    <row r="171" spans="1:6" x14ac:dyDescent="0.25">
      <c r="A171" s="1">
        <v>45096</v>
      </c>
      <c r="B171">
        <f t="shared" si="8"/>
        <v>1</v>
      </c>
      <c r="C171" t="s">
        <v>9</v>
      </c>
      <c r="D171">
        <f t="shared" si="10"/>
        <v>330</v>
      </c>
      <c r="E171">
        <f t="shared" si="11"/>
        <v>0</v>
      </c>
      <c r="F171">
        <f t="shared" si="9"/>
        <v>330</v>
      </c>
    </row>
    <row r="172" spans="1:6" x14ac:dyDescent="0.25">
      <c r="A172" s="1">
        <v>45097</v>
      </c>
      <c r="B172">
        <f t="shared" si="8"/>
        <v>2</v>
      </c>
      <c r="C172" t="s">
        <v>9</v>
      </c>
      <c r="D172">
        <f t="shared" si="10"/>
        <v>330</v>
      </c>
      <c r="E172">
        <f t="shared" si="11"/>
        <v>0</v>
      </c>
      <c r="F172">
        <f t="shared" si="9"/>
        <v>330</v>
      </c>
    </row>
    <row r="173" spans="1:6" x14ac:dyDescent="0.25">
      <c r="A173" s="1">
        <v>45098</v>
      </c>
      <c r="B173">
        <f t="shared" si="8"/>
        <v>3</v>
      </c>
      <c r="C173" t="s">
        <v>10</v>
      </c>
      <c r="D173">
        <f t="shared" si="10"/>
        <v>594</v>
      </c>
      <c r="E173">
        <f t="shared" si="11"/>
        <v>0</v>
      </c>
      <c r="F173">
        <f t="shared" si="9"/>
        <v>594</v>
      </c>
    </row>
    <row r="174" spans="1:6" x14ac:dyDescent="0.25">
      <c r="A174" s="1">
        <v>45099</v>
      </c>
      <c r="B174">
        <f t="shared" si="8"/>
        <v>4</v>
      </c>
      <c r="C174" t="s">
        <v>10</v>
      </c>
      <c r="D174">
        <f t="shared" si="10"/>
        <v>594</v>
      </c>
      <c r="E174">
        <f t="shared" si="11"/>
        <v>0</v>
      </c>
      <c r="F174">
        <f t="shared" si="9"/>
        <v>594</v>
      </c>
    </row>
    <row r="175" spans="1:6" x14ac:dyDescent="0.25">
      <c r="A175" s="1">
        <v>45100</v>
      </c>
      <c r="B175">
        <f t="shared" si="8"/>
        <v>5</v>
      </c>
      <c r="C175" t="s">
        <v>10</v>
      </c>
      <c r="D175">
        <f t="shared" si="10"/>
        <v>594</v>
      </c>
      <c r="E175">
        <f t="shared" si="11"/>
        <v>0</v>
      </c>
      <c r="F175">
        <f t="shared" si="9"/>
        <v>594</v>
      </c>
    </row>
    <row r="176" spans="1:6" x14ac:dyDescent="0.25">
      <c r="A176" s="1">
        <v>45101</v>
      </c>
      <c r="B176">
        <f t="shared" si="8"/>
        <v>6</v>
      </c>
      <c r="C176" t="s">
        <v>10</v>
      </c>
      <c r="D176">
        <f t="shared" si="10"/>
        <v>0</v>
      </c>
      <c r="E176">
        <f t="shared" si="11"/>
        <v>0</v>
      </c>
      <c r="F176">
        <f t="shared" si="9"/>
        <v>0</v>
      </c>
    </row>
    <row r="177" spans="1:6" x14ac:dyDescent="0.25">
      <c r="A177" s="1">
        <v>45102</v>
      </c>
      <c r="B177">
        <f t="shared" si="8"/>
        <v>7</v>
      </c>
      <c r="C177" t="s">
        <v>10</v>
      </c>
      <c r="D177">
        <f t="shared" si="10"/>
        <v>0</v>
      </c>
      <c r="E177">
        <f t="shared" si="11"/>
        <v>150</v>
      </c>
      <c r="F177">
        <f t="shared" si="9"/>
        <v>-150</v>
      </c>
    </row>
    <row r="178" spans="1:6" x14ac:dyDescent="0.25">
      <c r="A178" s="1">
        <v>45103</v>
      </c>
      <c r="B178">
        <f t="shared" si="8"/>
        <v>1</v>
      </c>
      <c r="C178" t="s">
        <v>10</v>
      </c>
      <c r="D178">
        <f t="shared" si="10"/>
        <v>594</v>
      </c>
      <c r="E178">
        <f t="shared" si="11"/>
        <v>0</v>
      </c>
      <c r="F178">
        <f t="shared" si="9"/>
        <v>594</v>
      </c>
    </row>
    <row r="179" spans="1:6" x14ac:dyDescent="0.25">
      <c r="A179" s="1">
        <v>45104</v>
      </c>
      <c r="B179">
        <f t="shared" si="8"/>
        <v>2</v>
      </c>
      <c r="C179" t="s">
        <v>10</v>
      </c>
      <c r="D179">
        <f t="shared" si="10"/>
        <v>594</v>
      </c>
      <c r="E179">
        <f t="shared" si="11"/>
        <v>0</v>
      </c>
      <c r="F179">
        <f t="shared" si="9"/>
        <v>594</v>
      </c>
    </row>
    <row r="180" spans="1:6" x14ac:dyDescent="0.25">
      <c r="A180" s="1">
        <v>45105</v>
      </c>
      <c r="B180">
        <f t="shared" si="8"/>
        <v>3</v>
      </c>
      <c r="C180" t="s">
        <v>10</v>
      </c>
      <c r="D180">
        <f t="shared" si="10"/>
        <v>594</v>
      </c>
      <c r="E180">
        <f t="shared" si="11"/>
        <v>0</v>
      </c>
      <c r="F180">
        <f t="shared" si="9"/>
        <v>594</v>
      </c>
    </row>
    <row r="181" spans="1:6" x14ac:dyDescent="0.25">
      <c r="A181" s="1">
        <v>45106</v>
      </c>
      <c r="B181">
        <f t="shared" si="8"/>
        <v>4</v>
      </c>
      <c r="C181" t="s">
        <v>10</v>
      </c>
      <c r="D181">
        <f t="shared" si="10"/>
        <v>594</v>
      </c>
      <c r="E181">
        <f t="shared" si="11"/>
        <v>0</v>
      </c>
      <c r="F181">
        <f t="shared" si="9"/>
        <v>594</v>
      </c>
    </row>
    <row r="182" spans="1:6" x14ac:dyDescent="0.25">
      <c r="A182" s="1">
        <v>45107</v>
      </c>
      <c r="B182">
        <f t="shared" si="8"/>
        <v>5</v>
      </c>
      <c r="C182" t="s">
        <v>10</v>
      </c>
      <c r="D182">
        <f t="shared" si="10"/>
        <v>594</v>
      </c>
      <c r="E182">
        <f t="shared" si="11"/>
        <v>0</v>
      </c>
      <c r="F182">
        <f t="shared" si="9"/>
        <v>594</v>
      </c>
    </row>
    <row r="183" spans="1:6" x14ac:dyDescent="0.25">
      <c r="A183" s="1">
        <v>45108</v>
      </c>
      <c r="B183">
        <f t="shared" si="8"/>
        <v>6</v>
      </c>
      <c r="C183" t="s">
        <v>10</v>
      </c>
      <c r="D183">
        <f t="shared" si="10"/>
        <v>0</v>
      </c>
      <c r="E183">
        <f t="shared" si="11"/>
        <v>0</v>
      </c>
      <c r="F183">
        <f t="shared" si="9"/>
        <v>0</v>
      </c>
    </row>
    <row r="184" spans="1:6" x14ac:dyDescent="0.25">
      <c r="A184" s="1">
        <v>45109</v>
      </c>
      <c r="B184">
        <f t="shared" si="8"/>
        <v>7</v>
      </c>
      <c r="C184" t="s">
        <v>10</v>
      </c>
      <c r="D184">
        <f t="shared" si="10"/>
        <v>0</v>
      </c>
      <c r="E184">
        <f t="shared" si="11"/>
        <v>150</v>
      </c>
      <c r="F184">
        <f t="shared" si="9"/>
        <v>-150</v>
      </c>
    </row>
    <row r="185" spans="1:6" x14ac:dyDescent="0.25">
      <c r="A185" s="1">
        <v>45110</v>
      </c>
      <c r="B185">
        <f t="shared" si="8"/>
        <v>1</v>
      </c>
      <c r="C185" t="s">
        <v>10</v>
      </c>
      <c r="D185">
        <f t="shared" si="10"/>
        <v>594</v>
      </c>
      <c r="E185">
        <f t="shared" si="11"/>
        <v>0</v>
      </c>
      <c r="F185">
        <f t="shared" si="9"/>
        <v>594</v>
      </c>
    </row>
    <row r="186" spans="1:6" x14ac:dyDescent="0.25">
      <c r="A186" s="1">
        <v>45111</v>
      </c>
      <c r="B186">
        <f t="shared" si="8"/>
        <v>2</v>
      </c>
      <c r="C186" t="s">
        <v>10</v>
      </c>
      <c r="D186">
        <f t="shared" si="10"/>
        <v>594</v>
      </c>
      <c r="E186">
        <f t="shared" si="11"/>
        <v>0</v>
      </c>
      <c r="F186">
        <f t="shared" si="9"/>
        <v>594</v>
      </c>
    </row>
    <row r="187" spans="1:6" x14ac:dyDescent="0.25">
      <c r="A187" s="1">
        <v>45112</v>
      </c>
      <c r="B187">
        <f t="shared" si="8"/>
        <v>3</v>
      </c>
      <c r="C187" t="s">
        <v>10</v>
      </c>
      <c r="D187">
        <f t="shared" si="10"/>
        <v>594</v>
      </c>
      <c r="E187">
        <f t="shared" si="11"/>
        <v>0</v>
      </c>
      <c r="F187">
        <f t="shared" si="9"/>
        <v>594</v>
      </c>
    </row>
    <row r="188" spans="1:6" x14ac:dyDescent="0.25">
      <c r="A188" s="1">
        <v>45113</v>
      </c>
      <c r="B188">
        <f t="shared" si="8"/>
        <v>4</v>
      </c>
      <c r="C188" t="s">
        <v>10</v>
      </c>
      <c r="D188">
        <f t="shared" si="10"/>
        <v>594</v>
      </c>
      <c r="E188">
        <f t="shared" si="11"/>
        <v>0</v>
      </c>
      <c r="F188">
        <f t="shared" si="9"/>
        <v>594</v>
      </c>
    </row>
    <row r="189" spans="1:6" x14ac:dyDescent="0.25">
      <c r="A189" s="1">
        <v>45114</v>
      </c>
      <c r="B189">
        <f t="shared" si="8"/>
        <v>5</v>
      </c>
      <c r="C189" t="s">
        <v>10</v>
      </c>
      <c r="D189">
        <f t="shared" si="10"/>
        <v>594</v>
      </c>
      <c r="E189">
        <f t="shared" si="11"/>
        <v>0</v>
      </c>
      <c r="F189">
        <f t="shared" si="9"/>
        <v>594</v>
      </c>
    </row>
    <row r="190" spans="1:6" x14ac:dyDescent="0.25">
      <c r="A190" s="1">
        <v>45115</v>
      </c>
      <c r="B190">
        <f t="shared" si="8"/>
        <v>6</v>
      </c>
      <c r="C190" t="s">
        <v>10</v>
      </c>
      <c r="D190">
        <f t="shared" si="10"/>
        <v>0</v>
      </c>
      <c r="E190">
        <f t="shared" si="11"/>
        <v>0</v>
      </c>
      <c r="F190">
        <f t="shared" si="9"/>
        <v>0</v>
      </c>
    </row>
    <row r="191" spans="1:6" x14ac:dyDescent="0.25">
      <c r="A191" s="1">
        <v>45116</v>
      </c>
      <c r="B191">
        <f t="shared" si="8"/>
        <v>7</v>
      </c>
      <c r="C191" t="s">
        <v>10</v>
      </c>
      <c r="D191">
        <f t="shared" si="10"/>
        <v>0</v>
      </c>
      <c r="E191">
        <f t="shared" si="11"/>
        <v>150</v>
      </c>
      <c r="F191">
        <f t="shared" si="9"/>
        <v>-150</v>
      </c>
    </row>
    <row r="192" spans="1:6" x14ac:dyDescent="0.25">
      <c r="A192" s="1">
        <v>45117</v>
      </c>
      <c r="B192">
        <f t="shared" si="8"/>
        <v>1</v>
      </c>
      <c r="C192" t="s">
        <v>10</v>
      </c>
      <c r="D192">
        <f t="shared" si="10"/>
        <v>594</v>
      </c>
      <c r="E192">
        <f t="shared" si="11"/>
        <v>0</v>
      </c>
      <c r="F192">
        <f t="shared" si="9"/>
        <v>594</v>
      </c>
    </row>
    <row r="193" spans="1:6" x14ac:dyDescent="0.25">
      <c r="A193" s="1">
        <v>45118</v>
      </c>
      <c r="B193">
        <f t="shared" si="8"/>
        <v>2</v>
      </c>
      <c r="C193" t="s">
        <v>10</v>
      </c>
      <c r="D193">
        <f t="shared" si="10"/>
        <v>594</v>
      </c>
      <c r="E193">
        <f t="shared" si="11"/>
        <v>0</v>
      </c>
      <c r="F193">
        <f t="shared" si="9"/>
        <v>594</v>
      </c>
    </row>
    <row r="194" spans="1:6" x14ac:dyDescent="0.25">
      <c r="A194" s="1">
        <v>45119</v>
      </c>
      <c r="B194">
        <f t="shared" si="8"/>
        <v>3</v>
      </c>
      <c r="C194" t="s">
        <v>10</v>
      </c>
      <c r="D194">
        <f t="shared" si="10"/>
        <v>594</v>
      </c>
      <c r="E194">
        <f t="shared" si="11"/>
        <v>0</v>
      </c>
      <c r="F194">
        <f t="shared" si="9"/>
        <v>594</v>
      </c>
    </row>
    <row r="195" spans="1:6" x14ac:dyDescent="0.25">
      <c r="A195" s="1">
        <v>45120</v>
      </c>
      <c r="B195">
        <f t="shared" ref="B195:B258" si="12">WEEKDAY(A195,2)</f>
        <v>4</v>
      </c>
      <c r="C195" t="s">
        <v>10</v>
      </c>
      <c r="D195">
        <f t="shared" si="10"/>
        <v>594</v>
      </c>
      <c r="E195">
        <f t="shared" si="11"/>
        <v>0</v>
      </c>
      <c r="F195">
        <f t="shared" ref="F195:F258" si="13">D195-E195</f>
        <v>594</v>
      </c>
    </row>
    <row r="196" spans="1:6" x14ac:dyDescent="0.25">
      <c r="A196" s="1">
        <v>45121</v>
      </c>
      <c r="B196">
        <f t="shared" si="12"/>
        <v>5</v>
      </c>
      <c r="C196" t="s">
        <v>10</v>
      </c>
      <c r="D196">
        <f t="shared" ref="D196:D259" si="14">IF(B196&lt;6,$Q$1*VLOOKUP(C196,$S$1:$T$5,2,FALSE)*$Q$3,0)</f>
        <v>594</v>
      </c>
      <c r="E196">
        <f t="shared" ref="E196:E259" si="15">IF(B196=7,$Q$4*$Q$1,0)</f>
        <v>0</v>
      </c>
      <c r="F196">
        <f t="shared" si="13"/>
        <v>594</v>
      </c>
    </row>
    <row r="197" spans="1:6" x14ac:dyDescent="0.25">
      <c r="A197" s="1">
        <v>45122</v>
      </c>
      <c r="B197">
        <f t="shared" si="12"/>
        <v>6</v>
      </c>
      <c r="C197" t="s">
        <v>10</v>
      </c>
      <c r="D197">
        <f t="shared" si="14"/>
        <v>0</v>
      </c>
      <c r="E197">
        <f t="shared" si="15"/>
        <v>0</v>
      </c>
      <c r="F197">
        <f t="shared" si="13"/>
        <v>0</v>
      </c>
    </row>
    <row r="198" spans="1:6" x14ac:dyDescent="0.25">
      <c r="A198" s="1">
        <v>45123</v>
      </c>
      <c r="B198">
        <f t="shared" si="12"/>
        <v>7</v>
      </c>
      <c r="C198" t="s">
        <v>10</v>
      </c>
      <c r="D198">
        <f t="shared" si="14"/>
        <v>0</v>
      </c>
      <c r="E198">
        <f t="shared" si="15"/>
        <v>150</v>
      </c>
      <c r="F198">
        <f t="shared" si="13"/>
        <v>-150</v>
      </c>
    </row>
    <row r="199" spans="1:6" x14ac:dyDescent="0.25">
      <c r="A199" s="1">
        <v>45124</v>
      </c>
      <c r="B199">
        <f t="shared" si="12"/>
        <v>1</v>
      </c>
      <c r="C199" t="s">
        <v>10</v>
      </c>
      <c r="D199">
        <f t="shared" si="14"/>
        <v>594</v>
      </c>
      <c r="E199">
        <f t="shared" si="15"/>
        <v>0</v>
      </c>
      <c r="F199">
        <f t="shared" si="13"/>
        <v>594</v>
      </c>
    </row>
    <row r="200" spans="1:6" x14ac:dyDescent="0.25">
      <c r="A200" s="1">
        <v>45125</v>
      </c>
      <c r="B200">
        <f t="shared" si="12"/>
        <v>2</v>
      </c>
      <c r="C200" t="s">
        <v>10</v>
      </c>
      <c r="D200">
        <f t="shared" si="14"/>
        <v>594</v>
      </c>
      <c r="E200">
        <f t="shared" si="15"/>
        <v>0</v>
      </c>
      <c r="F200">
        <f t="shared" si="13"/>
        <v>594</v>
      </c>
    </row>
    <row r="201" spans="1:6" x14ac:dyDescent="0.25">
      <c r="A201" s="1">
        <v>45126</v>
      </c>
      <c r="B201">
        <f t="shared" si="12"/>
        <v>3</v>
      </c>
      <c r="C201" t="s">
        <v>10</v>
      </c>
      <c r="D201">
        <f t="shared" si="14"/>
        <v>594</v>
      </c>
      <c r="E201">
        <f t="shared" si="15"/>
        <v>0</v>
      </c>
      <c r="F201">
        <f t="shared" si="13"/>
        <v>594</v>
      </c>
    </row>
    <row r="202" spans="1:6" x14ac:dyDescent="0.25">
      <c r="A202" s="1">
        <v>45127</v>
      </c>
      <c r="B202">
        <f t="shared" si="12"/>
        <v>4</v>
      </c>
      <c r="C202" t="s">
        <v>10</v>
      </c>
      <c r="D202">
        <f t="shared" si="14"/>
        <v>594</v>
      </c>
      <c r="E202">
        <f t="shared" si="15"/>
        <v>0</v>
      </c>
      <c r="F202">
        <f t="shared" si="13"/>
        <v>594</v>
      </c>
    </row>
    <row r="203" spans="1:6" x14ac:dyDescent="0.25">
      <c r="A203" s="1">
        <v>45128</v>
      </c>
      <c r="B203">
        <f t="shared" si="12"/>
        <v>5</v>
      </c>
      <c r="C203" t="s">
        <v>10</v>
      </c>
      <c r="D203">
        <f t="shared" si="14"/>
        <v>594</v>
      </c>
      <c r="E203">
        <f t="shared" si="15"/>
        <v>0</v>
      </c>
      <c r="F203">
        <f t="shared" si="13"/>
        <v>594</v>
      </c>
    </row>
    <row r="204" spans="1:6" x14ac:dyDescent="0.25">
      <c r="A204" s="1">
        <v>45129</v>
      </c>
      <c r="B204">
        <f t="shared" si="12"/>
        <v>6</v>
      </c>
      <c r="C204" t="s">
        <v>10</v>
      </c>
      <c r="D204">
        <f t="shared" si="14"/>
        <v>0</v>
      </c>
      <c r="E204">
        <f t="shared" si="15"/>
        <v>0</v>
      </c>
      <c r="F204">
        <f t="shared" si="13"/>
        <v>0</v>
      </c>
    </row>
    <row r="205" spans="1:6" x14ac:dyDescent="0.25">
      <c r="A205" s="1">
        <v>45130</v>
      </c>
      <c r="B205">
        <f t="shared" si="12"/>
        <v>7</v>
      </c>
      <c r="C205" t="s">
        <v>10</v>
      </c>
      <c r="D205">
        <f t="shared" si="14"/>
        <v>0</v>
      </c>
      <c r="E205">
        <f t="shared" si="15"/>
        <v>150</v>
      </c>
      <c r="F205">
        <f t="shared" si="13"/>
        <v>-150</v>
      </c>
    </row>
    <row r="206" spans="1:6" x14ac:dyDescent="0.25">
      <c r="A206" s="1">
        <v>45131</v>
      </c>
      <c r="B206">
        <f t="shared" si="12"/>
        <v>1</v>
      </c>
      <c r="C206" t="s">
        <v>10</v>
      </c>
      <c r="D206">
        <f t="shared" si="14"/>
        <v>594</v>
      </c>
      <c r="E206">
        <f t="shared" si="15"/>
        <v>0</v>
      </c>
      <c r="F206">
        <f t="shared" si="13"/>
        <v>594</v>
      </c>
    </row>
    <row r="207" spans="1:6" x14ac:dyDescent="0.25">
      <c r="A207" s="1">
        <v>45132</v>
      </c>
      <c r="B207">
        <f t="shared" si="12"/>
        <v>2</v>
      </c>
      <c r="C207" t="s">
        <v>10</v>
      </c>
      <c r="D207">
        <f t="shared" si="14"/>
        <v>594</v>
      </c>
      <c r="E207">
        <f t="shared" si="15"/>
        <v>0</v>
      </c>
      <c r="F207">
        <f t="shared" si="13"/>
        <v>594</v>
      </c>
    </row>
    <row r="208" spans="1:6" x14ac:dyDescent="0.25">
      <c r="A208" s="1">
        <v>45133</v>
      </c>
      <c r="B208">
        <f t="shared" si="12"/>
        <v>3</v>
      </c>
      <c r="C208" t="s">
        <v>10</v>
      </c>
      <c r="D208">
        <f t="shared" si="14"/>
        <v>594</v>
      </c>
      <c r="E208">
        <f t="shared" si="15"/>
        <v>0</v>
      </c>
      <c r="F208">
        <f t="shared" si="13"/>
        <v>594</v>
      </c>
    </row>
    <row r="209" spans="1:6" x14ac:dyDescent="0.25">
      <c r="A209" s="1">
        <v>45134</v>
      </c>
      <c r="B209">
        <f t="shared" si="12"/>
        <v>4</v>
      </c>
      <c r="C209" t="s">
        <v>10</v>
      </c>
      <c r="D209">
        <f t="shared" si="14"/>
        <v>594</v>
      </c>
      <c r="E209">
        <f t="shared" si="15"/>
        <v>0</v>
      </c>
      <c r="F209">
        <f t="shared" si="13"/>
        <v>594</v>
      </c>
    </row>
    <row r="210" spans="1:6" x14ac:dyDescent="0.25">
      <c r="A210" s="1">
        <v>45135</v>
      </c>
      <c r="B210">
        <f t="shared" si="12"/>
        <v>5</v>
      </c>
      <c r="C210" t="s">
        <v>10</v>
      </c>
      <c r="D210">
        <f t="shared" si="14"/>
        <v>594</v>
      </c>
      <c r="E210">
        <f t="shared" si="15"/>
        <v>0</v>
      </c>
      <c r="F210">
        <f t="shared" si="13"/>
        <v>594</v>
      </c>
    </row>
    <row r="211" spans="1:6" x14ac:dyDescent="0.25">
      <c r="A211" s="1">
        <v>45136</v>
      </c>
      <c r="B211">
        <f t="shared" si="12"/>
        <v>6</v>
      </c>
      <c r="C211" t="s">
        <v>10</v>
      </c>
      <c r="D211">
        <f t="shared" si="14"/>
        <v>0</v>
      </c>
      <c r="E211">
        <f t="shared" si="15"/>
        <v>0</v>
      </c>
      <c r="F211">
        <f t="shared" si="13"/>
        <v>0</v>
      </c>
    </row>
    <row r="212" spans="1:6" x14ac:dyDescent="0.25">
      <c r="A212" s="1">
        <v>45137</v>
      </c>
      <c r="B212">
        <f t="shared" si="12"/>
        <v>7</v>
      </c>
      <c r="C212" t="s">
        <v>10</v>
      </c>
      <c r="D212">
        <f t="shared" si="14"/>
        <v>0</v>
      </c>
      <c r="E212">
        <f t="shared" si="15"/>
        <v>150</v>
      </c>
      <c r="F212">
        <f t="shared" si="13"/>
        <v>-150</v>
      </c>
    </row>
    <row r="213" spans="1:6" x14ac:dyDescent="0.25">
      <c r="A213" s="1">
        <v>45138</v>
      </c>
      <c r="B213">
        <f t="shared" si="12"/>
        <v>1</v>
      </c>
      <c r="C213" t="s">
        <v>10</v>
      </c>
      <c r="D213">
        <f t="shared" si="14"/>
        <v>594</v>
      </c>
      <c r="E213">
        <f t="shared" si="15"/>
        <v>0</v>
      </c>
      <c r="F213">
        <f t="shared" si="13"/>
        <v>594</v>
      </c>
    </row>
    <row r="214" spans="1:6" x14ac:dyDescent="0.25">
      <c r="A214" s="1">
        <v>45139</v>
      </c>
      <c r="B214">
        <f t="shared" si="12"/>
        <v>2</v>
      </c>
      <c r="C214" t="s">
        <v>10</v>
      </c>
      <c r="D214">
        <f t="shared" si="14"/>
        <v>594</v>
      </c>
      <c r="E214">
        <f t="shared" si="15"/>
        <v>0</v>
      </c>
      <c r="F214">
        <f t="shared" si="13"/>
        <v>594</v>
      </c>
    </row>
    <row r="215" spans="1:6" x14ac:dyDescent="0.25">
      <c r="A215" s="1">
        <v>45140</v>
      </c>
      <c r="B215">
        <f t="shared" si="12"/>
        <v>3</v>
      </c>
      <c r="C215" t="s">
        <v>10</v>
      </c>
      <c r="D215">
        <f t="shared" si="14"/>
        <v>594</v>
      </c>
      <c r="E215">
        <f t="shared" si="15"/>
        <v>0</v>
      </c>
      <c r="F215">
        <f t="shared" si="13"/>
        <v>594</v>
      </c>
    </row>
    <row r="216" spans="1:6" x14ac:dyDescent="0.25">
      <c r="A216" s="1">
        <v>45141</v>
      </c>
      <c r="B216">
        <f t="shared" si="12"/>
        <v>4</v>
      </c>
      <c r="C216" t="s">
        <v>10</v>
      </c>
      <c r="D216">
        <f t="shared" si="14"/>
        <v>594</v>
      </c>
      <c r="E216">
        <f t="shared" si="15"/>
        <v>0</v>
      </c>
      <c r="F216">
        <f t="shared" si="13"/>
        <v>594</v>
      </c>
    </row>
    <row r="217" spans="1:6" x14ac:dyDescent="0.25">
      <c r="A217" s="1">
        <v>45142</v>
      </c>
      <c r="B217">
        <f t="shared" si="12"/>
        <v>5</v>
      </c>
      <c r="C217" t="s">
        <v>10</v>
      </c>
      <c r="D217">
        <f t="shared" si="14"/>
        <v>594</v>
      </c>
      <c r="E217">
        <f t="shared" si="15"/>
        <v>0</v>
      </c>
      <c r="F217">
        <f t="shared" si="13"/>
        <v>594</v>
      </c>
    </row>
    <row r="218" spans="1:6" x14ac:dyDescent="0.25">
      <c r="A218" s="1">
        <v>45143</v>
      </c>
      <c r="B218">
        <f t="shared" si="12"/>
        <v>6</v>
      </c>
      <c r="C218" t="s">
        <v>10</v>
      </c>
      <c r="D218">
        <f t="shared" si="14"/>
        <v>0</v>
      </c>
      <c r="E218">
        <f t="shared" si="15"/>
        <v>0</v>
      </c>
      <c r="F218">
        <f t="shared" si="13"/>
        <v>0</v>
      </c>
    </row>
    <row r="219" spans="1:6" x14ac:dyDescent="0.25">
      <c r="A219" s="1">
        <v>45144</v>
      </c>
      <c r="B219">
        <f t="shared" si="12"/>
        <v>7</v>
      </c>
      <c r="C219" t="s">
        <v>10</v>
      </c>
      <c r="D219">
        <f t="shared" si="14"/>
        <v>0</v>
      </c>
      <c r="E219">
        <f t="shared" si="15"/>
        <v>150</v>
      </c>
      <c r="F219">
        <f t="shared" si="13"/>
        <v>-150</v>
      </c>
    </row>
    <row r="220" spans="1:6" x14ac:dyDescent="0.25">
      <c r="A220" s="1">
        <v>45145</v>
      </c>
      <c r="B220">
        <f t="shared" si="12"/>
        <v>1</v>
      </c>
      <c r="C220" t="s">
        <v>10</v>
      </c>
      <c r="D220">
        <f t="shared" si="14"/>
        <v>594</v>
      </c>
      <c r="E220">
        <f t="shared" si="15"/>
        <v>0</v>
      </c>
      <c r="F220">
        <f t="shared" si="13"/>
        <v>594</v>
      </c>
    </row>
    <row r="221" spans="1:6" x14ac:dyDescent="0.25">
      <c r="A221" s="1">
        <v>45146</v>
      </c>
      <c r="B221">
        <f t="shared" si="12"/>
        <v>2</v>
      </c>
      <c r="C221" t="s">
        <v>10</v>
      </c>
      <c r="D221">
        <f t="shared" si="14"/>
        <v>594</v>
      </c>
      <c r="E221">
        <f t="shared" si="15"/>
        <v>0</v>
      </c>
      <c r="F221">
        <f t="shared" si="13"/>
        <v>594</v>
      </c>
    </row>
    <row r="222" spans="1:6" x14ac:dyDescent="0.25">
      <c r="A222" s="1">
        <v>45147</v>
      </c>
      <c r="B222">
        <f t="shared" si="12"/>
        <v>3</v>
      </c>
      <c r="C222" t="s">
        <v>10</v>
      </c>
      <c r="D222">
        <f t="shared" si="14"/>
        <v>594</v>
      </c>
      <c r="E222">
        <f t="shared" si="15"/>
        <v>0</v>
      </c>
      <c r="F222">
        <f t="shared" si="13"/>
        <v>594</v>
      </c>
    </row>
    <row r="223" spans="1:6" x14ac:dyDescent="0.25">
      <c r="A223" s="1">
        <v>45148</v>
      </c>
      <c r="B223">
        <f t="shared" si="12"/>
        <v>4</v>
      </c>
      <c r="C223" t="s">
        <v>10</v>
      </c>
      <c r="D223">
        <f t="shared" si="14"/>
        <v>594</v>
      </c>
      <c r="E223">
        <f t="shared" si="15"/>
        <v>0</v>
      </c>
      <c r="F223">
        <f t="shared" si="13"/>
        <v>594</v>
      </c>
    </row>
    <row r="224" spans="1:6" x14ac:dyDescent="0.25">
      <c r="A224" s="1">
        <v>45149</v>
      </c>
      <c r="B224">
        <f t="shared" si="12"/>
        <v>5</v>
      </c>
      <c r="C224" t="s">
        <v>10</v>
      </c>
      <c r="D224">
        <f t="shared" si="14"/>
        <v>594</v>
      </c>
      <c r="E224">
        <f t="shared" si="15"/>
        <v>0</v>
      </c>
      <c r="F224">
        <f t="shared" si="13"/>
        <v>594</v>
      </c>
    </row>
    <row r="225" spans="1:6" x14ac:dyDescent="0.25">
      <c r="A225" s="1">
        <v>45150</v>
      </c>
      <c r="B225">
        <f t="shared" si="12"/>
        <v>6</v>
      </c>
      <c r="C225" t="s">
        <v>10</v>
      </c>
      <c r="D225">
        <f t="shared" si="14"/>
        <v>0</v>
      </c>
      <c r="E225">
        <f t="shared" si="15"/>
        <v>0</v>
      </c>
      <c r="F225">
        <f t="shared" si="13"/>
        <v>0</v>
      </c>
    </row>
    <row r="226" spans="1:6" x14ac:dyDescent="0.25">
      <c r="A226" s="1">
        <v>45151</v>
      </c>
      <c r="B226">
        <f t="shared" si="12"/>
        <v>7</v>
      </c>
      <c r="C226" t="s">
        <v>10</v>
      </c>
      <c r="D226">
        <f t="shared" si="14"/>
        <v>0</v>
      </c>
      <c r="E226">
        <f t="shared" si="15"/>
        <v>150</v>
      </c>
      <c r="F226">
        <f t="shared" si="13"/>
        <v>-150</v>
      </c>
    </row>
    <row r="227" spans="1:6" x14ac:dyDescent="0.25">
      <c r="A227" s="1">
        <v>45152</v>
      </c>
      <c r="B227">
        <f t="shared" si="12"/>
        <v>1</v>
      </c>
      <c r="C227" t="s">
        <v>10</v>
      </c>
      <c r="D227">
        <f t="shared" si="14"/>
        <v>594</v>
      </c>
      <c r="E227">
        <f t="shared" si="15"/>
        <v>0</v>
      </c>
      <c r="F227">
        <f t="shared" si="13"/>
        <v>594</v>
      </c>
    </row>
    <row r="228" spans="1:6" x14ac:dyDescent="0.25">
      <c r="A228" s="1">
        <v>45153</v>
      </c>
      <c r="B228">
        <f t="shared" si="12"/>
        <v>2</v>
      </c>
      <c r="C228" t="s">
        <v>10</v>
      </c>
      <c r="D228">
        <f t="shared" si="14"/>
        <v>594</v>
      </c>
      <c r="E228">
        <f t="shared" si="15"/>
        <v>0</v>
      </c>
      <c r="F228">
        <f t="shared" si="13"/>
        <v>594</v>
      </c>
    </row>
    <row r="229" spans="1:6" x14ac:dyDescent="0.25">
      <c r="A229" s="1">
        <v>45154</v>
      </c>
      <c r="B229">
        <f t="shared" si="12"/>
        <v>3</v>
      </c>
      <c r="C229" t="s">
        <v>10</v>
      </c>
      <c r="D229">
        <f t="shared" si="14"/>
        <v>594</v>
      </c>
      <c r="E229">
        <f t="shared" si="15"/>
        <v>0</v>
      </c>
      <c r="F229">
        <f t="shared" si="13"/>
        <v>594</v>
      </c>
    </row>
    <row r="230" spans="1:6" x14ac:dyDescent="0.25">
      <c r="A230" s="1">
        <v>45155</v>
      </c>
      <c r="B230">
        <f t="shared" si="12"/>
        <v>4</v>
      </c>
      <c r="C230" t="s">
        <v>10</v>
      </c>
      <c r="D230">
        <f t="shared" si="14"/>
        <v>594</v>
      </c>
      <c r="E230">
        <f t="shared" si="15"/>
        <v>0</v>
      </c>
      <c r="F230">
        <f t="shared" si="13"/>
        <v>594</v>
      </c>
    </row>
    <row r="231" spans="1:6" x14ac:dyDescent="0.25">
      <c r="A231" s="1">
        <v>45156</v>
      </c>
      <c r="B231">
        <f t="shared" si="12"/>
        <v>5</v>
      </c>
      <c r="C231" t="s">
        <v>10</v>
      </c>
      <c r="D231">
        <f t="shared" si="14"/>
        <v>594</v>
      </c>
      <c r="E231">
        <f t="shared" si="15"/>
        <v>0</v>
      </c>
      <c r="F231">
        <f t="shared" si="13"/>
        <v>594</v>
      </c>
    </row>
    <row r="232" spans="1:6" x14ac:dyDescent="0.25">
      <c r="A232" s="1">
        <v>45157</v>
      </c>
      <c r="B232">
        <f t="shared" si="12"/>
        <v>6</v>
      </c>
      <c r="C232" t="s">
        <v>10</v>
      </c>
      <c r="D232">
        <f t="shared" si="14"/>
        <v>0</v>
      </c>
      <c r="E232">
        <f t="shared" si="15"/>
        <v>0</v>
      </c>
      <c r="F232">
        <f t="shared" si="13"/>
        <v>0</v>
      </c>
    </row>
    <row r="233" spans="1:6" x14ac:dyDescent="0.25">
      <c r="A233" s="1">
        <v>45158</v>
      </c>
      <c r="B233">
        <f t="shared" si="12"/>
        <v>7</v>
      </c>
      <c r="C233" t="s">
        <v>10</v>
      </c>
      <c r="D233">
        <f t="shared" si="14"/>
        <v>0</v>
      </c>
      <c r="E233">
        <f t="shared" si="15"/>
        <v>150</v>
      </c>
      <c r="F233">
        <f t="shared" si="13"/>
        <v>-150</v>
      </c>
    </row>
    <row r="234" spans="1:6" x14ac:dyDescent="0.25">
      <c r="A234" s="1">
        <v>45159</v>
      </c>
      <c r="B234">
        <f t="shared" si="12"/>
        <v>1</v>
      </c>
      <c r="C234" t="s">
        <v>10</v>
      </c>
      <c r="D234">
        <f t="shared" si="14"/>
        <v>594</v>
      </c>
      <c r="E234">
        <f t="shared" si="15"/>
        <v>0</v>
      </c>
      <c r="F234">
        <f t="shared" si="13"/>
        <v>594</v>
      </c>
    </row>
    <row r="235" spans="1:6" x14ac:dyDescent="0.25">
      <c r="A235" s="1">
        <v>45160</v>
      </c>
      <c r="B235">
        <f t="shared" si="12"/>
        <v>2</v>
      </c>
      <c r="C235" t="s">
        <v>10</v>
      </c>
      <c r="D235">
        <f t="shared" si="14"/>
        <v>594</v>
      </c>
      <c r="E235">
        <f t="shared" si="15"/>
        <v>0</v>
      </c>
      <c r="F235">
        <f t="shared" si="13"/>
        <v>594</v>
      </c>
    </row>
    <row r="236" spans="1:6" x14ac:dyDescent="0.25">
      <c r="A236" s="1">
        <v>45161</v>
      </c>
      <c r="B236">
        <f t="shared" si="12"/>
        <v>3</v>
      </c>
      <c r="C236" t="s">
        <v>10</v>
      </c>
      <c r="D236">
        <f t="shared" si="14"/>
        <v>594</v>
      </c>
      <c r="E236">
        <f t="shared" si="15"/>
        <v>0</v>
      </c>
      <c r="F236">
        <f t="shared" si="13"/>
        <v>594</v>
      </c>
    </row>
    <row r="237" spans="1:6" x14ac:dyDescent="0.25">
      <c r="A237" s="1">
        <v>45162</v>
      </c>
      <c r="B237">
        <f t="shared" si="12"/>
        <v>4</v>
      </c>
      <c r="C237" t="s">
        <v>10</v>
      </c>
      <c r="D237">
        <f t="shared" si="14"/>
        <v>594</v>
      </c>
      <c r="E237">
        <f t="shared" si="15"/>
        <v>0</v>
      </c>
      <c r="F237">
        <f t="shared" si="13"/>
        <v>594</v>
      </c>
    </row>
    <row r="238" spans="1:6" x14ac:dyDescent="0.25">
      <c r="A238" s="1">
        <v>45163</v>
      </c>
      <c r="B238">
        <f t="shared" si="12"/>
        <v>5</v>
      </c>
      <c r="C238" t="s">
        <v>10</v>
      </c>
      <c r="D238">
        <f t="shared" si="14"/>
        <v>594</v>
      </c>
      <c r="E238">
        <f t="shared" si="15"/>
        <v>0</v>
      </c>
      <c r="F238">
        <f t="shared" si="13"/>
        <v>594</v>
      </c>
    </row>
    <row r="239" spans="1:6" x14ac:dyDescent="0.25">
      <c r="A239" s="1">
        <v>45164</v>
      </c>
      <c r="B239">
        <f t="shared" si="12"/>
        <v>6</v>
      </c>
      <c r="C239" t="s">
        <v>10</v>
      </c>
      <c r="D239">
        <f t="shared" si="14"/>
        <v>0</v>
      </c>
      <c r="E239">
        <f t="shared" si="15"/>
        <v>0</v>
      </c>
      <c r="F239">
        <f t="shared" si="13"/>
        <v>0</v>
      </c>
    </row>
    <row r="240" spans="1:6" x14ac:dyDescent="0.25">
      <c r="A240" s="1">
        <v>45165</v>
      </c>
      <c r="B240">
        <f t="shared" si="12"/>
        <v>7</v>
      </c>
      <c r="C240" t="s">
        <v>10</v>
      </c>
      <c r="D240">
        <f t="shared" si="14"/>
        <v>0</v>
      </c>
      <c r="E240">
        <f t="shared" si="15"/>
        <v>150</v>
      </c>
      <c r="F240">
        <f t="shared" si="13"/>
        <v>-150</v>
      </c>
    </row>
    <row r="241" spans="1:6" x14ac:dyDescent="0.25">
      <c r="A241" s="1">
        <v>45166</v>
      </c>
      <c r="B241">
        <f t="shared" si="12"/>
        <v>1</v>
      </c>
      <c r="C241" t="s">
        <v>10</v>
      </c>
      <c r="D241">
        <f t="shared" si="14"/>
        <v>594</v>
      </c>
      <c r="E241">
        <f t="shared" si="15"/>
        <v>0</v>
      </c>
      <c r="F241">
        <f t="shared" si="13"/>
        <v>594</v>
      </c>
    </row>
    <row r="242" spans="1:6" x14ac:dyDescent="0.25">
      <c r="A242" s="1">
        <v>45167</v>
      </c>
      <c r="B242">
        <f t="shared" si="12"/>
        <v>2</v>
      </c>
      <c r="C242" t="s">
        <v>10</v>
      </c>
      <c r="D242">
        <f t="shared" si="14"/>
        <v>594</v>
      </c>
      <c r="E242">
        <f t="shared" si="15"/>
        <v>0</v>
      </c>
      <c r="F242">
        <f t="shared" si="13"/>
        <v>594</v>
      </c>
    </row>
    <row r="243" spans="1:6" x14ac:dyDescent="0.25">
      <c r="A243" s="1">
        <v>45168</v>
      </c>
      <c r="B243">
        <f t="shared" si="12"/>
        <v>3</v>
      </c>
      <c r="C243" t="s">
        <v>10</v>
      </c>
      <c r="D243">
        <f t="shared" si="14"/>
        <v>594</v>
      </c>
      <c r="E243">
        <f t="shared" si="15"/>
        <v>0</v>
      </c>
      <c r="F243">
        <f t="shared" si="13"/>
        <v>594</v>
      </c>
    </row>
    <row r="244" spans="1:6" x14ac:dyDescent="0.25">
      <c r="A244" s="1">
        <v>45169</v>
      </c>
      <c r="B244">
        <f t="shared" si="12"/>
        <v>4</v>
      </c>
      <c r="C244" t="s">
        <v>10</v>
      </c>
      <c r="D244">
        <f t="shared" si="14"/>
        <v>594</v>
      </c>
      <c r="E244">
        <f t="shared" si="15"/>
        <v>0</v>
      </c>
      <c r="F244">
        <f t="shared" si="13"/>
        <v>594</v>
      </c>
    </row>
    <row r="245" spans="1:6" x14ac:dyDescent="0.25">
      <c r="A245" s="1">
        <v>45170</v>
      </c>
      <c r="B245">
        <f t="shared" si="12"/>
        <v>5</v>
      </c>
      <c r="C245" t="s">
        <v>10</v>
      </c>
      <c r="D245">
        <f t="shared" si="14"/>
        <v>594</v>
      </c>
      <c r="E245">
        <f t="shared" si="15"/>
        <v>0</v>
      </c>
      <c r="F245">
        <f t="shared" si="13"/>
        <v>594</v>
      </c>
    </row>
    <row r="246" spans="1:6" x14ac:dyDescent="0.25">
      <c r="A246" s="1">
        <v>45171</v>
      </c>
      <c r="B246">
        <f t="shared" si="12"/>
        <v>6</v>
      </c>
      <c r="C246" t="s">
        <v>10</v>
      </c>
      <c r="D246">
        <f t="shared" si="14"/>
        <v>0</v>
      </c>
      <c r="E246">
        <f t="shared" si="15"/>
        <v>0</v>
      </c>
      <c r="F246">
        <f t="shared" si="13"/>
        <v>0</v>
      </c>
    </row>
    <row r="247" spans="1:6" x14ac:dyDescent="0.25">
      <c r="A247" s="1">
        <v>45172</v>
      </c>
      <c r="B247">
        <f t="shared" si="12"/>
        <v>7</v>
      </c>
      <c r="C247" t="s">
        <v>10</v>
      </c>
      <c r="D247">
        <f t="shared" si="14"/>
        <v>0</v>
      </c>
      <c r="E247">
        <f t="shared" si="15"/>
        <v>150</v>
      </c>
      <c r="F247">
        <f t="shared" si="13"/>
        <v>-150</v>
      </c>
    </row>
    <row r="248" spans="1:6" x14ac:dyDescent="0.25">
      <c r="A248" s="1">
        <v>45173</v>
      </c>
      <c r="B248">
        <f t="shared" si="12"/>
        <v>1</v>
      </c>
      <c r="C248" t="s">
        <v>10</v>
      </c>
      <c r="D248">
        <f t="shared" si="14"/>
        <v>594</v>
      </c>
      <c r="E248">
        <f t="shared" si="15"/>
        <v>0</v>
      </c>
      <c r="F248">
        <f t="shared" si="13"/>
        <v>594</v>
      </c>
    </row>
    <row r="249" spans="1:6" x14ac:dyDescent="0.25">
      <c r="A249" s="1">
        <v>45174</v>
      </c>
      <c r="B249">
        <f t="shared" si="12"/>
        <v>2</v>
      </c>
      <c r="C249" t="s">
        <v>10</v>
      </c>
      <c r="D249">
        <f t="shared" si="14"/>
        <v>594</v>
      </c>
      <c r="E249">
        <f t="shared" si="15"/>
        <v>0</v>
      </c>
      <c r="F249">
        <f t="shared" si="13"/>
        <v>594</v>
      </c>
    </row>
    <row r="250" spans="1:6" x14ac:dyDescent="0.25">
      <c r="A250" s="1">
        <v>45175</v>
      </c>
      <c r="B250">
        <f t="shared" si="12"/>
        <v>3</v>
      </c>
      <c r="C250" t="s">
        <v>10</v>
      </c>
      <c r="D250">
        <f t="shared" si="14"/>
        <v>594</v>
      </c>
      <c r="E250">
        <f t="shared" si="15"/>
        <v>0</v>
      </c>
      <c r="F250">
        <f t="shared" si="13"/>
        <v>594</v>
      </c>
    </row>
    <row r="251" spans="1:6" x14ac:dyDescent="0.25">
      <c r="A251" s="1">
        <v>45176</v>
      </c>
      <c r="B251">
        <f t="shared" si="12"/>
        <v>4</v>
      </c>
      <c r="C251" t="s">
        <v>10</v>
      </c>
      <c r="D251">
        <f t="shared" si="14"/>
        <v>594</v>
      </c>
      <c r="E251">
        <f t="shared" si="15"/>
        <v>0</v>
      </c>
      <c r="F251">
        <f t="shared" si="13"/>
        <v>594</v>
      </c>
    </row>
    <row r="252" spans="1:6" x14ac:dyDescent="0.25">
      <c r="A252" s="1">
        <v>45177</v>
      </c>
      <c r="B252">
        <f t="shared" si="12"/>
        <v>5</v>
      </c>
      <c r="C252" t="s">
        <v>10</v>
      </c>
      <c r="D252">
        <f t="shared" si="14"/>
        <v>594</v>
      </c>
      <c r="E252">
        <f t="shared" si="15"/>
        <v>0</v>
      </c>
      <c r="F252">
        <f t="shared" si="13"/>
        <v>594</v>
      </c>
    </row>
    <row r="253" spans="1:6" x14ac:dyDescent="0.25">
      <c r="A253" s="1">
        <v>45178</v>
      </c>
      <c r="B253">
        <f t="shared" si="12"/>
        <v>6</v>
      </c>
      <c r="C253" t="s">
        <v>10</v>
      </c>
      <c r="D253">
        <f t="shared" si="14"/>
        <v>0</v>
      </c>
      <c r="E253">
        <f t="shared" si="15"/>
        <v>0</v>
      </c>
      <c r="F253">
        <f t="shared" si="13"/>
        <v>0</v>
      </c>
    </row>
    <row r="254" spans="1:6" x14ac:dyDescent="0.25">
      <c r="A254" s="1">
        <v>45179</v>
      </c>
      <c r="B254">
        <f t="shared" si="12"/>
        <v>7</v>
      </c>
      <c r="C254" t="s">
        <v>10</v>
      </c>
      <c r="D254">
        <f t="shared" si="14"/>
        <v>0</v>
      </c>
      <c r="E254">
        <f t="shared" si="15"/>
        <v>150</v>
      </c>
      <c r="F254">
        <f t="shared" si="13"/>
        <v>-150</v>
      </c>
    </row>
    <row r="255" spans="1:6" x14ac:dyDescent="0.25">
      <c r="A255" s="1">
        <v>45180</v>
      </c>
      <c r="B255">
        <f t="shared" si="12"/>
        <v>1</v>
      </c>
      <c r="C255" t="s">
        <v>10</v>
      </c>
      <c r="D255">
        <f t="shared" si="14"/>
        <v>594</v>
      </c>
      <c r="E255">
        <f t="shared" si="15"/>
        <v>0</v>
      </c>
      <c r="F255">
        <f t="shared" si="13"/>
        <v>594</v>
      </c>
    </row>
    <row r="256" spans="1:6" x14ac:dyDescent="0.25">
      <c r="A256" s="1">
        <v>45181</v>
      </c>
      <c r="B256">
        <f t="shared" si="12"/>
        <v>2</v>
      </c>
      <c r="C256" t="s">
        <v>10</v>
      </c>
      <c r="D256">
        <f t="shared" si="14"/>
        <v>594</v>
      </c>
      <c r="E256">
        <f t="shared" si="15"/>
        <v>0</v>
      </c>
      <c r="F256">
        <f t="shared" si="13"/>
        <v>594</v>
      </c>
    </row>
    <row r="257" spans="1:6" x14ac:dyDescent="0.25">
      <c r="A257" s="1">
        <v>45182</v>
      </c>
      <c r="B257">
        <f t="shared" si="12"/>
        <v>3</v>
      </c>
      <c r="C257" t="s">
        <v>10</v>
      </c>
      <c r="D257">
        <f t="shared" si="14"/>
        <v>594</v>
      </c>
      <c r="E257">
        <f t="shared" si="15"/>
        <v>0</v>
      </c>
      <c r="F257">
        <f t="shared" si="13"/>
        <v>594</v>
      </c>
    </row>
    <row r="258" spans="1:6" x14ac:dyDescent="0.25">
      <c r="A258" s="1">
        <v>45183</v>
      </c>
      <c r="B258">
        <f t="shared" si="12"/>
        <v>4</v>
      </c>
      <c r="C258" t="s">
        <v>10</v>
      </c>
      <c r="D258">
        <f t="shared" si="14"/>
        <v>594</v>
      </c>
      <c r="E258">
        <f t="shared" si="15"/>
        <v>0</v>
      </c>
      <c r="F258">
        <f t="shared" si="13"/>
        <v>594</v>
      </c>
    </row>
    <row r="259" spans="1:6" x14ac:dyDescent="0.25">
      <c r="A259" s="1">
        <v>45184</v>
      </c>
      <c r="B259">
        <f t="shared" ref="B259:B322" si="16">WEEKDAY(A259,2)</f>
        <v>5</v>
      </c>
      <c r="C259" t="s">
        <v>10</v>
      </c>
      <c r="D259">
        <f t="shared" si="14"/>
        <v>594</v>
      </c>
      <c r="E259">
        <f t="shared" si="15"/>
        <v>0</v>
      </c>
      <c r="F259">
        <f t="shared" ref="F259:F322" si="17">D259-E259</f>
        <v>594</v>
      </c>
    </row>
    <row r="260" spans="1:6" x14ac:dyDescent="0.25">
      <c r="A260" s="1">
        <v>45185</v>
      </c>
      <c r="B260">
        <f t="shared" si="16"/>
        <v>6</v>
      </c>
      <c r="C260" t="s">
        <v>10</v>
      </c>
      <c r="D260">
        <f t="shared" ref="D260:D323" si="18">IF(B260&lt;6,$Q$1*VLOOKUP(C260,$S$1:$T$5,2,FALSE)*$Q$3,0)</f>
        <v>0</v>
      </c>
      <c r="E260">
        <f t="shared" ref="E260:E323" si="19">IF(B260=7,$Q$4*$Q$1,0)</f>
        <v>0</v>
      </c>
      <c r="F260">
        <f t="shared" si="17"/>
        <v>0</v>
      </c>
    </row>
    <row r="261" spans="1:6" x14ac:dyDescent="0.25">
      <c r="A261" s="1">
        <v>45186</v>
      </c>
      <c r="B261">
        <f t="shared" si="16"/>
        <v>7</v>
      </c>
      <c r="C261" t="s">
        <v>10</v>
      </c>
      <c r="D261">
        <f t="shared" si="18"/>
        <v>0</v>
      </c>
      <c r="E261">
        <f t="shared" si="19"/>
        <v>150</v>
      </c>
      <c r="F261">
        <f t="shared" si="17"/>
        <v>-150</v>
      </c>
    </row>
    <row r="262" spans="1:6" x14ac:dyDescent="0.25">
      <c r="A262" s="1">
        <v>45187</v>
      </c>
      <c r="B262">
        <f t="shared" si="16"/>
        <v>1</v>
      </c>
      <c r="C262" t="s">
        <v>10</v>
      </c>
      <c r="D262">
        <f t="shared" si="18"/>
        <v>594</v>
      </c>
      <c r="E262">
        <f t="shared" si="19"/>
        <v>0</v>
      </c>
      <c r="F262">
        <f t="shared" si="17"/>
        <v>594</v>
      </c>
    </row>
    <row r="263" spans="1:6" x14ac:dyDescent="0.25">
      <c r="A263" s="1">
        <v>45188</v>
      </c>
      <c r="B263">
        <f t="shared" si="16"/>
        <v>2</v>
      </c>
      <c r="C263" t="s">
        <v>10</v>
      </c>
      <c r="D263">
        <f t="shared" si="18"/>
        <v>594</v>
      </c>
      <c r="E263">
        <f t="shared" si="19"/>
        <v>0</v>
      </c>
      <c r="F263">
        <f t="shared" si="17"/>
        <v>594</v>
      </c>
    </row>
    <row r="264" spans="1:6" x14ac:dyDescent="0.25">
      <c r="A264" s="1">
        <v>45189</v>
      </c>
      <c r="B264">
        <f t="shared" si="16"/>
        <v>3</v>
      </c>
      <c r="C264" t="s">
        <v>10</v>
      </c>
      <c r="D264">
        <f t="shared" si="18"/>
        <v>594</v>
      </c>
      <c r="E264">
        <f t="shared" si="19"/>
        <v>0</v>
      </c>
      <c r="F264">
        <f t="shared" si="17"/>
        <v>594</v>
      </c>
    </row>
    <row r="265" spans="1:6" x14ac:dyDescent="0.25">
      <c r="A265" s="1">
        <v>45190</v>
      </c>
      <c r="B265">
        <f t="shared" si="16"/>
        <v>4</v>
      </c>
      <c r="C265" t="s">
        <v>10</v>
      </c>
      <c r="D265">
        <f t="shared" si="18"/>
        <v>594</v>
      </c>
      <c r="E265">
        <f t="shared" si="19"/>
        <v>0</v>
      </c>
      <c r="F265">
        <f t="shared" si="17"/>
        <v>594</v>
      </c>
    </row>
    <row r="266" spans="1:6" x14ac:dyDescent="0.25">
      <c r="A266" s="1">
        <v>45191</v>
      </c>
      <c r="B266">
        <f t="shared" si="16"/>
        <v>5</v>
      </c>
      <c r="C266" t="s">
        <v>10</v>
      </c>
      <c r="D266">
        <f t="shared" si="18"/>
        <v>594</v>
      </c>
      <c r="E266">
        <f t="shared" si="19"/>
        <v>0</v>
      </c>
      <c r="F266">
        <f t="shared" si="17"/>
        <v>594</v>
      </c>
    </row>
    <row r="267" spans="1:6" x14ac:dyDescent="0.25">
      <c r="A267" s="1">
        <v>45192</v>
      </c>
      <c r="B267">
        <f t="shared" si="16"/>
        <v>6</v>
      </c>
      <c r="C267" t="s">
        <v>11</v>
      </c>
      <c r="D267">
        <f t="shared" si="18"/>
        <v>0</v>
      </c>
      <c r="E267">
        <f t="shared" si="19"/>
        <v>0</v>
      </c>
      <c r="F267">
        <f t="shared" si="17"/>
        <v>0</v>
      </c>
    </row>
    <row r="268" spans="1:6" x14ac:dyDescent="0.25">
      <c r="A268" s="1">
        <v>45193</v>
      </c>
      <c r="B268">
        <f t="shared" si="16"/>
        <v>7</v>
      </c>
      <c r="C268" t="s">
        <v>11</v>
      </c>
      <c r="D268">
        <f t="shared" si="18"/>
        <v>0</v>
      </c>
      <c r="E268">
        <f t="shared" si="19"/>
        <v>150</v>
      </c>
      <c r="F268">
        <f t="shared" si="17"/>
        <v>-150</v>
      </c>
    </row>
    <row r="269" spans="1:6" x14ac:dyDescent="0.25">
      <c r="A269" s="1">
        <v>45194</v>
      </c>
      <c r="B269">
        <f t="shared" si="16"/>
        <v>1</v>
      </c>
      <c r="C269" t="s">
        <v>11</v>
      </c>
      <c r="D269">
        <f t="shared" si="18"/>
        <v>264</v>
      </c>
      <c r="E269">
        <f t="shared" si="19"/>
        <v>0</v>
      </c>
      <c r="F269">
        <f t="shared" si="17"/>
        <v>264</v>
      </c>
    </row>
    <row r="270" spans="1:6" x14ac:dyDescent="0.25">
      <c r="A270" s="1">
        <v>45195</v>
      </c>
      <c r="B270">
        <f t="shared" si="16"/>
        <v>2</v>
      </c>
      <c r="C270" t="s">
        <v>11</v>
      </c>
      <c r="D270">
        <f t="shared" si="18"/>
        <v>264</v>
      </c>
      <c r="E270">
        <f t="shared" si="19"/>
        <v>0</v>
      </c>
      <c r="F270">
        <f t="shared" si="17"/>
        <v>264</v>
      </c>
    </row>
    <row r="271" spans="1:6" x14ac:dyDescent="0.25">
      <c r="A271" s="1">
        <v>45196</v>
      </c>
      <c r="B271">
        <f t="shared" si="16"/>
        <v>3</v>
      </c>
      <c r="C271" t="s">
        <v>11</v>
      </c>
      <c r="D271">
        <f t="shared" si="18"/>
        <v>264</v>
      </c>
      <c r="E271">
        <f t="shared" si="19"/>
        <v>0</v>
      </c>
      <c r="F271">
        <f t="shared" si="17"/>
        <v>264</v>
      </c>
    </row>
    <row r="272" spans="1:6" x14ac:dyDescent="0.25">
      <c r="A272" s="1">
        <v>45197</v>
      </c>
      <c r="B272">
        <f t="shared" si="16"/>
        <v>4</v>
      </c>
      <c r="C272" t="s">
        <v>11</v>
      </c>
      <c r="D272">
        <f t="shared" si="18"/>
        <v>264</v>
      </c>
      <c r="E272">
        <f t="shared" si="19"/>
        <v>0</v>
      </c>
      <c r="F272">
        <f t="shared" si="17"/>
        <v>264</v>
      </c>
    </row>
    <row r="273" spans="1:6" x14ac:dyDescent="0.25">
      <c r="A273" s="1">
        <v>45198</v>
      </c>
      <c r="B273">
        <f t="shared" si="16"/>
        <v>5</v>
      </c>
      <c r="C273" t="s">
        <v>11</v>
      </c>
      <c r="D273">
        <f t="shared" si="18"/>
        <v>264</v>
      </c>
      <c r="E273">
        <f t="shared" si="19"/>
        <v>0</v>
      </c>
      <c r="F273">
        <f t="shared" si="17"/>
        <v>264</v>
      </c>
    </row>
    <row r="274" spans="1:6" x14ac:dyDescent="0.25">
      <c r="A274" s="1">
        <v>45199</v>
      </c>
      <c r="B274">
        <f t="shared" si="16"/>
        <v>6</v>
      </c>
      <c r="C274" t="s">
        <v>11</v>
      </c>
      <c r="D274">
        <f t="shared" si="18"/>
        <v>0</v>
      </c>
      <c r="E274">
        <f t="shared" si="19"/>
        <v>0</v>
      </c>
      <c r="F274">
        <f t="shared" si="17"/>
        <v>0</v>
      </c>
    </row>
    <row r="275" spans="1:6" x14ac:dyDescent="0.25">
      <c r="A275" s="1">
        <v>45200</v>
      </c>
      <c r="B275">
        <f t="shared" si="16"/>
        <v>7</v>
      </c>
      <c r="C275" t="s">
        <v>11</v>
      </c>
      <c r="D275">
        <f t="shared" si="18"/>
        <v>0</v>
      </c>
      <c r="E275">
        <f t="shared" si="19"/>
        <v>150</v>
      </c>
      <c r="F275">
        <f t="shared" si="17"/>
        <v>-150</v>
      </c>
    </row>
    <row r="276" spans="1:6" x14ac:dyDescent="0.25">
      <c r="A276" s="1">
        <v>45201</v>
      </c>
      <c r="B276">
        <f t="shared" si="16"/>
        <v>1</v>
      </c>
      <c r="C276" t="s">
        <v>11</v>
      </c>
      <c r="D276">
        <f t="shared" si="18"/>
        <v>264</v>
      </c>
      <c r="E276">
        <f t="shared" si="19"/>
        <v>0</v>
      </c>
      <c r="F276">
        <f t="shared" si="17"/>
        <v>264</v>
      </c>
    </row>
    <row r="277" spans="1:6" x14ac:dyDescent="0.25">
      <c r="A277" s="1">
        <v>45202</v>
      </c>
      <c r="B277">
        <f t="shared" si="16"/>
        <v>2</v>
      </c>
      <c r="C277" t="s">
        <v>11</v>
      </c>
      <c r="D277">
        <f t="shared" si="18"/>
        <v>264</v>
      </c>
      <c r="E277">
        <f t="shared" si="19"/>
        <v>0</v>
      </c>
      <c r="F277">
        <f t="shared" si="17"/>
        <v>264</v>
      </c>
    </row>
    <row r="278" spans="1:6" x14ac:dyDescent="0.25">
      <c r="A278" s="1">
        <v>45203</v>
      </c>
      <c r="B278">
        <f t="shared" si="16"/>
        <v>3</v>
      </c>
      <c r="C278" t="s">
        <v>11</v>
      </c>
      <c r="D278">
        <f t="shared" si="18"/>
        <v>264</v>
      </c>
      <c r="E278">
        <f t="shared" si="19"/>
        <v>0</v>
      </c>
      <c r="F278">
        <f t="shared" si="17"/>
        <v>264</v>
      </c>
    </row>
    <row r="279" spans="1:6" x14ac:dyDescent="0.25">
      <c r="A279" s="1">
        <v>45204</v>
      </c>
      <c r="B279">
        <f t="shared" si="16"/>
        <v>4</v>
      </c>
      <c r="C279" t="s">
        <v>11</v>
      </c>
      <c r="D279">
        <f t="shared" si="18"/>
        <v>264</v>
      </c>
      <c r="E279">
        <f t="shared" si="19"/>
        <v>0</v>
      </c>
      <c r="F279">
        <f t="shared" si="17"/>
        <v>264</v>
      </c>
    </row>
    <row r="280" spans="1:6" x14ac:dyDescent="0.25">
      <c r="A280" s="1">
        <v>45205</v>
      </c>
      <c r="B280">
        <f t="shared" si="16"/>
        <v>5</v>
      </c>
      <c r="C280" t="s">
        <v>11</v>
      </c>
      <c r="D280">
        <f t="shared" si="18"/>
        <v>264</v>
      </c>
      <c r="E280">
        <f t="shared" si="19"/>
        <v>0</v>
      </c>
      <c r="F280">
        <f t="shared" si="17"/>
        <v>264</v>
      </c>
    </row>
    <row r="281" spans="1:6" x14ac:dyDescent="0.25">
      <c r="A281" s="1">
        <v>45206</v>
      </c>
      <c r="B281">
        <f t="shared" si="16"/>
        <v>6</v>
      </c>
      <c r="C281" t="s">
        <v>11</v>
      </c>
      <c r="D281">
        <f t="shared" si="18"/>
        <v>0</v>
      </c>
      <c r="E281">
        <f t="shared" si="19"/>
        <v>0</v>
      </c>
      <c r="F281">
        <f t="shared" si="17"/>
        <v>0</v>
      </c>
    </row>
    <row r="282" spans="1:6" x14ac:dyDescent="0.25">
      <c r="A282" s="1">
        <v>45207</v>
      </c>
      <c r="B282">
        <f t="shared" si="16"/>
        <v>7</v>
      </c>
      <c r="C282" t="s">
        <v>11</v>
      </c>
      <c r="D282">
        <f t="shared" si="18"/>
        <v>0</v>
      </c>
      <c r="E282">
        <f t="shared" si="19"/>
        <v>150</v>
      </c>
      <c r="F282">
        <f t="shared" si="17"/>
        <v>-150</v>
      </c>
    </row>
    <row r="283" spans="1:6" x14ac:dyDescent="0.25">
      <c r="A283" s="1">
        <v>45208</v>
      </c>
      <c r="B283">
        <f t="shared" si="16"/>
        <v>1</v>
      </c>
      <c r="C283" t="s">
        <v>11</v>
      </c>
      <c r="D283">
        <f t="shared" si="18"/>
        <v>264</v>
      </c>
      <c r="E283">
        <f t="shared" si="19"/>
        <v>0</v>
      </c>
      <c r="F283">
        <f t="shared" si="17"/>
        <v>264</v>
      </c>
    </row>
    <row r="284" spans="1:6" x14ac:dyDescent="0.25">
      <c r="A284" s="1">
        <v>45209</v>
      </c>
      <c r="B284">
        <f t="shared" si="16"/>
        <v>2</v>
      </c>
      <c r="C284" t="s">
        <v>11</v>
      </c>
      <c r="D284">
        <f t="shared" si="18"/>
        <v>264</v>
      </c>
      <c r="E284">
        <f t="shared" si="19"/>
        <v>0</v>
      </c>
      <c r="F284">
        <f t="shared" si="17"/>
        <v>264</v>
      </c>
    </row>
    <row r="285" spans="1:6" x14ac:dyDescent="0.25">
      <c r="A285" s="1">
        <v>45210</v>
      </c>
      <c r="B285">
        <f t="shared" si="16"/>
        <v>3</v>
      </c>
      <c r="C285" t="s">
        <v>11</v>
      </c>
      <c r="D285">
        <f t="shared" si="18"/>
        <v>264</v>
      </c>
      <c r="E285">
        <f t="shared" si="19"/>
        <v>0</v>
      </c>
      <c r="F285">
        <f t="shared" si="17"/>
        <v>264</v>
      </c>
    </row>
    <row r="286" spans="1:6" x14ac:dyDescent="0.25">
      <c r="A286" s="1">
        <v>45211</v>
      </c>
      <c r="B286">
        <f t="shared" si="16"/>
        <v>4</v>
      </c>
      <c r="C286" t="s">
        <v>11</v>
      </c>
      <c r="D286">
        <f t="shared" si="18"/>
        <v>264</v>
      </c>
      <c r="E286">
        <f t="shared" si="19"/>
        <v>0</v>
      </c>
      <c r="F286">
        <f t="shared" si="17"/>
        <v>264</v>
      </c>
    </row>
    <row r="287" spans="1:6" x14ac:dyDescent="0.25">
      <c r="A287" s="1">
        <v>45212</v>
      </c>
      <c r="B287">
        <f t="shared" si="16"/>
        <v>5</v>
      </c>
      <c r="C287" t="s">
        <v>11</v>
      </c>
      <c r="D287">
        <f t="shared" si="18"/>
        <v>264</v>
      </c>
      <c r="E287">
        <f t="shared" si="19"/>
        <v>0</v>
      </c>
      <c r="F287">
        <f t="shared" si="17"/>
        <v>264</v>
      </c>
    </row>
    <row r="288" spans="1:6" x14ac:dyDescent="0.25">
      <c r="A288" s="1">
        <v>45213</v>
      </c>
      <c r="B288">
        <f t="shared" si="16"/>
        <v>6</v>
      </c>
      <c r="C288" t="s">
        <v>11</v>
      </c>
      <c r="D288">
        <f t="shared" si="18"/>
        <v>0</v>
      </c>
      <c r="E288">
        <f t="shared" si="19"/>
        <v>0</v>
      </c>
      <c r="F288">
        <f t="shared" si="17"/>
        <v>0</v>
      </c>
    </row>
    <row r="289" spans="1:6" x14ac:dyDescent="0.25">
      <c r="A289" s="1">
        <v>45214</v>
      </c>
      <c r="B289">
        <f t="shared" si="16"/>
        <v>7</v>
      </c>
      <c r="C289" t="s">
        <v>11</v>
      </c>
      <c r="D289">
        <f t="shared" si="18"/>
        <v>0</v>
      </c>
      <c r="E289">
        <f t="shared" si="19"/>
        <v>150</v>
      </c>
      <c r="F289">
        <f t="shared" si="17"/>
        <v>-150</v>
      </c>
    </row>
    <row r="290" spans="1:6" x14ac:dyDescent="0.25">
      <c r="A290" s="1">
        <v>45215</v>
      </c>
      <c r="B290">
        <f t="shared" si="16"/>
        <v>1</v>
      </c>
      <c r="C290" t="s">
        <v>11</v>
      </c>
      <c r="D290">
        <f t="shared" si="18"/>
        <v>264</v>
      </c>
      <c r="E290">
        <f t="shared" si="19"/>
        <v>0</v>
      </c>
      <c r="F290">
        <f t="shared" si="17"/>
        <v>264</v>
      </c>
    </row>
    <row r="291" spans="1:6" x14ac:dyDescent="0.25">
      <c r="A291" s="1">
        <v>45216</v>
      </c>
      <c r="B291">
        <f t="shared" si="16"/>
        <v>2</v>
      </c>
      <c r="C291" t="s">
        <v>11</v>
      </c>
      <c r="D291">
        <f t="shared" si="18"/>
        <v>264</v>
      </c>
      <c r="E291">
        <f t="shared" si="19"/>
        <v>0</v>
      </c>
      <c r="F291">
        <f t="shared" si="17"/>
        <v>264</v>
      </c>
    </row>
    <row r="292" spans="1:6" x14ac:dyDescent="0.25">
      <c r="A292" s="1">
        <v>45217</v>
      </c>
      <c r="B292">
        <f t="shared" si="16"/>
        <v>3</v>
      </c>
      <c r="C292" t="s">
        <v>11</v>
      </c>
      <c r="D292">
        <f t="shared" si="18"/>
        <v>264</v>
      </c>
      <c r="E292">
        <f t="shared" si="19"/>
        <v>0</v>
      </c>
      <c r="F292">
        <f t="shared" si="17"/>
        <v>264</v>
      </c>
    </row>
    <row r="293" spans="1:6" x14ac:dyDescent="0.25">
      <c r="A293" s="1">
        <v>45218</v>
      </c>
      <c r="B293">
        <f t="shared" si="16"/>
        <v>4</v>
      </c>
      <c r="C293" t="s">
        <v>11</v>
      </c>
      <c r="D293">
        <f t="shared" si="18"/>
        <v>264</v>
      </c>
      <c r="E293">
        <f t="shared" si="19"/>
        <v>0</v>
      </c>
      <c r="F293">
        <f t="shared" si="17"/>
        <v>264</v>
      </c>
    </row>
    <row r="294" spans="1:6" x14ac:dyDescent="0.25">
      <c r="A294" s="1">
        <v>45219</v>
      </c>
      <c r="B294">
        <f t="shared" si="16"/>
        <v>5</v>
      </c>
      <c r="C294" t="s">
        <v>11</v>
      </c>
      <c r="D294">
        <f t="shared" si="18"/>
        <v>264</v>
      </c>
      <c r="E294">
        <f t="shared" si="19"/>
        <v>0</v>
      </c>
      <c r="F294">
        <f t="shared" si="17"/>
        <v>264</v>
      </c>
    </row>
    <row r="295" spans="1:6" x14ac:dyDescent="0.25">
      <c r="A295" s="1">
        <v>45220</v>
      </c>
      <c r="B295">
        <f t="shared" si="16"/>
        <v>6</v>
      </c>
      <c r="C295" t="s">
        <v>11</v>
      </c>
      <c r="D295">
        <f t="shared" si="18"/>
        <v>0</v>
      </c>
      <c r="E295">
        <f t="shared" si="19"/>
        <v>0</v>
      </c>
      <c r="F295">
        <f t="shared" si="17"/>
        <v>0</v>
      </c>
    </row>
    <row r="296" spans="1:6" x14ac:dyDescent="0.25">
      <c r="A296" s="1">
        <v>45221</v>
      </c>
      <c r="B296">
        <f t="shared" si="16"/>
        <v>7</v>
      </c>
      <c r="C296" t="s">
        <v>11</v>
      </c>
      <c r="D296">
        <f t="shared" si="18"/>
        <v>0</v>
      </c>
      <c r="E296">
        <f t="shared" si="19"/>
        <v>150</v>
      </c>
      <c r="F296">
        <f t="shared" si="17"/>
        <v>-150</v>
      </c>
    </row>
    <row r="297" spans="1:6" x14ac:dyDescent="0.25">
      <c r="A297" s="1">
        <v>45222</v>
      </c>
      <c r="B297">
        <f t="shared" si="16"/>
        <v>1</v>
      </c>
      <c r="C297" t="s">
        <v>11</v>
      </c>
      <c r="D297">
        <f t="shared" si="18"/>
        <v>264</v>
      </c>
      <c r="E297">
        <f t="shared" si="19"/>
        <v>0</v>
      </c>
      <c r="F297">
        <f t="shared" si="17"/>
        <v>264</v>
      </c>
    </row>
    <row r="298" spans="1:6" x14ac:dyDescent="0.25">
      <c r="A298" s="1">
        <v>45223</v>
      </c>
      <c r="B298">
        <f t="shared" si="16"/>
        <v>2</v>
      </c>
      <c r="C298" t="s">
        <v>11</v>
      </c>
      <c r="D298">
        <f t="shared" si="18"/>
        <v>264</v>
      </c>
      <c r="E298">
        <f t="shared" si="19"/>
        <v>0</v>
      </c>
      <c r="F298">
        <f t="shared" si="17"/>
        <v>264</v>
      </c>
    </row>
    <row r="299" spans="1:6" x14ac:dyDescent="0.25">
      <c r="A299" s="1">
        <v>45224</v>
      </c>
      <c r="B299">
        <f t="shared" si="16"/>
        <v>3</v>
      </c>
      <c r="C299" t="s">
        <v>11</v>
      </c>
      <c r="D299">
        <f t="shared" si="18"/>
        <v>264</v>
      </c>
      <c r="E299">
        <f t="shared" si="19"/>
        <v>0</v>
      </c>
      <c r="F299">
        <f t="shared" si="17"/>
        <v>264</v>
      </c>
    </row>
    <row r="300" spans="1:6" x14ac:dyDescent="0.25">
      <c r="A300" s="1">
        <v>45225</v>
      </c>
      <c r="B300">
        <f t="shared" si="16"/>
        <v>4</v>
      </c>
      <c r="C300" t="s">
        <v>11</v>
      </c>
      <c r="D300">
        <f t="shared" si="18"/>
        <v>264</v>
      </c>
      <c r="E300">
        <f t="shared" si="19"/>
        <v>0</v>
      </c>
      <c r="F300">
        <f t="shared" si="17"/>
        <v>264</v>
      </c>
    </row>
    <row r="301" spans="1:6" x14ac:dyDescent="0.25">
      <c r="A301" s="1">
        <v>45226</v>
      </c>
      <c r="B301">
        <f t="shared" si="16"/>
        <v>5</v>
      </c>
      <c r="C301" t="s">
        <v>11</v>
      </c>
      <c r="D301">
        <f t="shared" si="18"/>
        <v>264</v>
      </c>
      <c r="E301">
        <f t="shared" si="19"/>
        <v>0</v>
      </c>
      <c r="F301">
        <f t="shared" si="17"/>
        <v>264</v>
      </c>
    </row>
    <row r="302" spans="1:6" x14ac:dyDescent="0.25">
      <c r="A302" s="1">
        <v>45227</v>
      </c>
      <c r="B302">
        <f t="shared" si="16"/>
        <v>6</v>
      </c>
      <c r="C302" t="s">
        <v>11</v>
      </c>
      <c r="D302">
        <f t="shared" si="18"/>
        <v>0</v>
      </c>
      <c r="E302">
        <f t="shared" si="19"/>
        <v>0</v>
      </c>
      <c r="F302">
        <f t="shared" si="17"/>
        <v>0</v>
      </c>
    </row>
    <row r="303" spans="1:6" x14ac:dyDescent="0.25">
      <c r="A303" s="1">
        <v>45228</v>
      </c>
      <c r="B303">
        <f t="shared" si="16"/>
        <v>7</v>
      </c>
      <c r="C303" t="s">
        <v>11</v>
      </c>
      <c r="D303">
        <f t="shared" si="18"/>
        <v>0</v>
      </c>
      <c r="E303">
        <f t="shared" si="19"/>
        <v>150</v>
      </c>
      <c r="F303">
        <f t="shared" si="17"/>
        <v>-150</v>
      </c>
    </row>
    <row r="304" spans="1:6" x14ac:dyDescent="0.25">
      <c r="A304" s="1">
        <v>45229</v>
      </c>
      <c r="B304">
        <f t="shared" si="16"/>
        <v>1</v>
      </c>
      <c r="C304" t="s">
        <v>11</v>
      </c>
      <c r="D304">
        <f t="shared" si="18"/>
        <v>264</v>
      </c>
      <c r="E304">
        <f t="shared" si="19"/>
        <v>0</v>
      </c>
      <c r="F304">
        <f t="shared" si="17"/>
        <v>264</v>
      </c>
    </row>
    <row r="305" spans="1:6" x14ac:dyDescent="0.25">
      <c r="A305" s="1">
        <v>45230</v>
      </c>
      <c r="B305">
        <f t="shared" si="16"/>
        <v>2</v>
      </c>
      <c r="C305" t="s">
        <v>11</v>
      </c>
      <c r="D305">
        <f t="shared" si="18"/>
        <v>264</v>
      </c>
      <c r="E305">
        <f t="shared" si="19"/>
        <v>0</v>
      </c>
      <c r="F305">
        <f t="shared" si="17"/>
        <v>264</v>
      </c>
    </row>
    <row r="306" spans="1:6" x14ac:dyDescent="0.25">
      <c r="A306" s="1">
        <v>45231</v>
      </c>
      <c r="B306">
        <f t="shared" si="16"/>
        <v>3</v>
      </c>
      <c r="C306" t="s">
        <v>11</v>
      </c>
      <c r="D306">
        <f t="shared" si="18"/>
        <v>264</v>
      </c>
      <c r="E306">
        <f t="shared" si="19"/>
        <v>0</v>
      </c>
      <c r="F306">
        <f t="shared" si="17"/>
        <v>264</v>
      </c>
    </row>
    <row r="307" spans="1:6" x14ac:dyDescent="0.25">
      <c r="A307" s="1">
        <v>45232</v>
      </c>
      <c r="B307">
        <f t="shared" si="16"/>
        <v>4</v>
      </c>
      <c r="C307" t="s">
        <v>11</v>
      </c>
      <c r="D307">
        <f t="shared" si="18"/>
        <v>264</v>
      </c>
      <c r="E307">
        <f t="shared" si="19"/>
        <v>0</v>
      </c>
      <c r="F307">
        <f t="shared" si="17"/>
        <v>264</v>
      </c>
    </row>
    <row r="308" spans="1:6" x14ac:dyDescent="0.25">
      <c r="A308" s="1">
        <v>45233</v>
      </c>
      <c r="B308">
        <f t="shared" si="16"/>
        <v>5</v>
      </c>
      <c r="C308" t="s">
        <v>11</v>
      </c>
      <c r="D308">
        <f t="shared" si="18"/>
        <v>264</v>
      </c>
      <c r="E308">
        <f t="shared" si="19"/>
        <v>0</v>
      </c>
      <c r="F308">
        <f t="shared" si="17"/>
        <v>264</v>
      </c>
    </row>
    <row r="309" spans="1:6" x14ac:dyDescent="0.25">
      <c r="A309" s="1">
        <v>45234</v>
      </c>
      <c r="B309">
        <f t="shared" si="16"/>
        <v>6</v>
      </c>
      <c r="C309" t="s">
        <v>11</v>
      </c>
      <c r="D309">
        <f t="shared" si="18"/>
        <v>0</v>
      </c>
      <c r="E309">
        <f t="shared" si="19"/>
        <v>0</v>
      </c>
      <c r="F309">
        <f t="shared" si="17"/>
        <v>0</v>
      </c>
    </row>
    <row r="310" spans="1:6" x14ac:dyDescent="0.25">
      <c r="A310" s="1">
        <v>45235</v>
      </c>
      <c r="B310">
        <f t="shared" si="16"/>
        <v>7</v>
      </c>
      <c r="C310" t="s">
        <v>11</v>
      </c>
      <c r="D310">
        <f t="shared" si="18"/>
        <v>0</v>
      </c>
      <c r="E310">
        <f t="shared" si="19"/>
        <v>150</v>
      </c>
      <c r="F310">
        <f t="shared" si="17"/>
        <v>-150</v>
      </c>
    </row>
    <row r="311" spans="1:6" x14ac:dyDescent="0.25">
      <c r="A311" s="1">
        <v>45236</v>
      </c>
      <c r="B311">
        <f t="shared" si="16"/>
        <v>1</v>
      </c>
      <c r="C311" t="s">
        <v>11</v>
      </c>
      <c r="D311">
        <f t="shared" si="18"/>
        <v>264</v>
      </c>
      <c r="E311">
        <f t="shared" si="19"/>
        <v>0</v>
      </c>
      <c r="F311">
        <f t="shared" si="17"/>
        <v>264</v>
      </c>
    </row>
    <row r="312" spans="1:6" x14ac:dyDescent="0.25">
      <c r="A312" s="1">
        <v>45237</v>
      </c>
      <c r="B312">
        <f t="shared" si="16"/>
        <v>2</v>
      </c>
      <c r="C312" t="s">
        <v>11</v>
      </c>
      <c r="D312">
        <f t="shared" si="18"/>
        <v>264</v>
      </c>
      <c r="E312">
        <f t="shared" si="19"/>
        <v>0</v>
      </c>
      <c r="F312">
        <f t="shared" si="17"/>
        <v>264</v>
      </c>
    </row>
    <row r="313" spans="1:6" x14ac:dyDescent="0.25">
      <c r="A313" s="1">
        <v>45238</v>
      </c>
      <c r="B313">
        <f t="shared" si="16"/>
        <v>3</v>
      </c>
      <c r="C313" t="s">
        <v>11</v>
      </c>
      <c r="D313">
        <f t="shared" si="18"/>
        <v>264</v>
      </c>
      <c r="E313">
        <f t="shared" si="19"/>
        <v>0</v>
      </c>
      <c r="F313">
        <f t="shared" si="17"/>
        <v>264</v>
      </c>
    </row>
    <row r="314" spans="1:6" x14ac:dyDescent="0.25">
      <c r="A314" s="1">
        <v>45239</v>
      </c>
      <c r="B314">
        <f t="shared" si="16"/>
        <v>4</v>
      </c>
      <c r="C314" t="s">
        <v>11</v>
      </c>
      <c r="D314">
        <f t="shared" si="18"/>
        <v>264</v>
      </c>
      <c r="E314">
        <f t="shared" si="19"/>
        <v>0</v>
      </c>
      <c r="F314">
        <f t="shared" si="17"/>
        <v>264</v>
      </c>
    </row>
    <row r="315" spans="1:6" x14ac:dyDescent="0.25">
      <c r="A315" s="1">
        <v>45240</v>
      </c>
      <c r="B315">
        <f t="shared" si="16"/>
        <v>5</v>
      </c>
      <c r="C315" t="s">
        <v>11</v>
      </c>
      <c r="D315">
        <f t="shared" si="18"/>
        <v>264</v>
      </c>
      <c r="E315">
        <f t="shared" si="19"/>
        <v>0</v>
      </c>
      <c r="F315">
        <f t="shared" si="17"/>
        <v>264</v>
      </c>
    </row>
    <row r="316" spans="1:6" x14ac:dyDescent="0.25">
      <c r="A316" s="1">
        <v>45241</v>
      </c>
      <c r="B316">
        <f t="shared" si="16"/>
        <v>6</v>
      </c>
      <c r="C316" t="s">
        <v>11</v>
      </c>
      <c r="D316">
        <f t="shared" si="18"/>
        <v>0</v>
      </c>
      <c r="E316">
        <f t="shared" si="19"/>
        <v>0</v>
      </c>
      <c r="F316">
        <f t="shared" si="17"/>
        <v>0</v>
      </c>
    </row>
    <row r="317" spans="1:6" x14ac:dyDescent="0.25">
      <c r="A317" s="1">
        <v>45242</v>
      </c>
      <c r="B317">
        <f t="shared" si="16"/>
        <v>7</v>
      </c>
      <c r="C317" t="s">
        <v>11</v>
      </c>
      <c r="D317">
        <f t="shared" si="18"/>
        <v>0</v>
      </c>
      <c r="E317">
        <f t="shared" si="19"/>
        <v>150</v>
      </c>
      <c r="F317">
        <f t="shared" si="17"/>
        <v>-150</v>
      </c>
    </row>
    <row r="318" spans="1:6" x14ac:dyDescent="0.25">
      <c r="A318" s="1">
        <v>45243</v>
      </c>
      <c r="B318">
        <f t="shared" si="16"/>
        <v>1</v>
      </c>
      <c r="C318" t="s">
        <v>11</v>
      </c>
      <c r="D318">
        <f t="shared" si="18"/>
        <v>264</v>
      </c>
      <c r="E318">
        <f t="shared" si="19"/>
        <v>0</v>
      </c>
      <c r="F318">
        <f t="shared" si="17"/>
        <v>264</v>
      </c>
    </row>
    <row r="319" spans="1:6" x14ac:dyDescent="0.25">
      <c r="A319" s="1">
        <v>45244</v>
      </c>
      <c r="B319">
        <f t="shared" si="16"/>
        <v>2</v>
      </c>
      <c r="C319" t="s">
        <v>11</v>
      </c>
      <c r="D319">
        <f t="shared" si="18"/>
        <v>264</v>
      </c>
      <c r="E319">
        <f t="shared" si="19"/>
        <v>0</v>
      </c>
      <c r="F319">
        <f t="shared" si="17"/>
        <v>264</v>
      </c>
    </row>
    <row r="320" spans="1:6" x14ac:dyDescent="0.25">
      <c r="A320" s="1">
        <v>45245</v>
      </c>
      <c r="B320">
        <f t="shared" si="16"/>
        <v>3</v>
      </c>
      <c r="C320" t="s">
        <v>11</v>
      </c>
      <c r="D320">
        <f t="shared" si="18"/>
        <v>264</v>
      </c>
      <c r="E320">
        <f t="shared" si="19"/>
        <v>0</v>
      </c>
      <c r="F320">
        <f t="shared" si="17"/>
        <v>264</v>
      </c>
    </row>
    <row r="321" spans="1:6" x14ac:dyDescent="0.25">
      <c r="A321" s="1">
        <v>45246</v>
      </c>
      <c r="B321">
        <f t="shared" si="16"/>
        <v>4</v>
      </c>
      <c r="C321" t="s">
        <v>11</v>
      </c>
      <c r="D321">
        <f t="shared" si="18"/>
        <v>264</v>
      </c>
      <c r="E321">
        <f t="shared" si="19"/>
        <v>0</v>
      </c>
      <c r="F321">
        <f t="shared" si="17"/>
        <v>264</v>
      </c>
    </row>
    <row r="322" spans="1:6" x14ac:dyDescent="0.25">
      <c r="A322" s="1">
        <v>45247</v>
      </c>
      <c r="B322">
        <f t="shared" si="16"/>
        <v>5</v>
      </c>
      <c r="C322" t="s">
        <v>11</v>
      </c>
      <c r="D322">
        <f t="shared" si="18"/>
        <v>264</v>
      </c>
      <c r="E322">
        <f t="shared" si="19"/>
        <v>0</v>
      </c>
      <c r="F322">
        <f t="shared" si="17"/>
        <v>264</v>
      </c>
    </row>
    <row r="323" spans="1:6" x14ac:dyDescent="0.25">
      <c r="A323" s="1">
        <v>45248</v>
      </c>
      <c r="B323">
        <f t="shared" ref="B323:B386" si="20">WEEKDAY(A323,2)</f>
        <v>6</v>
      </c>
      <c r="C323" t="s">
        <v>11</v>
      </c>
      <c r="D323">
        <f t="shared" si="18"/>
        <v>0</v>
      </c>
      <c r="E323">
        <f t="shared" si="19"/>
        <v>0</v>
      </c>
      <c r="F323">
        <f t="shared" ref="F323:F386" si="21">D323-E323</f>
        <v>0</v>
      </c>
    </row>
    <row r="324" spans="1:6" x14ac:dyDescent="0.25">
      <c r="A324" s="1">
        <v>45249</v>
      </c>
      <c r="B324">
        <f t="shared" si="20"/>
        <v>7</v>
      </c>
      <c r="C324" t="s">
        <v>11</v>
      </c>
      <c r="D324">
        <f t="shared" ref="D324:D387" si="22">IF(B324&lt;6,$Q$1*VLOOKUP(C324,$S$1:$T$5,2,FALSE)*$Q$3,0)</f>
        <v>0</v>
      </c>
      <c r="E324">
        <f t="shared" ref="E324:E387" si="23">IF(B324=7,$Q$4*$Q$1,0)</f>
        <v>150</v>
      </c>
      <c r="F324">
        <f t="shared" si="21"/>
        <v>-150</v>
      </c>
    </row>
    <row r="325" spans="1:6" x14ac:dyDescent="0.25">
      <c r="A325" s="1">
        <v>45250</v>
      </c>
      <c r="B325">
        <f t="shared" si="20"/>
        <v>1</v>
      </c>
      <c r="C325" t="s">
        <v>11</v>
      </c>
      <c r="D325">
        <f t="shared" si="22"/>
        <v>264</v>
      </c>
      <c r="E325">
        <f t="shared" si="23"/>
        <v>0</v>
      </c>
      <c r="F325">
        <f t="shared" si="21"/>
        <v>264</v>
      </c>
    </row>
    <row r="326" spans="1:6" x14ac:dyDescent="0.25">
      <c r="A326" s="1">
        <v>45251</v>
      </c>
      <c r="B326">
        <f t="shared" si="20"/>
        <v>2</v>
      </c>
      <c r="C326" t="s">
        <v>11</v>
      </c>
      <c r="D326">
        <f t="shared" si="22"/>
        <v>264</v>
      </c>
      <c r="E326">
        <f t="shared" si="23"/>
        <v>0</v>
      </c>
      <c r="F326">
        <f t="shared" si="21"/>
        <v>264</v>
      </c>
    </row>
    <row r="327" spans="1:6" x14ac:dyDescent="0.25">
      <c r="A327" s="1">
        <v>45252</v>
      </c>
      <c r="B327">
        <f t="shared" si="20"/>
        <v>3</v>
      </c>
      <c r="C327" t="s">
        <v>11</v>
      </c>
      <c r="D327">
        <f t="shared" si="22"/>
        <v>264</v>
      </c>
      <c r="E327">
        <f t="shared" si="23"/>
        <v>0</v>
      </c>
      <c r="F327">
        <f t="shared" si="21"/>
        <v>264</v>
      </c>
    </row>
    <row r="328" spans="1:6" x14ac:dyDescent="0.25">
      <c r="A328" s="1">
        <v>45253</v>
      </c>
      <c r="B328">
        <f t="shared" si="20"/>
        <v>4</v>
      </c>
      <c r="C328" t="s">
        <v>11</v>
      </c>
      <c r="D328">
        <f t="shared" si="22"/>
        <v>264</v>
      </c>
      <c r="E328">
        <f t="shared" si="23"/>
        <v>0</v>
      </c>
      <c r="F328">
        <f t="shared" si="21"/>
        <v>264</v>
      </c>
    </row>
    <row r="329" spans="1:6" x14ac:dyDescent="0.25">
      <c r="A329" s="1">
        <v>45254</v>
      </c>
      <c r="B329">
        <f t="shared" si="20"/>
        <v>5</v>
      </c>
      <c r="C329" t="s">
        <v>11</v>
      </c>
      <c r="D329">
        <f t="shared" si="22"/>
        <v>264</v>
      </c>
      <c r="E329">
        <f t="shared" si="23"/>
        <v>0</v>
      </c>
      <c r="F329">
        <f t="shared" si="21"/>
        <v>264</v>
      </c>
    </row>
    <row r="330" spans="1:6" x14ac:dyDescent="0.25">
      <c r="A330" s="1">
        <v>45255</v>
      </c>
      <c r="B330">
        <f t="shared" si="20"/>
        <v>6</v>
      </c>
      <c r="C330" t="s">
        <v>11</v>
      </c>
      <c r="D330">
        <f t="shared" si="22"/>
        <v>0</v>
      </c>
      <c r="E330">
        <f t="shared" si="23"/>
        <v>0</v>
      </c>
      <c r="F330">
        <f t="shared" si="21"/>
        <v>0</v>
      </c>
    </row>
    <row r="331" spans="1:6" x14ac:dyDescent="0.25">
      <c r="A331" s="1">
        <v>45256</v>
      </c>
      <c r="B331">
        <f t="shared" si="20"/>
        <v>7</v>
      </c>
      <c r="C331" t="s">
        <v>11</v>
      </c>
      <c r="D331">
        <f t="shared" si="22"/>
        <v>0</v>
      </c>
      <c r="E331">
        <f t="shared" si="23"/>
        <v>150</v>
      </c>
      <c r="F331">
        <f t="shared" si="21"/>
        <v>-150</v>
      </c>
    </row>
    <row r="332" spans="1:6" x14ac:dyDescent="0.25">
      <c r="A332" s="1">
        <v>45257</v>
      </c>
      <c r="B332">
        <f t="shared" si="20"/>
        <v>1</v>
      </c>
      <c r="C332" t="s">
        <v>11</v>
      </c>
      <c r="D332">
        <f t="shared" si="22"/>
        <v>264</v>
      </c>
      <c r="E332">
        <f t="shared" si="23"/>
        <v>0</v>
      </c>
      <c r="F332">
        <f t="shared" si="21"/>
        <v>264</v>
      </c>
    </row>
    <row r="333" spans="1:6" x14ac:dyDescent="0.25">
      <c r="A333" s="1">
        <v>45258</v>
      </c>
      <c r="B333">
        <f t="shared" si="20"/>
        <v>2</v>
      </c>
      <c r="C333" t="s">
        <v>11</v>
      </c>
      <c r="D333">
        <f t="shared" si="22"/>
        <v>264</v>
      </c>
      <c r="E333">
        <f t="shared" si="23"/>
        <v>0</v>
      </c>
      <c r="F333">
        <f t="shared" si="21"/>
        <v>264</v>
      </c>
    </row>
    <row r="334" spans="1:6" x14ac:dyDescent="0.25">
      <c r="A334" s="1">
        <v>45259</v>
      </c>
      <c r="B334">
        <f t="shared" si="20"/>
        <v>3</v>
      </c>
      <c r="C334" t="s">
        <v>11</v>
      </c>
      <c r="D334">
        <f t="shared" si="22"/>
        <v>264</v>
      </c>
      <c r="E334">
        <f t="shared" si="23"/>
        <v>0</v>
      </c>
      <c r="F334">
        <f t="shared" si="21"/>
        <v>264</v>
      </c>
    </row>
    <row r="335" spans="1:6" x14ac:dyDescent="0.25">
      <c r="A335" s="1">
        <v>45260</v>
      </c>
      <c r="B335">
        <f t="shared" si="20"/>
        <v>4</v>
      </c>
      <c r="C335" t="s">
        <v>11</v>
      </c>
      <c r="D335">
        <f t="shared" si="22"/>
        <v>264</v>
      </c>
      <c r="E335">
        <f t="shared" si="23"/>
        <v>0</v>
      </c>
      <c r="F335">
        <f t="shared" si="21"/>
        <v>264</v>
      </c>
    </row>
    <row r="336" spans="1:6" x14ac:dyDescent="0.25">
      <c r="A336" s="1">
        <v>45261</v>
      </c>
      <c r="B336">
        <f t="shared" si="20"/>
        <v>5</v>
      </c>
      <c r="C336" t="s">
        <v>11</v>
      </c>
      <c r="D336">
        <f t="shared" si="22"/>
        <v>264</v>
      </c>
      <c r="E336">
        <f t="shared" si="23"/>
        <v>0</v>
      </c>
      <c r="F336">
        <f t="shared" si="21"/>
        <v>264</v>
      </c>
    </row>
    <row r="337" spans="1:6" x14ac:dyDescent="0.25">
      <c r="A337" s="1">
        <v>45262</v>
      </c>
      <c r="B337">
        <f t="shared" si="20"/>
        <v>6</v>
      </c>
      <c r="C337" t="s">
        <v>11</v>
      </c>
      <c r="D337">
        <f t="shared" si="22"/>
        <v>0</v>
      </c>
      <c r="E337">
        <f t="shared" si="23"/>
        <v>0</v>
      </c>
      <c r="F337">
        <f t="shared" si="21"/>
        <v>0</v>
      </c>
    </row>
    <row r="338" spans="1:6" x14ac:dyDescent="0.25">
      <c r="A338" s="1">
        <v>45263</v>
      </c>
      <c r="B338">
        <f t="shared" si="20"/>
        <v>7</v>
      </c>
      <c r="C338" t="s">
        <v>11</v>
      </c>
      <c r="D338">
        <f t="shared" si="22"/>
        <v>0</v>
      </c>
      <c r="E338">
        <f t="shared" si="23"/>
        <v>150</v>
      </c>
      <c r="F338">
        <f t="shared" si="21"/>
        <v>-150</v>
      </c>
    </row>
    <row r="339" spans="1:6" x14ac:dyDescent="0.25">
      <c r="A339" s="1">
        <v>45264</v>
      </c>
      <c r="B339">
        <f t="shared" si="20"/>
        <v>1</v>
      </c>
      <c r="C339" t="s">
        <v>11</v>
      </c>
      <c r="D339">
        <f t="shared" si="22"/>
        <v>264</v>
      </c>
      <c r="E339">
        <f t="shared" si="23"/>
        <v>0</v>
      </c>
      <c r="F339">
        <f t="shared" si="21"/>
        <v>264</v>
      </c>
    </row>
    <row r="340" spans="1:6" x14ac:dyDescent="0.25">
      <c r="A340" s="1">
        <v>45265</v>
      </c>
      <c r="B340">
        <f t="shared" si="20"/>
        <v>2</v>
      </c>
      <c r="C340" t="s">
        <v>11</v>
      </c>
      <c r="D340">
        <f t="shared" si="22"/>
        <v>264</v>
      </c>
      <c r="E340">
        <f t="shared" si="23"/>
        <v>0</v>
      </c>
      <c r="F340">
        <f t="shared" si="21"/>
        <v>264</v>
      </c>
    </row>
    <row r="341" spans="1:6" x14ac:dyDescent="0.25">
      <c r="A341" s="1">
        <v>45266</v>
      </c>
      <c r="B341">
        <f t="shared" si="20"/>
        <v>3</v>
      </c>
      <c r="C341" t="s">
        <v>11</v>
      </c>
      <c r="D341">
        <f t="shared" si="22"/>
        <v>264</v>
      </c>
      <c r="E341">
        <f t="shared" si="23"/>
        <v>0</v>
      </c>
      <c r="F341">
        <f t="shared" si="21"/>
        <v>264</v>
      </c>
    </row>
    <row r="342" spans="1:6" x14ac:dyDescent="0.25">
      <c r="A342" s="1">
        <v>45267</v>
      </c>
      <c r="B342">
        <f t="shared" si="20"/>
        <v>4</v>
      </c>
      <c r="C342" t="s">
        <v>11</v>
      </c>
      <c r="D342">
        <f t="shared" si="22"/>
        <v>264</v>
      </c>
      <c r="E342">
        <f t="shared" si="23"/>
        <v>0</v>
      </c>
      <c r="F342">
        <f t="shared" si="21"/>
        <v>264</v>
      </c>
    </row>
    <row r="343" spans="1:6" x14ac:dyDescent="0.25">
      <c r="A343" s="1">
        <v>45268</v>
      </c>
      <c r="B343">
        <f t="shared" si="20"/>
        <v>5</v>
      </c>
      <c r="C343" t="s">
        <v>11</v>
      </c>
      <c r="D343">
        <f t="shared" si="22"/>
        <v>264</v>
      </c>
      <c r="E343">
        <f t="shared" si="23"/>
        <v>0</v>
      </c>
      <c r="F343">
        <f t="shared" si="21"/>
        <v>264</v>
      </c>
    </row>
    <row r="344" spans="1:6" x14ac:dyDescent="0.25">
      <c r="A344" s="1">
        <v>45269</v>
      </c>
      <c r="B344">
        <f t="shared" si="20"/>
        <v>6</v>
      </c>
      <c r="C344" t="s">
        <v>11</v>
      </c>
      <c r="D344">
        <f t="shared" si="22"/>
        <v>0</v>
      </c>
      <c r="E344">
        <f t="shared" si="23"/>
        <v>0</v>
      </c>
      <c r="F344">
        <f t="shared" si="21"/>
        <v>0</v>
      </c>
    </row>
    <row r="345" spans="1:6" x14ac:dyDescent="0.25">
      <c r="A345" s="1">
        <v>45270</v>
      </c>
      <c r="B345">
        <f t="shared" si="20"/>
        <v>7</v>
      </c>
      <c r="C345" t="s">
        <v>11</v>
      </c>
      <c r="D345">
        <f t="shared" si="22"/>
        <v>0</v>
      </c>
      <c r="E345">
        <f t="shared" si="23"/>
        <v>150</v>
      </c>
      <c r="F345">
        <f t="shared" si="21"/>
        <v>-150</v>
      </c>
    </row>
    <row r="346" spans="1:6" x14ac:dyDescent="0.25">
      <c r="A346" s="1">
        <v>45271</v>
      </c>
      <c r="B346">
        <f t="shared" si="20"/>
        <v>1</v>
      </c>
      <c r="C346" t="s">
        <v>11</v>
      </c>
      <c r="D346">
        <f t="shared" si="22"/>
        <v>264</v>
      </c>
      <c r="E346">
        <f t="shared" si="23"/>
        <v>0</v>
      </c>
      <c r="F346">
        <f t="shared" si="21"/>
        <v>264</v>
      </c>
    </row>
    <row r="347" spans="1:6" x14ac:dyDescent="0.25">
      <c r="A347" s="1">
        <v>45272</v>
      </c>
      <c r="B347">
        <f t="shared" si="20"/>
        <v>2</v>
      </c>
      <c r="C347" t="s">
        <v>11</v>
      </c>
      <c r="D347">
        <f t="shared" si="22"/>
        <v>264</v>
      </c>
      <c r="E347">
        <f t="shared" si="23"/>
        <v>0</v>
      </c>
      <c r="F347">
        <f t="shared" si="21"/>
        <v>264</v>
      </c>
    </row>
    <row r="348" spans="1:6" x14ac:dyDescent="0.25">
      <c r="A348" s="1">
        <v>45273</v>
      </c>
      <c r="B348">
        <f t="shared" si="20"/>
        <v>3</v>
      </c>
      <c r="C348" t="s">
        <v>11</v>
      </c>
      <c r="D348">
        <f t="shared" si="22"/>
        <v>264</v>
      </c>
      <c r="E348">
        <f t="shared" si="23"/>
        <v>0</v>
      </c>
      <c r="F348">
        <f t="shared" si="21"/>
        <v>264</v>
      </c>
    </row>
    <row r="349" spans="1:6" x14ac:dyDescent="0.25">
      <c r="A349" s="1">
        <v>45274</v>
      </c>
      <c r="B349">
        <f t="shared" si="20"/>
        <v>4</v>
      </c>
      <c r="C349" t="s">
        <v>11</v>
      </c>
      <c r="D349">
        <f t="shared" si="22"/>
        <v>264</v>
      </c>
      <c r="E349">
        <f t="shared" si="23"/>
        <v>0</v>
      </c>
      <c r="F349">
        <f t="shared" si="21"/>
        <v>264</v>
      </c>
    </row>
    <row r="350" spans="1:6" x14ac:dyDescent="0.25">
      <c r="A350" s="1">
        <v>45275</v>
      </c>
      <c r="B350">
        <f t="shared" si="20"/>
        <v>5</v>
      </c>
      <c r="C350" t="s">
        <v>11</v>
      </c>
      <c r="D350">
        <f t="shared" si="22"/>
        <v>264</v>
      </c>
      <c r="E350">
        <f t="shared" si="23"/>
        <v>0</v>
      </c>
      <c r="F350">
        <f t="shared" si="21"/>
        <v>264</v>
      </c>
    </row>
    <row r="351" spans="1:6" x14ac:dyDescent="0.25">
      <c r="A351" s="1">
        <v>45276</v>
      </c>
      <c r="B351">
        <f t="shared" si="20"/>
        <v>6</v>
      </c>
      <c r="C351" t="s">
        <v>11</v>
      </c>
      <c r="D351">
        <f t="shared" si="22"/>
        <v>0</v>
      </c>
      <c r="E351">
        <f t="shared" si="23"/>
        <v>0</v>
      </c>
      <c r="F351">
        <f t="shared" si="21"/>
        <v>0</v>
      </c>
    </row>
    <row r="352" spans="1:6" x14ac:dyDescent="0.25">
      <c r="A352" s="1">
        <v>45277</v>
      </c>
      <c r="B352">
        <f t="shared" si="20"/>
        <v>7</v>
      </c>
      <c r="C352" t="s">
        <v>11</v>
      </c>
      <c r="D352">
        <f t="shared" si="22"/>
        <v>0</v>
      </c>
      <c r="E352">
        <f t="shared" si="23"/>
        <v>150</v>
      </c>
      <c r="F352">
        <f t="shared" si="21"/>
        <v>-150</v>
      </c>
    </row>
    <row r="353" spans="1:6" x14ac:dyDescent="0.25">
      <c r="A353" s="1">
        <v>45278</v>
      </c>
      <c r="B353">
        <f t="shared" si="20"/>
        <v>1</v>
      </c>
      <c r="C353" t="s">
        <v>11</v>
      </c>
      <c r="D353">
        <f t="shared" si="22"/>
        <v>264</v>
      </c>
      <c r="E353">
        <f t="shared" si="23"/>
        <v>0</v>
      </c>
      <c r="F353">
        <f t="shared" si="21"/>
        <v>264</v>
      </c>
    </row>
    <row r="354" spans="1:6" x14ac:dyDescent="0.25">
      <c r="A354" s="1">
        <v>45279</v>
      </c>
      <c r="B354">
        <f t="shared" si="20"/>
        <v>2</v>
      </c>
      <c r="C354" t="s">
        <v>11</v>
      </c>
      <c r="D354">
        <f t="shared" si="22"/>
        <v>264</v>
      </c>
      <c r="E354">
        <f t="shared" si="23"/>
        <v>0</v>
      </c>
      <c r="F354">
        <f t="shared" si="21"/>
        <v>264</v>
      </c>
    </row>
    <row r="355" spans="1:6" x14ac:dyDescent="0.25">
      <c r="A355" s="1">
        <v>45280</v>
      </c>
      <c r="B355">
        <f t="shared" si="20"/>
        <v>3</v>
      </c>
      <c r="C355" t="s">
        <v>11</v>
      </c>
      <c r="D355">
        <f t="shared" si="22"/>
        <v>264</v>
      </c>
      <c r="E355">
        <f t="shared" si="23"/>
        <v>0</v>
      </c>
      <c r="F355">
        <f t="shared" si="21"/>
        <v>264</v>
      </c>
    </row>
    <row r="356" spans="1:6" x14ac:dyDescent="0.25">
      <c r="A356" s="1">
        <v>45281</v>
      </c>
      <c r="B356">
        <f t="shared" si="20"/>
        <v>4</v>
      </c>
      <c r="C356" t="s">
        <v>8</v>
      </c>
      <c r="D356">
        <f t="shared" si="22"/>
        <v>132</v>
      </c>
      <c r="E356">
        <f t="shared" si="23"/>
        <v>0</v>
      </c>
      <c r="F356">
        <f t="shared" si="21"/>
        <v>132</v>
      </c>
    </row>
    <row r="357" spans="1:6" x14ac:dyDescent="0.25">
      <c r="A357" s="1">
        <v>45282</v>
      </c>
      <c r="B357">
        <f t="shared" si="20"/>
        <v>5</v>
      </c>
      <c r="C357" t="s">
        <v>8</v>
      </c>
      <c r="D357">
        <f t="shared" si="22"/>
        <v>132</v>
      </c>
      <c r="E357">
        <f t="shared" si="23"/>
        <v>0</v>
      </c>
      <c r="F357">
        <f t="shared" si="21"/>
        <v>132</v>
      </c>
    </row>
    <row r="358" spans="1:6" x14ac:dyDescent="0.25">
      <c r="A358" s="1">
        <v>45283</v>
      </c>
      <c r="B358">
        <f t="shared" si="20"/>
        <v>6</v>
      </c>
      <c r="C358" t="s">
        <v>8</v>
      </c>
      <c r="D358">
        <f t="shared" si="22"/>
        <v>0</v>
      </c>
      <c r="E358">
        <f t="shared" si="23"/>
        <v>0</v>
      </c>
      <c r="F358">
        <f t="shared" si="21"/>
        <v>0</v>
      </c>
    </row>
    <row r="359" spans="1:6" x14ac:dyDescent="0.25">
      <c r="A359" s="1">
        <v>45284</v>
      </c>
      <c r="B359">
        <f t="shared" si="20"/>
        <v>7</v>
      </c>
      <c r="C359" t="s">
        <v>8</v>
      </c>
      <c r="D359">
        <f t="shared" si="22"/>
        <v>0</v>
      </c>
      <c r="E359">
        <f t="shared" si="23"/>
        <v>150</v>
      </c>
      <c r="F359">
        <f t="shared" si="21"/>
        <v>-150</v>
      </c>
    </row>
    <row r="360" spans="1:6" x14ac:dyDescent="0.25">
      <c r="A360" s="1">
        <v>45285</v>
      </c>
      <c r="B360">
        <f t="shared" si="20"/>
        <v>1</v>
      </c>
      <c r="C360" t="s">
        <v>8</v>
      </c>
      <c r="D360">
        <f t="shared" si="22"/>
        <v>132</v>
      </c>
      <c r="E360">
        <f t="shared" si="23"/>
        <v>0</v>
      </c>
      <c r="F360">
        <f t="shared" si="21"/>
        <v>132</v>
      </c>
    </row>
    <row r="361" spans="1:6" x14ac:dyDescent="0.25">
      <c r="A361" s="1">
        <v>45286</v>
      </c>
      <c r="B361">
        <f t="shared" si="20"/>
        <v>2</v>
      </c>
      <c r="C361" t="s">
        <v>8</v>
      </c>
      <c r="D361">
        <f t="shared" si="22"/>
        <v>132</v>
      </c>
      <c r="E361">
        <f t="shared" si="23"/>
        <v>0</v>
      </c>
      <c r="F361">
        <f t="shared" si="21"/>
        <v>132</v>
      </c>
    </row>
    <row r="362" spans="1:6" x14ac:dyDescent="0.25">
      <c r="A362" s="1">
        <v>45287</v>
      </c>
      <c r="B362">
        <f t="shared" si="20"/>
        <v>3</v>
      </c>
      <c r="C362" t="s">
        <v>8</v>
      </c>
      <c r="D362">
        <f t="shared" si="22"/>
        <v>132</v>
      </c>
      <c r="E362">
        <f t="shared" si="23"/>
        <v>0</v>
      </c>
      <c r="F362">
        <f t="shared" si="21"/>
        <v>132</v>
      </c>
    </row>
    <row r="363" spans="1:6" x14ac:dyDescent="0.25">
      <c r="A363" s="1">
        <v>45288</v>
      </c>
      <c r="B363">
        <f t="shared" si="20"/>
        <v>4</v>
      </c>
      <c r="C363" t="s">
        <v>8</v>
      </c>
      <c r="D363">
        <f t="shared" si="22"/>
        <v>132</v>
      </c>
      <c r="E363">
        <f t="shared" si="23"/>
        <v>0</v>
      </c>
      <c r="F363">
        <f t="shared" si="21"/>
        <v>132</v>
      </c>
    </row>
    <row r="364" spans="1:6" x14ac:dyDescent="0.25">
      <c r="A364" s="1">
        <v>45289</v>
      </c>
      <c r="B364">
        <f t="shared" si="20"/>
        <v>5</v>
      </c>
      <c r="C364" t="s">
        <v>8</v>
      </c>
      <c r="D364">
        <f t="shared" si="22"/>
        <v>132</v>
      </c>
      <c r="E364">
        <f t="shared" si="23"/>
        <v>0</v>
      </c>
      <c r="F364">
        <f t="shared" si="21"/>
        <v>132</v>
      </c>
    </row>
    <row r="365" spans="1:6" x14ac:dyDescent="0.25">
      <c r="A365" s="1">
        <v>45290</v>
      </c>
      <c r="B365">
        <f t="shared" si="20"/>
        <v>6</v>
      </c>
      <c r="C365" t="s">
        <v>8</v>
      </c>
      <c r="D365">
        <f t="shared" si="22"/>
        <v>0</v>
      </c>
      <c r="E365">
        <f t="shared" si="23"/>
        <v>0</v>
      </c>
      <c r="F365">
        <f t="shared" si="21"/>
        <v>0</v>
      </c>
    </row>
    <row r="366" spans="1:6" x14ac:dyDescent="0.25">
      <c r="A366" s="1">
        <v>45291</v>
      </c>
      <c r="B366">
        <f t="shared" si="20"/>
        <v>7</v>
      </c>
      <c r="C366" t="s">
        <v>8</v>
      </c>
      <c r="D366">
        <f t="shared" si="22"/>
        <v>0</v>
      </c>
      <c r="E366">
        <f t="shared" si="23"/>
        <v>150</v>
      </c>
      <c r="F366">
        <f t="shared" si="21"/>
        <v>-150</v>
      </c>
    </row>
    <row r="367" spans="1:6" x14ac:dyDescent="0.25">
      <c r="A367" s="1">
        <v>45292</v>
      </c>
      <c r="B367">
        <f t="shared" si="20"/>
        <v>1</v>
      </c>
      <c r="C367" t="s">
        <v>8</v>
      </c>
      <c r="D367">
        <f t="shared" si="22"/>
        <v>132</v>
      </c>
      <c r="E367">
        <f t="shared" si="23"/>
        <v>0</v>
      </c>
      <c r="F367">
        <f t="shared" si="21"/>
        <v>132</v>
      </c>
    </row>
    <row r="368" spans="1:6" x14ac:dyDescent="0.25">
      <c r="A368" s="1">
        <v>45293</v>
      </c>
      <c r="B368">
        <f t="shared" si="20"/>
        <v>2</v>
      </c>
      <c r="C368" t="s">
        <v>8</v>
      </c>
      <c r="D368">
        <f t="shared" si="22"/>
        <v>132</v>
      </c>
      <c r="E368">
        <f t="shared" si="23"/>
        <v>0</v>
      </c>
      <c r="F368">
        <f t="shared" si="21"/>
        <v>132</v>
      </c>
    </row>
    <row r="369" spans="1:6" x14ac:dyDescent="0.25">
      <c r="A369" s="1">
        <v>45294</v>
      </c>
      <c r="B369">
        <f t="shared" si="20"/>
        <v>3</v>
      </c>
      <c r="C369" t="s">
        <v>8</v>
      </c>
      <c r="D369">
        <f t="shared" si="22"/>
        <v>132</v>
      </c>
      <c r="E369">
        <f t="shared" si="23"/>
        <v>0</v>
      </c>
      <c r="F369">
        <f t="shared" si="21"/>
        <v>132</v>
      </c>
    </row>
    <row r="370" spans="1:6" x14ac:dyDescent="0.25">
      <c r="A370" s="1">
        <v>45295</v>
      </c>
      <c r="B370">
        <f t="shared" si="20"/>
        <v>4</v>
      </c>
      <c r="C370" t="s">
        <v>8</v>
      </c>
      <c r="D370">
        <f t="shared" si="22"/>
        <v>132</v>
      </c>
      <c r="E370">
        <f t="shared" si="23"/>
        <v>0</v>
      </c>
      <c r="F370">
        <f t="shared" si="21"/>
        <v>132</v>
      </c>
    </row>
    <row r="371" spans="1:6" x14ac:dyDescent="0.25">
      <c r="A371" s="1">
        <v>45296</v>
      </c>
      <c r="B371">
        <f t="shared" si="20"/>
        <v>5</v>
      </c>
      <c r="C371" t="s">
        <v>8</v>
      </c>
      <c r="D371">
        <f t="shared" si="22"/>
        <v>132</v>
      </c>
      <c r="E371">
        <f t="shared" si="23"/>
        <v>0</v>
      </c>
      <c r="F371">
        <f t="shared" si="21"/>
        <v>132</v>
      </c>
    </row>
    <row r="372" spans="1:6" x14ac:dyDescent="0.25">
      <c r="A372" s="1">
        <v>45297</v>
      </c>
      <c r="B372">
        <f t="shared" si="20"/>
        <v>6</v>
      </c>
      <c r="C372" t="s">
        <v>8</v>
      </c>
      <c r="D372">
        <f t="shared" si="22"/>
        <v>0</v>
      </c>
      <c r="E372">
        <f t="shared" si="23"/>
        <v>0</v>
      </c>
      <c r="F372">
        <f t="shared" si="21"/>
        <v>0</v>
      </c>
    </row>
    <row r="373" spans="1:6" x14ac:dyDescent="0.25">
      <c r="A373" s="1">
        <v>45298</v>
      </c>
      <c r="B373">
        <f t="shared" si="20"/>
        <v>7</v>
      </c>
      <c r="C373" t="s">
        <v>8</v>
      </c>
      <c r="D373">
        <f t="shared" si="22"/>
        <v>0</v>
      </c>
      <c r="E373">
        <f t="shared" si="23"/>
        <v>150</v>
      </c>
      <c r="F373">
        <f t="shared" si="21"/>
        <v>-150</v>
      </c>
    </row>
    <row r="374" spans="1:6" x14ac:dyDescent="0.25">
      <c r="A374" s="1">
        <v>45299</v>
      </c>
      <c r="B374">
        <f t="shared" si="20"/>
        <v>1</v>
      </c>
      <c r="C374" t="s">
        <v>8</v>
      </c>
      <c r="D374">
        <f t="shared" si="22"/>
        <v>132</v>
      </c>
      <c r="E374">
        <f t="shared" si="23"/>
        <v>0</v>
      </c>
      <c r="F374">
        <f t="shared" si="21"/>
        <v>132</v>
      </c>
    </row>
    <row r="375" spans="1:6" x14ac:dyDescent="0.25">
      <c r="A375" s="1">
        <v>45300</v>
      </c>
      <c r="B375">
        <f t="shared" si="20"/>
        <v>2</v>
      </c>
      <c r="C375" t="s">
        <v>8</v>
      </c>
      <c r="D375">
        <f t="shared" si="22"/>
        <v>132</v>
      </c>
      <c r="E375">
        <f t="shared" si="23"/>
        <v>0</v>
      </c>
      <c r="F375">
        <f t="shared" si="21"/>
        <v>132</v>
      </c>
    </row>
    <row r="376" spans="1:6" x14ac:dyDescent="0.25">
      <c r="A376" s="1">
        <v>45301</v>
      </c>
      <c r="B376">
        <f t="shared" si="20"/>
        <v>3</v>
      </c>
      <c r="C376" t="s">
        <v>8</v>
      </c>
      <c r="D376">
        <f t="shared" si="22"/>
        <v>132</v>
      </c>
      <c r="E376">
        <f t="shared" si="23"/>
        <v>0</v>
      </c>
      <c r="F376">
        <f t="shared" si="21"/>
        <v>132</v>
      </c>
    </row>
    <row r="377" spans="1:6" x14ac:dyDescent="0.25">
      <c r="A377" s="1">
        <v>45302</v>
      </c>
      <c r="B377">
        <f t="shared" si="20"/>
        <v>4</v>
      </c>
      <c r="C377" t="s">
        <v>8</v>
      </c>
      <c r="D377">
        <f t="shared" si="22"/>
        <v>132</v>
      </c>
      <c r="E377">
        <f t="shared" si="23"/>
        <v>0</v>
      </c>
      <c r="F377">
        <f t="shared" si="21"/>
        <v>132</v>
      </c>
    </row>
    <row r="378" spans="1:6" x14ac:dyDescent="0.25">
      <c r="A378" s="1">
        <v>45303</v>
      </c>
      <c r="B378">
        <f t="shared" si="20"/>
        <v>5</v>
      </c>
      <c r="C378" t="s">
        <v>8</v>
      </c>
      <c r="D378">
        <f t="shared" si="22"/>
        <v>132</v>
      </c>
      <c r="E378">
        <f t="shared" si="23"/>
        <v>0</v>
      </c>
      <c r="F378">
        <f t="shared" si="21"/>
        <v>132</v>
      </c>
    </row>
    <row r="379" spans="1:6" x14ac:dyDescent="0.25">
      <c r="A379" s="1">
        <v>45304</v>
      </c>
      <c r="B379">
        <f t="shared" si="20"/>
        <v>6</v>
      </c>
      <c r="C379" t="s">
        <v>8</v>
      </c>
      <c r="D379">
        <f t="shared" si="22"/>
        <v>0</v>
      </c>
      <c r="E379">
        <f t="shared" si="23"/>
        <v>0</v>
      </c>
      <c r="F379">
        <f t="shared" si="21"/>
        <v>0</v>
      </c>
    </row>
    <row r="380" spans="1:6" x14ac:dyDescent="0.25">
      <c r="A380" s="1">
        <v>45305</v>
      </c>
      <c r="B380">
        <f t="shared" si="20"/>
        <v>7</v>
      </c>
      <c r="C380" t="s">
        <v>8</v>
      </c>
      <c r="D380">
        <f t="shared" si="22"/>
        <v>0</v>
      </c>
      <c r="E380">
        <f t="shared" si="23"/>
        <v>150</v>
      </c>
      <c r="F380">
        <f t="shared" si="21"/>
        <v>-150</v>
      </c>
    </row>
    <row r="381" spans="1:6" x14ac:dyDescent="0.25">
      <c r="A381" s="1">
        <v>45306</v>
      </c>
      <c r="B381">
        <f t="shared" si="20"/>
        <v>1</v>
      </c>
      <c r="C381" t="s">
        <v>8</v>
      </c>
      <c r="D381">
        <f t="shared" si="22"/>
        <v>132</v>
      </c>
      <c r="E381">
        <f t="shared" si="23"/>
        <v>0</v>
      </c>
      <c r="F381">
        <f t="shared" si="21"/>
        <v>132</v>
      </c>
    </row>
    <row r="382" spans="1:6" x14ac:dyDescent="0.25">
      <c r="A382" s="1">
        <v>45307</v>
      </c>
      <c r="B382">
        <f t="shared" si="20"/>
        <v>2</v>
      </c>
      <c r="C382" t="s">
        <v>8</v>
      </c>
      <c r="D382">
        <f t="shared" si="22"/>
        <v>132</v>
      </c>
      <c r="E382">
        <f t="shared" si="23"/>
        <v>0</v>
      </c>
      <c r="F382">
        <f t="shared" si="21"/>
        <v>132</v>
      </c>
    </row>
    <row r="383" spans="1:6" x14ac:dyDescent="0.25">
      <c r="A383" s="1">
        <v>45308</v>
      </c>
      <c r="B383">
        <f t="shared" si="20"/>
        <v>3</v>
      </c>
      <c r="C383" t="s">
        <v>8</v>
      </c>
      <c r="D383">
        <f t="shared" si="22"/>
        <v>132</v>
      </c>
      <c r="E383">
        <f t="shared" si="23"/>
        <v>0</v>
      </c>
      <c r="F383">
        <f t="shared" si="21"/>
        <v>132</v>
      </c>
    </row>
    <row r="384" spans="1:6" x14ac:dyDescent="0.25">
      <c r="A384" s="1">
        <v>45309</v>
      </c>
      <c r="B384">
        <f t="shared" si="20"/>
        <v>4</v>
      </c>
      <c r="C384" t="s">
        <v>8</v>
      </c>
      <c r="D384">
        <f t="shared" si="22"/>
        <v>132</v>
      </c>
      <c r="E384">
        <f t="shared" si="23"/>
        <v>0</v>
      </c>
      <c r="F384">
        <f t="shared" si="21"/>
        <v>132</v>
      </c>
    </row>
    <row r="385" spans="1:6" x14ac:dyDescent="0.25">
      <c r="A385" s="1">
        <v>45310</v>
      </c>
      <c r="B385">
        <f t="shared" si="20"/>
        <v>5</v>
      </c>
      <c r="C385" t="s">
        <v>8</v>
      </c>
      <c r="D385">
        <f t="shared" si="22"/>
        <v>132</v>
      </c>
      <c r="E385">
        <f t="shared" si="23"/>
        <v>0</v>
      </c>
      <c r="F385">
        <f t="shared" si="21"/>
        <v>132</v>
      </c>
    </row>
    <row r="386" spans="1:6" x14ac:dyDescent="0.25">
      <c r="A386" s="1">
        <v>45311</v>
      </c>
      <c r="B386">
        <f t="shared" si="20"/>
        <v>6</v>
      </c>
      <c r="C386" t="s">
        <v>8</v>
      </c>
      <c r="D386">
        <f t="shared" si="22"/>
        <v>0</v>
      </c>
      <c r="E386">
        <f t="shared" si="23"/>
        <v>0</v>
      </c>
      <c r="F386">
        <f t="shared" si="21"/>
        <v>0</v>
      </c>
    </row>
    <row r="387" spans="1:6" x14ac:dyDescent="0.25">
      <c r="A387" s="1">
        <v>45312</v>
      </c>
      <c r="B387">
        <f t="shared" ref="B387:B450" si="24">WEEKDAY(A387,2)</f>
        <v>7</v>
      </c>
      <c r="C387" t="s">
        <v>8</v>
      </c>
      <c r="D387">
        <f t="shared" si="22"/>
        <v>0</v>
      </c>
      <c r="E387">
        <f t="shared" si="23"/>
        <v>150</v>
      </c>
      <c r="F387">
        <f t="shared" ref="F387:F450" si="25">D387-E387</f>
        <v>-150</v>
      </c>
    </row>
    <row r="388" spans="1:6" x14ac:dyDescent="0.25">
      <c r="A388" s="1">
        <v>45313</v>
      </c>
      <c r="B388">
        <f t="shared" si="24"/>
        <v>1</v>
      </c>
      <c r="C388" t="s">
        <v>8</v>
      </c>
      <c r="D388">
        <f t="shared" ref="D388:D451" si="26">IF(B388&lt;6,$Q$1*VLOOKUP(C388,$S$1:$T$5,2,FALSE)*$Q$3,0)</f>
        <v>132</v>
      </c>
      <c r="E388">
        <f t="shared" ref="E388:E451" si="27">IF(B388=7,$Q$4*$Q$1,0)</f>
        <v>0</v>
      </c>
      <c r="F388">
        <f t="shared" si="25"/>
        <v>132</v>
      </c>
    </row>
    <row r="389" spans="1:6" x14ac:dyDescent="0.25">
      <c r="A389" s="1">
        <v>45314</v>
      </c>
      <c r="B389">
        <f t="shared" si="24"/>
        <v>2</v>
      </c>
      <c r="C389" t="s">
        <v>8</v>
      </c>
      <c r="D389">
        <f t="shared" si="26"/>
        <v>132</v>
      </c>
      <c r="E389">
        <f t="shared" si="27"/>
        <v>0</v>
      </c>
      <c r="F389">
        <f t="shared" si="25"/>
        <v>132</v>
      </c>
    </row>
    <row r="390" spans="1:6" x14ac:dyDescent="0.25">
      <c r="A390" s="1">
        <v>45315</v>
      </c>
      <c r="B390">
        <f t="shared" si="24"/>
        <v>3</v>
      </c>
      <c r="C390" t="s">
        <v>8</v>
      </c>
      <c r="D390">
        <f t="shared" si="26"/>
        <v>132</v>
      </c>
      <c r="E390">
        <f t="shared" si="27"/>
        <v>0</v>
      </c>
      <c r="F390">
        <f t="shared" si="25"/>
        <v>132</v>
      </c>
    </row>
    <row r="391" spans="1:6" x14ac:dyDescent="0.25">
      <c r="A391" s="1">
        <v>45316</v>
      </c>
      <c r="B391">
        <f t="shared" si="24"/>
        <v>4</v>
      </c>
      <c r="C391" t="s">
        <v>8</v>
      </c>
      <c r="D391">
        <f t="shared" si="26"/>
        <v>132</v>
      </c>
      <c r="E391">
        <f t="shared" si="27"/>
        <v>0</v>
      </c>
      <c r="F391">
        <f t="shared" si="25"/>
        <v>132</v>
      </c>
    </row>
    <row r="392" spans="1:6" x14ac:dyDescent="0.25">
      <c r="A392" s="1">
        <v>45317</v>
      </c>
      <c r="B392">
        <f t="shared" si="24"/>
        <v>5</v>
      </c>
      <c r="C392" t="s">
        <v>8</v>
      </c>
      <c r="D392">
        <f t="shared" si="26"/>
        <v>132</v>
      </c>
      <c r="E392">
        <f t="shared" si="27"/>
        <v>0</v>
      </c>
      <c r="F392">
        <f t="shared" si="25"/>
        <v>132</v>
      </c>
    </row>
    <row r="393" spans="1:6" x14ac:dyDescent="0.25">
      <c r="A393" s="1">
        <v>45318</v>
      </c>
      <c r="B393">
        <f t="shared" si="24"/>
        <v>6</v>
      </c>
      <c r="C393" t="s">
        <v>8</v>
      </c>
      <c r="D393">
        <f t="shared" si="26"/>
        <v>0</v>
      </c>
      <c r="E393">
        <f t="shared" si="27"/>
        <v>0</v>
      </c>
      <c r="F393">
        <f t="shared" si="25"/>
        <v>0</v>
      </c>
    </row>
    <row r="394" spans="1:6" x14ac:dyDescent="0.25">
      <c r="A394" s="1">
        <v>45319</v>
      </c>
      <c r="B394">
        <f t="shared" si="24"/>
        <v>7</v>
      </c>
      <c r="C394" t="s">
        <v>8</v>
      </c>
      <c r="D394">
        <f t="shared" si="26"/>
        <v>0</v>
      </c>
      <c r="E394">
        <f t="shared" si="27"/>
        <v>150</v>
      </c>
      <c r="F394">
        <f t="shared" si="25"/>
        <v>-150</v>
      </c>
    </row>
    <row r="395" spans="1:6" x14ac:dyDescent="0.25">
      <c r="A395" s="1">
        <v>45320</v>
      </c>
      <c r="B395">
        <f t="shared" si="24"/>
        <v>1</v>
      </c>
      <c r="C395" t="s">
        <v>8</v>
      </c>
      <c r="D395">
        <f t="shared" si="26"/>
        <v>132</v>
      </c>
      <c r="E395">
        <f t="shared" si="27"/>
        <v>0</v>
      </c>
      <c r="F395">
        <f t="shared" si="25"/>
        <v>132</v>
      </c>
    </row>
    <row r="396" spans="1:6" x14ac:dyDescent="0.25">
      <c r="A396" s="1">
        <v>45321</v>
      </c>
      <c r="B396">
        <f t="shared" si="24"/>
        <v>2</v>
      </c>
      <c r="C396" t="s">
        <v>8</v>
      </c>
      <c r="D396">
        <f t="shared" si="26"/>
        <v>132</v>
      </c>
      <c r="E396">
        <f t="shared" si="27"/>
        <v>0</v>
      </c>
      <c r="F396">
        <f t="shared" si="25"/>
        <v>132</v>
      </c>
    </row>
    <row r="397" spans="1:6" x14ac:dyDescent="0.25">
      <c r="A397" s="1">
        <v>45322</v>
      </c>
      <c r="B397">
        <f t="shared" si="24"/>
        <v>3</v>
      </c>
      <c r="C397" t="s">
        <v>8</v>
      </c>
      <c r="D397">
        <f t="shared" si="26"/>
        <v>132</v>
      </c>
      <c r="E397">
        <f t="shared" si="27"/>
        <v>0</v>
      </c>
      <c r="F397">
        <f t="shared" si="25"/>
        <v>132</v>
      </c>
    </row>
    <row r="398" spans="1:6" x14ac:dyDescent="0.25">
      <c r="A398" s="1">
        <v>45323</v>
      </c>
      <c r="B398">
        <f t="shared" si="24"/>
        <v>4</v>
      </c>
      <c r="C398" t="s">
        <v>8</v>
      </c>
      <c r="D398">
        <f t="shared" si="26"/>
        <v>132</v>
      </c>
      <c r="E398">
        <f t="shared" si="27"/>
        <v>0</v>
      </c>
      <c r="F398">
        <f t="shared" si="25"/>
        <v>132</v>
      </c>
    </row>
    <row r="399" spans="1:6" x14ac:dyDescent="0.25">
      <c r="A399" s="1">
        <v>45324</v>
      </c>
      <c r="B399">
        <f t="shared" si="24"/>
        <v>5</v>
      </c>
      <c r="C399" t="s">
        <v>8</v>
      </c>
      <c r="D399">
        <f t="shared" si="26"/>
        <v>132</v>
      </c>
      <c r="E399">
        <f t="shared" si="27"/>
        <v>0</v>
      </c>
      <c r="F399">
        <f t="shared" si="25"/>
        <v>132</v>
      </c>
    </row>
    <row r="400" spans="1:6" x14ac:dyDescent="0.25">
      <c r="A400" s="1">
        <v>45325</v>
      </c>
      <c r="B400">
        <f t="shared" si="24"/>
        <v>6</v>
      </c>
      <c r="C400" t="s">
        <v>8</v>
      </c>
      <c r="D400">
        <f t="shared" si="26"/>
        <v>0</v>
      </c>
      <c r="E400">
        <f t="shared" si="27"/>
        <v>0</v>
      </c>
      <c r="F400">
        <f t="shared" si="25"/>
        <v>0</v>
      </c>
    </row>
    <row r="401" spans="1:6" x14ac:dyDescent="0.25">
      <c r="A401" s="1">
        <v>45326</v>
      </c>
      <c r="B401">
        <f t="shared" si="24"/>
        <v>7</v>
      </c>
      <c r="C401" t="s">
        <v>8</v>
      </c>
      <c r="D401">
        <f t="shared" si="26"/>
        <v>0</v>
      </c>
      <c r="E401">
        <f t="shared" si="27"/>
        <v>150</v>
      </c>
      <c r="F401">
        <f t="shared" si="25"/>
        <v>-150</v>
      </c>
    </row>
    <row r="402" spans="1:6" x14ac:dyDescent="0.25">
      <c r="A402" s="1">
        <v>45327</v>
      </c>
      <c r="B402">
        <f t="shared" si="24"/>
        <v>1</v>
      </c>
      <c r="C402" t="s">
        <v>8</v>
      </c>
      <c r="D402">
        <f t="shared" si="26"/>
        <v>132</v>
      </c>
      <c r="E402">
        <f t="shared" si="27"/>
        <v>0</v>
      </c>
      <c r="F402">
        <f t="shared" si="25"/>
        <v>132</v>
      </c>
    </row>
    <row r="403" spans="1:6" x14ac:dyDescent="0.25">
      <c r="A403" s="1">
        <v>45328</v>
      </c>
      <c r="B403">
        <f t="shared" si="24"/>
        <v>2</v>
      </c>
      <c r="C403" t="s">
        <v>8</v>
      </c>
      <c r="D403">
        <f t="shared" si="26"/>
        <v>132</v>
      </c>
      <c r="E403">
        <f t="shared" si="27"/>
        <v>0</v>
      </c>
      <c r="F403">
        <f t="shared" si="25"/>
        <v>132</v>
      </c>
    </row>
    <row r="404" spans="1:6" x14ac:dyDescent="0.25">
      <c r="A404" s="1">
        <v>45329</v>
      </c>
      <c r="B404">
        <f t="shared" si="24"/>
        <v>3</v>
      </c>
      <c r="C404" t="s">
        <v>8</v>
      </c>
      <c r="D404">
        <f t="shared" si="26"/>
        <v>132</v>
      </c>
      <c r="E404">
        <f t="shared" si="27"/>
        <v>0</v>
      </c>
      <c r="F404">
        <f t="shared" si="25"/>
        <v>132</v>
      </c>
    </row>
    <row r="405" spans="1:6" x14ac:dyDescent="0.25">
      <c r="A405" s="1">
        <v>45330</v>
      </c>
      <c r="B405">
        <f t="shared" si="24"/>
        <v>4</v>
      </c>
      <c r="C405" t="s">
        <v>8</v>
      </c>
      <c r="D405">
        <f t="shared" si="26"/>
        <v>132</v>
      </c>
      <c r="E405">
        <f t="shared" si="27"/>
        <v>0</v>
      </c>
      <c r="F405">
        <f t="shared" si="25"/>
        <v>132</v>
      </c>
    </row>
    <row r="406" spans="1:6" x14ac:dyDescent="0.25">
      <c r="A406" s="1">
        <v>45331</v>
      </c>
      <c r="B406">
        <f t="shared" si="24"/>
        <v>5</v>
      </c>
      <c r="C406" t="s">
        <v>8</v>
      </c>
      <c r="D406">
        <f t="shared" si="26"/>
        <v>132</v>
      </c>
      <c r="E406">
        <f t="shared" si="27"/>
        <v>0</v>
      </c>
      <c r="F406">
        <f t="shared" si="25"/>
        <v>132</v>
      </c>
    </row>
    <row r="407" spans="1:6" x14ac:dyDescent="0.25">
      <c r="A407" s="1">
        <v>45332</v>
      </c>
      <c r="B407">
        <f t="shared" si="24"/>
        <v>6</v>
      </c>
      <c r="C407" t="s">
        <v>8</v>
      </c>
      <c r="D407">
        <f t="shared" si="26"/>
        <v>0</v>
      </c>
      <c r="E407">
        <f t="shared" si="27"/>
        <v>0</v>
      </c>
      <c r="F407">
        <f t="shared" si="25"/>
        <v>0</v>
      </c>
    </row>
    <row r="408" spans="1:6" x14ac:dyDescent="0.25">
      <c r="A408" s="1">
        <v>45333</v>
      </c>
      <c r="B408">
        <f t="shared" si="24"/>
        <v>7</v>
      </c>
      <c r="C408" t="s">
        <v>8</v>
      </c>
      <c r="D408">
        <f t="shared" si="26"/>
        <v>0</v>
      </c>
      <c r="E408">
        <f t="shared" si="27"/>
        <v>150</v>
      </c>
      <c r="F408">
        <f t="shared" si="25"/>
        <v>-150</v>
      </c>
    </row>
    <row r="409" spans="1:6" x14ac:dyDescent="0.25">
      <c r="A409" s="1">
        <v>45334</v>
      </c>
      <c r="B409">
        <f t="shared" si="24"/>
        <v>1</v>
      </c>
      <c r="C409" t="s">
        <v>8</v>
      </c>
      <c r="D409">
        <f t="shared" si="26"/>
        <v>132</v>
      </c>
      <c r="E409">
        <f t="shared" si="27"/>
        <v>0</v>
      </c>
      <c r="F409">
        <f t="shared" si="25"/>
        <v>132</v>
      </c>
    </row>
    <row r="410" spans="1:6" x14ac:dyDescent="0.25">
      <c r="A410" s="1">
        <v>45335</v>
      </c>
      <c r="B410">
        <f t="shared" si="24"/>
        <v>2</v>
      </c>
      <c r="C410" t="s">
        <v>8</v>
      </c>
      <c r="D410">
        <f t="shared" si="26"/>
        <v>132</v>
      </c>
      <c r="E410">
        <f t="shared" si="27"/>
        <v>0</v>
      </c>
      <c r="F410">
        <f t="shared" si="25"/>
        <v>132</v>
      </c>
    </row>
    <row r="411" spans="1:6" x14ac:dyDescent="0.25">
      <c r="A411" s="1">
        <v>45336</v>
      </c>
      <c r="B411">
        <f t="shared" si="24"/>
        <v>3</v>
      </c>
      <c r="C411" t="s">
        <v>8</v>
      </c>
      <c r="D411">
        <f t="shared" si="26"/>
        <v>132</v>
      </c>
      <c r="E411">
        <f t="shared" si="27"/>
        <v>0</v>
      </c>
      <c r="F411">
        <f t="shared" si="25"/>
        <v>132</v>
      </c>
    </row>
    <row r="412" spans="1:6" x14ac:dyDescent="0.25">
      <c r="A412" s="1">
        <v>45337</v>
      </c>
      <c r="B412">
        <f t="shared" si="24"/>
        <v>4</v>
      </c>
      <c r="C412" t="s">
        <v>8</v>
      </c>
      <c r="D412">
        <f t="shared" si="26"/>
        <v>132</v>
      </c>
      <c r="E412">
        <f t="shared" si="27"/>
        <v>0</v>
      </c>
      <c r="F412">
        <f t="shared" si="25"/>
        <v>132</v>
      </c>
    </row>
    <row r="413" spans="1:6" x14ac:dyDescent="0.25">
      <c r="A413" s="1">
        <v>45338</v>
      </c>
      <c r="B413">
        <f t="shared" si="24"/>
        <v>5</v>
      </c>
      <c r="C413" t="s">
        <v>8</v>
      </c>
      <c r="D413">
        <f t="shared" si="26"/>
        <v>132</v>
      </c>
      <c r="E413">
        <f t="shared" si="27"/>
        <v>0</v>
      </c>
      <c r="F413">
        <f t="shared" si="25"/>
        <v>132</v>
      </c>
    </row>
    <row r="414" spans="1:6" x14ac:dyDescent="0.25">
      <c r="A414" s="1">
        <v>45339</v>
      </c>
      <c r="B414">
        <f t="shared" si="24"/>
        <v>6</v>
      </c>
      <c r="C414" t="s">
        <v>8</v>
      </c>
      <c r="D414">
        <f t="shared" si="26"/>
        <v>0</v>
      </c>
      <c r="E414">
        <f t="shared" si="27"/>
        <v>0</v>
      </c>
      <c r="F414">
        <f t="shared" si="25"/>
        <v>0</v>
      </c>
    </row>
    <row r="415" spans="1:6" x14ac:dyDescent="0.25">
      <c r="A415" s="1">
        <v>45340</v>
      </c>
      <c r="B415">
        <f t="shared" si="24"/>
        <v>7</v>
      </c>
      <c r="C415" t="s">
        <v>8</v>
      </c>
      <c r="D415">
        <f t="shared" si="26"/>
        <v>0</v>
      </c>
      <c r="E415">
        <f t="shared" si="27"/>
        <v>150</v>
      </c>
      <c r="F415">
        <f t="shared" si="25"/>
        <v>-150</v>
      </c>
    </row>
    <row r="416" spans="1:6" x14ac:dyDescent="0.25">
      <c r="A416" s="1">
        <v>45341</v>
      </c>
      <c r="B416">
        <f t="shared" si="24"/>
        <v>1</v>
      </c>
      <c r="C416" t="s">
        <v>8</v>
      </c>
      <c r="D416">
        <f t="shared" si="26"/>
        <v>132</v>
      </c>
      <c r="E416">
        <f t="shared" si="27"/>
        <v>0</v>
      </c>
      <c r="F416">
        <f t="shared" si="25"/>
        <v>132</v>
      </c>
    </row>
    <row r="417" spans="1:6" x14ac:dyDescent="0.25">
      <c r="A417" s="1">
        <v>45342</v>
      </c>
      <c r="B417">
        <f t="shared" si="24"/>
        <v>2</v>
      </c>
      <c r="C417" t="s">
        <v>8</v>
      </c>
      <c r="D417">
        <f t="shared" si="26"/>
        <v>132</v>
      </c>
      <c r="E417">
        <f t="shared" si="27"/>
        <v>0</v>
      </c>
      <c r="F417">
        <f t="shared" si="25"/>
        <v>132</v>
      </c>
    </row>
    <row r="418" spans="1:6" x14ac:dyDescent="0.25">
      <c r="A418" s="1">
        <v>45343</v>
      </c>
      <c r="B418">
        <f t="shared" si="24"/>
        <v>3</v>
      </c>
      <c r="C418" t="s">
        <v>8</v>
      </c>
      <c r="D418">
        <f t="shared" si="26"/>
        <v>132</v>
      </c>
      <c r="E418">
        <f t="shared" si="27"/>
        <v>0</v>
      </c>
      <c r="F418">
        <f t="shared" si="25"/>
        <v>132</v>
      </c>
    </row>
    <row r="419" spans="1:6" x14ac:dyDescent="0.25">
      <c r="A419" s="1">
        <v>45344</v>
      </c>
      <c r="B419">
        <f t="shared" si="24"/>
        <v>4</v>
      </c>
      <c r="C419" t="s">
        <v>8</v>
      </c>
      <c r="D419">
        <f t="shared" si="26"/>
        <v>132</v>
      </c>
      <c r="E419">
        <f t="shared" si="27"/>
        <v>0</v>
      </c>
      <c r="F419">
        <f t="shared" si="25"/>
        <v>132</v>
      </c>
    </row>
    <row r="420" spans="1:6" x14ac:dyDescent="0.25">
      <c r="A420" s="1">
        <v>45345</v>
      </c>
      <c r="B420">
        <f t="shared" si="24"/>
        <v>5</v>
      </c>
      <c r="C420" t="s">
        <v>8</v>
      </c>
      <c r="D420">
        <f t="shared" si="26"/>
        <v>132</v>
      </c>
      <c r="E420">
        <f t="shared" si="27"/>
        <v>0</v>
      </c>
      <c r="F420">
        <f t="shared" si="25"/>
        <v>132</v>
      </c>
    </row>
    <row r="421" spans="1:6" x14ac:dyDescent="0.25">
      <c r="A421" s="1">
        <v>45346</v>
      </c>
      <c r="B421">
        <f t="shared" si="24"/>
        <v>6</v>
      </c>
      <c r="C421" t="s">
        <v>8</v>
      </c>
      <c r="D421">
        <f t="shared" si="26"/>
        <v>0</v>
      </c>
      <c r="E421">
        <f t="shared" si="27"/>
        <v>0</v>
      </c>
      <c r="F421">
        <f t="shared" si="25"/>
        <v>0</v>
      </c>
    </row>
    <row r="422" spans="1:6" x14ac:dyDescent="0.25">
      <c r="A422" s="1">
        <v>45347</v>
      </c>
      <c r="B422">
        <f t="shared" si="24"/>
        <v>7</v>
      </c>
      <c r="C422" t="s">
        <v>8</v>
      </c>
      <c r="D422">
        <f t="shared" si="26"/>
        <v>0</v>
      </c>
      <c r="E422">
        <f t="shared" si="27"/>
        <v>150</v>
      </c>
      <c r="F422">
        <f t="shared" si="25"/>
        <v>-150</v>
      </c>
    </row>
    <row r="423" spans="1:6" x14ac:dyDescent="0.25">
      <c r="A423" s="1">
        <v>45348</v>
      </c>
      <c r="B423">
        <f t="shared" si="24"/>
        <v>1</v>
      </c>
      <c r="C423" t="s">
        <v>8</v>
      </c>
      <c r="D423">
        <f t="shared" si="26"/>
        <v>132</v>
      </c>
      <c r="E423">
        <f t="shared" si="27"/>
        <v>0</v>
      </c>
      <c r="F423">
        <f t="shared" si="25"/>
        <v>132</v>
      </c>
    </row>
    <row r="424" spans="1:6" x14ac:dyDescent="0.25">
      <c r="A424" s="1">
        <v>45349</v>
      </c>
      <c r="B424">
        <f t="shared" si="24"/>
        <v>2</v>
      </c>
      <c r="C424" t="s">
        <v>8</v>
      </c>
      <c r="D424">
        <f t="shared" si="26"/>
        <v>132</v>
      </c>
      <c r="E424">
        <f t="shared" si="27"/>
        <v>0</v>
      </c>
      <c r="F424">
        <f t="shared" si="25"/>
        <v>132</v>
      </c>
    </row>
    <row r="425" spans="1:6" x14ac:dyDescent="0.25">
      <c r="A425" s="1">
        <v>45350</v>
      </c>
      <c r="B425">
        <f t="shared" si="24"/>
        <v>3</v>
      </c>
      <c r="C425" t="s">
        <v>8</v>
      </c>
      <c r="D425">
        <f t="shared" si="26"/>
        <v>132</v>
      </c>
      <c r="E425">
        <f t="shared" si="27"/>
        <v>0</v>
      </c>
      <c r="F425">
        <f t="shared" si="25"/>
        <v>132</v>
      </c>
    </row>
    <row r="426" spans="1:6" x14ac:dyDescent="0.25">
      <c r="A426" s="1">
        <v>45351</v>
      </c>
      <c r="B426">
        <f t="shared" si="24"/>
        <v>4</v>
      </c>
      <c r="C426" t="s">
        <v>8</v>
      </c>
      <c r="D426">
        <f t="shared" si="26"/>
        <v>132</v>
      </c>
      <c r="E426">
        <f t="shared" si="27"/>
        <v>0</v>
      </c>
      <c r="F426">
        <f t="shared" si="25"/>
        <v>132</v>
      </c>
    </row>
    <row r="427" spans="1:6" x14ac:dyDescent="0.25">
      <c r="A427" s="1">
        <v>45352</v>
      </c>
      <c r="B427">
        <f t="shared" si="24"/>
        <v>5</v>
      </c>
      <c r="C427" t="s">
        <v>8</v>
      </c>
      <c r="D427">
        <f t="shared" si="26"/>
        <v>132</v>
      </c>
      <c r="E427">
        <f t="shared" si="27"/>
        <v>0</v>
      </c>
      <c r="F427">
        <f t="shared" si="25"/>
        <v>132</v>
      </c>
    </row>
    <row r="428" spans="1:6" x14ac:dyDescent="0.25">
      <c r="A428" s="1">
        <v>45353</v>
      </c>
      <c r="B428">
        <f t="shared" si="24"/>
        <v>6</v>
      </c>
      <c r="C428" t="s">
        <v>8</v>
      </c>
      <c r="D428">
        <f t="shared" si="26"/>
        <v>0</v>
      </c>
      <c r="E428">
        <f t="shared" si="27"/>
        <v>0</v>
      </c>
      <c r="F428">
        <f t="shared" si="25"/>
        <v>0</v>
      </c>
    </row>
    <row r="429" spans="1:6" x14ac:dyDescent="0.25">
      <c r="A429" s="1">
        <v>45354</v>
      </c>
      <c r="B429">
        <f t="shared" si="24"/>
        <v>7</v>
      </c>
      <c r="C429" t="s">
        <v>8</v>
      </c>
      <c r="D429">
        <f t="shared" si="26"/>
        <v>0</v>
      </c>
      <c r="E429">
        <f t="shared" si="27"/>
        <v>150</v>
      </c>
      <c r="F429">
        <f t="shared" si="25"/>
        <v>-150</v>
      </c>
    </row>
    <row r="430" spans="1:6" x14ac:dyDescent="0.25">
      <c r="A430" s="1">
        <v>45355</v>
      </c>
      <c r="B430">
        <f t="shared" si="24"/>
        <v>1</v>
      </c>
      <c r="C430" t="s">
        <v>8</v>
      </c>
      <c r="D430">
        <f t="shared" si="26"/>
        <v>132</v>
      </c>
      <c r="E430">
        <f t="shared" si="27"/>
        <v>0</v>
      </c>
      <c r="F430">
        <f t="shared" si="25"/>
        <v>132</v>
      </c>
    </row>
    <row r="431" spans="1:6" x14ac:dyDescent="0.25">
      <c r="A431" s="1">
        <v>45356</v>
      </c>
      <c r="B431">
        <f t="shared" si="24"/>
        <v>2</v>
      </c>
      <c r="C431" t="s">
        <v>8</v>
      </c>
      <c r="D431">
        <f t="shared" si="26"/>
        <v>132</v>
      </c>
      <c r="E431">
        <f t="shared" si="27"/>
        <v>0</v>
      </c>
      <c r="F431">
        <f t="shared" si="25"/>
        <v>132</v>
      </c>
    </row>
    <row r="432" spans="1:6" x14ac:dyDescent="0.25">
      <c r="A432" s="1">
        <v>45357</v>
      </c>
      <c r="B432">
        <f t="shared" si="24"/>
        <v>3</v>
      </c>
      <c r="C432" t="s">
        <v>8</v>
      </c>
      <c r="D432">
        <f t="shared" si="26"/>
        <v>132</v>
      </c>
      <c r="E432">
        <f t="shared" si="27"/>
        <v>0</v>
      </c>
      <c r="F432">
        <f t="shared" si="25"/>
        <v>132</v>
      </c>
    </row>
    <row r="433" spans="1:6" x14ac:dyDescent="0.25">
      <c r="A433" s="1">
        <v>45358</v>
      </c>
      <c r="B433">
        <f t="shared" si="24"/>
        <v>4</v>
      </c>
      <c r="C433" t="s">
        <v>8</v>
      </c>
      <c r="D433">
        <f t="shared" si="26"/>
        <v>132</v>
      </c>
      <c r="E433">
        <f t="shared" si="27"/>
        <v>0</v>
      </c>
      <c r="F433">
        <f t="shared" si="25"/>
        <v>132</v>
      </c>
    </row>
    <row r="434" spans="1:6" x14ac:dyDescent="0.25">
      <c r="A434" s="1">
        <v>45359</v>
      </c>
      <c r="B434">
        <f t="shared" si="24"/>
        <v>5</v>
      </c>
      <c r="C434" t="s">
        <v>8</v>
      </c>
      <c r="D434">
        <f t="shared" si="26"/>
        <v>132</v>
      </c>
      <c r="E434">
        <f t="shared" si="27"/>
        <v>0</v>
      </c>
      <c r="F434">
        <f t="shared" si="25"/>
        <v>132</v>
      </c>
    </row>
    <row r="435" spans="1:6" x14ac:dyDescent="0.25">
      <c r="A435" s="1">
        <v>45360</v>
      </c>
      <c r="B435">
        <f t="shared" si="24"/>
        <v>6</v>
      </c>
      <c r="C435" t="s">
        <v>8</v>
      </c>
      <c r="D435">
        <f t="shared" si="26"/>
        <v>0</v>
      </c>
      <c r="E435">
        <f t="shared" si="27"/>
        <v>0</v>
      </c>
      <c r="F435">
        <f t="shared" si="25"/>
        <v>0</v>
      </c>
    </row>
    <row r="436" spans="1:6" x14ac:dyDescent="0.25">
      <c r="A436" s="1">
        <v>45361</v>
      </c>
      <c r="B436">
        <f t="shared" si="24"/>
        <v>7</v>
      </c>
      <c r="C436" t="s">
        <v>8</v>
      </c>
      <c r="D436">
        <f t="shared" si="26"/>
        <v>0</v>
      </c>
      <c r="E436">
        <f t="shared" si="27"/>
        <v>150</v>
      </c>
      <c r="F436">
        <f t="shared" si="25"/>
        <v>-150</v>
      </c>
    </row>
    <row r="437" spans="1:6" x14ac:dyDescent="0.25">
      <c r="A437" s="1">
        <v>45362</v>
      </c>
      <c r="B437">
        <f t="shared" si="24"/>
        <v>1</v>
      </c>
      <c r="C437" t="s">
        <v>8</v>
      </c>
      <c r="D437">
        <f t="shared" si="26"/>
        <v>132</v>
      </c>
      <c r="E437">
        <f t="shared" si="27"/>
        <v>0</v>
      </c>
      <c r="F437">
        <f t="shared" si="25"/>
        <v>132</v>
      </c>
    </row>
    <row r="438" spans="1:6" x14ac:dyDescent="0.25">
      <c r="A438" s="1">
        <v>45363</v>
      </c>
      <c r="B438">
        <f t="shared" si="24"/>
        <v>2</v>
      </c>
      <c r="C438" t="s">
        <v>8</v>
      </c>
      <c r="D438">
        <f t="shared" si="26"/>
        <v>132</v>
      </c>
      <c r="E438">
        <f t="shared" si="27"/>
        <v>0</v>
      </c>
      <c r="F438">
        <f t="shared" si="25"/>
        <v>132</v>
      </c>
    </row>
    <row r="439" spans="1:6" x14ac:dyDescent="0.25">
      <c r="A439" s="1">
        <v>45364</v>
      </c>
      <c r="B439">
        <f t="shared" si="24"/>
        <v>3</v>
      </c>
      <c r="C439" t="s">
        <v>8</v>
      </c>
      <c r="D439">
        <f t="shared" si="26"/>
        <v>132</v>
      </c>
      <c r="E439">
        <f t="shared" si="27"/>
        <v>0</v>
      </c>
      <c r="F439">
        <f t="shared" si="25"/>
        <v>132</v>
      </c>
    </row>
    <row r="440" spans="1:6" x14ac:dyDescent="0.25">
      <c r="A440" s="1">
        <v>45365</v>
      </c>
      <c r="B440">
        <f t="shared" si="24"/>
        <v>4</v>
      </c>
      <c r="C440" t="s">
        <v>8</v>
      </c>
      <c r="D440">
        <f t="shared" si="26"/>
        <v>132</v>
      </c>
      <c r="E440">
        <f t="shared" si="27"/>
        <v>0</v>
      </c>
      <c r="F440">
        <f t="shared" si="25"/>
        <v>132</v>
      </c>
    </row>
    <row r="441" spans="1:6" x14ac:dyDescent="0.25">
      <c r="A441" s="1">
        <v>45366</v>
      </c>
      <c r="B441">
        <f t="shared" si="24"/>
        <v>5</v>
      </c>
      <c r="C441" t="s">
        <v>8</v>
      </c>
      <c r="D441">
        <f t="shared" si="26"/>
        <v>132</v>
      </c>
      <c r="E441">
        <f t="shared" si="27"/>
        <v>0</v>
      </c>
      <c r="F441">
        <f t="shared" si="25"/>
        <v>132</v>
      </c>
    </row>
    <row r="442" spans="1:6" x14ac:dyDescent="0.25">
      <c r="A442" s="1">
        <v>45367</v>
      </c>
      <c r="B442">
        <f t="shared" si="24"/>
        <v>6</v>
      </c>
      <c r="C442" t="s">
        <v>8</v>
      </c>
      <c r="D442">
        <f t="shared" si="26"/>
        <v>0</v>
      </c>
      <c r="E442">
        <f t="shared" si="27"/>
        <v>0</v>
      </c>
      <c r="F442">
        <f t="shared" si="25"/>
        <v>0</v>
      </c>
    </row>
    <row r="443" spans="1:6" x14ac:dyDescent="0.25">
      <c r="A443" s="1">
        <v>45368</v>
      </c>
      <c r="B443">
        <f t="shared" si="24"/>
        <v>7</v>
      </c>
      <c r="C443" t="s">
        <v>8</v>
      </c>
      <c r="D443">
        <f t="shared" si="26"/>
        <v>0</v>
      </c>
      <c r="E443">
        <f t="shared" si="27"/>
        <v>150</v>
      </c>
      <c r="F443">
        <f t="shared" si="25"/>
        <v>-150</v>
      </c>
    </row>
    <row r="444" spans="1:6" x14ac:dyDescent="0.25">
      <c r="A444" s="1">
        <v>45369</v>
      </c>
      <c r="B444">
        <f t="shared" si="24"/>
        <v>1</v>
      </c>
      <c r="C444" t="s">
        <v>8</v>
      </c>
      <c r="D444">
        <f t="shared" si="26"/>
        <v>132</v>
      </c>
      <c r="E444">
        <f t="shared" si="27"/>
        <v>0</v>
      </c>
      <c r="F444">
        <f t="shared" si="25"/>
        <v>132</v>
      </c>
    </row>
    <row r="445" spans="1:6" x14ac:dyDescent="0.25">
      <c r="A445" s="1">
        <v>45370</v>
      </c>
      <c r="B445">
        <f t="shared" si="24"/>
        <v>2</v>
      </c>
      <c r="C445" t="s">
        <v>8</v>
      </c>
      <c r="D445">
        <f t="shared" si="26"/>
        <v>132</v>
      </c>
      <c r="E445">
        <f t="shared" si="27"/>
        <v>0</v>
      </c>
      <c r="F445">
        <f t="shared" si="25"/>
        <v>132</v>
      </c>
    </row>
    <row r="446" spans="1:6" x14ac:dyDescent="0.25">
      <c r="A446" s="1">
        <v>45371</v>
      </c>
      <c r="B446">
        <f t="shared" si="24"/>
        <v>3</v>
      </c>
      <c r="C446" t="s">
        <v>8</v>
      </c>
      <c r="D446">
        <f t="shared" si="26"/>
        <v>132</v>
      </c>
      <c r="E446">
        <f t="shared" si="27"/>
        <v>0</v>
      </c>
      <c r="F446">
        <f t="shared" si="25"/>
        <v>132</v>
      </c>
    </row>
    <row r="447" spans="1:6" x14ac:dyDescent="0.25">
      <c r="A447" s="1">
        <v>45372</v>
      </c>
      <c r="B447">
        <f t="shared" si="24"/>
        <v>4</v>
      </c>
      <c r="C447" t="s">
        <v>9</v>
      </c>
      <c r="D447">
        <f t="shared" si="26"/>
        <v>330</v>
      </c>
      <c r="E447">
        <f t="shared" si="27"/>
        <v>0</v>
      </c>
      <c r="F447">
        <f t="shared" si="25"/>
        <v>330</v>
      </c>
    </row>
    <row r="448" spans="1:6" x14ac:dyDescent="0.25">
      <c r="A448" s="1">
        <v>45373</v>
      </c>
      <c r="B448">
        <f t="shared" si="24"/>
        <v>5</v>
      </c>
      <c r="C448" t="s">
        <v>9</v>
      </c>
      <c r="D448">
        <f t="shared" si="26"/>
        <v>330</v>
      </c>
      <c r="E448">
        <f t="shared" si="27"/>
        <v>0</v>
      </c>
      <c r="F448">
        <f t="shared" si="25"/>
        <v>330</v>
      </c>
    </row>
    <row r="449" spans="1:6" x14ac:dyDescent="0.25">
      <c r="A449" s="1">
        <v>45374</v>
      </c>
      <c r="B449">
        <f t="shared" si="24"/>
        <v>6</v>
      </c>
      <c r="C449" t="s">
        <v>9</v>
      </c>
      <c r="D449">
        <f t="shared" si="26"/>
        <v>0</v>
      </c>
      <c r="E449">
        <f t="shared" si="27"/>
        <v>0</v>
      </c>
      <c r="F449">
        <f t="shared" si="25"/>
        <v>0</v>
      </c>
    </row>
    <row r="450" spans="1:6" x14ac:dyDescent="0.25">
      <c r="A450" s="1">
        <v>45375</v>
      </c>
      <c r="B450">
        <f t="shared" si="24"/>
        <v>7</v>
      </c>
      <c r="C450" t="s">
        <v>9</v>
      </c>
      <c r="D450">
        <f t="shared" si="26"/>
        <v>0</v>
      </c>
      <c r="E450">
        <f t="shared" si="27"/>
        <v>150</v>
      </c>
      <c r="F450">
        <f t="shared" si="25"/>
        <v>-150</v>
      </c>
    </row>
    <row r="451" spans="1:6" x14ac:dyDescent="0.25">
      <c r="A451" s="1">
        <v>45376</v>
      </c>
      <c r="B451">
        <f t="shared" ref="B451:B514" si="28">WEEKDAY(A451,2)</f>
        <v>1</v>
      </c>
      <c r="C451" t="s">
        <v>9</v>
      </c>
      <c r="D451">
        <f t="shared" si="26"/>
        <v>330</v>
      </c>
      <c r="E451">
        <f t="shared" si="27"/>
        <v>0</v>
      </c>
      <c r="F451">
        <f t="shared" ref="F451:F514" si="29">D451-E451</f>
        <v>330</v>
      </c>
    </row>
    <row r="452" spans="1:6" x14ac:dyDescent="0.25">
      <c r="A452" s="1">
        <v>45377</v>
      </c>
      <c r="B452">
        <f t="shared" si="28"/>
        <v>2</v>
      </c>
      <c r="C452" t="s">
        <v>9</v>
      </c>
      <c r="D452">
        <f t="shared" ref="D452:D515" si="30">IF(B452&lt;6,$Q$1*VLOOKUP(C452,$S$1:$T$5,2,FALSE)*$Q$3,0)</f>
        <v>330</v>
      </c>
      <c r="E452">
        <f t="shared" ref="E452:E515" si="31">IF(B452=7,$Q$4*$Q$1,0)</f>
        <v>0</v>
      </c>
      <c r="F452">
        <f t="shared" si="29"/>
        <v>330</v>
      </c>
    </row>
    <row r="453" spans="1:6" x14ac:dyDescent="0.25">
      <c r="A453" s="1">
        <v>45378</v>
      </c>
      <c r="B453">
        <f t="shared" si="28"/>
        <v>3</v>
      </c>
      <c r="C453" t="s">
        <v>9</v>
      </c>
      <c r="D453">
        <f t="shared" si="30"/>
        <v>330</v>
      </c>
      <c r="E453">
        <f t="shared" si="31"/>
        <v>0</v>
      </c>
      <c r="F453">
        <f t="shared" si="29"/>
        <v>330</v>
      </c>
    </row>
    <row r="454" spans="1:6" x14ac:dyDescent="0.25">
      <c r="A454" s="1">
        <v>45379</v>
      </c>
      <c r="B454">
        <f t="shared" si="28"/>
        <v>4</v>
      </c>
      <c r="C454" t="s">
        <v>9</v>
      </c>
      <c r="D454">
        <f t="shared" si="30"/>
        <v>330</v>
      </c>
      <c r="E454">
        <f t="shared" si="31"/>
        <v>0</v>
      </c>
      <c r="F454">
        <f t="shared" si="29"/>
        <v>330</v>
      </c>
    </row>
    <row r="455" spans="1:6" x14ac:dyDescent="0.25">
      <c r="A455" s="1">
        <v>45380</v>
      </c>
      <c r="B455">
        <f t="shared" si="28"/>
        <v>5</v>
      </c>
      <c r="C455" t="s">
        <v>9</v>
      </c>
      <c r="D455">
        <f t="shared" si="30"/>
        <v>330</v>
      </c>
      <c r="E455">
        <f t="shared" si="31"/>
        <v>0</v>
      </c>
      <c r="F455">
        <f t="shared" si="29"/>
        <v>330</v>
      </c>
    </row>
    <row r="456" spans="1:6" x14ac:dyDescent="0.25">
      <c r="A456" s="1">
        <v>45381</v>
      </c>
      <c r="B456">
        <f t="shared" si="28"/>
        <v>6</v>
      </c>
      <c r="C456" t="s">
        <v>9</v>
      </c>
      <c r="D456">
        <f t="shared" si="30"/>
        <v>0</v>
      </c>
      <c r="E456">
        <f t="shared" si="31"/>
        <v>0</v>
      </c>
      <c r="F456">
        <f t="shared" si="29"/>
        <v>0</v>
      </c>
    </row>
    <row r="457" spans="1:6" x14ac:dyDescent="0.25">
      <c r="A457" s="1">
        <v>45382</v>
      </c>
      <c r="B457">
        <f t="shared" si="28"/>
        <v>7</v>
      </c>
      <c r="C457" t="s">
        <v>9</v>
      </c>
      <c r="D457">
        <f t="shared" si="30"/>
        <v>0</v>
      </c>
      <c r="E457">
        <f t="shared" si="31"/>
        <v>150</v>
      </c>
      <c r="F457">
        <f t="shared" si="29"/>
        <v>-150</v>
      </c>
    </row>
    <row r="458" spans="1:6" x14ac:dyDescent="0.25">
      <c r="A458" s="1">
        <v>45383</v>
      </c>
      <c r="B458">
        <f t="shared" si="28"/>
        <v>1</v>
      </c>
      <c r="C458" t="s">
        <v>9</v>
      </c>
      <c r="D458">
        <f t="shared" si="30"/>
        <v>330</v>
      </c>
      <c r="E458">
        <f t="shared" si="31"/>
        <v>0</v>
      </c>
      <c r="F458">
        <f t="shared" si="29"/>
        <v>330</v>
      </c>
    </row>
    <row r="459" spans="1:6" x14ac:dyDescent="0.25">
      <c r="A459" s="1">
        <v>45384</v>
      </c>
      <c r="B459">
        <f t="shared" si="28"/>
        <v>2</v>
      </c>
      <c r="C459" t="s">
        <v>9</v>
      </c>
      <c r="D459">
        <f t="shared" si="30"/>
        <v>330</v>
      </c>
      <c r="E459">
        <f t="shared" si="31"/>
        <v>0</v>
      </c>
      <c r="F459">
        <f t="shared" si="29"/>
        <v>330</v>
      </c>
    </row>
    <row r="460" spans="1:6" x14ac:dyDescent="0.25">
      <c r="A460" s="1">
        <v>45385</v>
      </c>
      <c r="B460">
        <f t="shared" si="28"/>
        <v>3</v>
      </c>
      <c r="C460" t="s">
        <v>9</v>
      </c>
      <c r="D460">
        <f t="shared" si="30"/>
        <v>330</v>
      </c>
      <c r="E460">
        <f t="shared" si="31"/>
        <v>0</v>
      </c>
      <c r="F460">
        <f t="shared" si="29"/>
        <v>330</v>
      </c>
    </row>
    <row r="461" spans="1:6" x14ac:dyDescent="0.25">
      <c r="A461" s="1">
        <v>45386</v>
      </c>
      <c r="B461">
        <f t="shared" si="28"/>
        <v>4</v>
      </c>
      <c r="C461" t="s">
        <v>9</v>
      </c>
      <c r="D461">
        <f t="shared" si="30"/>
        <v>330</v>
      </c>
      <c r="E461">
        <f t="shared" si="31"/>
        <v>0</v>
      </c>
      <c r="F461">
        <f t="shared" si="29"/>
        <v>330</v>
      </c>
    </row>
    <row r="462" spans="1:6" x14ac:dyDescent="0.25">
      <c r="A462" s="1">
        <v>45387</v>
      </c>
      <c r="B462">
        <f t="shared" si="28"/>
        <v>5</v>
      </c>
      <c r="C462" t="s">
        <v>9</v>
      </c>
      <c r="D462">
        <f t="shared" si="30"/>
        <v>330</v>
      </c>
      <c r="E462">
        <f t="shared" si="31"/>
        <v>0</v>
      </c>
      <c r="F462">
        <f t="shared" si="29"/>
        <v>330</v>
      </c>
    </row>
    <row r="463" spans="1:6" x14ac:dyDescent="0.25">
      <c r="A463" s="1">
        <v>45388</v>
      </c>
      <c r="B463">
        <f t="shared" si="28"/>
        <v>6</v>
      </c>
      <c r="C463" t="s">
        <v>9</v>
      </c>
      <c r="D463">
        <f t="shared" si="30"/>
        <v>0</v>
      </c>
      <c r="E463">
        <f t="shared" si="31"/>
        <v>0</v>
      </c>
      <c r="F463">
        <f t="shared" si="29"/>
        <v>0</v>
      </c>
    </row>
    <row r="464" spans="1:6" x14ac:dyDescent="0.25">
      <c r="A464" s="1">
        <v>45389</v>
      </c>
      <c r="B464">
        <f t="shared" si="28"/>
        <v>7</v>
      </c>
      <c r="C464" t="s">
        <v>9</v>
      </c>
      <c r="D464">
        <f t="shared" si="30"/>
        <v>0</v>
      </c>
      <c r="E464">
        <f t="shared" si="31"/>
        <v>150</v>
      </c>
      <c r="F464">
        <f t="shared" si="29"/>
        <v>-150</v>
      </c>
    </row>
    <row r="465" spans="1:6" x14ac:dyDescent="0.25">
      <c r="A465" s="1">
        <v>45390</v>
      </c>
      <c r="B465">
        <f t="shared" si="28"/>
        <v>1</v>
      </c>
      <c r="C465" t="s">
        <v>9</v>
      </c>
      <c r="D465">
        <f t="shared" si="30"/>
        <v>330</v>
      </c>
      <c r="E465">
        <f t="shared" si="31"/>
        <v>0</v>
      </c>
      <c r="F465">
        <f t="shared" si="29"/>
        <v>330</v>
      </c>
    </row>
    <row r="466" spans="1:6" x14ac:dyDescent="0.25">
      <c r="A466" s="1">
        <v>45391</v>
      </c>
      <c r="B466">
        <f t="shared" si="28"/>
        <v>2</v>
      </c>
      <c r="C466" t="s">
        <v>9</v>
      </c>
      <c r="D466">
        <f t="shared" si="30"/>
        <v>330</v>
      </c>
      <c r="E466">
        <f t="shared" si="31"/>
        <v>0</v>
      </c>
      <c r="F466">
        <f t="shared" si="29"/>
        <v>330</v>
      </c>
    </row>
    <row r="467" spans="1:6" x14ac:dyDescent="0.25">
      <c r="A467" s="1">
        <v>45392</v>
      </c>
      <c r="B467">
        <f t="shared" si="28"/>
        <v>3</v>
      </c>
      <c r="C467" t="s">
        <v>9</v>
      </c>
      <c r="D467">
        <f t="shared" si="30"/>
        <v>330</v>
      </c>
      <c r="E467">
        <f t="shared" si="31"/>
        <v>0</v>
      </c>
      <c r="F467">
        <f t="shared" si="29"/>
        <v>330</v>
      </c>
    </row>
    <row r="468" spans="1:6" x14ac:dyDescent="0.25">
      <c r="A468" s="1">
        <v>45393</v>
      </c>
      <c r="B468">
        <f t="shared" si="28"/>
        <v>4</v>
      </c>
      <c r="C468" t="s">
        <v>9</v>
      </c>
      <c r="D468">
        <f t="shared" si="30"/>
        <v>330</v>
      </c>
      <c r="E468">
        <f t="shared" si="31"/>
        <v>0</v>
      </c>
      <c r="F468">
        <f t="shared" si="29"/>
        <v>330</v>
      </c>
    </row>
    <row r="469" spans="1:6" x14ac:dyDescent="0.25">
      <c r="A469" s="1">
        <v>45394</v>
      </c>
      <c r="B469">
        <f t="shared" si="28"/>
        <v>5</v>
      </c>
      <c r="C469" t="s">
        <v>9</v>
      </c>
      <c r="D469">
        <f t="shared" si="30"/>
        <v>330</v>
      </c>
      <c r="E469">
        <f t="shared" si="31"/>
        <v>0</v>
      </c>
      <c r="F469">
        <f t="shared" si="29"/>
        <v>330</v>
      </c>
    </row>
    <row r="470" spans="1:6" x14ac:dyDescent="0.25">
      <c r="A470" s="1">
        <v>45395</v>
      </c>
      <c r="B470">
        <f t="shared" si="28"/>
        <v>6</v>
      </c>
      <c r="C470" t="s">
        <v>9</v>
      </c>
      <c r="D470">
        <f t="shared" si="30"/>
        <v>0</v>
      </c>
      <c r="E470">
        <f t="shared" si="31"/>
        <v>0</v>
      </c>
      <c r="F470">
        <f t="shared" si="29"/>
        <v>0</v>
      </c>
    </row>
    <row r="471" spans="1:6" x14ac:dyDescent="0.25">
      <c r="A471" s="1">
        <v>45396</v>
      </c>
      <c r="B471">
        <f t="shared" si="28"/>
        <v>7</v>
      </c>
      <c r="C471" t="s">
        <v>9</v>
      </c>
      <c r="D471">
        <f t="shared" si="30"/>
        <v>0</v>
      </c>
      <c r="E471">
        <f t="shared" si="31"/>
        <v>150</v>
      </c>
      <c r="F471">
        <f t="shared" si="29"/>
        <v>-150</v>
      </c>
    </row>
    <row r="472" spans="1:6" x14ac:dyDescent="0.25">
      <c r="A472" s="1">
        <v>45397</v>
      </c>
      <c r="B472">
        <f t="shared" si="28"/>
        <v>1</v>
      </c>
      <c r="C472" t="s">
        <v>9</v>
      </c>
      <c r="D472">
        <f t="shared" si="30"/>
        <v>330</v>
      </c>
      <c r="E472">
        <f t="shared" si="31"/>
        <v>0</v>
      </c>
      <c r="F472">
        <f t="shared" si="29"/>
        <v>330</v>
      </c>
    </row>
    <row r="473" spans="1:6" x14ac:dyDescent="0.25">
      <c r="A473" s="1">
        <v>45398</v>
      </c>
      <c r="B473">
        <f t="shared" si="28"/>
        <v>2</v>
      </c>
      <c r="C473" t="s">
        <v>9</v>
      </c>
      <c r="D473">
        <f t="shared" si="30"/>
        <v>330</v>
      </c>
      <c r="E473">
        <f t="shared" si="31"/>
        <v>0</v>
      </c>
      <c r="F473">
        <f t="shared" si="29"/>
        <v>330</v>
      </c>
    </row>
    <row r="474" spans="1:6" x14ac:dyDescent="0.25">
      <c r="A474" s="1">
        <v>45399</v>
      </c>
      <c r="B474">
        <f t="shared" si="28"/>
        <v>3</v>
      </c>
      <c r="C474" t="s">
        <v>9</v>
      </c>
      <c r="D474">
        <f t="shared" si="30"/>
        <v>330</v>
      </c>
      <c r="E474">
        <f t="shared" si="31"/>
        <v>0</v>
      </c>
      <c r="F474">
        <f t="shared" si="29"/>
        <v>330</v>
      </c>
    </row>
    <row r="475" spans="1:6" x14ac:dyDescent="0.25">
      <c r="A475" s="1">
        <v>45400</v>
      </c>
      <c r="B475">
        <f t="shared" si="28"/>
        <v>4</v>
      </c>
      <c r="C475" t="s">
        <v>9</v>
      </c>
      <c r="D475">
        <f t="shared" si="30"/>
        <v>330</v>
      </c>
      <c r="E475">
        <f t="shared" si="31"/>
        <v>0</v>
      </c>
      <c r="F475">
        <f t="shared" si="29"/>
        <v>330</v>
      </c>
    </row>
    <row r="476" spans="1:6" x14ac:dyDescent="0.25">
      <c r="A476" s="1">
        <v>45401</v>
      </c>
      <c r="B476">
        <f t="shared" si="28"/>
        <v>5</v>
      </c>
      <c r="C476" t="s">
        <v>9</v>
      </c>
      <c r="D476">
        <f t="shared" si="30"/>
        <v>330</v>
      </c>
      <c r="E476">
        <f t="shared" si="31"/>
        <v>0</v>
      </c>
      <c r="F476">
        <f t="shared" si="29"/>
        <v>330</v>
      </c>
    </row>
    <row r="477" spans="1:6" x14ac:dyDescent="0.25">
      <c r="A477" s="1">
        <v>45402</v>
      </c>
      <c r="B477">
        <f t="shared" si="28"/>
        <v>6</v>
      </c>
      <c r="C477" t="s">
        <v>9</v>
      </c>
      <c r="D477">
        <f t="shared" si="30"/>
        <v>0</v>
      </c>
      <c r="E477">
        <f t="shared" si="31"/>
        <v>0</v>
      </c>
      <c r="F477">
        <f t="shared" si="29"/>
        <v>0</v>
      </c>
    </row>
    <row r="478" spans="1:6" x14ac:dyDescent="0.25">
      <c r="A478" s="1">
        <v>45403</v>
      </c>
      <c r="B478">
        <f t="shared" si="28"/>
        <v>7</v>
      </c>
      <c r="C478" t="s">
        <v>9</v>
      </c>
      <c r="D478">
        <f t="shared" si="30"/>
        <v>0</v>
      </c>
      <c r="E478">
        <f t="shared" si="31"/>
        <v>150</v>
      </c>
      <c r="F478">
        <f t="shared" si="29"/>
        <v>-150</v>
      </c>
    </row>
    <row r="479" spans="1:6" x14ac:dyDescent="0.25">
      <c r="A479" s="1">
        <v>45404</v>
      </c>
      <c r="B479">
        <f t="shared" si="28"/>
        <v>1</v>
      </c>
      <c r="C479" t="s">
        <v>9</v>
      </c>
      <c r="D479">
        <f t="shared" si="30"/>
        <v>330</v>
      </c>
      <c r="E479">
        <f t="shared" si="31"/>
        <v>0</v>
      </c>
      <c r="F479">
        <f t="shared" si="29"/>
        <v>330</v>
      </c>
    </row>
    <row r="480" spans="1:6" x14ac:dyDescent="0.25">
      <c r="A480" s="1">
        <v>45405</v>
      </c>
      <c r="B480">
        <f t="shared" si="28"/>
        <v>2</v>
      </c>
      <c r="C480" t="s">
        <v>9</v>
      </c>
      <c r="D480">
        <f t="shared" si="30"/>
        <v>330</v>
      </c>
      <c r="E480">
        <f t="shared" si="31"/>
        <v>0</v>
      </c>
      <c r="F480">
        <f t="shared" si="29"/>
        <v>330</v>
      </c>
    </row>
    <row r="481" spans="1:6" x14ac:dyDescent="0.25">
      <c r="A481" s="1">
        <v>45406</v>
      </c>
      <c r="B481">
        <f t="shared" si="28"/>
        <v>3</v>
      </c>
      <c r="C481" t="s">
        <v>9</v>
      </c>
      <c r="D481">
        <f t="shared" si="30"/>
        <v>330</v>
      </c>
      <c r="E481">
        <f t="shared" si="31"/>
        <v>0</v>
      </c>
      <c r="F481">
        <f t="shared" si="29"/>
        <v>330</v>
      </c>
    </row>
    <row r="482" spans="1:6" x14ac:dyDescent="0.25">
      <c r="A482" s="1">
        <v>45407</v>
      </c>
      <c r="B482">
        <f t="shared" si="28"/>
        <v>4</v>
      </c>
      <c r="C482" t="s">
        <v>9</v>
      </c>
      <c r="D482">
        <f t="shared" si="30"/>
        <v>330</v>
      </c>
      <c r="E482">
        <f t="shared" si="31"/>
        <v>0</v>
      </c>
      <c r="F482">
        <f t="shared" si="29"/>
        <v>330</v>
      </c>
    </row>
    <row r="483" spans="1:6" x14ac:dyDescent="0.25">
      <c r="A483" s="1">
        <v>45408</v>
      </c>
      <c r="B483">
        <f t="shared" si="28"/>
        <v>5</v>
      </c>
      <c r="C483" t="s">
        <v>9</v>
      </c>
      <c r="D483">
        <f t="shared" si="30"/>
        <v>330</v>
      </c>
      <c r="E483">
        <f t="shared" si="31"/>
        <v>0</v>
      </c>
      <c r="F483">
        <f t="shared" si="29"/>
        <v>330</v>
      </c>
    </row>
    <row r="484" spans="1:6" x14ac:dyDescent="0.25">
      <c r="A484" s="1">
        <v>45409</v>
      </c>
      <c r="B484">
        <f t="shared" si="28"/>
        <v>6</v>
      </c>
      <c r="C484" t="s">
        <v>9</v>
      </c>
      <c r="D484">
        <f t="shared" si="30"/>
        <v>0</v>
      </c>
      <c r="E484">
        <f t="shared" si="31"/>
        <v>0</v>
      </c>
      <c r="F484">
        <f t="shared" si="29"/>
        <v>0</v>
      </c>
    </row>
    <row r="485" spans="1:6" x14ac:dyDescent="0.25">
      <c r="A485" s="1">
        <v>45410</v>
      </c>
      <c r="B485">
        <f t="shared" si="28"/>
        <v>7</v>
      </c>
      <c r="C485" t="s">
        <v>9</v>
      </c>
      <c r="D485">
        <f t="shared" si="30"/>
        <v>0</v>
      </c>
      <c r="E485">
        <f t="shared" si="31"/>
        <v>150</v>
      </c>
      <c r="F485">
        <f t="shared" si="29"/>
        <v>-150</v>
      </c>
    </row>
    <row r="486" spans="1:6" x14ac:dyDescent="0.25">
      <c r="A486" s="1">
        <v>45411</v>
      </c>
      <c r="B486">
        <f t="shared" si="28"/>
        <v>1</v>
      </c>
      <c r="C486" t="s">
        <v>9</v>
      </c>
      <c r="D486">
        <f t="shared" si="30"/>
        <v>330</v>
      </c>
      <c r="E486">
        <f t="shared" si="31"/>
        <v>0</v>
      </c>
      <c r="F486">
        <f t="shared" si="29"/>
        <v>330</v>
      </c>
    </row>
    <row r="487" spans="1:6" x14ac:dyDescent="0.25">
      <c r="A487" s="1">
        <v>45412</v>
      </c>
      <c r="B487">
        <f t="shared" si="28"/>
        <v>2</v>
      </c>
      <c r="C487" t="s">
        <v>9</v>
      </c>
      <c r="D487">
        <f t="shared" si="30"/>
        <v>330</v>
      </c>
      <c r="E487">
        <f t="shared" si="31"/>
        <v>0</v>
      </c>
      <c r="F487">
        <f t="shared" si="29"/>
        <v>330</v>
      </c>
    </row>
    <row r="488" spans="1:6" x14ac:dyDescent="0.25">
      <c r="A488" s="1">
        <v>45413</v>
      </c>
      <c r="B488">
        <f t="shared" si="28"/>
        <v>3</v>
      </c>
      <c r="C488" t="s">
        <v>9</v>
      </c>
      <c r="D488">
        <f t="shared" si="30"/>
        <v>330</v>
      </c>
      <c r="E488">
        <f t="shared" si="31"/>
        <v>0</v>
      </c>
      <c r="F488">
        <f t="shared" si="29"/>
        <v>330</v>
      </c>
    </row>
    <row r="489" spans="1:6" x14ac:dyDescent="0.25">
      <c r="A489" s="1">
        <v>45414</v>
      </c>
      <c r="B489">
        <f t="shared" si="28"/>
        <v>4</v>
      </c>
      <c r="C489" t="s">
        <v>9</v>
      </c>
      <c r="D489">
        <f t="shared" si="30"/>
        <v>330</v>
      </c>
      <c r="E489">
        <f t="shared" si="31"/>
        <v>0</v>
      </c>
      <c r="F489">
        <f t="shared" si="29"/>
        <v>330</v>
      </c>
    </row>
    <row r="490" spans="1:6" x14ac:dyDescent="0.25">
      <c r="A490" s="1">
        <v>45415</v>
      </c>
      <c r="B490">
        <f t="shared" si="28"/>
        <v>5</v>
      </c>
      <c r="C490" t="s">
        <v>9</v>
      </c>
      <c r="D490">
        <f t="shared" si="30"/>
        <v>330</v>
      </c>
      <c r="E490">
        <f t="shared" si="31"/>
        <v>0</v>
      </c>
      <c r="F490">
        <f t="shared" si="29"/>
        <v>330</v>
      </c>
    </row>
    <row r="491" spans="1:6" x14ac:dyDescent="0.25">
      <c r="A491" s="1">
        <v>45416</v>
      </c>
      <c r="B491">
        <f t="shared" si="28"/>
        <v>6</v>
      </c>
      <c r="C491" t="s">
        <v>9</v>
      </c>
      <c r="D491">
        <f t="shared" si="30"/>
        <v>0</v>
      </c>
      <c r="E491">
        <f t="shared" si="31"/>
        <v>0</v>
      </c>
      <c r="F491">
        <f t="shared" si="29"/>
        <v>0</v>
      </c>
    </row>
    <row r="492" spans="1:6" x14ac:dyDescent="0.25">
      <c r="A492" s="1">
        <v>45417</v>
      </c>
      <c r="B492">
        <f t="shared" si="28"/>
        <v>7</v>
      </c>
      <c r="C492" t="s">
        <v>9</v>
      </c>
      <c r="D492">
        <f t="shared" si="30"/>
        <v>0</v>
      </c>
      <c r="E492">
        <f t="shared" si="31"/>
        <v>150</v>
      </c>
      <c r="F492">
        <f t="shared" si="29"/>
        <v>-150</v>
      </c>
    </row>
    <row r="493" spans="1:6" x14ac:dyDescent="0.25">
      <c r="A493" s="1">
        <v>45418</v>
      </c>
      <c r="B493">
        <f t="shared" si="28"/>
        <v>1</v>
      </c>
      <c r="C493" t="s">
        <v>9</v>
      </c>
      <c r="D493">
        <f t="shared" si="30"/>
        <v>330</v>
      </c>
      <c r="E493">
        <f t="shared" si="31"/>
        <v>0</v>
      </c>
      <c r="F493">
        <f t="shared" si="29"/>
        <v>330</v>
      </c>
    </row>
    <row r="494" spans="1:6" x14ac:dyDescent="0.25">
      <c r="A494" s="1">
        <v>45419</v>
      </c>
      <c r="B494">
        <f t="shared" si="28"/>
        <v>2</v>
      </c>
      <c r="C494" t="s">
        <v>9</v>
      </c>
      <c r="D494">
        <f t="shared" si="30"/>
        <v>330</v>
      </c>
      <c r="E494">
        <f t="shared" si="31"/>
        <v>0</v>
      </c>
      <c r="F494">
        <f t="shared" si="29"/>
        <v>330</v>
      </c>
    </row>
    <row r="495" spans="1:6" x14ac:dyDescent="0.25">
      <c r="A495" s="1">
        <v>45420</v>
      </c>
      <c r="B495">
        <f t="shared" si="28"/>
        <v>3</v>
      </c>
      <c r="C495" t="s">
        <v>9</v>
      </c>
      <c r="D495">
        <f t="shared" si="30"/>
        <v>330</v>
      </c>
      <c r="E495">
        <f t="shared" si="31"/>
        <v>0</v>
      </c>
      <c r="F495">
        <f t="shared" si="29"/>
        <v>330</v>
      </c>
    </row>
    <row r="496" spans="1:6" x14ac:dyDescent="0.25">
      <c r="A496" s="1">
        <v>45421</v>
      </c>
      <c r="B496">
        <f t="shared" si="28"/>
        <v>4</v>
      </c>
      <c r="C496" t="s">
        <v>9</v>
      </c>
      <c r="D496">
        <f t="shared" si="30"/>
        <v>330</v>
      </c>
      <c r="E496">
        <f t="shared" si="31"/>
        <v>0</v>
      </c>
      <c r="F496">
        <f t="shared" si="29"/>
        <v>330</v>
      </c>
    </row>
    <row r="497" spans="1:6" x14ac:dyDescent="0.25">
      <c r="A497" s="1">
        <v>45422</v>
      </c>
      <c r="B497">
        <f t="shared" si="28"/>
        <v>5</v>
      </c>
      <c r="C497" t="s">
        <v>9</v>
      </c>
      <c r="D497">
        <f t="shared" si="30"/>
        <v>330</v>
      </c>
      <c r="E497">
        <f t="shared" si="31"/>
        <v>0</v>
      </c>
      <c r="F497">
        <f t="shared" si="29"/>
        <v>330</v>
      </c>
    </row>
    <row r="498" spans="1:6" x14ac:dyDescent="0.25">
      <c r="A498" s="1">
        <v>45423</v>
      </c>
      <c r="B498">
        <f t="shared" si="28"/>
        <v>6</v>
      </c>
      <c r="C498" t="s">
        <v>9</v>
      </c>
      <c r="D498">
        <f t="shared" si="30"/>
        <v>0</v>
      </c>
      <c r="E498">
        <f t="shared" si="31"/>
        <v>0</v>
      </c>
      <c r="F498">
        <f t="shared" si="29"/>
        <v>0</v>
      </c>
    </row>
    <row r="499" spans="1:6" x14ac:dyDescent="0.25">
      <c r="A499" s="1">
        <v>45424</v>
      </c>
      <c r="B499">
        <f t="shared" si="28"/>
        <v>7</v>
      </c>
      <c r="C499" t="s">
        <v>9</v>
      </c>
      <c r="D499">
        <f t="shared" si="30"/>
        <v>0</v>
      </c>
      <c r="E499">
        <f t="shared" si="31"/>
        <v>150</v>
      </c>
      <c r="F499">
        <f t="shared" si="29"/>
        <v>-150</v>
      </c>
    </row>
    <row r="500" spans="1:6" x14ac:dyDescent="0.25">
      <c r="A500" s="1">
        <v>45425</v>
      </c>
      <c r="B500">
        <f t="shared" si="28"/>
        <v>1</v>
      </c>
      <c r="C500" t="s">
        <v>9</v>
      </c>
      <c r="D500">
        <f t="shared" si="30"/>
        <v>330</v>
      </c>
      <c r="E500">
        <f t="shared" si="31"/>
        <v>0</v>
      </c>
      <c r="F500">
        <f t="shared" si="29"/>
        <v>330</v>
      </c>
    </row>
    <row r="501" spans="1:6" x14ac:dyDescent="0.25">
      <c r="A501" s="1">
        <v>45426</v>
      </c>
      <c r="B501">
        <f t="shared" si="28"/>
        <v>2</v>
      </c>
      <c r="C501" t="s">
        <v>9</v>
      </c>
      <c r="D501">
        <f t="shared" si="30"/>
        <v>330</v>
      </c>
      <c r="E501">
        <f t="shared" si="31"/>
        <v>0</v>
      </c>
      <c r="F501">
        <f t="shared" si="29"/>
        <v>330</v>
      </c>
    </row>
    <row r="502" spans="1:6" x14ac:dyDescent="0.25">
      <c r="A502" s="1">
        <v>45427</v>
      </c>
      <c r="B502">
        <f t="shared" si="28"/>
        <v>3</v>
      </c>
      <c r="C502" t="s">
        <v>9</v>
      </c>
      <c r="D502">
        <f t="shared" si="30"/>
        <v>330</v>
      </c>
      <c r="E502">
        <f t="shared" si="31"/>
        <v>0</v>
      </c>
      <c r="F502">
        <f t="shared" si="29"/>
        <v>330</v>
      </c>
    </row>
    <row r="503" spans="1:6" x14ac:dyDescent="0.25">
      <c r="A503" s="1">
        <v>45428</v>
      </c>
      <c r="B503">
        <f t="shared" si="28"/>
        <v>4</v>
      </c>
      <c r="C503" t="s">
        <v>9</v>
      </c>
      <c r="D503">
        <f t="shared" si="30"/>
        <v>330</v>
      </c>
      <c r="E503">
        <f t="shared" si="31"/>
        <v>0</v>
      </c>
      <c r="F503">
        <f t="shared" si="29"/>
        <v>330</v>
      </c>
    </row>
    <row r="504" spans="1:6" x14ac:dyDescent="0.25">
      <c r="A504" s="1">
        <v>45429</v>
      </c>
      <c r="B504">
        <f t="shared" si="28"/>
        <v>5</v>
      </c>
      <c r="C504" t="s">
        <v>9</v>
      </c>
      <c r="D504">
        <f t="shared" si="30"/>
        <v>330</v>
      </c>
      <c r="E504">
        <f t="shared" si="31"/>
        <v>0</v>
      </c>
      <c r="F504">
        <f t="shared" si="29"/>
        <v>330</v>
      </c>
    </row>
    <row r="505" spans="1:6" x14ac:dyDescent="0.25">
      <c r="A505" s="1">
        <v>45430</v>
      </c>
      <c r="B505">
        <f t="shared" si="28"/>
        <v>6</v>
      </c>
      <c r="C505" t="s">
        <v>9</v>
      </c>
      <c r="D505">
        <f t="shared" si="30"/>
        <v>0</v>
      </c>
      <c r="E505">
        <f t="shared" si="31"/>
        <v>0</v>
      </c>
      <c r="F505">
        <f t="shared" si="29"/>
        <v>0</v>
      </c>
    </row>
    <row r="506" spans="1:6" x14ac:dyDescent="0.25">
      <c r="A506" s="1">
        <v>45431</v>
      </c>
      <c r="B506">
        <f t="shared" si="28"/>
        <v>7</v>
      </c>
      <c r="C506" t="s">
        <v>9</v>
      </c>
      <c r="D506">
        <f t="shared" si="30"/>
        <v>0</v>
      </c>
      <c r="E506">
        <f t="shared" si="31"/>
        <v>150</v>
      </c>
      <c r="F506">
        <f t="shared" si="29"/>
        <v>-150</v>
      </c>
    </row>
    <row r="507" spans="1:6" x14ac:dyDescent="0.25">
      <c r="A507" s="1">
        <v>45432</v>
      </c>
      <c r="B507">
        <f t="shared" si="28"/>
        <v>1</v>
      </c>
      <c r="C507" t="s">
        <v>9</v>
      </c>
      <c r="D507">
        <f t="shared" si="30"/>
        <v>330</v>
      </c>
      <c r="E507">
        <f t="shared" si="31"/>
        <v>0</v>
      </c>
      <c r="F507">
        <f t="shared" si="29"/>
        <v>330</v>
      </c>
    </row>
    <row r="508" spans="1:6" x14ac:dyDescent="0.25">
      <c r="A508" s="1">
        <v>45433</v>
      </c>
      <c r="B508">
        <f t="shared" si="28"/>
        <v>2</v>
      </c>
      <c r="C508" t="s">
        <v>9</v>
      </c>
      <c r="D508">
        <f t="shared" si="30"/>
        <v>330</v>
      </c>
      <c r="E508">
        <f t="shared" si="31"/>
        <v>0</v>
      </c>
      <c r="F508">
        <f t="shared" si="29"/>
        <v>330</v>
      </c>
    </row>
    <row r="509" spans="1:6" x14ac:dyDescent="0.25">
      <c r="A509" s="1">
        <v>45434</v>
      </c>
      <c r="B509">
        <f t="shared" si="28"/>
        <v>3</v>
      </c>
      <c r="C509" t="s">
        <v>9</v>
      </c>
      <c r="D509">
        <f t="shared" si="30"/>
        <v>330</v>
      </c>
      <c r="E509">
        <f t="shared" si="31"/>
        <v>0</v>
      </c>
      <c r="F509">
        <f t="shared" si="29"/>
        <v>330</v>
      </c>
    </row>
    <row r="510" spans="1:6" x14ac:dyDescent="0.25">
      <c r="A510" s="1">
        <v>45435</v>
      </c>
      <c r="B510">
        <f t="shared" si="28"/>
        <v>4</v>
      </c>
      <c r="C510" t="s">
        <v>9</v>
      </c>
      <c r="D510">
        <f t="shared" si="30"/>
        <v>330</v>
      </c>
      <c r="E510">
        <f t="shared" si="31"/>
        <v>0</v>
      </c>
      <c r="F510">
        <f t="shared" si="29"/>
        <v>330</v>
      </c>
    </row>
    <row r="511" spans="1:6" x14ac:dyDescent="0.25">
      <c r="A511" s="1">
        <v>45436</v>
      </c>
      <c r="B511">
        <f t="shared" si="28"/>
        <v>5</v>
      </c>
      <c r="C511" t="s">
        <v>9</v>
      </c>
      <c r="D511">
        <f t="shared" si="30"/>
        <v>330</v>
      </c>
      <c r="E511">
        <f t="shared" si="31"/>
        <v>0</v>
      </c>
      <c r="F511">
        <f t="shared" si="29"/>
        <v>330</v>
      </c>
    </row>
    <row r="512" spans="1:6" x14ac:dyDescent="0.25">
      <c r="A512" s="1">
        <v>45437</v>
      </c>
      <c r="B512">
        <f t="shared" si="28"/>
        <v>6</v>
      </c>
      <c r="C512" t="s">
        <v>9</v>
      </c>
      <c r="D512">
        <f t="shared" si="30"/>
        <v>0</v>
      </c>
      <c r="E512">
        <f t="shared" si="31"/>
        <v>0</v>
      </c>
      <c r="F512">
        <f t="shared" si="29"/>
        <v>0</v>
      </c>
    </row>
    <row r="513" spans="1:6" x14ac:dyDescent="0.25">
      <c r="A513" s="1">
        <v>45438</v>
      </c>
      <c r="B513">
        <f t="shared" si="28"/>
        <v>7</v>
      </c>
      <c r="C513" t="s">
        <v>9</v>
      </c>
      <c r="D513">
        <f t="shared" si="30"/>
        <v>0</v>
      </c>
      <c r="E513">
        <f t="shared" si="31"/>
        <v>150</v>
      </c>
      <c r="F513">
        <f t="shared" si="29"/>
        <v>-150</v>
      </c>
    </row>
    <row r="514" spans="1:6" x14ac:dyDescent="0.25">
      <c r="A514" s="1">
        <v>45439</v>
      </c>
      <c r="B514">
        <f t="shared" si="28"/>
        <v>1</v>
      </c>
      <c r="C514" t="s">
        <v>9</v>
      </c>
      <c r="D514">
        <f t="shared" si="30"/>
        <v>330</v>
      </c>
      <c r="E514">
        <f t="shared" si="31"/>
        <v>0</v>
      </c>
      <c r="F514">
        <f t="shared" si="29"/>
        <v>330</v>
      </c>
    </row>
    <row r="515" spans="1:6" x14ac:dyDescent="0.25">
      <c r="A515" s="1">
        <v>45440</v>
      </c>
      <c r="B515">
        <f t="shared" ref="B515:B578" si="32">WEEKDAY(A515,2)</f>
        <v>2</v>
      </c>
      <c r="C515" t="s">
        <v>9</v>
      </c>
      <c r="D515">
        <f t="shared" si="30"/>
        <v>330</v>
      </c>
      <c r="E515">
        <f t="shared" si="31"/>
        <v>0</v>
      </c>
      <c r="F515">
        <f t="shared" ref="F515:F578" si="33">D515-E515</f>
        <v>330</v>
      </c>
    </row>
    <row r="516" spans="1:6" x14ac:dyDescent="0.25">
      <c r="A516" s="1">
        <v>45441</v>
      </c>
      <c r="B516">
        <f t="shared" si="32"/>
        <v>3</v>
      </c>
      <c r="C516" t="s">
        <v>9</v>
      </c>
      <c r="D516">
        <f t="shared" ref="D516:D579" si="34">IF(B516&lt;6,$Q$1*VLOOKUP(C516,$S$1:$T$5,2,FALSE)*$Q$3,0)</f>
        <v>330</v>
      </c>
      <c r="E516">
        <f t="shared" ref="E516:E579" si="35">IF(B516=7,$Q$4*$Q$1,0)</f>
        <v>0</v>
      </c>
      <c r="F516">
        <f t="shared" si="33"/>
        <v>330</v>
      </c>
    </row>
    <row r="517" spans="1:6" x14ac:dyDescent="0.25">
      <c r="A517" s="1">
        <v>45442</v>
      </c>
      <c r="B517">
        <f t="shared" si="32"/>
        <v>4</v>
      </c>
      <c r="C517" t="s">
        <v>9</v>
      </c>
      <c r="D517">
        <f t="shared" si="34"/>
        <v>330</v>
      </c>
      <c r="E517">
        <f t="shared" si="35"/>
        <v>0</v>
      </c>
      <c r="F517">
        <f t="shared" si="33"/>
        <v>330</v>
      </c>
    </row>
    <row r="518" spans="1:6" x14ac:dyDescent="0.25">
      <c r="A518" s="1">
        <v>45443</v>
      </c>
      <c r="B518">
        <f t="shared" si="32"/>
        <v>5</v>
      </c>
      <c r="C518" t="s">
        <v>9</v>
      </c>
      <c r="D518">
        <f t="shared" si="34"/>
        <v>330</v>
      </c>
      <c r="E518">
        <f t="shared" si="35"/>
        <v>0</v>
      </c>
      <c r="F518">
        <f t="shared" si="33"/>
        <v>330</v>
      </c>
    </row>
    <row r="519" spans="1:6" x14ac:dyDescent="0.25">
      <c r="A519" s="1">
        <v>45444</v>
      </c>
      <c r="B519">
        <f t="shared" si="32"/>
        <v>6</v>
      </c>
      <c r="C519" t="s">
        <v>9</v>
      </c>
      <c r="D519">
        <f t="shared" si="34"/>
        <v>0</v>
      </c>
      <c r="E519">
        <f t="shared" si="35"/>
        <v>0</v>
      </c>
      <c r="F519">
        <f t="shared" si="33"/>
        <v>0</v>
      </c>
    </row>
    <row r="520" spans="1:6" x14ac:dyDescent="0.25">
      <c r="A520" s="1">
        <v>45445</v>
      </c>
      <c r="B520">
        <f t="shared" si="32"/>
        <v>7</v>
      </c>
      <c r="C520" t="s">
        <v>9</v>
      </c>
      <c r="D520">
        <f t="shared" si="34"/>
        <v>0</v>
      </c>
      <c r="E520">
        <f t="shared" si="35"/>
        <v>150</v>
      </c>
      <c r="F520">
        <f t="shared" si="33"/>
        <v>-150</v>
      </c>
    </row>
    <row r="521" spans="1:6" x14ac:dyDescent="0.25">
      <c r="A521" s="1">
        <v>45446</v>
      </c>
      <c r="B521">
        <f t="shared" si="32"/>
        <v>1</v>
      </c>
      <c r="C521" t="s">
        <v>9</v>
      </c>
      <c r="D521">
        <f t="shared" si="34"/>
        <v>330</v>
      </c>
      <c r="E521">
        <f t="shared" si="35"/>
        <v>0</v>
      </c>
      <c r="F521">
        <f t="shared" si="33"/>
        <v>330</v>
      </c>
    </row>
    <row r="522" spans="1:6" x14ac:dyDescent="0.25">
      <c r="A522" s="1">
        <v>45447</v>
      </c>
      <c r="B522">
        <f t="shared" si="32"/>
        <v>2</v>
      </c>
      <c r="C522" t="s">
        <v>9</v>
      </c>
      <c r="D522">
        <f t="shared" si="34"/>
        <v>330</v>
      </c>
      <c r="E522">
        <f t="shared" si="35"/>
        <v>0</v>
      </c>
      <c r="F522">
        <f t="shared" si="33"/>
        <v>330</v>
      </c>
    </row>
    <row r="523" spans="1:6" x14ac:dyDescent="0.25">
      <c r="A523" s="1">
        <v>45448</v>
      </c>
      <c r="B523">
        <f t="shared" si="32"/>
        <v>3</v>
      </c>
      <c r="C523" t="s">
        <v>9</v>
      </c>
      <c r="D523">
        <f t="shared" si="34"/>
        <v>330</v>
      </c>
      <c r="E523">
        <f t="shared" si="35"/>
        <v>0</v>
      </c>
      <c r="F523">
        <f t="shared" si="33"/>
        <v>330</v>
      </c>
    </row>
    <row r="524" spans="1:6" x14ac:dyDescent="0.25">
      <c r="A524" s="1">
        <v>45449</v>
      </c>
      <c r="B524">
        <f t="shared" si="32"/>
        <v>4</v>
      </c>
      <c r="C524" t="s">
        <v>9</v>
      </c>
      <c r="D524">
        <f t="shared" si="34"/>
        <v>330</v>
      </c>
      <c r="E524">
        <f t="shared" si="35"/>
        <v>0</v>
      </c>
      <c r="F524">
        <f t="shared" si="33"/>
        <v>330</v>
      </c>
    </row>
    <row r="525" spans="1:6" x14ac:dyDescent="0.25">
      <c r="A525" s="1">
        <v>45450</v>
      </c>
      <c r="B525">
        <f t="shared" si="32"/>
        <v>5</v>
      </c>
      <c r="C525" t="s">
        <v>9</v>
      </c>
      <c r="D525">
        <f t="shared" si="34"/>
        <v>330</v>
      </c>
      <c r="E525">
        <f t="shared" si="35"/>
        <v>0</v>
      </c>
      <c r="F525">
        <f t="shared" si="33"/>
        <v>330</v>
      </c>
    </row>
    <row r="526" spans="1:6" x14ac:dyDescent="0.25">
      <c r="A526" s="1">
        <v>45451</v>
      </c>
      <c r="B526">
        <f t="shared" si="32"/>
        <v>6</v>
      </c>
      <c r="C526" t="s">
        <v>9</v>
      </c>
      <c r="D526">
        <f t="shared" si="34"/>
        <v>0</v>
      </c>
      <c r="E526">
        <f t="shared" si="35"/>
        <v>0</v>
      </c>
      <c r="F526">
        <f t="shared" si="33"/>
        <v>0</v>
      </c>
    </row>
    <row r="527" spans="1:6" x14ac:dyDescent="0.25">
      <c r="A527" s="1">
        <v>45452</v>
      </c>
      <c r="B527">
        <f t="shared" si="32"/>
        <v>7</v>
      </c>
      <c r="C527" t="s">
        <v>9</v>
      </c>
      <c r="D527">
        <f t="shared" si="34"/>
        <v>0</v>
      </c>
      <c r="E527">
        <f t="shared" si="35"/>
        <v>150</v>
      </c>
      <c r="F527">
        <f t="shared" si="33"/>
        <v>-150</v>
      </c>
    </row>
    <row r="528" spans="1:6" x14ac:dyDescent="0.25">
      <c r="A528" s="1">
        <v>45453</v>
      </c>
      <c r="B528">
        <f t="shared" si="32"/>
        <v>1</v>
      </c>
      <c r="C528" t="s">
        <v>9</v>
      </c>
      <c r="D528">
        <f t="shared" si="34"/>
        <v>330</v>
      </c>
      <c r="E528">
        <f t="shared" si="35"/>
        <v>0</v>
      </c>
      <c r="F528">
        <f t="shared" si="33"/>
        <v>330</v>
      </c>
    </row>
    <row r="529" spans="1:6" x14ac:dyDescent="0.25">
      <c r="A529" s="1">
        <v>45454</v>
      </c>
      <c r="B529">
        <f t="shared" si="32"/>
        <v>2</v>
      </c>
      <c r="C529" t="s">
        <v>9</v>
      </c>
      <c r="D529">
        <f t="shared" si="34"/>
        <v>330</v>
      </c>
      <c r="E529">
        <f t="shared" si="35"/>
        <v>0</v>
      </c>
      <c r="F529">
        <f t="shared" si="33"/>
        <v>330</v>
      </c>
    </row>
    <row r="530" spans="1:6" x14ac:dyDescent="0.25">
      <c r="A530" s="1">
        <v>45455</v>
      </c>
      <c r="B530">
        <f t="shared" si="32"/>
        <v>3</v>
      </c>
      <c r="C530" t="s">
        <v>9</v>
      </c>
      <c r="D530">
        <f t="shared" si="34"/>
        <v>330</v>
      </c>
      <c r="E530">
        <f t="shared" si="35"/>
        <v>0</v>
      </c>
      <c r="F530">
        <f t="shared" si="33"/>
        <v>330</v>
      </c>
    </row>
    <row r="531" spans="1:6" x14ac:dyDescent="0.25">
      <c r="A531" s="1">
        <v>45456</v>
      </c>
      <c r="B531">
        <f t="shared" si="32"/>
        <v>4</v>
      </c>
      <c r="C531" t="s">
        <v>9</v>
      </c>
      <c r="D531">
        <f t="shared" si="34"/>
        <v>330</v>
      </c>
      <c r="E531">
        <f t="shared" si="35"/>
        <v>0</v>
      </c>
      <c r="F531">
        <f t="shared" si="33"/>
        <v>330</v>
      </c>
    </row>
    <row r="532" spans="1:6" x14ac:dyDescent="0.25">
      <c r="A532" s="1">
        <v>45457</v>
      </c>
      <c r="B532">
        <f t="shared" si="32"/>
        <v>5</v>
      </c>
      <c r="C532" t="s">
        <v>9</v>
      </c>
      <c r="D532">
        <f t="shared" si="34"/>
        <v>330</v>
      </c>
      <c r="E532">
        <f t="shared" si="35"/>
        <v>0</v>
      </c>
      <c r="F532">
        <f t="shared" si="33"/>
        <v>330</v>
      </c>
    </row>
    <row r="533" spans="1:6" x14ac:dyDescent="0.25">
      <c r="A533" s="1">
        <v>45458</v>
      </c>
      <c r="B533">
        <f t="shared" si="32"/>
        <v>6</v>
      </c>
      <c r="C533" t="s">
        <v>9</v>
      </c>
      <c r="D533">
        <f t="shared" si="34"/>
        <v>0</v>
      </c>
      <c r="E533">
        <f t="shared" si="35"/>
        <v>0</v>
      </c>
      <c r="F533">
        <f t="shared" si="33"/>
        <v>0</v>
      </c>
    </row>
    <row r="534" spans="1:6" x14ac:dyDescent="0.25">
      <c r="A534" s="1">
        <v>45459</v>
      </c>
      <c r="B534">
        <f t="shared" si="32"/>
        <v>7</v>
      </c>
      <c r="C534" t="s">
        <v>9</v>
      </c>
      <c r="D534">
        <f t="shared" si="34"/>
        <v>0</v>
      </c>
      <c r="E534">
        <f t="shared" si="35"/>
        <v>150</v>
      </c>
      <c r="F534">
        <f t="shared" si="33"/>
        <v>-150</v>
      </c>
    </row>
    <row r="535" spans="1:6" x14ac:dyDescent="0.25">
      <c r="A535" s="1">
        <v>45460</v>
      </c>
      <c r="B535">
        <f t="shared" si="32"/>
        <v>1</v>
      </c>
      <c r="C535" t="s">
        <v>9</v>
      </c>
      <c r="D535">
        <f t="shared" si="34"/>
        <v>330</v>
      </c>
      <c r="E535">
        <f t="shared" si="35"/>
        <v>0</v>
      </c>
      <c r="F535">
        <f t="shared" si="33"/>
        <v>330</v>
      </c>
    </row>
    <row r="536" spans="1:6" x14ac:dyDescent="0.25">
      <c r="A536" s="1">
        <v>45461</v>
      </c>
      <c r="B536">
        <f t="shared" si="32"/>
        <v>2</v>
      </c>
      <c r="C536" t="s">
        <v>9</v>
      </c>
      <c r="D536">
        <f t="shared" si="34"/>
        <v>330</v>
      </c>
      <c r="E536">
        <f t="shared" si="35"/>
        <v>0</v>
      </c>
      <c r="F536">
        <f t="shared" si="33"/>
        <v>330</v>
      </c>
    </row>
    <row r="537" spans="1:6" x14ac:dyDescent="0.25">
      <c r="A537" s="1">
        <v>45462</v>
      </c>
      <c r="B537">
        <f t="shared" si="32"/>
        <v>3</v>
      </c>
      <c r="C537" t="s">
        <v>9</v>
      </c>
      <c r="D537">
        <f t="shared" si="34"/>
        <v>330</v>
      </c>
      <c r="E537">
        <f t="shared" si="35"/>
        <v>0</v>
      </c>
      <c r="F537">
        <f t="shared" si="33"/>
        <v>330</v>
      </c>
    </row>
    <row r="538" spans="1:6" x14ac:dyDescent="0.25">
      <c r="A538" s="1">
        <v>45463</v>
      </c>
      <c r="B538">
        <f t="shared" si="32"/>
        <v>4</v>
      </c>
      <c r="C538" t="s">
        <v>9</v>
      </c>
      <c r="D538">
        <f t="shared" si="34"/>
        <v>330</v>
      </c>
      <c r="E538">
        <f t="shared" si="35"/>
        <v>0</v>
      </c>
      <c r="F538">
        <f t="shared" si="33"/>
        <v>330</v>
      </c>
    </row>
    <row r="539" spans="1:6" x14ac:dyDescent="0.25">
      <c r="A539" s="1">
        <v>45464</v>
      </c>
      <c r="B539">
        <f t="shared" si="32"/>
        <v>5</v>
      </c>
      <c r="C539" t="s">
        <v>10</v>
      </c>
      <c r="D539">
        <f t="shared" si="34"/>
        <v>594</v>
      </c>
      <c r="E539">
        <f t="shared" si="35"/>
        <v>0</v>
      </c>
      <c r="F539">
        <f t="shared" si="33"/>
        <v>594</v>
      </c>
    </row>
    <row r="540" spans="1:6" x14ac:dyDescent="0.25">
      <c r="A540" s="1">
        <v>45465</v>
      </c>
      <c r="B540">
        <f t="shared" si="32"/>
        <v>6</v>
      </c>
      <c r="C540" t="s">
        <v>10</v>
      </c>
      <c r="D540">
        <f t="shared" si="34"/>
        <v>0</v>
      </c>
      <c r="E540">
        <f t="shared" si="35"/>
        <v>0</v>
      </c>
      <c r="F540">
        <f t="shared" si="33"/>
        <v>0</v>
      </c>
    </row>
    <row r="541" spans="1:6" x14ac:dyDescent="0.25">
      <c r="A541" s="1">
        <v>45466</v>
      </c>
      <c r="B541">
        <f t="shared" si="32"/>
        <v>7</v>
      </c>
      <c r="C541" t="s">
        <v>10</v>
      </c>
      <c r="D541">
        <f t="shared" si="34"/>
        <v>0</v>
      </c>
      <c r="E541">
        <f t="shared" si="35"/>
        <v>150</v>
      </c>
      <c r="F541">
        <f t="shared" si="33"/>
        <v>-150</v>
      </c>
    </row>
    <row r="542" spans="1:6" x14ac:dyDescent="0.25">
      <c r="A542" s="1">
        <v>45467</v>
      </c>
      <c r="B542">
        <f t="shared" si="32"/>
        <v>1</v>
      </c>
      <c r="C542" t="s">
        <v>10</v>
      </c>
      <c r="D542">
        <f t="shared" si="34"/>
        <v>594</v>
      </c>
      <c r="E542">
        <f t="shared" si="35"/>
        <v>0</v>
      </c>
      <c r="F542">
        <f t="shared" si="33"/>
        <v>594</v>
      </c>
    </row>
    <row r="543" spans="1:6" x14ac:dyDescent="0.25">
      <c r="A543" s="1">
        <v>45468</v>
      </c>
      <c r="B543">
        <f t="shared" si="32"/>
        <v>2</v>
      </c>
      <c r="C543" t="s">
        <v>10</v>
      </c>
      <c r="D543">
        <f t="shared" si="34"/>
        <v>594</v>
      </c>
      <c r="E543">
        <f t="shared" si="35"/>
        <v>0</v>
      </c>
      <c r="F543">
        <f t="shared" si="33"/>
        <v>594</v>
      </c>
    </row>
    <row r="544" spans="1:6" x14ac:dyDescent="0.25">
      <c r="A544" s="1">
        <v>45469</v>
      </c>
      <c r="B544">
        <f t="shared" si="32"/>
        <v>3</v>
      </c>
      <c r="C544" t="s">
        <v>10</v>
      </c>
      <c r="D544">
        <f t="shared" si="34"/>
        <v>594</v>
      </c>
      <c r="E544">
        <f t="shared" si="35"/>
        <v>0</v>
      </c>
      <c r="F544">
        <f t="shared" si="33"/>
        <v>594</v>
      </c>
    </row>
    <row r="545" spans="1:6" x14ac:dyDescent="0.25">
      <c r="A545" s="1">
        <v>45470</v>
      </c>
      <c r="B545">
        <f t="shared" si="32"/>
        <v>4</v>
      </c>
      <c r="C545" t="s">
        <v>10</v>
      </c>
      <c r="D545">
        <f t="shared" si="34"/>
        <v>594</v>
      </c>
      <c r="E545">
        <f t="shared" si="35"/>
        <v>0</v>
      </c>
      <c r="F545">
        <f t="shared" si="33"/>
        <v>594</v>
      </c>
    </row>
    <row r="546" spans="1:6" x14ac:dyDescent="0.25">
      <c r="A546" s="1">
        <v>45471</v>
      </c>
      <c r="B546">
        <f t="shared" si="32"/>
        <v>5</v>
      </c>
      <c r="C546" t="s">
        <v>10</v>
      </c>
      <c r="D546">
        <f t="shared" si="34"/>
        <v>594</v>
      </c>
      <c r="E546">
        <f t="shared" si="35"/>
        <v>0</v>
      </c>
      <c r="F546">
        <f t="shared" si="33"/>
        <v>594</v>
      </c>
    </row>
    <row r="547" spans="1:6" x14ac:dyDescent="0.25">
      <c r="A547" s="1">
        <v>45472</v>
      </c>
      <c r="B547">
        <f t="shared" si="32"/>
        <v>6</v>
      </c>
      <c r="C547" t="s">
        <v>10</v>
      </c>
      <c r="D547">
        <f t="shared" si="34"/>
        <v>0</v>
      </c>
      <c r="E547">
        <f t="shared" si="35"/>
        <v>0</v>
      </c>
      <c r="F547">
        <f t="shared" si="33"/>
        <v>0</v>
      </c>
    </row>
    <row r="548" spans="1:6" x14ac:dyDescent="0.25">
      <c r="A548" s="1">
        <v>45473</v>
      </c>
      <c r="B548">
        <f t="shared" si="32"/>
        <v>7</v>
      </c>
      <c r="C548" t="s">
        <v>10</v>
      </c>
      <c r="D548">
        <f t="shared" si="34"/>
        <v>0</v>
      </c>
      <c r="E548">
        <f t="shared" si="35"/>
        <v>150</v>
      </c>
      <c r="F548">
        <f t="shared" si="33"/>
        <v>-150</v>
      </c>
    </row>
    <row r="549" spans="1:6" x14ac:dyDescent="0.25">
      <c r="A549" s="1">
        <v>45474</v>
      </c>
      <c r="B549">
        <f t="shared" si="32"/>
        <v>1</v>
      </c>
      <c r="C549" t="s">
        <v>10</v>
      </c>
      <c r="D549">
        <f t="shared" si="34"/>
        <v>594</v>
      </c>
      <c r="E549">
        <f t="shared" si="35"/>
        <v>0</v>
      </c>
      <c r="F549">
        <f t="shared" si="33"/>
        <v>594</v>
      </c>
    </row>
    <row r="550" spans="1:6" x14ac:dyDescent="0.25">
      <c r="A550" s="1">
        <v>45475</v>
      </c>
      <c r="B550">
        <f t="shared" si="32"/>
        <v>2</v>
      </c>
      <c r="C550" t="s">
        <v>10</v>
      </c>
      <c r="D550">
        <f t="shared" si="34"/>
        <v>594</v>
      </c>
      <c r="E550">
        <f t="shared" si="35"/>
        <v>0</v>
      </c>
      <c r="F550">
        <f t="shared" si="33"/>
        <v>594</v>
      </c>
    </row>
    <row r="551" spans="1:6" x14ac:dyDescent="0.25">
      <c r="A551" s="1">
        <v>45476</v>
      </c>
      <c r="B551">
        <f t="shared" si="32"/>
        <v>3</v>
      </c>
      <c r="C551" t="s">
        <v>10</v>
      </c>
      <c r="D551">
        <f t="shared" si="34"/>
        <v>594</v>
      </c>
      <c r="E551">
        <f t="shared" si="35"/>
        <v>0</v>
      </c>
      <c r="F551">
        <f t="shared" si="33"/>
        <v>594</v>
      </c>
    </row>
    <row r="552" spans="1:6" x14ac:dyDescent="0.25">
      <c r="A552" s="1">
        <v>45477</v>
      </c>
      <c r="B552">
        <f t="shared" si="32"/>
        <v>4</v>
      </c>
      <c r="C552" t="s">
        <v>10</v>
      </c>
      <c r="D552">
        <f t="shared" si="34"/>
        <v>594</v>
      </c>
      <c r="E552">
        <f t="shared" si="35"/>
        <v>0</v>
      </c>
      <c r="F552">
        <f t="shared" si="33"/>
        <v>594</v>
      </c>
    </row>
    <row r="553" spans="1:6" x14ac:dyDescent="0.25">
      <c r="A553" s="1">
        <v>45478</v>
      </c>
      <c r="B553">
        <f t="shared" si="32"/>
        <v>5</v>
      </c>
      <c r="C553" t="s">
        <v>10</v>
      </c>
      <c r="D553">
        <f t="shared" si="34"/>
        <v>594</v>
      </c>
      <c r="E553">
        <f t="shared" si="35"/>
        <v>0</v>
      </c>
      <c r="F553">
        <f t="shared" si="33"/>
        <v>594</v>
      </c>
    </row>
    <row r="554" spans="1:6" x14ac:dyDescent="0.25">
      <c r="A554" s="1">
        <v>45479</v>
      </c>
      <c r="B554">
        <f t="shared" si="32"/>
        <v>6</v>
      </c>
      <c r="C554" t="s">
        <v>10</v>
      </c>
      <c r="D554">
        <f t="shared" si="34"/>
        <v>0</v>
      </c>
      <c r="E554">
        <f t="shared" si="35"/>
        <v>0</v>
      </c>
      <c r="F554">
        <f t="shared" si="33"/>
        <v>0</v>
      </c>
    </row>
    <row r="555" spans="1:6" x14ac:dyDescent="0.25">
      <c r="A555" s="1">
        <v>45480</v>
      </c>
      <c r="B555">
        <f t="shared" si="32"/>
        <v>7</v>
      </c>
      <c r="C555" t="s">
        <v>10</v>
      </c>
      <c r="D555">
        <f t="shared" si="34"/>
        <v>0</v>
      </c>
      <c r="E555">
        <f t="shared" si="35"/>
        <v>150</v>
      </c>
      <c r="F555">
        <f t="shared" si="33"/>
        <v>-150</v>
      </c>
    </row>
    <row r="556" spans="1:6" x14ac:dyDescent="0.25">
      <c r="A556" s="1">
        <v>45481</v>
      </c>
      <c r="B556">
        <f t="shared" si="32"/>
        <v>1</v>
      </c>
      <c r="C556" t="s">
        <v>10</v>
      </c>
      <c r="D556">
        <f t="shared" si="34"/>
        <v>594</v>
      </c>
      <c r="E556">
        <f t="shared" si="35"/>
        <v>0</v>
      </c>
      <c r="F556">
        <f t="shared" si="33"/>
        <v>594</v>
      </c>
    </row>
    <row r="557" spans="1:6" x14ac:dyDescent="0.25">
      <c r="A557" s="1">
        <v>45482</v>
      </c>
      <c r="B557">
        <f t="shared" si="32"/>
        <v>2</v>
      </c>
      <c r="C557" t="s">
        <v>10</v>
      </c>
      <c r="D557">
        <f t="shared" si="34"/>
        <v>594</v>
      </c>
      <c r="E557">
        <f t="shared" si="35"/>
        <v>0</v>
      </c>
      <c r="F557">
        <f t="shared" si="33"/>
        <v>594</v>
      </c>
    </row>
    <row r="558" spans="1:6" x14ac:dyDescent="0.25">
      <c r="A558" s="1">
        <v>45483</v>
      </c>
      <c r="B558">
        <f t="shared" si="32"/>
        <v>3</v>
      </c>
      <c r="C558" t="s">
        <v>10</v>
      </c>
      <c r="D558">
        <f t="shared" si="34"/>
        <v>594</v>
      </c>
      <c r="E558">
        <f t="shared" si="35"/>
        <v>0</v>
      </c>
      <c r="F558">
        <f t="shared" si="33"/>
        <v>594</v>
      </c>
    </row>
    <row r="559" spans="1:6" x14ac:dyDescent="0.25">
      <c r="A559" s="1">
        <v>45484</v>
      </c>
      <c r="B559">
        <f t="shared" si="32"/>
        <v>4</v>
      </c>
      <c r="C559" t="s">
        <v>10</v>
      </c>
      <c r="D559">
        <f t="shared" si="34"/>
        <v>594</v>
      </c>
      <c r="E559">
        <f t="shared" si="35"/>
        <v>0</v>
      </c>
      <c r="F559">
        <f t="shared" si="33"/>
        <v>594</v>
      </c>
    </row>
    <row r="560" spans="1:6" x14ac:dyDescent="0.25">
      <c r="A560" s="1">
        <v>45485</v>
      </c>
      <c r="B560">
        <f t="shared" si="32"/>
        <v>5</v>
      </c>
      <c r="C560" t="s">
        <v>10</v>
      </c>
      <c r="D560">
        <f t="shared" si="34"/>
        <v>594</v>
      </c>
      <c r="E560">
        <f t="shared" si="35"/>
        <v>0</v>
      </c>
      <c r="F560">
        <f t="shared" si="33"/>
        <v>594</v>
      </c>
    </row>
    <row r="561" spans="1:6" x14ac:dyDescent="0.25">
      <c r="A561" s="1">
        <v>45486</v>
      </c>
      <c r="B561">
        <f t="shared" si="32"/>
        <v>6</v>
      </c>
      <c r="C561" t="s">
        <v>10</v>
      </c>
      <c r="D561">
        <f t="shared" si="34"/>
        <v>0</v>
      </c>
      <c r="E561">
        <f t="shared" si="35"/>
        <v>0</v>
      </c>
      <c r="F561">
        <f t="shared" si="33"/>
        <v>0</v>
      </c>
    </row>
    <row r="562" spans="1:6" x14ac:dyDescent="0.25">
      <c r="A562" s="1">
        <v>45487</v>
      </c>
      <c r="B562">
        <f t="shared" si="32"/>
        <v>7</v>
      </c>
      <c r="C562" t="s">
        <v>10</v>
      </c>
      <c r="D562">
        <f t="shared" si="34"/>
        <v>0</v>
      </c>
      <c r="E562">
        <f t="shared" si="35"/>
        <v>150</v>
      </c>
      <c r="F562">
        <f t="shared" si="33"/>
        <v>-150</v>
      </c>
    </row>
    <row r="563" spans="1:6" x14ac:dyDescent="0.25">
      <c r="A563" s="1">
        <v>45488</v>
      </c>
      <c r="B563">
        <f t="shared" si="32"/>
        <v>1</v>
      </c>
      <c r="C563" t="s">
        <v>10</v>
      </c>
      <c r="D563">
        <f t="shared" si="34"/>
        <v>594</v>
      </c>
      <c r="E563">
        <f t="shared" si="35"/>
        <v>0</v>
      </c>
      <c r="F563">
        <f t="shared" si="33"/>
        <v>594</v>
      </c>
    </row>
    <row r="564" spans="1:6" x14ac:dyDescent="0.25">
      <c r="A564" s="1">
        <v>45489</v>
      </c>
      <c r="B564">
        <f t="shared" si="32"/>
        <v>2</v>
      </c>
      <c r="C564" t="s">
        <v>10</v>
      </c>
      <c r="D564">
        <f t="shared" si="34"/>
        <v>594</v>
      </c>
      <c r="E564">
        <f t="shared" si="35"/>
        <v>0</v>
      </c>
      <c r="F564">
        <f t="shared" si="33"/>
        <v>594</v>
      </c>
    </row>
    <row r="565" spans="1:6" x14ac:dyDescent="0.25">
      <c r="A565" s="1">
        <v>45490</v>
      </c>
      <c r="B565">
        <f t="shared" si="32"/>
        <v>3</v>
      </c>
      <c r="C565" t="s">
        <v>10</v>
      </c>
      <c r="D565">
        <f t="shared" si="34"/>
        <v>594</v>
      </c>
      <c r="E565">
        <f t="shared" si="35"/>
        <v>0</v>
      </c>
      <c r="F565">
        <f t="shared" si="33"/>
        <v>594</v>
      </c>
    </row>
    <row r="566" spans="1:6" x14ac:dyDescent="0.25">
      <c r="A566" s="1">
        <v>45491</v>
      </c>
      <c r="B566">
        <f t="shared" si="32"/>
        <v>4</v>
      </c>
      <c r="C566" t="s">
        <v>10</v>
      </c>
      <c r="D566">
        <f t="shared" si="34"/>
        <v>594</v>
      </c>
      <c r="E566">
        <f t="shared" si="35"/>
        <v>0</v>
      </c>
      <c r="F566">
        <f t="shared" si="33"/>
        <v>594</v>
      </c>
    </row>
    <row r="567" spans="1:6" x14ac:dyDescent="0.25">
      <c r="A567" s="1">
        <v>45492</v>
      </c>
      <c r="B567">
        <f t="shared" si="32"/>
        <v>5</v>
      </c>
      <c r="C567" t="s">
        <v>10</v>
      </c>
      <c r="D567">
        <f t="shared" si="34"/>
        <v>594</v>
      </c>
      <c r="E567">
        <f t="shared" si="35"/>
        <v>0</v>
      </c>
      <c r="F567">
        <f t="shared" si="33"/>
        <v>594</v>
      </c>
    </row>
    <row r="568" spans="1:6" x14ac:dyDescent="0.25">
      <c r="A568" s="1">
        <v>45493</v>
      </c>
      <c r="B568">
        <f t="shared" si="32"/>
        <v>6</v>
      </c>
      <c r="C568" t="s">
        <v>10</v>
      </c>
      <c r="D568">
        <f t="shared" si="34"/>
        <v>0</v>
      </c>
      <c r="E568">
        <f t="shared" si="35"/>
        <v>0</v>
      </c>
      <c r="F568">
        <f t="shared" si="33"/>
        <v>0</v>
      </c>
    </row>
    <row r="569" spans="1:6" x14ac:dyDescent="0.25">
      <c r="A569" s="1">
        <v>45494</v>
      </c>
      <c r="B569">
        <f t="shared" si="32"/>
        <v>7</v>
      </c>
      <c r="C569" t="s">
        <v>10</v>
      </c>
      <c r="D569">
        <f t="shared" si="34"/>
        <v>0</v>
      </c>
      <c r="E569">
        <f t="shared" si="35"/>
        <v>150</v>
      </c>
      <c r="F569">
        <f t="shared" si="33"/>
        <v>-150</v>
      </c>
    </row>
    <row r="570" spans="1:6" x14ac:dyDescent="0.25">
      <c r="A570" s="1">
        <v>45495</v>
      </c>
      <c r="B570">
        <f t="shared" si="32"/>
        <v>1</v>
      </c>
      <c r="C570" t="s">
        <v>10</v>
      </c>
      <c r="D570">
        <f t="shared" si="34"/>
        <v>594</v>
      </c>
      <c r="E570">
        <f t="shared" si="35"/>
        <v>0</v>
      </c>
      <c r="F570">
        <f t="shared" si="33"/>
        <v>594</v>
      </c>
    </row>
    <row r="571" spans="1:6" x14ac:dyDescent="0.25">
      <c r="A571" s="1">
        <v>45496</v>
      </c>
      <c r="B571">
        <f t="shared" si="32"/>
        <v>2</v>
      </c>
      <c r="C571" t="s">
        <v>10</v>
      </c>
      <c r="D571">
        <f t="shared" si="34"/>
        <v>594</v>
      </c>
      <c r="E571">
        <f t="shared" si="35"/>
        <v>0</v>
      </c>
      <c r="F571">
        <f t="shared" si="33"/>
        <v>594</v>
      </c>
    </row>
    <row r="572" spans="1:6" x14ac:dyDescent="0.25">
      <c r="A572" s="1">
        <v>45497</v>
      </c>
      <c r="B572">
        <f t="shared" si="32"/>
        <v>3</v>
      </c>
      <c r="C572" t="s">
        <v>10</v>
      </c>
      <c r="D572">
        <f t="shared" si="34"/>
        <v>594</v>
      </c>
      <c r="E572">
        <f t="shared" si="35"/>
        <v>0</v>
      </c>
      <c r="F572">
        <f t="shared" si="33"/>
        <v>594</v>
      </c>
    </row>
    <row r="573" spans="1:6" x14ac:dyDescent="0.25">
      <c r="A573" s="1">
        <v>45498</v>
      </c>
      <c r="B573">
        <f t="shared" si="32"/>
        <v>4</v>
      </c>
      <c r="C573" t="s">
        <v>10</v>
      </c>
      <c r="D573">
        <f t="shared" si="34"/>
        <v>594</v>
      </c>
      <c r="E573">
        <f t="shared" si="35"/>
        <v>0</v>
      </c>
      <c r="F573">
        <f t="shared" si="33"/>
        <v>594</v>
      </c>
    </row>
    <row r="574" spans="1:6" x14ac:dyDescent="0.25">
      <c r="A574" s="1">
        <v>45499</v>
      </c>
      <c r="B574">
        <f t="shared" si="32"/>
        <v>5</v>
      </c>
      <c r="C574" t="s">
        <v>10</v>
      </c>
      <c r="D574">
        <f t="shared" si="34"/>
        <v>594</v>
      </c>
      <c r="E574">
        <f t="shared" si="35"/>
        <v>0</v>
      </c>
      <c r="F574">
        <f t="shared" si="33"/>
        <v>594</v>
      </c>
    </row>
    <row r="575" spans="1:6" x14ac:dyDescent="0.25">
      <c r="A575" s="1">
        <v>45500</v>
      </c>
      <c r="B575">
        <f t="shared" si="32"/>
        <v>6</v>
      </c>
      <c r="C575" t="s">
        <v>10</v>
      </c>
      <c r="D575">
        <f t="shared" si="34"/>
        <v>0</v>
      </c>
      <c r="E575">
        <f t="shared" si="35"/>
        <v>0</v>
      </c>
      <c r="F575">
        <f t="shared" si="33"/>
        <v>0</v>
      </c>
    </row>
    <row r="576" spans="1:6" x14ac:dyDescent="0.25">
      <c r="A576" s="1">
        <v>45501</v>
      </c>
      <c r="B576">
        <f t="shared" si="32"/>
        <v>7</v>
      </c>
      <c r="C576" t="s">
        <v>10</v>
      </c>
      <c r="D576">
        <f t="shared" si="34"/>
        <v>0</v>
      </c>
      <c r="E576">
        <f t="shared" si="35"/>
        <v>150</v>
      </c>
      <c r="F576">
        <f t="shared" si="33"/>
        <v>-150</v>
      </c>
    </row>
    <row r="577" spans="1:6" x14ac:dyDescent="0.25">
      <c r="A577" s="1">
        <v>45502</v>
      </c>
      <c r="B577">
        <f t="shared" si="32"/>
        <v>1</v>
      </c>
      <c r="C577" t="s">
        <v>10</v>
      </c>
      <c r="D577">
        <f t="shared" si="34"/>
        <v>594</v>
      </c>
      <c r="E577">
        <f t="shared" si="35"/>
        <v>0</v>
      </c>
      <c r="F577">
        <f t="shared" si="33"/>
        <v>594</v>
      </c>
    </row>
    <row r="578" spans="1:6" x14ac:dyDescent="0.25">
      <c r="A578" s="1">
        <v>45503</v>
      </c>
      <c r="B578">
        <f t="shared" si="32"/>
        <v>2</v>
      </c>
      <c r="C578" t="s">
        <v>10</v>
      </c>
      <c r="D578">
        <f t="shared" si="34"/>
        <v>594</v>
      </c>
      <c r="E578">
        <f t="shared" si="35"/>
        <v>0</v>
      </c>
      <c r="F578">
        <f t="shared" si="33"/>
        <v>594</v>
      </c>
    </row>
    <row r="579" spans="1:6" x14ac:dyDescent="0.25">
      <c r="A579" s="1">
        <v>45504</v>
      </c>
      <c r="B579">
        <f t="shared" ref="B579:B642" si="36">WEEKDAY(A579,2)</f>
        <v>3</v>
      </c>
      <c r="C579" t="s">
        <v>10</v>
      </c>
      <c r="D579">
        <f t="shared" si="34"/>
        <v>594</v>
      </c>
      <c r="E579">
        <f t="shared" si="35"/>
        <v>0</v>
      </c>
      <c r="F579">
        <f t="shared" ref="F579:F642" si="37">D579-E579</f>
        <v>594</v>
      </c>
    </row>
    <row r="580" spans="1:6" x14ac:dyDescent="0.25">
      <c r="A580" s="1">
        <v>45505</v>
      </c>
      <c r="B580">
        <f t="shared" si="36"/>
        <v>4</v>
      </c>
      <c r="C580" t="s">
        <v>10</v>
      </c>
      <c r="D580">
        <f t="shared" ref="D580:D643" si="38">IF(B580&lt;6,$Q$1*VLOOKUP(C580,$S$1:$T$5,2,FALSE)*$Q$3,0)</f>
        <v>594</v>
      </c>
      <c r="E580">
        <f t="shared" ref="E580:E643" si="39">IF(B580=7,$Q$4*$Q$1,0)</f>
        <v>0</v>
      </c>
      <c r="F580">
        <f t="shared" si="37"/>
        <v>594</v>
      </c>
    </row>
    <row r="581" spans="1:6" x14ac:dyDescent="0.25">
      <c r="A581" s="1">
        <v>45506</v>
      </c>
      <c r="B581">
        <f t="shared" si="36"/>
        <v>5</v>
      </c>
      <c r="C581" t="s">
        <v>10</v>
      </c>
      <c r="D581">
        <f t="shared" si="38"/>
        <v>594</v>
      </c>
      <c r="E581">
        <f t="shared" si="39"/>
        <v>0</v>
      </c>
      <c r="F581">
        <f t="shared" si="37"/>
        <v>594</v>
      </c>
    </row>
    <row r="582" spans="1:6" x14ac:dyDescent="0.25">
      <c r="A582" s="1">
        <v>45507</v>
      </c>
      <c r="B582">
        <f t="shared" si="36"/>
        <v>6</v>
      </c>
      <c r="C582" t="s">
        <v>10</v>
      </c>
      <c r="D582">
        <f t="shared" si="38"/>
        <v>0</v>
      </c>
      <c r="E582">
        <f t="shared" si="39"/>
        <v>0</v>
      </c>
      <c r="F582">
        <f t="shared" si="37"/>
        <v>0</v>
      </c>
    </row>
    <row r="583" spans="1:6" x14ac:dyDescent="0.25">
      <c r="A583" s="1">
        <v>45508</v>
      </c>
      <c r="B583">
        <f t="shared" si="36"/>
        <v>7</v>
      </c>
      <c r="C583" t="s">
        <v>10</v>
      </c>
      <c r="D583">
        <f t="shared" si="38"/>
        <v>0</v>
      </c>
      <c r="E583">
        <f t="shared" si="39"/>
        <v>150</v>
      </c>
      <c r="F583">
        <f t="shared" si="37"/>
        <v>-150</v>
      </c>
    </row>
    <row r="584" spans="1:6" x14ac:dyDescent="0.25">
      <c r="A584" s="1">
        <v>45509</v>
      </c>
      <c r="B584">
        <f t="shared" si="36"/>
        <v>1</v>
      </c>
      <c r="C584" t="s">
        <v>10</v>
      </c>
      <c r="D584">
        <f t="shared" si="38"/>
        <v>594</v>
      </c>
      <c r="E584">
        <f t="shared" si="39"/>
        <v>0</v>
      </c>
      <c r="F584">
        <f t="shared" si="37"/>
        <v>594</v>
      </c>
    </row>
    <row r="585" spans="1:6" x14ac:dyDescent="0.25">
      <c r="A585" s="1">
        <v>45510</v>
      </c>
      <c r="B585">
        <f t="shared" si="36"/>
        <v>2</v>
      </c>
      <c r="C585" t="s">
        <v>10</v>
      </c>
      <c r="D585">
        <f t="shared" si="38"/>
        <v>594</v>
      </c>
      <c r="E585">
        <f t="shared" si="39"/>
        <v>0</v>
      </c>
      <c r="F585">
        <f t="shared" si="37"/>
        <v>594</v>
      </c>
    </row>
    <row r="586" spans="1:6" x14ac:dyDescent="0.25">
      <c r="A586" s="1">
        <v>45511</v>
      </c>
      <c r="B586">
        <f t="shared" si="36"/>
        <v>3</v>
      </c>
      <c r="C586" t="s">
        <v>10</v>
      </c>
      <c r="D586">
        <f t="shared" si="38"/>
        <v>594</v>
      </c>
      <c r="E586">
        <f t="shared" si="39"/>
        <v>0</v>
      </c>
      <c r="F586">
        <f t="shared" si="37"/>
        <v>594</v>
      </c>
    </row>
    <row r="587" spans="1:6" x14ac:dyDescent="0.25">
      <c r="A587" s="1">
        <v>45512</v>
      </c>
      <c r="B587">
        <f t="shared" si="36"/>
        <v>4</v>
      </c>
      <c r="C587" t="s">
        <v>10</v>
      </c>
      <c r="D587">
        <f t="shared" si="38"/>
        <v>594</v>
      </c>
      <c r="E587">
        <f t="shared" si="39"/>
        <v>0</v>
      </c>
      <c r="F587">
        <f t="shared" si="37"/>
        <v>594</v>
      </c>
    </row>
    <row r="588" spans="1:6" x14ac:dyDescent="0.25">
      <c r="A588" s="1">
        <v>45513</v>
      </c>
      <c r="B588">
        <f t="shared" si="36"/>
        <v>5</v>
      </c>
      <c r="C588" t="s">
        <v>10</v>
      </c>
      <c r="D588">
        <f t="shared" si="38"/>
        <v>594</v>
      </c>
      <c r="E588">
        <f t="shared" si="39"/>
        <v>0</v>
      </c>
      <c r="F588">
        <f t="shared" si="37"/>
        <v>594</v>
      </c>
    </row>
    <row r="589" spans="1:6" x14ac:dyDescent="0.25">
      <c r="A589" s="1">
        <v>45514</v>
      </c>
      <c r="B589">
        <f t="shared" si="36"/>
        <v>6</v>
      </c>
      <c r="C589" t="s">
        <v>10</v>
      </c>
      <c r="D589">
        <f t="shared" si="38"/>
        <v>0</v>
      </c>
      <c r="E589">
        <f t="shared" si="39"/>
        <v>0</v>
      </c>
      <c r="F589">
        <f t="shared" si="37"/>
        <v>0</v>
      </c>
    </row>
    <row r="590" spans="1:6" x14ac:dyDescent="0.25">
      <c r="A590" s="1">
        <v>45515</v>
      </c>
      <c r="B590">
        <f t="shared" si="36"/>
        <v>7</v>
      </c>
      <c r="C590" t="s">
        <v>10</v>
      </c>
      <c r="D590">
        <f t="shared" si="38"/>
        <v>0</v>
      </c>
      <c r="E590">
        <f t="shared" si="39"/>
        <v>150</v>
      </c>
      <c r="F590">
        <f t="shared" si="37"/>
        <v>-150</v>
      </c>
    </row>
    <row r="591" spans="1:6" x14ac:dyDescent="0.25">
      <c r="A591" s="1">
        <v>45516</v>
      </c>
      <c r="B591">
        <f t="shared" si="36"/>
        <v>1</v>
      </c>
      <c r="C591" t="s">
        <v>10</v>
      </c>
      <c r="D591">
        <f t="shared" si="38"/>
        <v>594</v>
      </c>
      <c r="E591">
        <f t="shared" si="39"/>
        <v>0</v>
      </c>
      <c r="F591">
        <f t="shared" si="37"/>
        <v>594</v>
      </c>
    </row>
    <row r="592" spans="1:6" x14ac:dyDescent="0.25">
      <c r="A592" s="1">
        <v>45517</v>
      </c>
      <c r="B592">
        <f t="shared" si="36"/>
        <v>2</v>
      </c>
      <c r="C592" t="s">
        <v>10</v>
      </c>
      <c r="D592">
        <f t="shared" si="38"/>
        <v>594</v>
      </c>
      <c r="E592">
        <f t="shared" si="39"/>
        <v>0</v>
      </c>
      <c r="F592">
        <f t="shared" si="37"/>
        <v>594</v>
      </c>
    </row>
    <row r="593" spans="1:6" x14ac:dyDescent="0.25">
      <c r="A593" s="1">
        <v>45518</v>
      </c>
      <c r="B593">
        <f t="shared" si="36"/>
        <v>3</v>
      </c>
      <c r="C593" t="s">
        <v>10</v>
      </c>
      <c r="D593">
        <f t="shared" si="38"/>
        <v>594</v>
      </c>
      <c r="E593">
        <f t="shared" si="39"/>
        <v>0</v>
      </c>
      <c r="F593">
        <f t="shared" si="37"/>
        <v>594</v>
      </c>
    </row>
    <row r="594" spans="1:6" x14ac:dyDescent="0.25">
      <c r="A594" s="1">
        <v>45519</v>
      </c>
      <c r="B594">
        <f t="shared" si="36"/>
        <v>4</v>
      </c>
      <c r="C594" t="s">
        <v>10</v>
      </c>
      <c r="D594">
        <f t="shared" si="38"/>
        <v>594</v>
      </c>
      <c r="E594">
        <f t="shared" si="39"/>
        <v>0</v>
      </c>
      <c r="F594">
        <f t="shared" si="37"/>
        <v>594</v>
      </c>
    </row>
    <row r="595" spans="1:6" x14ac:dyDescent="0.25">
      <c r="A595" s="1">
        <v>45520</v>
      </c>
      <c r="B595">
        <f t="shared" si="36"/>
        <v>5</v>
      </c>
      <c r="C595" t="s">
        <v>10</v>
      </c>
      <c r="D595">
        <f t="shared" si="38"/>
        <v>594</v>
      </c>
      <c r="E595">
        <f t="shared" si="39"/>
        <v>0</v>
      </c>
      <c r="F595">
        <f t="shared" si="37"/>
        <v>594</v>
      </c>
    </row>
    <row r="596" spans="1:6" x14ac:dyDescent="0.25">
      <c r="A596" s="1">
        <v>45521</v>
      </c>
      <c r="B596">
        <f t="shared" si="36"/>
        <v>6</v>
      </c>
      <c r="C596" t="s">
        <v>10</v>
      </c>
      <c r="D596">
        <f t="shared" si="38"/>
        <v>0</v>
      </c>
      <c r="E596">
        <f t="shared" si="39"/>
        <v>0</v>
      </c>
      <c r="F596">
        <f t="shared" si="37"/>
        <v>0</v>
      </c>
    </row>
    <row r="597" spans="1:6" x14ac:dyDescent="0.25">
      <c r="A597" s="1">
        <v>45522</v>
      </c>
      <c r="B597">
        <f t="shared" si="36"/>
        <v>7</v>
      </c>
      <c r="C597" t="s">
        <v>10</v>
      </c>
      <c r="D597">
        <f t="shared" si="38"/>
        <v>0</v>
      </c>
      <c r="E597">
        <f t="shared" si="39"/>
        <v>150</v>
      </c>
      <c r="F597">
        <f t="shared" si="37"/>
        <v>-150</v>
      </c>
    </row>
    <row r="598" spans="1:6" x14ac:dyDescent="0.25">
      <c r="A598" s="1">
        <v>45523</v>
      </c>
      <c r="B598">
        <f t="shared" si="36"/>
        <v>1</v>
      </c>
      <c r="C598" t="s">
        <v>10</v>
      </c>
      <c r="D598">
        <f t="shared" si="38"/>
        <v>594</v>
      </c>
      <c r="E598">
        <f t="shared" si="39"/>
        <v>0</v>
      </c>
      <c r="F598">
        <f t="shared" si="37"/>
        <v>594</v>
      </c>
    </row>
    <row r="599" spans="1:6" x14ac:dyDescent="0.25">
      <c r="A599" s="1">
        <v>45524</v>
      </c>
      <c r="B599">
        <f t="shared" si="36"/>
        <v>2</v>
      </c>
      <c r="C599" t="s">
        <v>10</v>
      </c>
      <c r="D599">
        <f t="shared" si="38"/>
        <v>594</v>
      </c>
      <c r="E599">
        <f t="shared" si="39"/>
        <v>0</v>
      </c>
      <c r="F599">
        <f t="shared" si="37"/>
        <v>594</v>
      </c>
    </row>
    <row r="600" spans="1:6" x14ac:dyDescent="0.25">
      <c r="A600" s="1">
        <v>45525</v>
      </c>
      <c r="B600">
        <f t="shared" si="36"/>
        <v>3</v>
      </c>
      <c r="C600" t="s">
        <v>10</v>
      </c>
      <c r="D600">
        <f t="shared" si="38"/>
        <v>594</v>
      </c>
      <c r="E600">
        <f t="shared" si="39"/>
        <v>0</v>
      </c>
      <c r="F600">
        <f t="shared" si="37"/>
        <v>594</v>
      </c>
    </row>
    <row r="601" spans="1:6" x14ac:dyDescent="0.25">
      <c r="A601" s="1">
        <v>45526</v>
      </c>
      <c r="B601">
        <f t="shared" si="36"/>
        <v>4</v>
      </c>
      <c r="C601" t="s">
        <v>10</v>
      </c>
      <c r="D601">
        <f t="shared" si="38"/>
        <v>594</v>
      </c>
      <c r="E601">
        <f t="shared" si="39"/>
        <v>0</v>
      </c>
      <c r="F601">
        <f t="shared" si="37"/>
        <v>594</v>
      </c>
    </row>
    <row r="602" spans="1:6" x14ac:dyDescent="0.25">
      <c r="A602" s="1">
        <v>45527</v>
      </c>
      <c r="B602">
        <f t="shared" si="36"/>
        <v>5</v>
      </c>
      <c r="C602" t="s">
        <v>10</v>
      </c>
      <c r="D602">
        <f t="shared" si="38"/>
        <v>594</v>
      </c>
      <c r="E602">
        <f t="shared" si="39"/>
        <v>0</v>
      </c>
      <c r="F602">
        <f t="shared" si="37"/>
        <v>594</v>
      </c>
    </row>
    <row r="603" spans="1:6" x14ac:dyDescent="0.25">
      <c r="A603" s="1">
        <v>45528</v>
      </c>
      <c r="B603">
        <f t="shared" si="36"/>
        <v>6</v>
      </c>
      <c r="C603" t="s">
        <v>10</v>
      </c>
      <c r="D603">
        <f t="shared" si="38"/>
        <v>0</v>
      </c>
      <c r="E603">
        <f t="shared" si="39"/>
        <v>0</v>
      </c>
      <c r="F603">
        <f t="shared" si="37"/>
        <v>0</v>
      </c>
    </row>
    <row r="604" spans="1:6" x14ac:dyDescent="0.25">
      <c r="A604" s="1">
        <v>45529</v>
      </c>
      <c r="B604">
        <f t="shared" si="36"/>
        <v>7</v>
      </c>
      <c r="C604" t="s">
        <v>10</v>
      </c>
      <c r="D604">
        <f t="shared" si="38"/>
        <v>0</v>
      </c>
      <c r="E604">
        <f t="shared" si="39"/>
        <v>150</v>
      </c>
      <c r="F604">
        <f t="shared" si="37"/>
        <v>-150</v>
      </c>
    </row>
    <row r="605" spans="1:6" x14ac:dyDescent="0.25">
      <c r="A605" s="1">
        <v>45530</v>
      </c>
      <c r="B605">
        <f t="shared" si="36"/>
        <v>1</v>
      </c>
      <c r="C605" t="s">
        <v>10</v>
      </c>
      <c r="D605">
        <f t="shared" si="38"/>
        <v>594</v>
      </c>
      <c r="E605">
        <f t="shared" si="39"/>
        <v>0</v>
      </c>
      <c r="F605">
        <f t="shared" si="37"/>
        <v>594</v>
      </c>
    </row>
    <row r="606" spans="1:6" x14ac:dyDescent="0.25">
      <c r="A606" s="1">
        <v>45531</v>
      </c>
      <c r="B606">
        <f t="shared" si="36"/>
        <v>2</v>
      </c>
      <c r="C606" t="s">
        <v>10</v>
      </c>
      <c r="D606">
        <f t="shared" si="38"/>
        <v>594</v>
      </c>
      <c r="E606">
        <f t="shared" si="39"/>
        <v>0</v>
      </c>
      <c r="F606">
        <f t="shared" si="37"/>
        <v>594</v>
      </c>
    </row>
    <row r="607" spans="1:6" x14ac:dyDescent="0.25">
      <c r="A607" s="1">
        <v>45532</v>
      </c>
      <c r="B607">
        <f t="shared" si="36"/>
        <v>3</v>
      </c>
      <c r="C607" t="s">
        <v>10</v>
      </c>
      <c r="D607">
        <f t="shared" si="38"/>
        <v>594</v>
      </c>
      <c r="E607">
        <f t="shared" si="39"/>
        <v>0</v>
      </c>
      <c r="F607">
        <f t="shared" si="37"/>
        <v>594</v>
      </c>
    </row>
    <row r="608" spans="1:6" x14ac:dyDescent="0.25">
      <c r="A608" s="1">
        <v>45533</v>
      </c>
      <c r="B608">
        <f t="shared" si="36"/>
        <v>4</v>
      </c>
      <c r="C608" t="s">
        <v>10</v>
      </c>
      <c r="D608">
        <f t="shared" si="38"/>
        <v>594</v>
      </c>
      <c r="E608">
        <f t="shared" si="39"/>
        <v>0</v>
      </c>
      <c r="F608">
        <f t="shared" si="37"/>
        <v>594</v>
      </c>
    </row>
    <row r="609" spans="1:6" x14ac:dyDescent="0.25">
      <c r="A609" s="1">
        <v>45534</v>
      </c>
      <c r="B609">
        <f t="shared" si="36"/>
        <v>5</v>
      </c>
      <c r="C609" t="s">
        <v>10</v>
      </c>
      <c r="D609">
        <f t="shared" si="38"/>
        <v>594</v>
      </c>
      <c r="E609">
        <f t="shared" si="39"/>
        <v>0</v>
      </c>
      <c r="F609">
        <f t="shared" si="37"/>
        <v>594</v>
      </c>
    </row>
    <row r="610" spans="1:6" x14ac:dyDescent="0.25">
      <c r="A610" s="1">
        <v>45535</v>
      </c>
      <c r="B610">
        <f t="shared" si="36"/>
        <v>6</v>
      </c>
      <c r="C610" t="s">
        <v>10</v>
      </c>
      <c r="D610">
        <f t="shared" si="38"/>
        <v>0</v>
      </c>
      <c r="E610">
        <f t="shared" si="39"/>
        <v>0</v>
      </c>
      <c r="F610">
        <f t="shared" si="37"/>
        <v>0</v>
      </c>
    </row>
    <row r="611" spans="1:6" x14ac:dyDescent="0.25">
      <c r="A611" s="1">
        <v>45536</v>
      </c>
      <c r="B611">
        <f t="shared" si="36"/>
        <v>7</v>
      </c>
      <c r="C611" t="s">
        <v>10</v>
      </c>
      <c r="D611">
        <f t="shared" si="38"/>
        <v>0</v>
      </c>
      <c r="E611">
        <f t="shared" si="39"/>
        <v>150</v>
      </c>
      <c r="F611">
        <f t="shared" si="37"/>
        <v>-150</v>
      </c>
    </row>
    <row r="612" spans="1:6" x14ac:dyDescent="0.25">
      <c r="A612" s="1">
        <v>45537</v>
      </c>
      <c r="B612">
        <f t="shared" si="36"/>
        <v>1</v>
      </c>
      <c r="C612" t="s">
        <v>10</v>
      </c>
      <c r="D612">
        <f t="shared" si="38"/>
        <v>594</v>
      </c>
      <c r="E612">
        <f t="shared" si="39"/>
        <v>0</v>
      </c>
      <c r="F612">
        <f t="shared" si="37"/>
        <v>594</v>
      </c>
    </row>
    <row r="613" spans="1:6" x14ac:dyDescent="0.25">
      <c r="A613" s="1">
        <v>45538</v>
      </c>
      <c r="B613">
        <f t="shared" si="36"/>
        <v>2</v>
      </c>
      <c r="C613" t="s">
        <v>10</v>
      </c>
      <c r="D613">
        <f t="shared" si="38"/>
        <v>594</v>
      </c>
      <c r="E613">
        <f t="shared" si="39"/>
        <v>0</v>
      </c>
      <c r="F613">
        <f t="shared" si="37"/>
        <v>594</v>
      </c>
    </row>
    <row r="614" spans="1:6" x14ac:dyDescent="0.25">
      <c r="A614" s="1">
        <v>45539</v>
      </c>
      <c r="B614">
        <f t="shared" si="36"/>
        <v>3</v>
      </c>
      <c r="C614" t="s">
        <v>10</v>
      </c>
      <c r="D614">
        <f t="shared" si="38"/>
        <v>594</v>
      </c>
      <c r="E614">
        <f t="shared" si="39"/>
        <v>0</v>
      </c>
      <c r="F614">
        <f t="shared" si="37"/>
        <v>594</v>
      </c>
    </row>
    <row r="615" spans="1:6" x14ac:dyDescent="0.25">
      <c r="A615" s="1">
        <v>45540</v>
      </c>
      <c r="B615">
        <f t="shared" si="36"/>
        <v>4</v>
      </c>
      <c r="C615" t="s">
        <v>10</v>
      </c>
      <c r="D615">
        <f t="shared" si="38"/>
        <v>594</v>
      </c>
      <c r="E615">
        <f t="shared" si="39"/>
        <v>0</v>
      </c>
      <c r="F615">
        <f t="shared" si="37"/>
        <v>594</v>
      </c>
    </row>
    <row r="616" spans="1:6" x14ac:dyDescent="0.25">
      <c r="A616" s="1">
        <v>45541</v>
      </c>
      <c r="B616">
        <f t="shared" si="36"/>
        <v>5</v>
      </c>
      <c r="C616" t="s">
        <v>10</v>
      </c>
      <c r="D616">
        <f t="shared" si="38"/>
        <v>594</v>
      </c>
      <c r="E616">
        <f t="shared" si="39"/>
        <v>0</v>
      </c>
      <c r="F616">
        <f t="shared" si="37"/>
        <v>594</v>
      </c>
    </row>
    <row r="617" spans="1:6" x14ac:dyDescent="0.25">
      <c r="A617" s="1">
        <v>45542</v>
      </c>
      <c r="B617">
        <f t="shared" si="36"/>
        <v>6</v>
      </c>
      <c r="C617" t="s">
        <v>10</v>
      </c>
      <c r="D617">
        <f t="shared" si="38"/>
        <v>0</v>
      </c>
      <c r="E617">
        <f t="shared" si="39"/>
        <v>0</v>
      </c>
      <c r="F617">
        <f t="shared" si="37"/>
        <v>0</v>
      </c>
    </row>
    <row r="618" spans="1:6" x14ac:dyDescent="0.25">
      <c r="A618" s="1">
        <v>45543</v>
      </c>
      <c r="B618">
        <f t="shared" si="36"/>
        <v>7</v>
      </c>
      <c r="C618" t="s">
        <v>10</v>
      </c>
      <c r="D618">
        <f t="shared" si="38"/>
        <v>0</v>
      </c>
      <c r="E618">
        <f t="shared" si="39"/>
        <v>150</v>
      </c>
      <c r="F618">
        <f t="shared" si="37"/>
        <v>-150</v>
      </c>
    </row>
    <row r="619" spans="1:6" x14ac:dyDescent="0.25">
      <c r="A619" s="1">
        <v>45544</v>
      </c>
      <c r="B619">
        <f t="shared" si="36"/>
        <v>1</v>
      </c>
      <c r="C619" t="s">
        <v>10</v>
      </c>
      <c r="D619">
        <f t="shared" si="38"/>
        <v>594</v>
      </c>
      <c r="E619">
        <f t="shared" si="39"/>
        <v>0</v>
      </c>
      <c r="F619">
        <f t="shared" si="37"/>
        <v>594</v>
      </c>
    </row>
    <row r="620" spans="1:6" x14ac:dyDescent="0.25">
      <c r="A620" s="1">
        <v>45545</v>
      </c>
      <c r="B620">
        <f t="shared" si="36"/>
        <v>2</v>
      </c>
      <c r="C620" t="s">
        <v>10</v>
      </c>
      <c r="D620">
        <f t="shared" si="38"/>
        <v>594</v>
      </c>
      <c r="E620">
        <f t="shared" si="39"/>
        <v>0</v>
      </c>
      <c r="F620">
        <f t="shared" si="37"/>
        <v>594</v>
      </c>
    </row>
    <row r="621" spans="1:6" x14ac:dyDescent="0.25">
      <c r="A621" s="1">
        <v>45546</v>
      </c>
      <c r="B621">
        <f t="shared" si="36"/>
        <v>3</v>
      </c>
      <c r="C621" t="s">
        <v>10</v>
      </c>
      <c r="D621">
        <f t="shared" si="38"/>
        <v>594</v>
      </c>
      <c r="E621">
        <f t="shared" si="39"/>
        <v>0</v>
      </c>
      <c r="F621">
        <f t="shared" si="37"/>
        <v>594</v>
      </c>
    </row>
    <row r="622" spans="1:6" x14ac:dyDescent="0.25">
      <c r="A622" s="1">
        <v>45547</v>
      </c>
      <c r="B622">
        <f t="shared" si="36"/>
        <v>4</v>
      </c>
      <c r="C622" t="s">
        <v>10</v>
      </c>
      <c r="D622">
        <f t="shared" si="38"/>
        <v>594</v>
      </c>
      <c r="E622">
        <f t="shared" si="39"/>
        <v>0</v>
      </c>
      <c r="F622">
        <f t="shared" si="37"/>
        <v>594</v>
      </c>
    </row>
    <row r="623" spans="1:6" x14ac:dyDescent="0.25">
      <c r="A623" s="1">
        <v>45548</v>
      </c>
      <c r="B623">
        <f t="shared" si="36"/>
        <v>5</v>
      </c>
      <c r="C623" t="s">
        <v>10</v>
      </c>
      <c r="D623">
        <f t="shared" si="38"/>
        <v>594</v>
      </c>
      <c r="E623">
        <f t="shared" si="39"/>
        <v>0</v>
      </c>
      <c r="F623">
        <f t="shared" si="37"/>
        <v>594</v>
      </c>
    </row>
    <row r="624" spans="1:6" x14ac:dyDescent="0.25">
      <c r="A624" s="1">
        <v>45549</v>
      </c>
      <c r="B624">
        <f t="shared" si="36"/>
        <v>6</v>
      </c>
      <c r="C624" t="s">
        <v>10</v>
      </c>
      <c r="D624">
        <f t="shared" si="38"/>
        <v>0</v>
      </c>
      <c r="E624">
        <f t="shared" si="39"/>
        <v>0</v>
      </c>
      <c r="F624">
        <f t="shared" si="37"/>
        <v>0</v>
      </c>
    </row>
    <row r="625" spans="1:6" x14ac:dyDescent="0.25">
      <c r="A625" s="1">
        <v>45550</v>
      </c>
      <c r="B625">
        <f t="shared" si="36"/>
        <v>7</v>
      </c>
      <c r="C625" t="s">
        <v>10</v>
      </c>
      <c r="D625">
        <f t="shared" si="38"/>
        <v>0</v>
      </c>
      <c r="E625">
        <f t="shared" si="39"/>
        <v>150</v>
      </c>
      <c r="F625">
        <f t="shared" si="37"/>
        <v>-150</v>
      </c>
    </row>
    <row r="626" spans="1:6" x14ac:dyDescent="0.25">
      <c r="A626" s="1">
        <v>45551</v>
      </c>
      <c r="B626">
        <f t="shared" si="36"/>
        <v>1</v>
      </c>
      <c r="C626" t="s">
        <v>10</v>
      </c>
      <c r="D626">
        <f t="shared" si="38"/>
        <v>594</v>
      </c>
      <c r="E626">
        <f t="shared" si="39"/>
        <v>0</v>
      </c>
      <c r="F626">
        <f t="shared" si="37"/>
        <v>594</v>
      </c>
    </row>
    <row r="627" spans="1:6" x14ac:dyDescent="0.25">
      <c r="A627" s="1">
        <v>45552</v>
      </c>
      <c r="B627">
        <f t="shared" si="36"/>
        <v>2</v>
      </c>
      <c r="C627" t="s">
        <v>10</v>
      </c>
      <c r="D627">
        <f t="shared" si="38"/>
        <v>594</v>
      </c>
      <c r="E627">
        <f t="shared" si="39"/>
        <v>0</v>
      </c>
      <c r="F627">
        <f t="shared" si="37"/>
        <v>594</v>
      </c>
    </row>
    <row r="628" spans="1:6" x14ac:dyDescent="0.25">
      <c r="A628" s="1">
        <v>45553</v>
      </c>
      <c r="B628">
        <f t="shared" si="36"/>
        <v>3</v>
      </c>
      <c r="C628" t="s">
        <v>10</v>
      </c>
      <c r="D628">
        <f t="shared" si="38"/>
        <v>594</v>
      </c>
      <c r="E628">
        <f t="shared" si="39"/>
        <v>0</v>
      </c>
      <c r="F628">
        <f t="shared" si="37"/>
        <v>594</v>
      </c>
    </row>
    <row r="629" spans="1:6" x14ac:dyDescent="0.25">
      <c r="A629" s="1">
        <v>45554</v>
      </c>
      <c r="B629">
        <f t="shared" si="36"/>
        <v>4</v>
      </c>
      <c r="C629" t="s">
        <v>10</v>
      </c>
      <c r="D629">
        <f t="shared" si="38"/>
        <v>594</v>
      </c>
      <c r="E629">
        <f t="shared" si="39"/>
        <v>0</v>
      </c>
      <c r="F629">
        <f t="shared" si="37"/>
        <v>594</v>
      </c>
    </row>
    <row r="630" spans="1:6" x14ac:dyDescent="0.25">
      <c r="A630" s="1">
        <v>45555</v>
      </c>
      <c r="B630">
        <f t="shared" si="36"/>
        <v>5</v>
      </c>
      <c r="C630" t="s">
        <v>10</v>
      </c>
      <c r="D630">
        <f t="shared" si="38"/>
        <v>594</v>
      </c>
      <c r="E630">
        <f t="shared" si="39"/>
        <v>0</v>
      </c>
      <c r="F630">
        <f t="shared" si="37"/>
        <v>594</v>
      </c>
    </row>
    <row r="631" spans="1:6" x14ac:dyDescent="0.25">
      <c r="A631" s="1">
        <v>45556</v>
      </c>
      <c r="B631">
        <f t="shared" si="36"/>
        <v>6</v>
      </c>
      <c r="C631" t="s">
        <v>10</v>
      </c>
      <c r="D631">
        <f t="shared" si="38"/>
        <v>0</v>
      </c>
      <c r="E631">
        <f t="shared" si="39"/>
        <v>0</v>
      </c>
      <c r="F631">
        <f t="shared" si="37"/>
        <v>0</v>
      </c>
    </row>
    <row r="632" spans="1:6" x14ac:dyDescent="0.25">
      <c r="A632" s="1">
        <v>45557</v>
      </c>
      <c r="B632">
        <f t="shared" si="36"/>
        <v>7</v>
      </c>
      <c r="C632" t="s">
        <v>10</v>
      </c>
      <c r="D632">
        <f t="shared" si="38"/>
        <v>0</v>
      </c>
      <c r="E632">
        <f t="shared" si="39"/>
        <v>150</v>
      </c>
      <c r="F632">
        <f t="shared" si="37"/>
        <v>-150</v>
      </c>
    </row>
    <row r="633" spans="1:6" x14ac:dyDescent="0.25">
      <c r="A633" s="1">
        <v>45558</v>
      </c>
      <c r="B633">
        <f t="shared" si="36"/>
        <v>1</v>
      </c>
      <c r="C633" t="s">
        <v>11</v>
      </c>
      <c r="D633">
        <f t="shared" si="38"/>
        <v>264</v>
      </c>
      <c r="E633">
        <f t="shared" si="39"/>
        <v>0</v>
      </c>
      <c r="F633">
        <f t="shared" si="37"/>
        <v>264</v>
      </c>
    </row>
    <row r="634" spans="1:6" x14ac:dyDescent="0.25">
      <c r="A634" s="1">
        <v>45559</v>
      </c>
      <c r="B634">
        <f t="shared" si="36"/>
        <v>2</v>
      </c>
      <c r="C634" t="s">
        <v>11</v>
      </c>
      <c r="D634">
        <f t="shared" si="38"/>
        <v>264</v>
      </c>
      <c r="E634">
        <f t="shared" si="39"/>
        <v>0</v>
      </c>
      <c r="F634">
        <f t="shared" si="37"/>
        <v>264</v>
      </c>
    </row>
    <row r="635" spans="1:6" x14ac:dyDescent="0.25">
      <c r="A635" s="1">
        <v>45560</v>
      </c>
      <c r="B635">
        <f t="shared" si="36"/>
        <v>3</v>
      </c>
      <c r="C635" t="s">
        <v>11</v>
      </c>
      <c r="D635">
        <f t="shared" si="38"/>
        <v>264</v>
      </c>
      <c r="E635">
        <f t="shared" si="39"/>
        <v>0</v>
      </c>
      <c r="F635">
        <f t="shared" si="37"/>
        <v>264</v>
      </c>
    </row>
    <row r="636" spans="1:6" x14ac:dyDescent="0.25">
      <c r="A636" s="1">
        <v>45561</v>
      </c>
      <c r="B636">
        <f t="shared" si="36"/>
        <v>4</v>
      </c>
      <c r="C636" t="s">
        <v>11</v>
      </c>
      <c r="D636">
        <f t="shared" si="38"/>
        <v>264</v>
      </c>
      <c r="E636">
        <f t="shared" si="39"/>
        <v>0</v>
      </c>
      <c r="F636">
        <f t="shared" si="37"/>
        <v>264</v>
      </c>
    </row>
    <row r="637" spans="1:6" x14ac:dyDescent="0.25">
      <c r="A637" s="1">
        <v>45562</v>
      </c>
      <c r="B637">
        <f t="shared" si="36"/>
        <v>5</v>
      </c>
      <c r="C637" t="s">
        <v>11</v>
      </c>
      <c r="D637">
        <f t="shared" si="38"/>
        <v>264</v>
      </c>
      <c r="E637">
        <f t="shared" si="39"/>
        <v>0</v>
      </c>
      <c r="F637">
        <f t="shared" si="37"/>
        <v>264</v>
      </c>
    </row>
    <row r="638" spans="1:6" x14ac:dyDescent="0.25">
      <c r="A638" s="1">
        <v>45563</v>
      </c>
      <c r="B638">
        <f t="shared" si="36"/>
        <v>6</v>
      </c>
      <c r="C638" t="s">
        <v>11</v>
      </c>
      <c r="D638">
        <f t="shared" si="38"/>
        <v>0</v>
      </c>
      <c r="E638">
        <f t="shared" si="39"/>
        <v>0</v>
      </c>
      <c r="F638">
        <f t="shared" si="37"/>
        <v>0</v>
      </c>
    </row>
    <row r="639" spans="1:6" x14ac:dyDescent="0.25">
      <c r="A639" s="1">
        <v>45564</v>
      </c>
      <c r="B639">
        <f t="shared" si="36"/>
        <v>7</v>
      </c>
      <c r="C639" t="s">
        <v>11</v>
      </c>
      <c r="D639">
        <f t="shared" si="38"/>
        <v>0</v>
      </c>
      <c r="E639">
        <f t="shared" si="39"/>
        <v>150</v>
      </c>
      <c r="F639">
        <f t="shared" si="37"/>
        <v>-150</v>
      </c>
    </row>
    <row r="640" spans="1:6" x14ac:dyDescent="0.25">
      <c r="A640" s="1">
        <v>45565</v>
      </c>
      <c r="B640">
        <f t="shared" si="36"/>
        <v>1</v>
      </c>
      <c r="C640" t="s">
        <v>11</v>
      </c>
      <c r="D640">
        <f t="shared" si="38"/>
        <v>264</v>
      </c>
      <c r="E640">
        <f t="shared" si="39"/>
        <v>0</v>
      </c>
      <c r="F640">
        <f t="shared" si="37"/>
        <v>264</v>
      </c>
    </row>
    <row r="641" spans="1:6" x14ac:dyDescent="0.25">
      <c r="A641" s="1">
        <v>45566</v>
      </c>
      <c r="B641">
        <f t="shared" si="36"/>
        <v>2</v>
      </c>
      <c r="C641" t="s">
        <v>11</v>
      </c>
      <c r="D641">
        <f t="shared" si="38"/>
        <v>264</v>
      </c>
      <c r="E641">
        <f t="shared" si="39"/>
        <v>0</v>
      </c>
      <c r="F641">
        <f t="shared" si="37"/>
        <v>264</v>
      </c>
    </row>
    <row r="642" spans="1:6" x14ac:dyDescent="0.25">
      <c r="A642" s="1">
        <v>45567</v>
      </c>
      <c r="B642">
        <f t="shared" si="36"/>
        <v>3</v>
      </c>
      <c r="C642" t="s">
        <v>11</v>
      </c>
      <c r="D642">
        <f t="shared" si="38"/>
        <v>264</v>
      </c>
      <c r="E642">
        <f t="shared" si="39"/>
        <v>0</v>
      </c>
      <c r="F642">
        <f t="shared" si="37"/>
        <v>264</v>
      </c>
    </row>
    <row r="643" spans="1:6" x14ac:dyDescent="0.25">
      <c r="A643" s="1">
        <v>45568</v>
      </c>
      <c r="B643">
        <f t="shared" ref="B643:B706" si="40">WEEKDAY(A643,2)</f>
        <v>4</v>
      </c>
      <c r="C643" t="s">
        <v>11</v>
      </c>
      <c r="D643">
        <f t="shared" si="38"/>
        <v>264</v>
      </c>
      <c r="E643">
        <f t="shared" si="39"/>
        <v>0</v>
      </c>
      <c r="F643">
        <f t="shared" ref="F643:F706" si="41">D643-E643</f>
        <v>264</v>
      </c>
    </row>
    <row r="644" spans="1:6" x14ac:dyDescent="0.25">
      <c r="A644" s="1">
        <v>45569</v>
      </c>
      <c r="B644">
        <f t="shared" si="40"/>
        <v>5</v>
      </c>
      <c r="C644" t="s">
        <v>11</v>
      </c>
      <c r="D644">
        <f t="shared" ref="D644:D707" si="42">IF(B644&lt;6,$Q$1*VLOOKUP(C644,$S$1:$T$5,2,FALSE)*$Q$3,0)</f>
        <v>264</v>
      </c>
      <c r="E644">
        <f t="shared" ref="E644:E707" si="43">IF(B644=7,$Q$4*$Q$1,0)</f>
        <v>0</v>
      </c>
      <c r="F644">
        <f t="shared" si="41"/>
        <v>264</v>
      </c>
    </row>
    <row r="645" spans="1:6" x14ac:dyDescent="0.25">
      <c r="A645" s="1">
        <v>45570</v>
      </c>
      <c r="B645">
        <f t="shared" si="40"/>
        <v>6</v>
      </c>
      <c r="C645" t="s">
        <v>11</v>
      </c>
      <c r="D645">
        <f t="shared" si="42"/>
        <v>0</v>
      </c>
      <c r="E645">
        <f t="shared" si="43"/>
        <v>0</v>
      </c>
      <c r="F645">
        <f t="shared" si="41"/>
        <v>0</v>
      </c>
    </row>
    <row r="646" spans="1:6" x14ac:dyDescent="0.25">
      <c r="A646" s="1">
        <v>45571</v>
      </c>
      <c r="B646">
        <f t="shared" si="40"/>
        <v>7</v>
      </c>
      <c r="C646" t="s">
        <v>11</v>
      </c>
      <c r="D646">
        <f t="shared" si="42"/>
        <v>0</v>
      </c>
      <c r="E646">
        <f t="shared" si="43"/>
        <v>150</v>
      </c>
      <c r="F646">
        <f t="shared" si="41"/>
        <v>-150</v>
      </c>
    </row>
    <row r="647" spans="1:6" x14ac:dyDescent="0.25">
      <c r="A647" s="1">
        <v>45572</v>
      </c>
      <c r="B647">
        <f t="shared" si="40"/>
        <v>1</v>
      </c>
      <c r="C647" t="s">
        <v>11</v>
      </c>
      <c r="D647">
        <f t="shared" si="42"/>
        <v>264</v>
      </c>
      <c r="E647">
        <f t="shared" si="43"/>
        <v>0</v>
      </c>
      <c r="F647">
        <f t="shared" si="41"/>
        <v>264</v>
      </c>
    </row>
    <row r="648" spans="1:6" x14ac:dyDescent="0.25">
      <c r="A648" s="1">
        <v>45573</v>
      </c>
      <c r="B648">
        <f t="shared" si="40"/>
        <v>2</v>
      </c>
      <c r="C648" t="s">
        <v>11</v>
      </c>
      <c r="D648">
        <f t="shared" si="42"/>
        <v>264</v>
      </c>
      <c r="E648">
        <f t="shared" si="43"/>
        <v>0</v>
      </c>
      <c r="F648">
        <f t="shared" si="41"/>
        <v>264</v>
      </c>
    </row>
    <row r="649" spans="1:6" x14ac:dyDescent="0.25">
      <c r="A649" s="1">
        <v>45574</v>
      </c>
      <c r="B649">
        <f t="shared" si="40"/>
        <v>3</v>
      </c>
      <c r="C649" t="s">
        <v>11</v>
      </c>
      <c r="D649">
        <f t="shared" si="42"/>
        <v>264</v>
      </c>
      <c r="E649">
        <f t="shared" si="43"/>
        <v>0</v>
      </c>
      <c r="F649">
        <f t="shared" si="41"/>
        <v>264</v>
      </c>
    </row>
    <row r="650" spans="1:6" x14ac:dyDescent="0.25">
      <c r="A650" s="1">
        <v>45575</v>
      </c>
      <c r="B650">
        <f t="shared" si="40"/>
        <v>4</v>
      </c>
      <c r="C650" t="s">
        <v>11</v>
      </c>
      <c r="D650">
        <f t="shared" si="42"/>
        <v>264</v>
      </c>
      <c r="E650">
        <f t="shared" si="43"/>
        <v>0</v>
      </c>
      <c r="F650">
        <f t="shared" si="41"/>
        <v>264</v>
      </c>
    </row>
    <row r="651" spans="1:6" x14ac:dyDescent="0.25">
      <c r="A651" s="1">
        <v>45576</v>
      </c>
      <c r="B651">
        <f t="shared" si="40"/>
        <v>5</v>
      </c>
      <c r="C651" t="s">
        <v>11</v>
      </c>
      <c r="D651">
        <f t="shared" si="42"/>
        <v>264</v>
      </c>
      <c r="E651">
        <f t="shared" si="43"/>
        <v>0</v>
      </c>
      <c r="F651">
        <f t="shared" si="41"/>
        <v>264</v>
      </c>
    </row>
    <row r="652" spans="1:6" x14ac:dyDescent="0.25">
      <c r="A652" s="1">
        <v>45577</v>
      </c>
      <c r="B652">
        <f t="shared" si="40"/>
        <v>6</v>
      </c>
      <c r="C652" t="s">
        <v>11</v>
      </c>
      <c r="D652">
        <f t="shared" si="42"/>
        <v>0</v>
      </c>
      <c r="E652">
        <f t="shared" si="43"/>
        <v>0</v>
      </c>
      <c r="F652">
        <f t="shared" si="41"/>
        <v>0</v>
      </c>
    </row>
    <row r="653" spans="1:6" x14ac:dyDescent="0.25">
      <c r="A653" s="1">
        <v>45578</v>
      </c>
      <c r="B653">
        <f t="shared" si="40"/>
        <v>7</v>
      </c>
      <c r="C653" t="s">
        <v>11</v>
      </c>
      <c r="D653">
        <f t="shared" si="42"/>
        <v>0</v>
      </c>
      <c r="E653">
        <f t="shared" si="43"/>
        <v>150</v>
      </c>
      <c r="F653">
        <f t="shared" si="41"/>
        <v>-150</v>
      </c>
    </row>
    <row r="654" spans="1:6" x14ac:dyDescent="0.25">
      <c r="A654" s="1">
        <v>45579</v>
      </c>
      <c r="B654">
        <f t="shared" si="40"/>
        <v>1</v>
      </c>
      <c r="C654" t="s">
        <v>11</v>
      </c>
      <c r="D654">
        <f t="shared" si="42"/>
        <v>264</v>
      </c>
      <c r="E654">
        <f t="shared" si="43"/>
        <v>0</v>
      </c>
      <c r="F654">
        <f t="shared" si="41"/>
        <v>264</v>
      </c>
    </row>
    <row r="655" spans="1:6" x14ac:dyDescent="0.25">
      <c r="A655" s="1">
        <v>45580</v>
      </c>
      <c r="B655">
        <f t="shared" si="40"/>
        <v>2</v>
      </c>
      <c r="C655" t="s">
        <v>11</v>
      </c>
      <c r="D655">
        <f t="shared" si="42"/>
        <v>264</v>
      </c>
      <c r="E655">
        <f t="shared" si="43"/>
        <v>0</v>
      </c>
      <c r="F655">
        <f t="shared" si="41"/>
        <v>264</v>
      </c>
    </row>
    <row r="656" spans="1:6" x14ac:dyDescent="0.25">
      <c r="A656" s="1">
        <v>45581</v>
      </c>
      <c r="B656">
        <f t="shared" si="40"/>
        <v>3</v>
      </c>
      <c r="C656" t="s">
        <v>11</v>
      </c>
      <c r="D656">
        <f t="shared" si="42"/>
        <v>264</v>
      </c>
      <c r="E656">
        <f t="shared" si="43"/>
        <v>0</v>
      </c>
      <c r="F656">
        <f t="shared" si="41"/>
        <v>264</v>
      </c>
    </row>
    <row r="657" spans="1:6" x14ac:dyDescent="0.25">
      <c r="A657" s="1">
        <v>45582</v>
      </c>
      <c r="B657">
        <f t="shared" si="40"/>
        <v>4</v>
      </c>
      <c r="C657" t="s">
        <v>11</v>
      </c>
      <c r="D657">
        <f t="shared" si="42"/>
        <v>264</v>
      </c>
      <c r="E657">
        <f t="shared" si="43"/>
        <v>0</v>
      </c>
      <c r="F657">
        <f t="shared" si="41"/>
        <v>264</v>
      </c>
    </row>
    <row r="658" spans="1:6" x14ac:dyDescent="0.25">
      <c r="A658" s="1">
        <v>45583</v>
      </c>
      <c r="B658">
        <f t="shared" si="40"/>
        <v>5</v>
      </c>
      <c r="C658" t="s">
        <v>11</v>
      </c>
      <c r="D658">
        <f t="shared" si="42"/>
        <v>264</v>
      </c>
      <c r="E658">
        <f t="shared" si="43"/>
        <v>0</v>
      </c>
      <c r="F658">
        <f t="shared" si="41"/>
        <v>264</v>
      </c>
    </row>
    <row r="659" spans="1:6" x14ac:dyDescent="0.25">
      <c r="A659" s="1">
        <v>45584</v>
      </c>
      <c r="B659">
        <f t="shared" si="40"/>
        <v>6</v>
      </c>
      <c r="C659" t="s">
        <v>11</v>
      </c>
      <c r="D659">
        <f t="shared" si="42"/>
        <v>0</v>
      </c>
      <c r="E659">
        <f t="shared" si="43"/>
        <v>0</v>
      </c>
      <c r="F659">
        <f t="shared" si="41"/>
        <v>0</v>
      </c>
    </row>
    <row r="660" spans="1:6" x14ac:dyDescent="0.25">
      <c r="A660" s="1">
        <v>45585</v>
      </c>
      <c r="B660">
        <f t="shared" si="40"/>
        <v>7</v>
      </c>
      <c r="C660" t="s">
        <v>11</v>
      </c>
      <c r="D660">
        <f t="shared" si="42"/>
        <v>0</v>
      </c>
      <c r="E660">
        <f t="shared" si="43"/>
        <v>150</v>
      </c>
      <c r="F660">
        <f t="shared" si="41"/>
        <v>-150</v>
      </c>
    </row>
    <row r="661" spans="1:6" x14ac:dyDescent="0.25">
      <c r="A661" s="1">
        <v>45586</v>
      </c>
      <c r="B661">
        <f t="shared" si="40"/>
        <v>1</v>
      </c>
      <c r="C661" t="s">
        <v>11</v>
      </c>
      <c r="D661">
        <f t="shared" si="42"/>
        <v>264</v>
      </c>
      <c r="E661">
        <f t="shared" si="43"/>
        <v>0</v>
      </c>
      <c r="F661">
        <f t="shared" si="41"/>
        <v>264</v>
      </c>
    </row>
    <row r="662" spans="1:6" x14ac:dyDescent="0.25">
      <c r="A662" s="1">
        <v>45587</v>
      </c>
      <c r="B662">
        <f t="shared" si="40"/>
        <v>2</v>
      </c>
      <c r="C662" t="s">
        <v>11</v>
      </c>
      <c r="D662">
        <f t="shared" si="42"/>
        <v>264</v>
      </c>
      <c r="E662">
        <f t="shared" si="43"/>
        <v>0</v>
      </c>
      <c r="F662">
        <f t="shared" si="41"/>
        <v>264</v>
      </c>
    </row>
    <row r="663" spans="1:6" x14ac:dyDescent="0.25">
      <c r="A663" s="1">
        <v>45588</v>
      </c>
      <c r="B663">
        <f t="shared" si="40"/>
        <v>3</v>
      </c>
      <c r="C663" t="s">
        <v>11</v>
      </c>
      <c r="D663">
        <f t="shared" si="42"/>
        <v>264</v>
      </c>
      <c r="E663">
        <f t="shared" si="43"/>
        <v>0</v>
      </c>
      <c r="F663">
        <f t="shared" si="41"/>
        <v>264</v>
      </c>
    </row>
    <row r="664" spans="1:6" x14ac:dyDescent="0.25">
      <c r="A664" s="1">
        <v>45589</v>
      </c>
      <c r="B664">
        <f t="shared" si="40"/>
        <v>4</v>
      </c>
      <c r="C664" t="s">
        <v>11</v>
      </c>
      <c r="D664">
        <f t="shared" si="42"/>
        <v>264</v>
      </c>
      <c r="E664">
        <f t="shared" si="43"/>
        <v>0</v>
      </c>
      <c r="F664">
        <f t="shared" si="41"/>
        <v>264</v>
      </c>
    </row>
    <row r="665" spans="1:6" x14ac:dyDescent="0.25">
      <c r="A665" s="1">
        <v>45590</v>
      </c>
      <c r="B665">
        <f t="shared" si="40"/>
        <v>5</v>
      </c>
      <c r="C665" t="s">
        <v>11</v>
      </c>
      <c r="D665">
        <f t="shared" si="42"/>
        <v>264</v>
      </c>
      <c r="E665">
        <f t="shared" si="43"/>
        <v>0</v>
      </c>
      <c r="F665">
        <f t="shared" si="41"/>
        <v>264</v>
      </c>
    </row>
    <row r="666" spans="1:6" x14ac:dyDescent="0.25">
      <c r="A666" s="1">
        <v>45591</v>
      </c>
      <c r="B666">
        <f t="shared" si="40"/>
        <v>6</v>
      </c>
      <c r="C666" t="s">
        <v>11</v>
      </c>
      <c r="D666">
        <f t="shared" si="42"/>
        <v>0</v>
      </c>
      <c r="E666">
        <f t="shared" si="43"/>
        <v>0</v>
      </c>
      <c r="F666">
        <f t="shared" si="41"/>
        <v>0</v>
      </c>
    </row>
    <row r="667" spans="1:6" x14ac:dyDescent="0.25">
      <c r="A667" s="1">
        <v>45592</v>
      </c>
      <c r="B667">
        <f t="shared" si="40"/>
        <v>7</v>
      </c>
      <c r="C667" t="s">
        <v>11</v>
      </c>
      <c r="D667">
        <f t="shared" si="42"/>
        <v>0</v>
      </c>
      <c r="E667">
        <f t="shared" si="43"/>
        <v>150</v>
      </c>
      <c r="F667">
        <f t="shared" si="41"/>
        <v>-150</v>
      </c>
    </row>
    <row r="668" spans="1:6" x14ac:dyDescent="0.25">
      <c r="A668" s="1">
        <v>45593</v>
      </c>
      <c r="B668">
        <f t="shared" si="40"/>
        <v>1</v>
      </c>
      <c r="C668" t="s">
        <v>11</v>
      </c>
      <c r="D668">
        <f t="shared" si="42"/>
        <v>264</v>
      </c>
      <c r="E668">
        <f t="shared" si="43"/>
        <v>0</v>
      </c>
      <c r="F668">
        <f t="shared" si="41"/>
        <v>264</v>
      </c>
    </row>
    <row r="669" spans="1:6" x14ac:dyDescent="0.25">
      <c r="A669" s="1">
        <v>45594</v>
      </c>
      <c r="B669">
        <f t="shared" si="40"/>
        <v>2</v>
      </c>
      <c r="C669" t="s">
        <v>11</v>
      </c>
      <c r="D669">
        <f t="shared" si="42"/>
        <v>264</v>
      </c>
      <c r="E669">
        <f t="shared" si="43"/>
        <v>0</v>
      </c>
      <c r="F669">
        <f t="shared" si="41"/>
        <v>264</v>
      </c>
    </row>
    <row r="670" spans="1:6" x14ac:dyDescent="0.25">
      <c r="A670" s="1">
        <v>45595</v>
      </c>
      <c r="B670">
        <f t="shared" si="40"/>
        <v>3</v>
      </c>
      <c r="C670" t="s">
        <v>11</v>
      </c>
      <c r="D670">
        <f t="shared" si="42"/>
        <v>264</v>
      </c>
      <c r="E670">
        <f t="shared" si="43"/>
        <v>0</v>
      </c>
      <c r="F670">
        <f t="shared" si="41"/>
        <v>264</v>
      </c>
    </row>
    <row r="671" spans="1:6" x14ac:dyDescent="0.25">
      <c r="A671" s="1">
        <v>45596</v>
      </c>
      <c r="B671">
        <f t="shared" si="40"/>
        <v>4</v>
      </c>
      <c r="C671" t="s">
        <v>11</v>
      </c>
      <c r="D671">
        <f t="shared" si="42"/>
        <v>264</v>
      </c>
      <c r="E671">
        <f t="shared" si="43"/>
        <v>0</v>
      </c>
      <c r="F671">
        <f t="shared" si="41"/>
        <v>264</v>
      </c>
    </row>
    <row r="672" spans="1:6" x14ac:dyDescent="0.25">
      <c r="A672" s="1">
        <v>45597</v>
      </c>
      <c r="B672">
        <f t="shared" si="40"/>
        <v>5</v>
      </c>
      <c r="C672" t="s">
        <v>11</v>
      </c>
      <c r="D672">
        <f t="shared" si="42"/>
        <v>264</v>
      </c>
      <c r="E672">
        <f t="shared" si="43"/>
        <v>0</v>
      </c>
      <c r="F672">
        <f t="shared" si="41"/>
        <v>264</v>
      </c>
    </row>
    <row r="673" spans="1:6" x14ac:dyDescent="0.25">
      <c r="A673" s="1">
        <v>45598</v>
      </c>
      <c r="B673">
        <f t="shared" si="40"/>
        <v>6</v>
      </c>
      <c r="C673" t="s">
        <v>11</v>
      </c>
      <c r="D673">
        <f t="shared" si="42"/>
        <v>0</v>
      </c>
      <c r="E673">
        <f t="shared" si="43"/>
        <v>0</v>
      </c>
      <c r="F673">
        <f t="shared" si="41"/>
        <v>0</v>
      </c>
    </row>
    <row r="674" spans="1:6" x14ac:dyDescent="0.25">
      <c r="A674" s="1">
        <v>45599</v>
      </c>
      <c r="B674">
        <f t="shared" si="40"/>
        <v>7</v>
      </c>
      <c r="C674" t="s">
        <v>11</v>
      </c>
      <c r="D674">
        <f t="shared" si="42"/>
        <v>0</v>
      </c>
      <c r="E674">
        <f t="shared" si="43"/>
        <v>150</v>
      </c>
      <c r="F674">
        <f t="shared" si="41"/>
        <v>-150</v>
      </c>
    </row>
    <row r="675" spans="1:6" x14ac:dyDescent="0.25">
      <c r="A675" s="1">
        <v>45600</v>
      </c>
      <c r="B675">
        <f t="shared" si="40"/>
        <v>1</v>
      </c>
      <c r="C675" t="s">
        <v>11</v>
      </c>
      <c r="D675">
        <f t="shared" si="42"/>
        <v>264</v>
      </c>
      <c r="E675">
        <f t="shared" si="43"/>
        <v>0</v>
      </c>
      <c r="F675">
        <f t="shared" si="41"/>
        <v>264</v>
      </c>
    </row>
    <row r="676" spans="1:6" x14ac:dyDescent="0.25">
      <c r="A676" s="1">
        <v>45601</v>
      </c>
      <c r="B676">
        <f t="shared" si="40"/>
        <v>2</v>
      </c>
      <c r="C676" t="s">
        <v>11</v>
      </c>
      <c r="D676">
        <f t="shared" si="42"/>
        <v>264</v>
      </c>
      <c r="E676">
        <f t="shared" si="43"/>
        <v>0</v>
      </c>
      <c r="F676">
        <f t="shared" si="41"/>
        <v>264</v>
      </c>
    </row>
    <row r="677" spans="1:6" x14ac:dyDescent="0.25">
      <c r="A677" s="1">
        <v>45602</v>
      </c>
      <c r="B677">
        <f t="shared" si="40"/>
        <v>3</v>
      </c>
      <c r="C677" t="s">
        <v>11</v>
      </c>
      <c r="D677">
        <f t="shared" si="42"/>
        <v>264</v>
      </c>
      <c r="E677">
        <f t="shared" si="43"/>
        <v>0</v>
      </c>
      <c r="F677">
        <f t="shared" si="41"/>
        <v>264</v>
      </c>
    </row>
    <row r="678" spans="1:6" x14ac:dyDescent="0.25">
      <c r="A678" s="1">
        <v>45603</v>
      </c>
      <c r="B678">
        <f t="shared" si="40"/>
        <v>4</v>
      </c>
      <c r="C678" t="s">
        <v>11</v>
      </c>
      <c r="D678">
        <f t="shared" si="42"/>
        <v>264</v>
      </c>
      <c r="E678">
        <f t="shared" si="43"/>
        <v>0</v>
      </c>
      <c r="F678">
        <f t="shared" si="41"/>
        <v>264</v>
      </c>
    </row>
    <row r="679" spans="1:6" x14ac:dyDescent="0.25">
      <c r="A679" s="1">
        <v>45604</v>
      </c>
      <c r="B679">
        <f t="shared" si="40"/>
        <v>5</v>
      </c>
      <c r="C679" t="s">
        <v>11</v>
      </c>
      <c r="D679">
        <f t="shared" si="42"/>
        <v>264</v>
      </c>
      <c r="E679">
        <f t="shared" si="43"/>
        <v>0</v>
      </c>
      <c r="F679">
        <f t="shared" si="41"/>
        <v>264</v>
      </c>
    </row>
    <row r="680" spans="1:6" x14ac:dyDescent="0.25">
      <c r="A680" s="1">
        <v>45605</v>
      </c>
      <c r="B680">
        <f t="shared" si="40"/>
        <v>6</v>
      </c>
      <c r="C680" t="s">
        <v>11</v>
      </c>
      <c r="D680">
        <f t="shared" si="42"/>
        <v>0</v>
      </c>
      <c r="E680">
        <f t="shared" si="43"/>
        <v>0</v>
      </c>
      <c r="F680">
        <f t="shared" si="41"/>
        <v>0</v>
      </c>
    </row>
    <row r="681" spans="1:6" x14ac:dyDescent="0.25">
      <c r="A681" s="1">
        <v>45606</v>
      </c>
      <c r="B681">
        <f t="shared" si="40"/>
        <v>7</v>
      </c>
      <c r="C681" t="s">
        <v>11</v>
      </c>
      <c r="D681">
        <f t="shared" si="42"/>
        <v>0</v>
      </c>
      <c r="E681">
        <f t="shared" si="43"/>
        <v>150</v>
      </c>
      <c r="F681">
        <f t="shared" si="41"/>
        <v>-150</v>
      </c>
    </row>
    <row r="682" spans="1:6" x14ac:dyDescent="0.25">
      <c r="A682" s="1">
        <v>45607</v>
      </c>
      <c r="B682">
        <f t="shared" si="40"/>
        <v>1</v>
      </c>
      <c r="C682" t="s">
        <v>11</v>
      </c>
      <c r="D682">
        <f t="shared" si="42"/>
        <v>264</v>
      </c>
      <c r="E682">
        <f t="shared" si="43"/>
        <v>0</v>
      </c>
      <c r="F682">
        <f t="shared" si="41"/>
        <v>264</v>
      </c>
    </row>
    <row r="683" spans="1:6" x14ac:dyDescent="0.25">
      <c r="A683" s="1">
        <v>45608</v>
      </c>
      <c r="B683">
        <f t="shared" si="40"/>
        <v>2</v>
      </c>
      <c r="C683" t="s">
        <v>11</v>
      </c>
      <c r="D683">
        <f t="shared" si="42"/>
        <v>264</v>
      </c>
      <c r="E683">
        <f t="shared" si="43"/>
        <v>0</v>
      </c>
      <c r="F683">
        <f t="shared" si="41"/>
        <v>264</v>
      </c>
    </row>
    <row r="684" spans="1:6" x14ac:dyDescent="0.25">
      <c r="A684" s="1">
        <v>45609</v>
      </c>
      <c r="B684">
        <f t="shared" si="40"/>
        <v>3</v>
      </c>
      <c r="C684" t="s">
        <v>11</v>
      </c>
      <c r="D684">
        <f t="shared" si="42"/>
        <v>264</v>
      </c>
      <c r="E684">
        <f t="shared" si="43"/>
        <v>0</v>
      </c>
      <c r="F684">
        <f t="shared" si="41"/>
        <v>264</v>
      </c>
    </row>
    <row r="685" spans="1:6" x14ac:dyDescent="0.25">
      <c r="A685" s="1">
        <v>45610</v>
      </c>
      <c r="B685">
        <f t="shared" si="40"/>
        <v>4</v>
      </c>
      <c r="C685" t="s">
        <v>11</v>
      </c>
      <c r="D685">
        <f t="shared" si="42"/>
        <v>264</v>
      </c>
      <c r="E685">
        <f t="shared" si="43"/>
        <v>0</v>
      </c>
      <c r="F685">
        <f t="shared" si="41"/>
        <v>264</v>
      </c>
    </row>
    <row r="686" spans="1:6" x14ac:dyDescent="0.25">
      <c r="A686" s="1">
        <v>45611</v>
      </c>
      <c r="B686">
        <f t="shared" si="40"/>
        <v>5</v>
      </c>
      <c r="C686" t="s">
        <v>11</v>
      </c>
      <c r="D686">
        <f t="shared" si="42"/>
        <v>264</v>
      </c>
      <c r="E686">
        <f t="shared" si="43"/>
        <v>0</v>
      </c>
      <c r="F686">
        <f t="shared" si="41"/>
        <v>264</v>
      </c>
    </row>
    <row r="687" spans="1:6" x14ac:dyDescent="0.25">
      <c r="A687" s="1">
        <v>45612</v>
      </c>
      <c r="B687">
        <f t="shared" si="40"/>
        <v>6</v>
      </c>
      <c r="C687" t="s">
        <v>11</v>
      </c>
      <c r="D687">
        <f t="shared" si="42"/>
        <v>0</v>
      </c>
      <c r="E687">
        <f t="shared" si="43"/>
        <v>0</v>
      </c>
      <c r="F687">
        <f t="shared" si="41"/>
        <v>0</v>
      </c>
    </row>
    <row r="688" spans="1:6" x14ac:dyDescent="0.25">
      <c r="A688" s="1">
        <v>45613</v>
      </c>
      <c r="B688">
        <f t="shared" si="40"/>
        <v>7</v>
      </c>
      <c r="C688" t="s">
        <v>11</v>
      </c>
      <c r="D688">
        <f t="shared" si="42"/>
        <v>0</v>
      </c>
      <c r="E688">
        <f t="shared" si="43"/>
        <v>150</v>
      </c>
      <c r="F688">
        <f t="shared" si="41"/>
        <v>-150</v>
      </c>
    </row>
    <row r="689" spans="1:6" x14ac:dyDescent="0.25">
      <c r="A689" s="1">
        <v>45614</v>
      </c>
      <c r="B689">
        <f t="shared" si="40"/>
        <v>1</v>
      </c>
      <c r="C689" t="s">
        <v>11</v>
      </c>
      <c r="D689">
        <f t="shared" si="42"/>
        <v>264</v>
      </c>
      <c r="E689">
        <f t="shared" si="43"/>
        <v>0</v>
      </c>
      <c r="F689">
        <f t="shared" si="41"/>
        <v>264</v>
      </c>
    </row>
    <row r="690" spans="1:6" x14ac:dyDescent="0.25">
      <c r="A690" s="1">
        <v>45615</v>
      </c>
      <c r="B690">
        <f t="shared" si="40"/>
        <v>2</v>
      </c>
      <c r="C690" t="s">
        <v>11</v>
      </c>
      <c r="D690">
        <f t="shared" si="42"/>
        <v>264</v>
      </c>
      <c r="E690">
        <f t="shared" si="43"/>
        <v>0</v>
      </c>
      <c r="F690">
        <f t="shared" si="41"/>
        <v>264</v>
      </c>
    </row>
    <row r="691" spans="1:6" x14ac:dyDescent="0.25">
      <c r="A691" s="1">
        <v>45616</v>
      </c>
      <c r="B691">
        <f t="shared" si="40"/>
        <v>3</v>
      </c>
      <c r="C691" t="s">
        <v>11</v>
      </c>
      <c r="D691">
        <f t="shared" si="42"/>
        <v>264</v>
      </c>
      <c r="E691">
        <f t="shared" si="43"/>
        <v>0</v>
      </c>
      <c r="F691">
        <f t="shared" si="41"/>
        <v>264</v>
      </c>
    </row>
    <row r="692" spans="1:6" x14ac:dyDescent="0.25">
      <c r="A692" s="1">
        <v>45617</v>
      </c>
      <c r="B692">
        <f t="shared" si="40"/>
        <v>4</v>
      </c>
      <c r="C692" t="s">
        <v>11</v>
      </c>
      <c r="D692">
        <f t="shared" si="42"/>
        <v>264</v>
      </c>
      <c r="E692">
        <f t="shared" si="43"/>
        <v>0</v>
      </c>
      <c r="F692">
        <f t="shared" si="41"/>
        <v>264</v>
      </c>
    </row>
    <row r="693" spans="1:6" x14ac:dyDescent="0.25">
      <c r="A693" s="1">
        <v>45618</v>
      </c>
      <c r="B693">
        <f t="shared" si="40"/>
        <v>5</v>
      </c>
      <c r="C693" t="s">
        <v>11</v>
      </c>
      <c r="D693">
        <f t="shared" si="42"/>
        <v>264</v>
      </c>
      <c r="E693">
        <f t="shared" si="43"/>
        <v>0</v>
      </c>
      <c r="F693">
        <f t="shared" si="41"/>
        <v>264</v>
      </c>
    </row>
    <row r="694" spans="1:6" x14ac:dyDescent="0.25">
      <c r="A694" s="1">
        <v>45619</v>
      </c>
      <c r="B694">
        <f t="shared" si="40"/>
        <v>6</v>
      </c>
      <c r="C694" t="s">
        <v>11</v>
      </c>
      <c r="D694">
        <f t="shared" si="42"/>
        <v>0</v>
      </c>
      <c r="E694">
        <f t="shared" si="43"/>
        <v>0</v>
      </c>
      <c r="F694">
        <f t="shared" si="41"/>
        <v>0</v>
      </c>
    </row>
    <row r="695" spans="1:6" x14ac:dyDescent="0.25">
      <c r="A695" s="1">
        <v>45620</v>
      </c>
      <c r="B695">
        <f t="shared" si="40"/>
        <v>7</v>
      </c>
      <c r="C695" t="s">
        <v>11</v>
      </c>
      <c r="D695">
        <f t="shared" si="42"/>
        <v>0</v>
      </c>
      <c r="E695">
        <f t="shared" si="43"/>
        <v>150</v>
      </c>
      <c r="F695">
        <f t="shared" si="41"/>
        <v>-150</v>
      </c>
    </row>
    <row r="696" spans="1:6" x14ac:dyDescent="0.25">
      <c r="A696" s="1">
        <v>45621</v>
      </c>
      <c r="B696">
        <f t="shared" si="40"/>
        <v>1</v>
      </c>
      <c r="C696" t="s">
        <v>11</v>
      </c>
      <c r="D696">
        <f t="shared" si="42"/>
        <v>264</v>
      </c>
      <c r="E696">
        <f t="shared" si="43"/>
        <v>0</v>
      </c>
      <c r="F696">
        <f t="shared" si="41"/>
        <v>264</v>
      </c>
    </row>
    <row r="697" spans="1:6" x14ac:dyDescent="0.25">
      <c r="A697" s="1">
        <v>45622</v>
      </c>
      <c r="B697">
        <f t="shared" si="40"/>
        <v>2</v>
      </c>
      <c r="C697" t="s">
        <v>11</v>
      </c>
      <c r="D697">
        <f t="shared" si="42"/>
        <v>264</v>
      </c>
      <c r="E697">
        <f t="shared" si="43"/>
        <v>0</v>
      </c>
      <c r="F697">
        <f t="shared" si="41"/>
        <v>264</v>
      </c>
    </row>
    <row r="698" spans="1:6" x14ac:dyDescent="0.25">
      <c r="A698" s="1">
        <v>45623</v>
      </c>
      <c r="B698">
        <f t="shared" si="40"/>
        <v>3</v>
      </c>
      <c r="C698" t="s">
        <v>11</v>
      </c>
      <c r="D698">
        <f t="shared" si="42"/>
        <v>264</v>
      </c>
      <c r="E698">
        <f t="shared" si="43"/>
        <v>0</v>
      </c>
      <c r="F698">
        <f t="shared" si="41"/>
        <v>264</v>
      </c>
    </row>
    <row r="699" spans="1:6" x14ac:dyDescent="0.25">
      <c r="A699" s="1">
        <v>45624</v>
      </c>
      <c r="B699">
        <f t="shared" si="40"/>
        <v>4</v>
      </c>
      <c r="C699" t="s">
        <v>11</v>
      </c>
      <c r="D699">
        <f t="shared" si="42"/>
        <v>264</v>
      </c>
      <c r="E699">
        <f t="shared" si="43"/>
        <v>0</v>
      </c>
      <c r="F699">
        <f t="shared" si="41"/>
        <v>264</v>
      </c>
    </row>
    <row r="700" spans="1:6" x14ac:dyDescent="0.25">
      <c r="A700" s="1">
        <v>45625</v>
      </c>
      <c r="B700">
        <f t="shared" si="40"/>
        <v>5</v>
      </c>
      <c r="C700" t="s">
        <v>11</v>
      </c>
      <c r="D700">
        <f t="shared" si="42"/>
        <v>264</v>
      </c>
      <c r="E700">
        <f t="shared" si="43"/>
        <v>0</v>
      </c>
      <c r="F700">
        <f t="shared" si="41"/>
        <v>264</v>
      </c>
    </row>
    <row r="701" spans="1:6" x14ac:dyDescent="0.25">
      <c r="A701" s="1">
        <v>45626</v>
      </c>
      <c r="B701">
        <f t="shared" si="40"/>
        <v>6</v>
      </c>
      <c r="C701" t="s">
        <v>11</v>
      </c>
      <c r="D701">
        <f t="shared" si="42"/>
        <v>0</v>
      </c>
      <c r="E701">
        <f t="shared" si="43"/>
        <v>0</v>
      </c>
      <c r="F701">
        <f t="shared" si="41"/>
        <v>0</v>
      </c>
    </row>
    <row r="702" spans="1:6" x14ac:dyDescent="0.25">
      <c r="A702" s="1">
        <v>45627</v>
      </c>
      <c r="B702">
        <f t="shared" si="40"/>
        <v>7</v>
      </c>
      <c r="C702" t="s">
        <v>11</v>
      </c>
      <c r="D702">
        <f t="shared" si="42"/>
        <v>0</v>
      </c>
      <c r="E702">
        <f t="shared" si="43"/>
        <v>150</v>
      </c>
      <c r="F702">
        <f t="shared" si="41"/>
        <v>-150</v>
      </c>
    </row>
    <row r="703" spans="1:6" x14ac:dyDescent="0.25">
      <c r="A703" s="1">
        <v>45628</v>
      </c>
      <c r="B703">
        <f t="shared" si="40"/>
        <v>1</v>
      </c>
      <c r="C703" t="s">
        <v>11</v>
      </c>
      <c r="D703">
        <f t="shared" si="42"/>
        <v>264</v>
      </c>
      <c r="E703">
        <f t="shared" si="43"/>
        <v>0</v>
      </c>
      <c r="F703">
        <f t="shared" si="41"/>
        <v>264</v>
      </c>
    </row>
    <row r="704" spans="1:6" x14ac:dyDescent="0.25">
      <c r="A704" s="1">
        <v>45629</v>
      </c>
      <c r="B704">
        <f t="shared" si="40"/>
        <v>2</v>
      </c>
      <c r="C704" t="s">
        <v>11</v>
      </c>
      <c r="D704">
        <f t="shared" si="42"/>
        <v>264</v>
      </c>
      <c r="E704">
        <f t="shared" si="43"/>
        <v>0</v>
      </c>
      <c r="F704">
        <f t="shared" si="41"/>
        <v>264</v>
      </c>
    </row>
    <row r="705" spans="1:6" x14ac:dyDescent="0.25">
      <c r="A705" s="1">
        <v>45630</v>
      </c>
      <c r="B705">
        <f t="shared" si="40"/>
        <v>3</v>
      </c>
      <c r="C705" t="s">
        <v>11</v>
      </c>
      <c r="D705">
        <f t="shared" si="42"/>
        <v>264</v>
      </c>
      <c r="E705">
        <f t="shared" si="43"/>
        <v>0</v>
      </c>
      <c r="F705">
        <f t="shared" si="41"/>
        <v>264</v>
      </c>
    </row>
    <row r="706" spans="1:6" x14ac:dyDescent="0.25">
      <c r="A706" s="1">
        <v>45631</v>
      </c>
      <c r="B706">
        <f t="shared" si="40"/>
        <v>4</v>
      </c>
      <c r="C706" t="s">
        <v>11</v>
      </c>
      <c r="D706">
        <f t="shared" si="42"/>
        <v>264</v>
      </c>
      <c r="E706">
        <f t="shared" si="43"/>
        <v>0</v>
      </c>
      <c r="F706">
        <f t="shared" si="41"/>
        <v>264</v>
      </c>
    </row>
    <row r="707" spans="1:6" x14ac:dyDescent="0.25">
      <c r="A707" s="1">
        <v>45632</v>
      </c>
      <c r="B707">
        <f t="shared" ref="B707:B732" si="44">WEEKDAY(A707,2)</f>
        <v>5</v>
      </c>
      <c r="C707" t="s">
        <v>11</v>
      </c>
      <c r="D707">
        <f t="shared" si="42"/>
        <v>264</v>
      </c>
      <c r="E707">
        <f t="shared" si="43"/>
        <v>0</v>
      </c>
      <c r="F707">
        <f t="shared" ref="F707:F732" si="45">D707-E707</f>
        <v>264</v>
      </c>
    </row>
    <row r="708" spans="1:6" x14ac:dyDescent="0.25">
      <c r="A708" s="1">
        <v>45633</v>
      </c>
      <c r="B708">
        <f t="shared" si="44"/>
        <v>6</v>
      </c>
      <c r="C708" t="s">
        <v>11</v>
      </c>
      <c r="D708">
        <f t="shared" ref="D708:D732" si="46">IF(B708&lt;6,$Q$1*VLOOKUP(C708,$S$1:$T$5,2,FALSE)*$Q$3,0)</f>
        <v>0</v>
      </c>
      <c r="E708">
        <f t="shared" ref="E708:E732" si="47">IF(B708=7,$Q$4*$Q$1,0)</f>
        <v>0</v>
      </c>
      <c r="F708">
        <f t="shared" si="45"/>
        <v>0</v>
      </c>
    </row>
    <row r="709" spans="1:6" x14ac:dyDescent="0.25">
      <c r="A709" s="1">
        <v>45634</v>
      </c>
      <c r="B709">
        <f t="shared" si="44"/>
        <v>7</v>
      </c>
      <c r="C709" t="s">
        <v>11</v>
      </c>
      <c r="D709">
        <f t="shared" si="46"/>
        <v>0</v>
      </c>
      <c r="E709">
        <f t="shared" si="47"/>
        <v>150</v>
      </c>
      <c r="F709">
        <f t="shared" si="45"/>
        <v>-150</v>
      </c>
    </row>
    <row r="710" spans="1:6" x14ac:dyDescent="0.25">
      <c r="A710" s="1">
        <v>45635</v>
      </c>
      <c r="B710">
        <f t="shared" si="44"/>
        <v>1</v>
      </c>
      <c r="C710" t="s">
        <v>11</v>
      </c>
      <c r="D710">
        <f t="shared" si="46"/>
        <v>264</v>
      </c>
      <c r="E710">
        <f t="shared" si="47"/>
        <v>0</v>
      </c>
      <c r="F710">
        <f t="shared" si="45"/>
        <v>264</v>
      </c>
    </row>
    <row r="711" spans="1:6" x14ac:dyDescent="0.25">
      <c r="A711" s="1">
        <v>45636</v>
      </c>
      <c r="B711">
        <f t="shared" si="44"/>
        <v>2</v>
      </c>
      <c r="C711" t="s">
        <v>11</v>
      </c>
      <c r="D711">
        <f t="shared" si="46"/>
        <v>264</v>
      </c>
      <c r="E711">
        <f t="shared" si="47"/>
        <v>0</v>
      </c>
      <c r="F711">
        <f t="shared" si="45"/>
        <v>264</v>
      </c>
    </row>
    <row r="712" spans="1:6" x14ac:dyDescent="0.25">
      <c r="A712" s="1">
        <v>45637</v>
      </c>
      <c r="B712">
        <f t="shared" si="44"/>
        <v>3</v>
      </c>
      <c r="C712" t="s">
        <v>11</v>
      </c>
      <c r="D712">
        <f t="shared" si="46"/>
        <v>264</v>
      </c>
      <c r="E712">
        <f t="shared" si="47"/>
        <v>0</v>
      </c>
      <c r="F712">
        <f t="shared" si="45"/>
        <v>264</v>
      </c>
    </row>
    <row r="713" spans="1:6" x14ac:dyDescent="0.25">
      <c r="A713" s="1">
        <v>45638</v>
      </c>
      <c r="B713">
        <f t="shared" si="44"/>
        <v>4</v>
      </c>
      <c r="C713" t="s">
        <v>11</v>
      </c>
      <c r="D713">
        <f t="shared" si="46"/>
        <v>264</v>
      </c>
      <c r="E713">
        <f t="shared" si="47"/>
        <v>0</v>
      </c>
      <c r="F713">
        <f t="shared" si="45"/>
        <v>264</v>
      </c>
    </row>
    <row r="714" spans="1:6" x14ac:dyDescent="0.25">
      <c r="A714" s="1">
        <v>45639</v>
      </c>
      <c r="B714">
        <f t="shared" si="44"/>
        <v>5</v>
      </c>
      <c r="C714" t="s">
        <v>11</v>
      </c>
      <c r="D714">
        <f t="shared" si="46"/>
        <v>264</v>
      </c>
      <c r="E714">
        <f t="shared" si="47"/>
        <v>0</v>
      </c>
      <c r="F714">
        <f t="shared" si="45"/>
        <v>264</v>
      </c>
    </row>
    <row r="715" spans="1:6" x14ac:dyDescent="0.25">
      <c r="A715" s="1">
        <v>45640</v>
      </c>
      <c r="B715">
        <f t="shared" si="44"/>
        <v>6</v>
      </c>
      <c r="C715" t="s">
        <v>11</v>
      </c>
      <c r="D715">
        <f t="shared" si="46"/>
        <v>0</v>
      </c>
      <c r="E715">
        <f t="shared" si="47"/>
        <v>0</v>
      </c>
      <c r="F715">
        <f t="shared" si="45"/>
        <v>0</v>
      </c>
    </row>
    <row r="716" spans="1:6" x14ac:dyDescent="0.25">
      <c r="A716" s="1">
        <v>45641</v>
      </c>
      <c r="B716">
        <f t="shared" si="44"/>
        <v>7</v>
      </c>
      <c r="C716" t="s">
        <v>11</v>
      </c>
      <c r="D716">
        <f t="shared" si="46"/>
        <v>0</v>
      </c>
      <c r="E716">
        <f t="shared" si="47"/>
        <v>150</v>
      </c>
      <c r="F716">
        <f t="shared" si="45"/>
        <v>-150</v>
      </c>
    </row>
    <row r="717" spans="1:6" x14ac:dyDescent="0.25">
      <c r="A717" s="1">
        <v>45642</v>
      </c>
      <c r="B717">
        <f t="shared" si="44"/>
        <v>1</v>
      </c>
      <c r="C717" t="s">
        <v>11</v>
      </c>
      <c r="D717">
        <f t="shared" si="46"/>
        <v>264</v>
      </c>
      <c r="E717">
        <f t="shared" si="47"/>
        <v>0</v>
      </c>
      <c r="F717">
        <f t="shared" si="45"/>
        <v>264</v>
      </c>
    </row>
    <row r="718" spans="1:6" x14ac:dyDescent="0.25">
      <c r="A718" s="1">
        <v>45643</v>
      </c>
      <c r="B718">
        <f t="shared" si="44"/>
        <v>2</v>
      </c>
      <c r="C718" t="s">
        <v>11</v>
      </c>
      <c r="D718">
        <f t="shared" si="46"/>
        <v>264</v>
      </c>
      <c r="E718">
        <f t="shared" si="47"/>
        <v>0</v>
      </c>
      <c r="F718">
        <f t="shared" si="45"/>
        <v>264</v>
      </c>
    </row>
    <row r="719" spans="1:6" x14ac:dyDescent="0.25">
      <c r="A719" s="1">
        <v>45644</v>
      </c>
      <c r="B719">
        <f t="shared" si="44"/>
        <v>3</v>
      </c>
      <c r="C719" t="s">
        <v>11</v>
      </c>
      <c r="D719">
        <f t="shared" si="46"/>
        <v>264</v>
      </c>
      <c r="E719">
        <f t="shared" si="47"/>
        <v>0</v>
      </c>
      <c r="F719">
        <f t="shared" si="45"/>
        <v>264</v>
      </c>
    </row>
    <row r="720" spans="1:6" x14ac:dyDescent="0.25">
      <c r="A720" s="1">
        <v>45645</v>
      </c>
      <c r="B720">
        <f t="shared" si="44"/>
        <v>4</v>
      </c>
      <c r="C720" t="s">
        <v>11</v>
      </c>
      <c r="D720">
        <f t="shared" si="46"/>
        <v>264</v>
      </c>
      <c r="E720">
        <f t="shared" si="47"/>
        <v>0</v>
      </c>
      <c r="F720">
        <f t="shared" si="45"/>
        <v>264</v>
      </c>
    </row>
    <row r="721" spans="1:6" x14ac:dyDescent="0.25">
      <c r="A721" s="1">
        <v>45646</v>
      </c>
      <c r="B721">
        <f t="shared" si="44"/>
        <v>5</v>
      </c>
      <c r="C721" t="s">
        <v>11</v>
      </c>
      <c r="D721">
        <f t="shared" si="46"/>
        <v>264</v>
      </c>
      <c r="E721">
        <f t="shared" si="47"/>
        <v>0</v>
      </c>
      <c r="F721">
        <f t="shared" si="45"/>
        <v>264</v>
      </c>
    </row>
    <row r="722" spans="1:6" x14ac:dyDescent="0.25">
      <c r="A722" s="1">
        <v>45647</v>
      </c>
      <c r="B722">
        <f t="shared" si="44"/>
        <v>6</v>
      </c>
      <c r="C722" t="s">
        <v>8</v>
      </c>
      <c r="D722">
        <f t="shared" si="46"/>
        <v>0</v>
      </c>
      <c r="E722">
        <f t="shared" si="47"/>
        <v>0</v>
      </c>
      <c r="F722">
        <f t="shared" si="45"/>
        <v>0</v>
      </c>
    </row>
    <row r="723" spans="1:6" x14ac:dyDescent="0.25">
      <c r="A723" s="1">
        <v>45648</v>
      </c>
      <c r="B723">
        <f t="shared" si="44"/>
        <v>7</v>
      </c>
      <c r="C723" t="s">
        <v>8</v>
      </c>
      <c r="D723">
        <f t="shared" si="46"/>
        <v>0</v>
      </c>
      <c r="E723">
        <f t="shared" si="47"/>
        <v>150</v>
      </c>
      <c r="F723">
        <f t="shared" si="45"/>
        <v>-150</v>
      </c>
    </row>
    <row r="724" spans="1:6" x14ac:dyDescent="0.25">
      <c r="A724" s="1">
        <v>45649</v>
      </c>
      <c r="B724">
        <f t="shared" si="44"/>
        <v>1</v>
      </c>
      <c r="C724" t="s">
        <v>8</v>
      </c>
      <c r="D724">
        <f t="shared" si="46"/>
        <v>132</v>
      </c>
      <c r="E724">
        <f t="shared" si="47"/>
        <v>0</v>
      </c>
      <c r="F724">
        <f t="shared" si="45"/>
        <v>132</v>
      </c>
    </row>
    <row r="725" spans="1:6" x14ac:dyDescent="0.25">
      <c r="A725" s="1">
        <v>45650</v>
      </c>
      <c r="B725">
        <f t="shared" si="44"/>
        <v>2</v>
      </c>
      <c r="C725" t="s">
        <v>8</v>
      </c>
      <c r="D725">
        <f t="shared" si="46"/>
        <v>132</v>
      </c>
      <c r="E725">
        <f t="shared" si="47"/>
        <v>0</v>
      </c>
      <c r="F725">
        <f t="shared" si="45"/>
        <v>132</v>
      </c>
    </row>
    <row r="726" spans="1:6" x14ac:dyDescent="0.25">
      <c r="A726" s="1">
        <v>45651</v>
      </c>
      <c r="B726">
        <f t="shared" si="44"/>
        <v>3</v>
      </c>
      <c r="C726" t="s">
        <v>8</v>
      </c>
      <c r="D726">
        <f t="shared" si="46"/>
        <v>132</v>
      </c>
      <c r="E726">
        <f t="shared" si="47"/>
        <v>0</v>
      </c>
      <c r="F726">
        <f t="shared" si="45"/>
        <v>132</v>
      </c>
    </row>
    <row r="727" spans="1:6" x14ac:dyDescent="0.25">
      <c r="A727" s="1">
        <v>45652</v>
      </c>
      <c r="B727">
        <f t="shared" si="44"/>
        <v>4</v>
      </c>
      <c r="C727" t="s">
        <v>8</v>
      </c>
      <c r="D727">
        <f t="shared" si="46"/>
        <v>132</v>
      </c>
      <c r="E727">
        <f t="shared" si="47"/>
        <v>0</v>
      </c>
      <c r="F727">
        <f t="shared" si="45"/>
        <v>132</v>
      </c>
    </row>
    <row r="728" spans="1:6" x14ac:dyDescent="0.25">
      <c r="A728" s="1">
        <v>45653</v>
      </c>
      <c r="B728">
        <f t="shared" si="44"/>
        <v>5</v>
      </c>
      <c r="C728" t="s">
        <v>8</v>
      </c>
      <c r="D728">
        <f t="shared" si="46"/>
        <v>132</v>
      </c>
      <c r="E728">
        <f t="shared" si="47"/>
        <v>0</v>
      </c>
      <c r="F728">
        <f t="shared" si="45"/>
        <v>132</v>
      </c>
    </row>
    <row r="729" spans="1:6" x14ac:dyDescent="0.25">
      <c r="A729" s="1">
        <v>45654</v>
      </c>
      <c r="B729">
        <f t="shared" si="44"/>
        <v>6</v>
      </c>
      <c r="C729" t="s">
        <v>8</v>
      </c>
      <c r="D729">
        <f t="shared" si="46"/>
        <v>0</v>
      </c>
      <c r="E729">
        <f t="shared" si="47"/>
        <v>0</v>
      </c>
      <c r="F729">
        <f t="shared" si="45"/>
        <v>0</v>
      </c>
    </row>
    <row r="730" spans="1:6" x14ac:dyDescent="0.25">
      <c r="A730" s="1">
        <v>45655</v>
      </c>
      <c r="B730">
        <f t="shared" si="44"/>
        <v>7</v>
      </c>
      <c r="C730" t="s">
        <v>8</v>
      </c>
      <c r="D730">
        <f t="shared" si="46"/>
        <v>0</v>
      </c>
      <c r="E730">
        <f t="shared" si="47"/>
        <v>150</v>
      </c>
      <c r="F730">
        <f t="shared" si="45"/>
        <v>-150</v>
      </c>
    </row>
    <row r="731" spans="1:6" x14ac:dyDescent="0.25">
      <c r="A731" s="1">
        <v>45656</v>
      </c>
      <c r="B731">
        <f t="shared" si="44"/>
        <v>1</v>
      </c>
      <c r="C731" t="s">
        <v>8</v>
      </c>
      <c r="D731">
        <f t="shared" si="46"/>
        <v>132</v>
      </c>
      <c r="E731">
        <f t="shared" si="47"/>
        <v>0</v>
      </c>
      <c r="F731">
        <f t="shared" si="45"/>
        <v>132</v>
      </c>
    </row>
    <row r="732" spans="1:6" x14ac:dyDescent="0.25">
      <c r="A732" s="1">
        <v>45657</v>
      </c>
      <c r="B732">
        <f t="shared" si="44"/>
        <v>2</v>
      </c>
      <c r="C732" t="s">
        <v>8</v>
      </c>
      <c r="D732">
        <f t="shared" si="46"/>
        <v>132</v>
      </c>
      <c r="E732">
        <f t="shared" si="47"/>
        <v>0</v>
      </c>
      <c r="F732">
        <f t="shared" si="45"/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4639-C93E-400D-B26A-F7ECFBB7B4C0}">
  <dimension ref="A1:V732"/>
  <sheetViews>
    <sheetView workbookViewId="0">
      <selection activeCell="L3" sqref="L3"/>
    </sheetView>
  </sheetViews>
  <sheetFormatPr defaultRowHeight="15" x14ac:dyDescent="0.25"/>
  <cols>
    <col min="1" max="1" width="10.140625" bestFit="1" customWidth="1"/>
    <col min="3" max="3" width="10" bestFit="1" customWidth="1"/>
    <col min="4" max="4" width="13.85546875" bestFit="1" customWidth="1"/>
    <col min="9" max="9" width="12" bestFit="1" customWidth="1"/>
    <col min="11" max="11" width="18.85546875" bestFit="1" customWidth="1"/>
    <col min="12" max="12" width="14.85546875" bestFit="1" customWidth="1"/>
    <col min="18" max="18" width="28" bestFit="1" customWidth="1"/>
  </cols>
  <sheetData>
    <row r="1" spans="1:22" x14ac:dyDescent="0.25">
      <c r="A1" t="s">
        <v>7</v>
      </c>
      <c r="B1" t="s">
        <v>6</v>
      </c>
      <c r="C1" t="s">
        <v>12</v>
      </c>
      <c r="D1" t="s">
        <v>43</v>
      </c>
      <c r="E1" t="s">
        <v>13</v>
      </c>
      <c r="F1" t="s">
        <v>17</v>
      </c>
      <c r="G1" t="s">
        <v>46</v>
      </c>
      <c r="H1" t="s">
        <v>15</v>
      </c>
      <c r="I1" t="s">
        <v>42</v>
      </c>
      <c r="K1" s="3" t="s">
        <v>44</v>
      </c>
      <c r="L1" s="3" t="s">
        <v>45</v>
      </c>
      <c r="R1" t="s">
        <v>0</v>
      </c>
      <c r="S1">
        <v>10</v>
      </c>
      <c r="U1" t="s">
        <v>4</v>
      </c>
      <c r="V1" t="s">
        <v>5</v>
      </c>
    </row>
    <row r="2" spans="1:22" x14ac:dyDescent="0.25">
      <c r="A2" s="1">
        <v>44927</v>
      </c>
      <c r="B2">
        <f>WEEKDAY(A2,2)</f>
        <v>7</v>
      </c>
      <c r="C2" t="s">
        <v>8</v>
      </c>
      <c r="D2">
        <v>10</v>
      </c>
      <c r="E2">
        <v>0</v>
      </c>
      <c r="F2">
        <f>$S$4*$S$1</f>
        <v>150</v>
      </c>
      <c r="G2">
        <v>8000</v>
      </c>
      <c r="H2">
        <f>E2-F2-G2</f>
        <v>-8150</v>
      </c>
      <c r="I2">
        <v>-8150</v>
      </c>
      <c r="K2" s="3">
        <f>SUM(E1:E732)</f>
        <v>249630</v>
      </c>
      <c r="L2" s="3">
        <f>SUM(F1:G732)</f>
        <v>100655</v>
      </c>
      <c r="R2" t="s">
        <v>3</v>
      </c>
      <c r="S2">
        <v>800</v>
      </c>
      <c r="U2" t="s">
        <v>8</v>
      </c>
      <c r="V2" s="2">
        <v>0.2</v>
      </c>
    </row>
    <row r="3" spans="1:22" x14ac:dyDescent="0.25">
      <c r="A3" s="1">
        <v>44928</v>
      </c>
      <c r="B3">
        <f t="shared" ref="B3:B66" si="0">WEEKDAY(A3,2)</f>
        <v>1</v>
      </c>
      <c r="C3" t="s">
        <v>8</v>
      </c>
      <c r="D3">
        <v>10</v>
      </c>
      <c r="E3">
        <f>IF(B3&lt;6,ROUNDDOWN(D3*VLOOKUP(C3,$U$1:$V$5,2,FALSE),0)*$S$3,0)</f>
        <v>60</v>
      </c>
      <c r="F3">
        <f>IF(B3=7,$S$4*D3,0)</f>
        <v>0</v>
      </c>
      <c r="G3">
        <f>IF(D3&gt;D2,3*$S$2,0)</f>
        <v>0</v>
      </c>
      <c r="H3">
        <f t="shared" ref="H3:H66" si="1">E3-F3-G3</f>
        <v>60</v>
      </c>
      <c r="I3">
        <f>SUM($H$2:H3)</f>
        <v>-8090</v>
      </c>
      <c r="R3" t="s">
        <v>1</v>
      </c>
      <c r="S3">
        <v>30</v>
      </c>
      <c r="U3" t="s">
        <v>9</v>
      </c>
      <c r="V3" s="2">
        <v>0.5</v>
      </c>
    </row>
    <row r="4" spans="1:22" x14ac:dyDescent="0.25">
      <c r="A4" s="1">
        <v>44929</v>
      </c>
      <c r="B4">
        <f t="shared" si="0"/>
        <v>2</v>
      </c>
      <c r="C4" t="s">
        <v>8</v>
      </c>
      <c r="D4">
        <f>IF(AND(MONTH(A4)&lt;&gt;MONTH(A3),I3&gt;=3*$S$2),D3+3,D3)</f>
        <v>10</v>
      </c>
      <c r="E4">
        <f>IF(B4&lt;6,ROUNDDOWN(D4*VLOOKUP(C4,$U$1:$V$5,2,FALSE),0)*$S$3,0)</f>
        <v>60</v>
      </c>
      <c r="F4">
        <f t="shared" ref="F4:F67" si="2">IF(B4=7,$S$4*D4,0)</f>
        <v>0</v>
      </c>
      <c r="G4">
        <f t="shared" ref="G4:G67" si="3">IF(D4&gt;D3,3*$S$2,0)</f>
        <v>0</v>
      </c>
      <c r="H4">
        <f t="shared" si="1"/>
        <v>60</v>
      </c>
      <c r="I4">
        <f>SUM($H$2:H4)</f>
        <v>-8030</v>
      </c>
      <c r="R4" t="s">
        <v>2</v>
      </c>
      <c r="S4">
        <v>15</v>
      </c>
      <c r="U4" t="s">
        <v>10</v>
      </c>
      <c r="V4" s="2">
        <v>0.9</v>
      </c>
    </row>
    <row r="5" spans="1:22" x14ac:dyDescent="0.25">
      <c r="A5" s="1">
        <v>44930</v>
      </c>
      <c r="B5">
        <f t="shared" si="0"/>
        <v>3</v>
      </c>
      <c r="C5" t="s">
        <v>8</v>
      </c>
      <c r="D5">
        <f>IF(AND(MONTH(A5)&lt;&gt;MONTH(A4),I4&gt;=3*$S$2),D4+3,D4)</f>
        <v>10</v>
      </c>
      <c r="E5">
        <f>IF(B5&lt;6,ROUNDDOWN(D5*VLOOKUP(C5,$U$1:$V$5,2,FALSE),0)*$S$3,0)</f>
        <v>60</v>
      </c>
      <c r="F5">
        <f t="shared" si="2"/>
        <v>0</v>
      </c>
      <c r="G5">
        <f t="shared" si="3"/>
        <v>0</v>
      </c>
      <c r="H5">
        <f t="shared" si="1"/>
        <v>60</v>
      </c>
      <c r="I5">
        <f>SUM($H$2:H5)</f>
        <v>-7970</v>
      </c>
      <c r="U5" t="s">
        <v>11</v>
      </c>
      <c r="V5" s="2">
        <v>0.4</v>
      </c>
    </row>
    <row r="6" spans="1:22" x14ac:dyDescent="0.25">
      <c r="A6" s="1">
        <v>44931</v>
      </c>
      <c r="B6">
        <f t="shared" si="0"/>
        <v>4</v>
      </c>
      <c r="C6" t="s">
        <v>8</v>
      </c>
      <c r="D6">
        <f>IF(AND(MONTH(A6)&lt;&gt;MONTH(A5),I5&gt;=3*$S$2),D5+3,D5)</f>
        <v>10</v>
      </c>
      <c r="E6">
        <f>IF(B6&lt;6,ROUNDDOWN(D6*VLOOKUP(C6,$U$1:$V$5,2,FALSE),0)*$S$3,0)</f>
        <v>60</v>
      </c>
      <c r="F6">
        <f t="shared" si="2"/>
        <v>0</v>
      </c>
      <c r="G6">
        <f t="shared" si="3"/>
        <v>0</v>
      </c>
      <c r="H6">
        <f t="shared" si="1"/>
        <v>60</v>
      </c>
      <c r="I6">
        <f>SUM($H$2:H6)</f>
        <v>-7910</v>
      </c>
    </row>
    <row r="7" spans="1:22" x14ac:dyDescent="0.25">
      <c r="A7" s="1">
        <v>44932</v>
      </c>
      <c r="B7">
        <f t="shared" si="0"/>
        <v>5</v>
      </c>
      <c r="C7" t="s">
        <v>8</v>
      </c>
      <c r="D7">
        <f>IF(AND(MONTH(A7)&lt;&gt;MONTH(A6),I6&gt;=3*$S$2),D6+3,D6)</f>
        <v>10</v>
      </c>
      <c r="E7">
        <f>IF(B7&lt;6,ROUNDDOWN(D7*VLOOKUP(C7,$U$1:$V$5,2,FALSE),0)*$S$3,0)</f>
        <v>60</v>
      </c>
      <c r="F7">
        <f t="shared" si="2"/>
        <v>0</v>
      </c>
      <c r="G7">
        <f t="shared" si="3"/>
        <v>0</v>
      </c>
      <c r="H7">
        <f t="shared" si="1"/>
        <v>60</v>
      </c>
      <c r="I7">
        <f>SUM($H$2:H7)</f>
        <v>-7850</v>
      </c>
    </row>
    <row r="8" spans="1:22" x14ac:dyDescent="0.25">
      <c r="A8" s="1">
        <v>44933</v>
      </c>
      <c r="B8">
        <f t="shared" si="0"/>
        <v>6</v>
      </c>
      <c r="C8" t="s">
        <v>8</v>
      </c>
      <c r="D8">
        <f>IF(AND(MONTH(A8)&lt;&gt;MONTH(A7),I7&gt;=3*$S$2),D7+3,D7)</f>
        <v>10</v>
      </c>
      <c r="E8">
        <f>IF(B8&lt;6,ROUNDDOWN(D8*VLOOKUP(C8,$U$1:$V$5,2,FALSE),0)*$S$3,0)</f>
        <v>0</v>
      </c>
      <c r="F8">
        <f t="shared" si="2"/>
        <v>0</v>
      </c>
      <c r="G8">
        <f t="shared" si="3"/>
        <v>0</v>
      </c>
      <c r="H8">
        <f t="shared" si="1"/>
        <v>0</v>
      </c>
      <c r="I8">
        <f>SUM($H$2:H8)</f>
        <v>-7850</v>
      </c>
    </row>
    <row r="9" spans="1:22" x14ac:dyDescent="0.25">
      <c r="A9" s="1">
        <v>44934</v>
      </c>
      <c r="B9">
        <f t="shared" si="0"/>
        <v>7</v>
      </c>
      <c r="C9" t="s">
        <v>8</v>
      </c>
      <c r="D9">
        <f>IF(AND(MONTH(A9)&lt;&gt;MONTH(A8),I8&gt;=3*$S$2),D8+3,D8)</f>
        <v>10</v>
      </c>
      <c r="E9">
        <f>IF(B9&lt;6,ROUNDDOWN(D9*VLOOKUP(C9,$U$1:$V$5,2,FALSE),0)*$S$3,0)</f>
        <v>0</v>
      </c>
      <c r="F9">
        <f t="shared" si="2"/>
        <v>150</v>
      </c>
      <c r="G9">
        <f t="shared" si="3"/>
        <v>0</v>
      </c>
      <c r="H9">
        <f t="shared" si="1"/>
        <v>-150</v>
      </c>
      <c r="I9">
        <f>SUM($H$2:H9)</f>
        <v>-8000</v>
      </c>
    </row>
    <row r="10" spans="1:22" x14ac:dyDescent="0.25">
      <c r="A10" s="1">
        <v>44935</v>
      </c>
      <c r="B10">
        <f t="shared" si="0"/>
        <v>1</v>
      </c>
      <c r="C10" t="s">
        <v>8</v>
      </c>
      <c r="D10">
        <f>IF(AND(MONTH(A10)&lt;&gt;MONTH(A9),I9&gt;=3*$S$2),D9+3,D9)</f>
        <v>10</v>
      </c>
      <c r="E10">
        <f>IF(B10&lt;6,ROUNDDOWN(D10*VLOOKUP(C10,$U$1:$V$5,2,FALSE),0)*$S$3,0)</f>
        <v>60</v>
      </c>
      <c r="F10">
        <f t="shared" si="2"/>
        <v>0</v>
      </c>
      <c r="G10">
        <f t="shared" si="3"/>
        <v>0</v>
      </c>
      <c r="H10">
        <f t="shared" si="1"/>
        <v>60</v>
      </c>
      <c r="I10">
        <f>SUM($H$2:H10)</f>
        <v>-7940</v>
      </c>
    </row>
    <row r="11" spans="1:22" x14ac:dyDescent="0.25">
      <c r="A11" s="1">
        <v>44936</v>
      </c>
      <c r="B11">
        <f t="shared" si="0"/>
        <v>2</v>
      </c>
      <c r="C11" t="s">
        <v>8</v>
      </c>
      <c r="D11">
        <f>IF(AND(MONTH(A11)&lt;&gt;MONTH(A10),I10&gt;=3*$S$2),D10+3,D10)</f>
        <v>10</v>
      </c>
      <c r="E11">
        <f>IF(B11&lt;6,ROUNDDOWN(D11*VLOOKUP(C11,$U$1:$V$5,2,FALSE),0)*$S$3,0)</f>
        <v>60</v>
      </c>
      <c r="F11">
        <f t="shared" si="2"/>
        <v>0</v>
      </c>
      <c r="G11">
        <f t="shared" si="3"/>
        <v>0</v>
      </c>
      <c r="H11">
        <f t="shared" si="1"/>
        <v>60</v>
      </c>
      <c r="I11">
        <f>SUM($H$2:H11)</f>
        <v>-7880</v>
      </c>
    </row>
    <row r="12" spans="1:22" x14ac:dyDescent="0.25">
      <c r="A12" s="1">
        <v>44937</v>
      </c>
      <c r="B12">
        <f t="shared" si="0"/>
        <v>3</v>
      </c>
      <c r="C12" t="s">
        <v>8</v>
      </c>
      <c r="D12">
        <f>IF(AND(MONTH(A12)&lt;&gt;MONTH(A11),I11&gt;=3*$S$2),D11+3,D11)</f>
        <v>10</v>
      </c>
      <c r="E12">
        <f>IF(B12&lt;6,ROUNDDOWN(D12*VLOOKUP(C12,$U$1:$V$5,2,FALSE),0)*$S$3,0)</f>
        <v>60</v>
      </c>
      <c r="F12">
        <f t="shared" si="2"/>
        <v>0</v>
      </c>
      <c r="G12">
        <f t="shared" si="3"/>
        <v>0</v>
      </c>
      <c r="H12">
        <f t="shared" si="1"/>
        <v>60</v>
      </c>
      <c r="I12">
        <f>SUM($H$2:H12)</f>
        <v>-7820</v>
      </c>
    </row>
    <row r="13" spans="1:22" x14ac:dyDescent="0.25">
      <c r="A13" s="1">
        <v>44938</v>
      </c>
      <c r="B13">
        <f t="shared" si="0"/>
        <v>4</v>
      </c>
      <c r="C13" t="s">
        <v>8</v>
      </c>
      <c r="D13">
        <f>IF(AND(MONTH(A13)&lt;&gt;MONTH(A12),I12&gt;=3*$S$2),D12+3,D12)</f>
        <v>10</v>
      </c>
      <c r="E13">
        <f>IF(B13&lt;6,ROUNDDOWN(D13*VLOOKUP(C13,$U$1:$V$5,2,FALSE),0)*$S$3,0)</f>
        <v>60</v>
      </c>
      <c r="F13">
        <f t="shared" si="2"/>
        <v>0</v>
      </c>
      <c r="G13">
        <f t="shared" si="3"/>
        <v>0</v>
      </c>
      <c r="H13">
        <f t="shared" si="1"/>
        <v>60</v>
      </c>
      <c r="I13">
        <f>SUM($H$2:H13)</f>
        <v>-7760</v>
      </c>
    </row>
    <row r="14" spans="1:22" x14ac:dyDescent="0.25">
      <c r="A14" s="1">
        <v>44939</v>
      </c>
      <c r="B14">
        <f t="shared" si="0"/>
        <v>5</v>
      </c>
      <c r="C14" t="s">
        <v>8</v>
      </c>
      <c r="D14">
        <f>IF(AND(MONTH(A14)&lt;&gt;MONTH(A13),I13&gt;=3*$S$2),D13+3,D13)</f>
        <v>10</v>
      </c>
      <c r="E14">
        <f>IF(B14&lt;6,ROUNDDOWN(D14*VLOOKUP(C14,$U$1:$V$5,2,FALSE),0)*$S$3,0)</f>
        <v>60</v>
      </c>
      <c r="F14">
        <f t="shared" si="2"/>
        <v>0</v>
      </c>
      <c r="G14">
        <f t="shared" si="3"/>
        <v>0</v>
      </c>
      <c r="H14">
        <f t="shared" si="1"/>
        <v>60</v>
      </c>
      <c r="I14">
        <f>SUM($H$2:H14)</f>
        <v>-7700</v>
      </c>
    </row>
    <row r="15" spans="1:22" x14ac:dyDescent="0.25">
      <c r="A15" s="1">
        <v>44940</v>
      </c>
      <c r="B15">
        <f t="shared" si="0"/>
        <v>6</v>
      </c>
      <c r="C15" t="s">
        <v>8</v>
      </c>
      <c r="D15">
        <f>IF(AND(MONTH(A15)&lt;&gt;MONTH(A14),I14&gt;=3*$S$2),D14+3,D14)</f>
        <v>10</v>
      </c>
      <c r="E15">
        <f>IF(B15&lt;6,ROUNDDOWN(D15*VLOOKUP(C15,$U$1:$V$5,2,FALSE),0)*$S$3,0)</f>
        <v>0</v>
      </c>
      <c r="F15">
        <f t="shared" si="2"/>
        <v>0</v>
      </c>
      <c r="G15">
        <f t="shared" si="3"/>
        <v>0</v>
      </c>
      <c r="H15">
        <f t="shared" si="1"/>
        <v>0</v>
      </c>
      <c r="I15">
        <f>SUM($H$2:H15)</f>
        <v>-7700</v>
      </c>
    </row>
    <row r="16" spans="1:22" x14ac:dyDescent="0.25">
      <c r="A16" s="1">
        <v>44941</v>
      </c>
      <c r="B16">
        <f t="shared" si="0"/>
        <v>7</v>
      </c>
      <c r="C16" t="s">
        <v>8</v>
      </c>
      <c r="D16">
        <f>IF(AND(MONTH(A16)&lt;&gt;MONTH(A15),I15&gt;=3*$S$2),D15+3,D15)</f>
        <v>10</v>
      </c>
      <c r="E16">
        <f>IF(B16&lt;6,ROUNDDOWN(D16*VLOOKUP(C16,$U$1:$V$5,2,FALSE),0)*$S$3,0)</f>
        <v>0</v>
      </c>
      <c r="F16">
        <f t="shared" si="2"/>
        <v>150</v>
      </c>
      <c r="G16">
        <f t="shared" si="3"/>
        <v>0</v>
      </c>
      <c r="H16">
        <f t="shared" si="1"/>
        <v>-150</v>
      </c>
      <c r="I16">
        <f>SUM($H$2:H16)</f>
        <v>-7850</v>
      </c>
    </row>
    <row r="17" spans="1:9" x14ac:dyDescent="0.25">
      <c r="A17" s="1">
        <v>44942</v>
      </c>
      <c r="B17">
        <f t="shared" si="0"/>
        <v>1</v>
      </c>
      <c r="C17" t="s">
        <v>8</v>
      </c>
      <c r="D17">
        <f>IF(AND(MONTH(A17)&lt;&gt;MONTH(A16),I16&gt;=3*$S$2),D16+3,D16)</f>
        <v>10</v>
      </c>
      <c r="E17">
        <f>IF(B17&lt;6,ROUNDDOWN(D17*VLOOKUP(C17,$U$1:$V$5,2,FALSE),0)*$S$3,0)</f>
        <v>60</v>
      </c>
      <c r="F17">
        <f t="shared" si="2"/>
        <v>0</v>
      </c>
      <c r="G17">
        <f t="shared" si="3"/>
        <v>0</v>
      </c>
      <c r="H17">
        <f t="shared" si="1"/>
        <v>60</v>
      </c>
      <c r="I17">
        <f>SUM($H$2:H17)</f>
        <v>-7790</v>
      </c>
    </row>
    <row r="18" spans="1:9" x14ac:dyDescent="0.25">
      <c r="A18" s="1">
        <v>44943</v>
      </c>
      <c r="B18">
        <f t="shared" si="0"/>
        <v>2</v>
      </c>
      <c r="C18" t="s">
        <v>8</v>
      </c>
      <c r="D18">
        <f>IF(AND(MONTH(A18)&lt;&gt;MONTH(A17),I17&gt;=3*$S$2),D17+3,D17)</f>
        <v>10</v>
      </c>
      <c r="E18">
        <f>IF(B18&lt;6,ROUNDDOWN(D18*VLOOKUP(C18,$U$1:$V$5,2,FALSE),0)*$S$3,0)</f>
        <v>60</v>
      </c>
      <c r="F18">
        <f t="shared" si="2"/>
        <v>0</v>
      </c>
      <c r="G18">
        <f t="shared" si="3"/>
        <v>0</v>
      </c>
      <c r="H18">
        <f t="shared" si="1"/>
        <v>60</v>
      </c>
      <c r="I18">
        <f>SUM($H$2:H18)</f>
        <v>-7730</v>
      </c>
    </row>
    <row r="19" spans="1:9" x14ac:dyDescent="0.25">
      <c r="A19" s="1">
        <v>44944</v>
      </c>
      <c r="B19">
        <f t="shared" si="0"/>
        <v>3</v>
      </c>
      <c r="C19" t="s">
        <v>8</v>
      </c>
      <c r="D19">
        <f>IF(AND(MONTH(A19)&lt;&gt;MONTH(A18),I18&gt;=3*$S$2),D18+3,D18)</f>
        <v>10</v>
      </c>
      <c r="E19">
        <f>IF(B19&lt;6,ROUNDDOWN(D19*VLOOKUP(C19,$U$1:$V$5,2,FALSE),0)*$S$3,0)</f>
        <v>60</v>
      </c>
      <c r="F19">
        <f t="shared" si="2"/>
        <v>0</v>
      </c>
      <c r="G19">
        <f t="shared" si="3"/>
        <v>0</v>
      </c>
      <c r="H19">
        <f t="shared" si="1"/>
        <v>60</v>
      </c>
      <c r="I19">
        <f>SUM($H$2:H19)</f>
        <v>-7670</v>
      </c>
    </row>
    <row r="20" spans="1:9" x14ac:dyDescent="0.25">
      <c r="A20" s="1">
        <v>44945</v>
      </c>
      <c r="B20">
        <f t="shared" si="0"/>
        <v>4</v>
      </c>
      <c r="C20" t="s">
        <v>8</v>
      </c>
      <c r="D20">
        <f>IF(AND(MONTH(A20)&lt;&gt;MONTH(A19),I19&gt;=3*$S$2),D19+3,D19)</f>
        <v>10</v>
      </c>
      <c r="E20">
        <f>IF(B20&lt;6,ROUNDDOWN(D20*VLOOKUP(C20,$U$1:$V$5,2,FALSE),0)*$S$3,0)</f>
        <v>60</v>
      </c>
      <c r="F20">
        <f t="shared" si="2"/>
        <v>0</v>
      </c>
      <c r="G20">
        <f t="shared" si="3"/>
        <v>0</v>
      </c>
      <c r="H20">
        <f t="shared" si="1"/>
        <v>60</v>
      </c>
      <c r="I20">
        <f>SUM($H$2:H20)</f>
        <v>-7610</v>
      </c>
    </row>
    <row r="21" spans="1:9" x14ac:dyDescent="0.25">
      <c r="A21" s="1">
        <v>44946</v>
      </c>
      <c r="B21">
        <f t="shared" si="0"/>
        <v>5</v>
      </c>
      <c r="C21" t="s">
        <v>8</v>
      </c>
      <c r="D21">
        <f>IF(AND(MONTH(A21)&lt;&gt;MONTH(A20),I20&gt;=3*$S$2),D20+3,D20)</f>
        <v>10</v>
      </c>
      <c r="E21">
        <f>IF(B21&lt;6,ROUNDDOWN(D21*VLOOKUP(C21,$U$1:$V$5,2,FALSE),0)*$S$3,0)</f>
        <v>60</v>
      </c>
      <c r="F21">
        <f t="shared" si="2"/>
        <v>0</v>
      </c>
      <c r="G21">
        <f t="shared" si="3"/>
        <v>0</v>
      </c>
      <c r="H21">
        <f t="shared" si="1"/>
        <v>60</v>
      </c>
      <c r="I21">
        <f>SUM($H$2:H21)</f>
        <v>-7550</v>
      </c>
    </row>
    <row r="22" spans="1:9" x14ac:dyDescent="0.25">
      <c r="A22" s="1">
        <v>44947</v>
      </c>
      <c r="B22">
        <f t="shared" si="0"/>
        <v>6</v>
      </c>
      <c r="C22" t="s">
        <v>8</v>
      </c>
      <c r="D22">
        <f>IF(AND(MONTH(A22)&lt;&gt;MONTH(A21),I21&gt;=3*$S$2),D21+3,D21)</f>
        <v>10</v>
      </c>
      <c r="E22">
        <f>IF(B22&lt;6,ROUNDDOWN(D22*VLOOKUP(C22,$U$1:$V$5,2,FALSE),0)*$S$3,0)</f>
        <v>0</v>
      </c>
      <c r="F22">
        <f t="shared" si="2"/>
        <v>0</v>
      </c>
      <c r="G22">
        <f t="shared" si="3"/>
        <v>0</v>
      </c>
      <c r="H22">
        <f t="shared" si="1"/>
        <v>0</v>
      </c>
      <c r="I22">
        <f>SUM($H$2:H22)</f>
        <v>-7550</v>
      </c>
    </row>
    <row r="23" spans="1:9" x14ac:dyDescent="0.25">
      <c r="A23" s="1">
        <v>44948</v>
      </c>
      <c r="B23">
        <f t="shared" si="0"/>
        <v>7</v>
      </c>
      <c r="C23" t="s">
        <v>8</v>
      </c>
      <c r="D23">
        <f>IF(AND(MONTH(A23)&lt;&gt;MONTH(A22),I22&gt;=3*$S$2),D22+3,D22)</f>
        <v>10</v>
      </c>
      <c r="E23">
        <f>IF(B23&lt;6,ROUNDDOWN(D23*VLOOKUP(C23,$U$1:$V$5,2,FALSE),0)*$S$3,0)</f>
        <v>0</v>
      </c>
      <c r="F23">
        <f t="shared" si="2"/>
        <v>150</v>
      </c>
      <c r="G23">
        <f t="shared" si="3"/>
        <v>0</v>
      </c>
      <c r="H23">
        <f t="shared" si="1"/>
        <v>-150</v>
      </c>
      <c r="I23">
        <f>SUM($H$2:H23)</f>
        <v>-7700</v>
      </c>
    </row>
    <row r="24" spans="1:9" x14ac:dyDescent="0.25">
      <c r="A24" s="1">
        <v>44949</v>
      </c>
      <c r="B24">
        <f t="shared" si="0"/>
        <v>1</v>
      </c>
      <c r="C24" t="s">
        <v>8</v>
      </c>
      <c r="D24">
        <f>IF(AND(MONTH(A24)&lt;&gt;MONTH(A23),I23&gt;=3*$S$2),D23+3,D23)</f>
        <v>10</v>
      </c>
      <c r="E24">
        <f>IF(B24&lt;6,ROUNDDOWN(D24*VLOOKUP(C24,$U$1:$V$5,2,FALSE),0)*$S$3,0)</f>
        <v>60</v>
      </c>
      <c r="F24">
        <f t="shared" si="2"/>
        <v>0</v>
      </c>
      <c r="G24">
        <f t="shared" si="3"/>
        <v>0</v>
      </c>
      <c r="H24">
        <f t="shared" si="1"/>
        <v>60</v>
      </c>
      <c r="I24">
        <f>SUM($H$2:H24)</f>
        <v>-7640</v>
      </c>
    </row>
    <row r="25" spans="1:9" x14ac:dyDescent="0.25">
      <c r="A25" s="1">
        <v>44950</v>
      </c>
      <c r="B25">
        <f t="shared" si="0"/>
        <v>2</v>
      </c>
      <c r="C25" t="s">
        <v>8</v>
      </c>
      <c r="D25">
        <f>IF(AND(MONTH(A25)&lt;&gt;MONTH(A24),I24&gt;=3*$S$2),D24+3,D24)</f>
        <v>10</v>
      </c>
      <c r="E25">
        <f>IF(B25&lt;6,ROUNDDOWN(D25*VLOOKUP(C25,$U$1:$V$5,2,FALSE),0)*$S$3,0)</f>
        <v>60</v>
      </c>
      <c r="F25">
        <f t="shared" si="2"/>
        <v>0</v>
      </c>
      <c r="G25">
        <f t="shared" si="3"/>
        <v>0</v>
      </c>
      <c r="H25">
        <f t="shared" si="1"/>
        <v>60</v>
      </c>
      <c r="I25">
        <f>SUM($H$2:H25)</f>
        <v>-7580</v>
      </c>
    </row>
    <row r="26" spans="1:9" x14ac:dyDescent="0.25">
      <c r="A26" s="1">
        <v>44951</v>
      </c>
      <c r="B26">
        <f t="shared" si="0"/>
        <v>3</v>
      </c>
      <c r="C26" t="s">
        <v>8</v>
      </c>
      <c r="D26">
        <f>IF(AND(MONTH(A26)&lt;&gt;MONTH(A25),I25&gt;=3*$S$2),D25+3,D25)</f>
        <v>10</v>
      </c>
      <c r="E26">
        <f>IF(B26&lt;6,ROUNDDOWN(D26*VLOOKUP(C26,$U$1:$V$5,2,FALSE),0)*$S$3,0)</f>
        <v>60</v>
      </c>
      <c r="F26">
        <f t="shared" si="2"/>
        <v>0</v>
      </c>
      <c r="G26">
        <f t="shared" si="3"/>
        <v>0</v>
      </c>
      <c r="H26">
        <f t="shared" si="1"/>
        <v>60</v>
      </c>
      <c r="I26">
        <f>SUM($H$2:H26)</f>
        <v>-7520</v>
      </c>
    </row>
    <row r="27" spans="1:9" x14ac:dyDescent="0.25">
      <c r="A27" s="1">
        <v>44952</v>
      </c>
      <c r="B27">
        <f t="shared" si="0"/>
        <v>4</v>
      </c>
      <c r="C27" t="s">
        <v>8</v>
      </c>
      <c r="D27">
        <f>IF(AND(MONTH(A27)&lt;&gt;MONTH(A26),I26&gt;=3*$S$2),D26+3,D26)</f>
        <v>10</v>
      </c>
      <c r="E27">
        <f>IF(B27&lt;6,ROUNDDOWN(D27*VLOOKUP(C27,$U$1:$V$5,2,FALSE),0)*$S$3,0)</f>
        <v>60</v>
      </c>
      <c r="F27">
        <f t="shared" si="2"/>
        <v>0</v>
      </c>
      <c r="G27">
        <f t="shared" si="3"/>
        <v>0</v>
      </c>
      <c r="H27">
        <f t="shared" si="1"/>
        <v>60</v>
      </c>
      <c r="I27">
        <f>SUM($H$2:H27)</f>
        <v>-7460</v>
      </c>
    </row>
    <row r="28" spans="1:9" x14ac:dyDescent="0.25">
      <c r="A28" s="1">
        <v>44953</v>
      </c>
      <c r="B28">
        <f t="shared" si="0"/>
        <v>5</v>
      </c>
      <c r="C28" t="s">
        <v>8</v>
      </c>
      <c r="D28">
        <f>IF(AND(MONTH(A28)&lt;&gt;MONTH(A27),I27&gt;=3*$S$2),D27+3,D27)</f>
        <v>10</v>
      </c>
      <c r="E28">
        <f>IF(B28&lt;6,ROUNDDOWN(D28*VLOOKUP(C28,$U$1:$V$5,2,FALSE),0)*$S$3,0)</f>
        <v>60</v>
      </c>
      <c r="F28">
        <f t="shared" si="2"/>
        <v>0</v>
      </c>
      <c r="G28">
        <f t="shared" si="3"/>
        <v>0</v>
      </c>
      <c r="H28">
        <f t="shared" si="1"/>
        <v>60</v>
      </c>
      <c r="I28">
        <f>SUM($H$2:H28)</f>
        <v>-7400</v>
      </c>
    </row>
    <row r="29" spans="1:9" x14ac:dyDescent="0.25">
      <c r="A29" s="1">
        <v>44954</v>
      </c>
      <c r="B29">
        <f t="shared" si="0"/>
        <v>6</v>
      </c>
      <c r="C29" t="s">
        <v>8</v>
      </c>
      <c r="D29">
        <f>IF(AND(MONTH(A29)&lt;&gt;MONTH(A28),I28&gt;=3*$S$2),D28+3,D28)</f>
        <v>10</v>
      </c>
      <c r="E29">
        <f>IF(B29&lt;6,ROUNDDOWN(D29*VLOOKUP(C29,$U$1:$V$5,2,FALSE),0)*$S$3,0)</f>
        <v>0</v>
      </c>
      <c r="F29">
        <f t="shared" si="2"/>
        <v>0</v>
      </c>
      <c r="G29">
        <f t="shared" si="3"/>
        <v>0</v>
      </c>
      <c r="H29">
        <f t="shared" si="1"/>
        <v>0</v>
      </c>
      <c r="I29">
        <f>SUM($H$2:H29)</f>
        <v>-7400</v>
      </c>
    </row>
    <row r="30" spans="1:9" x14ac:dyDescent="0.25">
      <c r="A30" s="1">
        <v>44955</v>
      </c>
      <c r="B30">
        <f t="shared" si="0"/>
        <v>7</v>
      </c>
      <c r="C30" t="s">
        <v>8</v>
      </c>
      <c r="D30">
        <f>IF(AND(MONTH(A30)&lt;&gt;MONTH(A29),I29&gt;=3*$S$2),D29+3,D29)</f>
        <v>10</v>
      </c>
      <c r="E30">
        <f>IF(B30&lt;6,ROUNDDOWN(D30*VLOOKUP(C30,$U$1:$V$5,2,FALSE),0)*$S$3,0)</f>
        <v>0</v>
      </c>
      <c r="F30">
        <f t="shared" si="2"/>
        <v>150</v>
      </c>
      <c r="G30">
        <f t="shared" si="3"/>
        <v>0</v>
      </c>
      <c r="H30">
        <f t="shared" si="1"/>
        <v>-150</v>
      </c>
      <c r="I30">
        <f>SUM($H$2:H30)</f>
        <v>-7550</v>
      </c>
    </row>
    <row r="31" spans="1:9" x14ac:dyDescent="0.25">
      <c r="A31" s="1">
        <v>44956</v>
      </c>
      <c r="B31">
        <f t="shared" si="0"/>
        <v>1</v>
      </c>
      <c r="C31" t="s">
        <v>8</v>
      </c>
      <c r="D31">
        <f>IF(AND(MONTH(A31)&lt;&gt;MONTH(A30),I30&gt;=3*$S$2),D30+3,D30)</f>
        <v>10</v>
      </c>
      <c r="E31">
        <f>IF(B31&lt;6,ROUNDDOWN(D31*VLOOKUP(C31,$U$1:$V$5,2,FALSE),0)*$S$3,0)</f>
        <v>60</v>
      </c>
      <c r="F31">
        <f t="shared" si="2"/>
        <v>0</v>
      </c>
      <c r="G31">
        <f t="shared" si="3"/>
        <v>0</v>
      </c>
      <c r="H31">
        <f t="shared" si="1"/>
        <v>60</v>
      </c>
      <c r="I31">
        <f>SUM($H$2:H31)</f>
        <v>-7490</v>
      </c>
    </row>
    <row r="32" spans="1:9" x14ac:dyDescent="0.25">
      <c r="A32" s="1">
        <v>44957</v>
      </c>
      <c r="B32">
        <f t="shared" si="0"/>
        <v>2</v>
      </c>
      <c r="C32" t="s">
        <v>8</v>
      </c>
      <c r="D32">
        <f>IF(AND(MONTH(A32)&lt;&gt;MONTH(A31),I31&gt;=3*$S$2),D31+3,D31)</f>
        <v>10</v>
      </c>
      <c r="E32">
        <f>IF(B32&lt;6,ROUNDDOWN(D32*VLOOKUP(C32,$U$1:$V$5,2,FALSE),0)*$S$3,0)</f>
        <v>60</v>
      </c>
      <c r="F32">
        <f t="shared" si="2"/>
        <v>0</v>
      </c>
      <c r="G32">
        <f t="shared" si="3"/>
        <v>0</v>
      </c>
      <c r="H32">
        <f t="shared" si="1"/>
        <v>60</v>
      </c>
      <c r="I32">
        <f>SUM($H$2:H32)</f>
        <v>-7430</v>
      </c>
    </row>
    <row r="33" spans="1:9" x14ac:dyDescent="0.25">
      <c r="A33" s="1">
        <v>44958</v>
      </c>
      <c r="B33">
        <f t="shared" si="0"/>
        <v>3</v>
      </c>
      <c r="C33" t="s">
        <v>8</v>
      </c>
      <c r="D33">
        <f>IF(AND(MONTH(A33)&lt;&gt;MONTH(A32),I32&gt;=3*$S$2),D32+3,D32)</f>
        <v>10</v>
      </c>
      <c r="E33">
        <f>IF(B33&lt;6,ROUNDDOWN(D33*VLOOKUP(C33,$U$1:$V$5,2,FALSE),0)*$S$3,0)</f>
        <v>60</v>
      </c>
      <c r="F33">
        <f t="shared" si="2"/>
        <v>0</v>
      </c>
      <c r="G33">
        <f t="shared" si="3"/>
        <v>0</v>
      </c>
      <c r="H33">
        <f t="shared" si="1"/>
        <v>60</v>
      </c>
      <c r="I33">
        <f>SUM($H$2:H33)</f>
        <v>-7370</v>
      </c>
    </row>
    <row r="34" spans="1:9" x14ac:dyDescent="0.25">
      <c r="A34" s="1">
        <v>44959</v>
      </c>
      <c r="B34">
        <f t="shared" si="0"/>
        <v>4</v>
      </c>
      <c r="C34" t="s">
        <v>8</v>
      </c>
      <c r="D34">
        <f>IF(AND(MONTH(A34)&lt;&gt;MONTH(A33),I33&gt;=3*$S$2),D33+3,D33)</f>
        <v>10</v>
      </c>
      <c r="E34">
        <f>IF(B34&lt;6,ROUNDDOWN(D34*VLOOKUP(C34,$U$1:$V$5,2,FALSE),0)*$S$3,0)</f>
        <v>60</v>
      </c>
      <c r="F34">
        <f t="shared" si="2"/>
        <v>0</v>
      </c>
      <c r="G34">
        <f t="shared" si="3"/>
        <v>0</v>
      </c>
      <c r="H34">
        <f t="shared" si="1"/>
        <v>60</v>
      </c>
      <c r="I34">
        <f>SUM($H$2:H34)</f>
        <v>-7310</v>
      </c>
    </row>
    <row r="35" spans="1:9" x14ac:dyDescent="0.25">
      <c r="A35" s="1">
        <v>44960</v>
      </c>
      <c r="B35">
        <f t="shared" si="0"/>
        <v>5</v>
      </c>
      <c r="C35" t="s">
        <v>8</v>
      </c>
      <c r="D35">
        <f>IF(AND(MONTH(A35)&lt;&gt;MONTH(A34),I34&gt;=3*$S$2),D34+3,D34)</f>
        <v>10</v>
      </c>
      <c r="E35">
        <f>IF(B35&lt;6,ROUNDDOWN(D35*VLOOKUP(C35,$U$1:$V$5,2,FALSE),0)*$S$3,0)</f>
        <v>60</v>
      </c>
      <c r="F35">
        <f t="shared" si="2"/>
        <v>0</v>
      </c>
      <c r="G35">
        <f t="shared" si="3"/>
        <v>0</v>
      </c>
      <c r="H35">
        <f t="shared" si="1"/>
        <v>60</v>
      </c>
      <c r="I35">
        <f>SUM($H$2:H35)</f>
        <v>-7250</v>
      </c>
    </row>
    <row r="36" spans="1:9" x14ac:dyDescent="0.25">
      <c r="A36" s="1">
        <v>44961</v>
      </c>
      <c r="B36">
        <f t="shared" si="0"/>
        <v>6</v>
      </c>
      <c r="C36" t="s">
        <v>8</v>
      </c>
      <c r="D36">
        <f>IF(AND(MONTH(A36)&lt;&gt;MONTH(A35),I35&gt;=3*$S$2),D35+3,D35)</f>
        <v>10</v>
      </c>
      <c r="E36">
        <f>IF(B36&lt;6,ROUNDDOWN(D36*VLOOKUP(C36,$U$1:$V$5,2,FALSE),0)*$S$3,0)</f>
        <v>0</v>
      </c>
      <c r="F36">
        <f t="shared" si="2"/>
        <v>0</v>
      </c>
      <c r="G36">
        <f t="shared" si="3"/>
        <v>0</v>
      </c>
      <c r="H36">
        <f t="shared" si="1"/>
        <v>0</v>
      </c>
      <c r="I36">
        <f>SUM($H$2:H36)</f>
        <v>-7250</v>
      </c>
    </row>
    <row r="37" spans="1:9" x14ac:dyDescent="0.25">
      <c r="A37" s="1">
        <v>44962</v>
      </c>
      <c r="B37">
        <f t="shared" si="0"/>
        <v>7</v>
      </c>
      <c r="C37" t="s">
        <v>8</v>
      </c>
      <c r="D37">
        <f>IF(AND(MONTH(A37)&lt;&gt;MONTH(A36),I36&gt;=3*$S$2),D36+3,D36)</f>
        <v>10</v>
      </c>
      <c r="E37">
        <f>IF(B37&lt;6,ROUNDDOWN(D37*VLOOKUP(C37,$U$1:$V$5,2,FALSE),0)*$S$3,0)</f>
        <v>0</v>
      </c>
      <c r="F37">
        <f t="shared" si="2"/>
        <v>150</v>
      </c>
      <c r="G37">
        <f t="shared" si="3"/>
        <v>0</v>
      </c>
      <c r="H37">
        <f t="shared" si="1"/>
        <v>-150</v>
      </c>
      <c r="I37">
        <f>SUM($H$2:H37)</f>
        <v>-7400</v>
      </c>
    </row>
    <row r="38" spans="1:9" x14ac:dyDescent="0.25">
      <c r="A38" s="1">
        <v>44963</v>
      </c>
      <c r="B38">
        <f t="shared" si="0"/>
        <v>1</v>
      </c>
      <c r="C38" t="s">
        <v>8</v>
      </c>
      <c r="D38">
        <f>IF(AND(MONTH(A38)&lt;&gt;MONTH(A37),I37&gt;=3*$S$2),D37+3,D37)</f>
        <v>10</v>
      </c>
      <c r="E38">
        <f>IF(B38&lt;6,ROUNDDOWN(D38*VLOOKUP(C38,$U$1:$V$5,2,FALSE),0)*$S$3,0)</f>
        <v>60</v>
      </c>
      <c r="F38">
        <f t="shared" si="2"/>
        <v>0</v>
      </c>
      <c r="G38">
        <f t="shared" si="3"/>
        <v>0</v>
      </c>
      <c r="H38">
        <f t="shared" si="1"/>
        <v>60</v>
      </c>
      <c r="I38">
        <f>SUM($H$2:H38)</f>
        <v>-7340</v>
      </c>
    </row>
    <row r="39" spans="1:9" x14ac:dyDescent="0.25">
      <c r="A39" s="1">
        <v>44964</v>
      </c>
      <c r="B39">
        <f t="shared" si="0"/>
        <v>2</v>
      </c>
      <c r="C39" t="s">
        <v>8</v>
      </c>
      <c r="D39">
        <f>IF(AND(MONTH(A39)&lt;&gt;MONTH(A38),I38&gt;=3*$S$2),D38+3,D38)</f>
        <v>10</v>
      </c>
      <c r="E39">
        <f>IF(B39&lt;6,ROUNDDOWN(D39*VLOOKUP(C39,$U$1:$V$5,2,FALSE),0)*$S$3,0)</f>
        <v>60</v>
      </c>
      <c r="F39">
        <f t="shared" si="2"/>
        <v>0</v>
      </c>
      <c r="G39">
        <f t="shared" si="3"/>
        <v>0</v>
      </c>
      <c r="H39">
        <f t="shared" si="1"/>
        <v>60</v>
      </c>
      <c r="I39">
        <f>SUM($H$2:H39)</f>
        <v>-7280</v>
      </c>
    </row>
    <row r="40" spans="1:9" x14ac:dyDescent="0.25">
      <c r="A40" s="1">
        <v>44965</v>
      </c>
      <c r="B40">
        <f t="shared" si="0"/>
        <v>3</v>
      </c>
      <c r="C40" t="s">
        <v>8</v>
      </c>
      <c r="D40">
        <f>IF(AND(MONTH(A40)&lt;&gt;MONTH(A39),I39&gt;=3*$S$2),D39+3,D39)</f>
        <v>10</v>
      </c>
      <c r="E40">
        <f>IF(B40&lt;6,ROUNDDOWN(D40*VLOOKUP(C40,$U$1:$V$5,2,FALSE),0)*$S$3,0)</f>
        <v>60</v>
      </c>
      <c r="F40">
        <f t="shared" si="2"/>
        <v>0</v>
      </c>
      <c r="G40">
        <f t="shared" si="3"/>
        <v>0</v>
      </c>
      <c r="H40">
        <f t="shared" si="1"/>
        <v>60</v>
      </c>
      <c r="I40">
        <f>SUM($H$2:H40)</f>
        <v>-7220</v>
      </c>
    </row>
    <row r="41" spans="1:9" x14ac:dyDescent="0.25">
      <c r="A41" s="1">
        <v>44966</v>
      </c>
      <c r="B41">
        <f t="shared" si="0"/>
        <v>4</v>
      </c>
      <c r="C41" t="s">
        <v>8</v>
      </c>
      <c r="D41">
        <f>IF(AND(MONTH(A41)&lt;&gt;MONTH(A40),I40&gt;=3*$S$2),D40+3,D40)</f>
        <v>10</v>
      </c>
      <c r="E41">
        <f>IF(B41&lt;6,ROUNDDOWN(D41*VLOOKUP(C41,$U$1:$V$5,2,FALSE),0)*$S$3,0)</f>
        <v>60</v>
      </c>
      <c r="F41">
        <f t="shared" si="2"/>
        <v>0</v>
      </c>
      <c r="G41">
        <f t="shared" si="3"/>
        <v>0</v>
      </c>
      <c r="H41">
        <f t="shared" si="1"/>
        <v>60</v>
      </c>
      <c r="I41">
        <f>SUM($H$2:H41)</f>
        <v>-7160</v>
      </c>
    </row>
    <row r="42" spans="1:9" x14ac:dyDescent="0.25">
      <c r="A42" s="1">
        <v>44967</v>
      </c>
      <c r="B42">
        <f t="shared" si="0"/>
        <v>5</v>
      </c>
      <c r="C42" t="s">
        <v>8</v>
      </c>
      <c r="D42">
        <f>IF(AND(MONTH(A42)&lt;&gt;MONTH(A41),I41&gt;=3*$S$2),D41+3,D41)</f>
        <v>10</v>
      </c>
      <c r="E42">
        <f>IF(B42&lt;6,ROUNDDOWN(D42*VLOOKUP(C42,$U$1:$V$5,2,FALSE),0)*$S$3,0)</f>
        <v>60</v>
      </c>
      <c r="F42">
        <f t="shared" si="2"/>
        <v>0</v>
      </c>
      <c r="G42">
        <f t="shared" si="3"/>
        <v>0</v>
      </c>
      <c r="H42">
        <f t="shared" si="1"/>
        <v>60</v>
      </c>
      <c r="I42">
        <f>SUM($H$2:H42)</f>
        <v>-7100</v>
      </c>
    </row>
    <row r="43" spans="1:9" x14ac:dyDescent="0.25">
      <c r="A43" s="1">
        <v>44968</v>
      </c>
      <c r="B43">
        <f t="shared" si="0"/>
        <v>6</v>
      </c>
      <c r="C43" t="s">
        <v>8</v>
      </c>
      <c r="D43">
        <f>IF(AND(MONTH(A43)&lt;&gt;MONTH(A42),I42&gt;=3*$S$2),D42+3,D42)</f>
        <v>10</v>
      </c>
      <c r="E43">
        <f>IF(B43&lt;6,ROUNDDOWN(D43*VLOOKUP(C43,$U$1:$V$5,2,FALSE),0)*$S$3,0)</f>
        <v>0</v>
      </c>
      <c r="F43">
        <f t="shared" si="2"/>
        <v>0</v>
      </c>
      <c r="G43">
        <f t="shared" si="3"/>
        <v>0</v>
      </c>
      <c r="H43">
        <f t="shared" si="1"/>
        <v>0</v>
      </c>
      <c r="I43">
        <f>SUM($H$2:H43)</f>
        <v>-7100</v>
      </c>
    </row>
    <row r="44" spans="1:9" x14ac:dyDescent="0.25">
      <c r="A44" s="1">
        <v>44969</v>
      </c>
      <c r="B44">
        <f t="shared" si="0"/>
        <v>7</v>
      </c>
      <c r="C44" t="s">
        <v>8</v>
      </c>
      <c r="D44">
        <f>IF(AND(MONTH(A44)&lt;&gt;MONTH(A43),I43&gt;=3*$S$2),D43+3,D43)</f>
        <v>10</v>
      </c>
      <c r="E44">
        <f>IF(B44&lt;6,ROUNDDOWN(D44*VLOOKUP(C44,$U$1:$V$5,2,FALSE),0)*$S$3,0)</f>
        <v>0</v>
      </c>
      <c r="F44">
        <f t="shared" si="2"/>
        <v>150</v>
      </c>
      <c r="G44">
        <f t="shared" si="3"/>
        <v>0</v>
      </c>
      <c r="H44">
        <f t="shared" si="1"/>
        <v>-150</v>
      </c>
      <c r="I44">
        <f>SUM($H$2:H44)</f>
        <v>-7250</v>
      </c>
    </row>
    <row r="45" spans="1:9" x14ac:dyDescent="0.25">
      <c r="A45" s="1">
        <v>44970</v>
      </c>
      <c r="B45">
        <f t="shared" si="0"/>
        <v>1</v>
      </c>
      <c r="C45" t="s">
        <v>8</v>
      </c>
      <c r="D45">
        <f>IF(AND(MONTH(A45)&lt;&gt;MONTH(A44),I44&gt;=3*$S$2),D44+3,D44)</f>
        <v>10</v>
      </c>
      <c r="E45">
        <f>IF(B45&lt;6,ROUNDDOWN(D45*VLOOKUP(C45,$U$1:$V$5,2,FALSE),0)*$S$3,0)</f>
        <v>60</v>
      </c>
      <c r="F45">
        <f t="shared" si="2"/>
        <v>0</v>
      </c>
      <c r="G45">
        <f t="shared" si="3"/>
        <v>0</v>
      </c>
      <c r="H45">
        <f t="shared" si="1"/>
        <v>60</v>
      </c>
      <c r="I45">
        <f>SUM($H$2:H45)</f>
        <v>-7190</v>
      </c>
    </row>
    <row r="46" spans="1:9" x14ac:dyDescent="0.25">
      <c r="A46" s="1">
        <v>44971</v>
      </c>
      <c r="B46">
        <f t="shared" si="0"/>
        <v>2</v>
      </c>
      <c r="C46" t="s">
        <v>8</v>
      </c>
      <c r="D46">
        <f>IF(AND(MONTH(A46)&lt;&gt;MONTH(A45),I45&gt;=3*$S$2),D45+3,D45)</f>
        <v>10</v>
      </c>
      <c r="E46">
        <f>IF(B46&lt;6,ROUNDDOWN(D46*VLOOKUP(C46,$U$1:$V$5,2,FALSE),0)*$S$3,0)</f>
        <v>60</v>
      </c>
      <c r="F46">
        <f t="shared" si="2"/>
        <v>0</v>
      </c>
      <c r="G46">
        <f t="shared" si="3"/>
        <v>0</v>
      </c>
      <c r="H46">
        <f t="shared" si="1"/>
        <v>60</v>
      </c>
      <c r="I46">
        <f>SUM($H$2:H46)</f>
        <v>-7130</v>
      </c>
    </row>
    <row r="47" spans="1:9" x14ac:dyDescent="0.25">
      <c r="A47" s="1">
        <v>44972</v>
      </c>
      <c r="B47">
        <f t="shared" si="0"/>
        <v>3</v>
      </c>
      <c r="C47" t="s">
        <v>8</v>
      </c>
      <c r="D47">
        <f>IF(AND(MONTH(A47)&lt;&gt;MONTH(A46),I46&gt;=3*$S$2),D46+3,D46)</f>
        <v>10</v>
      </c>
      <c r="E47">
        <f>IF(B47&lt;6,ROUNDDOWN(D47*VLOOKUP(C47,$U$1:$V$5,2,FALSE),0)*$S$3,0)</f>
        <v>60</v>
      </c>
      <c r="F47">
        <f t="shared" si="2"/>
        <v>0</v>
      </c>
      <c r="G47">
        <f t="shared" si="3"/>
        <v>0</v>
      </c>
      <c r="H47">
        <f t="shared" si="1"/>
        <v>60</v>
      </c>
      <c r="I47">
        <f>SUM($H$2:H47)</f>
        <v>-7070</v>
      </c>
    </row>
    <row r="48" spans="1:9" x14ac:dyDescent="0.25">
      <c r="A48" s="1">
        <v>44973</v>
      </c>
      <c r="B48">
        <f t="shared" si="0"/>
        <v>4</v>
      </c>
      <c r="C48" t="s">
        <v>8</v>
      </c>
      <c r="D48">
        <f>IF(AND(MONTH(A48)&lt;&gt;MONTH(A47),I47&gt;=3*$S$2),D47+3,D47)</f>
        <v>10</v>
      </c>
      <c r="E48">
        <f>IF(B48&lt;6,ROUNDDOWN(D48*VLOOKUP(C48,$U$1:$V$5,2,FALSE),0)*$S$3,0)</f>
        <v>60</v>
      </c>
      <c r="F48">
        <f t="shared" si="2"/>
        <v>0</v>
      </c>
      <c r="G48">
        <f t="shared" si="3"/>
        <v>0</v>
      </c>
      <c r="H48">
        <f t="shared" si="1"/>
        <v>60</v>
      </c>
      <c r="I48">
        <f>SUM($H$2:H48)</f>
        <v>-7010</v>
      </c>
    </row>
    <row r="49" spans="1:9" x14ac:dyDescent="0.25">
      <c r="A49" s="1">
        <v>44974</v>
      </c>
      <c r="B49">
        <f t="shared" si="0"/>
        <v>5</v>
      </c>
      <c r="C49" t="s">
        <v>8</v>
      </c>
      <c r="D49">
        <f>IF(AND(MONTH(A49)&lt;&gt;MONTH(A48),I48&gt;=3*$S$2),D48+3,D48)</f>
        <v>10</v>
      </c>
      <c r="E49">
        <f>IF(B49&lt;6,ROUNDDOWN(D49*VLOOKUP(C49,$U$1:$V$5,2,FALSE),0)*$S$3,0)</f>
        <v>60</v>
      </c>
      <c r="F49">
        <f t="shared" si="2"/>
        <v>0</v>
      </c>
      <c r="G49">
        <f t="shared" si="3"/>
        <v>0</v>
      </c>
      <c r="H49">
        <f t="shared" si="1"/>
        <v>60</v>
      </c>
      <c r="I49">
        <f>SUM($H$2:H49)</f>
        <v>-6950</v>
      </c>
    </row>
    <row r="50" spans="1:9" x14ac:dyDescent="0.25">
      <c r="A50" s="1">
        <v>44975</v>
      </c>
      <c r="B50">
        <f t="shared" si="0"/>
        <v>6</v>
      </c>
      <c r="C50" t="s">
        <v>8</v>
      </c>
      <c r="D50">
        <f>IF(AND(MONTH(A50)&lt;&gt;MONTH(A49),I49&gt;=3*$S$2),D49+3,D49)</f>
        <v>10</v>
      </c>
      <c r="E50">
        <f>IF(B50&lt;6,ROUNDDOWN(D50*VLOOKUP(C50,$U$1:$V$5,2,FALSE),0)*$S$3,0)</f>
        <v>0</v>
      </c>
      <c r="F50">
        <f t="shared" si="2"/>
        <v>0</v>
      </c>
      <c r="G50">
        <f t="shared" si="3"/>
        <v>0</v>
      </c>
      <c r="H50">
        <f t="shared" si="1"/>
        <v>0</v>
      </c>
      <c r="I50">
        <f>SUM($H$2:H50)</f>
        <v>-6950</v>
      </c>
    </row>
    <row r="51" spans="1:9" x14ac:dyDescent="0.25">
      <c r="A51" s="1">
        <v>44976</v>
      </c>
      <c r="B51">
        <f t="shared" si="0"/>
        <v>7</v>
      </c>
      <c r="C51" t="s">
        <v>8</v>
      </c>
      <c r="D51">
        <f>IF(AND(MONTH(A51)&lt;&gt;MONTH(A50),I50&gt;=3*$S$2),D50+3,D50)</f>
        <v>10</v>
      </c>
      <c r="E51">
        <f>IF(B51&lt;6,ROUNDDOWN(D51*VLOOKUP(C51,$U$1:$V$5,2,FALSE),0)*$S$3,0)</f>
        <v>0</v>
      </c>
      <c r="F51">
        <f t="shared" si="2"/>
        <v>150</v>
      </c>
      <c r="G51">
        <f t="shared" si="3"/>
        <v>0</v>
      </c>
      <c r="H51">
        <f t="shared" si="1"/>
        <v>-150</v>
      </c>
      <c r="I51">
        <f>SUM($H$2:H51)</f>
        <v>-7100</v>
      </c>
    </row>
    <row r="52" spans="1:9" x14ac:dyDescent="0.25">
      <c r="A52" s="1">
        <v>44977</v>
      </c>
      <c r="B52">
        <f t="shared" si="0"/>
        <v>1</v>
      </c>
      <c r="C52" t="s">
        <v>8</v>
      </c>
      <c r="D52">
        <f>IF(AND(MONTH(A52)&lt;&gt;MONTH(A51),I51&gt;=3*$S$2),D51+3,D51)</f>
        <v>10</v>
      </c>
      <c r="E52">
        <f>IF(B52&lt;6,ROUNDDOWN(D52*VLOOKUP(C52,$U$1:$V$5,2,FALSE),0)*$S$3,0)</f>
        <v>60</v>
      </c>
      <c r="F52">
        <f t="shared" si="2"/>
        <v>0</v>
      </c>
      <c r="G52">
        <f t="shared" si="3"/>
        <v>0</v>
      </c>
      <c r="H52">
        <f t="shared" si="1"/>
        <v>60</v>
      </c>
      <c r="I52">
        <f>SUM($H$2:H52)</f>
        <v>-7040</v>
      </c>
    </row>
    <row r="53" spans="1:9" x14ac:dyDescent="0.25">
      <c r="A53" s="1">
        <v>44978</v>
      </c>
      <c r="B53">
        <f t="shared" si="0"/>
        <v>2</v>
      </c>
      <c r="C53" t="s">
        <v>8</v>
      </c>
      <c r="D53">
        <f>IF(AND(MONTH(A53)&lt;&gt;MONTH(A52),I52&gt;=3*$S$2),D52+3,D52)</f>
        <v>10</v>
      </c>
      <c r="E53">
        <f>IF(B53&lt;6,ROUNDDOWN(D53*VLOOKUP(C53,$U$1:$V$5,2,FALSE),0)*$S$3,0)</f>
        <v>60</v>
      </c>
      <c r="F53">
        <f t="shared" si="2"/>
        <v>0</v>
      </c>
      <c r="G53">
        <f t="shared" si="3"/>
        <v>0</v>
      </c>
      <c r="H53">
        <f t="shared" si="1"/>
        <v>60</v>
      </c>
      <c r="I53">
        <f>SUM($H$2:H53)</f>
        <v>-6980</v>
      </c>
    </row>
    <row r="54" spans="1:9" x14ac:dyDescent="0.25">
      <c r="A54" s="1">
        <v>44979</v>
      </c>
      <c r="B54">
        <f t="shared" si="0"/>
        <v>3</v>
      </c>
      <c r="C54" t="s">
        <v>8</v>
      </c>
      <c r="D54">
        <f>IF(AND(MONTH(A54)&lt;&gt;MONTH(A53),I53&gt;=3*$S$2),D53+3,D53)</f>
        <v>10</v>
      </c>
      <c r="E54">
        <f>IF(B54&lt;6,ROUNDDOWN(D54*VLOOKUP(C54,$U$1:$V$5,2,FALSE),0)*$S$3,0)</f>
        <v>60</v>
      </c>
      <c r="F54">
        <f t="shared" si="2"/>
        <v>0</v>
      </c>
      <c r="G54">
        <f t="shared" si="3"/>
        <v>0</v>
      </c>
      <c r="H54">
        <f t="shared" si="1"/>
        <v>60</v>
      </c>
      <c r="I54">
        <f>SUM($H$2:H54)</f>
        <v>-6920</v>
      </c>
    </row>
    <row r="55" spans="1:9" x14ac:dyDescent="0.25">
      <c r="A55" s="1">
        <v>44980</v>
      </c>
      <c r="B55">
        <f t="shared" si="0"/>
        <v>4</v>
      </c>
      <c r="C55" t="s">
        <v>8</v>
      </c>
      <c r="D55">
        <f>IF(AND(MONTH(A55)&lt;&gt;MONTH(A54),I54&gt;=3*$S$2),D54+3,D54)</f>
        <v>10</v>
      </c>
      <c r="E55">
        <f>IF(B55&lt;6,ROUNDDOWN(D55*VLOOKUP(C55,$U$1:$V$5,2,FALSE),0)*$S$3,0)</f>
        <v>60</v>
      </c>
      <c r="F55">
        <f t="shared" si="2"/>
        <v>0</v>
      </c>
      <c r="G55">
        <f t="shared" si="3"/>
        <v>0</v>
      </c>
      <c r="H55">
        <f t="shared" si="1"/>
        <v>60</v>
      </c>
      <c r="I55">
        <f>SUM($H$2:H55)</f>
        <v>-6860</v>
      </c>
    </row>
    <row r="56" spans="1:9" x14ac:dyDescent="0.25">
      <c r="A56" s="1">
        <v>44981</v>
      </c>
      <c r="B56">
        <f t="shared" si="0"/>
        <v>5</v>
      </c>
      <c r="C56" t="s">
        <v>8</v>
      </c>
      <c r="D56">
        <f>IF(AND(MONTH(A56)&lt;&gt;MONTH(A55),I55&gt;=3*$S$2),D55+3,D55)</f>
        <v>10</v>
      </c>
      <c r="E56">
        <f>IF(B56&lt;6,ROUNDDOWN(D56*VLOOKUP(C56,$U$1:$V$5,2,FALSE),0)*$S$3,0)</f>
        <v>60</v>
      </c>
      <c r="F56">
        <f t="shared" si="2"/>
        <v>0</v>
      </c>
      <c r="G56">
        <f t="shared" si="3"/>
        <v>0</v>
      </c>
      <c r="H56">
        <f t="shared" si="1"/>
        <v>60</v>
      </c>
      <c r="I56">
        <f>SUM($H$2:H56)</f>
        <v>-6800</v>
      </c>
    </row>
    <row r="57" spans="1:9" x14ac:dyDescent="0.25">
      <c r="A57" s="1">
        <v>44982</v>
      </c>
      <c r="B57">
        <f t="shared" si="0"/>
        <v>6</v>
      </c>
      <c r="C57" t="s">
        <v>8</v>
      </c>
      <c r="D57">
        <f>IF(AND(MONTH(A57)&lt;&gt;MONTH(A56),I56&gt;=3*$S$2),D56+3,D56)</f>
        <v>10</v>
      </c>
      <c r="E57">
        <f>IF(B57&lt;6,ROUNDDOWN(D57*VLOOKUP(C57,$U$1:$V$5,2,FALSE),0)*$S$3,0)</f>
        <v>0</v>
      </c>
      <c r="F57">
        <f t="shared" si="2"/>
        <v>0</v>
      </c>
      <c r="G57">
        <f t="shared" si="3"/>
        <v>0</v>
      </c>
      <c r="H57">
        <f t="shared" si="1"/>
        <v>0</v>
      </c>
      <c r="I57">
        <f>SUM($H$2:H57)</f>
        <v>-6800</v>
      </c>
    </row>
    <row r="58" spans="1:9" x14ac:dyDescent="0.25">
      <c r="A58" s="1">
        <v>44983</v>
      </c>
      <c r="B58">
        <f t="shared" si="0"/>
        <v>7</v>
      </c>
      <c r="C58" t="s">
        <v>8</v>
      </c>
      <c r="D58">
        <f>IF(AND(MONTH(A58)&lt;&gt;MONTH(A57),I57&gt;=3*$S$2),D57+3,D57)</f>
        <v>10</v>
      </c>
      <c r="E58">
        <f>IF(B58&lt;6,ROUNDDOWN(D58*VLOOKUP(C58,$U$1:$V$5,2,FALSE),0)*$S$3,0)</f>
        <v>0</v>
      </c>
      <c r="F58">
        <f t="shared" si="2"/>
        <v>150</v>
      </c>
      <c r="G58">
        <f t="shared" si="3"/>
        <v>0</v>
      </c>
      <c r="H58">
        <f t="shared" si="1"/>
        <v>-150</v>
      </c>
      <c r="I58">
        <f>SUM($H$2:H58)</f>
        <v>-6950</v>
      </c>
    </row>
    <row r="59" spans="1:9" x14ac:dyDescent="0.25">
      <c r="A59" s="1">
        <v>44984</v>
      </c>
      <c r="B59">
        <f t="shared" si="0"/>
        <v>1</v>
      </c>
      <c r="C59" t="s">
        <v>8</v>
      </c>
      <c r="D59">
        <f>IF(AND(MONTH(A59)&lt;&gt;MONTH(A58),I58&gt;=3*$S$2),D58+3,D58)</f>
        <v>10</v>
      </c>
      <c r="E59">
        <f>IF(B59&lt;6,ROUNDDOWN(D59*VLOOKUP(C59,$U$1:$V$5,2,FALSE),0)*$S$3,0)</f>
        <v>60</v>
      </c>
      <c r="F59">
        <f t="shared" si="2"/>
        <v>0</v>
      </c>
      <c r="G59">
        <f t="shared" si="3"/>
        <v>0</v>
      </c>
      <c r="H59">
        <f t="shared" si="1"/>
        <v>60</v>
      </c>
      <c r="I59">
        <f>SUM($H$2:H59)</f>
        <v>-6890</v>
      </c>
    </row>
    <row r="60" spans="1:9" x14ac:dyDescent="0.25">
      <c r="A60" s="1">
        <v>44985</v>
      </c>
      <c r="B60">
        <f t="shared" si="0"/>
        <v>2</v>
      </c>
      <c r="C60" t="s">
        <v>8</v>
      </c>
      <c r="D60">
        <f>IF(AND(MONTH(A60)&lt;&gt;MONTH(A59),I59&gt;=3*$S$2),D59+3,D59)</f>
        <v>10</v>
      </c>
      <c r="E60">
        <f>IF(B60&lt;6,ROUNDDOWN(D60*VLOOKUP(C60,$U$1:$V$5,2,FALSE),0)*$S$3,0)</f>
        <v>60</v>
      </c>
      <c r="F60">
        <f t="shared" si="2"/>
        <v>0</v>
      </c>
      <c r="G60">
        <f t="shared" si="3"/>
        <v>0</v>
      </c>
      <c r="H60">
        <f t="shared" si="1"/>
        <v>60</v>
      </c>
      <c r="I60">
        <f>SUM($H$2:H60)</f>
        <v>-6830</v>
      </c>
    </row>
    <row r="61" spans="1:9" x14ac:dyDescent="0.25">
      <c r="A61" s="1">
        <v>44986</v>
      </c>
      <c r="B61">
        <f t="shared" si="0"/>
        <v>3</v>
      </c>
      <c r="C61" t="s">
        <v>8</v>
      </c>
      <c r="D61">
        <f>IF(AND(MONTH(A61)&lt;&gt;MONTH(A60),I60&gt;=3*$S$2),D60+3,D60)</f>
        <v>10</v>
      </c>
      <c r="E61">
        <f>IF(B61&lt;6,ROUNDDOWN(D61*VLOOKUP(C61,$U$1:$V$5,2,FALSE),0)*$S$3,0)</f>
        <v>60</v>
      </c>
      <c r="F61">
        <f t="shared" si="2"/>
        <v>0</v>
      </c>
      <c r="G61">
        <f t="shared" si="3"/>
        <v>0</v>
      </c>
      <c r="H61">
        <f t="shared" si="1"/>
        <v>60</v>
      </c>
      <c r="I61">
        <f>SUM($H$2:H61)</f>
        <v>-6770</v>
      </c>
    </row>
    <row r="62" spans="1:9" x14ac:dyDescent="0.25">
      <c r="A62" s="1">
        <v>44987</v>
      </c>
      <c r="B62">
        <f t="shared" si="0"/>
        <v>4</v>
      </c>
      <c r="C62" t="s">
        <v>8</v>
      </c>
      <c r="D62">
        <f>IF(AND(MONTH(A62)&lt;&gt;MONTH(A61),I61&gt;=3*$S$2),D61+3,D61)</f>
        <v>10</v>
      </c>
      <c r="E62">
        <f>IF(B62&lt;6,ROUNDDOWN(D62*VLOOKUP(C62,$U$1:$V$5,2,FALSE),0)*$S$3,0)</f>
        <v>60</v>
      </c>
      <c r="F62">
        <f t="shared" si="2"/>
        <v>0</v>
      </c>
      <c r="G62">
        <f t="shared" si="3"/>
        <v>0</v>
      </c>
      <c r="H62">
        <f t="shared" si="1"/>
        <v>60</v>
      </c>
      <c r="I62">
        <f>SUM($H$2:H62)</f>
        <v>-6710</v>
      </c>
    </row>
    <row r="63" spans="1:9" x14ac:dyDescent="0.25">
      <c r="A63" s="1">
        <v>44988</v>
      </c>
      <c r="B63">
        <f t="shared" si="0"/>
        <v>5</v>
      </c>
      <c r="C63" t="s">
        <v>8</v>
      </c>
      <c r="D63">
        <f>IF(AND(MONTH(A63)&lt;&gt;MONTH(A62),I62&gt;=3*$S$2),D62+3,D62)</f>
        <v>10</v>
      </c>
      <c r="E63">
        <f>IF(B63&lt;6,ROUNDDOWN(D63*VLOOKUP(C63,$U$1:$V$5,2,FALSE),0)*$S$3,0)</f>
        <v>60</v>
      </c>
      <c r="F63">
        <f t="shared" si="2"/>
        <v>0</v>
      </c>
      <c r="G63">
        <f t="shared" si="3"/>
        <v>0</v>
      </c>
      <c r="H63">
        <f t="shared" si="1"/>
        <v>60</v>
      </c>
      <c r="I63">
        <f>SUM($H$2:H63)</f>
        <v>-6650</v>
      </c>
    </row>
    <row r="64" spans="1:9" x14ac:dyDescent="0.25">
      <c r="A64" s="1">
        <v>44989</v>
      </c>
      <c r="B64">
        <f t="shared" si="0"/>
        <v>6</v>
      </c>
      <c r="C64" t="s">
        <v>8</v>
      </c>
      <c r="D64">
        <f>IF(AND(MONTH(A64)&lt;&gt;MONTH(A63),I63&gt;=3*$S$2),D63+3,D63)</f>
        <v>10</v>
      </c>
      <c r="E64">
        <f>IF(B64&lt;6,ROUNDDOWN(D64*VLOOKUP(C64,$U$1:$V$5,2,FALSE),0)*$S$3,0)</f>
        <v>0</v>
      </c>
      <c r="F64">
        <f t="shared" si="2"/>
        <v>0</v>
      </c>
      <c r="G64">
        <f t="shared" si="3"/>
        <v>0</v>
      </c>
      <c r="H64">
        <f t="shared" si="1"/>
        <v>0</v>
      </c>
      <c r="I64">
        <f>SUM($H$2:H64)</f>
        <v>-6650</v>
      </c>
    </row>
    <row r="65" spans="1:9" x14ac:dyDescent="0.25">
      <c r="A65" s="1">
        <v>44990</v>
      </c>
      <c r="B65">
        <f t="shared" si="0"/>
        <v>7</v>
      </c>
      <c r="C65" t="s">
        <v>8</v>
      </c>
      <c r="D65">
        <f>IF(AND(MONTH(A65)&lt;&gt;MONTH(A64),I64&gt;=3*$S$2),D64+3,D64)</f>
        <v>10</v>
      </c>
      <c r="E65">
        <f>IF(B65&lt;6,ROUNDDOWN(D65*VLOOKUP(C65,$U$1:$V$5,2,FALSE),0)*$S$3,0)</f>
        <v>0</v>
      </c>
      <c r="F65">
        <f t="shared" si="2"/>
        <v>150</v>
      </c>
      <c r="G65">
        <f t="shared" si="3"/>
        <v>0</v>
      </c>
      <c r="H65">
        <f t="shared" si="1"/>
        <v>-150</v>
      </c>
      <c r="I65">
        <f>SUM($H$2:H65)</f>
        <v>-6800</v>
      </c>
    </row>
    <row r="66" spans="1:9" x14ac:dyDescent="0.25">
      <c r="A66" s="1">
        <v>44991</v>
      </c>
      <c r="B66">
        <f t="shared" si="0"/>
        <v>1</v>
      </c>
      <c r="C66" t="s">
        <v>8</v>
      </c>
      <c r="D66">
        <f>IF(AND(MONTH(A66)&lt;&gt;MONTH(A65),I65&gt;=3*$S$2),D65+3,D65)</f>
        <v>10</v>
      </c>
      <c r="E66">
        <f>IF(B66&lt;6,ROUNDDOWN(D66*VLOOKUP(C66,$U$1:$V$5,2,FALSE),0)*$S$3,0)</f>
        <v>60</v>
      </c>
      <c r="F66">
        <f t="shared" si="2"/>
        <v>0</v>
      </c>
      <c r="G66">
        <f t="shared" si="3"/>
        <v>0</v>
      </c>
      <c r="H66">
        <f t="shared" si="1"/>
        <v>60</v>
      </c>
      <c r="I66">
        <f>SUM($H$2:H66)</f>
        <v>-6740</v>
      </c>
    </row>
    <row r="67" spans="1:9" x14ac:dyDescent="0.25">
      <c r="A67" s="1">
        <v>44992</v>
      </c>
      <c r="B67">
        <f t="shared" ref="B67:B130" si="4">WEEKDAY(A67,2)</f>
        <v>2</v>
      </c>
      <c r="C67" t="s">
        <v>8</v>
      </c>
      <c r="D67">
        <f>IF(AND(MONTH(A67)&lt;&gt;MONTH(A66),I66&gt;=3*$S$2),D66+3,D66)</f>
        <v>10</v>
      </c>
      <c r="E67">
        <f>IF(B67&lt;6,ROUNDDOWN(D67*VLOOKUP(C67,$U$1:$V$5,2,FALSE),0)*$S$3,0)</f>
        <v>60</v>
      </c>
      <c r="F67">
        <f t="shared" si="2"/>
        <v>0</v>
      </c>
      <c r="G67">
        <f t="shared" si="3"/>
        <v>0</v>
      </c>
      <c r="H67">
        <f t="shared" ref="H67:H130" si="5">E67-F67-G67</f>
        <v>60</v>
      </c>
      <c r="I67">
        <f>SUM($H$2:H67)</f>
        <v>-6680</v>
      </c>
    </row>
    <row r="68" spans="1:9" x14ac:dyDescent="0.25">
      <c r="A68" s="1">
        <v>44993</v>
      </c>
      <c r="B68">
        <f t="shared" si="4"/>
        <v>3</v>
      </c>
      <c r="C68" t="s">
        <v>8</v>
      </c>
      <c r="D68">
        <f>IF(AND(MONTH(A68)&lt;&gt;MONTH(A67),I67&gt;=3*$S$2),D67+3,D67)</f>
        <v>10</v>
      </c>
      <c r="E68">
        <f>IF(B68&lt;6,ROUNDDOWN(D68*VLOOKUP(C68,$U$1:$V$5,2,FALSE),0)*$S$3,0)</f>
        <v>60</v>
      </c>
      <c r="F68">
        <f t="shared" ref="F68:F131" si="6">IF(B68=7,$S$4*D68,0)</f>
        <v>0</v>
      </c>
      <c r="G68">
        <f t="shared" ref="G68:G131" si="7">IF(D68&gt;D67,3*$S$2,0)</f>
        <v>0</v>
      </c>
      <c r="H68">
        <f t="shared" si="5"/>
        <v>60</v>
      </c>
      <c r="I68">
        <f>SUM($H$2:H68)</f>
        <v>-6620</v>
      </c>
    </row>
    <row r="69" spans="1:9" x14ac:dyDescent="0.25">
      <c r="A69" s="1">
        <v>44994</v>
      </c>
      <c r="B69">
        <f t="shared" si="4"/>
        <v>4</v>
      </c>
      <c r="C69" t="s">
        <v>8</v>
      </c>
      <c r="D69">
        <f>IF(AND(MONTH(A69)&lt;&gt;MONTH(A68),I68&gt;=3*$S$2),D68+3,D68)</f>
        <v>10</v>
      </c>
      <c r="E69">
        <f>IF(B69&lt;6,ROUNDDOWN(D69*VLOOKUP(C69,$U$1:$V$5,2,FALSE),0)*$S$3,0)</f>
        <v>60</v>
      </c>
      <c r="F69">
        <f t="shared" si="6"/>
        <v>0</v>
      </c>
      <c r="G69">
        <f t="shared" si="7"/>
        <v>0</v>
      </c>
      <c r="H69">
        <f t="shared" si="5"/>
        <v>60</v>
      </c>
      <c r="I69">
        <f>SUM($H$2:H69)</f>
        <v>-6560</v>
      </c>
    </row>
    <row r="70" spans="1:9" x14ac:dyDescent="0.25">
      <c r="A70" s="1">
        <v>44995</v>
      </c>
      <c r="B70">
        <f t="shared" si="4"/>
        <v>5</v>
      </c>
      <c r="C70" t="s">
        <v>8</v>
      </c>
      <c r="D70">
        <f>IF(AND(MONTH(A70)&lt;&gt;MONTH(A69),I69&gt;=3*$S$2),D69+3,D69)</f>
        <v>10</v>
      </c>
      <c r="E70">
        <f>IF(B70&lt;6,ROUNDDOWN(D70*VLOOKUP(C70,$U$1:$V$5,2,FALSE),0)*$S$3,0)</f>
        <v>60</v>
      </c>
      <c r="F70">
        <f t="shared" si="6"/>
        <v>0</v>
      </c>
      <c r="G70">
        <f t="shared" si="7"/>
        <v>0</v>
      </c>
      <c r="H70">
        <f t="shared" si="5"/>
        <v>60</v>
      </c>
      <c r="I70">
        <f>SUM($H$2:H70)</f>
        <v>-6500</v>
      </c>
    </row>
    <row r="71" spans="1:9" x14ac:dyDescent="0.25">
      <c r="A71" s="1">
        <v>44996</v>
      </c>
      <c r="B71">
        <f t="shared" si="4"/>
        <v>6</v>
      </c>
      <c r="C71" t="s">
        <v>8</v>
      </c>
      <c r="D71">
        <f>IF(AND(MONTH(A71)&lt;&gt;MONTH(A70),I70&gt;=3*$S$2),D70+3,D70)</f>
        <v>10</v>
      </c>
      <c r="E71">
        <f>IF(B71&lt;6,ROUNDDOWN(D71*VLOOKUP(C71,$U$1:$V$5,2,FALSE),0)*$S$3,0)</f>
        <v>0</v>
      </c>
      <c r="F71">
        <f t="shared" si="6"/>
        <v>0</v>
      </c>
      <c r="G71">
        <f t="shared" si="7"/>
        <v>0</v>
      </c>
      <c r="H71">
        <f t="shared" si="5"/>
        <v>0</v>
      </c>
      <c r="I71">
        <f>SUM($H$2:H71)</f>
        <v>-6500</v>
      </c>
    </row>
    <row r="72" spans="1:9" x14ac:dyDescent="0.25">
      <c r="A72" s="1">
        <v>44997</v>
      </c>
      <c r="B72">
        <f t="shared" si="4"/>
        <v>7</v>
      </c>
      <c r="C72" t="s">
        <v>8</v>
      </c>
      <c r="D72">
        <f>IF(AND(MONTH(A72)&lt;&gt;MONTH(A71),I71&gt;=3*$S$2),D71+3,D71)</f>
        <v>10</v>
      </c>
      <c r="E72">
        <f>IF(B72&lt;6,ROUNDDOWN(D72*VLOOKUP(C72,$U$1:$V$5,2,FALSE),0)*$S$3,0)</f>
        <v>0</v>
      </c>
      <c r="F72">
        <f t="shared" si="6"/>
        <v>150</v>
      </c>
      <c r="G72">
        <f t="shared" si="7"/>
        <v>0</v>
      </c>
      <c r="H72">
        <f t="shared" si="5"/>
        <v>-150</v>
      </c>
      <c r="I72">
        <f>SUM($H$2:H72)</f>
        <v>-6650</v>
      </c>
    </row>
    <row r="73" spans="1:9" x14ac:dyDescent="0.25">
      <c r="A73" s="1">
        <v>44998</v>
      </c>
      <c r="B73">
        <f t="shared" si="4"/>
        <v>1</v>
      </c>
      <c r="C73" t="s">
        <v>8</v>
      </c>
      <c r="D73">
        <f>IF(AND(MONTH(A73)&lt;&gt;MONTH(A72),I72&gt;=3*$S$2),D72+3,D72)</f>
        <v>10</v>
      </c>
      <c r="E73">
        <f>IF(B73&lt;6,ROUNDDOWN(D73*VLOOKUP(C73,$U$1:$V$5,2,FALSE),0)*$S$3,0)</f>
        <v>60</v>
      </c>
      <c r="F73">
        <f t="shared" si="6"/>
        <v>0</v>
      </c>
      <c r="G73">
        <f t="shared" si="7"/>
        <v>0</v>
      </c>
      <c r="H73">
        <f t="shared" si="5"/>
        <v>60</v>
      </c>
      <c r="I73">
        <f>SUM($H$2:H73)</f>
        <v>-6590</v>
      </c>
    </row>
    <row r="74" spans="1:9" x14ac:dyDescent="0.25">
      <c r="A74" s="1">
        <v>44999</v>
      </c>
      <c r="B74">
        <f t="shared" si="4"/>
        <v>2</v>
      </c>
      <c r="C74" t="s">
        <v>8</v>
      </c>
      <c r="D74">
        <f>IF(AND(MONTH(A74)&lt;&gt;MONTH(A73),I73&gt;=3*$S$2),D73+3,D73)</f>
        <v>10</v>
      </c>
      <c r="E74">
        <f>IF(B74&lt;6,ROUNDDOWN(D74*VLOOKUP(C74,$U$1:$V$5,2,FALSE),0)*$S$3,0)</f>
        <v>60</v>
      </c>
      <c r="F74">
        <f t="shared" si="6"/>
        <v>0</v>
      </c>
      <c r="G74">
        <f t="shared" si="7"/>
        <v>0</v>
      </c>
      <c r="H74">
        <f t="shared" si="5"/>
        <v>60</v>
      </c>
      <c r="I74">
        <f>SUM($H$2:H74)</f>
        <v>-6530</v>
      </c>
    </row>
    <row r="75" spans="1:9" x14ac:dyDescent="0.25">
      <c r="A75" s="1">
        <v>45000</v>
      </c>
      <c r="B75">
        <f t="shared" si="4"/>
        <v>3</v>
      </c>
      <c r="C75" t="s">
        <v>8</v>
      </c>
      <c r="D75">
        <f>IF(AND(MONTH(A75)&lt;&gt;MONTH(A74),I74&gt;=3*$S$2),D74+3,D74)</f>
        <v>10</v>
      </c>
      <c r="E75">
        <f>IF(B75&lt;6,ROUNDDOWN(D75*VLOOKUP(C75,$U$1:$V$5,2,FALSE),0)*$S$3,0)</f>
        <v>60</v>
      </c>
      <c r="F75">
        <f t="shared" si="6"/>
        <v>0</v>
      </c>
      <c r="G75">
        <f t="shared" si="7"/>
        <v>0</v>
      </c>
      <c r="H75">
        <f t="shared" si="5"/>
        <v>60</v>
      </c>
      <c r="I75">
        <f>SUM($H$2:H75)</f>
        <v>-6470</v>
      </c>
    </row>
    <row r="76" spans="1:9" x14ac:dyDescent="0.25">
      <c r="A76" s="1">
        <v>45001</v>
      </c>
      <c r="B76">
        <f t="shared" si="4"/>
        <v>4</v>
      </c>
      <c r="C76" t="s">
        <v>8</v>
      </c>
      <c r="D76">
        <f>IF(AND(MONTH(A76)&lt;&gt;MONTH(A75),I75&gt;=3*$S$2),D75+3,D75)</f>
        <v>10</v>
      </c>
      <c r="E76">
        <f>IF(B76&lt;6,ROUNDDOWN(D76*VLOOKUP(C76,$U$1:$V$5,2,FALSE),0)*$S$3,0)</f>
        <v>60</v>
      </c>
      <c r="F76">
        <f t="shared" si="6"/>
        <v>0</v>
      </c>
      <c r="G76">
        <f t="shared" si="7"/>
        <v>0</v>
      </c>
      <c r="H76">
        <f t="shared" si="5"/>
        <v>60</v>
      </c>
      <c r="I76">
        <f>SUM($H$2:H76)</f>
        <v>-6410</v>
      </c>
    </row>
    <row r="77" spans="1:9" x14ac:dyDescent="0.25">
      <c r="A77" s="1">
        <v>45002</v>
      </c>
      <c r="B77">
        <f t="shared" si="4"/>
        <v>5</v>
      </c>
      <c r="C77" t="s">
        <v>8</v>
      </c>
      <c r="D77">
        <f>IF(AND(MONTH(A77)&lt;&gt;MONTH(A76),I76&gt;=3*$S$2),D76+3,D76)</f>
        <v>10</v>
      </c>
      <c r="E77">
        <f>IF(B77&lt;6,ROUNDDOWN(D77*VLOOKUP(C77,$U$1:$V$5,2,FALSE),0)*$S$3,0)</f>
        <v>60</v>
      </c>
      <c r="F77">
        <f t="shared" si="6"/>
        <v>0</v>
      </c>
      <c r="G77">
        <f t="shared" si="7"/>
        <v>0</v>
      </c>
      <c r="H77">
        <f t="shared" si="5"/>
        <v>60</v>
      </c>
      <c r="I77">
        <f>SUM($H$2:H77)</f>
        <v>-6350</v>
      </c>
    </row>
    <row r="78" spans="1:9" x14ac:dyDescent="0.25">
      <c r="A78" s="1">
        <v>45003</v>
      </c>
      <c r="B78">
        <f t="shared" si="4"/>
        <v>6</v>
      </c>
      <c r="C78" t="s">
        <v>8</v>
      </c>
      <c r="D78">
        <f>IF(AND(MONTH(A78)&lt;&gt;MONTH(A77),I77&gt;=3*$S$2),D77+3,D77)</f>
        <v>10</v>
      </c>
      <c r="E78">
        <f>IF(B78&lt;6,ROUNDDOWN(D78*VLOOKUP(C78,$U$1:$V$5,2,FALSE),0)*$S$3,0)</f>
        <v>0</v>
      </c>
      <c r="F78">
        <f t="shared" si="6"/>
        <v>0</v>
      </c>
      <c r="G78">
        <f t="shared" si="7"/>
        <v>0</v>
      </c>
      <c r="H78">
        <f t="shared" si="5"/>
        <v>0</v>
      </c>
      <c r="I78">
        <f>SUM($H$2:H78)</f>
        <v>-6350</v>
      </c>
    </row>
    <row r="79" spans="1:9" x14ac:dyDescent="0.25">
      <c r="A79" s="1">
        <v>45004</v>
      </c>
      <c r="B79">
        <f t="shared" si="4"/>
        <v>7</v>
      </c>
      <c r="C79" t="s">
        <v>8</v>
      </c>
      <c r="D79">
        <f>IF(AND(MONTH(A79)&lt;&gt;MONTH(A78),I78&gt;=3*$S$2),D78+3,D78)</f>
        <v>10</v>
      </c>
      <c r="E79">
        <f>IF(B79&lt;6,ROUNDDOWN(D79*VLOOKUP(C79,$U$1:$V$5,2,FALSE),0)*$S$3,0)</f>
        <v>0</v>
      </c>
      <c r="F79">
        <f t="shared" si="6"/>
        <v>150</v>
      </c>
      <c r="G79">
        <f t="shared" si="7"/>
        <v>0</v>
      </c>
      <c r="H79">
        <f t="shared" si="5"/>
        <v>-150</v>
      </c>
      <c r="I79">
        <f>SUM($H$2:H79)</f>
        <v>-6500</v>
      </c>
    </row>
    <row r="80" spans="1:9" x14ac:dyDescent="0.25">
      <c r="A80" s="1">
        <v>45005</v>
      </c>
      <c r="B80">
        <f t="shared" si="4"/>
        <v>1</v>
      </c>
      <c r="C80" t="s">
        <v>8</v>
      </c>
      <c r="D80">
        <f>IF(AND(MONTH(A80)&lt;&gt;MONTH(A79),I79&gt;=3*$S$2),D79+3,D79)</f>
        <v>10</v>
      </c>
      <c r="E80">
        <f>IF(B80&lt;6,ROUNDDOWN(D80*VLOOKUP(C80,$U$1:$V$5,2,FALSE),0)*$S$3,0)</f>
        <v>60</v>
      </c>
      <c r="F80">
        <f t="shared" si="6"/>
        <v>0</v>
      </c>
      <c r="G80">
        <f t="shared" si="7"/>
        <v>0</v>
      </c>
      <c r="H80">
        <f t="shared" si="5"/>
        <v>60</v>
      </c>
      <c r="I80">
        <f>SUM($H$2:H80)</f>
        <v>-6440</v>
      </c>
    </row>
    <row r="81" spans="1:9" x14ac:dyDescent="0.25">
      <c r="A81" s="1">
        <v>45006</v>
      </c>
      <c r="B81">
        <f t="shared" si="4"/>
        <v>2</v>
      </c>
      <c r="C81" t="s">
        <v>9</v>
      </c>
      <c r="D81">
        <f>IF(AND(MONTH(A81)&lt;&gt;MONTH(A80),I80&gt;=3*$S$2),D80+3,D80)</f>
        <v>10</v>
      </c>
      <c r="E81">
        <f>IF(B81&lt;6,ROUNDDOWN(D81*VLOOKUP(C81,$U$1:$V$5,2,FALSE),0)*$S$3,0)</f>
        <v>150</v>
      </c>
      <c r="F81">
        <f t="shared" si="6"/>
        <v>0</v>
      </c>
      <c r="G81">
        <f t="shared" si="7"/>
        <v>0</v>
      </c>
      <c r="H81">
        <f t="shared" si="5"/>
        <v>150</v>
      </c>
      <c r="I81">
        <f>SUM($H$2:H81)</f>
        <v>-6290</v>
      </c>
    </row>
    <row r="82" spans="1:9" x14ac:dyDescent="0.25">
      <c r="A82" s="1">
        <v>45007</v>
      </c>
      <c r="B82">
        <f t="shared" si="4"/>
        <v>3</v>
      </c>
      <c r="C82" t="s">
        <v>9</v>
      </c>
      <c r="D82">
        <f>IF(AND(MONTH(A82)&lt;&gt;MONTH(A81),I81&gt;=3*$S$2),D81+3,D81)</f>
        <v>10</v>
      </c>
      <c r="E82">
        <f>IF(B82&lt;6,ROUNDDOWN(D82*VLOOKUP(C82,$U$1:$V$5,2,FALSE),0)*$S$3,0)</f>
        <v>150</v>
      </c>
      <c r="F82">
        <f t="shared" si="6"/>
        <v>0</v>
      </c>
      <c r="G82">
        <f t="shared" si="7"/>
        <v>0</v>
      </c>
      <c r="H82">
        <f t="shared" si="5"/>
        <v>150</v>
      </c>
      <c r="I82">
        <f>SUM($H$2:H82)</f>
        <v>-6140</v>
      </c>
    </row>
    <row r="83" spans="1:9" x14ac:dyDescent="0.25">
      <c r="A83" s="1">
        <v>45008</v>
      </c>
      <c r="B83">
        <f t="shared" si="4"/>
        <v>4</v>
      </c>
      <c r="C83" t="s">
        <v>9</v>
      </c>
      <c r="D83">
        <f>IF(AND(MONTH(A83)&lt;&gt;MONTH(A82),I82&gt;=3*$S$2),D82+3,D82)</f>
        <v>10</v>
      </c>
      <c r="E83">
        <f>IF(B83&lt;6,ROUNDDOWN(D83*VLOOKUP(C83,$U$1:$V$5,2,FALSE),0)*$S$3,0)</f>
        <v>150</v>
      </c>
      <c r="F83">
        <f t="shared" si="6"/>
        <v>0</v>
      </c>
      <c r="G83">
        <f t="shared" si="7"/>
        <v>0</v>
      </c>
      <c r="H83">
        <f t="shared" si="5"/>
        <v>150</v>
      </c>
      <c r="I83">
        <f>SUM($H$2:H83)</f>
        <v>-5990</v>
      </c>
    </row>
    <row r="84" spans="1:9" x14ac:dyDescent="0.25">
      <c r="A84" s="1">
        <v>45009</v>
      </c>
      <c r="B84">
        <f t="shared" si="4"/>
        <v>5</v>
      </c>
      <c r="C84" t="s">
        <v>9</v>
      </c>
      <c r="D84">
        <f>IF(AND(MONTH(A84)&lt;&gt;MONTH(A83),I83&gt;=3*$S$2),D83+3,D83)</f>
        <v>10</v>
      </c>
      <c r="E84">
        <f>IF(B84&lt;6,ROUNDDOWN(D84*VLOOKUP(C84,$U$1:$V$5,2,FALSE),0)*$S$3,0)</f>
        <v>150</v>
      </c>
      <c r="F84">
        <f t="shared" si="6"/>
        <v>0</v>
      </c>
      <c r="G84">
        <f t="shared" si="7"/>
        <v>0</v>
      </c>
      <c r="H84">
        <f t="shared" si="5"/>
        <v>150</v>
      </c>
      <c r="I84">
        <f>SUM($H$2:H84)</f>
        <v>-5840</v>
      </c>
    </row>
    <row r="85" spans="1:9" x14ac:dyDescent="0.25">
      <c r="A85" s="1">
        <v>45010</v>
      </c>
      <c r="B85">
        <f t="shared" si="4"/>
        <v>6</v>
      </c>
      <c r="C85" t="s">
        <v>9</v>
      </c>
      <c r="D85">
        <f>IF(AND(MONTH(A85)&lt;&gt;MONTH(A84),I84&gt;=3*$S$2),D84+3,D84)</f>
        <v>10</v>
      </c>
      <c r="E85">
        <f>IF(B85&lt;6,ROUNDDOWN(D85*VLOOKUP(C85,$U$1:$V$5,2,FALSE),0)*$S$3,0)</f>
        <v>0</v>
      </c>
      <c r="F85">
        <f t="shared" si="6"/>
        <v>0</v>
      </c>
      <c r="G85">
        <f t="shared" si="7"/>
        <v>0</v>
      </c>
      <c r="H85">
        <f t="shared" si="5"/>
        <v>0</v>
      </c>
      <c r="I85">
        <f>SUM($H$2:H85)</f>
        <v>-5840</v>
      </c>
    </row>
    <row r="86" spans="1:9" x14ac:dyDescent="0.25">
      <c r="A86" s="1">
        <v>45011</v>
      </c>
      <c r="B86">
        <f t="shared" si="4"/>
        <v>7</v>
      </c>
      <c r="C86" t="s">
        <v>9</v>
      </c>
      <c r="D86">
        <f>IF(AND(MONTH(A86)&lt;&gt;MONTH(A85),I85&gt;=3*$S$2),D85+3,D85)</f>
        <v>10</v>
      </c>
      <c r="E86">
        <f>IF(B86&lt;6,ROUNDDOWN(D86*VLOOKUP(C86,$U$1:$V$5,2,FALSE),0)*$S$3,0)</f>
        <v>0</v>
      </c>
      <c r="F86">
        <f t="shared" si="6"/>
        <v>150</v>
      </c>
      <c r="G86">
        <f t="shared" si="7"/>
        <v>0</v>
      </c>
      <c r="H86">
        <f t="shared" si="5"/>
        <v>-150</v>
      </c>
      <c r="I86">
        <f>SUM($H$2:H86)</f>
        <v>-5990</v>
      </c>
    </row>
    <row r="87" spans="1:9" x14ac:dyDescent="0.25">
      <c r="A87" s="1">
        <v>45012</v>
      </c>
      <c r="B87">
        <f t="shared" si="4"/>
        <v>1</v>
      </c>
      <c r="C87" t="s">
        <v>9</v>
      </c>
      <c r="D87">
        <f>IF(AND(MONTH(A87)&lt;&gt;MONTH(A86),I86&gt;=3*$S$2),D86+3,D86)</f>
        <v>10</v>
      </c>
      <c r="E87">
        <f>IF(B87&lt;6,ROUNDDOWN(D87*VLOOKUP(C87,$U$1:$V$5,2,FALSE),0)*$S$3,0)</f>
        <v>150</v>
      </c>
      <c r="F87">
        <f t="shared" si="6"/>
        <v>0</v>
      </c>
      <c r="G87">
        <f t="shared" si="7"/>
        <v>0</v>
      </c>
      <c r="H87">
        <f t="shared" si="5"/>
        <v>150</v>
      </c>
      <c r="I87">
        <f>SUM($H$2:H87)</f>
        <v>-5840</v>
      </c>
    </row>
    <row r="88" spans="1:9" x14ac:dyDescent="0.25">
      <c r="A88" s="1">
        <v>45013</v>
      </c>
      <c r="B88">
        <f t="shared" si="4"/>
        <v>2</v>
      </c>
      <c r="C88" t="s">
        <v>9</v>
      </c>
      <c r="D88">
        <f>IF(AND(MONTH(A88)&lt;&gt;MONTH(A87),I87&gt;=3*$S$2),D87+3,D87)</f>
        <v>10</v>
      </c>
      <c r="E88">
        <f>IF(B88&lt;6,ROUNDDOWN(D88*VLOOKUP(C88,$U$1:$V$5,2,FALSE),0)*$S$3,0)</f>
        <v>150</v>
      </c>
      <c r="F88">
        <f t="shared" si="6"/>
        <v>0</v>
      </c>
      <c r="G88">
        <f t="shared" si="7"/>
        <v>0</v>
      </c>
      <c r="H88">
        <f t="shared" si="5"/>
        <v>150</v>
      </c>
      <c r="I88">
        <f>SUM($H$2:H88)</f>
        <v>-5690</v>
      </c>
    </row>
    <row r="89" spans="1:9" x14ac:dyDescent="0.25">
      <c r="A89" s="1">
        <v>45014</v>
      </c>
      <c r="B89">
        <f t="shared" si="4"/>
        <v>3</v>
      </c>
      <c r="C89" t="s">
        <v>9</v>
      </c>
      <c r="D89">
        <f>IF(AND(MONTH(A89)&lt;&gt;MONTH(A88),I88&gt;=3*$S$2),D88+3,D88)</f>
        <v>10</v>
      </c>
      <c r="E89">
        <f>IF(B89&lt;6,ROUNDDOWN(D89*VLOOKUP(C89,$U$1:$V$5,2,FALSE),0)*$S$3,0)</f>
        <v>150</v>
      </c>
      <c r="F89">
        <f t="shared" si="6"/>
        <v>0</v>
      </c>
      <c r="G89">
        <f t="shared" si="7"/>
        <v>0</v>
      </c>
      <c r="H89">
        <f t="shared" si="5"/>
        <v>150</v>
      </c>
      <c r="I89">
        <f>SUM($H$2:H89)</f>
        <v>-5540</v>
      </c>
    </row>
    <row r="90" spans="1:9" x14ac:dyDescent="0.25">
      <c r="A90" s="1">
        <v>45015</v>
      </c>
      <c r="B90">
        <f t="shared" si="4"/>
        <v>4</v>
      </c>
      <c r="C90" t="s">
        <v>9</v>
      </c>
      <c r="D90">
        <f>IF(AND(MONTH(A90)&lt;&gt;MONTH(A89),I89&gt;=3*$S$2),D89+3,D89)</f>
        <v>10</v>
      </c>
      <c r="E90">
        <f>IF(B90&lt;6,ROUNDDOWN(D90*VLOOKUP(C90,$U$1:$V$5,2,FALSE),0)*$S$3,0)</f>
        <v>150</v>
      </c>
      <c r="F90">
        <f t="shared" si="6"/>
        <v>0</v>
      </c>
      <c r="G90">
        <f t="shared" si="7"/>
        <v>0</v>
      </c>
      <c r="H90">
        <f t="shared" si="5"/>
        <v>150</v>
      </c>
      <c r="I90">
        <f>SUM($H$2:H90)</f>
        <v>-5390</v>
      </c>
    </row>
    <row r="91" spans="1:9" x14ac:dyDescent="0.25">
      <c r="A91" s="1">
        <v>45016</v>
      </c>
      <c r="B91">
        <f t="shared" si="4"/>
        <v>5</v>
      </c>
      <c r="C91" t="s">
        <v>9</v>
      </c>
      <c r="D91">
        <f>IF(AND(MONTH(A91)&lt;&gt;MONTH(A90),I90&gt;=3*$S$2),D90+3,D90)</f>
        <v>10</v>
      </c>
      <c r="E91">
        <f>IF(B91&lt;6,ROUNDDOWN(D91*VLOOKUP(C91,$U$1:$V$5,2,FALSE),0)*$S$3,0)</f>
        <v>150</v>
      </c>
      <c r="F91">
        <f t="shared" si="6"/>
        <v>0</v>
      </c>
      <c r="G91">
        <f t="shared" si="7"/>
        <v>0</v>
      </c>
      <c r="H91">
        <f t="shared" si="5"/>
        <v>150</v>
      </c>
      <c r="I91">
        <f>SUM($H$2:H91)</f>
        <v>-5240</v>
      </c>
    </row>
    <row r="92" spans="1:9" x14ac:dyDescent="0.25">
      <c r="A92" s="1">
        <v>45017</v>
      </c>
      <c r="B92">
        <f t="shared" si="4"/>
        <v>6</v>
      </c>
      <c r="C92" t="s">
        <v>9</v>
      </c>
      <c r="D92">
        <f>IF(AND(MONTH(A92)&lt;&gt;MONTH(A91),I91&gt;=3*$S$2),D91+3,D91)</f>
        <v>10</v>
      </c>
      <c r="E92">
        <f>IF(B92&lt;6,ROUNDDOWN(D92*VLOOKUP(C92,$U$1:$V$5,2,FALSE),0)*$S$3,0)</f>
        <v>0</v>
      </c>
      <c r="F92">
        <f t="shared" si="6"/>
        <v>0</v>
      </c>
      <c r="G92">
        <f t="shared" si="7"/>
        <v>0</v>
      </c>
      <c r="H92">
        <f t="shared" si="5"/>
        <v>0</v>
      </c>
      <c r="I92">
        <f>SUM($H$2:H92)</f>
        <v>-5240</v>
      </c>
    </row>
    <row r="93" spans="1:9" x14ac:dyDescent="0.25">
      <c r="A93" s="1">
        <v>45018</v>
      </c>
      <c r="B93">
        <f t="shared" si="4"/>
        <v>7</v>
      </c>
      <c r="C93" t="s">
        <v>9</v>
      </c>
      <c r="D93">
        <f>IF(AND(MONTH(A93)&lt;&gt;MONTH(A92),I92&gt;=3*$S$2),D92+3,D92)</f>
        <v>10</v>
      </c>
      <c r="E93">
        <f>IF(B93&lt;6,ROUNDDOWN(D93*VLOOKUP(C93,$U$1:$V$5,2,FALSE),0)*$S$3,0)</f>
        <v>0</v>
      </c>
      <c r="F93">
        <f t="shared" si="6"/>
        <v>150</v>
      </c>
      <c r="G93">
        <f t="shared" si="7"/>
        <v>0</v>
      </c>
      <c r="H93">
        <f t="shared" si="5"/>
        <v>-150</v>
      </c>
      <c r="I93">
        <f>SUM($H$2:H93)</f>
        <v>-5390</v>
      </c>
    </row>
    <row r="94" spans="1:9" x14ac:dyDescent="0.25">
      <c r="A94" s="1">
        <v>45019</v>
      </c>
      <c r="B94">
        <f t="shared" si="4"/>
        <v>1</v>
      </c>
      <c r="C94" t="s">
        <v>9</v>
      </c>
      <c r="D94">
        <f>IF(AND(MONTH(A94)&lt;&gt;MONTH(A93),I93&gt;=3*$S$2),D93+3,D93)</f>
        <v>10</v>
      </c>
      <c r="E94">
        <f>IF(B94&lt;6,ROUNDDOWN(D94*VLOOKUP(C94,$U$1:$V$5,2,FALSE),0)*$S$3,0)</f>
        <v>150</v>
      </c>
      <c r="F94">
        <f t="shared" si="6"/>
        <v>0</v>
      </c>
      <c r="G94">
        <f t="shared" si="7"/>
        <v>0</v>
      </c>
      <c r="H94">
        <f t="shared" si="5"/>
        <v>150</v>
      </c>
      <c r="I94">
        <f>SUM($H$2:H94)</f>
        <v>-5240</v>
      </c>
    </row>
    <row r="95" spans="1:9" x14ac:dyDescent="0.25">
      <c r="A95" s="1">
        <v>45020</v>
      </c>
      <c r="B95">
        <f t="shared" si="4"/>
        <v>2</v>
      </c>
      <c r="C95" t="s">
        <v>9</v>
      </c>
      <c r="D95">
        <f>IF(AND(MONTH(A95)&lt;&gt;MONTH(A94),I94&gt;=3*$S$2),D94+3,D94)</f>
        <v>10</v>
      </c>
      <c r="E95">
        <f>IF(B95&lt;6,ROUNDDOWN(D95*VLOOKUP(C95,$U$1:$V$5,2,FALSE),0)*$S$3,0)</f>
        <v>150</v>
      </c>
      <c r="F95">
        <f t="shared" si="6"/>
        <v>0</v>
      </c>
      <c r="G95">
        <f t="shared" si="7"/>
        <v>0</v>
      </c>
      <c r="H95">
        <f t="shared" si="5"/>
        <v>150</v>
      </c>
      <c r="I95">
        <f>SUM($H$2:H95)</f>
        <v>-5090</v>
      </c>
    </row>
    <row r="96" spans="1:9" x14ac:dyDescent="0.25">
      <c r="A96" s="1">
        <v>45021</v>
      </c>
      <c r="B96">
        <f t="shared" si="4"/>
        <v>3</v>
      </c>
      <c r="C96" t="s">
        <v>9</v>
      </c>
      <c r="D96">
        <f>IF(AND(MONTH(A96)&lt;&gt;MONTH(A95),I95&gt;=3*$S$2),D95+3,D95)</f>
        <v>10</v>
      </c>
      <c r="E96">
        <f>IF(B96&lt;6,ROUNDDOWN(D96*VLOOKUP(C96,$U$1:$V$5,2,FALSE),0)*$S$3,0)</f>
        <v>150</v>
      </c>
      <c r="F96">
        <f t="shared" si="6"/>
        <v>0</v>
      </c>
      <c r="G96">
        <f t="shared" si="7"/>
        <v>0</v>
      </c>
      <c r="H96">
        <f t="shared" si="5"/>
        <v>150</v>
      </c>
      <c r="I96">
        <f>SUM($H$2:H96)</f>
        <v>-4940</v>
      </c>
    </row>
    <row r="97" spans="1:9" x14ac:dyDescent="0.25">
      <c r="A97" s="1">
        <v>45022</v>
      </c>
      <c r="B97">
        <f t="shared" si="4"/>
        <v>4</v>
      </c>
      <c r="C97" t="s">
        <v>9</v>
      </c>
      <c r="D97">
        <f>IF(AND(MONTH(A97)&lt;&gt;MONTH(A96),I96&gt;=3*$S$2),D96+3,D96)</f>
        <v>10</v>
      </c>
      <c r="E97">
        <f>IF(B97&lt;6,ROUNDDOWN(D97*VLOOKUP(C97,$U$1:$V$5,2,FALSE),0)*$S$3,0)</f>
        <v>150</v>
      </c>
      <c r="F97">
        <f t="shared" si="6"/>
        <v>0</v>
      </c>
      <c r="G97">
        <f t="shared" si="7"/>
        <v>0</v>
      </c>
      <c r="H97">
        <f t="shared" si="5"/>
        <v>150</v>
      </c>
      <c r="I97">
        <f>SUM($H$2:H97)</f>
        <v>-4790</v>
      </c>
    </row>
    <row r="98" spans="1:9" x14ac:dyDescent="0.25">
      <c r="A98" s="1">
        <v>45023</v>
      </c>
      <c r="B98">
        <f t="shared" si="4"/>
        <v>5</v>
      </c>
      <c r="C98" t="s">
        <v>9</v>
      </c>
      <c r="D98">
        <f>IF(AND(MONTH(A98)&lt;&gt;MONTH(A97),I97&gt;=3*$S$2),D97+3,D97)</f>
        <v>10</v>
      </c>
      <c r="E98">
        <f>IF(B98&lt;6,ROUNDDOWN(D98*VLOOKUP(C98,$U$1:$V$5,2,FALSE),0)*$S$3,0)</f>
        <v>150</v>
      </c>
      <c r="F98">
        <f t="shared" si="6"/>
        <v>0</v>
      </c>
      <c r="G98">
        <f t="shared" si="7"/>
        <v>0</v>
      </c>
      <c r="H98">
        <f t="shared" si="5"/>
        <v>150</v>
      </c>
      <c r="I98">
        <f>SUM($H$2:H98)</f>
        <v>-4640</v>
      </c>
    </row>
    <row r="99" spans="1:9" x14ac:dyDescent="0.25">
      <c r="A99" s="1">
        <v>45024</v>
      </c>
      <c r="B99">
        <f t="shared" si="4"/>
        <v>6</v>
      </c>
      <c r="C99" t="s">
        <v>9</v>
      </c>
      <c r="D99">
        <f>IF(AND(MONTH(A99)&lt;&gt;MONTH(A98),I98&gt;=3*$S$2),D98+3,D98)</f>
        <v>10</v>
      </c>
      <c r="E99">
        <f>IF(B99&lt;6,ROUNDDOWN(D99*VLOOKUP(C99,$U$1:$V$5,2,FALSE),0)*$S$3,0)</f>
        <v>0</v>
      </c>
      <c r="F99">
        <f t="shared" si="6"/>
        <v>0</v>
      </c>
      <c r="G99">
        <f t="shared" si="7"/>
        <v>0</v>
      </c>
      <c r="H99">
        <f t="shared" si="5"/>
        <v>0</v>
      </c>
      <c r="I99">
        <f>SUM($H$2:H99)</f>
        <v>-4640</v>
      </c>
    </row>
    <row r="100" spans="1:9" x14ac:dyDescent="0.25">
      <c r="A100" s="1">
        <v>45025</v>
      </c>
      <c r="B100">
        <f t="shared" si="4"/>
        <v>7</v>
      </c>
      <c r="C100" t="s">
        <v>9</v>
      </c>
      <c r="D100">
        <f>IF(AND(MONTH(A100)&lt;&gt;MONTH(A99),I99&gt;=3*$S$2),D99+3,D99)</f>
        <v>10</v>
      </c>
      <c r="E100">
        <f>IF(B100&lt;6,ROUNDDOWN(D100*VLOOKUP(C100,$U$1:$V$5,2,FALSE),0)*$S$3,0)</f>
        <v>0</v>
      </c>
      <c r="F100">
        <f t="shared" si="6"/>
        <v>150</v>
      </c>
      <c r="G100">
        <f t="shared" si="7"/>
        <v>0</v>
      </c>
      <c r="H100">
        <f t="shared" si="5"/>
        <v>-150</v>
      </c>
      <c r="I100">
        <f>SUM($H$2:H100)</f>
        <v>-4790</v>
      </c>
    </row>
    <row r="101" spans="1:9" x14ac:dyDescent="0.25">
      <c r="A101" s="1">
        <v>45026</v>
      </c>
      <c r="B101">
        <f t="shared" si="4"/>
        <v>1</v>
      </c>
      <c r="C101" t="s">
        <v>9</v>
      </c>
      <c r="D101">
        <f>IF(AND(MONTH(A101)&lt;&gt;MONTH(A100),I100&gt;=3*$S$2),D100+3,D100)</f>
        <v>10</v>
      </c>
      <c r="E101">
        <f>IF(B101&lt;6,ROUNDDOWN(D101*VLOOKUP(C101,$U$1:$V$5,2,FALSE),0)*$S$3,0)</f>
        <v>150</v>
      </c>
      <c r="F101">
        <f t="shared" si="6"/>
        <v>0</v>
      </c>
      <c r="G101">
        <f t="shared" si="7"/>
        <v>0</v>
      </c>
      <c r="H101">
        <f t="shared" si="5"/>
        <v>150</v>
      </c>
      <c r="I101">
        <f>SUM($H$2:H101)</f>
        <v>-4640</v>
      </c>
    </row>
    <row r="102" spans="1:9" x14ac:dyDescent="0.25">
      <c r="A102" s="1">
        <v>45027</v>
      </c>
      <c r="B102">
        <f t="shared" si="4"/>
        <v>2</v>
      </c>
      <c r="C102" t="s">
        <v>9</v>
      </c>
      <c r="D102">
        <f>IF(AND(MONTH(A102)&lt;&gt;MONTH(A101),I101&gt;=3*$S$2),D101+3,D101)</f>
        <v>10</v>
      </c>
      <c r="E102">
        <f>IF(B102&lt;6,ROUNDDOWN(D102*VLOOKUP(C102,$U$1:$V$5,2,FALSE),0)*$S$3,0)</f>
        <v>150</v>
      </c>
      <c r="F102">
        <f t="shared" si="6"/>
        <v>0</v>
      </c>
      <c r="G102">
        <f t="shared" si="7"/>
        <v>0</v>
      </c>
      <c r="H102">
        <f t="shared" si="5"/>
        <v>150</v>
      </c>
      <c r="I102">
        <f>SUM($H$2:H102)</f>
        <v>-4490</v>
      </c>
    </row>
    <row r="103" spans="1:9" x14ac:dyDescent="0.25">
      <c r="A103" s="1">
        <v>45028</v>
      </c>
      <c r="B103">
        <f t="shared" si="4"/>
        <v>3</v>
      </c>
      <c r="C103" t="s">
        <v>9</v>
      </c>
      <c r="D103">
        <f>IF(AND(MONTH(A103)&lt;&gt;MONTH(A102),I102&gt;=3*$S$2),D102+3,D102)</f>
        <v>10</v>
      </c>
      <c r="E103">
        <f>IF(B103&lt;6,ROUNDDOWN(D103*VLOOKUP(C103,$U$1:$V$5,2,FALSE),0)*$S$3,0)</f>
        <v>150</v>
      </c>
      <c r="F103">
        <f t="shared" si="6"/>
        <v>0</v>
      </c>
      <c r="G103">
        <f t="shared" si="7"/>
        <v>0</v>
      </c>
      <c r="H103">
        <f t="shared" si="5"/>
        <v>150</v>
      </c>
      <c r="I103">
        <f>SUM($H$2:H103)</f>
        <v>-4340</v>
      </c>
    </row>
    <row r="104" spans="1:9" x14ac:dyDescent="0.25">
      <c r="A104" s="1">
        <v>45029</v>
      </c>
      <c r="B104">
        <f t="shared" si="4"/>
        <v>4</v>
      </c>
      <c r="C104" t="s">
        <v>9</v>
      </c>
      <c r="D104">
        <f>IF(AND(MONTH(A104)&lt;&gt;MONTH(A103),I103&gt;=3*$S$2),D103+3,D103)</f>
        <v>10</v>
      </c>
      <c r="E104">
        <f>IF(B104&lt;6,ROUNDDOWN(D104*VLOOKUP(C104,$U$1:$V$5,2,FALSE),0)*$S$3,0)</f>
        <v>150</v>
      </c>
      <c r="F104">
        <f t="shared" si="6"/>
        <v>0</v>
      </c>
      <c r="G104">
        <f t="shared" si="7"/>
        <v>0</v>
      </c>
      <c r="H104">
        <f t="shared" si="5"/>
        <v>150</v>
      </c>
      <c r="I104">
        <f>SUM($H$2:H104)</f>
        <v>-4190</v>
      </c>
    </row>
    <row r="105" spans="1:9" x14ac:dyDescent="0.25">
      <c r="A105" s="1">
        <v>45030</v>
      </c>
      <c r="B105">
        <f t="shared" si="4"/>
        <v>5</v>
      </c>
      <c r="C105" t="s">
        <v>9</v>
      </c>
      <c r="D105">
        <f>IF(AND(MONTH(A105)&lt;&gt;MONTH(A104),I104&gt;=3*$S$2),D104+3,D104)</f>
        <v>10</v>
      </c>
      <c r="E105">
        <f>IF(B105&lt;6,ROUNDDOWN(D105*VLOOKUP(C105,$U$1:$V$5,2,FALSE),0)*$S$3,0)</f>
        <v>150</v>
      </c>
      <c r="F105">
        <f t="shared" si="6"/>
        <v>0</v>
      </c>
      <c r="G105">
        <f t="shared" si="7"/>
        <v>0</v>
      </c>
      <c r="H105">
        <f t="shared" si="5"/>
        <v>150</v>
      </c>
      <c r="I105">
        <f>SUM($H$2:H105)</f>
        <v>-4040</v>
      </c>
    </row>
    <row r="106" spans="1:9" x14ac:dyDescent="0.25">
      <c r="A106" s="1">
        <v>45031</v>
      </c>
      <c r="B106">
        <f t="shared" si="4"/>
        <v>6</v>
      </c>
      <c r="C106" t="s">
        <v>9</v>
      </c>
      <c r="D106">
        <f>IF(AND(MONTH(A106)&lt;&gt;MONTH(A105),I105&gt;=3*$S$2),D105+3,D105)</f>
        <v>10</v>
      </c>
      <c r="E106">
        <f>IF(B106&lt;6,ROUNDDOWN(D106*VLOOKUP(C106,$U$1:$V$5,2,FALSE),0)*$S$3,0)</f>
        <v>0</v>
      </c>
      <c r="F106">
        <f t="shared" si="6"/>
        <v>0</v>
      </c>
      <c r="G106">
        <f t="shared" si="7"/>
        <v>0</v>
      </c>
      <c r="H106">
        <f t="shared" si="5"/>
        <v>0</v>
      </c>
      <c r="I106">
        <f>SUM($H$2:H106)</f>
        <v>-4040</v>
      </c>
    </row>
    <row r="107" spans="1:9" x14ac:dyDescent="0.25">
      <c r="A107" s="1">
        <v>45032</v>
      </c>
      <c r="B107">
        <f t="shared" si="4"/>
        <v>7</v>
      </c>
      <c r="C107" t="s">
        <v>9</v>
      </c>
      <c r="D107">
        <f>IF(AND(MONTH(A107)&lt;&gt;MONTH(A106),I106&gt;=3*$S$2),D106+3,D106)</f>
        <v>10</v>
      </c>
      <c r="E107">
        <f>IF(B107&lt;6,ROUNDDOWN(D107*VLOOKUP(C107,$U$1:$V$5,2,FALSE),0)*$S$3,0)</f>
        <v>0</v>
      </c>
      <c r="F107">
        <f t="shared" si="6"/>
        <v>150</v>
      </c>
      <c r="G107">
        <f t="shared" si="7"/>
        <v>0</v>
      </c>
      <c r="H107">
        <f t="shared" si="5"/>
        <v>-150</v>
      </c>
      <c r="I107">
        <f>SUM($H$2:H107)</f>
        <v>-4190</v>
      </c>
    </row>
    <row r="108" spans="1:9" x14ac:dyDescent="0.25">
      <c r="A108" s="1">
        <v>45033</v>
      </c>
      <c r="B108">
        <f t="shared" si="4"/>
        <v>1</v>
      </c>
      <c r="C108" t="s">
        <v>9</v>
      </c>
      <c r="D108">
        <f>IF(AND(MONTH(A108)&lt;&gt;MONTH(A107),I107&gt;=3*$S$2),D107+3,D107)</f>
        <v>10</v>
      </c>
      <c r="E108">
        <f>IF(B108&lt;6,ROUNDDOWN(D108*VLOOKUP(C108,$U$1:$V$5,2,FALSE),0)*$S$3,0)</f>
        <v>150</v>
      </c>
      <c r="F108">
        <f t="shared" si="6"/>
        <v>0</v>
      </c>
      <c r="G108">
        <f t="shared" si="7"/>
        <v>0</v>
      </c>
      <c r="H108">
        <f t="shared" si="5"/>
        <v>150</v>
      </c>
      <c r="I108">
        <f>SUM($H$2:H108)</f>
        <v>-4040</v>
      </c>
    </row>
    <row r="109" spans="1:9" x14ac:dyDescent="0.25">
      <c r="A109" s="1">
        <v>45034</v>
      </c>
      <c r="B109">
        <f t="shared" si="4"/>
        <v>2</v>
      </c>
      <c r="C109" t="s">
        <v>9</v>
      </c>
      <c r="D109">
        <f>IF(AND(MONTH(A109)&lt;&gt;MONTH(A108),I108&gt;=3*$S$2),D108+3,D108)</f>
        <v>10</v>
      </c>
      <c r="E109">
        <f>IF(B109&lt;6,ROUNDDOWN(D109*VLOOKUP(C109,$U$1:$V$5,2,FALSE),0)*$S$3,0)</f>
        <v>150</v>
      </c>
      <c r="F109">
        <f t="shared" si="6"/>
        <v>0</v>
      </c>
      <c r="G109">
        <f t="shared" si="7"/>
        <v>0</v>
      </c>
      <c r="H109">
        <f t="shared" si="5"/>
        <v>150</v>
      </c>
      <c r="I109">
        <f>SUM($H$2:H109)</f>
        <v>-3890</v>
      </c>
    </row>
    <row r="110" spans="1:9" x14ac:dyDescent="0.25">
      <c r="A110" s="1">
        <v>45035</v>
      </c>
      <c r="B110">
        <f t="shared" si="4"/>
        <v>3</v>
      </c>
      <c r="C110" t="s">
        <v>9</v>
      </c>
      <c r="D110">
        <f>IF(AND(MONTH(A110)&lt;&gt;MONTH(A109),I109&gt;=3*$S$2),D109+3,D109)</f>
        <v>10</v>
      </c>
      <c r="E110">
        <f>IF(B110&lt;6,ROUNDDOWN(D110*VLOOKUP(C110,$U$1:$V$5,2,FALSE),0)*$S$3,0)</f>
        <v>150</v>
      </c>
      <c r="F110">
        <f t="shared" si="6"/>
        <v>0</v>
      </c>
      <c r="G110">
        <f t="shared" si="7"/>
        <v>0</v>
      </c>
      <c r="H110">
        <f t="shared" si="5"/>
        <v>150</v>
      </c>
      <c r="I110">
        <f>SUM($H$2:H110)</f>
        <v>-3740</v>
      </c>
    </row>
    <row r="111" spans="1:9" x14ac:dyDescent="0.25">
      <c r="A111" s="1">
        <v>45036</v>
      </c>
      <c r="B111">
        <f t="shared" si="4"/>
        <v>4</v>
      </c>
      <c r="C111" t="s">
        <v>9</v>
      </c>
      <c r="D111">
        <f>IF(AND(MONTH(A111)&lt;&gt;MONTH(A110),I110&gt;=3*$S$2),D110+3,D110)</f>
        <v>10</v>
      </c>
      <c r="E111">
        <f>IF(B111&lt;6,ROUNDDOWN(D111*VLOOKUP(C111,$U$1:$V$5,2,FALSE),0)*$S$3,0)</f>
        <v>150</v>
      </c>
      <c r="F111">
        <f t="shared" si="6"/>
        <v>0</v>
      </c>
      <c r="G111">
        <f t="shared" si="7"/>
        <v>0</v>
      </c>
      <c r="H111">
        <f t="shared" si="5"/>
        <v>150</v>
      </c>
      <c r="I111">
        <f>SUM($H$2:H111)</f>
        <v>-3590</v>
      </c>
    </row>
    <row r="112" spans="1:9" x14ac:dyDescent="0.25">
      <c r="A112" s="1">
        <v>45037</v>
      </c>
      <c r="B112">
        <f t="shared" si="4"/>
        <v>5</v>
      </c>
      <c r="C112" t="s">
        <v>9</v>
      </c>
      <c r="D112">
        <f>IF(AND(MONTH(A112)&lt;&gt;MONTH(A111),I111&gt;=3*$S$2),D111+3,D111)</f>
        <v>10</v>
      </c>
      <c r="E112">
        <f>IF(B112&lt;6,ROUNDDOWN(D112*VLOOKUP(C112,$U$1:$V$5,2,FALSE),0)*$S$3,0)</f>
        <v>150</v>
      </c>
      <c r="F112">
        <f t="shared" si="6"/>
        <v>0</v>
      </c>
      <c r="G112">
        <f t="shared" si="7"/>
        <v>0</v>
      </c>
      <c r="H112">
        <f t="shared" si="5"/>
        <v>150</v>
      </c>
      <c r="I112">
        <f>SUM($H$2:H112)</f>
        <v>-3440</v>
      </c>
    </row>
    <row r="113" spans="1:9" x14ac:dyDescent="0.25">
      <c r="A113" s="1">
        <v>45038</v>
      </c>
      <c r="B113">
        <f t="shared" si="4"/>
        <v>6</v>
      </c>
      <c r="C113" t="s">
        <v>9</v>
      </c>
      <c r="D113">
        <f>IF(AND(MONTH(A113)&lt;&gt;MONTH(A112),I112&gt;=3*$S$2),D112+3,D112)</f>
        <v>10</v>
      </c>
      <c r="E113">
        <f>IF(B113&lt;6,ROUNDDOWN(D113*VLOOKUP(C113,$U$1:$V$5,2,FALSE),0)*$S$3,0)</f>
        <v>0</v>
      </c>
      <c r="F113">
        <f t="shared" si="6"/>
        <v>0</v>
      </c>
      <c r="G113">
        <f t="shared" si="7"/>
        <v>0</v>
      </c>
      <c r="H113">
        <f t="shared" si="5"/>
        <v>0</v>
      </c>
      <c r="I113">
        <f>SUM($H$2:H113)</f>
        <v>-3440</v>
      </c>
    </row>
    <row r="114" spans="1:9" x14ac:dyDescent="0.25">
      <c r="A114" s="1">
        <v>45039</v>
      </c>
      <c r="B114">
        <f t="shared" si="4"/>
        <v>7</v>
      </c>
      <c r="C114" t="s">
        <v>9</v>
      </c>
      <c r="D114">
        <f>IF(AND(MONTH(A114)&lt;&gt;MONTH(A113),I113&gt;=3*$S$2),D113+3,D113)</f>
        <v>10</v>
      </c>
      <c r="E114">
        <f>IF(B114&lt;6,ROUNDDOWN(D114*VLOOKUP(C114,$U$1:$V$5,2,FALSE),0)*$S$3,0)</f>
        <v>0</v>
      </c>
      <c r="F114">
        <f t="shared" si="6"/>
        <v>150</v>
      </c>
      <c r="G114">
        <f t="shared" si="7"/>
        <v>0</v>
      </c>
      <c r="H114">
        <f t="shared" si="5"/>
        <v>-150</v>
      </c>
      <c r="I114">
        <f>SUM($H$2:H114)</f>
        <v>-3590</v>
      </c>
    </row>
    <row r="115" spans="1:9" x14ac:dyDescent="0.25">
      <c r="A115" s="1">
        <v>45040</v>
      </c>
      <c r="B115">
        <f t="shared" si="4"/>
        <v>1</v>
      </c>
      <c r="C115" t="s">
        <v>9</v>
      </c>
      <c r="D115">
        <f>IF(AND(MONTH(A115)&lt;&gt;MONTH(A114),I114&gt;=3*$S$2),D114+3,D114)</f>
        <v>10</v>
      </c>
      <c r="E115">
        <f>IF(B115&lt;6,ROUNDDOWN(D115*VLOOKUP(C115,$U$1:$V$5,2,FALSE),0)*$S$3,0)</f>
        <v>150</v>
      </c>
      <c r="F115">
        <f t="shared" si="6"/>
        <v>0</v>
      </c>
      <c r="G115">
        <f t="shared" si="7"/>
        <v>0</v>
      </c>
      <c r="H115">
        <f t="shared" si="5"/>
        <v>150</v>
      </c>
      <c r="I115">
        <f>SUM($H$2:H115)</f>
        <v>-3440</v>
      </c>
    </row>
    <row r="116" spans="1:9" x14ac:dyDescent="0.25">
      <c r="A116" s="1">
        <v>45041</v>
      </c>
      <c r="B116">
        <f t="shared" si="4"/>
        <v>2</v>
      </c>
      <c r="C116" t="s">
        <v>9</v>
      </c>
      <c r="D116">
        <f>IF(AND(MONTH(A116)&lt;&gt;MONTH(A115),I115&gt;=3*$S$2),D115+3,D115)</f>
        <v>10</v>
      </c>
      <c r="E116">
        <f>IF(B116&lt;6,ROUNDDOWN(D116*VLOOKUP(C116,$U$1:$V$5,2,FALSE),0)*$S$3,0)</f>
        <v>150</v>
      </c>
      <c r="F116">
        <f t="shared" si="6"/>
        <v>0</v>
      </c>
      <c r="G116">
        <f t="shared" si="7"/>
        <v>0</v>
      </c>
      <c r="H116">
        <f t="shared" si="5"/>
        <v>150</v>
      </c>
      <c r="I116">
        <f>SUM($H$2:H116)</f>
        <v>-3290</v>
      </c>
    </row>
    <row r="117" spans="1:9" x14ac:dyDescent="0.25">
      <c r="A117" s="1">
        <v>45042</v>
      </c>
      <c r="B117">
        <f t="shared" si="4"/>
        <v>3</v>
      </c>
      <c r="C117" t="s">
        <v>9</v>
      </c>
      <c r="D117">
        <f>IF(AND(MONTH(A117)&lt;&gt;MONTH(A116),I116&gt;=3*$S$2),D116+3,D116)</f>
        <v>10</v>
      </c>
      <c r="E117">
        <f>IF(B117&lt;6,ROUNDDOWN(D117*VLOOKUP(C117,$U$1:$V$5,2,FALSE),0)*$S$3,0)</f>
        <v>150</v>
      </c>
      <c r="F117">
        <f t="shared" si="6"/>
        <v>0</v>
      </c>
      <c r="G117">
        <f t="shared" si="7"/>
        <v>0</v>
      </c>
      <c r="H117">
        <f t="shared" si="5"/>
        <v>150</v>
      </c>
      <c r="I117">
        <f>SUM($H$2:H117)</f>
        <v>-3140</v>
      </c>
    </row>
    <row r="118" spans="1:9" x14ac:dyDescent="0.25">
      <c r="A118" s="1">
        <v>45043</v>
      </c>
      <c r="B118">
        <f t="shared" si="4"/>
        <v>4</v>
      </c>
      <c r="C118" t="s">
        <v>9</v>
      </c>
      <c r="D118">
        <f>IF(AND(MONTH(A118)&lt;&gt;MONTH(A117),I117&gt;=3*$S$2),D117+3,D117)</f>
        <v>10</v>
      </c>
      <c r="E118">
        <f>IF(B118&lt;6,ROUNDDOWN(D118*VLOOKUP(C118,$U$1:$V$5,2,FALSE),0)*$S$3,0)</f>
        <v>150</v>
      </c>
      <c r="F118">
        <f t="shared" si="6"/>
        <v>0</v>
      </c>
      <c r="G118">
        <f t="shared" si="7"/>
        <v>0</v>
      </c>
      <c r="H118">
        <f t="shared" si="5"/>
        <v>150</v>
      </c>
      <c r="I118">
        <f>SUM($H$2:H118)</f>
        <v>-2990</v>
      </c>
    </row>
    <row r="119" spans="1:9" x14ac:dyDescent="0.25">
      <c r="A119" s="1">
        <v>45044</v>
      </c>
      <c r="B119">
        <f t="shared" si="4"/>
        <v>5</v>
      </c>
      <c r="C119" t="s">
        <v>9</v>
      </c>
      <c r="D119">
        <f>IF(AND(MONTH(A119)&lt;&gt;MONTH(A118),I118&gt;=3*$S$2),D118+3,D118)</f>
        <v>10</v>
      </c>
      <c r="E119">
        <f>IF(B119&lt;6,ROUNDDOWN(D119*VLOOKUP(C119,$U$1:$V$5,2,FALSE),0)*$S$3,0)</f>
        <v>150</v>
      </c>
      <c r="F119">
        <f t="shared" si="6"/>
        <v>0</v>
      </c>
      <c r="G119">
        <f t="shared" si="7"/>
        <v>0</v>
      </c>
      <c r="H119">
        <f t="shared" si="5"/>
        <v>150</v>
      </c>
      <c r="I119">
        <f>SUM($H$2:H119)</f>
        <v>-2840</v>
      </c>
    </row>
    <row r="120" spans="1:9" x14ac:dyDescent="0.25">
      <c r="A120" s="1">
        <v>45045</v>
      </c>
      <c r="B120">
        <f t="shared" si="4"/>
        <v>6</v>
      </c>
      <c r="C120" t="s">
        <v>9</v>
      </c>
      <c r="D120">
        <f>IF(AND(MONTH(A120)&lt;&gt;MONTH(A119),I119&gt;=3*$S$2),D119+3,D119)</f>
        <v>10</v>
      </c>
      <c r="E120">
        <f>IF(B120&lt;6,ROUNDDOWN(D120*VLOOKUP(C120,$U$1:$V$5,2,FALSE),0)*$S$3,0)</f>
        <v>0</v>
      </c>
      <c r="F120">
        <f t="shared" si="6"/>
        <v>0</v>
      </c>
      <c r="G120">
        <f t="shared" si="7"/>
        <v>0</v>
      </c>
      <c r="H120">
        <f t="shared" si="5"/>
        <v>0</v>
      </c>
      <c r="I120">
        <f>SUM($H$2:H120)</f>
        <v>-2840</v>
      </c>
    </row>
    <row r="121" spans="1:9" x14ac:dyDescent="0.25">
      <c r="A121" s="1">
        <v>45046</v>
      </c>
      <c r="B121">
        <f t="shared" si="4"/>
        <v>7</v>
      </c>
      <c r="C121" t="s">
        <v>9</v>
      </c>
      <c r="D121">
        <f>IF(AND(MONTH(A121)&lt;&gt;MONTH(A120),I120&gt;=3*$S$2),D120+3,D120)</f>
        <v>10</v>
      </c>
      <c r="E121">
        <f>IF(B121&lt;6,ROUNDDOWN(D121*VLOOKUP(C121,$U$1:$V$5,2,FALSE),0)*$S$3,0)</f>
        <v>0</v>
      </c>
      <c r="F121">
        <f t="shared" si="6"/>
        <v>150</v>
      </c>
      <c r="G121">
        <f t="shared" si="7"/>
        <v>0</v>
      </c>
      <c r="H121">
        <f t="shared" si="5"/>
        <v>-150</v>
      </c>
      <c r="I121">
        <f>SUM($H$2:H121)</f>
        <v>-2990</v>
      </c>
    </row>
    <row r="122" spans="1:9" x14ac:dyDescent="0.25">
      <c r="A122" s="1">
        <v>45047</v>
      </c>
      <c r="B122">
        <f t="shared" si="4"/>
        <v>1</v>
      </c>
      <c r="C122" t="s">
        <v>9</v>
      </c>
      <c r="D122">
        <f>IF(AND(MONTH(A122)&lt;&gt;MONTH(A121),I121&gt;=3*$S$2),D121+3,D121)</f>
        <v>10</v>
      </c>
      <c r="E122">
        <f>IF(B122&lt;6,ROUNDDOWN(D122*VLOOKUP(C122,$U$1:$V$5,2,FALSE),0)*$S$3,0)</f>
        <v>150</v>
      </c>
      <c r="F122">
        <f t="shared" si="6"/>
        <v>0</v>
      </c>
      <c r="G122">
        <f t="shared" si="7"/>
        <v>0</v>
      </c>
      <c r="H122">
        <f t="shared" si="5"/>
        <v>150</v>
      </c>
      <c r="I122">
        <f>SUM($H$2:H122)</f>
        <v>-2840</v>
      </c>
    </row>
    <row r="123" spans="1:9" x14ac:dyDescent="0.25">
      <c r="A123" s="1">
        <v>45048</v>
      </c>
      <c r="B123">
        <f t="shared" si="4"/>
        <v>2</v>
      </c>
      <c r="C123" t="s">
        <v>9</v>
      </c>
      <c r="D123">
        <f>IF(AND(MONTH(A123)&lt;&gt;MONTH(A122),I122&gt;=3*$S$2),D122+3,D122)</f>
        <v>10</v>
      </c>
      <c r="E123">
        <f>IF(B123&lt;6,ROUNDDOWN(D123*VLOOKUP(C123,$U$1:$V$5,2,FALSE),0)*$S$3,0)</f>
        <v>150</v>
      </c>
      <c r="F123">
        <f t="shared" si="6"/>
        <v>0</v>
      </c>
      <c r="G123">
        <f t="shared" si="7"/>
        <v>0</v>
      </c>
      <c r="H123">
        <f t="shared" si="5"/>
        <v>150</v>
      </c>
      <c r="I123">
        <f>SUM($H$2:H123)</f>
        <v>-2690</v>
      </c>
    </row>
    <row r="124" spans="1:9" x14ac:dyDescent="0.25">
      <c r="A124" s="1">
        <v>45049</v>
      </c>
      <c r="B124">
        <f t="shared" si="4"/>
        <v>3</v>
      </c>
      <c r="C124" t="s">
        <v>9</v>
      </c>
      <c r="D124">
        <f>IF(AND(MONTH(A124)&lt;&gt;MONTH(A123),I123&gt;=3*$S$2),D123+3,D123)</f>
        <v>10</v>
      </c>
      <c r="E124">
        <f>IF(B124&lt;6,ROUNDDOWN(D124*VLOOKUP(C124,$U$1:$V$5,2,FALSE),0)*$S$3,0)</f>
        <v>150</v>
      </c>
      <c r="F124">
        <f t="shared" si="6"/>
        <v>0</v>
      </c>
      <c r="G124">
        <f t="shared" si="7"/>
        <v>0</v>
      </c>
      <c r="H124">
        <f t="shared" si="5"/>
        <v>150</v>
      </c>
      <c r="I124">
        <f>SUM($H$2:H124)</f>
        <v>-2540</v>
      </c>
    </row>
    <row r="125" spans="1:9" x14ac:dyDescent="0.25">
      <c r="A125" s="1">
        <v>45050</v>
      </c>
      <c r="B125">
        <f t="shared" si="4"/>
        <v>4</v>
      </c>
      <c r="C125" t="s">
        <v>9</v>
      </c>
      <c r="D125">
        <f>IF(AND(MONTH(A125)&lt;&gt;MONTH(A124),I124&gt;=3*$S$2),D124+3,D124)</f>
        <v>10</v>
      </c>
      <c r="E125">
        <f>IF(B125&lt;6,ROUNDDOWN(D125*VLOOKUP(C125,$U$1:$V$5,2,FALSE),0)*$S$3,0)</f>
        <v>150</v>
      </c>
      <c r="F125">
        <f t="shared" si="6"/>
        <v>0</v>
      </c>
      <c r="G125">
        <f t="shared" si="7"/>
        <v>0</v>
      </c>
      <c r="H125">
        <f t="shared" si="5"/>
        <v>150</v>
      </c>
      <c r="I125">
        <f>SUM($H$2:H125)</f>
        <v>-2390</v>
      </c>
    </row>
    <row r="126" spans="1:9" x14ac:dyDescent="0.25">
      <c r="A126" s="1">
        <v>45051</v>
      </c>
      <c r="B126">
        <f t="shared" si="4"/>
        <v>5</v>
      </c>
      <c r="C126" t="s">
        <v>9</v>
      </c>
      <c r="D126">
        <f>IF(AND(MONTH(A126)&lt;&gt;MONTH(A125),I125&gt;=3*$S$2),D125+3,D125)</f>
        <v>10</v>
      </c>
      <c r="E126">
        <f>IF(B126&lt;6,ROUNDDOWN(D126*VLOOKUP(C126,$U$1:$V$5,2,FALSE),0)*$S$3,0)</f>
        <v>150</v>
      </c>
      <c r="F126">
        <f t="shared" si="6"/>
        <v>0</v>
      </c>
      <c r="G126">
        <f t="shared" si="7"/>
        <v>0</v>
      </c>
      <c r="H126">
        <f t="shared" si="5"/>
        <v>150</v>
      </c>
      <c r="I126">
        <f>SUM($H$2:H126)</f>
        <v>-2240</v>
      </c>
    </row>
    <row r="127" spans="1:9" x14ac:dyDescent="0.25">
      <c r="A127" s="1">
        <v>45052</v>
      </c>
      <c r="B127">
        <f t="shared" si="4"/>
        <v>6</v>
      </c>
      <c r="C127" t="s">
        <v>9</v>
      </c>
      <c r="D127">
        <f>IF(AND(MONTH(A127)&lt;&gt;MONTH(A126),I126&gt;=3*$S$2),D126+3,D126)</f>
        <v>10</v>
      </c>
      <c r="E127">
        <f>IF(B127&lt;6,ROUNDDOWN(D127*VLOOKUP(C127,$U$1:$V$5,2,FALSE),0)*$S$3,0)</f>
        <v>0</v>
      </c>
      <c r="F127">
        <f t="shared" si="6"/>
        <v>0</v>
      </c>
      <c r="G127">
        <f t="shared" si="7"/>
        <v>0</v>
      </c>
      <c r="H127">
        <f t="shared" si="5"/>
        <v>0</v>
      </c>
      <c r="I127">
        <f>SUM($H$2:H127)</f>
        <v>-2240</v>
      </c>
    </row>
    <row r="128" spans="1:9" x14ac:dyDescent="0.25">
      <c r="A128" s="1">
        <v>45053</v>
      </c>
      <c r="B128">
        <f t="shared" si="4"/>
        <v>7</v>
      </c>
      <c r="C128" t="s">
        <v>9</v>
      </c>
      <c r="D128">
        <f>IF(AND(MONTH(A128)&lt;&gt;MONTH(A127),I127&gt;=3*$S$2),D127+3,D127)</f>
        <v>10</v>
      </c>
      <c r="E128">
        <f>IF(B128&lt;6,ROUNDDOWN(D128*VLOOKUP(C128,$U$1:$V$5,2,FALSE),0)*$S$3,0)</f>
        <v>0</v>
      </c>
      <c r="F128">
        <f t="shared" si="6"/>
        <v>150</v>
      </c>
      <c r="G128">
        <f t="shared" si="7"/>
        <v>0</v>
      </c>
      <c r="H128">
        <f t="shared" si="5"/>
        <v>-150</v>
      </c>
      <c r="I128">
        <f>SUM($H$2:H128)</f>
        <v>-2390</v>
      </c>
    </row>
    <row r="129" spans="1:9" x14ac:dyDescent="0.25">
      <c r="A129" s="1">
        <v>45054</v>
      </c>
      <c r="B129">
        <f t="shared" si="4"/>
        <v>1</v>
      </c>
      <c r="C129" t="s">
        <v>9</v>
      </c>
      <c r="D129">
        <f>IF(AND(MONTH(A129)&lt;&gt;MONTH(A128),I128&gt;=3*$S$2),D128+3,D128)</f>
        <v>10</v>
      </c>
      <c r="E129">
        <f>IF(B129&lt;6,ROUNDDOWN(D129*VLOOKUP(C129,$U$1:$V$5,2,FALSE),0)*$S$3,0)</f>
        <v>150</v>
      </c>
      <c r="F129">
        <f t="shared" si="6"/>
        <v>0</v>
      </c>
      <c r="G129">
        <f t="shared" si="7"/>
        <v>0</v>
      </c>
      <c r="H129">
        <f t="shared" si="5"/>
        <v>150</v>
      </c>
      <c r="I129">
        <f>SUM($H$2:H129)</f>
        <v>-2240</v>
      </c>
    </row>
    <row r="130" spans="1:9" x14ac:dyDescent="0.25">
      <c r="A130" s="1">
        <v>45055</v>
      </c>
      <c r="B130">
        <f t="shared" si="4"/>
        <v>2</v>
      </c>
      <c r="C130" t="s">
        <v>9</v>
      </c>
      <c r="D130">
        <f>IF(AND(MONTH(A130)&lt;&gt;MONTH(A129),I129&gt;=3*$S$2),D129+3,D129)</f>
        <v>10</v>
      </c>
      <c r="E130">
        <f>IF(B130&lt;6,ROUNDDOWN(D130*VLOOKUP(C130,$U$1:$V$5,2,FALSE),0)*$S$3,0)</f>
        <v>150</v>
      </c>
      <c r="F130">
        <f t="shared" si="6"/>
        <v>0</v>
      </c>
      <c r="G130">
        <f t="shared" si="7"/>
        <v>0</v>
      </c>
      <c r="H130">
        <f t="shared" si="5"/>
        <v>150</v>
      </c>
      <c r="I130">
        <f>SUM($H$2:H130)</f>
        <v>-2090</v>
      </c>
    </row>
    <row r="131" spans="1:9" x14ac:dyDescent="0.25">
      <c r="A131" s="1">
        <v>45056</v>
      </c>
      <c r="B131">
        <f t="shared" ref="B131:B194" si="8">WEEKDAY(A131,2)</f>
        <v>3</v>
      </c>
      <c r="C131" t="s">
        <v>9</v>
      </c>
      <c r="D131">
        <f>IF(AND(MONTH(A131)&lt;&gt;MONTH(A130),I130&gt;=3*$S$2),D130+3,D130)</f>
        <v>10</v>
      </c>
      <c r="E131">
        <f>IF(B131&lt;6,ROUNDDOWN(D131*VLOOKUP(C131,$U$1:$V$5,2,FALSE),0)*$S$3,0)</f>
        <v>150</v>
      </c>
      <c r="F131">
        <f t="shared" si="6"/>
        <v>0</v>
      </c>
      <c r="G131">
        <f t="shared" si="7"/>
        <v>0</v>
      </c>
      <c r="H131">
        <f t="shared" ref="H131:H194" si="9">E131-F131-G131</f>
        <v>150</v>
      </c>
      <c r="I131">
        <f>SUM($H$2:H131)</f>
        <v>-1940</v>
      </c>
    </row>
    <row r="132" spans="1:9" x14ac:dyDescent="0.25">
      <c r="A132" s="1">
        <v>45057</v>
      </c>
      <c r="B132">
        <f t="shared" si="8"/>
        <v>4</v>
      </c>
      <c r="C132" t="s">
        <v>9</v>
      </c>
      <c r="D132">
        <f>IF(AND(MONTH(A132)&lt;&gt;MONTH(A131),I131&gt;=3*$S$2),D131+3,D131)</f>
        <v>10</v>
      </c>
      <c r="E132">
        <f>IF(B132&lt;6,ROUNDDOWN(D132*VLOOKUP(C132,$U$1:$V$5,2,FALSE),0)*$S$3,0)</f>
        <v>150</v>
      </c>
      <c r="F132">
        <f t="shared" ref="F132:F195" si="10">IF(B132=7,$S$4*D132,0)</f>
        <v>0</v>
      </c>
      <c r="G132">
        <f t="shared" ref="G132:G195" si="11">IF(D132&gt;D131,3*$S$2,0)</f>
        <v>0</v>
      </c>
      <c r="H132">
        <f t="shared" si="9"/>
        <v>150</v>
      </c>
      <c r="I132">
        <f>SUM($H$2:H132)</f>
        <v>-1790</v>
      </c>
    </row>
    <row r="133" spans="1:9" x14ac:dyDescent="0.25">
      <c r="A133" s="1">
        <v>45058</v>
      </c>
      <c r="B133">
        <f t="shared" si="8"/>
        <v>5</v>
      </c>
      <c r="C133" t="s">
        <v>9</v>
      </c>
      <c r="D133">
        <f>IF(AND(MONTH(A133)&lt;&gt;MONTH(A132),I132&gt;=3*$S$2),D132+3,D132)</f>
        <v>10</v>
      </c>
      <c r="E133">
        <f>IF(B133&lt;6,ROUNDDOWN(D133*VLOOKUP(C133,$U$1:$V$5,2,FALSE),0)*$S$3,0)</f>
        <v>150</v>
      </c>
      <c r="F133">
        <f t="shared" si="10"/>
        <v>0</v>
      </c>
      <c r="G133">
        <f t="shared" si="11"/>
        <v>0</v>
      </c>
      <c r="H133">
        <f t="shared" si="9"/>
        <v>150</v>
      </c>
      <c r="I133">
        <f>SUM($H$2:H133)</f>
        <v>-1640</v>
      </c>
    </row>
    <row r="134" spans="1:9" x14ac:dyDescent="0.25">
      <c r="A134" s="1">
        <v>45059</v>
      </c>
      <c r="B134">
        <f t="shared" si="8"/>
        <v>6</v>
      </c>
      <c r="C134" t="s">
        <v>9</v>
      </c>
      <c r="D134">
        <f>IF(AND(MONTH(A134)&lt;&gt;MONTH(A133),I133&gt;=3*$S$2),D133+3,D133)</f>
        <v>10</v>
      </c>
      <c r="E134">
        <f>IF(B134&lt;6,ROUNDDOWN(D134*VLOOKUP(C134,$U$1:$V$5,2,FALSE),0)*$S$3,0)</f>
        <v>0</v>
      </c>
      <c r="F134">
        <f t="shared" si="10"/>
        <v>0</v>
      </c>
      <c r="G134">
        <f t="shared" si="11"/>
        <v>0</v>
      </c>
      <c r="H134">
        <f t="shared" si="9"/>
        <v>0</v>
      </c>
      <c r="I134">
        <f>SUM($H$2:H134)</f>
        <v>-1640</v>
      </c>
    </row>
    <row r="135" spans="1:9" x14ac:dyDescent="0.25">
      <c r="A135" s="1">
        <v>45060</v>
      </c>
      <c r="B135">
        <f t="shared" si="8"/>
        <v>7</v>
      </c>
      <c r="C135" t="s">
        <v>9</v>
      </c>
      <c r="D135">
        <f>IF(AND(MONTH(A135)&lt;&gt;MONTH(A134),I134&gt;=3*$S$2),D134+3,D134)</f>
        <v>10</v>
      </c>
      <c r="E135">
        <f>IF(B135&lt;6,ROUNDDOWN(D135*VLOOKUP(C135,$U$1:$V$5,2,FALSE),0)*$S$3,0)</f>
        <v>0</v>
      </c>
      <c r="F135">
        <f t="shared" si="10"/>
        <v>150</v>
      </c>
      <c r="G135">
        <f t="shared" si="11"/>
        <v>0</v>
      </c>
      <c r="H135">
        <f t="shared" si="9"/>
        <v>-150</v>
      </c>
      <c r="I135">
        <f>SUM($H$2:H135)</f>
        <v>-1790</v>
      </c>
    </row>
    <row r="136" spans="1:9" x14ac:dyDescent="0.25">
      <c r="A136" s="1">
        <v>45061</v>
      </c>
      <c r="B136">
        <f t="shared" si="8"/>
        <v>1</v>
      </c>
      <c r="C136" t="s">
        <v>9</v>
      </c>
      <c r="D136">
        <f>IF(AND(MONTH(A136)&lt;&gt;MONTH(A135),I135&gt;=3*$S$2),D135+3,D135)</f>
        <v>10</v>
      </c>
      <c r="E136">
        <f>IF(B136&lt;6,ROUNDDOWN(D136*VLOOKUP(C136,$U$1:$V$5,2,FALSE),0)*$S$3,0)</f>
        <v>150</v>
      </c>
      <c r="F136">
        <f t="shared" si="10"/>
        <v>0</v>
      </c>
      <c r="G136">
        <f t="shared" si="11"/>
        <v>0</v>
      </c>
      <c r="H136">
        <f t="shared" si="9"/>
        <v>150</v>
      </c>
      <c r="I136">
        <f>SUM($H$2:H136)</f>
        <v>-1640</v>
      </c>
    </row>
    <row r="137" spans="1:9" x14ac:dyDescent="0.25">
      <c r="A137" s="1">
        <v>45062</v>
      </c>
      <c r="B137">
        <f t="shared" si="8"/>
        <v>2</v>
      </c>
      <c r="C137" t="s">
        <v>9</v>
      </c>
      <c r="D137">
        <f>IF(AND(MONTH(A137)&lt;&gt;MONTH(A136),I136&gt;=3*$S$2),D136+3,D136)</f>
        <v>10</v>
      </c>
      <c r="E137">
        <f>IF(B137&lt;6,ROUNDDOWN(D137*VLOOKUP(C137,$U$1:$V$5,2,FALSE),0)*$S$3,0)</f>
        <v>150</v>
      </c>
      <c r="F137">
        <f t="shared" si="10"/>
        <v>0</v>
      </c>
      <c r="G137">
        <f t="shared" si="11"/>
        <v>0</v>
      </c>
      <c r="H137">
        <f t="shared" si="9"/>
        <v>150</v>
      </c>
      <c r="I137">
        <f>SUM($H$2:H137)</f>
        <v>-1490</v>
      </c>
    </row>
    <row r="138" spans="1:9" x14ac:dyDescent="0.25">
      <c r="A138" s="1">
        <v>45063</v>
      </c>
      <c r="B138">
        <f t="shared" si="8"/>
        <v>3</v>
      </c>
      <c r="C138" t="s">
        <v>9</v>
      </c>
      <c r="D138">
        <f>IF(AND(MONTH(A138)&lt;&gt;MONTH(A137),I137&gt;=3*$S$2),D137+3,D137)</f>
        <v>10</v>
      </c>
      <c r="E138">
        <f>IF(B138&lt;6,ROUNDDOWN(D138*VLOOKUP(C138,$U$1:$V$5,2,FALSE),0)*$S$3,0)</f>
        <v>150</v>
      </c>
      <c r="F138">
        <f t="shared" si="10"/>
        <v>0</v>
      </c>
      <c r="G138">
        <f t="shared" si="11"/>
        <v>0</v>
      </c>
      <c r="H138">
        <f t="shared" si="9"/>
        <v>150</v>
      </c>
      <c r="I138">
        <f>SUM($H$2:H138)</f>
        <v>-1340</v>
      </c>
    </row>
    <row r="139" spans="1:9" x14ac:dyDescent="0.25">
      <c r="A139" s="1">
        <v>45064</v>
      </c>
      <c r="B139">
        <f t="shared" si="8"/>
        <v>4</v>
      </c>
      <c r="C139" t="s">
        <v>9</v>
      </c>
      <c r="D139">
        <f>IF(AND(MONTH(A139)&lt;&gt;MONTH(A138),I138&gt;=3*$S$2),D138+3,D138)</f>
        <v>10</v>
      </c>
      <c r="E139">
        <f>IF(B139&lt;6,ROUNDDOWN(D139*VLOOKUP(C139,$U$1:$V$5,2,FALSE),0)*$S$3,0)</f>
        <v>150</v>
      </c>
      <c r="F139">
        <f t="shared" si="10"/>
        <v>0</v>
      </c>
      <c r="G139">
        <f t="shared" si="11"/>
        <v>0</v>
      </c>
      <c r="H139">
        <f t="shared" si="9"/>
        <v>150</v>
      </c>
      <c r="I139">
        <f>SUM($H$2:H139)</f>
        <v>-1190</v>
      </c>
    </row>
    <row r="140" spans="1:9" x14ac:dyDescent="0.25">
      <c r="A140" s="1">
        <v>45065</v>
      </c>
      <c r="B140">
        <f t="shared" si="8"/>
        <v>5</v>
      </c>
      <c r="C140" t="s">
        <v>9</v>
      </c>
      <c r="D140">
        <f>IF(AND(MONTH(A140)&lt;&gt;MONTH(A139),I139&gt;=3*$S$2),D139+3,D139)</f>
        <v>10</v>
      </c>
      <c r="E140">
        <f>IF(B140&lt;6,ROUNDDOWN(D140*VLOOKUP(C140,$U$1:$V$5,2,FALSE),0)*$S$3,0)</f>
        <v>150</v>
      </c>
      <c r="F140">
        <f t="shared" si="10"/>
        <v>0</v>
      </c>
      <c r="G140">
        <f t="shared" si="11"/>
        <v>0</v>
      </c>
      <c r="H140">
        <f t="shared" si="9"/>
        <v>150</v>
      </c>
      <c r="I140">
        <f>SUM($H$2:H140)</f>
        <v>-1040</v>
      </c>
    </row>
    <row r="141" spans="1:9" x14ac:dyDescent="0.25">
      <c r="A141" s="1">
        <v>45066</v>
      </c>
      <c r="B141">
        <f t="shared" si="8"/>
        <v>6</v>
      </c>
      <c r="C141" t="s">
        <v>9</v>
      </c>
      <c r="D141">
        <f>IF(AND(MONTH(A141)&lt;&gt;MONTH(A140),I140&gt;=3*$S$2),D140+3,D140)</f>
        <v>10</v>
      </c>
      <c r="E141">
        <f>IF(B141&lt;6,ROUNDDOWN(D141*VLOOKUP(C141,$U$1:$V$5,2,FALSE),0)*$S$3,0)</f>
        <v>0</v>
      </c>
      <c r="F141">
        <f t="shared" si="10"/>
        <v>0</v>
      </c>
      <c r="G141">
        <f t="shared" si="11"/>
        <v>0</v>
      </c>
      <c r="H141">
        <f t="shared" si="9"/>
        <v>0</v>
      </c>
      <c r="I141">
        <f>SUM($H$2:H141)</f>
        <v>-1040</v>
      </c>
    </row>
    <row r="142" spans="1:9" x14ac:dyDescent="0.25">
      <c r="A142" s="1">
        <v>45067</v>
      </c>
      <c r="B142">
        <f t="shared" si="8"/>
        <v>7</v>
      </c>
      <c r="C142" t="s">
        <v>9</v>
      </c>
      <c r="D142">
        <f>IF(AND(MONTH(A142)&lt;&gt;MONTH(A141),I141&gt;=3*$S$2),D141+3,D141)</f>
        <v>10</v>
      </c>
      <c r="E142">
        <f>IF(B142&lt;6,ROUNDDOWN(D142*VLOOKUP(C142,$U$1:$V$5,2,FALSE),0)*$S$3,0)</f>
        <v>0</v>
      </c>
      <c r="F142">
        <f t="shared" si="10"/>
        <v>150</v>
      </c>
      <c r="G142">
        <f t="shared" si="11"/>
        <v>0</v>
      </c>
      <c r="H142">
        <f t="shared" si="9"/>
        <v>-150</v>
      </c>
      <c r="I142">
        <f>SUM($H$2:H142)</f>
        <v>-1190</v>
      </c>
    </row>
    <row r="143" spans="1:9" x14ac:dyDescent="0.25">
      <c r="A143" s="1">
        <v>45068</v>
      </c>
      <c r="B143">
        <f t="shared" si="8"/>
        <v>1</v>
      </c>
      <c r="C143" t="s">
        <v>9</v>
      </c>
      <c r="D143">
        <f>IF(AND(MONTH(A143)&lt;&gt;MONTH(A142),I142&gt;=3*$S$2),D142+3,D142)</f>
        <v>10</v>
      </c>
      <c r="E143">
        <f>IF(B143&lt;6,ROUNDDOWN(D143*VLOOKUP(C143,$U$1:$V$5,2,FALSE),0)*$S$3,0)</f>
        <v>150</v>
      </c>
      <c r="F143">
        <f t="shared" si="10"/>
        <v>0</v>
      </c>
      <c r="G143">
        <f t="shared" si="11"/>
        <v>0</v>
      </c>
      <c r="H143">
        <f t="shared" si="9"/>
        <v>150</v>
      </c>
      <c r="I143">
        <f>SUM($H$2:H143)</f>
        <v>-1040</v>
      </c>
    </row>
    <row r="144" spans="1:9" x14ac:dyDescent="0.25">
      <c r="A144" s="1">
        <v>45069</v>
      </c>
      <c r="B144">
        <f t="shared" si="8"/>
        <v>2</v>
      </c>
      <c r="C144" t="s">
        <v>9</v>
      </c>
      <c r="D144">
        <f>IF(AND(MONTH(A144)&lt;&gt;MONTH(A143),I143&gt;=3*$S$2),D143+3,D143)</f>
        <v>10</v>
      </c>
      <c r="E144">
        <f>IF(B144&lt;6,ROUNDDOWN(D144*VLOOKUP(C144,$U$1:$V$5,2,FALSE),0)*$S$3,0)</f>
        <v>150</v>
      </c>
      <c r="F144">
        <f t="shared" si="10"/>
        <v>0</v>
      </c>
      <c r="G144">
        <f t="shared" si="11"/>
        <v>0</v>
      </c>
      <c r="H144">
        <f t="shared" si="9"/>
        <v>150</v>
      </c>
      <c r="I144">
        <f>SUM($H$2:H144)</f>
        <v>-890</v>
      </c>
    </row>
    <row r="145" spans="1:9" x14ac:dyDescent="0.25">
      <c r="A145" s="1">
        <v>45070</v>
      </c>
      <c r="B145">
        <f t="shared" si="8"/>
        <v>3</v>
      </c>
      <c r="C145" t="s">
        <v>9</v>
      </c>
      <c r="D145">
        <f>IF(AND(MONTH(A145)&lt;&gt;MONTH(A144),I144&gt;=3*$S$2),D144+3,D144)</f>
        <v>10</v>
      </c>
      <c r="E145">
        <f>IF(B145&lt;6,ROUNDDOWN(D145*VLOOKUP(C145,$U$1:$V$5,2,FALSE),0)*$S$3,0)</f>
        <v>150</v>
      </c>
      <c r="F145">
        <f t="shared" si="10"/>
        <v>0</v>
      </c>
      <c r="G145">
        <f t="shared" si="11"/>
        <v>0</v>
      </c>
      <c r="H145">
        <f t="shared" si="9"/>
        <v>150</v>
      </c>
      <c r="I145">
        <f>SUM($H$2:H145)</f>
        <v>-740</v>
      </c>
    </row>
    <row r="146" spans="1:9" x14ac:dyDescent="0.25">
      <c r="A146" s="1">
        <v>45071</v>
      </c>
      <c r="B146">
        <f t="shared" si="8"/>
        <v>4</v>
      </c>
      <c r="C146" t="s">
        <v>9</v>
      </c>
      <c r="D146">
        <f>IF(AND(MONTH(A146)&lt;&gt;MONTH(A145),I145&gt;=3*$S$2),D145+3,D145)</f>
        <v>10</v>
      </c>
      <c r="E146">
        <f>IF(B146&lt;6,ROUNDDOWN(D146*VLOOKUP(C146,$U$1:$V$5,2,FALSE),0)*$S$3,0)</f>
        <v>150</v>
      </c>
      <c r="F146">
        <f t="shared" si="10"/>
        <v>0</v>
      </c>
      <c r="G146">
        <f t="shared" si="11"/>
        <v>0</v>
      </c>
      <c r="H146">
        <f t="shared" si="9"/>
        <v>150</v>
      </c>
      <c r="I146">
        <f>SUM($H$2:H146)</f>
        <v>-590</v>
      </c>
    </row>
    <row r="147" spans="1:9" x14ac:dyDescent="0.25">
      <c r="A147" s="1">
        <v>45072</v>
      </c>
      <c r="B147">
        <f t="shared" si="8"/>
        <v>5</v>
      </c>
      <c r="C147" t="s">
        <v>9</v>
      </c>
      <c r="D147">
        <f>IF(AND(MONTH(A147)&lt;&gt;MONTH(A146),I146&gt;=3*$S$2),D146+3,D146)</f>
        <v>10</v>
      </c>
      <c r="E147">
        <f>IF(B147&lt;6,ROUNDDOWN(D147*VLOOKUP(C147,$U$1:$V$5,2,FALSE),0)*$S$3,0)</f>
        <v>150</v>
      </c>
      <c r="F147">
        <f t="shared" si="10"/>
        <v>0</v>
      </c>
      <c r="G147">
        <f t="shared" si="11"/>
        <v>0</v>
      </c>
      <c r="H147">
        <f t="shared" si="9"/>
        <v>150</v>
      </c>
      <c r="I147">
        <f>SUM($H$2:H147)</f>
        <v>-440</v>
      </c>
    </row>
    <row r="148" spans="1:9" x14ac:dyDescent="0.25">
      <c r="A148" s="1">
        <v>45073</v>
      </c>
      <c r="B148">
        <f t="shared" si="8"/>
        <v>6</v>
      </c>
      <c r="C148" t="s">
        <v>9</v>
      </c>
      <c r="D148">
        <f>IF(AND(MONTH(A148)&lt;&gt;MONTH(A147),I147&gt;=3*$S$2),D147+3,D147)</f>
        <v>10</v>
      </c>
      <c r="E148">
        <f>IF(B148&lt;6,ROUNDDOWN(D148*VLOOKUP(C148,$U$1:$V$5,2,FALSE),0)*$S$3,0)</f>
        <v>0</v>
      </c>
      <c r="F148">
        <f t="shared" si="10"/>
        <v>0</v>
      </c>
      <c r="G148">
        <f t="shared" si="11"/>
        <v>0</v>
      </c>
      <c r="H148">
        <f t="shared" si="9"/>
        <v>0</v>
      </c>
      <c r="I148">
        <f>SUM($H$2:H148)</f>
        <v>-440</v>
      </c>
    </row>
    <row r="149" spans="1:9" x14ac:dyDescent="0.25">
      <c r="A149" s="1">
        <v>45074</v>
      </c>
      <c r="B149">
        <f t="shared" si="8"/>
        <v>7</v>
      </c>
      <c r="C149" t="s">
        <v>9</v>
      </c>
      <c r="D149">
        <f>IF(AND(MONTH(A149)&lt;&gt;MONTH(A148),I148&gt;=3*$S$2),D148+3,D148)</f>
        <v>10</v>
      </c>
      <c r="E149">
        <f>IF(B149&lt;6,ROUNDDOWN(D149*VLOOKUP(C149,$U$1:$V$5,2,FALSE),0)*$S$3,0)</f>
        <v>0</v>
      </c>
      <c r="F149">
        <f t="shared" si="10"/>
        <v>150</v>
      </c>
      <c r="G149">
        <f t="shared" si="11"/>
        <v>0</v>
      </c>
      <c r="H149">
        <f t="shared" si="9"/>
        <v>-150</v>
      </c>
      <c r="I149">
        <f>SUM($H$2:H149)</f>
        <v>-590</v>
      </c>
    </row>
    <row r="150" spans="1:9" x14ac:dyDescent="0.25">
      <c r="A150" s="1">
        <v>45075</v>
      </c>
      <c r="B150">
        <f t="shared" si="8"/>
        <v>1</v>
      </c>
      <c r="C150" t="s">
        <v>9</v>
      </c>
      <c r="D150">
        <f>IF(AND(MONTH(A150)&lt;&gt;MONTH(A149),I149&gt;=3*$S$2),D149+3,D149)</f>
        <v>10</v>
      </c>
      <c r="E150">
        <f>IF(B150&lt;6,ROUNDDOWN(D150*VLOOKUP(C150,$U$1:$V$5,2,FALSE),0)*$S$3,0)</f>
        <v>150</v>
      </c>
      <c r="F150">
        <f t="shared" si="10"/>
        <v>0</v>
      </c>
      <c r="G150">
        <f t="shared" si="11"/>
        <v>0</v>
      </c>
      <c r="H150">
        <f t="shared" si="9"/>
        <v>150</v>
      </c>
      <c r="I150">
        <f>SUM($H$2:H150)</f>
        <v>-440</v>
      </c>
    </row>
    <row r="151" spans="1:9" x14ac:dyDescent="0.25">
      <c r="A151" s="1">
        <v>45076</v>
      </c>
      <c r="B151">
        <f t="shared" si="8"/>
        <v>2</v>
      </c>
      <c r="C151" t="s">
        <v>9</v>
      </c>
      <c r="D151">
        <f>IF(AND(MONTH(A151)&lt;&gt;MONTH(A150),I150&gt;=3*$S$2),D150+3,D150)</f>
        <v>10</v>
      </c>
      <c r="E151">
        <f>IF(B151&lt;6,ROUNDDOWN(D151*VLOOKUP(C151,$U$1:$V$5,2,FALSE),0)*$S$3,0)</f>
        <v>150</v>
      </c>
      <c r="F151">
        <f t="shared" si="10"/>
        <v>0</v>
      </c>
      <c r="G151">
        <f t="shared" si="11"/>
        <v>0</v>
      </c>
      <c r="H151">
        <f t="shared" si="9"/>
        <v>150</v>
      </c>
      <c r="I151">
        <f>SUM($H$2:H151)</f>
        <v>-290</v>
      </c>
    </row>
    <row r="152" spans="1:9" x14ac:dyDescent="0.25">
      <c r="A152" s="1">
        <v>45077</v>
      </c>
      <c r="B152">
        <f t="shared" si="8"/>
        <v>3</v>
      </c>
      <c r="C152" t="s">
        <v>9</v>
      </c>
      <c r="D152">
        <f>IF(AND(MONTH(A152)&lt;&gt;MONTH(A151),I151&gt;=3*$S$2),D151+3,D151)</f>
        <v>10</v>
      </c>
      <c r="E152">
        <f>IF(B152&lt;6,ROUNDDOWN(D152*VLOOKUP(C152,$U$1:$V$5,2,FALSE),0)*$S$3,0)</f>
        <v>150</v>
      </c>
      <c r="F152">
        <f t="shared" si="10"/>
        <v>0</v>
      </c>
      <c r="G152">
        <f t="shared" si="11"/>
        <v>0</v>
      </c>
      <c r="H152">
        <f t="shared" si="9"/>
        <v>150</v>
      </c>
      <c r="I152">
        <f>SUM($H$2:H152)</f>
        <v>-140</v>
      </c>
    </row>
    <row r="153" spans="1:9" x14ac:dyDescent="0.25">
      <c r="A153" s="1">
        <v>45078</v>
      </c>
      <c r="B153">
        <f t="shared" si="8"/>
        <v>4</v>
      </c>
      <c r="C153" t="s">
        <v>9</v>
      </c>
      <c r="D153">
        <f>IF(AND(MONTH(A153)&lt;&gt;MONTH(A152),I152&gt;=3*$S$2),D152+3,D152)</f>
        <v>10</v>
      </c>
      <c r="E153">
        <f>IF(B153&lt;6,ROUNDDOWN(D153*VLOOKUP(C153,$U$1:$V$5,2,FALSE),0)*$S$3,0)</f>
        <v>150</v>
      </c>
      <c r="F153">
        <f t="shared" si="10"/>
        <v>0</v>
      </c>
      <c r="G153">
        <f t="shared" si="11"/>
        <v>0</v>
      </c>
      <c r="H153">
        <f t="shared" si="9"/>
        <v>150</v>
      </c>
      <c r="I153">
        <f>SUM($H$2:H153)</f>
        <v>10</v>
      </c>
    </row>
    <row r="154" spans="1:9" x14ac:dyDescent="0.25">
      <c r="A154" s="1">
        <v>45079</v>
      </c>
      <c r="B154">
        <f t="shared" si="8"/>
        <v>5</v>
      </c>
      <c r="C154" t="s">
        <v>9</v>
      </c>
      <c r="D154">
        <f>IF(AND(MONTH(A154)&lt;&gt;MONTH(A153),I153&gt;=3*$S$2),D153+3,D153)</f>
        <v>10</v>
      </c>
      <c r="E154">
        <f>IF(B154&lt;6,ROUNDDOWN(D154*VLOOKUP(C154,$U$1:$V$5,2,FALSE),0)*$S$3,0)</f>
        <v>150</v>
      </c>
      <c r="F154">
        <f t="shared" si="10"/>
        <v>0</v>
      </c>
      <c r="G154">
        <f t="shared" si="11"/>
        <v>0</v>
      </c>
      <c r="H154">
        <f t="shared" si="9"/>
        <v>150</v>
      </c>
      <c r="I154">
        <f>SUM($H$2:H154)</f>
        <v>160</v>
      </c>
    </row>
    <row r="155" spans="1:9" x14ac:dyDescent="0.25">
      <c r="A155" s="1">
        <v>45080</v>
      </c>
      <c r="B155">
        <f t="shared" si="8"/>
        <v>6</v>
      </c>
      <c r="C155" t="s">
        <v>9</v>
      </c>
      <c r="D155">
        <f>IF(AND(MONTH(A155)&lt;&gt;MONTH(A154),I154&gt;=3*$S$2),D154+3,D154)</f>
        <v>10</v>
      </c>
      <c r="E155">
        <f>IF(B155&lt;6,ROUNDDOWN(D155*VLOOKUP(C155,$U$1:$V$5,2,FALSE),0)*$S$3,0)</f>
        <v>0</v>
      </c>
      <c r="F155">
        <f t="shared" si="10"/>
        <v>0</v>
      </c>
      <c r="G155">
        <f t="shared" si="11"/>
        <v>0</v>
      </c>
      <c r="H155">
        <f t="shared" si="9"/>
        <v>0</v>
      </c>
      <c r="I155">
        <f>SUM($H$2:H155)</f>
        <v>160</v>
      </c>
    </row>
    <row r="156" spans="1:9" x14ac:dyDescent="0.25">
      <c r="A156" s="1">
        <v>45081</v>
      </c>
      <c r="B156">
        <f t="shared" si="8"/>
        <v>7</v>
      </c>
      <c r="C156" t="s">
        <v>9</v>
      </c>
      <c r="D156">
        <f>IF(AND(MONTH(A156)&lt;&gt;MONTH(A155),I155&gt;=3*$S$2),D155+3,D155)</f>
        <v>10</v>
      </c>
      <c r="E156">
        <f>IF(B156&lt;6,ROUNDDOWN(D156*VLOOKUP(C156,$U$1:$V$5,2,FALSE),0)*$S$3,0)</f>
        <v>0</v>
      </c>
      <c r="F156">
        <f t="shared" si="10"/>
        <v>150</v>
      </c>
      <c r="G156">
        <f t="shared" si="11"/>
        <v>0</v>
      </c>
      <c r="H156">
        <f t="shared" si="9"/>
        <v>-150</v>
      </c>
      <c r="I156">
        <f>SUM($H$2:H156)</f>
        <v>10</v>
      </c>
    </row>
    <row r="157" spans="1:9" x14ac:dyDescent="0.25">
      <c r="A157" s="1">
        <v>45082</v>
      </c>
      <c r="B157">
        <f t="shared" si="8"/>
        <v>1</v>
      </c>
      <c r="C157" t="s">
        <v>9</v>
      </c>
      <c r="D157">
        <f>IF(AND(MONTH(A157)&lt;&gt;MONTH(A156),I156&gt;=3*$S$2),D156+3,D156)</f>
        <v>10</v>
      </c>
      <c r="E157">
        <f>IF(B157&lt;6,ROUNDDOWN(D157*VLOOKUP(C157,$U$1:$V$5,2,FALSE),0)*$S$3,0)</f>
        <v>150</v>
      </c>
      <c r="F157">
        <f t="shared" si="10"/>
        <v>0</v>
      </c>
      <c r="G157">
        <f t="shared" si="11"/>
        <v>0</v>
      </c>
      <c r="H157">
        <f t="shared" si="9"/>
        <v>150</v>
      </c>
      <c r="I157">
        <f>SUM($H$2:H157)</f>
        <v>160</v>
      </c>
    </row>
    <row r="158" spans="1:9" x14ac:dyDescent="0.25">
      <c r="A158" s="1">
        <v>45083</v>
      </c>
      <c r="B158">
        <f t="shared" si="8"/>
        <v>2</v>
      </c>
      <c r="C158" t="s">
        <v>9</v>
      </c>
      <c r="D158">
        <f>IF(AND(MONTH(A158)&lt;&gt;MONTH(A157),I157&gt;=3*$S$2),D157+3,D157)</f>
        <v>10</v>
      </c>
      <c r="E158">
        <f>IF(B158&lt;6,ROUNDDOWN(D158*VLOOKUP(C158,$U$1:$V$5,2,FALSE),0)*$S$3,0)</f>
        <v>150</v>
      </c>
      <c r="F158">
        <f t="shared" si="10"/>
        <v>0</v>
      </c>
      <c r="G158">
        <f t="shared" si="11"/>
        <v>0</v>
      </c>
      <c r="H158">
        <f t="shared" si="9"/>
        <v>150</v>
      </c>
      <c r="I158">
        <f>SUM($H$2:H158)</f>
        <v>310</v>
      </c>
    </row>
    <row r="159" spans="1:9" x14ac:dyDescent="0.25">
      <c r="A159" s="1">
        <v>45084</v>
      </c>
      <c r="B159">
        <f t="shared" si="8"/>
        <v>3</v>
      </c>
      <c r="C159" t="s">
        <v>9</v>
      </c>
      <c r="D159">
        <f>IF(AND(MONTH(A159)&lt;&gt;MONTH(A158),I158&gt;=3*$S$2),D158+3,D158)</f>
        <v>10</v>
      </c>
      <c r="E159">
        <f>IF(B159&lt;6,ROUNDDOWN(D159*VLOOKUP(C159,$U$1:$V$5,2,FALSE),0)*$S$3,0)</f>
        <v>150</v>
      </c>
      <c r="F159">
        <f t="shared" si="10"/>
        <v>0</v>
      </c>
      <c r="G159">
        <f t="shared" si="11"/>
        <v>0</v>
      </c>
      <c r="H159">
        <f t="shared" si="9"/>
        <v>150</v>
      </c>
      <c r="I159">
        <f>SUM($H$2:H159)</f>
        <v>460</v>
      </c>
    </row>
    <row r="160" spans="1:9" x14ac:dyDescent="0.25">
      <c r="A160" s="1">
        <v>45085</v>
      </c>
      <c r="B160">
        <f t="shared" si="8"/>
        <v>4</v>
      </c>
      <c r="C160" t="s">
        <v>9</v>
      </c>
      <c r="D160">
        <f>IF(AND(MONTH(A160)&lt;&gt;MONTH(A159),I159&gt;=3*$S$2),D159+3,D159)</f>
        <v>10</v>
      </c>
      <c r="E160">
        <f>IF(B160&lt;6,ROUNDDOWN(D160*VLOOKUP(C160,$U$1:$V$5,2,FALSE),0)*$S$3,0)</f>
        <v>150</v>
      </c>
      <c r="F160">
        <f t="shared" si="10"/>
        <v>0</v>
      </c>
      <c r="G160">
        <f t="shared" si="11"/>
        <v>0</v>
      </c>
      <c r="H160">
        <f t="shared" si="9"/>
        <v>150</v>
      </c>
      <c r="I160">
        <f>SUM($H$2:H160)</f>
        <v>610</v>
      </c>
    </row>
    <row r="161" spans="1:9" x14ac:dyDescent="0.25">
      <c r="A161" s="1">
        <v>45086</v>
      </c>
      <c r="B161">
        <f t="shared" si="8"/>
        <v>5</v>
      </c>
      <c r="C161" t="s">
        <v>9</v>
      </c>
      <c r="D161">
        <f>IF(AND(MONTH(A161)&lt;&gt;MONTH(A160),I160&gt;=3*$S$2),D160+3,D160)</f>
        <v>10</v>
      </c>
      <c r="E161">
        <f>IF(B161&lt;6,ROUNDDOWN(D161*VLOOKUP(C161,$U$1:$V$5,2,FALSE),0)*$S$3,0)</f>
        <v>150</v>
      </c>
      <c r="F161">
        <f t="shared" si="10"/>
        <v>0</v>
      </c>
      <c r="G161">
        <f t="shared" si="11"/>
        <v>0</v>
      </c>
      <c r="H161">
        <f t="shared" si="9"/>
        <v>150</v>
      </c>
      <c r="I161">
        <f>SUM($H$2:H161)</f>
        <v>760</v>
      </c>
    </row>
    <row r="162" spans="1:9" x14ac:dyDescent="0.25">
      <c r="A162" s="1">
        <v>45087</v>
      </c>
      <c r="B162">
        <f t="shared" si="8"/>
        <v>6</v>
      </c>
      <c r="C162" t="s">
        <v>9</v>
      </c>
      <c r="D162">
        <f>IF(AND(MONTH(A162)&lt;&gt;MONTH(A161),I161&gt;=3*$S$2),D161+3,D161)</f>
        <v>10</v>
      </c>
      <c r="E162">
        <f>IF(B162&lt;6,ROUNDDOWN(D162*VLOOKUP(C162,$U$1:$V$5,2,FALSE),0)*$S$3,0)</f>
        <v>0</v>
      </c>
      <c r="F162">
        <f t="shared" si="10"/>
        <v>0</v>
      </c>
      <c r="G162">
        <f t="shared" si="11"/>
        <v>0</v>
      </c>
      <c r="H162">
        <f t="shared" si="9"/>
        <v>0</v>
      </c>
      <c r="I162">
        <f>SUM($H$2:H162)</f>
        <v>760</v>
      </c>
    </row>
    <row r="163" spans="1:9" x14ac:dyDescent="0.25">
      <c r="A163" s="1">
        <v>45088</v>
      </c>
      <c r="B163">
        <f t="shared" si="8"/>
        <v>7</v>
      </c>
      <c r="C163" t="s">
        <v>9</v>
      </c>
      <c r="D163">
        <f>IF(AND(MONTH(A163)&lt;&gt;MONTH(A162),I162&gt;=3*$S$2),D162+3,D162)</f>
        <v>10</v>
      </c>
      <c r="E163">
        <f>IF(B163&lt;6,ROUNDDOWN(D163*VLOOKUP(C163,$U$1:$V$5,2,FALSE),0)*$S$3,0)</f>
        <v>0</v>
      </c>
      <c r="F163">
        <f t="shared" si="10"/>
        <v>150</v>
      </c>
      <c r="G163">
        <f t="shared" si="11"/>
        <v>0</v>
      </c>
      <c r="H163">
        <f t="shared" si="9"/>
        <v>-150</v>
      </c>
      <c r="I163">
        <f>SUM($H$2:H163)</f>
        <v>610</v>
      </c>
    </row>
    <row r="164" spans="1:9" x14ac:dyDescent="0.25">
      <c r="A164" s="1">
        <v>45089</v>
      </c>
      <c r="B164">
        <f t="shared" si="8"/>
        <v>1</v>
      </c>
      <c r="C164" t="s">
        <v>9</v>
      </c>
      <c r="D164">
        <f>IF(AND(MONTH(A164)&lt;&gt;MONTH(A163),I163&gt;=3*$S$2),D163+3,D163)</f>
        <v>10</v>
      </c>
      <c r="E164">
        <f>IF(B164&lt;6,ROUNDDOWN(D164*VLOOKUP(C164,$U$1:$V$5,2,FALSE),0)*$S$3,0)</f>
        <v>150</v>
      </c>
      <c r="F164">
        <f t="shared" si="10"/>
        <v>0</v>
      </c>
      <c r="G164">
        <f t="shared" si="11"/>
        <v>0</v>
      </c>
      <c r="H164">
        <f t="shared" si="9"/>
        <v>150</v>
      </c>
      <c r="I164">
        <f>SUM($H$2:H164)</f>
        <v>760</v>
      </c>
    </row>
    <row r="165" spans="1:9" x14ac:dyDescent="0.25">
      <c r="A165" s="1">
        <v>45090</v>
      </c>
      <c r="B165">
        <f t="shared" si="8"/>
        <v>2</v>
      </c>
      <c r="C165" t="s">
        <v>9</v>
      </c>
      <c r="D165">
        <f>IF(AND(MONTH(A165)&lt;&gt;MONTH(A164),I164&gt;=3*$S$2),D164+3,D164)</f>
        <v>10</v>
      </c>
      <c r="E165">
        <f>IF(B165&lt;6,ROUNDDOWN(D165*VLOOKUP(C165,$U$1:$V$5,2,FALSE),0)*$S$3,0)</f>
        <v>150</v>
      </c>
      <c r="F165">
        <f t="shared" si="10"/>
        <v>0</v>
      </c>
      <c r="G165">
        <f t="shared" si="11"/>
        <v>0</v>
      </c>
      <c r="H165">
        <f t="shared" si="9"/>
        <v>150</v>
      </c>
      <c r="I165">
        <f>SUM($H$2:H165)</f>
        <v>910</v>
      </c>
    </row>
    <row r="166" spans="1:9" x14ac:dyDescent="0.25">
      <c r="A166" s="1">
        <v>45091</v>
      </c>
      <c r="B166">
        <f t="shared" si="8"/>
        <v>3</v>
      </c>
      <c r="C166" t="s">
        <v>9</v>
      </c>
      <c r="D166">
        <f>IF(AND(MONTH(A166)&lt;&gt;MONTH(A165),I165&gt;=3*$S$2),D165+3,D165)</f>
        <v>10</v>
      </c>
      <c r="E166">
        <f>IF(B166&lt;6,ROUNDDOWN(D166*VLOOKUP(C166,$U$1:$V$5,2,FALSE),0)*$S$3,0)</f>
        <v>150</v>
      </c>
      <c r="F166">
        <f t="shared" si="10"/>
        <v>0</v>
      </c>
      <c r="G166">
        <f t="shared" si="11"/>
        <v>0</v>
      </c>
      <c r="H166">
        <f t="shared" si="9"/>
        <v>150</v>
      </c>
      <c r="I166">
        <f>SUM($H$2:H166)</f>
        <v>1060</v>
      </c>
    </row>
    <row r="167" spans="1:9" x14ac:dyDescent="0.25">
      <c r="A167" s="1">
        <v>45092</v>
      </c>
      <c r="B167">
        <f t="shared" si="8"/>
        <v>4</v>
      </c>
      <c r="C167" t="s">
        <v>9</v>
      </c>
      <c r="D167">
        <f>IF(AND(MONTH(A167)&lt;&gt;MONTH(A166),I166&gt;=3*$S$2),D166+3,D166)</f>
        <v>10</v>
      </c>
      <c r="E167">
        <f>IF(B167&lt;6,ROUNDDOWN(D167*VLOOKUP(C167,$U$1:$V$5,2,FALSE),0)*$S$3,0)</f>
        <v>150</v>
      </c>
      <c r="F167">
        <f t="shared" si="10"/>
        <v>0</v>
      </c>
      <c r="G167">
        <f t="shared" si="11"/>
        <v>0</v>
      </c>
      <c r="H167">
        <f t="shared" si="9"/>
        <v>150</v>
      </c>
      <c r="I167">
        <f>SUM($H$2:H167)</f>
        <v>1210</v>
      </c>
    </row>
    <row r="168" spans="1:9" x14ac:dyDescent="0.25">
      <c r="A168" s="1">
        <v>45093</v>
      </c>
      <c r="B168">
        <f t="shared" si="8"/>
        <v>5</v>
      </c>
      <c r="C168" t="s">
        <v>9</v>
      </c>
      <c r="D168">
        <f>IF(AND(MONTH(A168)&lt;&gt;MONTH(A167),I167&gt;=3*$S$2),D167+3,D167)</f>
        <v>10</v>
      </c>
      <c r="E168">
        <f>IF(B168&lt;6,ROUNDDOWN(D168*VLOOKUP(C168,$U$1:$V$5,2,FALSE),0)*$S$3,0)</f>
        <v>150</v>
      </c>
      <c r="F168">
        <f t="shared" si="10"/>
        <v>0</v>
      </c>
      <c r="G168">
        <f t="shared" si="11"/>
        <v>0</v>
      </c>
      <c r="H168">
        <f t="shared" si="9"/>
        <v>150</v>
      </c>
      <c r="I168">
        <f>SUM($H$2:H168)</f>
        <v>1360</v>
      </c>
    </row>
    <row r="169" spans="1:9" x14ac:dyDescent="0.25">
      <c r="A169" s="1">
        <v>45094</v>
      </c>
      <c r="B169">
        <f t="shared" si="8"/>
        <v>6</v>
      </c>
      <c r="C169" t="s">
        <v>9</v>
      </c>
      <c r="D169">
        <f>IF(AND(MONTH(A169)&lt;&gt;MONTH(A168),I168&gt;=3*$S$2),D168+3,D168)</f>
        <v>10</v>
      </c>
      <c r="E169">
        <f>IF(B169&lt;6,ROUNDDOWN(D169*VLOOKUP(C169,$U$1:$V$5,2,FALSE),0)*$S$3,0)</f>
        <v>0</v>
      </c>
      <c r="F169">
        <f t="shared" si="10"/>
        <v>0</v>
      </c>
      <c r="G169">
        <f t="shared" si="11"/>
        <v>0</v>
      </c>
      <c r="H169">
        <f t="shared" si="9"/>
        <v>0</v>
      </c>
      <c r="I169">
        <f>SUM($H$2:H169)</f>
        <v>1360</v>
      </c>
    </row>
    <row r="170" spans="1:9" x14ac:dyDescent="0.25">
      <c r="A170" s="1">
        <v>45095</v>
      </c>
      <c r="B170">
        <f t="shared" si="8"/>
        <v>7</v>
      </c>
      <c r="C170" t="s">
        <v>9</v>
      </c>
      <c r="D170">
        <f>IF(AND(MONTH(A170)&lt;&gt;MONTH(A169),I169&gt;=3*$S$2),D169+3,D169)</f>
        <v>10</v>
      </c>
      <c r="E170">
        <f>IF(B170&lt;6,ROUNDDOWN(D170*VLOOKUP(C170,$U$1:$V$5,2,FALSE),0)*$S$3,0)</f>
        <v>0</v>
      </c>
      <c r="F170">
        <f t="shared" si="10"/>
        <v>150</v>
      </c>
      <c r="G170">
        <f t="shared" si="11"/>
        <v>0</v>
      </c>
      <c r="H170">
        <f t="shared" si="9"/>
        <v>-150</v>
      </c>
      <c r="I170">
        <f>SUM($H$2:H170)</f>
        <v>1210</v>
      </c>
    </row>
    <row r="171" spans="1:9" x14ac:dyDescent="0.25">
      <c r="A171" s="1">
        <v>45096</v>
      </c>
      <c r="B171">
        <f t="shared" si="8"/>
        <v>1</v>
      </c>
      <c r="C171" t="s">
        <v>9</v>
      </c>
      <c r="D171">
        <f>IF(AND(MONTH(A171)&lt;&gt;MONTH(A170),I170&gt;=3*$S$2),D170+3,D170)</f>
        <v>10</v>
      </c>
      <c r="E171">
        <f>IF(B171&lt;6,ROUNDDOWN(D171*VLOOKUP(C171,$U$1:$V$5,2,FALSE),0)*$S$3,0)</f>
        <v>150</v>
      </c>
      <c r="F171">
        <f t="shared" si="10"/>
        <v>0</v>
      </c>
      <c r="G171">
        <f t="shared" si="11"/>
        <v>0</v>
      </c>
      <c r="H171">
        <f t="shared" si="9"/>
        <v>150</v>
      </c>
      <c r="I171">
        <f>SUM($H$2:H171)</f>
        <v>1360</v>
      </c>
    </row>
    <row r="172" spans="1:9" x14ac:dyDescent="0.25">
      <c r="A172" s="1">
        <v>45097</v>
      </c>
      <c r="B172">
        <f t="shared" si="8"/>
        <v>2</v>
      </c>
      <c r="C172" t="s">
        <v>9</v>
      </c>
      <c r="D172">
        <f>IF(AND(MONTH(A172)&lt;&gt;MONTH(A171),I171&gt;=3*$S$2),D171+3,D171)</f>
        <v>10</v>
      </c>
      <c r="E172">
        <f>IF(B172&lt;6,ROUNDDOWN(D172*VLOOKUP(C172,$U$1:$V$5,2,FALSE),0)*$S$3,0)</f>
        <v>150</v>
      </c>
      <c r="F172">
        <f t="shared" si="10"/>
        <v>0</v>
      </c>
      <c r="G172">
        <f t="shared" si="11"/>
        <v>0</v>
      </c>
      <c r="H172">
        <f t="shared" si="9"/>
        <v>150</v>
      </c>
      <c r="I172">
        <f>SUM($H$2:H172)</f>
        <v>1510</v>
      </c>
    </row>
    <row r="173" spans="1:9" x14ac:dyDescent="0.25">
      <c r="A173" s="1">
        <v>45098</v>
      </c>
      <c r="B173">
        <f t="shared" si="8"/>
        <v>3</v>
      </c>
      <c r="C173" t="s">
        <v>10</v>
      </c>
      <c r="D173">
        <f>IF(AND(MONTH(A173)&lt;&gt;MONTH(A172),I172&gt;=3*$S$2),D172+3,D172)</f>
        <v>10</v>
      </c>
      <c r="E173">
        <f>IF(B173&lt;6,ROUNDDOWN(D173*VLOOKUP(C173,$U$1:$V$5,2,FALSE),0)*$S$3,0)</f>
        <v>270</v>
      </c>
      <c r="F173">
        <f t="shared" si="10"/>
        <v>0</v>
      </c>
      <c r="G173">
        <f t="shared" si="11"/>
        <v>0</v>
      </c>
      <c r="H173">
        <f t="shared" si="9"/>
        <v>270</v>
      </c>
      <c r="I173">
        <f>SUM($H$2:H173)</f>
        <v>1780</v>
      </c>
    </row>
    <row r="174" spans="1:9" x14ac:dyDescent="0.25">
      <c r="A174" s="1">
        <v>45099</v>
      </c>
      <c r="B174">
        <f t="shared" si="8"/>
        <v>4</v>
      </c>
      <c r="C174" t="s">
        <v>10</v>
      </c>
      <c r="D174">
        <f>IF(AND(MONTH(A174)&lt;&gt;MONTH(A173),I173&gt;=3*$S$2),D173+3,D173)</f>
        <v>10</v>
      </c>
      <c r="E174">
        <f>IF(B174&lt;6,ROUNDDOWN(D174*VLOOKUP(C174,$U$1:$V$5,2,FALSE),0)*$S$3,0)</f>
        <v>270</v>
      </c>
      <c r="F174">
        <f t="shared" si="10"/>
        <v>0</v>
      </c>
      <c r="G174">
        <f t="shared" si="11"/>
        <v>0</v>
      </c>
      <c r="H174">
        <f t="shared" si="9"/>
        <v>270</v>
      </c>
      <c r="I174">
        <f>SUM($H$2:H174)</f>
        <v>2050</v>
      </c>
    </row>
    <row r="175" spans="1:9" x14ac:dyDescent="0.25">
      <c r="A175" s="1">
        <v>45100</v>
      </c>
      <c r="B175">
        <f t="shared" si="8"/>
        <v>5</v>
      </c>
      <c r="C175" t="s">
        <v>10</v>
      </c>
      <c r="D175">
        <f>IF(AND(MONTH(A175)&lt;&gt;MONTH(A174),I174&gt;=3*$S$2),D174+3,D174)</f>
        <v>10</v>
      </c>
      <c r="E175">
        <f>IF(B175&lt;6,ROUNDDOWN(D175*VLOOKUP(C175,$U$1:$V$5,2,FALSE),0)*$S$3,0)</f>
        <v>270</v>
      </c>
      <c r="F175">
        <f t="shared" si="10"/>
        <v>0</v>
      </c>
      <c r="G175">
        <f t="shared" si="11"/>
        <v>0</v>
      </c>
      <c r="H175">
        <f t="shared" si="9"/>
        <v>270</v>
      </c>
      <c r="I175">
        <f>SUM($H$2:H175)</f>
        <v>2320</v>
      </c>
    </row>
    <row r="176" spans="1:9" x14ac:dyDescent="0.25">
      <c r="A176" s="1">
        <v>45101</v>
      </c>
      <c r="B176">
        <f t="shared" si="8"/>
        <v>6</v>
      </c>
      <c r="C176" t="s">
        <v>10</v>
      </c>
      <c r="D176">
        <f>IF(AND(MONTH(A176)&lt;&gt;MONTH(A175),I175&gt;=3*$S$2),D175+3,D175)</f>
        <v>10</v>
      </c>
      <c r="E176">
        <f>IF(B176&lt;6,ROUNDDOWN(D176*VLOOKUP(C176,$U$1:$V$5,2,FALSE),0)*$S$3,0)</f>
        <v>0</v>
      </c>
      <c r="F176">
        <f t="shared" si="10"/>
        <v>0</v>
      </c>
      <c r="G176">
        <f t="shared" si="11"/>
        <v>0</v>
      </c>
      <c r="H176">
        <f t="shared" si="9"/>
        <v>0</v>
      </c>
      <c r="I176">
        <f>SUM($H$2:H176)</f>
        <v>2320</v>
      </c>
    </row>
    <row r="177" spans="1:9" x14ac:dyDescent="0.25">
      <c r="A177" s="1">
        <v>45102</v>
      </c>
      <c r="B177">
        <f t="shared" si="8"/>
        <v>7</v>
      </c>
      <c r="C177" t="s">
        <v>10</v>
      </c>
      <c r="D177">
        <f>IF(AND(MONTH(A177)&lt;&gt;MONTH(A176),I176&gt;=3*$S$2),D176+3,D176)</f>
        <v>10</v>
      </c>
      <c r="E177">
        <f>IF(B177&lt;6,ROUNDDOWN(D177*VLOOKUP(C177,$U$1:$V$5,2,FALSE),0)*$S$3,0)</f>
        <v>0</v>
      </c>
      <c r="F177">
        <f t="shared" si="10"/>
        <v>150</v>
      </c>
      <c r="G177">
        <f t="shared" si="11"/>
        <v>0</v>
      </c>
      <c r="H177">
        <f t="shared" si="9"/>
        <v>-150</v>
      </c>
      <c r="I177">
        <f>SUM($H$2:H177)</f>
        <v>2170</v>
      </c>
    </row>
    <row r="178" spans="1:9" x14ac:dyDescent="0.25">
      <c r="A178" s="1">
        <v>45103</v>
      </c>
      <c r="B178">
        <f t="shared" si="8"/>
        <v>1</v>
      </c>
      <c r="C178" t="s">
        <v>10</v>
      </c>
      <c r="D178">
        <f>IF(AND(MONTH(A178)&lt;&gt;MONTH(A177),I177&gt;=3*$S$2),D177+3,D177)</f>
        <v>10</v>
      </c>
      <c r="E178">
        <f>IF(B178&lt;6,ROUNDDOWN(D178*VLOOKUP(C178,$U$1:$V$5,2,FALSE),0)*$S$3,0)</f>
        <v>270</v>
      </c>
      <c r="F178">
        <f t="shared" si="10"/>
        <v>0</v>
      </c>
      <c r="G178">
        <f t="shared" si="11"/>
        <v>0</v>
      </c>
      <c r="H178">
        <f t="shared" si="9"/>
        <v>270</v>
      </c>
      <c r="I178">
        <f>SUM($H$2:H178)</f>
        <v>2440</v>
      </c>
    </row>
    <row r="179" spans="1:9" x14ac:dyDescent="0.25">
      <c r="A179" s="1">
        <v>45104</v>
      </c>
      <c r="B179">
        <f t="shared" si="8"/>
        <v>2</v>
      </c>
      <c r="C179" t="s">
        <v>10</v>
      </c>
      <c r="D179">
        <f>IF(AND(MONTH(A179)&lt;&gt;MONTH(A178),I178&gt;=3*$S$2),D178+3,D178)</f>
        <v>10</v>
      </c>
      <c r="E179">
        <f>IF(B179&lt;6,ROUNDDOWN(D179*VLOOKUP(C179,$U$1:$V$5,2,FALSE),0)*$S$3,0)</f>
        <v>270</v>
      </c>
      <c r="F179">
        <f t="shared" si="10"/>
        <v>0</v>
      </c>
      <c r="G179">
        <f t="shared" si="11"/>
        <v>0</v>
      </c>
      <c r="H179">
        <f t="shared" si="9"/>
        <v>270</v>
      </c>
      <c r="I179">
        <f>SUM($H$2:H179)</f>
        <v>2710</v>
      </c>
    </row>
    <row r="180" spans="1:9" x14ac:dyDescent="0.25">
      <c r="A180" s="1">
        <v>45105</v>
      </c>
      <c r="B180">
        <f t="shared" si="8"/>
        <v>3</v>
      </c>
      <c r="C180" t="s">
        <v>10</v>
      </c>
      <c r="D180">
        <f>IF(AND(MONTH(A180)&lt;&gt;MONTH(A179),I179&gt;=3*$S$2),D179+3,D179)</f>
        <v>10</v>
      </c>
      <c r="E180">
        <f>IF(B180&lt;6,ROUNDDOWN(D180*VLOOKUP(C180,$U$1:$V$5,2,FALSE),0)*$S$3,0)</f>
        <v>270</v>
      </c>
      <c r="F180">
        <f t="shared" si="10"/>
        <v>0</v>
      </c>
      <c r="G180">
        <f t="shared" si="11"/>
        <v>0</v>
      </c>
      <c r="H180">
        <f t="shared" si="9"/>
        <v>270</v>
      </c>
      <c r="I180">
        <f>SUM($H$2:H180)</f>
        <v>2980</v>
      </c>
    </row>
    <row r="181" spans="1:9" x14ac:dyDescent="0.25">
      <c r="A181" s="1">
        <v>45106</v>
      </c>
      <c r="B181">
        <f t="shared" si="8"/>
        <v>4</v>
      </c>
      <c r="C181" t="s">
        <v>10</v>
      </c>
      <c r="D181">
        <f>IF(AND(MONTH(A181)&lt;&gt;MONTH(A180),I180&gt;=3*$S$2),D180+3,D180)</f>
        <v>10</v>
      </c>
      <c r="E181">
        <f>IF(B181&lt;6,ROUNDDOWN(D181*VLOOKUP(C181,$U$1:$V$5,2,FALSE),0)*$S$3,0)</f>
        <v>270</v>
      </c>
      <c r="F181">
        <f t="shared" si="10"/>
        <v>0</v>
      </c>
      <c r="G181">
        <f t="shared" si="11"/>
        <v>0</v>
      </c>
      <c r="H181">
        <f t="shared" si="9"/>
        <v>270</v>
      </c>
      <c r="I181">
        <f>SUM($H$2:H181)</f>
        <v>3250</v>
      </c>
    </row>
    <row r="182" spans="1:9" x14ac:dyDescent="0.25">
      <c r="A182" s="1">
        <v>45107</v>
      </c>
      <c r="B182">
        <f t="shared" si="8"/>
        <v>5</v>
      </c>
      <c r="C182" t="s">
        <v>10</v>
      </c>
      <c r="D182">
        <f>IF(AND(MONTH(A182)&lt;&gt;MONTH(A181),I181&gt;=3*$S$2),D181+3,D181)</f>
        <v>10</v>
      </c>
      <c r="E182">
        <f>IF(B182&lt;6,ROUNDDOWN(D182*VLOOKUP(C182,$U$1:$V$5,2,FALSE),0)*$S$3,0)</f>
        <v>270</v>
      </c>
      <c r="F182">
        <f t="shared" si="10"/>
        <v>0</v>
      </c>
      <c r="G182">
        <f t="shared" si="11"/>
        <v>0</v>
      </c>
      <c r="H182">
        <f t="shared" si="9"/>
        <v>270</v>
      </c>
      <c r="I182">
        <f>SUM($H$2:H182)</f>
        <v>3520</v>
      </c>
    </row>
    <row r="183" spans="1:9" x14ac:dyDescent="0.25">
      <c r="A183" s="1">
        <v>45108</v>
      </c>
      <c r="B183">
        <f t="shared" si="8"/>
        <v>6</v>
      </c>
      <c r="C183" t="s">
        <v>10</v>
      </c>
      <c r="D183">
        <f>IF(AND(MONTH(A183)&lt;&gt;MONTH(A182),I182&gt;=3*$S$2),D182+3,D182)</f>
        <v>13</v>
      </c>
      <c r="E183">
        <f>IF(B183&lt;6,ROUNDDOWN(D183*VLOOKUP(C183,$U$1:$V$5,2,FALSE),0)*$S$3,0)</f>
        <v>0</v>
      </c>
      <c r="F183">
        <f t="shared" si="10"/>
        <v>0</v>
      </c>
      <c r="G183">
        <f t="shared" si="11"/>
        <v>2400</v>
      </c>
      <c r="H183">
        <f t="shared" si="9"/>
        <v>-2400</v>
      </c>
      <c r="I183">
        <f>SUM($H$2:H183)</f>
        <v>1120</v>
      </c>
    </row>
    <row r="184" spans="1:9" x14ac:dyDescent="0.25">
      <c r="A184" s="1">
        <v>45109</v>
      </c>
      <c r="B184">
        <f t="shared" si="8"/>
        <v>7</v>
      </c>
      <c r="C184" t="s">
        <v>10</v>
      </c>
      <c r="D184">
        <f>IF(AND(MONTH(A184)&lt;&gt;MONTH(A183),I183&gt;=3*$S$2),D183+3,D183)</f>
        <v>13</v>
      </c>
      <c r="E184">
        <f>IF(B184&lt;6,ROUNDDOWN(D184*VLOOKUP(C184,$U$1:$V$5,2,FALSE),0)*$S$3,0)</f>
        <v>0</v>
      </c>
      <c r="F184">
        <f t="shared" si="10"/>
        <v>195</v>
      </c>
      <c r="G184">
        <f t="shared" si="11"/>
        <v>0</v>
      </c>
      <c r="H184">
        <f t="shared" si="9"/>
        <v>-195</v>
      </c>
      <c r="I184">
        <f>SUM($H$2:H184)</f>
        <v>925</v>
      </c>
    </row>
    <row r="185" spans="1:9" x14ac:dyDescent="0.25">
      <c r="A185" s="1">
        <v>45110</v>
      </c>
      <c r="B185">
        <f t="shared" si="8"/>
        <v>1</v>
      </c>
      <c r="C185" t="s">
        <v>10</v>
      </c>
      <c r="D185">
        <f>IF(AND(MONTH(A185)&lt;&gt;MONTH(A184),I184&gt;=3*$S$2),D184+3,D184)</f>
        <v>13</v>
      </c>
      <c r="E185">
        <f>IF(B185&lt;6,ROUNDDOWN(D185*VLOOKUP(C185,$U$1:$V$5,2,FALSE),0)*$S$3,0)</f>
        <v>330</v>
      </c>
      <c r="F185">
        <f t="shared" si="10"/>
        <v>0</v>
      </c>
      <c r="G185">
        <f t="shared" si="11"/>
        <v>0</v>
      </c>
      <c r="H185">
        <f t="shared" si="9"/>
        <v>330</v>
      </c>
      <c r="I185">
        <f>SUM($H$2:H185)</f>
        <v>1255</v>
      </c>
    </row>
    <row r="186" spans="1:9" x14ac:dyDescent="0.25">
      <c r="A186" s="1">
        <v>45111</v>
      </c>
      <c r="B186">
        <f t="shared" si="8"/>
        <v>2</v>
      </c>
      <c r="C186" t="s">
        <v>10</v>
      </c>
      <c r="D186">
        <f>IF(AND(MONTH(A186)&lt;&gt;MONTH(A185),I185&gt;=3*$S$2),D185+3,D185)</f>
        <v>13</v>
      </c>
      <c r="E186">
        <f>IF(B186&lt;6,ROUNDDOWN(D186*VLOOKUP(C186,$U$1:$V$5,2,FALSE),0)*$S$3,0)</f>
        <v>330</v>
      </c>
      <c r="F186">
        <f t="shared" si="10"/>
        <v>0</v>
      </c>
      <c r="G186">
        <f t="shared" si="11"/>
        <v>0</v>
      </c>
      <c r="H186">
        <f t="shared" si="9"/>
        <v>330</v>
      </c>
      <c r="I186">
        <f>SUM($H$2:H186)</f>
        <v>1585</v>
      </c>
    </row>
    <row r="187" spans="1:9" x14ac:dyDescent="0.25">
      <c r="A187" s="1">
        <v>45112</v>
      </c>
      <c r="B187">
        <f t="shared" si="8"/>
        <v>3</v>
      </c>
      <c r="C187" t="s">
        <v>10</v>
      </c>
      <c r="D187">
        <f>IF(AND(MONTH(A187)&lt;&gt;MONTH(A186),I186&gt;=3*$S$2),D186+3,D186)</f>
        <v>13</v>
      </c>
      <c r="E187">
        <f>IF(B187&lt;6,ROUNDDOWN(D187*VLOOKUP(C187,$U$1:$V$5,2,FALSE),0)*$S$3,0)</f>
        <v>330</v>
      </c>
      <c r="F187">
        <f t="shared" si="10"/>
        <v>0</v>
      </c>
      <c r="G187">
        <f t="shared" si="11"/>
        <v>0</v>
      </c>
      <c r="H187">
        <f t="shared" si="9"/>
        <v>330</v>
      </c>
      <c r="I187">
        <f>SUM($H$2:H187)</f>
        <v>1915</v>
      </c>
    </row>
    <row r="188" spans="1:9" x14ac:dyDescent="0.25">
      <c r="A188" s="1">
        <v>45113</v>
      </c>
      <c r="B188">
        <f t="shared" si="8"/>
        <v>4</v>
      </c>
      <c r="C188" t="s">
        <v>10</v>
      </c>
      <c r="D188">
        <f>IF(AND(MONTH(A188)&lt;&gt;MONTH(A187),I187&gt;=3*$S$2),D187+3,D187)</f>
        <v>13</v>
      </c>
      <c r="E188">
        <f>IF(B188&lt;6,ROUNDDOWN(D188*VLOOKUP(C188,$U$1:$V$5,2,FALSE),0)*$S$3,0)</f>
        <v>330</v>
      </c>
      <c r="F188">
        <f t="shared" si="10"/>
        <v>0</v>
      </c>
      <c r="G188">
        <f t="shared" si="11"/>
        <v>0</v>
      </c>
      <c r="H188">
        <f t="shared" si="9"/>
        <v>330</v>
      </c>
      <c r="I188">
        <f>SUM($H$2:H188)</f>
        <v>2245</v>
      </c>
    </row>
    <row r="189" spans="1:9" x14ac:dyDescent="0.25">
      <c r="A189" s="1">
        <v>45114</v>
      </c>
      <c r="B189">
        <f t="shared" si="8"/>
        <v>5</v>
      </c>
      <c r="C189" t="s">
        <v>10</v>
      </c>
      <c r="D189">
        <f>IF(AND(MONTH(A189)&lt;&gt;MONTH(A188),I188&gt;=3*$S$2),D188+3,D188)</f>
        <v>13</v>
      </c>
      <c r="E189">
        <f>IF(B189&lt;6,ROUNDDOWN(D189*VLOOKUP(C189,$U$1:$V$5,2,FALSE),0)*$S$3,0)</f>
        <v>330</v>
      </c>
      <c r="F189">
        <f t="shared" si="10"/>
        <v>0</v>
      </c>
      <c r="G189">
        <f t="shared" si="11"/>
        <v>0</v>
      </c>
      <c r="H189">
        <f t="shared" si="9"/>
        <v>330</v>
      </c>
      <c r="I189">
        <f>SUM($H$2:H189)</f>
        <v>2575</v>
      </c>
    </row>
    <row r="190" spans="1:9" x14ac:dyDescent="0.25">
      <c r="A190" s="1">
        <v>45115</v>
      </c>
      <c r="B190">
        <f t="shared" si="8"/>
        <v>6</v>
      </c>
      <c r="C190" t="s">
        <v>10</v>
      </c>
      <c r="D190">
        <f>IF(AND(MONTH(A190)&lt;&gt;MONTH(A189),I189&gt;=3*$S$2),D189+3,D189)</f>
        <v>13</v>
      </c>
      <c r="E190">
        <f>IF(B190&lt;6,ROUNDDOWN(D190*VLOOKUP(C190,$U$1:$V$5,2,FALSE),0)*$S$3,0)</f>
        <v>0</v>
      </c>
      <c r="F190">
        <f t="shared" si="10"/>
        <v>0</v>
      </c>
      <c r="G190">
        <f t="shared" si="11"/>
        <v>0</v>
      </c>
      <c r="H190">
        <f t="shared" si="9"/>
        <v>0</v>
      </c>
      <c r="I190">
        <f>SUM($H$2:H190)</f>
        <v>2575</v>
      </c>
    </row>
    <row r="191" spans="1:9" x14ac:dyDescent="0.25">
      <c r="A191" s="1">
        <v>45116</v>
      </c>
      <c r="B191">
        <f t="shared" si="8"/>
        <v>7</v>
      </c>
      <c r="C191" t="s">
        <v>10</v>
      </c>
      <c r="D191">
        <f>IF(AND(MONTH(A191)&lt;&gt;MONTH(A190),I190&gt;=3*$S$2),D190+3,D190)</f>
        <v>13</v>
      </c>
      <c r="E191">
        <f>IF(B191&lt;6,ROUNDDOWN(D191*VLOOKUP(C191,$U$1:$V$5,2,FALSE),0)*$S$3,0)</f>
        <v>0</v>
      </c>
      <c r="F191">
        <f t="shared" si="10"/>
        <v>195</v>
      </c>
      <c r="G191">
        <f t="shared" si="11"/>
        <v>0</v>
      </c>
      <c r="H191">
        <f t="shared" si="9"/>
        <v>-195</v>
      </c>
      <c r="I191">
        <f>SUM($H$2:H191)</f>
        <v>2380</v>
      </c>
    </row>
    <row r="192" spans="1:9" x14ac:dyDescent="0.25">
      <c r="A192" s="1">
        <v>45117</v>
      </c>
      <c r="B192">
        <f t="shared" si="8"/>
        <v>1</v>
      </c>
      <c r="C192" t="s">
        <v>10</v>
      </c>
      <c r="D192">
        <f>IF(AND(MONTH(A192)&lt;&gt;MONTH(A191),I191&gt;=3*$S$2),D191+3,D191)</f>
        <v>13</v>
      </c>
      <c r="E192">
        <f>IF(B192&lt;6,ROUNDDOWN(D192*VLOOKUP(C192,$U$1:$V$5,2,FALSE),0)*$S$3,0)</f>
        <v>330</v>
      </c>
      <c r="F192">
        <f t="shared" si="10"/>
        <v>0</v>
      </c>
      <c r="G192">
        <f t="shared" si="11"/>
        <v>0</v>
      </c>
      <c r="H192">
        <f t="shared" si="9"/>
        <v>330</v>
      </c>
      <c r="I192">
        <f>SUM($H$2:H192)</f>
        <v>2710</v>
      </c>
    </row>
    <row r="193" spans="1:9" x14ac:dyDescent="0.25">
      <c r="A193" s="1">
        <v>45118</v>
      </c>
      <c r="B193">
        <f t="shared" si="8"/>
        <v>2</v>
      </c>
      <c r="C193" t="s">
        <v>10</v>
      </c>
      <c r="D193">
        <f>IF(AND(MONTH(A193)&lt;&gt;MONTH(A192),I192&gt;=3*$S$2),D192+3,D192)</f>
        <v>13</v>
      </c>
      <c r="E193">
        <f>IF(B193&lt;6,ROUNDDOWN(D193*VLOOKUP(C193,$U$1:$V$5,2,FALSE),0)*$S$3,0)</f>
        <v>330</v>
      </c>
      <c r="F193">
        <f t="shared" si="10"/>
        <v>0</v>
      </c>
      <c r="G193">
        <f t="shared" si="11"/>
        <v>0</v>
      </c>
      <c r="H193">
        <f t="shared" si="9"/>
        <v>330</v>
      </c>
      <c r="I193">
        <f>SUM($H$2:H193)</f>
        <v>3040</v>
      </c>
    </row>
    <row r="194" spans="1:9" x14ac:dyDescent="0.25">
      <c r="A194" s="1">
        <v>45119</v>
      </c>
      <c r="B194">
        <f t="shared" si="8"/>
        <v>3</v>
      </c>
      <c r="C194" t="s">
        <v>10</v>
      </c>
      <c r="D194">
        <f>IF(AND(MONTH(A194)&lt;&gt;MONTH(A193),I193&gt;=3*$S$2),D193+3,D193)</f>
        <v>13</v>
      </c>
      <c r="E194">
        <f>IF(B194&lt;6,ROUNDDOWN(D194*VLOOKUP(C194,$U$1:$V$5,2,FALSE),0)*$S$3,0)</f>
        <v>330</v>
      </c>
      <c r="F194">
        <f t="shared" si="10"/>
        <v>0</v>
      </c>
      <c r="G194">
        <f t="shared" si="11"/>
        <v>0</v>
      </c>
      <c r="H194">
        <f t="shared" si="9"/>
        <v>330</v>
      </c>
      <c r="I194">
        <f>SUM($H$2:H194)</f>
        <v>3370</v>
      </c>
    </row>
    <row r="195" spans="1:9" x14ac:dyDescent="0.25">
      <c r="A195" s="1">
        <v>45120</v>
      </c>
      <c r="B195">
        <f t="shared" ref="B195:B258" si="12">WEEKDAY(A195,2)</f>
        <v>4</v>
      </c>
      <c r="C195" t="s">
        <v>10</v>
      </c>
      <c r="D195">
        <f>IF(AND(MONTH(A195)&lt;&gt;MONTH(A194),I194&gt;=3*$S$2),D194+3,D194)</f>
        <v>13</v>
      </c>
      <c r="E195">
        <f>IF(B195&lt;6,ROUNDDOWN(D195*VLOOKUP(C195,$U$1:$V$5,2,FALSE),0)*$S$3,0)</f>
        <v>330</v>
      </c>
      <c r="F195">
        <f t="shared" si="10"/>
        <v>0</v>
      </c>
      <c r="G195">
        <f t="shared" si="11"/>
        <v>0</v>
      </c>
      <c r="H195">
        <f t="shared" ref="H195:H258" si="13">E195-F195-G195</f>
        <v>330</v>
      </c>
      <c r="I195">
        <f>SUM($H$2:H195)</f>
        <v>3700</v>
      </c>
    </row>
    <row r="196" spans="1:9" x14ac:dyDescent="0.25">
      <c r="A196" s="1">
        <v>45121</v>
      </c>
      <c r="B196">
        <f t="shared" si="12"/>
        <v>5</v>
      </c>
      <c r="C196" t="s">
        <v>10</v>
      </c>
      <c r="D196">
        <f>IF(AND(MONTH(A196)&lt;&gt;MONTH(A195),I195&gt;=3*$S$2),D195+3,D195)</f>
        <v>13</v>
      </c>
      <c r="E196">
        <f>IF(B196&lt;6,ROUNDDOWN(D196*VLOOKUP(C196,$U$1:$V$5,2,FALSE),0)*$S$3,0)</f>
        <v>330</v>
      </c>
      <c r="F196">
        <f t="shared" ref="F196:F259" si="14">IF(B196=7,$S$4*D196,0)</f>
        <v>0</v>
      </c>
      <c r="G196">
        <f t="shared" ref="G196:G259" si="15">IF(D196&gt;D195,3*$S$2,0)</f>
        <v>0</v>
      </c>
      <c r="H196">
        <f t="shared" si="13"/>
        <v>330</v>
      </c>
      <c r="I196">
        <f>SUM($H$2:H196)</f>
        <v>4030</v>
      </c>
    </row>
    <row r="197" spans="1:9" x14ac:dyDescent="0.25">
      <c r="A197" s="1">
        <v>45122</v>
      </c>
      <c r="B197">
        <f t="shared" si="12"/>
        <v>6</v>
      </c>
      <c r="C197" t="s">
        <v>10</v>
      </c>
      <c r="D197">
        <f>IF(AND(MONTH(A197)&lt;&gt;MONTH(A196),I196&gt;=3*$S$2),D196+3,D196)</f>
        <v>13</v>
      </c>
      <c r="E197">
        <f>IF(B197&lt;6,ROUNDDOWN(D197*VLOOKUP(C197,$U$1:$V$5,2,FALSE),0)*$S$3,0)</f>
        <v>0</v>
      </c>
      <c r="F197">
        <f t="shared" si="14"/>
        <v>0</v>
      </c>
      <c r="G197">
        <f t="shared" si="15"/>
        <v>0</v>
      </c>
      <c r="H197">
        <f t="shared" si="13"/>
        <v>0</v>
      </c>
      <c r="I197">
        <f>SUM($H$2:H197)</f>
        <v>4030</v>
      </c>
    </row>
    <row r="198" spans="1:9" x14ac:dyDescent="0.25">
      <c r="A198" s="1">
        <v>45123</v>
      </c>
      <c r="B198">
        <f t="shared" si="12"/>
        <v>7</v>
      </c>
      <c r="C198" t="s">
        <v>10</v>
      </c>
      <c r="D198">
        <f>IF(AND(MONTH(A198)&lt;&gt;MONTH(A197),I197&gt;=3*$S$2),D197+3,D197)</f>
        <v>13</v>
      </c>
      <c r="E198">
        <f>IF(B198&lt;6,ROUNDDOWN(D198*VLOOKUP(C198,$U$1:$V$5,2,FALSE),0)*$S$3,0)</f>
        <v>0</v>
      </c>
      <c r="F198">
        <f t="shared" si="14"/>
        <v>195</v>
      </c>
      <c r="G198">
        <f t="shared" si="15"/>
        <v>0</v>
      </c>
      <c r="H198">
        <f t="shared" si="13"/>
        <v>-195</v>
      </c>
      <c r="I198">
        <f>SUM($H$2:H198)</f>
        <v>3835</v>
      </c>
    </row>
    <row r="199" spans="1:9" x14ac:dyDescent="0.25">
      <c r="A199" s="1">
        <v>45124</v>
      </c>
      <c r="B199">
        <f t="shared" si="12"/>
        <v>1</v>
      </c>
      <c r="C199" t="s">
        <v>10</v>
      </c>
      <c r="D199">
        <f>IF(AND(MONTH(A199)&lt;&gt;MONTH(A198),I198&gt;=3*$S$2),D198+3,D198)</f>
        <v>13</v>
      </c>
      <c r="E199">
        <f>IF(B199&lt;6,ROUNDDOWN(D199*VLOOKUP(C199,$U$1:$V$5,2,FALSE),0)*$S$3,0)</f>
        <v>330</v>
      </c>
      <c r="F199">
        <f t="shared" si="14"/>
        <v>0</v>
      </c>
      <c r="G199">
        <f t="shared" si="15"/>
        <v>0</v>
      </c>
      <c r="H199">
        <f t="shared" si="13"/>
        <v>330</v>
      </c>
      <c r="I199">
        <f>SUM($H$2:H199)</f>
        <v>4165</v>
      </c>
    </row>
    <row r="200" spans="1:9" x14ac:dyDescent="0.25">
      <c r="A200" s="1">
        <v>45125</v>
      </c>
      <c r="B200">
        <f t="shared" si="12"/>
        <v>2</v>
      </c>
      <c r="C200" t="s">
        <v>10</v>
      </c>
      <c r="D200">
        <f>IF(AND(MONTH(A200)&lt;&gt;MONTH(A199),I199&gt;=3*$S$2),D199+3,D199)</f>
        <v>13</v>
      </c>
      <c r="E200">
        <f>IF(B200&lt;6,ROUNDDOWN(D200*VLOOKUP(C200,$U$1:$V$5,2,FALSE),0)*$S$3,0)</f>
        <v>330</v>
      </c>
      <c r="F200">
        <f t="shared" si="14"/>
        <v>0</v>
      </c>
      <c r="G200">
        <f t="shared" si="15"/>
        <v>0</v>
      </c>
      <c r="H200">
        <f t="shared" si="13"/>
        <v>330</v>
      </c>
      <c r="I200">
        <f>SUM($H$2:H200)</f>
        <v>4495</v>
      </c>
    </row>
    <row r="201" spans="1:9" x14ac:dyDescent="0.25">
      <c r="A201" s="1">
        <v>45126</v>
      </c>
      <c r="B201">
        <f t="shared" si="12"/>
        <v>3</v>
      </c>
      <c r="C201" t="s">
        <v>10</v>
      </c>
      <c r="D201">
        <f>IF(AND(MONTH(A201)&lt;&gt;MONTH(A200),I200&gt;=3*$S$2),D200+3,D200)</f>
        <v>13</v>
      </c>
      <c r="E201">
        <f>IF(B201&lt;6,ROUNDDOWN(D201*VLOOKUP(C201,$U$1:$V$5,2,FALSE),0)*$S$3,0)</f>
        <v>330</v>
      </c>
      <c r="F201">
        <f t="shared" si="14"/>
        <v>0</v>
      </c>
      <c r="G201">
        <f t="shared" si="15"/>
        <v>0</v>
      </c>
      <c r="H201">
        <f t="shared" si="13"/>
        <v>330</v>
      </c>
      <c r="I201">
        <f>SUM($H$2:H201)</f>
        <v>4825</v>
      </c>
    </row>
    <row r="202" spans="1:9" x14ac:dyDescent="0.25">
      <c r="A202" s="1">
        <v>45127</v>
      </c>
      <c r="B202">
        <f t="shared" si="12"/>
        <v>4</v>
      </c>
      <c r="C202" t="s">
        <v>10</v>
      </c>
      <c r="D202">
        <f>IF(AND(MONTH(A202)&lt;&gt;MONTH(A201),I201&gt;=3*$S$2),D201+3,D201)</f>
        <v>13</v>
      </c>
      <c r="E202">
        <f>IF(B202&lt;6,ROUNDDOWN(D202*VLOOKUP(C202,$U$1:$V$5,2,FALSE),0)*$S$3,0)</f>
        <v>330</v>
      </c>
      <c r="F202">
        <f t="shared" si="14"/>
        <v>0</v>
      </c>
      <c r="G202">
        <f t="shared" si="15"/>
        <v>0</v>
      </c>
      <c r="H202">
        <f t="shared" si="13"/>
        <v>330</v>
      </c>
      <c r="I202">
        <f>SUM($H$2:H202)</f>
        <v>5155</v>
      </c>
    </row>
    <row r="203" spans="1:9" x14ac:dyDescent="0.25">
      <c r="A203" s="1">
        <v>45128</v>
      </c>
      <c r="B203">
        <f t="shared" si="12"/>
        <v>5</v>
      </c>
      <c r="C203" t="s">
        <v>10</v>
      </c>
      <c r="D203">
        <f>IF(AND(MONTH(A203)&lt;&gt;MONTH(A202),I202&gt;=3*$S$2),D202+3,D202)</f>
        <v>13</v>
      </c>
      <c r="E203">
        <f>IF(B203&lt;6,ROUNDDOWN(D203*VLOOKUP(C203,$U$1:$V$5,2,FALSE),0)*$S$3,0)</f>
        <v>330</v>
      </c>
      <c r="F203">
        <f t="shared" si="14"/>
        <v>0</v>
      </c>
      <c r="G203">
        <f t="shared" si="15"/>
        <v>0</v>
      </c>
      <c r="H203">
        <f t="shared" si="13"/>
        <v>330</v>
      </c>
      <c r="I203">
        <f>SUM($H$2:H203)</f>
        <v>5485</v>
      </c>
    </row>
    <row r="204" spans="1:9" x14ac:dyDescent="0.25">
      <c r="A204" s="1">
        <v>45129</v>
      </c>
      <c r="B204">
        <f t="shared" si="12"/>
        <v>6</v>
      </c>
      <c r="C204" t="s">
        <v>10</v>
      </c>
      <c r="D204">
        <f>IF(AND(MONTH(A204)&lt;&gt;MONTH(A203),I203&gt;=3*$S$2),D203+3,D203)</f>
        <v>13</v>
      </c>
      <c r="E204">
        <f>IF(B204&lt;6,ROUNDDOWN(D204*VLOOKUP(C204,$U$1:$V$5,2,FALSE),0)*$S$3,0)</f>
        <v>0</v>
      </c>
      <c r="F204">
        <f t="shared" si="14"/>
        <v>0</v>
      </c>
      <c r="G204">
        <f t="shared" si="15"/>
        <v>0</v>
      </c>
      <c r="H204">
        <f t="shared" si="13"/>
        <v>0</v>
      </c>
      <c r="I204">
        <f>SUM($H$2:H204)</f>
        <v>5485</v>
      </c>
    </row>
    <row r="205" spans="1:9" x14ac:dyDescent="0.25">
      <c r="A205" s="1">
        <v>45130</v>
      </c>
      <c r="B205">
        <f t="shared" si="12"/>
        <v>7</v>
      </c>
      <c r="C205" t="s">
        <v>10</v>
      </c>
      <c r="D205">
        <f>IF(AND(MONTH(A205)&lt;&gt;MONTH(A204),I204&gt;=3*$S$2),D204+3,D204)</f>
        <v>13</v>
      </c>
      <c r="E205">
        <f>IF(B205&lt;6,ROUNDDOWN(D205*VLOOKUP(C205,$U$1:$V$5,2,FALSE),0)*$S$3,0)</f>
        <v>0</v>
      </c>
      <c r="F205">
        <f t="shared" si="14"/>
        <v>195</v>
      </c>
      <c r="G205">
        <f t="shared" si="15"/>
        <v>0</v>
      </c>
      <c r="H205">
        <f t="shared" si="13"/>
        <v>-195</v>
      </c>
      <c r="I205">
        <f>SUM($H$2:H205)</f>
        <v>5290</v>
      </c>
    </row>
    <row r="206" spans="1:9" x14ac:dyDescent="0.25">
      <c r="A206" s="1">
        <v>45131</v>
      </c>
      <c r="B206">
        <f t="shared" si="12"/>
        <v>1</v>
      </c>
      <c r="C206" t="s">
        <v>10</v>
      </c>
      <c r="D206">
        <f>IF(AND(MONTH(A206)&lt;&gt;MONTH(A205),I205&gt;=3*$S$2),D205+3,D205)</f>
        <v>13</v>
      </c>
      <c r="E206">
        <f>IF(B206&lt;6,ROUNDDOWN(D206*VLOOKUP(C206,$U$1:$V$5,2,FALSE),0)*$S$3,0)</f>
        <v>330</v>
      </c>
      <c r="F206">
        <f t="shared" si="14"/>
        <v>0</v>
      </c>
      <c r="G206">
        <f t="shared" si="15"/>
        <v>0</v>
      </c>
      <c r="H206">
        <f t="shared" si="13"/>
        <v>330</v>
      </c>
      <c r="I206">
        <f>SUM($H$2:H206)</f>
        <v>5620</v>
      </c>
    </row>
    <row r="207" spans="1:9" x14ac:dyDescent="0.25">
      <c r="A207" s="1">
        <v>45132</v>
      </c>
      <c r="B207">
        <f t="shared" si="12"/>
        <v>2</v>
      </c>
      <c r="C207" t="s">
        <v>10</v>
      </c>
      <c r="D207">
        <f>IF(AND(MONTH(A207)&lt;&gt;MONTH(A206),I206&gt;=3*$S$2),D206+3,D206)</f>
        <v>13</v>
      </c>
      <c r="E207">
        <f>IF(B207&lt;6,ROUNDDOWN(D207*VLOOKUP(C207,$U$1:$V$5,2,FALSE),0)*$S$3,0)</f>
        <v>330</v>
      </c>
      <c r="F207">
        <f t="shared" si="14"/>
        <v>0</v>
      </c>
      <c r="G207">
        <f t="shared" si="15"/>
        <v>0</v>
      </c>
      <c r="H207">
        <f t="shared" si="13"/>
        <v>330</v>
      </c>
      <c r="I207">
        <f>SUM($H$2:H207)</f>
        <v>5950</v>
      </c>
    </row>
    <row r="208" spans="1:9" x14ac:dyDescent="0.25">
      <c r="A208" s="1">
        <v>45133</v>
      </c>
      <c r="B208">
        <f t="shared" si="12"/>
        <v>3</v>
      </c>
      <c r="C208" t="s">
        <v>10</v>
      </c>
      <c r="D208">
        <f>IF(AND(MONTH(A208)&lt;&gt;MONTH(A207),I207&gt;=3*$S$2),D207+3,D207)</f>
        <v>13</v>
      </c>
      <c r="E208">
        <f>IF(B208&lt;6,ROUNDDOWN(D208*VLOOKUP(C208,$U$1:$V$5,2,FALSE),0)*$S$3,0)</f>
        <v>330</v>
      </c>
      <c r="F208">
        <f t="shared" si="14"/>
        <v>0</v>
      </c>
      <c r="G208">
        <f t="shared" si="15"/>
        <v>0</v>
      </c>
      <c r="H208">
        <f t="shared" si="13"/>
        <v>330</v>
      </c>
      <c r="I208">
        <f>SUM($H$2:H208)</f>
        <v>6280</v>
      </c>
    </row>
    <row r="209" spans="1:9" x14ac:dyDescent="0.25">
      <c r="A209" s="1">
        <v>45134</v>
      </c>
      <c r="B209">
        <f t="shared" si="12"/>
        <v>4</v>
      </c>
      <c r="C209" t="s">
        <v>10</v>
      </c>
      <c r="D209">
        <f>IF(AND(MONTH(A209)&lt;&gt;MONTH(A208),I208&gt;=3*$S$2),D208+3,D208)</f>
        <v>13</v>
      </c>
      <c r="E209">
        <f>IF(B209&lt;6,ROUNDDOWN(D209*VLOOKUP(C209,$U$1:$V$5,2,FALSE),0)*$S$3,0)</f>
        <v>330</v>
      </c>
      <c r="F209">
        <f t="shared" si="14"/>
        <v>0</v>
      </c>
      <c r="G209">
        <f t="shared" si="15"/>
        <v>0</v>
      </c>
      <c r="H209">
        <f t="shared" si="13"/>
        <v>330</v>
      </c>
      <c r="I209">
        <f>SUM($H$2:H209)</f>
        <v>6610</v>
      </c>
    </row>
    <row r="210" spans="1:9" x14ac:dyDescent="0.25">
      <c r="A210" s="1">
        <v>45135</v>
      </c>
      <c r="B210">
        <f t="shared" si="12"/>
        <v>5</v>
      </c>
      <c r="C210" t="s">
        <v>10</v>
      </c>
      <c r="D210">
        <f>IF(AND(MONTH(A210)&lt;&gt;MONTH(A209),I209&gt;=3*$S$2),D209+3,D209)</f>
        <v>13</v>
      </c>
      <c r="E210">
        <f>IF(B210&lt;6,ROUNDDOWN(D210*VLOOKUP(C210,$U$1:$V$5,2,FALSE),0)*$S$3,0)</f>
        <v>330</v>
      </c>
      <c r="F210">
        <f t="shared" si="14"/>
        <v>0</v>
      </c>
      <c r="G210">
        <f t="shared" si="15"/>
        <v>0</v>
      </c>
      <c r="H210">
        <f t="shared" si="13"/>
        <v>330</v>
      </c>
      <c r="I210">
        <f>SUM($H$2:H210)</f>
        <v>6940</v>
      </c>
    </row>
    <row r="211" spans="1:9" x14ac:dyDescent="0.25">
      <c r="A211" s="1">
        <v>45136</v>
      </c>
      <c r="B211">
        <f t="shared" si="12"/>
        <v>6</v>
      </c>
      <c r="C211" t="s">
        <v>10</v>
      </c>
      <c r="D211">
        <f>IF(AND(MONTH(A211)&lt;&gt;MONTH(A210),I210&gt;=3*$S$2),D210+3,D210)</f>
        <v>13</v>
      </c>
      <c r="E211">
        <f>IF(B211&lt;6,ROUNDDOWN(D211*VLOOKUP(C211,$U$1:$V$5,2,FALSE),0)*$S$3,0)</f>
        <v>0</v>
      </c>
      <c r="F211">
        <f t="shared" si="14"/>
        <v>0</v>
      </c>
      <c r="G211">
        <f t="shared" si="15"/>
        <v>0</v>
      </c>
      <c r="H211">
        <f t="shared" si="13"/>
        <v>0</v>
      </c>
      <c r="I211">
        <f>SUM($H$2:H211)</f>
        <v>6940</v>
      </c>
    </row>
    <row r="212" spans="1:9" x14ac:dyDescent="0.25">
      <c r="A212" s="1">
        <v>45137</v>
      </c>
      <c r="B212">
        <f t="shared" si="12"/>
        <v>7</v>
      </c>
      <c r="C212" t="s">
        <v>10</v>
      </c>
      <c r="D212">
        <f>IF(AND(MONTH(A212)&lt;&gt;MONTH(A211),I211&gt;=3*$S$2),D211+3,D211)</f>
        <v>13</v>
      </c>
      <c r="E212">
        <f>IF(B212&lt;6,ROUNDDOWN(D212*VLOOKUP(C212,$U$1:$V$5,2,FALSE),0)*$S$3,0)</f>
        <v>0</v>
      </c>
      <c r="F212">
        <f t="shared" si="14"/>
        <v>195</v>
      </c>
      <c r="G212">
        <f t="shared" si="15"/>
        <v>0</v>
      </c>
      <c r="H212">
        <f t="shared" si="13"/>
        <v>-195</v>
      </c>
      <c r="I212">
        <f>SUM($H$2:H212)</f>
        <v>6745</v>
      </c>
    </row>
    <row r="213" spans="1:9" x14ac:dyDescent="0.25">
      <c r="A213" s="1">
        <v>45138</v>
      </c>
      <c r="B213">
        <f t="shared" si="12"/>
        <v>1</v>
      </c>
      <c r="C213" t="s">
        <v>10</v>
      </c>
      <c r="D213">
        <f>IF(AND(MONTH(A213)&lt;&gt;MONTH(A212),I212&gt;=3*$S$2),D212+3,D212)</f>
        <v>13</v>
      </c>
      <c r="E213">
        <f>IF(B213&lt;6,ROUNDDOWN(D213*VLOOKUP(C213,$U$1:$V$5,2,FALSE),0)*$S$3,0)</f>
        <v>330</v>
      </c>
      <c r="F213">
        <f t="shared" si="14"/>
        <v>0</v>
      </c>
      <c r="G213">
        <f t="shared" si="15"/>
        <v>0</v>
      </c>
      <c r="H213">
        <f t="shared" si="13"/>
        <v>330</v>
      </c>
      <c r="I213">
        <f>SUM($H$2:H213)</f>
        <v>7075</v>
      </c>
    </row>
    <row r="214" spans="1:9" x14ac:dyDescent="0.25">
      <c r="A214" s="1">
        <v>45139</v>
      </c>
      <c r="B214">
        <f t="shared" si="12"/>
        <v>2</v>
      </c>
      <c r="C214" t="s">
        <v>10</v>
      </c>
      <c r="D214">
        <f>IF(AND(MONTH(A214)&lt;&gt;MONTH(A213),I213&gt;=3*$S$2),D213+3,D213)</f>
        <v>16</v>
      </c>
      <c r="E214">
        <f>IF(B214&lt;6,ROUNDDOWN(D214*VLOOKUP(C214,$U$1:$V$5,2,FALSE),0)*$S$3,0)</f>
        <v>420</v>
      </c>
      <c r="F214">
        <f t="shared" si="14"/>
        <v>0</v>
      </c>
      <c r="G214">
        <f t="shared" si="15"/>
        <v>2400</v>
      </c>
      <c r="H214">
        <f t="shared" si="13"/>
        <v>-1980</v>
      </c>
      <c r="I214">
        <f>SUM($H$2:H214)</f>
        <v>5095</v>
      </c>
    </row>
    <row r="215" spans="1:9" x14ac:dyDescent="0.25">
      <c r="A215" s="1">
        <v>45140</v>
      </c>
      <c r="B215">
        <f t="shared" si="12"/>
        <v>3</v>
      </c>
      <c r="C215" t="s">
        <v>10</v>
      </c>
      <c r="D215">
        <f>IF(AND(MONTH(A215)&lt;&gt;MONTH(A214),I214&gt;=3*$S$2),D214+3,D214)</f>
        <v>16</v>
      </c>
      <c r="E215">
        <f>IF(B215&lt;6,ROUNDDOWN(D215*VLOOKUP(C215,$U$1:$V$5,2,FALSE),0)*$S$3,0)</f>
        <v>420</v>
      </c>
      <c r="F215">
        <f t="shared" si="14"/>
        <v>0</v>
      </c>
      <c r="G215">
        <f t="shared" si="15"/>
        <v>0</v>
      </c>
      <c r="H215">
        <f t="shared" si="13"/>
        <v>420</v>
      </c>
      <c r="I215">
        <f>SUM($H$2:H215)</f>
        <v>5515</v>
      </c>
    </row>
    <row r="216" spans="1:9" x14ac:dyDescent="0.25">
      <c r="A216" s="1">
        <v>45141</v>
      </c>
      <c r="B216">
        <f t="shared" si="12"/>
        <v>4</v>
      </c>
      <c r="C216" t="s">
        <v>10</v>
      </c>
      <c r="D216">
        <f>IF(AND(MONTH(A216)&lt;&gt;MONTH(A215),I215&gt;=3*$S$2),D215+3,D215)</f>
        <v>16</v>
      </c>
      <c r="E216">
        <f>IF(B216&lt;6,ROUNDDOWN(D216*VLOOKUP(C216,$U$1:$V$5,2,FALSE),0)*$S$3,0)</f>
        <v>420</v>
      </c>
      <c r="F216">
        <f t="shared" si="14"/>
        <v>0</v>
      </c>
      <c r="G216">
        <f t="shared" si="15"/>
        <v>0</v>
      </c>
      <c r="H216">
        <f t="shared" si="13"/>
        <v>420</v>
      </c>
      <c r="I216">
        <f>SUM($H$2:H216)</f>
        <v>5935</v>
      </c>
    </row>
    <row r="217" spans="1:9" x14ac:dyDescent="0.25">
      <c r="A217" s="1">
        <v>45142</v>
      </c>
      <c r="B217">
        <f t="shared" si="12"/>
        <v>5</v>
      </c>
      <c r="C217" t="s">
        <v>10</v>
      </c>
      <c r="D217">
        <f>IF(AND(MONTH(A217)&lt;&gt;MONTH(A216),I216&gt;=3*$S$2),D216+3,D216)</f>
        <v>16</v>
      </c>
      <c r="E217">
        <f>IF(B217&lt;6,ROUNDDOWN(D217*VLOOKUP(C217,$U$1:$V$5,2,FALSE),0)*$S$3,0)</f>
        <v>420</v>
      </c>
      <c r="F217">
        <f t="shared" si="14"/>
        <v>0</v>
      </c>
      <c r="G217">
        <f t="shared" si="15"/>
        <v>0</v>
      </c>
      <c r="H217">
        <f t="shared" si="13"/>
        <v>420</v>
      </c>
      <c r="I217">
        <f>SUM($H$2:H217)</f>
        <v>6355</v>
      </c>
    </row>
    <row r="218" spans="1:9" x14ac:dyDescent="0.25">
      <c r="A218" s="1">
        <v>45143</v>
      </c>
      <c r="B218">
        <f t="shared" si="12"/>
        <v>6</v>
      </c>
      <c r="C218" t="s">
        <v>10</v>
      </c>
      <c r="D218">
        <f>IF(AND(MONTH(A218)&lt;&gt;MONTH(A217),I217&gt;=3*$S$2),D217+3,D217)</f>
        <v>16</v>
      </c>
      <c r="E218">
        <f>IF(B218&lt;6,ROUNDDOWN(D218*VLOOKUP(C218,$U$1:$V$5,2,FALSE),0)*$S$3,0)</f>
        <v>0</v>
      </c>
      <c r="F218">
        <f t="shared" si="14"/>
        <v>0</v>
      </c>
      <c r="G218">
        <f t="shared" si="15"/>
        <v>0</v>
      </c>
      <c r="H218">
        <f t="shared" si="13"/>
        <v>0</v>
      </c>
      <c r="I218">
        <f>SUM($H$2:H218)</f>
        <v>6355</v>
      </c>
    </row>
    <row r="219" spans="1:9" x14ac:dyDescent="0.25">
      <c r="A219" s="1">
        <v>45144</v>
      </c>
      <c r="B219">
        <f t="shared" si="12"/>
        <v>7</v>
      </c>
      <c r="C219" t="s">
        <v>10</v>
      </c>
      <c r="D219">
        <f>IF(AND(MONTH(A219)&lt;&gt;MONTH(A218),I218&gt;=3*$S$2),D218+3,D218)</f>
        <v>16</v>
      </c>
      <c r="E219">
        <f>IF(B219&lt;6,ROUNDDOWN(D219*VLOOKUP(C219,$U$1:$V$5,2,FALSE),0)*$S$3,0)</f>
        <v>0</v>
      </c>
      <c r="F219">
        <f t="shared" si="14"/>
        <v>240</v>
      </c>
      <c r="G219">
        <f t="shared" si="15"/>
        <v>0</v>
      </c>
      <c r="H219">
        <f t="shared" si="13"/>
        <v>-240</v>
      </c>
      <c r="I219">
        <f>SUM($H$2:H219)</f>
        <v>6115</v>
      </c>
    </row>
    <row r="220" spans="1:9" x14ac:dyDescent="0.25">
      <c r="A220" s="1">
        <v>45145</v>
      </c>
      <c r="B220">
        <f t="shared" si="12"/>
        <v>1</v>
      </c>
      <c r="C220" t="s">
        <v>10</v>
      </c>
      <c r="D220">
        <f>IF(AND(MONTH(A220)&lt;&gt;MONTH(A219),I219&gt;=3*$S$2),D219+3,D219)</f>
        <v>16</v>
      </c>
      <c r="E220">
        <f>IF(B220&lt;6,ROUNDDOWN(D220*VLOOKUP(C220,$U$1:$V$5,2,FALSE),0)*$S$3,0)</f>
        <v>420</v>
      </c>
      <c r="F220">
        <f t="shared" si="14"/>
        <v>0</v>
      </c>
      <c r="G220">
        <f t="shared" si="15"/>
        <v>0</v>
      </c>
      <c r="H220">
        <f t="shared" si="13"/>
        <v>420</v>
      </c>
      <c r="I220">
        <f>SUM($H$2:H220)</f>
        <v>6535</v>
      </c>
    </row>
    <row r="221" spans="1:9" x14ac:dyDescent="0.25">
      <c r="A221" s="1">
        <v>45146</v>
      </c>
      <c r="B221">
        <f t="shared" si="12"/>
        <v>2</v>
      </c>
      <c r="C221" t="s">
        <v>10</v>
      </c>
      <c r="D221">
        <f>IF(AND(MONTH(A221)&lt;&gt;MONTH(A220),I220&gt;=3*$S$2),D220+3,D220)</f>
        <v>16</v>
      </c>
      <c r="E221">
        <f>IF(B221&lt;6,ROUNDDOWN(D221*VLOOKUP(C221,$U$1:$V$5,2,FALSE),0)*$S$3,0)</f>
        <v>420</v>
      </c>
      <c r="F221">
        <f t="shared" si="14"/>
        <v>0</v>
      </c>
      <c r="G221">
        <f t="shared" si="15"/>
        <v>0</v>
      </c>
      <c r="H221">
        <f t="shared" si="13"/>
        <v>420</v>
      </c>
      <c r="I221">
        <f>SUM($H$2:H221)</f>
        <v>6955</v>
      </c>
    </row>
    <row r="222" spans="1:9" x14ac:dyDescent="0.25">
      <c r="A222" s="1">
        <v>45147</v>
      </c>
      <c r="B222">
        <f t="shared" si="12"/>
        <v>3</v>
      </c>
      <c r="C222" t="s">
        <v>10</v>
      </c>
      <c r="D222">
        <f>IF(AND(MONTH(A222)&lt;&gt;MONTH(A221),I221&gt;=3*$S$2),D221+3,D221)</f>
        <v>16</v>
      </c>
      <c r="E222">
        <f>IF(B222&lt;6,ROUNDDOWN(D222*VLOOKUP(C222,$U$1:$V$5,2,FALSE),0)*$S$3,0)</f>
        <v>420</v>
      </c>
      <c r="F222">
        <f t="shared" si="14"/>
        <v>0</v>
      </c>
      <c r="G222">
        <f t="shared" si="15"/>
        <v>0</v>
      </c>
      <c r="H222">
        <f t="shared" si="13"/>
        <v>420</v>
      </c>
      <c r="I222">
        <f>SUM($H$2:H222)</f>
        <v>7375</v>
      </c>
    </row>
    <row r="223" spans="1:9" x14ac:dyDescent="0.25">
      <c r="A223" s="1">
        <v>45148</v>
      </c>
      <c r="B223">
        <f t="shared" si="12"/>
        <v>4</v>
      </c>
      <c r="C223" t="s">
        <v>10</v>
      </c>
      <c r="D223">
        <f>IF(AND(MONTH(A223)&lt;&gt;MONTH(A222),I222&gt;=3*$S$2),D222+3,D222)</f>
        <v>16</v>
      </c>
      <c r="E223">
        <f>IF(B223&lt;6,ROUNDDOWN(D223*VLOOKUP(C223,$U$1:$V$5,2,FALSE),0)*$S$3,0)</f>
        <v>420</v>
      </c>
      <c r="F223">
        <f t="shared" si="14"/>
        <v>0</v>
      </c>
      <c r="G223">
        <f t="shared" si="15"/>
        <v>0</v>
      </c>
      <c r="H223">
        <f t="shared" si="13"/>
        <v>420</v>
      </c>
      <c r="I223">
        <f>SUM($H$2:H223)</f>
        <v>7795</v>
      </c>
    </row>
    <row r="224" spans="1:9" x14ac:dyDescent="0.25">
      <c r="A224" s="1">
        <v>45149</v>
      </c>
      <c r="B224">
        <f t="shared" si="12"/>
        <v>5</v>
      </c>
      <c r="C224" t="s">
        <v>10</v>
      </c>
      <c r="D224">
        <f>IF(AND(MONTH(A224)&lt;&gt;MONTH(A223),I223&gt;=3*$S$2),D223+3,D223)</f>
        <v>16</v>
      </c>
      <c r="E224">
        <f>IF(B224&lt;6,ROUNDDOWN(D224*VLOOKUP(C224,$U$1:$V$5,2,FALSE),0)*$S$3,0)</f>
        <v>420</v>
      </c>
      <c r="F224">
        <f t="shared" si="14"/>
        <v>0</v>
      </c>
      <c r="G224">
        <f t="shared" si="15"/>
        <v>0</v>
      </c>
      <c r="H224">
        <f t="shared" si="13"/>
        <v>420</v>
      </c>
      <c r="I224">
        <f>SUM($H$2:H224)</f>
        <v>8215</v>
      </c>
    </row>
    <row r="225" spans="1:9" x14ac:dyDescent="0.25">
      <c r="A225" s="1">
        <v>45150</v>
      </c>
      <c r="B225">
        <f t="shared" si="12"/>
        <v>6</v>
      </c>
      <c r="C225" t="s">
        <v>10</v>
      </c>
      <c r="D225">
        <f>IF(AND(MONTH(A225)&lt;&gt;MONTH(A224),I224&gt;=3*$S$2),D224+3,D224)</f>
        <v>16</v>
      </c>
      <c r="E225">
        <f>IF(B225&lt;6,ROUNDDOWN(D225*VLOOKUP(C225,$U$1:$V$5,2,FALSE),0)*$S$3,0)</f>
        <v>0</v>
      </c>
      <c r="F225">
        <f t="shared" si="14"/>
        <v>0</v>
      </c>
      <c r="G225">
        <f t="shared" si="15"/>
        <v>0</v>
      </c>
      <c r="H225">
        <f t="shared" si="13"/>
        <v>0</v>
      </c>
      <c r="I225">
        <f>SUM($H$2:H225)</f>
        <v>8215</v>
      </c>
    </row>
    <row r="226" spans="1:9" x14ac:dyDescent="0.25">
      <c r="A226" s="1">
        <v>45151</v>
      </c>
      <c r="B226">
        <f t="shared" si="12"/>
        <v>7</v>
      </c>
      <c r="C226" t="s">
        <v>10</v>
      </c>
      <c r="D226">
        <f>IF(AND(MONTH(A226)&lt;&gt;MONTH(A225),I225&gt;=3*$S$2),D225+3,D225)</f>
        <v>16</v>
      </c>
      <c r="E226">
        <f>IF(B226&lt;6,ROUNDDOWN(D226*VLOOKUP(C226,$U$1:$V$5,2,FALSE),0)*$S$3,0)</f>
        <v>0</v>
      </c>
      <c r="F226">
        <f t="shared" si="14"/>
        <v>240</v>
      </c>
      <c r="G226">
        <f t="shared" si="15"/>
        <v>0</v>
      </c>
      <c r="H226">
        <f t="shared" si="13"/>
        <v>-240</v>
      </c>
      <c r="I226">
        <f>SUM($H$2:H226)</f>
        <v>7975</v>
      </c>
    </row>
    <row r="227" spans="1:9" x14ac:dyDescent="0.25">
      <c r="A227" s="1">
        <v>45152</v>
      </c>
      <c r="B227">
        <f t="shared" si="12"/>
        <v>1</v>
      </c>
      <c r="C227" t="s">
        <v>10</v>
      </c>
      <c r="D227">
        <f>IF(AND(MONTH(A227)&lt;&gt;MONTH(A226),I226&gt;=3*$S$2),D226+3,D226)</f>
        <v>16</v>
      </c>
      <c r="E227">
        <f>IF(B227&lt;6,ROUNDDOWN(D227*VLOOKUP(C227,$U$1:$V$5,2,FALSE),0)*$S$3,0)</f>
        <v>420</v>
      </c>
      <c r="F227">
        <f t="shared" si="14"/>
        <v>0</v>
      </c>
      <c r="G227">
        <f t="shared" si="15"/>
        <v>0</v>
      </c>
      <c r="H227">
        <f t="shared" si="13"/>
        <v>420</v>
      </c>
      <c r="I227">
        <f>SUM($H$2:H227)</f>
        <v>8395</v>
      </c>
    </row>
    <row r="228" spans="1:9" x14ac:dyDescent="0.25">
      <c r="A228" s="1">
        <v>45153</v>
      </c>
      <c r="B228">
        <f t="shared" si="12"/>
        <v>2</v>
      </c>
      <c r="C228" t="s">
        <v>10</v>
      </c>
      <c r="D228">
        <f>IF(AND(MONTH(A228)&lt;&gt;MONTH(A227),I227&gt;=3*$S$2),D227+3,D227)</f>
        <v>16</v>
      </c>
      <c r="E228">
        <f>IF(B228&lt;6,ROUNDDOWN(D228*VLOOKUP(C228,$U$1:$V$5,2,FALSE),0)*$S$3,0)</f>
        <v>420</v>
      </c>
      <c r="F228">
        <f t="shared" si="14"/>
        <v>0</v>
      </c>
      <c r="G228">
        <f t="shared" si="15"/>
        <v>0</v>
      </c>
      <c r="H228">
        <f t="shared" si="13"/>
        <v>420</v>
      </c>
      <c r="I228">
        <f>SUM($H$2:H228)</f>
        <v>8815</v>
      </c>
    </row>
    <row r="229" spans="1:9" x14ac:dyDescent="0.25">
      <c r="A229" s="1">
        <v>45154</v>
      </c>
      <c r="B229">
        <f t="shared" si="12"/>
        <v>3</v>
      </c>
      <c r="C229" t="s">
        <v>10</v>
      </c>
      <c r="D229">
        <f>IF(AND(MONTH(A229)&lt;&gt;MONTH(A228),I228&gt;=3*$S$2),D228+3,D228)</f>
        <v>16</v>
      </c>
      <c r="E229">
        <f>IF(B229&lt;6,ROUNDDOWN(D229*VLOOKUP(C229,$U$1:$V$5,2,FALSE),0)*$S$3,0)</f>
        <v>420</v>
      </c>
      <c r="F229">
        <f t="shared" si="14"/>
        <v>0</v>
      </c>
      <c r="G229">
        <f t="shared" si="15"/>
        <v>0</v>
      </c>
      <c r="H229">
        <f t="shared" si="13"/>
        <v>420</v>
      </c>
      <c r="I229">
        <f>SUM($H$2:H229)</f>
        <v>9235</v>
      </c>
    </row>
    <row r="230" spans="1:9" x14ac:dyDescent="0.25">
      <c r="A230" s="1">
        <v>45155</v>
      </c>
      <c r="B230">
        <f t="shared" si="12"/>
        <v>4</v>
      </c>
      <c r="C230" t="s">
        <v>10</v>
      </c>
      <c r="D230">
        <f>IF(AND(MONTH(A230)&lt;&gt;MONTH(A229),I229&gt;=3*$S$2),D229+3,D229)</f>
        <v>16</v>
      </c>
      <c r="E230">
        <f>IF(B230&lt;6,ROUNDDOWN(D230*VLOOKUP(C230,$U$1:$V$5,2,FALSE),0)*$S$3,0)</f>
        <v>420</v>
      </c>
      <c r="F230">
        <f t="shared" si="14"/>
        <v>0</v>
      </c>
      <c r="G230">
        <f t="shared" si="15"/>
        <v>0</v>
      </c>
      <c r="H230">
        <f t="shared" si="13"/>
        <v>420</v>
      </c>
      <c r="I230">
        <f>SUM($H$2:H230)</f>
        <v>9655</v>
      </c>
    </row>
    <row r="231" spans="1:9" x14ac:dyDescent="0.25">
      <c r="A231" s="1">
        <v>45156</v>
      </c>
      <c r="B231">
        <f t="shared" si="12"/>
        <v>5</v>
      </c>
      <c r="C231" t="s">
        <v>10</v>
      </c>
      <c r="D231">
        <f>IF(AND(MONTH(A231)&lt;&gt;MONTH(A230),I230&gt;=3*$S$2),D230+3,D230)</f>
        <v>16</v>
      </c>
      <c r="E231">
        <f>IF(B231&lt;6,ROUNDDOWN(D231*VLOOKUP(C231,$U$1:$V$5,2,FALSE),0)*$S$3,0)</f>
        <v>420</v>
      </c>
      <c r="F231">
        <f t="shared" si="14"/>
        <v>0</v>
      </c>
      <c r="G231">
        <f t="shared" si="15"/>
        <v>0</v>
      </c>
      <c r="H231">
        <f t="shared" si="13"/>
        <v>420</v>
      </c>
      <c r="I231">
        <f>SUM($H$2:H231)</f>
        <v>10075</v>
      </c>
    </row>
    <row r="232" spans="1:9" x14ac:dyDescent="0.25">
      <c r="A232" s="1">
        <v>45157</v>
      </c>
      <c r="B232">
        <f t="shared" si="12"/>
        <v>6</v>
      </c>
      <c r="C232" t="s">
        <v>10</v>
      </c>
      <c r="D232">
        <f>IF(AND(MONTH(A232)&lt;&gt;MONTH(A231),I231&gt;=3*$S$2),D231+3,D231)</f>
        <v>16</v>
      </c>
      <c r="E232">
        <f>IF(B232&lt;6,ROUNDDOWN(D232*VLOOKUP(C232,$U$1:$V$5,2,FALSE),0)*$S$3,0)</f>
        <v>0</v>
      </c>
      <c r="F232">
        <f t="shared" si="14"/>
        <v>0</v>
      </c>
      <c r="G232">
        <f t="shared" si="15"/>
        <v>0</v>
      </c>
      <c r="H232">
        <f t="shared" si="13"/>
        <v>0</v>
      </c>
      <c r="I232">
        <f>SUM($H$2:H232)</f>
        <v>10075</v>
      </c>
    </row>
    <row r="233" spans="1:9" x14ac:dyDescent="0.25">
      <c r="A233" s="1">
        <v>45158</v>
      </c>
      <c r="B233">
        <f t="shared" si="12"/>
        <v>7</v>
      </c>
      <c r="C233" t="s">
        <v>10</v>
      </c>
      <c r="D233">
        <f>IF(AND(MONTH(A233)&lt;&gt;MONTH(A232),I232&gt;=3*$S$2),D232+3,D232)</f>
        <v>16</v>
      </c>
      <c r="E233">
        <f>IF(B233&lt;6,ROUNDDOWN(D233*VLOOKUP(C233,$U$1:$V$5,2,FALSE),0)*$S$3,0)</f>
        <v>0</v>
      </c>
      <c r="F233">
        <f t="shared" si="14"/>
        <v>240</v>
      </c>
      <c r="G233">
        <f t="shared" si="15"/>
        <v>0</v>
      </c>
      <c r="H233">
        <f t="shared" si="13"/>
        <v>-240</v>
      </c>
      <c r="I233">
        <f>SUM($H$2:H233)</f>
        <v>9835</v>
      </c>
    </row>
    <row r="234" spans="1:9" x14ac:dyDescent="0.25">
      <c r="A234" s="1">
        <v>45159</v>
      </c>
      <c r="B234">
        <f t="shared" si="12"/>
        <v>1</v>
      </c>
      <c r="C234" t="s">
        <v>10</v>
      </c>
      <c r="D234">
        <f>IF(AND(MONTH(A234)&lt;&gt;MONTH(A233),I233&gt;=3*$S$2),D233+3,D233)</f>
        <v>16</v>
      </c>
      <c r="E234">
        <f>IF(B234&lt;6,ROUNDDOWN(D234*VLOOKUP(C234,$U$1:$V$5,2,FALSE),0)*$S$3,0)</f>
        <v>420</v>
      </c>
      <c r="F234">
        <f t="shared" si="14"/>
        <v>0</v>
      </c>
      <c r="G234">
        <f t="shared" si="15"/>
        <v>0</v>
      </c>
      <c r="H234">
        <f t="shared" si="13"/>
        <v>420</v>
      </c>
      <c r="I234">
        <f>SUM($H$2:H234)</f>
        <v>10255</v>
      </c>
    </row>
    <row r="235" spans="1:9" x14ac:dyDescent="0.25">
      <c r="A235" s="1">
        <v>45160</v>
      </c>
      <c r="B235">
        <f t="shared" si="12"/>
        <v>2</v>
      </c>
      <c r="C235" t="s">
        <v>10</v>
      </c>
      <c r="D235">
        <f>IF(AND(MONTH(A235)&lt;&gt;MONTH(A234),I234&gt;=3*$S$2),D234+3,D234)</f>
        <v>16</v>
      </c>
      <c r="E235">
        <f>IF(B235&lt;6,ROUNDDOWN(D235*VLOOKUP(C235,$U$1:$V$5,2,FALSE),0)*$S$3,0)</f>
        <v>420</v>
      </c>
      <c r="F235">
        <f t="shared" si="14"/>
        <v>0</v>
      </c>
      <c r="G235">
        <f t="shared" si="15"/>
        <v>0</v>
      </c>
      <c r="H235">
        <f t="shared" si="13"/>
        <v>420</v>
      </c>
      <c r="I235">
        <f>SUM($H$2:H235)</f>
        <v>10675</v>
      </c>
    </row>
    <row r="236" spans="1:9" x14ac:dyDescent="0.25">
      <c r="A236" s="1">
        <v>45161</v>
      </c>
      <c r="B236">
        <f t="shared" si="12"/>
        <v>3</v>
      </c>
      <c r="C236" t="s">
        <v>10</v>
      </c>
      <c r="D236">
        <f>IF(AND(MONTH(A236)&lt;&gt;MONTH(A235),I235&gt;=3*$S$2),D235+3,D235)</f>
        <v>16</v>
      </c>
      <c r="E236">
        <f>IF(B236&lt;6,ROUNDDOWN(D236*VLOOKUP(C236,$U$1:$V$5,2,FALSE),0)*$S$3,0)</f>
        <v>420</v>
      </c>
      <c r="F236">
        <f t="shared" si="14"/>
        <v>0</v>
      </c>
      <c r="G236">
        <f t="shared" si="15"/>
        <v>0</v>
      </c>
      <c r="H236">
        <f t="shared" si="13"/>
        <v>420</v>
      </c>
      <c r="I236">
        <f>SUM($H$2:H236)</f>
        <v>11095</v>
      </c>
    </row>
    <row r="237" spans="1:9" x14ac:dyDescent="0.25">
      <c r="A237" s="1">
        <v>45162</v>
      </c>
      <c r="B237">
        <f t="shared" si="12"/>
        <v>4</v>
      </c>
      <c r="C237" t="s">
        <v>10</v>
      </c>
      <c r="D237">
        <f>IF(AND(MONTH(A237)&lt;&gt;MONTH(A236),I236&gt;=3*$S$2),D236+3,D236)</f>
        <v>16</v>
      </c>
      <c r="E237">
        <f>IF(B237&lt;6,ROUNDDOWN(D237*VLOOKUP(C237,$U$1:$V$5,2,FALSE),0)*$S$3,0)</f>
        <v>420</v>
      </c>
      <c r="F237">
        <f t="shared" si="14"/>
        <v>0</v>
      </c>
      <c r="G237">
        <f t="shared" si="15"/>
        <v>0</v>
      </c>
      <c r="H237">
        <f t="shared" si="13"/>
        <v>420</v>
      </c>
      <c r="I237">
        <f>SUM($H$2:H237)</f>
        <v>11515</v>
      </c>
    </row>
    <row r="238" spans="1:9" x14ac:dyDescent="0.25">
      <c r="A238" s="1">
        <v>45163</v>
      </c>
      <c r="B238">
        <f t="shared" si="12"/>
        <v>5</v>
      </c>
      <c r="C238" t="s">
        <v>10</v>
      </c>
      <c r="D238">
        <f>IF(AND(MONTH(A238)&lt;&gt;MONTH(A237),I237&gt;=3*$S$2),D237+3,D237)</f>
        <v>16</v>
      </c>
      <c r="E238">
        <f>IF(B238&lt;6,ROUNDDOWN(D238*VLOOKUP(C238,$U$1:$V$5,2,FALSE),0)*$S$3,0)</f>
        <v>420</v>
      </c>
      <c r="F238">
        <f t="shared" si="14"/>
        <v>0</v>
      </c>
      <c r="G238">
        <f t="shared" si="15"/>
        <v>0</v>
      </c>
      <c r="H238">
        <f t="shared" si="13"/>
        <v>420</v>
      </c>
      <c r="I238">
        <f>SUM($H$2:H238)</f>
        <v>11935</v>
      </c>
    </row>
    <row r="239" spans="1:9" x14ac:dyDescent="0.25">
      <c r="A239" s="1">
        <v>45164</v>
      </c>
      <c r="B239">
        <f t="shared" si="12"/>
        <v>6</v>
      </c>
      <c r="C239" t="s">
        <v>10</v>
      </c>
      <c r="D239">
        <f>IF(AND(MONTH(A239)&lt;&gt;MONTH(A238),I238&gt;=3*$S$2),D238+3,D238)</f>
        <v>16</v>
      </c>
      <c r="E239">
        <f>IF(B239&lt;6,ROUNDDOWN(D239*VLOOKUP(C239,$U$1:$V$5,2,FALSE),0)*$S$3,0)</f>
        <v>0</v>
      </c>
      <c r="F239">
        <f t="shared" si="14"/>
        <v>0</v>
      </c>
      <c r="G239">
        <f t="shared" si="15"/>
        <v>0</v>
      </c>
      <c r="H239">
        <f t="shared" si="13"/>
        <v>0</v>
      </c>
      <c r="I239">
        <f>SUM($H$2:H239)</f>
        <v>11935</v>
      </c>
    </row>
    <row r="240" spans="1:9" x14ac:dyDescent="0.25">
      <c r="A240" s="1">
        <v>45165</v>
      </c>
      <c r="B240">
        <f t="shared" si="12"/>
        <v>7</v>
      </c>
      <c r="C240" t="s">
        <v>10</v>
      </c>
      <c r="D240">
        <f>IF(AND(MONTH(A240)&lt;&gt;MONTH(A239),I239&gt;=3*$S$2),D239+3,D239)</f>
        <v>16</v>
      </c>
      <c r="E240">
        <f>IF(B240&lt;6,ROUNDDOWN(D240*VLOOKUP(C240,$U$1:$V$5,2,FALSE),0)*$S$3,0)</f>
        <v>0</v>
      </c>
      <c r="F240">
        <f t="shared" si="14"/>
        <v>240</v>
      </c>
      <c r="G240">
        <f t="shared" si="15"/>
        <v>0</v>
      </c>
      <c r="H240">
        <f t="shared" si="13"/>
        <v>-240</v>
      </c>
      <c r="I240">
        <f>SUM($H$2:H240)</f>
        <v>11695</v>
      </c>
    </row>
    <row r="241" spans="1:9" x14ac:dyDescent="0.25">
      <c r="A241" s="1">
        <v>45166</v>
      </c>
      <c r="B241">
        <f t="shared" si="12"/>
        <v>1</v>
      </c>
      <c r="C241" t="s">
        <v>10</v>
      </c>
      <c r="D241">
        <f>IF(AND(MONTH(A241)&lt;&gt;MONTH(A240),I240&gt;=3*$S$2),D240+3,D240)</f>
        <v>16</v>
      </c>
      <c r="E241">
        <f>IF(B241&lt;6,ROUNDDOWN(D241*VLOOKUP(C241,$U$1:$V$5,2,FALSE),0)*$S$3,0)</f>
        <v>420</v>
      </c>
      <c r="F241">
        <f t="shared" si="14"/>
        <v>0</v>
      </c>
      <c r="G241">
        <f t="shared" si="15"/>
        <v>0</v>
      </c>
      <c r="H241">
        <f t="shared" si="13"/>
        <v>420</v>
      </c>
      <c r="I241">
        <f>SUM($H$2:H241)</f>
        <v>12115</v>
      </c>
    </row>
    <row r="242" spans="1:9" x14ac:dyDescent="0.25">
      <c r="A242" s="1">
        <v>45167</v>
      </c>
      <c r="B242">
        <f t="shared" si="12"/>
        <v>2</v>
      </c>
      <c r="C242" t="s">
        <v>10</v>
      </c>
      <c r="D242">
        <f>IF(AND(MONTH(A242)&lt;&gt;MONTH(A241),I241&gt;=3*$S$2),D241+3,D241)</f>
        <v>16</v>
      </c>
      <c r="E242">
        <f>IF(B242&lt;6,ROUNDDOWN(D242*VLOOKUP(C242,$U$1:$V$5,2,FALSE),0)*$S$3,0)</f>
        <v>420</v>
      </c>
      <c r="F242">
        <f t="shared" si="14"/>
        <v>0</v>
      </c>
      <c r="G242">
        <f t="shared" si="15"/>
        <v>0</v>
      </c>
      <c r="H242">
        <f t="shared" si="13"/>
        <v>420</v>
      </c>
      <c r="I242">
        <f>SUM($H$2:H242)</f>
        <v>12535</v>
      </c>
    </row>
    <row r="243" spans="1:9" x14ac:dyDescent="0.25">
      <c r="A243" s="1">
        <v>45168</v>
      </c>
      <c r="B243">
        <f t="shared" si="12"/>
        <v>3</v>
      </c>
      <c r="C243" t="s">
        <v>10</v>
      </c>
      <c r="D243">
        <f>IF(AND(MONTH(A243)&lt;&gt;MONTH(A242),I242&gt;=3*$S$2),D242+3,D242)</f>
        <v>16</v>
      </c>
      <c r="E243">
        <f>IF(B243&lt;6,ROUNDDOWN(D243*VLOOKUP(C243,$U$1:$V$5,2,FALSE),0)*$S$3,0)</f>
        <v>420</v>
      </c>
      <c r="F243">
        <f t="shared" si="14"/>
        <v>0</v>
      </c>
      <c r="G243">
        <f t="shared" si="15"/>
        <v>0</v>
      </c>
      <c r="H243">
        <f t="shared" si="13"/>
        <v>420</v>
      </c>
      <c r="I243">
        <f>SUM($H$2:H243)</f>
        <v>12955</v>
      </c>
    </row>
    <row r="244" spans="1:9" x14ac:dyDescent="0.25">
      <c r="A244" s="1">
        <v>45169</v>
      </c>
      <c r="B244">
        <f t="shared" si="12"/>
        <v>4</v>
      </c>
      <c r="C244" t="s">
        <v>10</v>
      </c>
      <c r="D244">
        <f>IF(AND(MONTH(A244)&lt;&gt;MONTH(A243),I243&gt;=3*$S$2),D243+3,D243)</f>
        <v>16</v>
      </c>
      <c r="E244">
        <f>IF(B244&lt;6,ROUNDDOWN(D244*VLOOKUP(C244,$U$1:$V$5,2,FALSE),0)*$S$3,0)</f>
        <v>420</v>
      </c>
      <c r="F244">
        <f t="shared" si="14"/>
        <v>0</v>
      </c>
      <c r="G244">
        <f t="shared" si="15"/>
        <v>0</v>
      </c>
      <c r="H244">
        <f t="shared" si="13"/>
        <v>420</v>
      </c>
      <c r="I244">
        <f>SUM($H$2:H244)</f>
        <v>13375</v>
      </c>
    </row>
    <row r="245" spans="1:9" x14ac:dyDescent="0.25">
      <c r="A245" s="1">
        <v>45170</v>
      </c>
      <c r="B245">
        <f t="shared" si="12"/>
        <v>5</v>
      </c>
      <c r="C245" t="s">
        <v>10</v>
      </c>
      <c r="D245">
        <f>IF(AND(MONTH(A245)&lt;&gt;MONTH(A244),I244&gt;=3*$S$2),D244+3,D244)</f>
        <v>19</v>
      </c>
      <c r="E245">
        <f>IF(B245&lt;6,ROUNDDOWN(D245*VLOOKUP(C245,$U$1:$V$5,2,FALSE),0)*$S$3,0)</f>
        <v>510</v>
      </c>
      <c r="F245">
        <f t="shared" si="14"/>
        <v>0</v>
      </c>
      <c r="G245">
        <f t="shared" si="15"/>
        <v>2400</v>
      </c>
      <c r="H245">
        <f t="shared" si="13"/>
        <v>-1890</v>
      </c>
      <c r="I245">
        <f>SUM($H$2:H245)</f>
        <v>11485</v>
      </c>
    </row>
    <row r="246" spans="1:9" x14ac:dyDescent="0.25">
      <c r="A246" s="1">
        <v>45171</v>
      </c>
      <c r="B246">
        <f t="shared" si="12"/>
        <v>6</v>
      </c>
      <c r="C246" t="s">
        <v>10</v>
      </c>
      <c r="D246">
        <f>IF(AND(MONTH(A246)&lt;&gt;MONTH(A245),I245&gt;=3*$S$2),D245+3,D245)</f>
        <v>19</v>
      </c>
      <c r="E246">
        <f>IF(B246&lt;6,ROUNDDOWN(D246*VLOOKUP(C246,$U$1:$V$5,2,FALSE),0)*$S$3,0)</f>
        <v>0</v>
      </c>
      <c r="F246">
        <f t="shared" si="14"/>
        <v>0</v>
      </c>
      <c r="G246">
        <f t="shared" si="15"/>
        <v>0</v>
      </c>
      <c r="H246">
        <f t="shared" si="13"/>
        <v>0</v>
      </c>
      <c r="I246">
        <f>SUM($H$2:H246)</f>
        <v>11485</v>
      </c>
    </row>
    <row r="247" spans="1:9" x14ac:dyDescent="0.25">
      <c r="A247" s="1">
        <v>45172</v>
      </c>
      <c r="B247">
        <f t="shared" si="12"/>
        <v>7</v>
      </c>
      <c r="C247" t="s">
        <v>10</v>
      </c>
      <c r="D247">
        <f>IF(AND(MONTH(A247)&lt;&gt;MONTH(A246),I246&gt;=3*$S$2),D246+3,D246)</f>
        <v>19</v>
      </c>
      <c r="E247">
        <f>IF(B247&lt;6,ROUNDDOWN(D247*VLOOKUP(C247,$U$1:$V$5,2,FALSE),0)*$S$3,0)</f>
        <v>0</v>
      </c>
      <c r="F247">
        <f t="shared" si="14"/>
        <v>285</v>
      </c>
      <c r="G247">
        <f t="shared" si="15"/>
        <v>0</v>
      </c>
      <c r="H247">
        <f t="shared" si="13"/>
        <v>-285</v>
      </c>
      <c r="I247">
        <f>SUM($H$2:H247)</f>
        <v>11200</v>
      </c>
    </row>
    <row r="248" spans="1:9" x14ac:dyDescent="0.25">
      <c r="A248" s="1">
        <v>45173</v>
      </c>
      <c r="B248">
        <f t="shared" si="12"/>
        <v>1</v>
      </c>
      <c r="C248" t="s">
        <v>10</v>
      </c>
      <c r="D248">
        <f>IF(AND(MONTH(A248)&lt;&gt;MONTH(A247),I247&gt;=3*$S$2),D247+3,D247)</f>
        <v>19</v>
      </c>
      <c r="E248">
        <f>IF(B248&lt;6,ROUNDDOWN(D248*VLOOKUP(C248,$U$1:$V$5,2,FALSE),0)*$S$3,0)</f>
        <v>510</v>
      </c>
      <c r="F248">
        <f t="shared" si="14"/>
        <v>0</v>
      </c>
      <c r="G248">
        <f t="shared" si="15"/>
        <v>0</v>
      </c>
      <c r="H248">
        <f t="shared" si="13"/>
        <v>510</v>
      </c>
      <c r="I248">
        <f>SUM($H$2:H248)</f>
        <v>11710</v>
      </c>
    </row>
    <row r="249" spans="1:9" x14ac:dyDescent="0.25">
      <c r="A249" s="1">
        <v>45174</v>
      </c>
      <c r="B249">
        <f t="shared" si="12"/>
        <v>2</v>
      </c>
      <c r="C249" t="s">
        <v>10</v>
      </c>
      <c r="D249">
        <f>IF(AND(MONTH(A249)&lt;&gt;MONTH(A248),I248&gt;=3*$S$2),D248+3,D248)</f>
        <v>19</v>
      </c>
      <c r="E249">
        <f>IF(B249&lt;6,ROUNDDOWN(D249*VLOOKUP(C249,$U$1:$V$5,2,FALSE),0)*$S$3,0)</f>
        <v>510</v>
      </c>
      <c r="F249">
        <f t="shared" si="14"/>
        <v>0</v>
      </c>
      <c r="G249">
        <f t="shared" si="15"/>
        <v>0</v>
      </c>
      <c r="H249">
        <f t="shared" si="13"/>
        <v>510</v>
      </c>
      <c r="I249">
        <f>SUM($H$2:H249)</f>
        <v>12220</v>
      </c>
    </row>
    <row r="250" spans="1:9" x14ac:dyDescent="0.25">
      <c r="A250" s="1">
        <v>45175</v>
      </c>
      <c r="B250">
        <f t="shared" si="12"/>
        <v>3</v>
      </c>
      <c r="C250" t="s">
        <v>10</v>
      </c>
      <c r="D250">
        <f>IF(AND(MONTH(A250)&lt;&gt;MONTH(A249),I249&gt;=3*$S$2),D249+3,D249)</f>
        <v>19</v>
      </c>
      <c r="E250">
        <f>IF(B250&lt;6,ROUNDDOWN(D250*VLOOKUP(C250,$U$1:$V$5,2,FALSE),0)*$S$3,0)</f>
        <v>510</v>
      </c>
      <c r="F250">
        <f t="shared" si="14"/>
        <v>0</v>
      </c>
      <c r="G250">
        <f t="shared" si="15"/>
        <v>0</v>
      </c>
      <c r="H250">
        <f t="shared" si="13"/>
        <v>510</v>
      </c>
      <c r="I250">
        <f>SUM($H$2:H250)</f>
        <v>12730</v>
      </c>
    </row>
    <row r="251" spans="1:9" x14ac:dyDescent="0.25">
      <c r="A251" s="1">
        <v>45176</v>
      </c>
      <c r="B251">
        <f t="shared" si="12"/>
        <v>4</v>
      </c>
      <c r="C251" t="s">
        <v>10</v>
      </c>
      <c r="D251">
        <f>IF(AND(MONTH(A251)&lt;&gt;MONTH(A250),I250&gt;=3*$S$2),D250+3,D250)</f>
        <v>19</v>
      </c>
      <c r="E251">
        <f>IF(B251&lt;6,ROUNDDOWN(D251*VLOOKUP(C251,$U$1:$V$5,2,FALSE),0)*$S$3,0)</f>
        <v>510</v>
      </c>
      <c r="F251">
        <f t="shared" si="14"/>
        <v>0</v>
      </c>
      <c r="G251">
        <f t="shared" si="15"/>
        <v>0</v>
      </c>
      <c r="H251">
        <f t="shared" si="13"/>
        <v>510</v>
      </c>
      <c r="I251">
        <f>SUM($H$2:H251)</f>
        <v>13240</v>
      </c>
    </row>
    <row r="252" spans="1:9" x14ac:dyDescent="0.25">
      <c r="A252" s="1">
        <v>45177</v>
      </c>
      <c r="B252">
        <f t="shared" si="12"/>
        <v>5</v>
      </c>
      <c r="C252" t="s">
        <v>10</v>
      </c>
      <c r="D252">
        <f>IF(AND(MONTH(A252)&lt;&gt;MONTH(A251),I251&gt;=3*$S$2),D251+3,D251)</f>
        <v>19</v>
      </c>
      <c r="E252">
        <f>IF(B252&lt;6,ROUNDDOWN(D252*VLOOKUP(C252,$U$1:$V$5,2,FALSE),0)*$S$3,0)</f>
        <v>510</v>
      </c>
      <c r="F252">
        <f t="shared" si="14"/>
        <v>0</v>
      </c>
      <c r="G252">
        <f t="shared" si="15"/>
        <v>0</v>
      </c>
      <c r="H252">
        <f t="shared" si="13"/>
        <v>510</v>
      </c>
      <c r="I252">
        <f>SUM($H$2:H252)</f>
        <v>13750</v>
      </c>
    </row>
    <row r="253" spans="1:9" x14ac:dyDescent="0.25">
      <c r="A253" s="1">
        <v>45178</v>
      </c>
      <c r="B253">
        <f t="shared" si="12"/>
        <v>6</v>
      </c>
      <c r="C253" t="s">
        <v>10</v>
      </c>
      <c r="D253">
        <f>IF(AND(MONTH(A253)&lt;&gt;MONTH(A252),I252&gt;=3*$S$2),D252+3,D252)</f>
        <v>19</v>
      </c>
      <c r="E253">
        <f>IF(B253&lt;6,ROUNDDOWN(D253*VLOOKUP(C253,$U$1:$V$5,2,FALSE),0)*$S$3,0)</f>
        <v>0</v>
      </c>
      <c r="F253">
        <f t="shared" si="14"/>
        <v>0</v>
      </c>
      <c r="G253">
        <f t="shared" si="15"/>
        <v>0</v>
      </c>
      <c r="H253">
        <f t="shared" si="13"/>
        <v>0</v>
      </c>
      <c r="I253">
        <f>SUM($H$2:H253)</f>
        <v>13750</v>
      </c>
    </row>
    <row r="254" spans="1:9" x14ac:dyDescent="0.25">
      <c r="A254" s="1">
        <v>45179</v>
      </c>
      <c r="B254">
        <f t="shared" si="12"/>
        <v>7</v>
      </c>
      <c r="C254" t="s">
        <v>10</v>
      </c>
      <c r="D254">
        <f>IF(AND(MONTH(A254)&lt;&gt;MONTH(A253),I253&gt;=3*$S$2),D253+3,D253)</f>
        <v>19</v>
      </c>
      <c r="E254">
        <f>IF(B254&lt;6,ROUNDDOWN(D254*VLOOKUP(C254,$U$1:$V$5,2,FALSE),0)*$S$3,0)</f>
        <v>0</v>
      </c>
      <c r="F254">
        <f t="shared" si="14"/>
        <v>285</v>
      </c>
      <c r="G254">
        <f t="shared" si="15"/>
        <v>0</v>
      </c>
      <c r="H254">
        <f t="shared" si="13"/>
        <v>-285</v>
      </c>
      <c r="I254">
        <f>SUM($H$2:H254)</f>
        <v>13465</v>
      </c>
    </row>
    <row r="255" spans="1:9" x14ac:dyDescent="0.25">
      <c r="A255" s="1">
        <v>45180</v>
      </c>
      <c r="B255">
        <f t="shared" si="12"/>
        <v>1</v>
      </c>
      <c r="C255" t="s">
        <v>10</v>
      </c>
      <c r="D255">
        <f>IF(AND(MONTH(A255)&lt;&gt;MONTH(A254),I254&gt;=3*$S$2),D254+3,D254)</f>
        <v>19</v>
      </c>
      <c r="E255">
        <f>IF(B255&lt;6,ROUNDDOWN(D255*VLOOKUP(C255,$U$1:$V$5,2,FALSE),0)*$S$3,0)</f>
        <v>510</v>
      </c>
      <c r="F255">
        <f t="shared" si="14"/>
        <v>0</v>
      </c>
      <c r="G255">
        <f t="shared" si="15"/>
        <v>0</v>
      </c>
      <c r="H255">
        <f t="shared" si="13"/>
        <v>510</v>
      </c>
      <c r="I255">
        <f>SUM($H$2:H255)</f>
        <v>13975</v>
      </c>
    </row>
    <row r="256" spans="1:9" x14ac:dyDescent="0.25">
      <c r="A256" s="1">
        <v>45181</v>
      </c>
      <c r="B256">
        <f t="shared" si="12"/>
        <v>2</v>
      </c>
      <c r="C256" t="s">
        <v>10</v>
      </c>
      <c r="D256">
        <f>IF(AND(MONTH(A256)&lt;&gt;MONTH(A255),I255&gt;=3*$S$2),D255+3,D255)</f>
        <v>19</v>
      </c>
      <c r="E256">
        <f>IF(B256&lt;6,ROUNDDOWN(D256*VLOOKUP(C256,$U$1:$V$5,2,FALSE),0)*$S$3,0)</f>
        <v>510</v>
      </c>
      <c r="F256">
        <f t="shared" si="14"/>
        <v>0</v>
      </c>
      <c r="G256">
        <f t="shared" si="15"/>
        <v>0</v>
      </c>
      <c r="H256">
        <f t="shared" si="13"/>
        <v>510</v>
      </c>
      <c r="I256">
        <f>SUM($H$2:H256)</f>
        <v>14485</v>
      </c>
    </row>
    <row r="257" spans="1:9" x14ac:dyDescent="0.25">
      <c r="A257" s="1">
        <v>45182</v>
      </c>
      <c r="B257">
        <f t="shared" si="12"/>
        <v>3</v>
      </c>
      <c r="C257" t="s">
        <v>10</v>
      </c>
      <c r="D257">
        <f>IF(AND(MONTH(A257)&lt;&gt;MONTH(A256),I256&gt;=3*$S$2),D256+3,D256)</f>
        <v>19</v>
      </c>
      <c r="E257">
        <f>IF(B257&lt;6,ROUNDDOWN(D257*VLOOKUP(C257,$U$1:$V$5,2,FALSE),0)*$S$3,0)</f>
        <v>510</v>
      </c>
      <c r="F257">
        <f t="shared" si="14"/>
        <v>0</v>
      </c>
      <c r="G257">
        <f t="shared" si="15"/>
        <v>0</v>
      </c>
      <c r="H257">
        <f t="shared" si="13"/>
        <v>510</v>
      </c>
      <c r="I257">
        <f>SUM($H$2:H257)</f>
        <v>14995</v>
      </c>
    </row>
    <row r="258" spans="1:9" x14ac:dyDescent="0.25">
      <c r="A258" s="1">
        <v>45183</v>
      </c>
      <c r="B258">
        <f t="shared" si="12"/>
        <v>4</v>
      </c>
      <c r="C258" t="s">
        <v>10</v>
      </c>
      <c r="D258">
        <f>IF(AND(MONTH(A258)&lt;&gt;MONTH(A257),I257&gt;=3*$S$2),D257+3,D257)</f>
        <v>19</v>
      </c>
      <c r="E258">
        <f>IF(B258&lt;6,ROUNDDOWN(D258*VLOOKUP(C258,$U$1:$V$5,2,FALSE),0)*$S$3,0)</f>
        <v>510</v>
      </c>
      <c r="F258">
        <f t="shared" si="14"/>
        <v>0</v>
      </c>
      <c r="G258">
        <f t="shared" si="15"/>
        <v>0</v>
      </c>
      <c r="H258">
        <f t="shared" si="13"/>
        <v>510</v>
      </c>
      <c r="I258">
        <f>SUM($H$2:H258)</f>
        <v>15505</v>
      </c>
    </row>
    <row r="259" spans="1:9" x14ac:dyDescent="0.25">
      <c r="A259" s="1">
        <v>45184</v>
      </c>
      <c r="B259">
        <f t="shared" ref="B259:B322" si="16">WEEKDAY(A259,2)</f>
        <v>5</v>
      </c>
      <c r="C259" t="s">
        <v>10</v>
      </c>
      <c r="D259">
        <f>IF(AND(MONTH(A259)&lt;&gt;MONTH(A258),I258&gt;=3*$S$2),D258+3,D258)</f>
        <v>19</v>
      </c>
      <c r="E259">
        <f>IF(B259&lt;6,ROUNDDOWN(D259*VLOOKUP(C259,$U$1:$V$5,2,FALSE),0)*$S$3,0)</f>
        <v>510</v>
      </c>
      <c r="F259">
        <f t="shared" si="14"/>
        <v>0</v>
      </c>
      <c r="G259">
        <f t="shared" si="15"/>
        <v>0</v>
      </c>
      <c r="H259">
        <f t="shared" ref="H259:H322" si="17">E259-F259-G259</f>
        <v>510</v>
      </c>
      <c r="I259">
        <f>SUM($H$2:H259)</f>
        <v>16015</v>
      </c>
    </row>
    <row r="260" spans="1:9" x14ac:dyDescent="0.25">
      <c r="A260" s="1">
        <v>45185</v>
      </c>
      <c r="B260">
        <f t="shared" si="16"/>
        <v>6</v>
      </c>
      <c r="C260" t="s">
        <v>10</v>
      </c>
      <c r="D260">
        <f>IF(AND(MONTH(A260)&lt;&gt;MONTH(A259),I259&gt;=3*$S$2),D259+3,D259)</f>
        <v>19</v>
      </c>
      <c r="E260">
        <f>IF(B260&lt;6,ROUNDDOWN(D260*VLOOKUP(C260,$U$1:$V$5,2,FALSE),0)*$S$3,0)</f>
        <v>0</v>
      </c>
      <c r="F260">
        <f t="shared" ref="F260:F323" si="18">IF(B260=7,$S$4*D260,0)</f>
        <v>0</v>
      </c>
      <c r="G260">
        <f t="shared" ref="G260:G323" si="19">IF(D260&gt;D259,3*$S$2,0)</f>
        <v>0</v>
      </c>
      <c r="H260">
        <f t="shared" si="17"/>
        <v>0</v>
      </c>
      <c r="I260">
        <f>SUM($H$2:H260)</f>
        <v>16015</v>
      </c>
    </row>
    <row r="261" spans="1:9" x14ac:dyDescent="0.25">
      <c r="A261" s="1">
        <v>45186</v>
      </c>
      <c r="B261">
        <f t="shared" si="16"/>
        <v>7</v>
      </c>
      <c r="C261" t="s">
        <v>10</v>
      </c>
      <c r="D261">
        <f>IF(AND(MONTH(A261)&lt;&gt;MONTH(A260),I260&gt;=3*$S$2),D260+3,D260)</f>
        <v>19</v>
      </c>
      <c r="E261">
        <f>IF(B261&lt;6,ROUNDDOWN(D261*VLOOKUP(C261,$U$1:$V$5,2,FALSE),0)*$S$3,0)</f>
        <v>0</v>
      </c>
      <c r="F261">
        <f t="shared" si="18"/>
        <v>285</v>
      </c>
      <c r="G261">
        <f t="shared" si="19"/>
        <v>0</v>
      </c>
      <c r="H261">
        <f t="shared" si="17"/>
        <v>-285</v>
      </c>
      <c r="I261">
        <f>SUM($H$2:H261)</f>
        <v>15730</v>
      </c>
    </row>
    <row r="262" spans="1:9" x14ac:dyDescent="0.25">
      <c r="A262" s="1">
        <v>45187</v>
      </c>
      <c r="B262">
        <f t="shared" si="16"/>
        <v>1</v>
      </c>
      <c r="C262" t="s">
        <v>10</v>
      </c>
      <c r="D262">
        <f>IF(AND(MONTH(A262)&lt;&gt;MONTH(A261),I261&gt;=3*$S$2),D261+3,D261)</f>
        <v>19</v>
      </c>
      <c r="E262">
        <f>IF(B262&lt;6,ROUNDDOWN(D262*VLOOKUP(C262,$U$1:$V$5,2,FALSE),0)*$S$3,0)</f>
        <v>510</v>
      </c>
      <c r="F262">
        <f t="shared" si="18"/>
        <v>0</v>
      </c>
      <c r="G262">
        <f t="shared" si="19"/>
        <v>0</v>
      </c>
      <c r="H262">
        <f t="shared" si="17"/>
        <v>510</v>
      </c>
      <c r="I262">
        <f>SUM($H$2:H262)</f>
        <v>16240</v>
      </c>
    </row>
    <row r="263" spans="1:9" x14ac:dyDescent="0.25">
      <c r="A263" s="1">
        <v>45188</v>
      </c>
      <c r="B263">
        <f t="shared" si="16"/>
        <v>2</v>
      </c>
      <c r="C263" t="s">
        <v>10</v>
      </c>
      <c r="D263">
        <f>IF(AND(MONTH(A263)&lt;&gt;MONTH(A262),I262&gt;=3*$S$2),D262+3,D262)</f>
        <v>19</v>
      </c>
      <c r="E263">
        <f>IF(B263&lt;6,ROUNDDOWN(D263*VLOOKUP(C263,$U$1:$V$5,2,FALSE),0)*$S$3,0)</f>
        <v>510</v>
      </c>
      <c r="F263">
        <f t="shared" si="18"/>
        <v>0</v>
      </c>
      <c r="G263">
        <f t="shared" si="19"/>
        <v>0</v>
      </c>
      <c r="H263">
        <f t="shared" si="17"/>
        <v>510</v>
      </c>
      <c r="I263">
        <f>SUM($H$2:H263)</f>
        <v>16750</v>
      </c>
    </row>
    <row r="264" spans="1:9" x14ac:dyDescent="0.25">
      <c r="A264" s="1">
        <v>45189</v>
      </c>
      <c r="B264">
        <f t="shared" si="16"/>
        <v>3</v>
      </c>
      <c r="C264" t="s">
        <v>10</v>
      </c>
      <c r="D264">
        <f>IF(AND(MONTH(A264)&lt;&gt;MONTH(A263),I263&gt;=3*$S$2),D263+3,D263)</f>
        <v>19</v>
      </c>
      <c r="E264">
        <f>IF(B264&lt;6,ROUNDDOWN(D264*VLOOKUP(C264,$U$1:$V$5,2,FALSE),0)*$S$3,0)</f>
        <v>510</v>
      </c>
      <c r="F264">
        <f t="shared" si="18"/>
        <v>0</v>
      </c>
      <c r="G264">
        <f t="shared" si="19"/>
        <v>0</v>
      </c>
      <c r="H264">
        <f t="shared" si="17"/>
        <v>510</v>
      </c>
      <c r="I264">
        <f>SUM($H$2:H264)</f>
        <v>17260</v>
      </c>
    </row>
    <row r="265" spans="1:9" x14ac:dyDescent="0.25">
      <c r="A265" s="1">
        <v>45190</v>
      </c>
      <c r="B265">
        <f t="shared" si="16"/>
        <v>4</v>
      </c>
      <c r="C265" t="s">
        <v>10</v>
      </c>
      <c r="D265">
        <f>IF(AND(MONTH(A265)&lt;&gt;MONTH(A264),I264&gt;=3*$S$2),D264+3,D264)</f>
        <v>19</v>
      </c>
      <c r="E265">
        <f>IF(B265&lt;6,ROUNDDOWN(D265*VLOOKUP(C265,$U$1:$V$5,2,FALSE),0)*$S$3,0)</f>
        <v>510</v>
      </c>
      <c r="F265">
        <f t="shared" si="18"/>
        <v>0</v>
      </c>
      <c r="G265">
        <f t="shared" si="19"/>
        <v>0</v>
      </c>
      <c r="H265">
        <f t="shared" si="17"/>
        <v>510</v>
      </c>
      <c r="I265">
        <f>SUM($H$2:H265)</f>
        <v>17770</v>
      </c>
    </row>
    <row r="266" spans="1:9" x14ac:dyDescent="0.25">
      <c r="A266" s="1">
        <v>45191</v>
      </c>
      <c r="B266">
        <f t="shared" si="16"/>
        <v>5</v>
      </c>
      <c r="C266" t="s">
        <v>10</v>
      </c>
      <c r="D266">
        <f>IF(AND(MONTH(A266)&lt;&gt;MONTH(A265),I265&gt;=3*$S$2),D265+3,D265)</f>
        <v>19</v>
      </c>
      <c r="E266">
        <f>IF(B266&lt;6,ROUNDDOWN(D266*VLOOKUP(C266,$U$1:$V$5,2,FALSE),0)*$S$3,0)</f>
        <v>510</v>
      </c>
      <c r="F266">
        <f t="shared" si="18"/>
        <v>0</v>
      </c>
      <c r="G266">
        <f t="shared" si="19"/>
        <v>0</v>
      </c>
      <c r="H266">
        <f t="shared" si="17"/>
        <v>510</v>
      </c>
      <c r="I266">
        <f>SUM($H$2:H266)</f>
        <v>18280</v>
      </c>
    </row>
    <row r="267" spans="1:9" x14ac:dyDescent="0.25">
      <c r="A267" s="1">
        <v>45192</v>
      </c>
      <c r="B267">
        <f t="shared" si="16"/>
        <v>6</v>
      </c>
      <c r="C267" t="s">
        <v>11</v>
      </c>
      <c r="D267">
        <f>IF(AND(MONTH(A267)&lt;&gt;MONTH(A266),I266&gt;=3*$S$2),D266+3,D266)</f>
        <v>19</v>
      </c>
      <c r="E267">
        <f>IF(B267&lt;6,ROUNDDOWN(D267*VLOOKUP(C267,$U$1:$V$5,2,FALSE),0)*$S$3,0)</f>
        <v>0</v>
      </c>
      <c r="F267">
        <f t="shared" si="18"/>
        <v>0</v>
      </c>
      <c r="G267">
        <f t="shared" si="19"/>
        <v>0</v>
      </c>
      <c r="H267">
        <f t="shared" si="17"/>
        <v>0</v>
      </c>
      <c r="I267">
        <f>SUM($H$2:H267)</f>
        <v>18280</v>
      </c>
    </row>
    <row r="268" spans="1:9" x14ac:dyDescent="0.25">
      <c r="A268" s="1">
        <v>45193</v>
      </c>
      <c r="B268">
        <f t="shared" si="16"/>
        <v>7</v>
      </c>
      <c r="C268" t="s">
        <v>11</v>
      </c>
      <c r="D268">
        <f>IF(AND(MONTH(A268)&lt;&gt;MONTH(A267),I267&gt;=3*$S$2),D267+3,D267)</f>
        <v>19</v>
      </c>
      <c r="E268">
        <f>IF(B268&lt;6,ROUNDDOWN(D268*VLOOKUP(C268,$U$1:$V$5,2,FALSE),0)*$S$3,0)</f>
        <v>0</v>
      </c>
      <c r="F268">
        <f t="shared" si="18"/>
        <v>285</v>
      </c>
      <c r="G268">
        <f t="shared" si="19"/>
        <v>0</v>
      </c>
      <c r="H268">
        <f t="shared" si="17"/>
        <v>-285</v>
      </c>
      <c r="I268">
        <f>SUM($H$2:H268)</f>
        <v>17995</v>
      </c>
    </row>
    <row r="269" spans="1:9" x14ac:dyDescent="0.25">
      <c r="A269" s="1">
        <v>45194</v>
      </c>
      <c r="B269">
        <f t="shared" si="16"/>
        <v>1</v>
      </c>
      <c r="C269" t="s">
        <v>11</v>
      </c>
      <c r="D269">
        <f>IF(AND(MONTH(A269)&lt;&gt;MONTH(A268),I268&gt;=3*$S$2),D268+3,D268)</f>
        <v>19</v>
      </c>
      <c r="E269">
        <f>IF(B269&lt;6,ROUNDDOWN(D269*VLOOKUP(C269,$U$1:$V$5,2,FALSE),0)*$S$3,0)</f>
        <v>210</v>
      </c>
      <c r="F269">
        <f t="shared" si="18"/>
        <v>0</v>
      </c>
      <c r="G269">
        <f t="shared" si="19"/>
        <v>0</v>
      </c>
      <c r="H269">
        <f t="shared" si="17"/>
        <v>210</v>
      </c>
      <c r="I269">
        <f>SUM($H$2:H269)</f>
        <v>18205</v>
      </c>
    </row>
    <row r="270" spans="1:9" x14ac:dyDescent="0.25">
      <c r="A270" s="1">
        <v>45195</v>
      </c>
      <c r="B270">
        <f t="shared" si="16"/>
        <v>2</v>
      </c>
      <c r="C270" t="s">
        <v>11</v>
      </c>
      <c r="D270">
        <f>IF(AND(MONTH(A270)&lt;&gt;MONTH(A269),I269&gt;=3*$S$2),D269+3,D269)</f>
        <v>19</v>
      </c>
      <c r="E270">
        <f>IF(B270&lt;6,ROUNDDOWN(D270*VLOOKUP(C270,$U$1:$V$5,2,FALSE),0)*$S$3,0)</f>
        <v>210</v>
      </c>
      <c r="F270">
        <f t="shared" si="18"/>
        <v>0</v>
      </c>
      <c r="G270">
        <f t="shared" si="19"/>
        <v>0</v>
      </c>
      <c r="H270">
        <f t="shared" si="17"/>
        <v>210</v>
      </c>
      <c r="I270">
        <f>SUM($H$2:H270)</f>
        <v>18415</v>
      </c>
    </row>
    <row r="271" spans="1:9" x14ac:dyDescent="0.25">
      <c r="A271" s="1">
        <v>45196</v>
      </c>
      <c r="B271">
        <f t="shared" si="16"/>
        <v>3</v>
      </c>
      <c r="C271" t="s">
        <v>11</v>
      </c>
      <c r="D271">
        <f>IF(AND(MONTH(A271)&lt;&gt;MONTH(A270),I270&gt;=3*$S$2),D270+3,D270)</f>
        <v>19</v>
      </c>
      <c r="E271">
        <f>IF(B271&lt;6,ROUNDDOWN(D271*VLOOKUP(C271,$U$1:$V$5,2,FALSE),0)*$S$3,0)</f>
        <v>210</v>
      </c>
      <c r="F271">
        <f t="shared" si="18"/>
        <v>0</v>
      </c>
      <c r="G271">
        <f t="shared" si="19"/>
        <v>0</v>
      </c>
      <c r="H271">
        <f t="shared" si="17"/>
        <v>210</v>
      </c>
      <c r="I271">
        <f>SUM($H$2:H271)</f>
        <v>18625</v>
      </c>
    </row>
    <row r="272" spans="1:9" x14ac:dyDescent="0.25">
      <c r="A272" s="1">
        <v>45197</v>
      </c>
      <c r="B272">
        <f t="shared" si="16"/>
        <v>4</v>
      </c>
      <c r="C272" t="s">
        <v>11</v>
      </c>
      <c r="D272">
        <f>IF(AND(MONTH(A272)&lt;&gt;MONTH(A271),I271&gt;=3*$S$2),D271+3,D271)</f>
        <v>19</v>
      </c>
      <c r="E272">
        <f>IF(B272&lt;6,ROUNDDOWN(D272*VLOOKUP(C272,$U$1:$V$5,2,FALSE),0)*$S$3,0)</f>
        <v>210</v>
      </c>
      <c r="F272">
        <f t="shared" si="18"/>
        <v>0</v>
      </c>
      <c r="G272">
        <f t="shared" si="19"/>
        <v>0</v>
      </c>
      <c r="H272">
        <f t="shared" si="17"/>
        <v>210</v>
      </c>
      <c r="I272">
        <f>SUM($H$2:H272)</f>
        <v>18835</v>
      </c>
    </row>
    <row r="273" spans="1:9" x14ac:dyDescent="0.25">
      <c r="A273" s="1">
        <v>45198</v>
      </c>
      <c r="B273">
        <f t="shared" si="16"/>
        <v>5</v>
      </c>
      <c r="C273" t="s">
        <v>11</v>
      </c>
      <c r="D273">
        <f>IF(AND(MONTH(A273)&lt;&gt;MONTH(A272),I272&gt;=3*$S$2),D272+3,D272)</f>
        <v>19</v>
      </c>
      <c r="E273">
        <f>IF(B273&lt;6,ROUNDDOWN(D273*VLOOKUP(C273,$U$1:$V$5,2,FALSE),0)*$S$3,0)</f>
        <v>210</v>
      </c>
      <c r="F273">
        <f t="shared" si="18"/>
        <v>0</v>
      </c>
      <c r="G273">
        <f t="shared" si="19"/>
        <v>0</v>
      </c>
      <c r="H273">
        <f t="shared" si="17"/>
        <v>210</v>
      </c>
      <c r="I273">
        <f>SUM($H$2:H273)</f>
        <v>19045</v>
      </c>
    </row>
    <row r="274" spans="1:9" x14ac:dyDescent="0.25">
      <c r="A274" s="1">
        <v>45199</v>
      </c>
      <c r="B274">
        <f t="shared" si="16"/>
        <v>6</v>
      </c>
      <c r="C274" t="s">
        <v>11</v>
      </c>
      <c r="D274">
        <f>IF(AND(MONTH(A274)&lt;&gt;MONTH(A273),I273&gt;=3*$S$2),D273+3,D273)</f>
        <v>19</v>
      </c>
      <c r="E274">
        <f>IF(B274&lt;6,ROUNDDOWN(D274*VLOOKUP(C274,$U$1:$V$5,2,FALSE),0)*$S$3,0)</f>
        <v>0</v>
      </c>
      <c r="F274">
        <f t="shared" si="18"/>
        <v>0</v>
      </c>
      <c r="G274">
        <f t="shared" si="19"/>
        <v>0</v>
      </c>
      <c r="H274">
        <f t="shared" si="17"/>
        <v>0</v>
      </c>
      <c r="I274">
        <f>SUM($H$2:H274)</f>
        <v>19045</v>
      </c>
    </row>
    <row r="275" spans="1:9" x14ac:dyDescent="0.25">
      <c r="A275" s="1">
        <v>45200</v>
      </c>
      <c r="B275">
        <f t="shared" si="16"/>
        <v>7</v>
      </c>
      <c r="C275" t="s">
        <v>11</v>
      </c>
      <c r="D275">
        <f>IF(AND(MONTH(A275)&lt;&gt;MONTH(A274),I274&gt;=3*$S$2),D274+3,D274)</f>
        <v>22</v>
      </c>
      <c r="E275">
        <f>IF(B275&lt;6,ROUNDDOWN(D275*VLOOKUP(C275,$U$1:$V$5,2,FALSE),0)*$S$3,0)</f>
        <v>0</v>
      </c>
      <c r="F275">
        <f t="shared" si="18"/>
        <v>330</v>
      </c>
      <c r="G275">
        <f t="shared" si="19"/>
        <v>2400</v>
      </c>
      <c r="H275">
        <f t="shared" si="17"/>
        <v>-2730</v>
      </c>
      <c r="I275">
        <f>SUM($H$2:H275)</f>
        <v>16315</v>
      </c>
    </row>
    <row r="276" spans="1:9" x14ac:dyDescent="0.25">
      <c r="A276" s="1">
        <v>45201</v>
      </c>
      <c r="B276">
        <f t="shared" si="16"/>
        <v>1</v>
      </c>
      <c r="C276" t="s">
        <v>11</v>
      </c>
      <c r="D276">
        <f>IF(AND(MONTH(A276)&lt;&gt;MONTH(A275),I275&gt;=3*$S$2),D275+3,D275)</f>
        <v>22</v>
      </c>
      <c r="E276">
        <f>IF(B276&lt;6,ROUNDDOWN(D276*VLOOKUP(C276,$U$1:$V$5,2,FALSE),0)*$S$3,0)</f>
        <v>240</v>
      </c>
      <c r="F276">
        <f t="shared" si="18"/>
        <v>0</v>
      </c>
      <c r="G276">
        <f t="shared" si="19"/>
        <v>0</v>
      </c>
      <c r="H276">
        <f t="shared" si="17"/>
        <v>240</v>
      </c>
      <c r="I276">
        <f>SUM($H$2:H276)</f>
        <v>16555</v>
      </c>
    </row>
    <row r="277" spans="1:9" x14ac:dyDescent="0.25">
      <c r="A277" s="1">
        <v>45202</v>
      </c>
      <c r="B277">
        <f t="shared" si="16"/>
        <v>2</v>
      </c>
      <c r="C277" t="s">
        <v>11</v>
      </c>
      <c r="D277">
        <f>IF(AND(MONTH(A277)&lt;&gt;MONTH(A276),I276&gt;=3*$S$2),D276+3,D276)</f>
        <v>22</v>
      </c>
      <c r="E277">
        <f>IF(B277&lt;6,ROUNDDOWN(D277*VLOOKUP(C277,$U$1:$V$5,2,FALSE),0)*$S$3,0)</f>
        <v>240</v>
      </c>
      <c r="F277">
        <f t="shared" si="18"/>
        <v>0</v>
      </c>
      <c r="G277">
        <f t="shared" si="19"/>
        <v>0</v>
      </c>
      <c r="H277">
        <f t="shared" si="17"/>
        <v>240</v>
      </c>
      <c r="I277">
        <f>SUM($H$2:H277)</f>
        <v>16795</v>
      </c>
    </row>
    <row r="278" spans="1:9" x14ac:dyDescent="0.25">
      <c r="A278" s="1">
        <v>45203</v>
      </c>
      <c r="B278">
        <f t="shared" si="16"/>
        <v>3</v>
      </c>
      <c r="C278" t="s">
        <v>11</v>
      </c>
      <c r="D278">
        <f>IF(AND(MONTH(A278)&lt;&gt;MONTH(A277),I277&gt;=3*$S$2),D277+3,D277)</f>
        <v>22</v>
      </c>
      <c r="E278">
        <f>IF(B278&lt;6,ROUNDDOWN(D278*VLOOKUP(C278,$U$1:$V$5,2,FALSE),0)*$S$3,0)</f>
        <v>240</v>
      </c>
      <c r="F278">
        <f t="shared" si="18"/>
        <v>0</v>
      </c>
      <c r="G278">
        <f t="shared" si="19"/>
        <v>0</v>
      </c>
      <c r="H278">
        <f t="shared" si="17"/>
        <v>240</v>
      </c>
      <c r="I278">
        <f>SUM($H$2:H278)</f>
        <v>17035</v>
      </c>
    </row>
    <row r="279" spans="1:9" x14ac:dyDescent="0.25">
      <c r="A279" s="1">
        <v>45204</v>
      </c>
      <c r="B279">
        <f t="shared" si="16"/>
        <v>4</v>
      </c>
      <c r="C279" t="s">
        <v>11</v>
      </c>
      <c r="D279">
        <f>IF(AND(MONTH(A279)&lt;&gt;MONTH(A278),I278&gt;=3*$S$2),D278+3,D278)</f>
        <v>22</v>
      </c>
      <c r="E279">
        <f>IF(B279&lt;6,ROUNDDOWN(D279*VLOOKUP(C279,$U$1:$V$5,2,FALSE),0)*$S$3,0)</f>
        <v>240</v>
      </c>
      <c r="F279">
        <f t="shared" si="18"/>
        <v>0</v>
      </c>
      <c r="G279">
        <f t="shared" si="19"/>
        <v>0</v>
      </c>
      <c r="H279">
        <f t="shared" si="17"/>
        <v>240</v>
      </c>
      <c r="I279">
        <f>SUM($H$2:H279)</f>
        <v>17275</v>
      </c>
    </row>
    <row r="280" spans="1:9" x14ac:dyDescent="0.25">
      <c r="A280" s="1">
        <v>45205</v>
      </c>
      <c r="B280">
        <f t="shared" si="16"/>
        <v>5</v>
      </c>
      <c r="C280" t="s">
        <v>11</v>
      </c>
      <c r="D280">
        <f>IF(AND(MONTH(A280)&lt;&gt;MONTH(A279),I279&gt;=3*$S$2),D279+3,D279)</f>
        <v>22</v>
      </c>
      <c r="E280">
        <f>IF(B280&lt;6,ROUNDDOWN(D280*VLOOKUP(C280,$U$1:$V$5,2,FALSE),0)*$S$3,0)</f>
        <v>240</v>
      </c>
      <c r="F280">
        <f t="shared" si="18"/>
        <v>0</v>
      </c>
      <c r="G280">
        <f t="shared" si="19"/>
        <v>0</v>
      </c>
      <c r="H280">
        <f t="shared" si="17"/>
        <v>240</v>
      </c>
      <c r="I280">
        <f>SUM($H$2:H280)</f>
        <v>17515</v>
      </c>
    </row>
    <row r="281" spans="1:9" x14ac:dyDescent="0.25">
      <c r="A281" s="1">
        <v>45206</v>
      </c>
      <c r="B281">
        <f t="shared" si="16"/>
        <v>6</v>
      </c>
      <c r="C281" t="s">
        <v>11</v>
      </c>
      <c r="D281">
        <f>IF(AND(MONTH(A281)&lt;&gt;MONTH(A280),I280&gt;=3*$S$2),D280+3,D280)</f>
        <v>22</v>
      </c>
      <c r="E281">
        <f>IF(B281&lt;6,ROUNDDOWN(D281*VLOOKUP(C281,$U$1:$V$5,2,FALSE),0)*$S$3,0)</f>
        <v>0</v>
      </c>
      <c r="F281">
        <f t="shared" si="18"/>
        <v>0</v>
      </c>
      <c r="G281">
        <f t="shared" si="19"/>
        <v>0</v>
      </c>
      <c r="H281">
        <f t="shared" si="17"/>
        <v>0</v>
      </c>
      <c r="I281">
        <f>SUM($H$2:H281)</f>
        <v>17515</v>
      </c>
    </row>
    <row r="282" spans="1:9" x14ac:dyDescent="0.25">
      <c r="A282" s="1">
        <v>45207</v>
      </c>
      <c r="B282">
        <f t="shared" si="16"/>
        <v>7</v>
      </c>
      <c r="C282" t="s">
        <v>11</v>
      </c>
      <c r="D282">
        <f>IF(AND(MONTH(A282)&lt;&gt;MONTH(A281),I281&gt;=3*$S$2),D281+3,D281)</f>
        <v>22</v>
      </c>
      <c r="E282">
        <f>IF(B282&lt;6,ROUNDDOWN(D282*VLOOKUP(C282,$U$1:$V$5,2,FALSE),0)*$S$3,0)</f>
        <v>0</v>
      </c>
      <c r="F282">
        <f t="shared" si="18"/>
        <v>330</v>
      </c>
      <c r="G282">
        <f t="shared" si="19"/>
        <v>0</v>
      </c>
      <c r="H282">
        <f t="shared" si="17"/>
        <v>-330</v>
      </c>
      <c r="I282">
        <f>SUM($H$2:H282)</f>
        <v>17185</v>
      </c>
    </row>
    <row r="283" spans="1:9" x14ac:dyDescent="0.25">
      <c r="A283" s="1">
        <v>45208</v>
      </c>
      <c r="B283">
        <f t="shared" si="16"/>
        <v>1</v>
      </c>
      <c r="C283" t="s">
        <v>11</v>
      </c>
      <c r="D283">
        <f>IF(AND(MONTH(A283)&lt;&gt;MONTH(A282),I282&gt;=3*$S$2),D282+3,D282)</f>
        <v>22</v>
      </c>
      <c r="E283">
        <f>IF(B283&lt;6,ROUNDDOWN(D283*VLOOKUP(C283,$U$1:$V$5,2,FALSE),0)*$S$3,0)</f>
        <v>240</v>
      </c>
      <c r="F283">
        <f t="shared" si="18"/>
        <v>0</v>
      </c>
      <c r="G283">
        <f t="shared" si="19"/>
        <v>0</v>
      </c>
      <c r="H283">
        <f t="shared" si="17"/>
        <v>240</v>
      </c>
      <c r="I283">
        <f>SUM($H$2:H283)</f>
        <v>17425</v>
      </c>
    </row>
    <row r="284" spans="1:9" x14ac:dyDescent="0.25">
      <c r="A284" s="1">
        <v>45209</v>
      </c>
      <c r="B284">
        <f t="shared" si="16"/>
        <v>2</v>
      </c>
      <c r="C284" t="s">
        <v>11</v>
      </c>
      <c r="D284">
        <f>IF(AND(MONTH(A284)&lt;&gt;MONTH(A283),I283&gt;=3*$S$2),D283+3,D283)</f>
        <v>22</v>
      </c>
      <c r="E284">
        <f>IF(B284&lt;6,ROUNDDOWN(D284*VLOOKUP(C284,$U$1:$V$5,2,FALSE),0)*$S$3,0)</f>
        <v>240</v>
      </c>
      <c r="F284">
        <f t="shared" si="18"/>
        <v>0</v>
      </c>
      <c r="G284">
        <f t="shared" si="19"/>
        <v>0</v>
      </c>
      <c r="H284">
        <f t="shared" si="17"/>
        <v>240</v>
      </c>
      <c r="I284">
        <f>SUM($H$2:H284)</f>
        <v>17665</v>
      </c>
    </row>
    <row r="285" spans="1:9" x14ac:dyDescent="0.25">
      <c r="A285" s="1">
        <v>45210</v>
      </c>
      <c r="B285">
        <f t="shared" si="16"/>
        <v>3</v>
      </c>
      <c r="C285" t="s">
        <v>11</v>
      </c>
      <c r="D285">
        <f>IF(AND(MONTH(A285)&lt;&gt;MONTH(A284),I284&gt;=3*$S$2),D284+3,D284)</f>
        <v>22</v>
      </c>
      <c r="E285">
        <f>IF(B285&lt;6,ROUNDDOWN(D285*VLOOKUP(C285,$U$1:$V$5,2,FALSE),0)*$S$3,0)</f>
        <v>240</v>
      </c>
      <c r="F285">
        <f t="shared" si="18"/>
        <v>0</v>
      </c>
      <c r="G285">
        <f t="shared" si="19"/>
        <v>0</v>
      </c>
      <c r="H285">
        <f t="shared" si="17"/>
        <v>240</v>
      </c>
      <c r="I285">
        <f>SUM($H$2:H285)</f>
        <v>17905</v>
      </c>
    </row>
    <row r="286" spans="1:9" x14ac:dyDescent="0.25">
      <c r="A286" s="1">
        <v>45211</v>
      </c>
      <c r="B286">
        <f t="shared" si="16"/>
        <v>4</v>
      </c>
      <c r="C286" t="s">
        <v>11</v>
      </c>
      <c r="D286">
        <f>IF(AND(MONTH(A286)&lt;&gt;MONTH(A285),I285&gt;=3*$S$2),D285+3,D285)</f>
        <v>22</v>
      </c>
      <c r="E286">
        <f>IF(B286&lt;6,ROUNDDOWN(D286*VLOOKUP(C286,$U$1:$V$5,2,FALSE),0)*$S$3,0)</f>
        <v>240</v>
      </c>
      <c r="F286">
        <f t="shared" si="18"/>
        <v>0</v>
      </c>
      <c r="G286">
        <f t="shared" si="19"/>
        <v>0</v>
      </c>
      <c r="H286">
        <f t="shared" si="17"/>
        <v>240</v>
      </c>
      <c r="I286">
        <f>SUM($H$2:H286)</f>
        <v>18145</v>
      </c>
    </row>
    <row r="287" spans="1:9" x14ac:dyDescent="0.25">
      <c r="A287" s="1">
        <v>45212</v>
      </c>
      <c r="B287">
        <f t="shared" si="16"/>
        <v>5</v>
      </c>
      <c r="C287" t="s">
        <v>11</v>
      </c>
      <c r="D287">
        <f>IF(AND(MONTH(A287)&lt;&gt;MONTH(A286),I286&gt;=3*$S$2),D286+3,D286)</f>
        <v>22</v>
      </c>
      <c r="E287">
        <f>IF(B287&lt;6,ROUNDDOWN(D287*VLOOKUP(C287,$U$1:$V$5,2,FALSE),0)*$S$3,0)</f>
        <v>240</v>
      </c>
      <c r="F287">
        <f t="shared" si="18"/>
        <v>0</v>
      </c>
      <c r="G287">
        <f t="shared" si="19"/>
        <v>0</v>
      </c>
      <c r="H287">
        <f t="shared" si="17"/>
        <v>240</v>
      </c>
      <c r="I287">
        <f>SUM($H$2:H287)</f>
        <v>18385</v>
      </c>
    </row>
    <row r="288" spans="1:9" x14ac:dyDescent="0.25">
      <c r="A288" s="1">
        <v>45213</v>
      </c>
      <c r="B288">
        <f t="shared" si="16"/>
        <v>6</v>
      </c>
      <c r="C288" t="s">
        <v>11</v>
      </c>
      <c r="D288">
        <f>IF(AND(MONTH(A288)&lt;&gt;MONTH(A287),I287&gt;=3*$S$2),D287+3,D287)</f>
        <v>22</v>
      </c>
      <c r="E288">
        <f>IF(B288&lt;6,ROUNDDOWN(D288*VLOOKUP(C288,$U$1:$V$5,2,FALSE),0)*$S$3,0)</f>
        <v>0</v>
      </c>
      <c r="F288">
        <f t="shared" si="18"/>
        <v>0</v>
      </c>
      <c r="G288">
        <f t="shared" si="19"/>
        <v>0</v>
      </c>
      <c r="H288">
        <f t="shared" si="17"/>
        <v>0</v>
      </c>
      <c r="I288">
        <f>SUM($H$2:H288)</f>
        <v>18385</v>
      </c>
    </row>
    <row r="289" spans="1:9" x14ac:dyDescent="0.25">
      <c r="A289" s="1">
        <v>45214</v>
      </c>
      <c r="B289">
        <f t="shared" si="16"/>
        <v>7</v>
      </c>
      <c r="C289" t="s">
        <v>11</v>
      </c>
      <c r="D289">
        <f>IF(AND(MONTH(A289)&lt;&gt;MONTH(A288),I288&gt;=3*$S$2),D288+3,D288)</f>
        <v>22</v>
      </c>
      <c r="E289">
        <f>IF(B289&lt;6,ROUNDDOWN(D289*VLOOKUP(C289,$U$1:$V$5,2,FALSE),0)*$S$3,0)</f>
        <v>0</v>
      </c>
      <c r="F289">
        <f t="shared" si="18"/>
        <v>330</v>
      </c>
      <c r="G289">
        <f t="shared" si="19"/>
        <v>0</v>
      </c>
      <c r="H289">
        <f t="shared" si="17"/>
        <v>-330</v>
      </c>
      <c r="I289">
        <f>SUM($H$2:H289)</f>
        <v>18055</v>
      </c>
    </row>
    <row r="290" spans="1:9" x14ac:dyDescent="0.25">
      <c r="A290" s="1">
        <v>45215</v>
      </c>
      <c r="B290">
        <f t="shared" si="16"/>
        <v>1</v>
      </c>
      <c r="C290" t="s">
        <v>11</v>
      </c>
      <c r="D290">
        <f>IF(AND(MONTH(A290)&lt;&gt;MONTH(A289),I289&gt;=3*$S$2),D289+3,D289)</f>
        <v>22</v>
      </c>
      <c r="E290">
        <f>IF(B290&lt;6,ROUNDDOWN(D290*VLOOKUP(C290,$U$1:$V$5,2,FALSE),0)*$S$3,0)</f>
        <v>240</v>
      </c>
      <c r="F290">
        <f t="shared" si="18"/>
        <v>0</v>
      </c>
      <c r="G290">
        <f t="shared" si="19"/>
        <v>0</v>
      </c>
      <c r="H290">
        <f t="shared" si="17"/>
        <v>240</v>
      </c>
      <c r="I290">
        <f>SUM($H$2:H290)</f>
        <v>18295</v>
      </c>
    </row>
    <row r="291" spans="1:9" x14ac:dyDescent="0.25">
      <c r="A291" s="1">
        <v>45216</v>
      </c>
      <c r="B291">
        <f t="shared" si="16"/>
        <v>2</v>
      </c>
      <c r="C291" t="s">
        <v>11</v>
      </c>
      <c r="D291">
        <f>IF(AND(MONTH(A291)&lt;&gt;MONTH(A290),I290&gt;=3*$S$2),D290+3,D290)</f>
        <v>22</v>
      </c>
      <c r="E291">
        <f>IF(B291&lt;6,ROUNDDOWN(D291*VLOOKUP(C291,$U$1:$V$5,2,FALSE),0)*$S$3,0)</f>
        <v>240</v>
      </c>
      <c r="F291">
        <f t="shared" si="18"/>
        <v>0</v>
      </c>
      <c r="G291">
        <f t="shared" si="19"/>
        <v>0</v>
      </c>
      <c r="H291">
        <f t="shared" si="17"/>
        <v>240</v>
      </c>
      <c r="I291">
        <f>SUM($H$2:H291)</f>
        <v>18535</v>
      </c>
    </row>
    <row r="292" spans="1:9" x14ac:dyDescent="0.25">
      <c r="A292" s="1">
        <v>45217</v>
      </c>
      <c r="B292">
        <f t="shared" si="16"/>
        <v>3</v>
      </c>
      <c r="C292" t="s">
        <v>11</v>
      </c>
      <c r="D292">
        <f>IF(AND(MONTH(A292)&lt;&gt;MONTH(A291),I291&gt;=3*$S$2),D291+3,D291)</f>
        <v>22</v>
      </c>
      <c r="E292">
        <f>IF(B292&lt;6,ROUNDDOWN(D292*VLOOKUP(C292,$U$1:$V$5,2,FALSE),0)*$S$3,0)</f>
        <v>240</v>
      </c>
      <c r="F292">
        <f t="shared" si="18"/>
        <v>0</v>
      </c>
      <c r="G292">
        <f t="shared" si="19"/>
        <v>0</v>
      </c>
      <c r="H292">
        <f t="shared" si="17"/>
        <v>240</v>
      </c>
      <c r="I292">
        <f>SUM($H$2:H292)</f>
        <v>18775</v>
      </c>
    </row>
    <row r="293" spans="1:9" x14ac:dyDescent="0.25">
      <c r="A293" s="1">
        <v>45218</v>
      </c>
      <c r="B293">
        <f t="shared" si="16"/>
        <v>4</v>
      </c>
      <c r="C293" t="s">
        <v>11</v>
      </c>
      <c r="D293">
        <f>IF(AND(MONTH(A293)&lt;&gt;MONTH(A292),I292&gt;=3*$S$2),D292+3,D292)</f>
        <v>22</v>
      </c>
      <c r="E293">
        <f>IF(B293&lt;6,ROUNDDOWN(D293*VLOOKUP(C293,$U$1:$V$5,2,FALSE),0)*$S$3,0)</f>
        <v>240</v>
      </c>
      <c r="F293">
        <f t="shared" si="18"/>
        <v>0</v>
      </c>
      <c r="G293">
        <f t="shared" si="19"/>
        <v>0</v>
      </c>
      <c r="H293">
        <f t="shared" si="17"/>
        <v>240</v>
      </c>
      <c r="I293">
        <f>SUM($H$2:H293)</f>
        <v>19015</v>
      </c>
    </row>
    <row r="294" spans="1:9" x14ac:dyDescent="0.25">
      <c r="A294" s="1">
        <v>45219</v>
      </c>
      <c r="B294">
        <f t="shared" si="16"/>
        <v>5</v>
      </c>
      <c r="C294" t="s">
        <v>11</v>
      </c>
      <c r="D294">
        <f>IF(AND(MONTH(A294)&lt;&gt;MONTH(A293),I293&gt;=3*$S$2),D293+3,D293)</f>
        <v>22</v>
      </c>
      <c r="E294">
        <f>IF(B294&lt;6,ROUNDDOWN(D294*VLOOKUP(C294,$U$1:$V$5,2,FALSE),0)*$S$3,0)</f>
        <v>240</v>
      </c>
      <c r="F294">
        <f t="shared" si="18"/>
        <v>0</v>
      </c>
      <c r="G294">
        <f t="shared" si="19"/>
        <v>0</v>
      </c>
      <c r="H294">
        <f t="shared" si="17"/>
        <v>240</v>
      </c>
      <c r="I294">
        <f>SUM($H$2:H294)</f>
        <v>19255</v>
      </c>
    </row>
    <row r="295" spans="1:9" x14ac:dyDescent="0.25">
      <c r="A295" s="1">
        <v>45220</v>
      </c>
      <c r="B295">
        <f t="shared" si="16"/>
        <v>6</v>
      </c>
      <c r="C295" t="s">
        <v>11</v>
      </c>
      <c r="D295">
        <f>IF(AND(MONTH(A295)&lt;&gt;MONTH(A294),I294&gt;=3*$S$2),D294+3,D294)</f>
        <v>22</v>
      </c>
      <c r="E295">
        <f>IF(B295&lt;6,ROUNDDOWN(D295*VLOOKUP(C295,$U$1:$V$5,2,FALSE),0)*$S$3,0)</f>
        <v>0</v>
      </c>
      <c r="F295">
        <f t="shared" si="18"/>
        <v>0</v>
      </c>
      <c r="G295">
        <f t="shared" si="19"/>
        <v>0</v>
      </c>
      <c r="H295">
        <f t="shared" si="17"/>
        <v>0</v>
      </c>
      <c r="I295">
        <f>SUM($H$2:H295)</f>
        <v>19255</v>
      </c>
    </row>
    <row r="296" spans="1:9" x14ac:dyDescent="0.25">
      <c r="A296" s="1">
        <v>45221</v>
      </c>
      <c r="B296">
        <f t="shared" si="16"/>
        <v>7</v>
      </c>
      <c r="C296" t="s">
        <v>11</v>
      </c>
      <c r="D296">
        <f>IF(AND(MONTH(A296)&lt;&gt;MONTH(A295),I295&gt;=3*$S$2),D295+3,D295)</f>
        <v>22</v>
      </c>
      <c r="E296">
        <f>IF(B296&lt;6,ROUNDDOWN(D296*VLOOKUP(C296,$U$1:$V$5,2,FALSE),0)*$S$3,0)</f>
        <v>0</v>
      </c>
      <c r="F296">
        <f t="shared" si="18"/>
        <v>330</v>
      </c>
      <c r="G296">
        <f t="shared" si="19"/>
        <v>0</v>
      </c>
      <c r="H296">
        <f t="shared" si="17"/>
        <v>-330</v>
      </c>
      <c r="I296">
        <f>SUM($H$2:H296)</f>
        <v>18925</v>
      </c>
    </row>
    <row r="297" spans="1:9" x14ac:dyDescent="0.25">
      <c r="A297" s="1">
        <v>45222</v>
      </c>
      <c r="B297">
        <f t="shared" si="16"/>
        <v>1</v>
      </c>
      <c r="C297" t="s">
        <v>11</v>
      </c>
      <c r="D297">
        <f>IF(AND(MONTH(A297)&lt;&gt;MONTH(A296),I296&gt;=3*$S$2),D296+3,D296)</f>
        <v>22</v>
      </c>
      <c r="E297">
        <f>IF(B297&lt;6,ROUNDDOWN(D297*VLOOKUP(C297,$U$1:$V$5,2,FALSE),0)*$S$3,0)</f>
        <v>240</v>
      </c>
      <c r="F297">
        <f t="shared" si="18"/>
        <v>0</v>
      </c>
      <c r="G297">
        <f t="shared" si="19"/>
        <v>0</v>
      </c>
      <c r="H297">
        <f t="shared" si="17"/>
        <v>240</v>
      </c>
      <c r="I297">
        <f>SUM($H$2:H297)</f>
        <v>19165</v>
      </c>
    </row>
    <row r="298" spans="1:9" x14ac:dyDescent="0.25">
      <c r="A298" s="1">
        <v>45223</v>
      </c>
      <c r="B298">
        <f t="shared" si="16"/>
        <v>2</v>
      </c>
      <c r="C298" t="s">
        <v>11</v>
      </c>
      <c r="D298">
        <f>IF(AND(MONTH(A298)&lt;&gt;MONTH(A297),I297&gt;=3*$S$2),D297+3,D297)</f>
        <v>22</v>
      </c>
      <c r="E298">
        <f>IF(B298&lt;6,ROUNDDOWN(D298*VLOOKUP(C298,$U$1:$V$5,2,FALSE),0)*$S$3,0)</f>
        <v>240</v>
      </c>
      <c r="F298">
        <f t="shared" si="18"/>
        <v>0</v>
      </c>
      <c r="G298">
        <f t="shared" si="19"/>
        <v>0</v>
      </c>
      <c r="H298">
        <f t="shared" si="17"/>
        <v>240</v>
      </c>
      <c r="I298">
        <f>SUM($H$2:H298)</f>
        <v>19405</v>
      </c>
    </row>
    <row r="299" spans="1:9" x14ac:dyDescent="0.25">
      <c r="A299" s="1">
        <v>45224</v>
      </c>
      <c r="B299">
        <f t="shared" si="16"/>
        <v>3</v>
      </c>
      <c r="C299" t="s">
        <v>11</v>
      </c>
      <c r="D299">
        <f>IF(AND(MONTH(A299)&lt;&gt;MONTH(A298),I298&gt;=3*$S$2),D298+3,D298)</f>
        <v>22</v>
      </c>
      <c r="E299">
        <f>IF(B299&lt;6,ROUNDDOWN(D299*VLOOKUP(C299,$U$1:$V$5,2,FALSE),0)*$S$3,0)</f>
        <v>240</v>
      </c>
      <c r="F299">
        <f t="shared" si="18"/>
        <v>0</v>
      </c>
      <c r="G299">
        <f t="shared" si="19"/>
        <v>0</v>
      </c>
      <c r="H299">
        <f t="shared" si="17"/>
        <v>240</v>
      </c>
      <c r="I299">
        <f>SUM($H$2:H299)</f>
        <v>19645</v>
      </c>
    </row>
    <row r="300" spans="1:9" x14ac:dyDescent="0.25">
      <c r="A300" s="1">
        <v>45225</v>
      </c>
      <c r="B300">
        <f t="shared" si="16"/>
        <v>4</v>
      </c>
      <c r="C300" t="s">
        <v>11</v>
      </c>
      <c r="D300">
        <f>IF(AND(MONTH(A300)&lt;&gt;MONTH(A299),I299&gt;=3*$S$2),D299+3,D299)</f>
        <v>22</v>
      </c>
      <c r="E300">
        <f>IF(B300&lt;6,ROUNDDOWN(D300*VLOOKUP(C300,$U$1:$V$5,2,FALSE),0)*$S$3,0)</f>
        <v>240</v>
      </c>
      <c r="F300">
        <f t="shared" si="18"/>
        <v>0</v>
      </c>
      <c r="G300">
        <f t="shared" si="19"/>
        <v>0</v>
      </c>
      <c r="H300">
        <f t="shared" si="17"/>
        <v>240</v>
      </c>
      <c r="I300">
        <f>SUM($H$2:H300)</f>
        <v>19885</v>
      </c>
    </row>
    <row r="301" spans="1:9" x14ac:dyDescent="0.25">
      <c r="A301" s="1">
        <v>45226</v>
      </c>
      <c r="B301">
        <f t="shared" si="16"/>
        <v>5</v>
      </c>
      <c r="C301" t="s">
        <v>11</v>
      </c>
      <c r="D301">
        <f>IF(AND(MONTH(A301)&lt;&gt;MONTH(A300),I300&gt;=3*$S$2),D300+3,D300)</f>
        <v>22</v>
      </c>
      <c r="E301">
        <f>IF(B301&lt;6,ROUNDDOWN(D301*VLOOKUP(C301,$U$1:$V$5,2,FALSE),0)*$S$3,0)</f>
        <v>240</v>
      </c>
      <c r="F301">
        <f t="shared" si="18"/>
        <v>0</v>
      </c>
      <c r="G301">
        <f t="shared" si="19"/>
        <v>0</v>
      </c>
      <c r="H301">
        <f t="shared" si="17"/>
        <v>240</v>
      </c>
      <c r="I301">
        <f>SUM($H$2:H301)</f>
        <v>20125</v>
      </c>
    </row>
    <row r="302" spans="1:9" x14ac:dyDescent="0.25">
      <c r="A302" s="1">
        <v>45227</v>
      </c>
      <c r="B302">
        <f t="shared" si="16"/>
        <v>6</v>
      </c>
      <c r="C302" t="s">
        <v>11</v>
      </c>
      <c r="D302">
        <f>IF(AND(MONTH(A302)&lt;&gt;MONTH(A301),I301&gt;=3*$S$2),D301+3,D301)</f>
        <v>22</v>
      </c>
      <c r="E302">
        <f>IF(B302&lt;6,ROUNDDOWN(D302*VLOOKUP(C302,$U$1:$V$5,2,FALSE),0)*$S$3,0)</f>
        <v>0</v>
      </c>
      <c r="F302">
        <f t="shared" si="18"/>
        <v>0</v>
      </c>
      <c r="G302">
        <f t="shared" si="19"/>
        <v>0</v>
      </c>
      <c r="H302">
        <f t="shared" si="17"/>
        <v>0</v>
      </c>
      <c r="I302">
        <f>SUM($H$2:H302)</f>
        <v>20125</v>
      </c>
    </row>
    <row r="303" spans="1:9" x14ac:dyDescent="0.25">
      <c r="A303" s="1">
        <v>45228</v>
      </c>
      <c r="B303">
        <f t="shared" si="16"/>
        <v>7</v>
      </c>
      <c r="C303" t="s">
        <v>11</v>
      </c>
      <c r="D303">
        <f>IF(AND(MONTH(A303)&lt;&gt;MONTH(A302),I302&gt;=3*$S$2),D302+3,D302)</f>
        <v>22</v>
      </c>
      <c r="E303">
        <f>IF(B303&lt;6,ROUNDDOWN(D303*VLOOKUP(C303,$U$1:$V$5,2,FALSE),0)*$S$3,0)</f>
        <v>0</v>
      </c>
      <c r="F303">
        <f t="shared" si="18"/>
        <v>330</v>
      </c>
      <c r="G303">
        <f t="shared" si="19"/>
        <v>0</v>
      </c>
      <c r="H303">
        <f t="shared" si="17"/>
        <v>-330</v>
      </c>
      <c r="I303">
        <f>SUM($H$2:H303)</f>
        <v>19795</v>
      </c>
    </row>
    <row r="304" spans="1:9" x14ac:dyDescent="0.25">
      <c r="A304" s="1">
        <v>45229</v>
      </c>
      <c r="B304">
        <f t="shared" si="16"/>
        <v>1</v>
      </c>
      <c r="C304" t="s">
        <v>11</v>
      </c>
      <c r="D304">
        <f>IF(AND(MONTH(A304)&lt;&gt;MONTH(A303),I303&gt;=3*$S$2),D303+3,D303)</f>
        <v>22</v>
      </c>
      <c r="E304">
        <f>IF(B304&lt;6,ROUNDDOWN(D304*VLOOKUP(C304,$U$1:$V$5,2,FALSE),0)*$S$3,0)</f>
        <v>240</v>
      </c>
      <c r="F304">
        <f t="shared" si="18"/>
        <v>0</v>
      </c>
      <c r="G304">
        <f t="shared" si="19"/>
        <v>0</v>
      </c>
      <c r="H304">
        <f t="shared" si="17"/>
        <v>240</v>
      </c>
      <c r="I304">
        <f>SUM($H$2:H304)</f>
        <v>20035</v>
      </c>
    </row>
    <row r="305" spans="1:9" x14ac:dyDescent="0.25">
      <c r="A305" s="1">
        <v>45230</v>
      </c>
      <c r="B305">
        <f t="shared" si="16"/>
        <v>2</v>
      </c>
      <c r="C305" t="s">
        <v>11</v>
      </c>
      <c r="D305">
        <f>IF(AND(MONTH(A305)&lt;&gt;MONTH(A304),I304&gt;=3*$S$2),D304+3,D304)</f>
        <v>22</v>
      </c>
      <c r="E305">
        <f>IF(B305&lt;6,ROUNDDOWN(D305*VLOOKUP(C305,$U$1:$V$5,2,FALSE),0)*$S$3,0)</f>
        <v>240</v>
      </c>
      <c r="F305">
        <f t="shared" si="18"/>
        <v>0</v>
      </c>
      <c r="G305">
        <f t="shared" si="19"/>
        <v>0</v>
      </c>
      <c r="H305">
        <f t="shared" si="17"/>
        <v>240</v>
      </c>
      <c r="I305">
        <f>SUM($H$2:H305)</f>
        <v>20275</v>
      </c>
    </row>
    <row r="306" spans="1:9" x14ac:dyDescent="0.25">
      <c r="A306" s="1">
        <v>45231</v>
      </c>
      <c r="B306">
        <f t="shared" si="16"/>
        <v>3</v>
      </c>
      <c r="C306" t="s">
        <v>11</v>
      </c>
      <c r="D306">
        <f>IF(AND(MONTH(A306)&lt;&gt;MONTH(A305),I305&gt;=3*$S$2),D305+3,D305)</f>
        <v>25</v>
      </c>
      <c r="E306">
        <f>IF(B306&lt;6,ROUNDDOWN(D306*VLOOKUP(C306,$U$1:$V$5,2,FALSE),0)*$S$3,0)</f>
        <v>300</v>
      </c>
      <c r="F306">
        <f t="shared" si="18"/>
        <v>0</v>
      </c>
      <c r="G306">
        <f t="shared" si="19"/>
        <v>2400</v>
      </c>
      <c r="H306">
        <f t="shared" si="17"/>
        <v>-2100</v>
      </c>
      <c r="I306">
        <f>SUM($H$2:H306)</f>
        <v>18175</v>
      </c>
    </row>
    <row r="307" spans="1:9" x14ac:dyDescent="0.25">
      <c r="A307" s="1">
        <v>45232</v>
      </c>
      <c r="B307">
        <f t="shared" si="16"/>
        <v>4</v>
      </c>
      <c r="C307" t="s">
        <v>11</v>
      </c>
      <c r="D307">
        <f>IF(AND(MONTH(A307)&lt;&gt;MONTH(A306),I306&gt;=3*$S$2),D306+3,D306)</f>
        <v>25</v>
      </c>
      <c r="E307">
        <f>IF(B307&lt;6,ROUNDDOWN(D307*VLOOKUP(C307,$U$1:$V$5,2,FALSE),0)*$S$3,0)</f>
        <v>300</v>
      </c>
      <c r="F307">
        <f t="shared" si="18"/>
        <v>0</v>
      </c>
      <c r="G307">
        <f t="shared" si="19"/>
        <v>0</v>
      </c>
      <c r="H307">
        <f t="shared" si="17"/>
        <v>300</v>
      </c>
      <c r="I307">
        <f>SUM($H$2:H307)</f>
        <v>18475</v>
      </c>
    </row>
    <row r="308" spans="1:9" x14ac:dyDescent="0.25">
      <c r="A308" s="1">
        <v>45233</v>
      </c>
      <c r="B308">
        <f t="shared" si="16"/>
        <v>5</v>
      </c>
      <c r="C308" t="s">
        <v>11</v>
      </c>
      <c r="D308">
        <f>IF(AND(MONTH(A308)&lt;&gt;MONTH(A307),I307&gt;=3*$S$2),D307+3,D307)</f>
        <v>25</v>
      </c>
      <c r="E308">
        <f>IF(B308&lt;6,ROUNDDOWN(D308*VLOOKUP(C308,$U$1:$V$5,2,FALSE),0)*$S$3,0)</f>
        <v>300</v>
      </c>
      <c r="F308">
        <f t="shared" si="18"/>
        <v>0</v>
      </c>
      <c r="G308">
        <f t="shared" si="19"/>
        <v>0</v>
      </c>
      <c r="H308">
        <f t="shared" si="17"/>
        <v>300</v>
      </c>
      <c r="I308">
        <f>SUM($H$2:H308)</f>
        <v>18775</v>
      </c>
    </row>
    <row r="309" spans="1:9" x14ac:dyDescent="0.25">
      <c r="A309" s="1">
        <v>45234</v>
      </c>
      <c r="B309">
        <f t="shared" si="16"/>
        <v>6</v>
      </c>
      <c r="C309" t="s">
        <v>11</v>
      </c>
      <c r="D309">
        <f>IF(AND(MONTH(A309)&lt;&gt;MONTH(A308),I308&gt;=3*$S$2),D308+3,D308)</f>
        <v>25</v>
      </c>
      <c r="E309">
        <f>IF(B309&lt;6,ROUNDDOWN(D309*VLOOKUP(C309,$U$1:$V$5,2,FALSE),0)*$S$3,0)</f>
        <v>0</v>
      </c>
      <c r="F309">
        <f t="shared" si="18"/>
        <v>0</v>
      </c>
      <c r="G309">
        <f t="shared" si="19"/>
        <v>0</v>
      </c>
      <c r="H309">
        <f t="shared" si="17"/>
        <v>0</v>
      </c>
      <c r="I309">
        <f>SUM($H$2:H309)</f>
        <v>18775</v>
      </c>
    </row>
    <row r="310" spans="1:9" x14ac:dyDescent="0.25">
      <c r="A310" s="1">
        <v>45235</v>
      </c>
      <c r="B310">
        <f t="shared" si="16"/>
        <v>7</v>
      </c>
      <c r="C310" t="s">
        <v>11</v>
      </c>
      <c r="D310">
        <f>IF(AND(MONTH(A310)&lt;&gt;MONTH(A309),I309&gt;=3*$S$2),D309+3,D309)</f>
        <v>25</v>
      </c>
      <c r="E310">
        <f>IF(B310&lt;6,ROUNDDOWN(D310*VLOOKUP(C310,$U$1:$V$5,2,FALSE),0)*$S$3,0)</f>
        <v>0</v>
      </c>
      <c r="F310">
        <f t="shared" si="18"/>
        <v>375</v>
      </c>
      <c r="G310">
        <f t="shared" si="19"/>
        <v>0</v>
      </c>
      <c r="H310">
        <f t="shared" si="17"/>
        <v>-375</v>
      </c>
      <c r="I310">
        <f>SUM($H$2:H310)</f>
        <v>18400</v>
      </c>
    </row>
    <row r="311" spans="1:9" x14ac:dyDescent="0.25">
      <c r="A311" s="1">
        <v>45236</v>
      </c>
      <c r="B311">
        <f t="shared" si="16"/>
        <v>1</v>
      </c>
      <c r="C311" t="s">
        <v>11</v>
      </c>
      <c r="D311">
        <f>IF(AND(MONTH(A311)&lt;&gt;MONTH(A310),I310&gt;=3*$S$2),D310+3,D310)</f>
        <v>25</v>
      </c>
      <c r="E311">
        <f>IF(B311&lt;6,ROUNDDOWN(D311*VLOOKUP(C311,$U$1:$V$5,2,FALSE),0)*$S$3,0)</f>
        <v>300</v>
      </c>
      <c r="F311">
        <f t="shared" si="18"/>
        <v>0</v>
      </c>
      <c r="G311">
        <f t="shared" si="19"/>
        <v>0</v>
      </c>
      <c r="H311">
        <f t="shared" si="17"/>
        <v>300</v>
      </c>
      <c r="I311">
        <f>SUM($H$2:H311)</f>
        <v>18700</v>
      </c>
    </row>
    <row r="312" spans="1:9" x14ac:dyDescent="0.25">
      <c r="A312" s="1">
        <v>45237</v>
      </c>
      <c r="B312">
        <f t="shared" si="16"/>
        <v>2</v>
      </c>
      <c r="C312" t="s">
        <v>11</v>
      </c>
      <c r="D312">
        <f>IF(AND(MONTH(A312)&lt;&gt;MONTH(A311),I311&gt;=3*$S$2),D311+3,D311)</f>
        <v>25</v>
      </c>
      <c r="E312">
        <f>IF(B312&lt;6,ROUNDDOWN(D312*VLOOKUP(C312,$U$1:$V$5,2,FALSE),0)*$S$3,0)</f>
        <v>300</v>
      </c>
      <c r="F312">
        <f t="shared" si="18"/>
        <v>0</v>
      </c>
      <c r="G312">
        <f t="shared" si="19"/>
        <v>0</v>
      </c>
      <c r="H312">
        <f t="shared" si="17"/>
        <v>300</v>
      </c>
      <c r="I312">
        <f>SUM($H$2:H312)</f>
        <v>19000</v>
      </c>
    </row>
    <row r="313" spans="1:9" x14ac:dyDescent="0.25">
      <c r="A313" s="1">
        <v>45238</v>
      </c>
      <c r="B313">
        <f t="shared" si="16"/>
        <v>3</v>
      </c>
      <c r="C313" t="s">
        <v>11</v>
      </c>
      <c r="D313">
        <f>IF(AND(MONTH(A313)&lt;&gt;MONTH(A312),I312&gt;=3*$S$2),D312+3,D312)</f>
        <v>25</v>
      </c>
      <c r="E313">
        <f>IF(B313&lt;6,ROUNDDOWN(D313*VLOOKUP(C313,$U$1:$V$5,2,FALSE),0)*$S$3,0)</f>
        <v>300</v>
      </c>
      <c r="F313">
        <f t="shared" si="18"/>
        <v>0</v>
      </c>
      <c r="G313">
        <f t="shared" si="19"/>
        <v>0</v>
      </c>
      <c r="H313">
        <f t="shared" si="17"/>
        <v>300</v>
      </c>
      <c r="I313">
        <f>SUM($H$2:H313)</f>
        <v>19300</v>
      </c>
    </row>
    <row r="314" spans="1:9" x14ac:dyDescent="0.25">
      <c r="A314" s="1">
        <v>45239</v>
      </c>
      <c r="B314">
        <f t="shared" si="16"/>
        <v>4</v>
      </c>
      <c r="C314" t="s">
        <v>11</v>
      </c>
      <c r="D314">
        <f>IF(AND(MONTH(A314)&lt;&gt;MONTH(A313),I313&gt;=3*$S$2),D313+3,D313)</f>
        <v>25</v>
      </c>
      <c r="E314">
        <f>IF(B314&lt;6,ROUNDDOWN(D314*VLOOKUP(C314,$U$1:$V$5,2,FALSE),0)*$S$3,0)</f>
        <v>300</v>
      </c>
      <c r="F314">
        <f t="shared" si="18"/>
        <v>0</v>
      </c>
      <c r="G314">
        <f t="shared" si="19"/>
        <v>0</v>
      </c>
      <c r="H314">
        <f t="shared" si="17"/>
        <v>300</v>
      </c>
      <c r="I314">
        <f>SUM($H$2:H314)</f>
        <v>19600</v>
      </c>
    </row>
    <row r="315" spans="1:9" x14ac:dyDescent="0.25">
      <c r="A315" s="1">
        <v>45240</v>
      </c>
      <c r="B315">
        <f t="shared" si="16"/>
        <v>5</v>
      </c>
      <c r="C315" t="s">
        <v>11</v>
      </c>
      <c r="D315">
        <f>IF(AND(MONTH(A315)&lt;&gt;MONTH(A314),I314&gt;=3*$S$2),D314+3,D314)</f>
        <v>25</v>
      </c>
      <c r="E315">
        <f>IF(B315&lt;6,ROUNDDOWN(D315*VLOOKUP(C315,$U$1:$V$5,2,FALSE),0)*$S$3,0)</f>
        <v>300</v>
      </c>
      <c r="F315">
        <f t="shared" si="18"/>
        <v>0</v>
      </c>
      <c r="G315">
        <f t="shared" si="19"/>
        <v>0</v>
      </c>
      <c r="H315">
        <f t="shared" si="17"/>
        <v>300</v>
      </c>
      <c r="I315">
        <f>SUM($H$2:H315)</f>
        <v>19900</v>
      </c>
    </row>
    <row r="316" spans="1:9" x14ac:dyDescent="0.25">
      <c r="A316" s="1">
        <v>45241</v>
      </c>
      <c r="B316">
        <f t="shared" si="16"/>
        <v>6</v>
      </c>
      <c r="C316" t="s">
        <v>11</v>
      </c>
      <c r="D316">
        <f>IF(AND(MONTH(A316)&lt;&gt;MONTH(A315),I315&gt;=3*$S$2),D315+3,D315)</f>
        <v>25</v>
      </c>
      <c r="E316">
        <f>IF(B316&lt;6,ROUNDDOWN(D316*VLOOKUP(C316,$U$1:$V$5,2,FALSE),0)*$S$3,0)</f>
        <v>0</v>
      </c>
      <c r="F316">
        <f t="shared" si="18"/>
        <v>0</v>
      </c>
      <c r="G316">
        <f t="shared" si="19"/>
        <v>0</v>
      </c>
      <c r="H316">
        <f t="shared" si="17"/>
        <v>0</v>
      </c>
      <c r="I316">
        <f>SUM($H$2:H316)</f>
        <v>19900</v>
      </c>
    </row>
    <row r="317" spans="1:9" x14ac:dyDescent="0.25">
      <c r="A317" s="1">
        <v>45242</v>
      </c>
      <c r="B317">
        <f t="shared" si="16"/>
        <v>7</v>
      </c>
      <c r="C317" t="s">
        <v>11</v>
      </c>
      <c r="D317">
        <f>IF(AND(MONTH(A317)&lt;&gt;MONTH(A316),I316&gt;=3*$S$2),D316+3,D316)</f>
        <v>25</v>
      </c>
      <c r="E317">
        <f>IF(B317&lt;6,ROUNDDOWN(D317*VLOOKUP(C317,$U$1:$V$5,2,FALSE),0)*$S$3,0)</f>
        <v>0</v>
      </c>
      <c r="F317">
        <f t="shared" si="18"/>
        <v>375</v>
      </c>
      <c r="G317">
        <f t="shared" si="19"/>
        <v>0</v>
      </c>
      <c r="H317">
        <f t="shared" si="17"/>
        <v>-375</v>
      </c>
      <c r="I317">
        <f>SUM($H$2:H317)</f>
        <v>19525</v>
      </c>
    </row>
    <row r="318" spans="1:9" x14ac:dyDescent="0.25">
      <c r="A318" s="1">
        <v>45243</v>
      </c>
      <c r="B318">
        <f t="shared" si="16"/>
        <v>1</v>
      </c>
      <c r="C318" t="s">
        <v>11</v>
      </c>
      <c r="D318">
        <f>IF(AND(MONTH(A318)&lt;&gt;MONTH(A317),I317&gt;=3*$S$2),D317+3,D317)</f>
        <v>25</v>
      </c>
      <c r="E318">
        <f>IF(B318&lt;6,ROUNDDOWN(D318*VLOOKUP(C318,$U$1:$V$5,2,FALSE),0)*$S$3,0)</f>
        <v>300</v>
      </c>
      <c r="F318">
        <f t="shared" si="18"/>
        <v>0</v>
      </c>
      <c r="G318">
        <f t="shared" si="19"/>
        <v>0</v>
      </c>
      <c r="H318">
        <f t="shared" si="17"/>
        <v>300</v>
      </c>
      <c r="I318">
        <f>SUM($H$2:H318)</f>
        <v>19825</v>
      </c>
    </row>
    <row r="319" spans="1:9" x14ac:dyDescent="0.25">
      <c r="A319" s="1">
        <v>45244</v>
      </c>
      <c r="B319">
        <f t="shared" si="16"/>
        <v>2</v>
      </c>
      <c r="C319" t="s">
        <v>11</v>
      </c>
      <c r="D319">
        <f>IF(AND(MONTH(A319)&lt;&gt;MONTH(A318),I318&gt;=3*$S$2),D318+3,D318)</f>
        <v>25</v>
      </c>
      <c r="E319">
        <f>IF(B319&lt;6,ROUNDDOWN(D319*VLOOKUP(C319,$U$1:$V$5,2,FALSE),0)*$S$3,0)</f>
        <v>300</v>
      </c>
      <c r="F319">
        <f t="shared" si="18"/>
        <v>0</v>
      </c>
      <c r="G319">
        <f t="shared" si="19"/>
        <v>0</v>
      </c>
      <c r="H319">
        <f t="shared" si="17"/>
        <v>300</v>
      </c>
      <c r="I319">
        <f>SUM($H$2:H319)</f>
        <v>20125</v>
      </c>
    </row>
    <row r="320" spans="1:9" x14ac:dyDescent="0.25">
      <c r="A320" s="1">
        <v>45245</v>
      </c>
      <c r="B320">
        <f t="shared" si="16"/>
        <v>3</v>
      </c>
      <c r="C320" t="s">
        <v>11</v>
      </c>
      <c r="D320">
        <f>IF(AND(MONTH(A320)&lt;&gt;MONTH(A319),I319&gt;=3*$S$2),D319+3,D319)</f>
        <v>25</v>
      </c>
      <c r="E320">
        <f>IF(B320&lt;6,ROUNDDOWN(D320*VLOOKUP(C320,$U$1:$V$5,2,FALSE),0)*$S$3,0)</f>
        <v>300</v>
      </c>
      <c r="F320">
        <f t="shared" si="18"/>
        <v>0</v>
      </c>
      <c r="G320">
        <f t="shared" si="19"/>
        <v>0</v>
      </c>
      <c r="H320">
        <f t="shared" si="17"/>
        <v>300</v>
      </c>
      <c r="I320">
        <f>SUM($H$2:H320)</f>
        <v>20425</v>
      </c>
    </row>
    <row r="321" spans="1:9" x14ac:dyDescent="0.25">
      <c r="A321" s="1">
        <v>45246</v>
      </c>
      <c r="B321">
        <f t="shared" si="16"/>
        <v>4</v>
      </c>
      <c r="C321" t="s">
        <v>11</v>
      </c>
      <c r="D321">
        <f>IF(AND(MONTH(A321)&lt;&gt;MONTH(A320),I320&gt;=3*$S$2),D320+3,D320)</f>
        <v>25</v>
      </c>
      <c r="E321">
        <f>IF(B321&lt;6,ROUNDDOWN(D321*VLOOKUP(C321,$U$1:$V$5,2,FALSE),0)*$S$3,0)</f>
        <v>300</v>
      </c>
      <c r="F321">
        <f t="shared" si="18"/>
        <v>0</v>
      </c>
      <c r="G321">
        <f t="shared" si="19"/>
        <v>0</v>
      </c>
      <c r="H321">
        <f t="shared" si="17"/>
        <v>300</v>
      </c>
      <c r="I321">
        <f>SUM($H$2:H321)</f>
        <v>20725</v>
      </c>
    </row>
    <row r="322" spans="1:9" x14ac:dyDescent="0.25">
      <c r="A322" s="1">
        <v>45247</v>
      </c>
      <c r="B322">
        <f t="shared" si="16"/>
        <v>5</v>
      </c>
      <c r="C322" t="s">
        <v>11</v>
      </c>
      <c r="D322">
        <f>IF(AND(MONTH(A322)&lt;&gt;MONTH(A321),I321&gt;=3*$S$2),D321+3,D321)</f>
        <v>25</v>
      </c>
      <c r="E322">
        <f>IF(B322&lt;6,ROUNDDOWN(D322*VLOOKUP(C322,$U$1:$V$5,2,FALSE),0)*$S$3,0)</f>
        <v>300</v>
      </c>
      <c r="F322">
        <f t="shared" si="18"/>
        <v>0</v>
      </c>
      <c r="G322">
        <f t="shared" si="19"/>
        <v>0</v>
      </c>
      <c r="H322">
        <f t="shared" si="17"/>
        <v>300</v>
      </c>
      <c r="I322">
        <f>SUM($H$2:H322)</f>
        <v>21025</v>
      </c>
    </row>
    <row r="323" spans="1:9" x14ac:dyDescent="0.25">
      <c r="A323" s="1">
        <v>45248</v>
      </c>
      <c r="B323">
        <f t="shared" ref="B323:B386" si="20">WEEKDAY(A323,2)</f>
        <v>6</v>
      </c>
      <c r="C323" t="s">
        <v>11</v>
      </c>
      <c r="D323">
        <f>IF(AND(MONTH(A323)&lt;&gt;MONTH(A322),I322&gt;=3*$S$2),D322+3,D322)</f>
        <v>25</v>
      </c>
      <c r="E323">
        <f>IF(B323&lt;6,ROUNDDOWN(D323*VLOOKUP(C323,$U$1:$V$5,2,FALSE),0)*$S$3,0)</f>
        <v>0</v>
      </c>
      <c r="F323">
        <f t="shared" si="18"/>
        <v>0</v>
      </c>
      <c r="G323">
        <f t="shared" si="19"/>
        <v>0</v>
      </c>
      <c r="H323">
        <f t="shared" ref="H323:H386" si="21">E323-F323-G323</f>
        <v>0</v>
      </c>
      <c r="I323">
        <f>SUM($H$2:H323)</f>
        <v>21025</v>
      </c>
    </row>
    <row r="324" spans="1:9" x14ac:dyDescent="0.25">
      <c r="A324" s="1">
        <v>45249</v>
      </c>
      <c r="B324">
        <f t="shared" si="20"/>
        <v>7</v>
      </c>
      <c r="C324" t="s">
        <v>11</v>
      </c>
      <c r="D324">
        <f>IF(AND(MONTH(A324)&lt;&gt;MONTH(A323),I323&gt;=3*$S$2),D323+3,D323)</f>
        <v>25</v>
      </c>
      <c r="E324">
        <f>IF(B324&lt;6,ROUNDDOWN(D324*VLOOKUP(C324,$U$1:$V$5,2,FALSE),0)*$S$3,0)</f>
        <v>0</v>
      </c>
      <c r="F324">
        <f t="shared" ref="F324:F387" si="22">IF(B324=7,$S$4*D324,0)</f>
        <v>375</v>
      </c>
      <c r="G324">
        <f t="shared" ref="G324:G387" si="23">IF(D324&gt;D323,3*$S$2,0)</f>
        <v>0</v>
      </c>
      <c r="H324">
        <f t="shared" si="21"/>
        <v>-375</v>
      </c>
      <c r="I324">
        <f>SUM($H$2:H324)</f>
        <v>20650</v>
      </c>
    </row>
    <row r="325" spans="1:9" x14ac:dyDescent="0.25">
      <c r="A325" s="1">
        <v>45250</v>
      </c>
      <c r="B325">
        <f t="shared" si="20"/>
        <v>1</v>
      </c>
      <c r="C325" t="s">
        <v>11</v>
      </c>
      <c r="D325">
        <f>IF(AND(MONTH(A325)&lt;&gt;MONTH(A324),I324&gt;=3*$S$2),D324+3,D324)</f>
        <v>25</v>
      </c>
      <c r="E325">
        <f>IF(B325&lt;6,ROUNDDOWN(D325*VLOOKUP(C325,$U$1:$V$5,2,FALSE),0)*$S$3,0)</f>
        <v>300</v>
      </c>
      <c r="F325">
        <f t="shared" si="22"/>
        <v>0</v>
      </c>
      <c r="G325">
        <f t="shared" si="23"/>
        <v>0</v>
      </c>
      <c r="H325">
        <f t="shared" si="21"/>
        <v>300</v>
      </c>
      <c r="I325">
        <f>SUM($H$2:H325)</f>
        <v>20950</v>
      </c>
    </row>
    <row r="326" spans="1:9" x14ac:dyDescent="0.25">
      <c r="A326" s="1">
        <v>45251</v>
      </c>
      <c r="B326">
        <f t="shared" si="20"/>
        <v>2</v>
      </c>
      <c r="C326" t="s">
        <v>11</v>
      </c>
      <c r="D326">
        <f>IF(AND(MONTH(A326)&lt;&gt;MONTH(A325),I325&gt;=3*$S$2),D325+3,D325)</f>
        <v>25</v>
      </c>
      <c r="E326">
        <f>IF(B326&lt;6,ROUNDDOWN(D326*VLOOKUP(C326,$U$1:$V$5,2,FALSE),0)*$S$3,0)</f>
        <v>300</v>
      </c>
      <c r="F326">
        <f t="shared" si="22"/>
        <v>0</v>
      </c>
      <c r="G326">
        <f t="shared" si="23"/>
        <v>0</v>
      </c>
      <c r="H326">
        <f t="shared" si="21"/>
        <v>300</v>
      </c>
      <c r="I326">
        <f>SUM($H$2:H326)</f>
        <v>21250</v>
      </c>
    </row>
    <row r="327" spans="1:9" x14ac:dyDescent="0.25">
      <c r="A327" s="1">
        <v>45252</v>
      </c>
      <c r="B327">
        <f t="shared" si="20"/>
        <v>3</v>
      </c>
      <c r="C327" t="s">
        <v>11</v>
      </c>
      <c r="D327">
        <f>IF(AND(MONTH(A327)&lt;&gt;MONTH(A326),I326&gt;=3*$S$2),D326+3,D326)</f>
        <v>25</v>
      </c>
      <c r="E327">
        <f>IF(B327&lt;6,ROUNDDOWN(D327*VLOOKUP(C327,$U$1:$V$5,2,FALSE),0)*$S$3,0)</f>
        <v>300</v>
      </c>
      <c r="F327">
        <f t="shared" si="22"/>
        <v>0</v>
      </c>
      <c r="G327">
        <f t="shared" si="23"/>
        <v>0</v>
      </c>
      <c r="H327">
        <f t="shared" si="21"/>
        <v>300</v>
      </c>
      <c r="I327">
        <f>SUM($H$2:H327)</f>
        <v>21550</v>
      </c>
    </row>
    <row r="328" spans="1:9" x14ac:dyDescent="0.25">
      <c r="A328" s="1">
        <v>45253</v>
      </c>
      <c r="B328">
        <f t="shared" si="20"/>
        <v>4</v>
      </c>
      <c r="C328" t="s">
        <v>11</v>
      </c>
      <c r="D328">
        <f>IF(AND(MONTH(A328)&lt;&gt;MONTH(A327),I327&gt;=3*$S$2),D327+3,D327)</f>
        <v>25</v>
      </c>
      <c r="E328">
        <f>IF(B328&lt;6,ROUNDDOWN(D328*VLOOKUP(C328,$U$1:$V$5,2,FALSE),0)*$S$3,0)</f>
        <v>300</v>
      </c>
      <c r="F328">
        <f t="shared" si="22"/>
        <v>0</v>
      </c>
      <c r="G328">
        <f t="shared" si="23"/>
        <v>0</v>
      </c>
      <c r="H328">
        <f t="shared" si="21"/>
        <v>300</v>
      </c>
      <c r="I328">
        <f>SUM($H$2:H328)</f>
        <v>21850</v>
      </c>
    </row>
    <row r="329" spans="1:9" x14ac:dyDescent="0.25">
      <c r="A329" s="1">
        <v>45254</v>
      </c>
      <c r="B329">
        <f t="shared" si="20"/>
        <v>5</v>
      </c>
      <c r="C329" t="s">
        <v>11</v>
      </c>
      <c r="D329">
        <f>IF(AND(MONTH(A329)&lt;&gt;MONTH(A328),I328&gt;=3*$S$2),D328+3,D328)</f>
        <v>25</v>
      </c>
      <c r="E329">
        <f>IF(B329&lt;6,ROUNDDOWN(D329*VLOOKUP(C329,$U$1:$V$5,2,FALSE),0)*$S$3,0)</f>
        <v>300</v>
      </c>
      <c r="F329">
        <f t="shared" si="22"/>
        <v>0</v>
      </c>
      <c r="G329">
        <f t="shared" si="23"/>
        <v>0</v>
      </c>
      <c r="H329">
        <f t="shared" si="21"/>
        <v>300</v>
      </c>
      <c r="I329">
        <f>SUM($H$2:H329)</f>
        <v>22150</v>
      </c>
    </row>
    <row r="330" spans="1:9" x14ac:dyDescent="0.25">
      <c r="A330" s="1">
        <v>45255</v>
      </c>
      <c r="B330">
        <f t="shared" si="20"/>
        <v>6</v>
      </c>
      <c r="C330" t="s">
        <v>11</v>
      </c>
      <c r="D330">
        <f>IF(AND(MONTH(A330)&lt;&gt;MONTH(A329),I329&gt;=3*$S$2),D329+3,D329)</f>
        <v>25</v>
      </c>
      <c r="E330">
        <f>IF(B330&lt;6,ROUNDDOWN(D330*VLOOKUP(C330,$U$1:$V$5,2,FALSE),0)*$S$3,0)</f>
        <v>0</v>
      </c>
      <c r="F330">
        <f t="shared" si="22"/>
        <v>0</v>
      </c>
      <c r="G330">
        <f t="shared" si="23"/>
        <v>0</v>
      </c>
      <c r="H330">
        <f t="shared" si="21"/>
        <v>0</v>
      </c>
      <c r="I330">
        <f>SUM($H$2:H330)</f>
        <v>22150</v>
      </c>
    </row>
    <row r="331" spans="1:9" x14ac:dyDescent="0.25">
      <c r="A331" s="1">
        <v>45256</v>
      </c>
      <c r="B331">
        <f t="shared" si="20"/>
        <v>7</v>
      </c>
      <c r="C331" t="s">
        <v>11</v>
      </c>
      <c r="D331">
        <f>IF(AND(MONTH(A331)&lt;&gt;MONTH(A330),I330&gt;=3*$S$2),D330+3,D330)</f>
        <v>25</v>
      </c>
      <c r="E331">
        <f>IF(B331&lt;6,ROUNDDOWN(D331*VLOOKUP(C331,$U$1:$V$5,2,FALSE),0)*$S$3,0)</f>
        <v>0</v>
      </c>
      <c r="F331">
        <f t="shared" si="22"/>
        <v>375</v>
      </c>
      <c r="G331">
        <f t="shared" si="23"/>
        <v>0</v>
      </c>
      <c r="H331">
        <f t="shared" si="21"/>
        <v>-375</v>
      </c>
      <c r="I331">
        <f>SUM($H$2:H331)</f>
        <v>21775</v>
      </c>
    </row>
    <row r="332" spans="1:9" x14ac:dyDescent="0.25">
      <c r="A332" s="1">
        <v>45257</v>
      </c>
      <c r="B332">
        <f t="shared" si="20"/>
        <v>1</v>
      </c>
      <c r="C332" t="s">
        <v>11</v>
      </c>
      <c r="D332">
        <f>IF(AND(MONTH(A332)&lt;&gt;MONTH(A331),I331&gt;=3*$S$2),D331+3,D331)</f>
        <v>25</v>
      </c>
      <c r="E332">
        <f>IF(B332&lt;6,ROUNDDOWN(D332*VLOOKUP(C332,$U$1:$V$5,2,FALSE),0)*$S$3,0)</f>
        <v>300</v>
      </c>
      <c r="F332">
        <f t="shared" si="22"/>
        <v>0</v>
      </c>
      <c r="G332">
        <f t="shared" si="23"/>
        <v>0</v>
      </c>
      <c r="H332">
        <f t="shared" si="21"/>
        <v>300</v>
      </c>
      <c r="I332">
        <f>SUM($H$2:H332)</f>
        <v>22075</v>
      </c>
    </row>
    <row r="333" spans="1:9" x14ac:dyDescent="0.25">
      <c r="A333" s="1">
        <v>45258</v>
      </c>
      <c r="B333">
        <f t="shared" si="20"/>
        <v>2</v>
      </c>
      <c r="C333" t="s">
        <v>11</v>
      </c>
      <c r="D333">
        <f>IF(AND(MONTH(A333)&lt;&gt;MONTH(A332),I332&gt;=3*$S$2),D332+3,D332)</f>
        <v>25</v>
      </c>
      <c r="E333">
        <f>IF(B333&lt;6,ROUNDDOWN(D333*VLOOKUP(C333,$U$1:$V$5,2,FALSE),0)*$S$3,0)</f>
        <v>300</v>
      </c>
      <c r="F333">
        <f t="shared" si="22"/>
        <v>0</v>
      </c>
      <c r="G333">
        <f t="shared" si="23"/>
        <v>0</v>
      </c>
      <c r="H333">
        <f t="shared" si="21"/>
        <v>300</v>
      </c>
      <c r="I333">
        <f>SUM($H$2:H333)</f>
        <v>22375</v>
      </c>
    </row>
    <row r="334" spans="1:9" x14ac:dyDescent="0.25">
      <c r="A334" s="1">
        <v>45259</v>
      </c>
      <c r="B334">
        <f t="shared" si="20"/>
        <v>3</v>
      </c>
      <c r="C334" t="s">
        <v>11</v>
      </c>
      <c r="D334">
        <f>IF(AND(MONTH(A334)&lt;&gt;MONTH(A333),I333&gt;=3*$S$2),D333+3,D333)</f>
        <v>25</v>
      </c>
      <c r="E334">
        <f>IF(B334&lt;6,ROUNDDOWN(D334*VLOOKUP(C334,$U$1:$V$5,2,FALSE),0)*$S$3,0)</f>
        <v>300</v>
      </c>
      <c r="F334">
        <f t="shared" si="22"/>
        <v>0</v>
      </c>
      <c r="G334">
        <f t="shared" si="23"/>
        <v>0</v>
      </c>
      <c r="H334">
        <f t="shared" si="21"/>
        <v>300</v>
      </c>
      <c r="I334">
        <f>SUM($H$2:H334)</f>
        <v>22675</v>
      </c>
    </row>
    <row r="335" spans="1:9" x14ac:dyDescent="0.25">
      <c r="A335" s="1">
        <v>45260</v>
      </c>
      <c r="B335">
        <f t="shared" si="20"/>
        <v>4</v>
      </c>
      <c r="C335" t="s">
        <v>11</v>
      </c>
      <c r="D335">
        <f>IF(AND(MONTH(A335)&lt;&gt;MONTH(A334),I334&gt;=3*$S$2),D334+3,D334)</f>
        <v>25</v>
      </c>
      <c r="E335">
        <f>IF(B335&lt;6,ROUNDDOWN(D335*VLOOKUP(C335,$U$1:$V$5,2,FALSE),0)*$S$3,0)</f>
        <v>300</v>
      </c>
      <c r="F335">
        <f t="shared" si="22"/>
        <v>0</v>
      </c>
      <c r="G335">
        <f t="shared" si="23"/>
        <v>0</v>
      </c>
      <c r="H335">
        <f t="shared" si="21"/>
        <v>300</v>
      </c>
      <c r="I335">
        <f>SUM($H$2:H335)</f>
        <v>22975</v>
      </c>
    </row>
    <row r="336" spans="1:9" x14ac:dyDescent="0.25">
      <c r="A336" s="1">
        <v>45261</v>
      </c>
      <c r="B336">
        <f t="shared" si="20"/>
        <v>5</v>
      </c>
      <c r="C336" t="s">
        <v>11</v>
      </c>
      <c r="D336">
        <f>IF(AND(MONTH(A336)&lt;&gt;MONTH(A335),I335&gt;=3*$S$2),D335+3,D335)</f>
        <v>28</v>
      </c>
      <c r="E336">
        <f>IF(B336&lt;6,ROUNDDOWN(D336*VLOOKUP(C336,$U$1:$V$5,2,FALSE),0)*$S$3,0)</f>
        <v>330</v>
      </c>
      <c r="F336">
        <f t="shared" si="22"/>
        <v>0</v>
      </c>
      <c r="G336">
        <f t="shared" si="23"/>
        <v>2400</v>
      </c>
      <c r="H336">
        <f t="shared" si="21"/>
        <v>-2070</v>
      </c>
      <c r="I336">
        <f>SUM($H$2:H336)</f>
        <v>20905</v>
      </c>
    </row>
    <row r="337" spans="1:9" x14ac:dyDescent="0.25">
      <c r="A337" s="1">
        <v>45262</v>
      </c>
      <c r="B337">
        <f t="shared" si="20"/>
        <v>6</v>
      </c>
      <c r="C337" t="s">
        <v>11</v>
      </c>
      <c r="D337">
        <f>IF(AND(MONTH(A337)&lt;&gt;MONTH(A336),I336&gt;=3*$S$2),D336+3,D336)</f>
        <v>28</v>
      </c>
      <c r="E337">
        <f>IF(B337&lt;6,ROUNDDOWN(D337*VLOOKUP(C337,$U$1:$V$5,2,FALSE),0)*$S$3,0)</f>
        <v>0</v>
      </c>
      <c r="F337">
        <f t="shared" si="22"/>
        <v>0</v>
      </c>
      <c r="G337">
        <f t="shared" si="23"/>
        <v>0</v>
      </c>
      <c r="H337">
        <f t="shared" si="21"/>
        <v>0</v>
      </c>
      <c r="I337">
        <f>SUM($H$2:H337)</f>
        <v>20905</v>
      </c>
    </row>
    <row r="338" spans="1:9" x14ac:dyDescent="0.25">
      <c r="A338" s="1">
        <v>45263</v>
      </c>
      <c r="B338">
        <f t="shared" si="20"/>
        <v>7</v>
      </c>
      <c r="C338" t="s">
        <v>11</v>
      </c>
      <c r="D338">
        <f>IF(AND(MONTH(A338)&lt;&gt;MONTH(A337),I337&gt;=3*$S$2),D337+3,D337)</f>
        <v>28</v>
      </c>
      <c r="E338">
        <f>IF(B338&lt;6,ROUNDDOWN(D338*VLOOKUP(C338,$U$1:$V$5,2,FALSE),0)*$S$3,0)</f>
        <v>0</v>
      </c>
      <c r="F338">
        <f t="shared" si="22"/>
        <v>420</v>
      </c>
      <c r="G338">
        <f t="shared" si="23"/>
        <v>0</v>
      </c>
      <c r="H338">
        <f t="shared" si="21"/>
        <v>-420</v>
      </c>
      <c r="I338">
        <f>SUM($H$2:H338)</f>
        <v>20485</v>
      </c>
    </row>
    <row r="339" spans="1:9" x14ac:dyDescent="0.25">
      <c r="A339" s="1">
        <v>45264</v>
      </c>
      <c r="B339">
        <f t="shared" si="20"/>
        <v>1</v>
      </c>
      <c r="C339" t="s">
        <v>11</v>
      </c>
      <c r="D339">
        <f>IF(AND(MONTH(A339)&lt;&gt;MONTH(A338),I338&gt;=3*$S$2),D338+3,D338)</f>
        <v>28</v>
      </c>
      <c r="E339">
        <f>IF(B339&lt;6,ROUNDDOWN(D339*VLOOKUP(C339,$U$1:$V$5,2,FALSE),0)*$S$3,0)</f>
        <v>330</v>
      </c>
      <c r="F339">
        <f t="shared" si="22"/>
        <v>0</v>
      </c>
      <c r="G339">
        <f t="shared" si="23"/>
        <v>0</v>
      </c>
      <c r="H339">
        <f t="shared" si="21"/>
        <v>330</v>
      </c>
      <c r="I339">
        <f>SUM($H$2:H339)</f>
        <v>20815</v>
      </c>
    </row>
    <row r="340" spans="1:9" x14ac:dyDescent="0.25">
      <c r="A340" s="1">
        <v>45265</v>
      </c>
      <c r="B340">
        <f t="shared" si="20"/>
        <v>2</v>
      </c>
      <c r="C340" t="s">
        <v>11</v>
      </c>
      <c r="D340">
        <f>IF(AND(MONTH(A340)&lt;&gt;MONTH(A339),I339&gt;=3*$S$2),D339+3,D339)</f>
        <v>28</v>
      </c>
      <c r="E340">
        <f>IF(B340&lt;6,ROUNDDOWN(D340*VLOOKUP(C340,$U$1:$V$5,2,FALSE),0)*$S$3,0)</f>
        <v>330</v>
      </c>
      <c r="F340">
        <f t="shared" si="22"/>
        <v>0</v>
      </c>
      <c r="G340">
        <f t="shared" si="23"/>
        <v>0</v>
      </c>
      <c r="H340">
        <f t="shared" si="21"/>
        <v>330</v>
      </c>
      <c r="I340">
        <f>SUM($H$2:H340)</f>
        <v>21145</v>
      </c>
    </row>
    <row r="341" spans="1:9" x14ac:dyDescent="0.25">
      <c r="A341" s="1">
        <v>45266</v>
      </c>
      <c r="B341">
        <f t="shared" si="20"/>
        <v>3</v>
      </c>
      <c r="C341" t="s">
        <v>11</v>
      </c>
      <c r="D341">
        <f>IF(AND(MONTH(A341)&lt;&gt;MONTH(A340),I340&gt;=3*$S$2),D340+3,D340)</f>
        <v>28</v>
      </c>
      <c r="E341">
        <f>IF(B341&lt;6,ROUNDDOWN(D341*VLOOKUP(C341,$U$1:$V$5,2,FALSE),0)*$S$3,0)</f>
        <v>330</v>
      </c>
      <c r="F341">
        <f t="shared" si="22"/>
        <v>0</v>
      </c>
      <c r="G341">
        <f t="shared" si="23"/>
        <v>0</v>
      </c>
      <c r="H341">
        <f t="shared" si="21"/>
        <v>330</v>
      </c>
      <c r="I341">
        <f>SUM($H$2:H341)</f>
        <v>21475</v>
      </c>
    </row>
    <row r="342" spans="1:9" x14ac:dyDescent="0.25">
      <c r="A342" s="1">
        <v>45267</v>
      </c>
      <c r="B342">
        <f t="shared" si="20"/>
        <v>4</v>
      </c>
      <c r="C342" t="s">
        <v>11</v>
      </c>
      <c r="D342">
        <f>IF(AND(MONTH(A342)&lt;&gt;MONTH(A341),I341&gt;=3*$S$2),D341+3,D341)</f>
        <v>28</v>
      </c>
      <c r="E342">
        <f>IF(B342&lt;6,ROUNDDOWN(D342*VLOOKUP(C342,$U$1:$V$5,2,FALSE),0)*$S$3,0)</f>
        <v>330</v>
      </c>
      <c r="F342">
        <f t="shared" si="22"/>
        <v>0</v>
      </c>
      <c r="G342">
        <f t="shared" si="23"/>
        <v>0</v>
      </c>
      <c r="H342">
        <f t="shared" si="21"/>
        <v>330</v>
      </c>
      <c r="I342">
        <f>SUM($H$2:H342)</f>
        <v>21805</v>
      </c>
    </row>
    <row r="343" spans="1:9" x14ac:dyDescent="0.25">
      <c r="A343" s="1">
        <v>45268</v>
      </c>
      <c r="B343">
        <f t="shared" si="20"/>
        <v>5</v>
      </c>
      <c r="C343" t="s">
        <v>11</v>
      </c>
      <c r="D343">
        <f>IF(AND(MONTH(A343)&lt;&gt;MONTH(A342),I342&gt;=3*$S$2),D342+3,D342)</f>
        <v>28</v>
      </c>
      <c r="E343">
        <f>IF(B343&lt;6,ROUNDDOWN(D343*VLOOKUP(C343,$U$1:$V$5,2,FALSE),0)*$S$3,0)</f>
        <v>330</v>
      </c>
      <c r="F343">
        <f t="shared" si="22"/>
        <v>0</v>
      </c>
      <c r="G343">
        <f t="shared" si="23"/>
        <v>0</v>
      </c>
      <c r="H343">
        <f t="shared" si="21"/>
        <v>330</v>
      </c>
      <c r="I343">
        <f>SUM($H$2:H343)</f>
        <v>22135</v>
      </c>
    </row>
    <row r="344" spans="1:9" x14ac:dyDescent="0.25">
      <c r="A344" s="1">
        <v>45269</v>
      </c>
      <c r="B344">
        <f t="shared" si="20"/>
        <v>6</v>
      </c>
      <c r="C344" t="s">
        <v>11</v>
      </c>
      <c r="D344">
        <f>IF(AND(MONTH(A344)&lt;&gt;MONTH(A343),I343&gt;=3*$S$2),D343+3,D343)</f>
        <v>28</v>
      </c>
      <c r="E344">
        <f>IF(B344&lt;6,ROUNDDOWN(D344*VLOOKUP(C344,$U$1:$V$5,2,FALSE),0)*$S$3,0)</f>
        <v>0</v>
      </c>
      <c r="F344">
        <f t="shared" si="22"/>
        <v>0</v>
      </c>
      <c r="G344">
        <f t="shared" si="23"/>
        <v>0</v>
      </c>
      <c r="H344">
        <f t="shared" si="21"/>
        <v>0</v>
      </c>
      <c r="I344">
        <f>SUM($H$2:H344)</f>
        <v>22135</v>
      </c>
    </row>
    <row r="345" spans="1:9" x14ac:dyDescent="0.25">
      <c r="A345" s="1">
        <v>45270</v>
      </c>
      <c r="B345">
        <f t="shared" si="20"/>
        <v>7</v>
      </c>
      <c r="C345" t="s">
        <v>11</v>
      </c>
      <c r="D345">
        <f>IF(AND(MONTH(A345)&lt;&gt;MONTH(A344),I344&gt;=3*$S$2),D344+3,D344)</f>
        <v>28</v>
      </c>
      <c r="E345">
        <f>IF(B345&lt;6,ROUNDDOWN(D345*VLOOKUP(C345,$U$1:$V$5,2,FALSE),0)*$S$3,0)</f>
        <v>0</v>
      </c>
      <c r="F345">
        <f t="shared" si="22"/>
        <v>420</v>
      </c>
      <c r="G345">
        <f t="shared" si="23"/>
        <v>0</v>
      </c>
      <c r="H345">
        <f t="shared" si="21"/>
        <v>-420</v>
      </c>
      <c r="I345">
        <f>SUM($H$2:H345)</f>
        <v>21715</v>
      </c>
    </row>
    <row r="346" spans="1:9" x14ac:dyDescent="0.25">
      <c r="A346" s="1">
        <v>45271</v>
      </c>
      <c r="B346">
        <f t="shared" si="20"/>
        <v>1</v>
      </c>
      <c r="C346" t="s">
        <v>11</v>
      </c>
      <c r="D346">
        <f>IF(AND(MONTH(A346)&lt;&gt;MONTH(A345),I345&gt;=3*$S$2),D345+3,D345)</f>
        <v>28</v>
      </c>
      <c r="E346">
        <f>IF(B346&lt;6,ROUNDDOWN(D346*VLOOKUP(C346,$U$1:$V$5,2,FALSE),0)*$S$3,0)</f>
        <v>330</v>
      </c>
      <c r="F346">
        <f t="shared" si="22"/>
        <v>0</v>
      </c>
      <c r="G346">
        <f t="shared" si="23"/>
        <v>0</v>
      </c>
      <c r="H346">
        <f t="shared" si="21"/>
        <v>330</v>
      </c>
      <c r="I346">
        <f>SUM($H$2:H346)</f>
        <v>22045</v>
      </c>
    </row>
    <row r="347" spans="1:9" x14ac:dyDescent="0.25">
      <c r="A347" s="1">
        <v>45272</v>
      </c>
      <c r="B347">
        <f t="shared" si="20"/>
        <v>2</v>
      </c>
      <c r="C347" t="s">
        <v>11</v>
      </c>
      <c r="D347">
        <f>IF(AND(MONTH(A347)&lt;&gt;MONTH(A346),I346&gt;=3*$S$2),D346+3,D346)</f>
        <v>28</v>
      </c>
      <c r="E347">
        <f>IF(B347&lt;6,ROUNDDOWN(D347*VLOOKUP(C347,$U$1:$V$5,2,FALSE),0)*$S$3,0)</f>
        <v>330</v>
      </c>
      <c r="F347">
        <f t="shared" si="22"/>
        <v>0</v>
      </c>
      <c r="G347">
        <f t="shared" si="23"/>
        <v>0</v>
      </c>
      <c r="H347">
        <f t="shared" si="21"/>
        <v>330</v>
      </c>
      <c r="I347">
        <f>SUM($H$2:H347)</f>
        <v>22375</v>
      </c>
    </row>
    <row r="348" spans="1:9" x14ac:dyDescent="0.25">
      <c r="A348" s="1">
        <v>45273</v>
      </c>
      <c r="B348">
        <f t="shared" si="20"/>
        <v>3</v>
      </c>
      <c r="C348" t="s">
        <v>11</v>
      </c>
      <c r="D348">
        <f>IF(AND(MONTH(A348)&lt;&gt;MONTH(A347),I347&gt;=3*$S$2),D347+3,D347)</f>
        <v>28</v>
      </c>
      <c r="E348">
        <f>IF(B348&lt;6,ROUNDDOWN(D348*VLOOKUP(C348,$U$1:$V$5,2,FALSE),0)*$S$3,0)</f>
        <v>330</v>
      </c>
      <c r="F348">
        <f t="shared" si="22"/>
        <v>0</v>
      </c>
      <c r="G348">
        <f t="shared" si="23"/>
        <v>0</v>
      </c>
      <c r="H348">
        <f t="shared" si="21"/>
        <v>330</v>
      </c>
      <c r="I348">
        <f>SUM($H$2:H348)</f>
        <v>22705</v>
      </c>
    </row>
    <row r="349" spans="1:9" x14ac:dyDescent="0.25">
      <c r="A349" s="1">
        <v>45274</v>
      </c>
      <c r="B349">
        <f t="shared" si="20"/>
        <v>4</v>
      </c>
      <c r="C349" t="s">
        <v>11</v>
      </c>
      <c r="D349">
        <f>IF(AND(MONTH(A349)&lt;&gt;MONTH(A348),I348&gt;=3*$S$2),D348+3,D348)</f>
        <v>28</v>
      </c>
      <c r="E349">
        <f>IF(B349&lt;6,ROUNDDOWN(D349*VLOOKUP(C349,$U$1:$V$5,2,FALSE),0)*$S$3,0)</f>
        <v>330</v>
      </c>
      <c r="F349">
        <f t="shared" si="22"/>
        <v>0</v>
      </c>
      <c r="G349">
        <f t="shared" si="23"/>
        <v>0</v>
      </c>
      <c r="H349">
        <f t="shared" si="21"/>
        <v>330</v>
      </c>
      <c r="I349">
        <f>SUM($H$2:H349)</f>
        <v>23035</v>
      </c>
    </row>
    <row r="350" spans="1:9" x14ac:dyDescent="0.25">
      <c r="A350" s="1">
        <v>45275</v>
      </c>
      <c r="B350">
        <f t="shared" si="20"/>
        <v>5</v>
      </c>
      <c r="C350" t="s">
        <v>11</v>
      </c>
      <c r="D350">
        <f>IF(AND(MONTH(A350)&lt;&gt;MONTH(A349),I349&gt;=3*$S$2),D349+3,D349)</f>
        <v>28</v>
      </c>
      <c r="E350">
        <f>IF(B350&lt;6,ROUNDDOWN(D350*VLOOKUP(C350,$U$1:$V$5,2,FALSE),0)*$S$3,0)</f>
        <v>330</v>
      </c>
      <c r="F350">
        <f t="shared" si="22"/>
        <v>0</v>
      </c>
      <c r="G350">
        <f t="shared" si="23"/>
        <v>0</v>
      </c>
      <c r="H350">
        <f t="shared" si="21"/>
        <v>330</v>
      </c>
      <c r="I350">
        <f>SUM($H$2:H350)</f>
        <v>23365</v>
      </c>
    </row>
    <row r="351" spans="1:9" x14ac:dyDescent="0.25">
      <c r="A351" s="1">
        <v>45276</v>
      </c>
      <c r="B351">
        <f t="shared" si="20"/>
        <v>6</v>
      </c>
      <c r="C351" t="s">
        <v>11</v>
      </c>
      <c r="D351">
        <f>IF(AND(MONTH(A351)&lt;&gt;MONTH(A350),I350&gt;=3*$S$2),D350+3,D350)</f>
        <v>28</v>
      </c>
      <c r="E351">
        <f>IF(B351&lt;6,ROUNDDOWN(D351*VLOOKUP(C351,$U$1:$V$5,2,FALSE),0)*$S$3,0)</f>
        <v>0</v>
      </c>
      <c r="F351">
        <f t="shared" si="22"/>
        <v>0</v>
      </c>
      <c r="G351">
        <f t="shared" si="23"/>
        <v>0</v>
      </c>
      <c r="H351">
        <f t="shared" si="21"/>
        <v>0</v>
      </c>
      <c r="I351">
        <f>SUM($H$2:H351)</f>
        <v>23365</v>
      </c>
    </row>
    <row r="352" spans="1:9" x14ac:dyDescent="0.25">
      <c r="A352" s="1">
        <v>45277</v>
      </c>
      <c r="B352">
        <f t="shared" si="20"/>
        <v>7</v>
      </c>
      <c r="C352" t="s">
        <v>11</v>
      </c>
      <c r="D352">
        <f>IF(AND(MONTH(A352)&lt;&gt;MONTH(A351),I351&gt;=3*$S$2),D351+3,D351)</f>
        <v>28</v>
      </c>
      <c r="E352">
        <f>IF(B352&lt;6,ROUNDDOWN(D352*VLOOKUP(C352,$U$1:$V$5,2,FALSE),0)*$S$3,0)</f>
        <v>0</v>
      </c>
      <c r="F352">
        <f t="shared" si="22"/>
        <v>420</v>
      </c>
      <c r="G352">
        <f t="shared" si="23"/>
        <v>0</v>
      </c>
      <c r="H352">
        <f t="shared" si="21"/>
        <v>-420</v>
      </c>
      <c r="I352">
        <f>SUM($H$2:H352)</f>
        <v>22945</v>
      </c>
    </row>
    <row r="353" spans="1:9" x14ac:dyDescent="0.25">
      <c r="A353" s="1">
        <v>45278</v>
      </c>
      <c r="B353">
        <f t="shared" si="20"/>
        <v>1</v>
      </c>
      <c r="C353" t="s">
        <v>11</v>
      </c>
      <c r="D353">
        <f>IF(AND(MONTH(A353)&lt;&gt;MONTH(A352),I352&gt;=3*$S$2),D352+3,D352)</f>
        <v>28</v>
      </c>
      <c r="E353">
        <f>IF(B353&lt;6,ROUNDDOWN(D353*VLOOKUP(C353,$U$1:$V$5,2,FALSE),0)*$S$3,0)</f>
        <v>330</v>
      </c>
      <c r="F353">
        <f t="shared" si="22"/>
        <v>0</v>
      </c>
      <c r="G353">
        <f t="shared" si="23"/>
        <v>0</v>
      </c>
      <c r="H353">
        <f t="shared" si="21"/>
        <v>330</v>
      </c>
      <c r="I353">
        <f>SUM($H$2:H353)</f>
        <v>23275</v>
      </c>
    </row>
    <row r="354" spans="1:9" x14ac:dyDescent="0.25">
      <c r="A354" s="1">
        <v>45279</v>
      </c>
      <c r="B354">
        <f t="shared" si="20"/>
        <v>2</v>
      </c>
      <c r="C354" t="s">
        <v>11</v>
      </c>
      <c r="D354">
        <f>IF(AND(MONTH(A354)&lt;&gt;MONTH(A353),I353&gt;=3*$S$2),D353+3,D353)</f>
        <v>28</v>
      </c>
      <c r="E354">
        <f>IF(B354&lt;6,ROUNDDOWN(D354*VLOOKUP(C354,$U$1:$V$5,2,FALSE),0)*$S$3,0)</f>
        <v>330</v>
      </c>
      <c r="F354">
        <f t="shared" si="22"/>
        <v>0</v>
      </c>
      <c r="G354">
        <f t="shared" si="23"/>
        <v>0</v>
      </c>
      <c r="H354">
        <f t="shared" si="21"/>
        <v>330</v>
      </c>
      <c r="I354">
        <f>SUM($H$2:H354)</f>
        <v>23605</v>
      </c>
    </row>
    <row r="355" spans="1:9" x14ac:dyDescent="0.25">
      <c r="A355" s="1">
        <v>45280</v>
      </c>
      <c r="B355">
        <f t="shared" si="20"/>
        <v>3</v>
      </c>
      <c r="C355" t="s">
        <v>11</v>
      </c>
      <c r="D355">
        <f>IF(AND(MONTH(A355)&lt;&gt;MONTH(A354),I354&gt;=3*$S$2),D354+3,D354)</f>
        <v>28</v>
      </c>
      <c r="E355">
        <f>IF(B355&lt;6,ROUNDDOWN(D355*VLOOKUP(C355,$U$1:$V$5,2,FALSE),0)*$S$3,0)</f>
        <v>330</v>
      </c>
      <c r="F355">
        <f t="shared" si="22"/>
        <v>0</v>
      </c>
      <c r="G355">
        <f t="shared" si="23"/>
        <v>0</v>
      </c>
      <c r="H355">
        <f t="shared" si="21"/>
        <v>330</v>
      </c>
      <c r="I355">
        <f>SUM($H$2:H355)</f>
        <v>23935</v>
      </c>
    </row>
    <row r="356" spans="1:9" x14ac:dyDescent="0.25">
      <c r="A356" s="1">
        <v>45281</v>
      </c>
      <c r="B356">
        <f t="shared" si="20"/>
        <v>4</v>
      </c>
      <c r="C356" t="s">
        <v>8</v>
      </c>
      <c r="D356">
        <f>IF(AND(MONTH(A356)&lt;&gt;MONTH(A355),I355&gt;=3*$S$2),D355+3,D355)</f>
        <v>28</v>
      </c>
      <c r="E356">
        <f>IF(B356&lt;6,ROUNDDOWN(D356*VLOOKUP(C356,$U$1:$V$5,2,FALSE),0)*$S$3,0)</f>
        <v>150</v>
      </c>
      <c r="F356">
        <f t="shared" si="22"/>
        <v>0</v>
      </c>
      <c r="G356">
        <f t="shared" si="23"/>
        <v>0</v>
      </c>
      <c r="H356">
        <f t="shared" si="21"/>
        <v>150</v>
      </c>
      <c r="I356">
        <f>SUM($H$2:H356)</f>
        <v>24085</v>
      </c>
    </row>
    <row r="357" spans="1:9" x14ac:dyDescent="0.25">
      <c r="A357" s="1">
        <v>45282</v>
      </c>
      <c r="B357">
        <f t="shared" si="20"/>
        <v>5</v>
      </c>
      <c r="C357" t="s">
        <v>8</v>
      </c>
      <c r="D357">
        <f>IF(AND(MONTH(A357)&lt;&gt;MONTH(A356),I356&gt;=3*$S$2),D356+3,D356)</f>
        <v>28</v>
      </c>
      <c r="E357">
        <f>IF(B357&lt;6,ROUNDDOWN(D357*VLOOKUP(C357,$U$1:$V$5,2,FALSE),0)*$S$3,0)</f>
        <v>150</v>
      </c>
      <c r="F357">
        <f t="shared" si="22"/>
        <v>0</v>
      </c>
      <c r="G357">
        <f t="shared" si="23"/>
        <v>0</v>
      </c>
      <c r="H357">
        <f t="shared" si="21"/>
        <v>150</v>
      </c>
      <c r="I357">
        <f>SUM($H$2:H357)</f>
        <v>24235</v>
      </c>
    </row>
    <row r="358" spans="1:9" x14ac:dyDescent="0.25">
      <c r="A358" s="1">
        <v>45283</v>
      </c>
      <c r="B358">
        <f t="shared" si="20"/>
        <v>6</v>
      </c>
      <c r="C358" t="s">
        <v>8</v>
      </c>
      <c r="D358">
        <f>IF(AND(MONTH(A358)&lt;&gt;MONTH(A357),I357&gt;=3*$S$2),D357+3,D357)</f>
        <v>28</v>
      </c>
      <c r="E358">
        <f>IF(B358&lt;6,ROUNDDOWN(D358*VLOOKUP(C358,$U$1:$V$5,2,FALSE),0)*$S$3,0)</f>
        <v>0</v>
      </c>
      <c r="F358">
        <f t="shared" si="22"/>
        <v>0</v>
      </c>
      <c r="G358">
        <f t="shared" si="23"/>
        <v>0</v>
      </c>
      <c r="H358">
        <f t="shared" si="21"/>
        <v>0</v>
      </c>
      <c r="I358">
        <f>SUM($H$2:H358)</f>
        <v>24235</v>
      </c>
    </row>
    <row r="359" spans="1:9" x14ac:dyDescent="0.25">
      <c r="A359" s="1">
        <v>45284</v>
      </c>
      <c r="B359">
        <f t="shared" si="20"/>
        <v>7</v>
      </c>
      <c r="C359" t="s">
        <v>8</v>
      </c>
      <c r="D359">
        <f>IF(AND(MONTH(A359)&lt;&gt;MONTH(A358),I358&gt;=3*$S$2),D358+3,D358)</f>
        <v>28</v>
      </c>
      <c r="E359">
        <f>IF(B359&lt;6,ROUNDDOWN(D359*VLOOKUP(C359,$U$1:$V$5,2,FALSE),0)*$S$3,0)</f>
        <v>0</v>
      </c>
      <c r="F359">
        <f t="shared" si="22"/>
        <v>420</v>
      </c>
      <c r="G359">
        <f t="shared" si="23"/>
        <v>0</v>
      </c>
      <c r="H359">
        <f t="shared" si="21"/>
        <v>-420</v>
      </c>
      <c r="I359">
        <f>SUM($H$2:H359)</f>
        <v>23815</v>
      </c>
    </row>
    <row r="360" spans="1:9" x14ac:dyDescent="0.25">
      <c r="A360" s="1">
        <v>45285</v>
      </c>
      <c r="B360">
        <f t="shared" si="20"/>
        <v>1</v>
      </c>
      <c r="C360" t="s">
        <v>8</v>
      </c>
      <c r="D360">
        <f>IF(AND(MONTH(A360)&lt;&gt;MONTH(A359),I359&gt;=3*$S$2),D359+3,D359)</f>
        <v>28</v>
      </c>
      <c r="E360">
        <f>IF(B360&lt;6,ROUNDDOWN(D360*VLOOKUP(C360,$U$1:$V$5,2,FALSE),0)*$S$3,0)</f>
        <v>150</v>
      </c>
      <c r="F360">
        <f t="shared" si="22"/>
        <v>0</v>
      </c>
      <c r="G360">
        <f t="shared" si="23"/>
        <v>0</v>
      </c>
      <c r="H360">
        <f t="shared" si="21"/>
        <v>150</v>
      </c>
      <c r="I360">
        <f>SUM($H$2:H360)</f>
        <v>23965</v>
      </c>
    </row>
    <row r="361" spans="1:9" x14ac:dyDescent="0.25">
      <c r="A361" s="1">
        <v>45286</v>
      </c>
      <c r="B361">
        <f t="shared" si="20"/>
        <v>2</v>
      </c>
      <c r="C361" t="s">
        <v>8</v>
      </c>
      <c r="D361">
        <f>IF(AND(MONTH(A361)&lt;&gt;MONTH(A360),I360&gt;=3*$S$2),D360+3,D360)</f>
        <v>28</v>
      </c>
      <c r="E361">
        <f>IF(B361&lt;6,ROUNDDOWN(D361*VLOOKUP(C361,$U$1:$V$5,2,FALSE),0)*$S$3,0)</f>
        <v>150</v>
      </c>
      <c r="F361">
        <f t="shared" si="22"/>
        <v>0</v>
      </c>
      <c r="G361">
        <f t="shared" si="23"/>
        <v>0</v>
      </c>
      <c r="H361">
        <f t="shared" si="21"/>
        <v>150</v>
      </c>
      <c r="I361">
        <f>SUM($H$2:H361)</f>
        <v>24115</v>
      </c>
    </row>
    <row r="362" spans="1:9" x14ac:dyDescent="0.25">
      <c r="A362" s="1">
        <v>45287</v>
      </c>
      <c r="B362">
        <f t="shared" si="20"/>
        <v>3</v>
      </c>
      <c r="C362" t="s">
        <v>8</v>
      </c>
      <c r="D362">
        <f>IF(AND(MONTH(A362)&lt;&gt;MONTH(A361),I361&gt;=3*$S$2),D361+3,D361)</f>
        <v>28</v>
      </c>
      <c r="E362">
        <f>IF(B362&lt;6,ROUNDDOWN(D362*VLOOKUP(C362,$U$1:$V$5,2,FALSE),0)*$S$3,0)</f>
        <v>150</v>
      </c>
      <c r="F362">
        <f t="shared" si="22"/>
        <v>0</v>
      </c>
      <c r="G362">
        <f t="shared" si="23"/>
        <v>0</v>
      </c>
      <c r="H362">
        <f t="shared" si="21"/>
        <v>150</v>
      </c>
      <c r="I362">
        <f>SUM($H$2:H362)</f>
        <v>24265</v>
      </c>
    </row>
    <row r="363" spans="1:9" x14ac:dyDescent="0.25">
      <c r="A363" s="1">
        <v>45288</v>
      </c>
      <c r="B363">
        <f t="shared" si="20"/>
        <v>4</v>
      </c>
      <c r="C363" t="s">
        <v>8</v>
      </c>
      <c r="D363">
        <f>IF(AND(MONTH(A363)&lt;&gt;MONTH(A362),I362&gt;=3*$S$2),D362+3,D362)</f>
        <v>28</v>
      </c>
      <c r="E363">
        <f>IF(B363&lt;6,ROUNDDOWN(D363*VLOOKUP(C363,$U$1:$V$5,2,FALSE),0)*$S$3,0)</f>
        <v>150</v>
      </c>
      <c r="F363">
        <f t="shared" si="22"/>
        <v>0</v>
      </c>
      <c r="G363">
        <f t="shared" si="23"/>
        <v>0</v>
      </c>
      <c r="H363">
        <f t="shared" si="21"/>
        <v>150</v>
      </c>
      <c r="I363">
        <f>SUM($H$2:H363)</f>
        <v>24415</v>
      </c>
    </row>
    <row r="364" spans="1:9" x14ac:dyDescent="0.25">
      <c r="A364" s="1">
        <v>45289</v>
      </c>
      <c r="B364">
        <f t="shared" si="20"/>
        <v>5</v>
      </c>
      <c r="C364" t="s">
        <v>8</v>
      </c>
      <c r="D364">
        <f>IF(AND(MONTH(A364)&lt;&gt;MONTH(A363),I363&gt;=3*$S$2),D363+3,D363)</f>
        <v>28</v>
      </c>
      <c r="E364">
        <f>IF(B364&lt;6,ROUNDDOWN(D364*VLOOKUP(C364,$U$1:$V$5,2,FALSE),0)*$S$3,0)</f>
        <v>150</v>
      </c>
      <c r="F364">
        <f t="shared" si="22"/>
        <v>0</v>
      </c>
      <c r="G364">
        <f t="shared" si="23"/>
        <v>0</v>
      </c>
      <c r="H364">
        <f t="shared" si="21"/>
        <v>150</v>
      </c>
      <c r="I364">
        <f>SUM($H$2:H364)</f>
        <v>24565</v>
      </c>
    </row>
    <row r="365" spans="1:9" x14ac:dyDescent="0.25">
      <c r="A365" s="1">
        <v>45290</v>
      </c>
      <c r="B365">
        <f t="shared" si="20"/>
        <v>6</v>
      </c>
      <c r="C365" t="s">
        <v>8</v>
      </c>
      <c r="D365">
        <f>IF(AND(MONTH(A365)&lt;&gt;MONTH(A364),I364&gt;=3*$S$2),D364+3,D364)</f>
        <v>28</v>
      </c>
      <c r="E365">
        <f>IF(B365&lt;6,ROUNDDOWN(D365*VLOOKUP(C365,$U$1:$V$5,2,FALSE),0)*$S$3,0)</f>
        <v>0</v>
      </c>
      <c r="F365">
        <f t="shared" si="22"/>
        <v>0</v>
      </c>
      <c r="G365">
        <f t="shared" si="23"/>
        <v>0</v>
      </c>
      <c r="H365">
        <f t="shared" si="21"/>
        <v>0</v>
      </c>
      <c r="I365">
        <f>SUM($H$2:H365)</f>
        <v>24565</v>
      </c>
    </row>
    <row r="366" spans="1:9" x14ac:dyDescent="0.25">
      <c r="A366" s="1">
        <v>45291</v>
      </c>
      <c r="B366">
        <f t="shared" si="20"/>
        <v>7</v>
      </c>
      <c r="C366" t="s">
        <v>8</v>
      </c>
      <c r="D366">
        <f>IF(AND(MONTH(A366)&lt;&gt;MONTH(A365),I365&gt;=3*$S$2),D365+3,D365)</f>
        <v>28</v>
      </c>
      <c r="E366">
        <f>IF(B366&lt;6,ROUNDDOWN(D366*VLOOKUP(C366,$U$1:$V$5,2,FALSE),0)*$S$3,0)</f>
        <v>0</v>
      </c>
      <c r="F366">
        <f t="shared" si="22"/>
        <v>420</v>
      </c>
      <c r="G366">
        <f t="shared" si="23"/>
        <v>0</v>
      </c>
      <c r="H366">
        <f t="shared" si="21"/>
        <v>-420</v>
      </c>
      <c r="I366">
        <f>SUM($H$2:H366)</f>
        <v>24145</v>
      </c>
    </row>
    <row r="367" spans="1:9" x14ac:dyDescent="0.25">
      <c r="A367" s="1">
        <v>45292</v>
      </c>
      <c r="B367">
        <f t="shared" si="20"/>
        <v>1</v>
      </c>
      <c r="C367" t="s">
        <v>8</v>
      </c>
      <c r="D367">
        <f>IF(AND(MONTH(A367)&lt;&gt;MONTH(A366),I366&gt;=3*$S$2),D366+3,D366)</f>
        <v>31</v>
      </c>
      <c r="E367">
        <f>IF(B367&lt;6,ROUNDDOWN(D367*VLOOKUP(C367,$U$1:$V$5,2,FALSE),0)*$S$3,0)</f>
        <v>180</v>
      </c>
      <c r="F367">
        <f t="shared" si="22"/>
        <v>0</v>
      </c>
      <c r="G367">
        <f t="shared" si="23"/>
        <v>2400</v>
      </c>
      <c r="H367">
        <f t="shared" si="21"/>
        <v>-2220</v>
      </c>
      <c r="I367">
        <f>SUM($H$2:H367)</f>
        <v>21925</v>
      </c>
    </row>
    <row r="368" spans="1:9" x14ac:dyDescent="0.25">
      <c r="A368" s="1">
        <v>45293</v>
      </c>
      <c r="B368">
        <f t="shared" si="20"/>
        <v>2</v>
      </c>
      <c r="C368" t="s">
        <v>8</v>
      </c>
      <c r="D368">
        <f>IF(AND(MONTH(A368)&lt;&gt;MONTH(A367),I367&gt;=3*$S$2),D367+3,D367)</f>
        <v>31</v>
      </c>
      <c r="E368">
        <f>IF(B368&lt;6,ROUNDDOWN(D368*VLOOKUP(C368,$U$1:$V$5,2,FALSE),0)*$S$3,0)</f>
        <v>180</v>
      </c>
      <c r="F368">
        <f t="shared" si="22"/>
        <v>0</v>
      </c>
      <c r="G368">
        <f t="shared" si="23"/>
        <v>0</v>
      </c>
      <c r="H368">
        <f t="shared" si="21"/>
        <v>180</v>
      </c>
      <c r="I368">
        <f>SUM($H$2:H368)</f>
        <v>22105</v>
      </c>
    </row>
    <row r="369" spans="1:9" x14ac:dyDescent="0.25">
      <c r="A369" s="1">
        <v>45294</v>
      </c>
      <c r="B369">
        <f t="shared" si="20"/>
        <v>3</v>
      </c>
      <c r="C369" t="s">
        <v>8</v>
      </c>
      <c r="D369">
        <f>IF(AND(MONTH(A369)&lt;&gt;MONTH(A368),I368&gt;=3*$S$2),D368+3,D368)</f>
        <v>31</v>
      </c>
      <c r="E369">
        <f>IF(B369&lt;6,ROUNDDOWN(D369*VLOOKUP(C369,$U$1:$V$5,2,FALSE),0)*$S$3,0)</f>
        <v>180</v>
      </c>
      <c r="F369">
        <f t="shared" si="22"/>
        <v>0</v>
      </c>
      <c r="G369">
        <f t="shared" si="23"/>
        <v>0</v>
      </c>
      <c r="H369">
        <f t="shared" si="21"/>
        <v>180</v>
      </c>
      <c r="I369">
        <f>SUM($H$2:H369)</f>
        <v>22285</v>
      </c>
    </row>
    <row r="370" spans="1:9" x14ac:dyDescent="0.25">
      <c r="A370" s="1">
        <v>45295</v>
      </c>
      <c r="B370">
        <f t="shared" si="20"/>
        <v>4</v>
      </c>
      <c r="C370" t="s">
        <v>8</v>
      </c>
      <c r="D370">
        <f>IF(AND(MONTH(A370)&lt;&gt;MONTH(A369),I369&gt;=3*$S$2),D369+3,D369)</f>
        <v>31</v>
      </c>
      <c r="E370">
        <f>IF(B370&lt;6,ROUNDDOWN(D370*VLOOKUP(C370,$U$1:$V$5,2,FALSE),0)*$S$3,0)</f>
        <v>180</v>
      </c>
      <c r="F370">
        <f t="shared" si="22"/>
        <v>0</v>
      </c>
      <c r="G370">
        <f t="shared" si="23"/>
        <v>0</v>
      </c>
      <c r="H370">
        <f t="shared" si="21"/>
        <v>180</v>
      </c>
      <c r="I370">
        <f>SUM($H$2:H370)</f>
        <v>22465</v>
      </c>
    </row>
    <row r="371" spans="1:9" x14ac:dyDescent="0.25">
      <c r="A371" s="1">
        <v>45296</v>
      </c>
      <c r="B371">
        <f t="shared" si="20"/>
        <v>5</v>
      </c>
      <c r="C371" t="s">
        <v>8</v>
      </c>
      <c r="D371">
        <f>IF(AND(MONTH(A371)&lt;&gt;MONTH(A370),I370&gt;=3*$S$2),D370+3,D370)</f>
        <v>31</v>
      </c>
      <c r="E371">
        <f>IF(B371&lt;6,ROUNDDOWN(D371*VLOOKUP(C371,$U$1:$V$5,2,FALSE),0)*$S$3,0)</f>
        <v>180</v>
      </c>
      <c r="F371">
        <f t="shared" si="22"/>
        <v>0</v>
      </c>
      <c r="G371">
        <f t="shared" si="23"/>
        <v>0</v>
      </c>
      <c r="H371">
        <f t="shared" si="21"/>
        <v>180</v>
      </c>
      <c r="I371">
        <f>SUM($H$2:H371)</f>
        <v>22645</v>
      </c>
    </row>
    <row r="372" spans="1:9" x14ac:dyDescent="0.25">
      <c r="A372" s="1">
        <v>45297</v>
      </c>
      <c r="B372">
        <f t="shared" si="20"/>
        <v>6</v>
      </c>
      <c r="C372" t="s">
        <v>8</v>
      </c>
      <c r="D372">
        <f>IF(AND(MONTH(A372)&lt;&gt;MONTH(A371),I371&gt;=3*$S$2),D371+3,D371)</f>
        <v>31</v>
      </c>
      <c r="E372">
        <f>IF(B372&lt;6,ROUNDDOWN(D372*VLOOKUP(C372,$U$1:$V$5,2,FALSE),0)*$S$3,0)</f>
        <v>0</v>
      </c>
      <c r="F372">
        <f t="shared" si="22"/>
        <v>0</v>
      </c>
      <c r="G372">
        <f t="shared" si="23"/>
        <v>0</v>
      </c>
      <c r="H372">
        <f t="shared" si="21"/>
        <v>0</v>
      </c>
      <c r="I372">
        <f>SUM($H$2:H372)</f>
        <v>22645</v>
      </c>
    </row>
    <row r="373" spans="1:9" x14ac:dyDescent="0.25">
      <c r="A373" s="1">
        <v>45298</v>
      </c>
      <c r="B373">
        <f t="shared" si="20"/>
        <v>7</v>
      </c>
      <c r="C373" t="s">
        <v>8</v>
      </c>
      <c r="D373">
        <f>IF(AND(MONTH(A373)&lt;&gt;MONTH(A372),I372&gt;=3*$S$2),D372+3,D372)</f>
        <v>31</v>
      </c>
      <c r="E373">
        <f>IF(B373&lt;6,ROUNDDOWN(D373*VLOOKUP(C373,$U$1:$V$5,2,FALSE),0)*$S$3,0)</f>
        <v>0</v>
      </c>
      <c r="F373">
        <f t="shared" si="22"/>
        <v>465</v>
      </c>
      <c r="G373">
        <f t="shared" si="23"/>
        <v>0</v>
      </c>
      <c r="H373">
        <f t="shared" si="21"/>
        <v>-465</v>
      </c>
      <c r="I373">
        <f>SUM($H$2:H373)</f>
        <v>22180</v>
      </c>
    </row>
    <row r="374" spans="1:9" x14ac:dyDescent="0.25">
      <c r="A374" s="1">
        <v>45299</v>
      </c>
      <c r="B374">
        <f t="shared" si="20"/>
        <v>1</v>
      </c>
      <c r="C374" t="s">
        <v>8</v>
      </c>
      <c r="D374">
        <f>IF(AND(MONTH(A374)&lt;&gt;MONTH(A373),I373&gt;=3*$S$2),D373+3,D373)</f>
        <v>31</v>
      </c>
      <c r="E374">
        <f>IF(B374&lt;6,ROUNDDOWN(D374*VLOOKUP(C374,$U$1:$V$5,2,FALSE),0)*$S$3,0)</f>
        <v>180</v>
      </c>
      <c r="F374">
        <f t="shared" si="22"/>
        <v>0</v>
      </c>
      <c r="G374">
        <f t="shared" si="23"/>
        <v>0</v>
      </c>
      <c r="H374">
        <f t="shared" si="21"/>
        <v>180</v>
      </c>
      <c r="I374">
        <f>SUM($H$2:H374)</f>
        <v>22360</v>
      </c>
    </row>
    <row r="375" spans="1:9" x14ac:dyDescent="0.25">
      <c r="A375" s="1">
        <v>45300</v>
      </c>
      <c r="B375">
        <f t="shared" si="20"/>
        <v>2</v>
      </c>
      <c r="C375" t="s">
        <v>8</v>
      </c>
      <c r="D375">
        <f>IF(AND(MONTH(A375)&lt;&gt;MONTH(A374),I374&gt;=3*$S$2),D374+3,D374)</f>
        <v>31</v>
      </c>
      <c r="E375">
        <f>IF(B375&lt;6,ROUNDDOWN(D375*VLOOKUP(C375,$U$1:$V$5,2,FALSE),0)*$S$3,0)</f>
        <v>180</v>
      </c>
      <c r="F375">
        <f t="shared" si="22"/>
        <v>0</v>
      </c>
      <c r="G375">
        <f t="shared" si="23"/>
        <v>0</v>
      </c>
      <c r="H375">
        <f t="shared" si="21"/>
        <v>180</v>
      </c>
      <c r="I375">
        <f>SUM($H$2:H375)</f>
        <v>22540</v>
      </c>
    </row>
    <row r="376" spans="1:9" x14ac:dyDescent="0.25">
      <c r="A376" s="1">
        <v>45301</v>
      </c>
      <c r="B376">
        <f t="shared" si="20"/>
        <v>3</v>
      </c>
      <c r="C376" t="s">
        <v>8</v>
      </c>
      <c r="D376">
        <f>IF(AND(MONTH(A376)&lt;&gt;MONTH(A375),I375&gt;=3*$S$2),D375+3,D375)</f>
        <v>31</v>
      </c>
      <c r="E376">
        <f>IF(B376&lt;6,ROUNDDOWN(D376*VLOOKUP(C376,$U$1:$V$5,2,FALSE),0)*$S$3,0)</f>
        <v>180</v>
      </c>
      <c r="F376">
        <f t="shared" si="22"/>
        <v>0</v>
      </c>
      <c r="G376">
        <f t="shared" si="23"/>
        <v>0</v>
      </c>
      <c r="H376">
        <f t="shared" si="21"/>
        <v>180</v>
      </c>
      <c r="I376">
        <f>SUM($H$2:H376)</f>
        <v>22720</v>
      </c>
    </row>
    <row r="377" spans="1:9" x14ac:dyDescent="0.25">
      <c r="A377" s="1">
        <v>45302</v>
      </c>
      <c r="B377">
        <f t="shared" si="20"/>
        <v>4</v>
      </c>
      <c r="C377" t="s">
        <v>8</v>
      </c>
      <c r="D377">
        <f>IF(AND(MONTH(A377)&lt;&gt;MONTH(A376),I376&gt;=3*$S$2),D376+3,D376)</f>
        <v>31</v>
      </c>
      <c r="E377">
        <f>IF(B377&lt;6,ROUNDDOWN(D377*VLOOKUP(C377,$U$1:$V$5,2,FALSE),0)*$S$3,0)</f>
        <v>180</v>
      </c>
      <c r="F377">
        <f t="shared" si="22"/>
        <v>0</v>
      </c>
      <c r="G377">
        <f t="shared" si="23"/>
        <v>0</v>
      </c>
      <c r="H377">
        <f t="shared" si="21"/>
        <v>180</v>
      </c>
      <c r="I377">
        <f>SUM($H$2:H377)</f>
        <v>22900</v>
      </c>
    </row>
    <row r="378" spans="1:9" x14ac:dyDescent="0.25">
      <c r="A378" s="1">
        <v>45303</v>
      </c>
      <c r="B378">
        <f t="shared" si="20"/>
        <v>5</v>
      </c>
      <c r="C378" t="s">
        <v>8</v>
      </c>
      <c r="D378">
        <f>IF(AND(MONTH(A378)&lt;&gt;MONTH(A377),I377&gt;=3*$S$2),D377+3,D377)</f>
        <v>31</v>
      </c>
      <c r="E378">
        <f>IF(B378&lt;6,ROUNDDOWN(D378*VLOOKUP(C378,$U$1:$V$5,2,FALSE),0)*$S$3,0)</f>
        <v>180</v>
      </c>
      <c r="F378">
        <f t="shared" si="22"/>
        <v>0</v>
      </c>
      <c r="G378">
        <f t="shared" si="23"/>
        <v>0</v>
      </c>
      <c r="H378">
        <f t="shared" si="21"/>
        <v>180</v>
      </c>
      <c r="I378">
        <f>SUM($H$2:H378)</f>
        <v>23080</v>
      </c>
    </row>
    <row r="379" spans="1:9" x14ac:dyDescent="0.25">
      <c r="A379" s="1">
        <v>45304</v>
      </c>
      <c r="B379">
        <f t="shared" si="20"/>
        <v>6</v>
      </c>
      <c r="C379" t="s">
        <v>8</v>
      </c>
      <c r="D379">
        <f>IF(AND(MONTH(A379)&lt;&gt;MONTH(A378),I378&gt;=3*$S$2),D378+3,D378)</f>
        <v>31</v>
      </c>
      <c r="E379">
        <f>IF(B379&lt;6,ROUNDDOWN(D379*VLOOKUP(C379,$U$1:$V$5,2,FALSE),0)*$S$3,0)</f>
        <v>0</v>
      </c>
      <c r="F379">
        <f t="shared" si="22"/>
        <v>0</v>
      </c>
      <c r="G379">
        <f t="shared" si="23"/>
        <v>0</v>
      </c>
      <c r="H379">
        <f t="shared" si="21"/>
        <v>0</v>
      </c>
      <c r="I379">
        <f>SUM($H$2:H379)</f>
        <v>23080</v>
      </c>
    </row>
    <row r="380" spans="1:9" x14ac:dyDescent="0.25">
      <c r="A380" s="1">
        <v>45305</v>
      </c>
      <c r="B380">
        <f t="shared" si="20"/>
        <v>7</v>
      </c>
      <c r="C380" t="s">
        <v>8</v>
      </c>
      <c r="D380">
        <f>IF(AND(MONTH(A380)&lt;&gt;MONTH(A379),I379&gt;=3*$S$2),D379+3,D379)</f>
        <v>31</v>
      </c>
      <c r="E380">
        <f>IF(B380&lt;6,ROUNDDOWN(D380*VLOOKUP(C380,$U$1:$V$5,2,FALSE),0)*$S$3,0)</f>
        <v>0</v>
      </c>
      <c r="F380">
        <f t="shared" si="22"/>
        <v>465</v>
      </c>
      <c r="G380">
        <f t="shared" si="23"/>
        <v>0</v>
      </c>
      <c r="H380">
        <f t="shared" si="21"/>
        <v>-465</v>
      </c>
      <c r="I380">
        <f>SUM($H$2:H380)</f>
        <v>22615</v>
      </c>
    </row>
    <row r="381" spans="1:9" x14ac:dyDescent="0.25">
      <c r="A381" s="1">
        <v>45306</v>
      </c>
      <c r="B381">
        <f t="shared" si="20"/>
        <v>1</v>
      </c>
      <c r="C381" t="s">
        <v>8</v>
      </c>
      <c r="D381">
        <f>IF(AND(MONTH(A381)&lt;&gt;MONTH(A380),I380&gt;=3*$S$2),D380+3,D380)</f>
        <v>31</v>
      </c>
      <c r="E381">
        <f>IF(B381&lt;6,ROUNDDOWN(D381*VLOOKUP(C381,$U$1:$V$5,2,FALSE),0)*$S$3,0)</f>
        <v>180</v>
      </c>
      <c r="F381">
        <f t="shared" si="22"/>
        <v>0</v>
      </c>
      <c r="G381">
        <f t="shared" si="23"/>
        <v>0</v>
      </c>
      <c r="H381">
        <f t="shared" si="21"/>
        <v>180</v>
      </c>
      <c r="I381">
        <f>SUM($H$2:H381)</f>
        <v>22795</v>
      </c>
    </row>
    <row r="382" spans="1:9" x14ac:dyDescent="0.25">
      <c r="A382" s="1">
        <v>45307</v>
      </c>
      <c r="B382">
        <f t="shared" si="20"/>
        <v>2</v>
      </c>
      <c r="C382" t="s">
        <v>8</v>
      </c>
      <c r="D382">
        <f>IF(AND(MONTH(A382)&lt;&gt;MONTH(A381),I381&gt;=3*$S$2),D381+3,D381)</f>
        <v>31</v>
      </c>
      <c r="E382">
        <f>IF(B382&lt;6,ROUNDDOWN(D382*VLOOKUP(C382,$U$1:$V$5,2,FALSE),0)*$S$3,0)</f>
        <v>180</v>
      </c>
      <c r="F382">
        <f t="shared" si="22"/>
        <v>0</v>
      </c>
      <c r="G382">
        <f t="shared" si="23"/>
        <v>0</v>
      </c>
      <c r="H382">
        <f t="shared" si="21"/>
        <v>180</v>
      </c>
      <c r="I382">
        <f>SUM($H$2:H382)</f>
        <v>22975</v>
      </c>
    </row>
    <row r="383" spans="1:9" x14ac:dyDescent="0.25">
      <c r="A383" s="1">
        <v>45308</v>
      </c>
      <c r="B383">
        <f t="shared" si="20"/>
        <v>3</v>
      </c>
      <c r="C383" t="s">
        <v>8</v>
      </c>
      <c r="D383">
        <f>IF(AND(MONTH(A383)&lt;&gt;MONTH(A382),I382&gt;=3*$S$2),D382+3,D382)</f>
        <v>31</v>
      </c>
      <c r="E383">
        <f>IF(B383&lt;6,ROUNDDOWN(D383*VLOOKUP(C383,$U$1:$V$5,2,FALSE),0)*$S$3,0)</f>
        <v>180</v>
      </c>
      <c r="F383">
        <f t="shared" si="22"/>
        <v>0</v>
      </c>
      <c r="G383">
        <f t="shared" si="23"/>
        <v>0</v>
      </c>
      <c r="H383">
        <f t="shared" si="21"/>
        <v>180</v>
      </c>
      <c r="I383">
        <f>SUM($H$2:H383)</f>
        <v>23155</v>
      </c>
    </row>
    <row r="384" spans="1:9" x14ac:dyDescent="0.25">
      <c r="A384" s="1">
        <v>45309</v>
      </c>
      <c r="B384">
        <f t="shared" si="20"/>
        <v>4</v>
      </c>
      <c r="C384" t="s">
        <v>8</v>
      </c>
      <c r="D384">
        <f>IF(AND(MONTH(A384)&lt;&gt;MONTH(A383),I383&gt;=3*$S$2),D383+3,D383)</f>
        <v>31</v>
      </c>
      <c r="E384">
        <f>IF(B384&lt;6,ROUNDDOWN(D384*VLOOKUP(C384,$U$1:$V$5,2,FALSE),0)*$S$3,0)</f>
        <v>180</v>
      </c>
      <c r="F384">
        <f t="shared" si="22"/>
        <v>0</v>
      </c>
      <c r="G384">
        <f t="shared" si="23"/>
        <v>0</v>
      </c>
      <c r="H384">
        <f t="shared" si="21"/>
        <v>180</v>
      </c>
      <c r="I384">
        <f>SUM($H$2:H384)</f>
        <v>23335</v>
      </c>
    </row>
    <row r="385" spans="1:9" x14ac:dyDescent="0.25">
      <c r="A385" s="1">
        <v>45310</v>
      </c>
      <c r="B385">
        <f t="shared" si="20"/>
        <v>5</v>
      </c>
      <c r="C385" t="s">
        <v>8</v>
      </c>
      <c r="D385">
        <f>IF(AND(MONTH(A385)&lt;&gt;MONTH(A384),I384&gt;=3*$S$2),D384+3,D384)</f>
        <v>31</v>
      </c>
      <c r="E385">
        <f>IF(B385&lt;6,ROUNDDOWN(D385*VLOOKUP(C385,$U$1:$V$5,2,FALSE),0)*$S$3,0)</f>
        <v>180</v>
      </c>
      <c r="F385">
        <f t="shared" si="22"/>
        <v>0</v>
      </c>
      <c r="G385">
        <f t="shared" si="23"/>
        <v>0</v>
      </c>
      <c r="H385">
        <f t="shared" si="21"/>
        <v>180</v>
      </c>
      <c r="I385">
        <f>SUM($H$2:H385)</f>
        <v>23515</v>
      </c>
    </row>
    <row r="386" spans="1:9" x14ac:dyDescent="0.25">
      <c r="A386" s="1">
        <v>45311</v>
      </c>
      <c r="B386">
        <f t="shared" si="20"/>
        <v>6</v>
      </c>
      <c r="C386" t="s">
        <v>8</v>
      </c>
      <c r="D386">
        <f>IF(AND(MONTH(A386)&lt;&gt;MONTH(A385),I385&gt;=3*$S$2),D385+3,D385)</f>
        <v>31</v>
      </c>
      <c r="E386">
        <f>IF(B386&lt;6,ROUNDDOWN(D386*VLOOKUP(C386,$U$1:$V$5,2,FALSE),0)*$S$3,0)</f>
        <v>0</v>
      </c>
      <c r="F386">
        <f t="shared" si="22"/>
        <v>0</v>
      </c>
      <c r="G386">
        <f t="shared" si="23"/>
        <v>0</v>
      </c>
      <c r="H386">
        <f t="shared" si="21"/>
        <v>0</v>
      </c>
      <c r="I386">
        <f>SUM($H$2:H386)</f>
        <v>23515</v>
      </c>
    </row>
    <row r="387" spans="1:9" x14ac:dyDescent="0.25">
      <c r="A387" s="1">
        <v>45312</v>
      </c>
      <c r="B387">
        <f t="shared" ref="B387:B450" si="24">WEEKDAY(A387,2)</f>
        <v>7</v>
      </c>
      <c r="C387" t="s">
        <v>8</v>
      </c>
      <c r="D387">
        <f>IF(AND(MONTH(A387)&lt;&gt;MONTH(A386),I386&gt;=3*$S$2),D386+3,D386)</f>
        <v>31</v>
      </c>
      <c r="E387">
        <f>IF(B387&lt;6,ROUNDDOWN(D387*VLOOKUP(C387,$U$1:$V$5,2,FALSE),0)*$S$3,0)</f>
        <v>0</v>
      </c>
      <c r="F387">
        <f t="shared" si="22"/>
        <v>465</v>
      </c>
      <c r="G387">
        <f t="shared" si="23"/>
        <v>0</v>
      </c>
      <c r="H387">
        <f t="shared" ref="H387:H450" si="25">E387-F387-G387</f>
        <v>-465</v>
      </c>
      <c r="I387">
        <f>SUM($H$2:H387)</f>
        <v>23050</v>
      </c>
    </row>
    <row r="388" spans="1:9" x14ac:dyDescent="0.25">
      <c r="A388" s="1">
        <v>45313</v>
      </c>
      <c r="B388">
        <f t="shared" si="24"/>
        <v>1</v>
      </c>
      <c r="C388" t="s">
        <v>8</v>
      </c>
      <c r="D388">
        <f>IF(AND(MONTH(A388)&lt;&gt;MONTH(A387),I387&gt;=3*$S$2),D387+3,D387)</f>
        <v>31</v>
      </c>
      <c r="E388">
        <f>IF(B388&lt;6,ROUNDDOWN(D388*VLOOKUP(C388,$U$1:$V$5,2,FALSE),0)*$S$3,0)</f>
        <v>180</v>
      </c>
      <c r="F388">
        <f t="shared" ref="F388:F451" si="26">IF(B388=7,$S$4*D388,0)</f>
        <v>0</v>
      </c>
      <c r="G388">
        <f t="shared" ref="G388:G451" si="27">IF(D388&gt;D387,3*$S$2,0)</f>
        <v>0</v>
      </c>
      <c r="H388">
        <f t="shared" si="25"/>
        <v>180</v>
      </c>
      <c r="I388">
        <f>SUM($H$2:H388)</f>
        <v>23230</v>
      </c>
    </row>
    <row r="389" spans="1:9" x14ac:dyDescent="0.25">
      <c r="A389" s="1">
        <v>45314</v>
      </c>
      <c r="B389">
        <f t="shared" si="24"/>
        <v>2</v>
      </c>
      <c r="C389" t="s">
        <v>8</v>
      </c>
      <c r="D389">
        <f>IF(AND(MONTH(A389)&lt;&gt;MONTH(A388),I388&gt;=3*$S$2),D388+3,D388)</f>
        <v>31</v>
      </c>
      <c r="E389">
        <f>IF(B389&lt;6,ROUNDDOWN(D389*VLOOKUP(C389,$U$1:$V$5,2,FALSE),0)*$S$3,0)</f>
        <v>180</v>
      </c>
      <c r="F389">
        <f t="shared" si="26"/>
        <v>0</v>
      </c>
      <c r="G389">
        <f t="shared" si="27"/>
        <v>0</v>
      </c>
      <c r="H389">
        <f t="shared" si="25"/>
        <v>180</v>
      </c>
      <c r="I389">
        <f>SUM($H$2:H389)</f>
        <v>23410</v>
      </c>
    </row>
    <row r="390" spans="1:9" x14ac:dyDescent="0.25">
      <c r="A390" s="1">
        <v>45315</v>
      </c>
      <c r="B390">
        <f t="shared" si="24"/>
        <v>3</v>
      </c>
      <c r="C390" t="s">
        <v>8</v>
      </c>
      <c r="D390">
        <f>IF(AND(MONTH(A390)&lt;&gt;MONTH(A389),I389&gt;=3*$S$2),D389+3,D389)</f>
        <v>31</v>
      </c>
      <c r="E390">
        <f>IF(B390&lt;6,ROUNDDOWN(D390*VLOOKUP(C390,$U$1:$V$5,2,FALSE),0)*$S$3,0)</f>
        <v>180</v>
      </c>
      <c r="F390">
        <f t="shared" si="26"/>
        <v>0</v>
      </c>
      <c r="G390">
        <f t="shared" si="27"/>
        <v>0</v>
      </c>
      <c r="H390">
        <f t="shared" si="25"/>
        <v>180</v>
      </c>
      <c r="I390">
        <f>SUM($H$2:H390)</f>
        <v>23590</v>
      </c>
    </row>
    <row r="391" spans="1:9" x14ac:dyDescent="0.25">
      <c r="A391" s="1">
        <v>45316</v>
      </c>
      <c r="B391">
        <f t="shared" si="24"/>
        <v>4</v>
      </c>
      <c r="C391" t="s">
        <v>8</v>
      </c>
      <c r="D391">
        <f>IF(AND(MONTH(A391)&lt;&gt;MONTH(A390),I390&gt;=3*$S$2),D390+3,D390)</f>
        <v>31</v>
      </c>
      <c r="E391">
        <f>IF(B391&lt;6,ROUNDDOWN(D391*VLOOKUP(C391,$U$1:$V$5,2,FALSE),0)*$S$3,0)</f>
        <v>180</v>
      </c>
      <c r="F391">
        <f t="shared" si="26"/>
        <v>0</v>
      </c>
      <c r="G391">
        <f t="shared" si="27"/>
        <v>0</v>
      </c>
      <c r="H391">
        <f t="shared" si="25"/>
        <v>180</v>
      </c>
      <c r="I391">
        <f>SUM($H$2:H391)</f>
        <v>23770</v>
      </c>
    </row>
    <row r="392" spans="1:9" x14ac:dyDescent="0.25">
      <c r="A392" s="1">
        <v>45317</v>
      </c>
      <c r="B392">
        <f t="shared" si="24"/>
        <v>5</v>
      </c>
      <c r="C392" t="s">
        <v>8</v>
      </c>
      <c r="D392">
        <f>IF(AND(MONTH(A392)&lt;&gt;MONTH(A391),I391&gt;=3*$S$2),D391+3,D391)</f>
        <v>31</v>
      </c>
      <c r="E392">
        <f>IF(B392&lt;6,ROUNDDOWN(D392*VLOOKUP(C392,$U$1:$V$5,2,FALSE),0)*$S$3,0)</f>
        <v>180</v>
      </c>
      <c r="F392">
        <f t="shared" si="26"/>
        <v>0</v>
      </c>
      <c r="G392">
        <f t="shared" si="27"/>
        <v>0</v>
      </c>
      <c r="H392">
        <f t="shared" si="25"/>
        <v>180</v>
      </c>
      <c r="I392">
        <f>SUM($H$2:H392)</f>
        <v>23950</v>
      </c>
    </row>
    <row r="393" spans="1:9" x14ac:dyDescent="0.25">
      <c r="A393" s="1">
        <v>45318</v>
      </c>
      <c r="B393">
        <f t="shared" si="24"/>
        <v>6</v>
      </c>
      <c r="C393" t="s">
        <v>8</v>
      </c>
      <c r="D393">
        <f>IF(AND(MONTH(A393)&lt;&gt;MONTH(A392),I392&gt;=3*$S$2),D392+3,D392)</f>
        <v>31</v>
      </c>
      <c r="E393">
        <f>IF(B393&lt;6,ROUNDDOWN(D393*VLOOKUP(C393,$U$1:$V$5,2,FALSE),0)*$S$3,0)</f>
        <v>0</v>
      </c>
      <c r="F393">
        <f t="shared" si="26"/>
        <v>0</v>
      </c>
      <c r="G393">
        <f t="shared" si="27"/>
        <v>0</v>
      </c>
      <c r="H393">
        <f t="shared" si="25"/>
        <v>0</v>
      </c>
      <c r="I393">
        <f>SUM($H$2:H393)</f>
        <v>23950</v>
      </c>
    </row>
    <row r="394" spans="1:9" x14ac:dyDescent="0.25">
      <c r="A394" s="1">
        <v>45319</v>
      </c>
      <c r="B394">
        <f t="shared" si="24"/>
        <v>7</v>
      </c>
      <c r="C394" t="s">
        <v>8</v>
      </c>
      <c r="D394">
        <f>IF(AND(MONTH(A394)&lt;&gt;MONTH(A393),I393&gt;=3*$S$2),D393+3,D393)</f>
        <v>31</v>
      </c>
      <c r="E394">
        <f>IF(B394&lt;6,ROUNDDOWN(D394*VLOOKUP(C394,$U$1:$V$5,2,FALSE),0)*$S$3,0)</f>
        <v>0</v>
      </c>
      <c r="F394">
        <f t="shared" si="26"/>
        <v>465</v>
      </c>
      <c r="G394">
        <f t="shared" si="27"/>
        <v>0</v>
      </c>
      <c r="H394">
        <f t="shared" si="25"/>
        <v>-465</v>
      </c>
      <c r="I394">
        <f>SUM($H$2:H394)</f>
        <v>23485</v>
      </c>
    </row>
    <row r="395" spans="1:9" x14ac:dyDescent="0.25">
      <c r="A395" s="1">
        <v>45320</v>
      </c>
      <c r="B395">
        <f t="shared" si="24"/>
        <v>1</v>
      </c>
      <c r="C395" t="s">
        <v>8</v>
      </c>
      <c r="D395">
        <f>IF(AND(MONTH(A395)&lt;&gt;MONTH(A394),I394&gt;=3*$S$2),D394+3,D394)</f>
        <v>31</v>
      </c>
      <c r="E395">
        <f>IF(B395&lt;6,ROUNDDOWN(D395*VLOOKUP(C395,$U$1:$V$5,2,FALSE),0)*$S$3,0)</f>
        <v>180</v>
      </c>
      <c r="F395">
        <f t="shared" si="26"/>
        <v>0</v>
      </c>
      <c r="G395">
        <f t="shared" si="27"/>
        <v>0</v>
      </c>
      <c r="H395">
        <f t="shared" si="25"/>
        <v>180</v>
      </c>
      <c r="I395">
        <f>SUM($H$2:H395)</f>
        <v>23665</v>
      </c>
    </row>
    <row r="396" spans="1:9" x14ac:dyDescent="0.25">
      <c r="A396" s="1">
        <v>45321</v>
      </c>
      <c r="B396">
        <f t="shared" si="24"/>
        <v>2</v>
      </c>
      <c r="C396" t="s">
        <v>8</v>
      </c>
      <c r="D396">
        <f>IF(AND(MONTH(A396)&lt;&gt;MONTH(A395),I395&gt;=3*$S$2),D395+3,D395)</f>
        <v>31</v>
      </c>
      <c r="E396">
        <f>IF(B396&lt;6,ROUNDDOWN(D396*VLOOKUP(C396,$U$1:$V$5,2,FALSE),0)*$S$3,0)</f>
        <v>180</v>
      </c>
      <c r="F396">
        <f t="shared" si="26"/>
        <v>0</v>
      </c>
      <c r="G396">
        <f t="shared" si="27"/>
        <v>0</v>
      </c>
      <c r="H396">
        <f t="shared" si="25"/>
        <v>180</v>
      </c>
      <c r="I396">
        <f>SUM($H$2:H396)</f>
        <v>23845</v>
      </c>
    </row>
    <row r="397" spans="1:9" x14ac:dyDescent="0.25">
      <c r="A397" s="1">
        <v>45322</v>
      </c>
      <c r="B397">
        <f t="shared" si="24"/>
        <v>3</v>
      </c>
      <c r="C397" t="s">
        <v>8</v>
      </c>
      <c r="D397">
        <f>IF(AND(MONTH(A397)&lt;&gt;MONTH(A396),I396&gt;=3*$S$2),D396+3,D396)</f>
        <v>31</v>
      </c>
      <c r="E397">
        <f>IF(B397&lt;6,ROUNDDOWN(D397*VLOOKUP(C397,$U$1:$V$5,2,FALSE),0)*$S$3,0)</f>
        <v>180</v>
      </c>
      <c r="F397">
        <f t="shared" si="26"/>
        <v>0</v>
      </c>
      <c r="G397">
        <f t="shared" si="27"/>
        <v>0</v>
      </c>
      <c r="H397">
        <f t="shared" si="25"/>
        <v>180</v>
      </c>
      <c r="I397">
        <f>SUM($H$2:H397)</f>
        <v>24025</v>
      </c>
    </row>
    <row r="398" spans="1:9" x14ac:dyDescent="0.25">
      <c r="A398" s="1">
        <v>45323</v>
      </c>
      <c r="B398">
        <f t="shared" si="24"/>
        <v>4</v>
      </c>
      <c r="C398" t="s">
        <v>8</v>
      </c>
      <c r="D398">
        <f>IF(AND(MONTH(A398)&lt;&gt;MONTH(A397),I397&gt;=3*$S$2),D397+3,D397)</f>
        <v>34</v>
      </c>
      <c r="E398">
        <f>IF(B398&lt;6,ROUNDDOWN(D398*VLOOKUP(C398,$U$1:$V$5,2,FALSE),0)*$S$3,0)</f>
        <v>180</v>
      </c>
      <c r="F398">
        <f t="shared" si="26"/>
        <v>0</v>
      </c>
      <c r="G398">
        <f t="shared" si="27"/>
        <v>2400</v>
      </c>
      <c r="H398">
        <f t="shared" si="25"/>
        <v>-2220</v>
      </c>
      <c r="I398">
        <f>SUM($H$2:H398)</f>
        <v>21805</v>
      </c>
    </row>
    <row r="399" spans="1:9" x14ac:dyDescent="0.25">
      <c r="A399" s="1">
        <v>45324</v>
      </c>
      <c r="B399">
        <f t="shared" si="24"/>
        <v>5</v>
      </c>
      <c r="C399" t="s">
        <v>8</v>
      </c>
      <c r="D399">
        <f>IF(AND(MONTH(A399)&lt;&gt;MONTH(A398),I398&gt;=3*$S$2),D398+3,D398)</f>
        <v>34</v>
      </c>
      <c r="E399">
        <f>IF(B399&lt;6,ROUNDDOWN(D399*VLOOKUP(C399,$U$1:$V$5,2,FALSE),0)*$S$3,0)</f>
        <v>180</v>
      </c>
      <c r="F399">
        <f t="shared" si="26"/>
        <v>0</v>
      </c>
      <c r="G399">
        <f t="shared" si="27"/>
        <v>0</v>
      </c>
      <c r="H399">
        <f t="shared" si="25"/>
        <v>180</v>
      </c>
      <c r="I399">
        <f>SUM($H$2:H399)</f>
        <v>21985</v>
      </c>
    </row>
    <row r="400" spans="1:9" x14ac:dyDescent="0.25">
      <c r="A400" s="1">
        <v>45325</v>
      </c>
      <c r="B400">
        <f t="shared" si="24"/>
        <v>6</v>
      </c>
      <c r="C400" t="s">
        <v>8</v>
      </c>
      <c r="D400">
        <f>IF(AND(MONTH(A400)&lt;&gt;MONTH(A399),I399&gt;=3*$S$2),D399+3,D399)</f>
        <v>34</v>
      </c>
      <c r="E400">
        <f>IF(B400&lt;6,ROUNDDOWN(D400*VLOOKUP(C400,$U$1:$V$5,2,FALSE),0)*$S$3,0)</f>
        <v>0</v>
      </c>
      <c r="F400">
        <f t="shared" si="26"/>
        <v>0</v>
      </c>
      <c r="G400">
        <f t="shared" si="27"/>
        <v>0</v>
      </c>
      <c r="H400">
        <f t="shared" si="25"/>
        <v>0</v>
      </c>
      <c r="I400">
        <f>SUM($H$2:H400)</f>
        <v>21985</v>
      </c>
    </row>
    <row r="401" spans="1:9" x14ac:dyDescent="0.25">
      <c r="A401" s="1">
        <v>45326</v>
      </c>
      <c r="B401">
        <f t="shared" si="24"/>
        <v>7</v>
      </c>
      <c r="C401" t="s">
        <v>8</v>
      </c>
      <c r="D401">
        <f>IF(AND(MONTH(A401)&lt;&gt;MONTH(A400),I400&gt;=3*$S$2),D400+3,D400)</f>
        <v>34</v>
      </c>
      <c r="E401">
        <f>IF(B401&lt;6,ROUNDDOWN(D401*VLOOKUP(C401,$U$1:$V$5,2,FALSE),0)*$S$3,0)</f>
        <v>0</v>
      </c>
      <c r="F401">
        <f t="shared" si="26"/>
        <v>510</v>
      </c>
      <c r="G401">
        <f t="shared" si="27"/>
        <v>0</v>
      </c>
      <c r="H401">
        <f t="shared" si="25"/>
        <v>-510</v>
      </c>
      <c r="I401">
        <f>SUM($H$2:H401)</f>
        <v>21475</v>
      </c>
    </row>
    <row r="402" spans="1:9" x14ac:dyDescent="0.25">
      <c r="A402" s="1">
        <v>45327</v>
      </c>
      <c r="B402">
        <f t="shared" si="24"/>
        <v>1</v>
      </c>
      <c r="C402" t="s">
        <v>8</v>
      </c>
      <c r="D402">
        <f>IF(AND(MONTH(A402)&lt;&gt;MONTH(A401),I401&gt;=3*$S$2),D401+3,D401)</f>
        <v>34</v>
      </c>
      <c r="E402">
        <f>IF(B402&lt;6,ROUNDDOWN(D402*VLOOKUP(C402,$U$1:$V$5,2,FALSE),0)*$S$3,0)</f>
        <v>180</v>
      </c>
      <c r="F402">
        <f t="shared" si="26"/>
        <v>0</v>
      </c>
      <c r="G402">
        <f t="shared" si="27"/>
        <v>0</v>
      </c>
      <c r="H402">
        <f t="shared" si="25"/>
        <v>180</v>
      </c>
      <c r="I402">
        <f>SUM($H$2:H402)</f>
        <v>21655</v>
      </c>
    </row>
    <row r="403" spans="1:9" x14ac:dyDescent="0.25">
      <c r="A403" s="1">
        <v>45328</v>
      </c>
      <c r="B403">
        <f t="shared" si="24"/>
        <v>2</v>
      </c>
      <c r="C403" t="s">
        <v>8</v>
      </c>
      <c r="D403">
        <f>IF(AND(MONTH(A403)&lt;&gt;MONTH(A402),I402&gt;=3*$S$2),D402+3,D402)</f>
        <v>34</v>
      </c>
      <c r="E403">
        <f>IF(B403&lt;6,ROUNDDOWN(D403*VLOOKUP(C403,$U$1:$V$5,2,FALSE),0)*$S$3,0)</f>
        <v>180</v>
      </c>
      <c r="F403">
        <f t="shared" si="26"/>
        <v>0</v>
      </c>
      <c r="G403">
        <f t="shared" si="27"/>
        <v>0</v>
      </c>
      <c r="H403">
        <f t="shared" si="25"/>
        <v>180</v>
      </c>
      <c r="I403">
        <f>SUM($H$2:H403)</f>
        <v>21835</v>
      </c>
    </row>
    <row r="404" spans="1:9" x14ac:dyDescent="0.25">
      <c r="A404" s="1">
        <v>45329</v>
      </c>
      <c r="B404">
        <f t="shared" si="24"/>
        <v>3</v>
      </c>
      <c r="C404" t="s">
        <v>8</v>
      </c>
      <c r="D404">
        <f>IF(AND(MONTH(A404)&lt;&gt;MONTH(A403),I403&gt;=3*$S$2),D403+3,D403)</f>
        <v>34</v>
      </c>
      <c r="E404">
        <f>IF(B404&lt;6,ROUNDDOWN(D404*VLOOKUP(C404,$U$1:$V$5,2,FALSE),0)*$S$3,0)</f>
        <v>180</v>
      </c>
      <c r="F404">
        <f t="shared" si="26"/>
        <v>0</v>
      </c>
      <c r="G404">
        <f t="shared" si="27"/>
        <v>0</v>
      </c>
      <c r="H404">
        <f t="shared" si="25"/>
        <v>180</v>
      </c>
      <c r="I404">
        <f>SUM($H$2:H404)</f>
        <v>22015</v>
      </c>
    </row>
    <row r="405" spans="1:9" x14ac:dyDescent="0.25">
      <c r="A405" s="1">
        <v>45330</v>
      </c>
      <c r="B405">
        <f t="shared" si="24"/>
        <v>4</v>
      </c>
      <c r="C405" t="s">
        <v>8</v>
      </c>
      <c r="D405">
        <f>IF(AND(MONTH(A405)&lt;&gt;MONTH(A404),I404&gt;=3*$S$2),D404+3,D404)</f>
        <v>34</v>
      </c>
      <c r="E405">
        <f>IF(B405&lt;6,ROUNDDOWN(D405*VLOOKUP(C405,$U$1:$V$5,2,FALSE),0)*$S$3,0)</f>
        <v>180</v>
      </c>
      <c r="F405">
        <f t="shared" si="26"/>
        <v>0</v>
      </c>
      <c r="G405">
        <f t="shared" si="27"/>
        <v>0</v>
      </c>
      <c r="H405">
        <f t="shared" si="25"/>
        <v>180</v>
      </c>
      <c r="I405">
        <f>SUM($H$2:H405)</f>
        <v>22195</v>
      </c>
    </row>
    <row r="406" spans="1:9" x14ac:dyDescent="0.25">
      <c r="A406" s="1">
        <v>45331</v>
      </c>
      <c r="B406">
        <f t="shared" si="24"/>
        <v>5</v>
      </c>
      <c r="C406" t="s">
        <v>8</v>
      </c>
      <c r="D406">
        <f>IF(AND(MONTH(A406)&lt;&gt;MONTH(A405),I405&gt;=3*$S$2),D405+3,D405)</f>
        <v>34</v>
      </c>
      <c r="E406">
        <f>IF(B406&lt;6,ROUNDDOWN(D406*VLOOKUP(C406,$U$1:$V$5,2,FALSE),0)*$S$3,0)</f>
        <v>180</v>
      </c>
      <c r="F406">
        <f t="shared" si="26"/>
        <v>0</v>
      </c>
      <c r="G406">
        <f t="shared" si="27"/>
        <v>0</v>
      </c>
      <c r="H406">
        <f t="shared" si="25"/>
        <v>180</v>
      </c>
      <c r="I406">
        <f>SUM($H$2:H406)</f>
        <v>22375</v>
      </c>
    </row>
    <row r="407" spans="1:9" x14ac:dyDescent="0.25">
      <c r="A407" s="1">
        <v>45332</v>
      </c>
      <c r="B407">
        <f t="shared" si="24"/>
        <v>6</v>
      </c>
      <c r="C407" t="s">
        <v>8</v>
      </c>
      <c r="D407">
        <f>IF(AND(MONTH(A407)&lt;&gt;MONTH(A406),I406&gt;=3*$S$2),D406+3,D406)</f>
        <v>34</v>
      </c>
      <c r="E407">
        <f>IF(B407&lt;6,ROUNDDOWN(D407*VLOOKUP(C407,$U$1:$V$5,2,FALSE),0)*$S$3,0)</f>
        <v>0</v>
      </c>
      <c r="F407">
        <f t="shared" si="26"/>
        <v>0</v>
      </c>
      <c r="G407">
        <f t="shared" si="27"/>
        <v>0</v>
      </c>
      <c r="H407">
        <f t="shared" si="25"/>
        <v>0</v>
      </c>
      <c r="I407">
        <f>SUM($H$2:H407)</f>
        <v>22375</v>
      </c>
    </row>
    <row r="408" spans="1:9" x14ac:dyDescent="0.25">
      <c r="A408" s="1">
        <v>45333</v>
      </c>
      <c r="B408">
        <f t="shared" si="24"/>
        <v>7</v>
      </c>
      <c r="C408" t="s">
        <v>8</v>
      </c>
      <c r="D408">
        <f>IF(AND(MONTH(A408)&lt;&gt;MONTH(A407),I407&gt;=3*$S$2),D407+3,D407)</f>
        <v>34</v>
      </c>
      <c r="E408">
        <f>IF(B408&lt;6,ROUNDDOWN(D408*VLOOKUP(C408,$U$1:$V$5,2,FALSE),0)*$S$3,0)</f>
        <v>0</v>
      </c>
      <c r="F408">
        <f t="shared" si="26"/>
        <v>510</v>
      </c>
      <c r="G408">
        <f t="shared" si="27"/>
        <v>0</v>
      </c>
      <c r="H408">
        <f t="shared" si="25"/>
        <v>-510</v>
      </c>
      <c r="I408">
        <f>SUM($H$2:H408)</f>
        <v>21865</v>
      </c>
    </row>
    <row r="409" spans="1:9" x14ac:dyDescent="0.25">
      <c r="A409" s="1">
        <v>45334</v>
      </c>
      <c r="B409">
        <f t="shared" si="24"/>
        <v>1</v>
      </c>
      <c r="C409" t="s">
        <v>8</v>
      </c>
      <c r="D409">
        <f>IF(AND(MONTH(A409)&lt;&gt;MONTH(A408),I408&gt;=3*$S$2),D408+3,D408)</f>
        <v>34</v>
      </c>
      <c r="E409">
        <f>IF(B409&lt;6,ROUNDDOWN(D409*VLOOKUP(C409,$U$1:$V$5,2,FALSE),0)*$S$3,0)</f>
        <v>180</v>
      </c>
      <c r="F409">
        <f t="shared" si="26"/>
        <v>0</v>
      </c>
      <c r="G409">
        <f t="shared" si="27"/>
        <v>0</v>
      </c>
      <c r="H409">
        <f t="shared" si="25"/>
        <v>180</v>
      </c>
      <c r="I409">
        <f>SUM($H$2:H409)</f>
        <v>22045</v>
      </c>
    </row>
    <row r="410" spans="1:9" x14ac:dyDescent="0.25">
      <c r="A410" s="1">
        <v>45335</v>
      </c>
      <c r="B410">
        <f t="shared" si="24"/>
        <v>2</v>
      </c>
      <c r="C410" t="s">
        <v>8</v>
      </c>
      <c r="D410">
        <f>IF(AND(MONTH(A410)&lt;&gt;MONTH(A409),I409&gt;=3*$S$2),D409+3,D409)</f>
        <v>34</v>
      </c>
      <c r="E410">
        <f>IF(B410&lt;6,ROUNDDOWN(D410*VLOOKUP(C410,$U$1:$V$5,2,FALSE),0)*$S$3,0)</f>
        <v>180</v>
      </c>
      <c r="F410">
        <f t="shared" si="26"/>
        <v>0</v>
      </c>
      <c r="G410">
        <f t="shared" si="27"/>
        <v>0</v>
      </c>
      <c r="H410">
        <f t="shared" si="25"/>
        <v>180</v>
      </c>
      <c r="I410">
        <f>SUM($H$2:H410)</f>
        <v>22225</v>
      </c>
    </row>
    <row r="411" spans="1:9" x14ac:dyDescent="0.25">
      <c r="A411" s="1">
        <v>45336</v>
      </c>
      <c r="B411">
        <f t="shared" si="24"/>
        <v>3</v>
      </c>
      <c r="C411" t="s">
        <v>8</v>
      </c>
      <c r="D411">
        <f>IF(AND(MONTH(A411)&lt;&gt;MONTH(A410),I410&gt;=3*$S$2),D410+3,D410)</f>
        <v>34</v>
      </c>
      <c r="E411">
        <f>IF(B411&lt;6,ROUNDDOWN(D411*VLOOKUP(C411,$U$1:$V$5,2,FALSE),0)*$S$3,0)</f>
        <v>180</v>
      </c>
      <c r="F411">
        <f t="shared" si="26"/>
        <v>0</v>
      </c>
      <c r="G411">
        <f t="shared" si="27"/>
        <v>0</v>
      </c>
      <c r="H411">
        <f t="shared" si="25"/>
        <v>180</v>
      </c>
      <c r="I411">
        <f>SUM($H$2:H411)</f>
        <v>22405</v>
      </c>
    </row>
    <row r="412" spans="1:9" x14ac:dyDescent="0.25">
      <c r="A412" s="1">
        <v>45337</v>
      </c>
      <c r="B412">
        <f t="shared" si="24"/>
        <v>4</v>
      </c>
      <c r="C412" t="s">
        <v>8</v>
      </c>
      <c r="D412">
        <f>IF(AND(MONTH(A412)&lt;&gt;MONTH(A411),I411&gt;=3*$S$2),D411+3,D411)</f>
        <v>34</v>
      </c>
      <c r="E412">
        <f>IF(B412&lt;6,ROUNDDOWN(D412*VLOOKUP(C412,$U$1:$V$5,2,FALSE),0)*$S$3,0)</f>
        <v>180</v>
      </c>
      <c r="F412">
        <f t="shared" si="26"/>
        <v>0</v>
      </c>
      <c r="G412">
        <f t="shared" si="27"/>
        <v>0</v>
      </c>
      <c r="H412">
        <f t="shared" si="25"/>
        <v>180</v>
      </c>
      <c r="I412">
        <f>SUM($H$2:H412)</f>
        <v>22585</v>
      </c>
    </row>
    <row r="413" spans="1:9" x14ac:dyDescent="0.25">
      <c r="A413" s="1">
        <v>45338</v>
      </c>
      <c r="B413">
        <f t="shared" si="24"/>
        <v>5</v>
      </c>
      <c r="C413" t="s">
        <v>8</v>
      </c>
      <c r="D413">
        <f>IF(AND(MONTH(A413)&lt;&gt;MONTH(A412),I412&gt;=3*$S$2),D412+3,D412)</f>
        <v>34</v>
      </c>
      <c r="E413">
        <f>IF(B413&lt;6,ROUNDDOWN(D413*VLOOKUP(C413,$U$1:$V$5,2,FALSE),0)*$S$3,0)</f>
        <v>180</v>
      </c>
      <c r="F413">
        <f t="shared" si="26"/>
        <v>0</v>
      </c>
      <c r="G413">
        <f t="shared" si="27"/>
        <v>0</v>
      </c>
      <c r="H413">
        <f t="shared" si="25"/>
        <v>180</v>
      </c>
      <c r="I413">
        <f>SUM($H$2:H413)</f>
        <v>22765</v>
      </c>
    </row>
    <row r="414" spans="1:9" x14ac:dyDescent="0.25">
      <c r="A414" s="1">
        <v>45339</v>
      </c>
      <c r="B414">
        <f t="shared" si="24"/>
        <v>6</v>
      </c>
      <c r="C414" t="s">
        <v>8</v>
      </c>
      <c r="D414">
        <f>IF(AND(MONTH(A414)&lt;&gt;MONTH(A413),I413&gt;=3*$S$2),D413+3,D413)</f>
        <v>34</v>
      </c>
      <c r="E414">
        <f>IF(B414&lt;6,ROUNDDOWN(D414*VLOOKUP(C414,$U$1:$V$5,2,FALSE),0)*$S$3,0)</f>
        <v>0</v>
      </c>
      <c r="F414">
        <f t="shared" si="26"/>
        <v>0</v>
      </c>
      <c r="G414">
        <f t="shared" si="27"/>
        <v>0</v>
      </c>
      <c r="H414">
        <f t="shared" si="25"/>
        <v>0</v>
      </c>
      <c r="I414">
        <f>SUM($H$2:H414)</f>
        <v>22765</v>
      </c>
    </row>
    <row r="415" spans="1:9" x14ac:dyDescent="0.25">
      <c r="A415" s="1">
        <v>45340</v>
      </c>
      <c r="B415">
        <f t="shared" si="24"/>
        <v>7</v>
      </c>
      <c r="C415" t="s">
        <v>8</v>
      </c>
      <c r="D415">
        <f>IF(AND(MONTH(A415)&lt;&gt;MONTH(A414),I414&gt;=3*$S$2),D414+3,D414)</f>
        <v>34</v>
      </c>
      <c r="E415">
        <f>IF(B415&lt;6,ROUNDDOWN(D415*VLOOKUP(C415,$U$1:$V$5,2,FALSE),0)*$S$3,0)</f>
        <v>0</v>
      </c>
      <c r="F415">
        <f t="shared" si="26"/>
        <v>510</v>
      </c>
      <c r="G415">
        <f t="shared" si="27"/>
        <v>0</v>
      </c>
      <c r="H415">
        <f t="shared" si="25"/>
        <v>-510</v>
      </c>
      <c r="I415">
        <f>SUM($H$2:H415)</f>
        <v>22255</v>
      </c>
    </row>
    <row r="416" spans="1:9" x14ac:dyDescent="0.25">
      <c r="A416" s="1">
        <v>45341</v>
      </c>
      <c r="B416">
        <f t="shared" si="24"/>
        <v>1</v>
      </c>
      <c r="C416" t="s">
        <v>8</v>
      </c>
      <c r="D416">
        <f>IF(AND(MONTH(A416)&lt;&gt;MONTH(A415),I415&gt;=3*$S$2),D415+3,D415)</f>
        <v>34</v>
      </c>
      <c r="E416">
        <f>IF(B416&lt;6,ROUNDDOWN(D416*VLOOKUP(C416,$U$1:$V$5,2,FALSE),0)*$S$3,0)</f>
        <v>180</v>
      </c>
      <c r="F416">
        <f t="shared" si="26"/>
        <v>0</v>
      </c>
      <c r="G416">
        <f t="shared" si="27"/>
        <v>0</v>
      </c>
      <c r="H416">
        <f t="shared" si="25"/>
        <v>180</v>
      </c>
      <c r="I416">
        <f>SUM($H$2:H416)</f>
        <v>22435</v>
      </c>
    </row>
    <row r="417" spans="1:9" x14ac:dyDescent="0.25">
      <c r="A417" s="1">
        <v>45342</v>
      </c>
      <c r="B417">
        <f t="shared" si="24"/>
        <v>2</v>
      </c>
      <c r="C417" t="s">
        <v>8</v>
      </c>
      <c r="D417">
        <f>IF(AND(MONTH(A417)&lt;&gt;MONTH(A416),I416&gt;=3*$S$2),D416+3,D416)</f>
        <v>34</v>
      </c>
      <c r="E417">
        <f>IF(B417&lt;6,ROUNDDOWN(D417*VLOOKUP(C417,$U$1:$V$5,2,FALSE),0)*$S$3,0)</f>
        <v>180</v>
      </c>
      <c r="F417">
        <f t="shared" si="26"/>
        <v>0</v>
      </c>
      <c r="G417">
        <f t="shared" si="27"/>
        <v>0</v>
      </c>
      <c r="H417">
        <f t="shared" si="25"/>
        <v>180</v>
      </c>
      <c r="I417">
        <f>SUM($H$2:H417)</f>
        <v>22615</v>
      </c>
    </row>
    <row r="418" spans="1:9" x14ac:dyDescent="0.25">
      <c r="A418" s="1">
        <v>45343</v>
      </c>
      <c r="B418">
        <f t="shared" si="24"/>
        <v>3</v>
      </c>
      <c r="C418" t="s">
        <v>8</v>
      </c>
      <c r="D418">
        <f>IF(AND(MONTH(A418)&lt;&gt;MONTH(A417),I417&gt;=3*$S$2),D417+3,D417)</f>
        <v>34</v>
      </c>
      <c r="E418">
        <f>IF(B418&lt;6,ROUNDDOWN(D418*VLOOKUP(C418,$U$1:$V$5,2,FALSE),0)*$S$3,0)</f>
        <v>180</v>
      </c>
      <c r="F418">
        <f t="shared" si="26"/>
        <v>0</v>
      </c>
      <c r="G418">
        <f t="shared" si="27"/>
        <v>0</v>
      </c>
      <c r="H418">
        <f t="shared" si="25"/>
        <v>180</v>
      </c>
      <c r="I418">
        <f>SUM($H$2:H418)</f>
        <v>22795</v>
      </c>
    </row>
    <row r="419" spans="1:9" x14ac:dyDescent="0.25">
      <c r="A419" s="1">
        <v>45344</v>
      </c>
      <c r="B419">
        <f t="shared" si="24"/>
        <v>4</v>
      </c>
      <c r="C419" t="s">
        <v>8</v>
      </c>
      <c r="D419">
        <f>IF(AND(MONTH(A419)&lt;&gt;MONTH(A418),I418&gt;=3*$S$2),D418+3,D418)</f>
        <v>34</v>
      </c>
      <c r="E419">
        <f>IF(B419&lt;6,ROUNDDOWN(D419*VLOOKUP(C419,$U$1:$V$5,2,FALSE),0)*$S$3,0)</f>
        <v>180</v>
      </c>
      <c r="F419">
        <f t="shared" si="26"/>
        <v>0</v>
      </c>
      <c r="G419">
        <f t="shared" si="27"/>
        <v>0</v>
      </c>
      <c r="H419">
        <f t="shared" si="25"/>
        <v>180</v>
      </c>
      <c r="I419">
        <f>SUM($H$2:H419)</f>
        <v>22975</v>
      </c>
    </row>
    <row r="420" spans="1:9" x14ac:dyDescent="0.25">
      <c r="A420" s="1">
        <v>45345</v>
      </c>
      <c r="B420">
        <f t="shared" si="24"/>
        <v>5</v>
      </c>
      <c r="C420" t="s">
        <v>8</v>
      </c>
      <c r="D420">
        <f>IF(AND(MONTH(A420)&lt;&gt;MONTH(A419),I419&gt;=3*$S$2),D419+3,D419)</f>
        <v>34</v>
      </c>
      <c r="E420">
        <f>IF(B420&lt;6,ROUNDDOWN(D420*VLOOKUP(C420,$U$1:$V$5,2,FALSE),0)*$S$3,0)</f>
        <v>180</v>
      </c>
      <c r="F420">
        <f t="shared" si="26"/>
        <v>0</v>
      </c>
      <c r="G420">
        <f t="shared" si="27"/>
        <v>0</v>
      </c>
      <c r="H420">
        <f t="shared" si="25"/>
        <v>180</v>
      </c>
      <c r="I420">
        <f>SUM($H$2:H420)</f>
        <v>23155</v>
      </c>
    </row>
    <row r="421" spans="1:9" x14ac:dyDescent="0.25">
      <c r="A421" s="1">
        <v>45346</v>
      </c>
      <c r="B421">
        <f t="shared" si="24"/>
        <v>6</v>
      </c>
      <c r="C421" t="s">
        <v>8</v>
      </c>
      <c r="D421">
        <f>IF(AND(MONTH(A421)&lt;&gt;MONTH(A420),I420&gt;=3*$S$2),D420+3,D420)</f>
        <v>34</v>
      </c>
      <c r="E421">
        <f>IF(B421&lt;6,ROUNDDOWN(D421*VLOOKUP(C421,$U$1:$V$5,2,FALSE),0)*$S$3,0)</f>
        <v>0</v>
      </c>
      <c r="F421">
        <f t="shared" si="26"/>
        <v>0</v>
      </c>
      <c r="G421">
        <f t="shared" si="27"/>
        <v>0</v>
      </c>
      <c r="H421">
        <f t="shared" si="25"/>
        <v>0</v>
      </c>
      <c r="I421">
        <f>SUM($H$2:H421)</f>
        <v>23155</v>
      </c>
    </row>
    <row r="422" spans="1:9" x14ac:dyDescent="0.25">
      <c r="A422" s="1">
        <v>45347</v>
      </c>
      <c r="B422">
        <f t="shared" si="24"/>
        <v>7</v>
      </c>
      <c r="C422" t="s">
        <v>8</v>
      </c>
      <c r="D422">
        <f>IF(AND(MONTH(A422)&lt;&gt;MONTH(A421),I421&gt;=3*$S$2),D421+3,D421)</f>
        <v>34</v>
      </c>
      <c r="E422">
        <f>IF(B422&lt;6,ROUNDDOWN(D422*VLOOKUP(C422,$U$1:$V$5,2,FALSE),0)*$S$3,0)</f>
        <v>0</v>
      </c>
      <c r="F422">
        <f t="shared" si="26"/>
        <v>510</v>
      </c>
      <c r="G422">
        <f t="shared" si="27"/>
        <v>0</v>
      </c>
      <c r="H422">
        <f t="shared" si="25"/>
        <v>-510</v>
      </c>
      <c r="I422">
        <f>SUM($H$2:H422)</f>
        <v>22645</v>
      </c>
    </row>
    <row r="423" spans="1:9" x14ac:dyDescent="0.25">
      <c r="A423" s="1">
        <v>45348</v>
      </c>
      <c r="B423">
        <f t="shared" si="24"/>
        <v>1</v>
      </c>
      <c r="C423" t="s">
        <v>8</v>
      </c>
      <c r="D423">
        <f>IF(AND(MONTH(A423)&lt;&gt;MONTH(A422),I422&gt;=3*$S$2),D422+3,D422)</f>
        <v>34</v>
      </c>
      <c r="E423">
        <f>IF(B423&lt;6,ROUNDDOWN(D423*VLOOKUP(C423,$U$1:$V$5,2,FALSE),0)*$S$3,0)</f>
        <v>180</v>
      </c>
      <c r="F423">
        <f t="shared" si="26"/>
        <v>0</v>
      </c>
      <c r="G423">
        <f t="shared" si="27"/>
        <v>0</v>
      </c>
      <c r="H423">
        <f t="shared" si="25"/>
        <v>180</v>
      </c>
      <c r="I423">
        <f>SUM($H$2:H423)</f>
        <v>22825</v>
      </c>
    </row>
    <row r="424" spans="1:9" x14ac:dyDescent="0.25">
      <c r="A424" s="1">
        <v>45349</v>
      </c>
      <c r="B424">
        <f t="shared" si="24"/>
        <v>2</v>
      </c>
      <c r="C424" t="s">
        <v>8</v>
      </c>
      <c r="D424">
        <f>IF(AND(MONTH(A424)&lt;&gt;MONTH(A423),I423&gt;=3*$S$2),D423+3,D423)</f>
        <v>34</v>
      </c>
      <c r="E424">
        <f>IF(B424&lt;6,ROUNDDOWN(D424*VLOOKUP(C424,$U$1:$V$5,2,FALSE),0)*$S$3,0)</f>
        <v>180</v>
      </c>
      <c r="F424">
        <f t="shared" si="26"/>
        <v>0</v>
      </c>
      <c r="G424">
        <f t="shared" si="27"/>
        <v>0</v>
      </c>
      <c r="H424">
        <f t="shared" si="25"/>
        <v>180</v>
      </c>
      <c r="I424">
        <f>SUM($H$2:H424)</f>
        <v>23005</v>
      </c>
    </row>
    <row r="425" spans="1:9" x14ac:dyDescent="0.25">
      <c r="A425" s="1">
        <v>45350</v>
      </c>
      <c r="B425">
        <f t="shared" si="24"/>
        <v>3</v>
      </c>
      <c r="C425" t="s">
        <v>8</v>
      </c>
      <c r="D425">
        <f>IF(AND(MONTH(A425)&lt;&gt;MONTH(A424),I424&gt;=3*$S$2),D424+3,D424)</f>
        <v>34</v>
      </c>
      <c r="E425">
        <f>IF(B425&lt;6,ROUNDDOWN(D425*VLOOKUP(C425,$U$1:$V$5,2,FALSE),0)*$S$3,0)</f>
        <v>180</v>
      </c>
      <c r="F425">
        <f t="shared" si="26"/>
        <v>0</v>
      </c>
      <c r="G425">
        <f t="shared" si="27"/>
        <v>0</v>
      </c>
      <c r="H425">
        <f t="shared" si="25"/>
        <v>180</v>
      </c>
      <c r="I425">
        <f>SUM($H$2:H425)</f>
        <v>23185</v>
      </c>
    </row>
    <row r="426" spans="1:9" x14ac:dyDescent="0.25">
      <c r="A426" s="1">
        <v>45351</v>
      </c>
      <c r="B426">
        <f t="shared" si="24"/>
        <v>4</v>
      </c>
      <c r="C426" t="s">
        <v>8</v>
      </c>
      <c r="D426">
        <f>IF(AND(MONTH(A426)&lt;&gt;MONTH(A425),I425&gt;=3*$S$2),D425+3,D425)</f>
        <v>34</v>
      </c>
      <c r="E426">
        <f>IF(B426&lt;6,ROUNDDOWN(D426*VLOOKUP(C426,$U$1:$V$5,2,FALSE),0)*$S$3,0)</f>
        <v>180</v>
      </c>
      <c r="F426">
        <f t="shared" si="26"/>
        <v>0</v>
      </c>
      <c r="G426">
        <f t="shared" si="27"/>
        <v>0</v>
      </c>
      <c r="H426">
        <f t="shared" si="25"/>
        <v>180</v>
      </c>
      <c r="I426">
        <f>SUM($H$2:H426)</f>
        <v>23365</v>
      </c>
    </row>
    <row r="427" spans="1:9" x14ac:dyDescent="0.25">
      <c r="A427" s="1">
        <v>45352</v>
      </c>
      <c r="B427">
        <f t="shared" si="24"/>
        <v>5</v>
      </c>
      <c r="C427" t="s">
        <v>8</v>
      </c>
      <c r="D427">
        <f>IF(AND(MONTH(A427)&lt;&gt;MONTH(A426),I426&gt;=3*$S$2),D426+3,D426)</f>
        <v>37</v>
      </c>
      <c r="E427">
        <f>IF(B427&lt;6,ROUNDDOWN(D427*VLOOKUP(C427,$U$1:$V$5,2,FALSE),0)*$S$3,0)</f>
        <v>210</v>
      </c>
      <c r="F427">
        <f t="shared" si="26"/>
        <v>0</v>
      </c>
      <c r="G427">
        <f t="shared" si="27"/>
        <v>2400</v>
      </c>
      <c r="H427">
        <f t="shared" si="25"/>
        <v>-2190</v>
      </c>
      <c r="I427">
        <f>SUM($H$2:H427)</f>
        <v>21175</v>
      </c>
    </row>
    <row r="428" spans="1:9" x14ac:dyDescent="0.25">
      <c r="A428" s="1">
        <v>45353</v>
      </c>
      <c r="B428">
        <f t="shared" si="24"/>
        <v>6</v>
      </c>
      <c r="C428" t="s">
        <v>8</v>
      </c>
      <c r="D428">
        <f>IF(AND(MONTH(A428)&lt;&gt;MONTH(A427),I427&gt;=3*$S$2),D427+3,D427)</f>
        <v>37</v>
      </c>
      <c r="E428">
        <f>IF(B428&lt;6,ROUNDDOWN(D428*VLOOKUP(C428,$U$1:$V$5,2,FALSE),0)*$S$3,0)</f>
        <v>0</v>
      </c>
      <c r="F428">
        <f t="shared" si="26"/>
        <v>0</v>
      </c>
      <c r="G428">
        <f t="shared" si="27"/>
        <v>0</v>
      </c>
      <c r="H428">
        <f t="shared" si="25"/>
        <v>0</v>
      </c>
      <c r="I428">
        <f>SUM($H$2:H428)</f>
        <v>21175</v>
      </c>
    </row>
    <row r="429" spans="1:9" x14ac:dyDescent="0.25">
      <c r="A429" s="1">
        <v>45354</v>
      </c>
      <c r="B429">
        <f t="shared" si="24"/>
        <v>7</v>
      </c>
      <c r="C429" t="s">
        <v>8</v>
      </c>
      <c r="D429">
        <f>IF(AND(MONTH(A429)&lt;&gt;MONTH(A428),I428&gt;=3*$S$2),D428+3,D428)</f>
        <v>37</v>
      </c>
      <c r="E429">
        <f>IF(B429&lt;6,ROUNDDOWN(D429*VLOOKUP(C429,$U$1:$V$5,2,FALSE),0)*$S$3,0)</f>
        <v>0</v>
      </c>
      <c r="F429">
        <f t="shared" si="26"/>
        <v>555</v>
      </c>
      <c r="G429">
        <f t="shared" si="27"/>
        <v>0</v>
      </c>
      <c r="H429">
        <f t="shared" si="25"/>
        <v>-555</v>
      </c>
      <c r="I429">
        <f>SUM($H$2:H429)</f>
        <v>20620</v>
      </c>
    </row>
    <row r="430" spans="1:9" x14ac:dyDescent="0.25">
      <c r="A430" s="1">
        <v>45355</v>
      </c>
      <c r="B430">
        <f t="shared" si="24"/>
        <v>1</v>
      </c>
      <c r="C430" t="s">
        <v>8</v>
      </c>
      <c r="D430">
        <f>IF(AND(MONTH(A430)&lt;&gt;MONTH(A429),I429&gt;=3*$S$2),D429+3,D429)</f>
        <v>37</v>
      </c>
      <c r="E430">
        <f>IF(B430&lt;6,ROUNDDOWN(D430*VLOOKUP(C430,$U$1:$V$5,2,FALSE),0)*$S$3,0)</f>
        <v>210</v>
      </c>
      <c r="F430">
        <f t="shared" si="26"/>
        <v>0</v>
      </c>
      <c r="G430">
        <f t="shared" si="27"/>
        <v>0</v>
      </c>
      <c r="H430">
        <f t="shared" si="25"/>
        <v>210</v>
      </c>
      <c r="I430">
        <f>SUM($H$2:H430)</f>
        <v>20830</v>
      </c>
    </row>
    <row r="431" spans="1:9" x14ac:dyDescent="0.25">
      <c r="A431" s="1">
        <v>45356</v>
      </c>
      <c r="B431">
        <f t="shared" si="24"/>
        <v>2</v>
      </c>
      <c r="C431" t="s">
        <v>8</v>
      </c>
      <c r="D431">
        <f>IF(AND(MONTH(A431)&lt;&gt;MONTH(A430),I430&gt;=3*$S$2),D430+3,D430)</f>
        <v>37</v>
      </c>
      <c r="E431">
        <f>IF(B431&lt;6,ROUNDDOWN(D431*VLOOKUP(C431,$U$1:$V$5,2,FALSE),0)*$S$3,0)</f>
        <v>210</v>
      </c>
      <c r="F431">
        <f t="shared" si="26"/>
        <v>0</v>
      </c>
      <c r="G431">
        <f t="shared" si="27"/>
        <v>0</v>
      </c>
      <c r="H431">
        <f t="shared" si="25"/>
        <v>210</v>
      </c>
      <c r="I431">
        <f>SUM($H$2:H431)</f>
        <v>21040</v>
      </c>
    </row>
    <row r="432" spans="1:9" x14ac:dyDescent="0.25">
      <c r="A432" s="1">
        <v>45357</v>
      </c>
      <c r="B432">
        <f t="shared" si="24"/>
        <v>3</v>
      </c>
      <c r="C432" t="s">
        <v>8</v>
      </c>
      <c r="D432">
        <f>IF(AND(MONTH(A432)&lt;&gt;MONTH(A431),I431&gt;=3*$S$2),D431+3,D431)</f>
        <v>37</v>
      </c>
      <c r="E432">
        <f>IF(B432&lt;6,ROUNDDOWN(D432*VLOOKUP(C432,$U$1:$V$5,2,FALSE),0)*$S$3,0)</f>
        <v>210</v>
      </c>
      <c r="F432">
        <f t="shared" si="26"/>
        <v>0</v>
      </c>
      <c r="G432">
        <f t="shared" si="27"/>
        <v>0</v>
      </c>
      <c r="H432">
        <f t="shared" si="25"/>
        <v>210</v>
      </c>
      <c r="I432">
        <f>SUM($H$2:H432)</f>
        <v>21250</v>
      </c>
    </row>
    <row r="433" spans="1:9" x14ac:dyDescent="0.25">
      <c r="A433" s="1">
        <v>45358</v>
      </c>
      <c r="B433">
        <f t="shared" si="24"/>
        <v>4</v>
      </c>
      <c r="C433" t="s">
        <v>8</v>
      </c>
      <c r="D433">
        <f>IF(AND(MONTH(A433)&lt;&gt;MONTH(A432),I432&gt;=3*$S$2),D432+3,D432)</f>
        <v>37</v>
      </c>
      <c r="E433">
        <f>IF(B433&lt;6,ROUNDDOWN(D433*VLOOKUP(C433,$U$1:$V$5,2,FALSE),0)*$S$3,0)</f>
        <v>210</v>
      </c>
      <c r="F433">
        <f t="shared" si="26"/>
        <v>0</v>
      </c>
      <c r="G433">
        <f t="shared" si="27"/>
        <v>0</v>
      </c>
      <c r="H433">
        <f t="shared" si="25"/>
        <v>210</v>
      </c>
      <c r="I433">
        <f>SUM($H$2:H433)</f>
        <v>21460</v>
      </c>
    </row>
    <row r="434" spans="1:9" x14ac:dyDescent="0.25">
      <c r="A434" s="1">
        <v>45359</v>
      </c>
      <c r="B434">
        <f t="shared" si="24"/>
        <v>5</v>
      </c>
      <c r="C434" t="s">
        <v>8</v>
      </c>
      <c r="D434">
        <f>IF(AND(MONTH(A434)&lt;&gt;MONTH(A433),I433&gt;=3*$S$2),D433+3,D433)</f>
        <v>37</v>
      </c>
      <c r="E434">
        <f>IF(B434&lt;6,ROUNDDOWN(D434*VLOOKUP(C434,$U$1:$V$5,2,FALSE),0)*$S$3,0)</f>
        <v>210</v>
      </c>
      <c r="F434">
        <f t="shared" si="26"/>
        <v>0</v>
      </c>
      <c r="G434">
        <f t="shared" si="27"/>
        <v>0</v>
      </c>
      <c r="H434">
        <f t="shared" si="25"/>
        <v>210</v>
      </c>
      <c r="I434">
        <f>SUM($H$2:H434)</f>
        <v>21670</v>
      </c>
    </row>
    <row r="435" spans="1:9" x14ac:dyDescent="0.25">
      <c r="A435" s="1">
        <v>45360</v>
      </c>
      <c r="B435">
        <f t="shared" si="24"/>
        <v>6</v>
      </c>
      <c r="C435" t="s">
        <v>8</v>
      </c>
      <c r="D435">
        <f>IF(AND(MONTH(A435)&lt;&gt;MONTH(A434),I434&gt;=3*$S$2),D434+3,D434)</f>
        <v>37</v>
      </c>
      <c r="E435">
        <f>IF(B435&lt;6,ROUNDDOWN(D435*VLOOKUP(C435,$U$1:$V$5,2,FALSE),0)*$S$3,0)</f>
        <v>0</v>
      </c>
      <c r="F435">
        <f t="shared" si="26"/>
        <v>0</v>
      </c>
      <c r="G435">
        <f t="shared" si="27"/>
        <v>0</v>
      </c>
      <c r="H435">
        <f t="shared" si="25"/>
        <v>0</v>
      </c>
      <c r="I435">
        <f>SUM($H$2:H435)</f>
        <v>21670</v>
      </c>
    </row>
    <row r="436" spans="1:9" x14ac:dyDescent="0.25">
      <c r="A436" s="1">
        <v>45361</v>
      </c>
      <c r="B436">
        <f t="shared" si="24"/>
        <v>7</v>
      </c>
      <c r="C436" t="s">
        <v>8</v>
      </c>
      <c r="D436">
        <f>IF(AND(MONTH(A436)&lt;&gt;MONTH(A435),I435&gt;=3*$S$2),D435+3,D435)</f>
        <v>37</v>
      </c>
      <c r="E436">
        <f>IF(B436&lt;6,ROUNDDOWN(D436*VLOOKUP(C436,$U$1:$V$5,2,FALSE),0)*$S$3,0)</f>
        <v>0</v>
      </c>
      <c r="F436">
        <f t="shared" si="26"/>
        <v>555</v>
      </c>
      <c r="G436">
        <f t="shared" si="27"/>
        <v>0</v>
      </c>
      <c r="H436">
        <f t="shared" si="25"/>
        <v>-555</v>
      </c>
      <c r="I436">
        <f>SUM($H$2:H436)</f>
        <v>21115</v>
      </c>
    </row>
    <row r="437" spans="1:9" x14ac:dyDescent="0.25">
      <c r="A437" s="1">
        <v>45362</v>
      </c>
      <c r="B437">
        <f t="shared" si="24"/>
        <v>1</v>
      </c>
      <c r="C437" t="s">
        <v>8</v>
      </c>
      <c r="D437">
        <f>IF(AND(MONTH(A437)&lt;&gt;MONTH(A436),I436&gt;=3*$S$2),D436+3,D436)</f>
        <v>37</v>
      </c>
      <c r="E437">
        <f>IF(B437&lt;6,ROUNDDOWN(D437*VLOOKUP(C437,$U$1:$V$5,2,FALSE),0)*$S$3,0)</f>
        <v>210</v>
      </c>
      <c r="F437">
        <f t="shared" si="26"/>
        <v>0</v>
      </c>
      <c r="G437">
        <f t="shared" si="27"/>
        <v>0</v>
      </c>
      <c r="H437">
        <f t="shared" si="25"/>
        <v>210</v>
      </c>
      <c r="I437">
        <f>SUM($H$2:H437)</f>
        <v>21325</v>
      </c>
    </row>
    <row r="438" spans="1:9" x14ac:dyDescent="0.25">
      <c r="A438" s="1">
        <v>45363</v>
      </c>
      <c r="B438">
        <f t="shared" si="24"/>
        <v>2</v>
      </c>
      <c r="C438" t="s">
        <v>8</v>
      </c>
      <c r="D438">
        <f>IF(AND(MONTH(A438)&lt;&gt;MONTH(A437),I437&gt;=3*$S$2),D437+3,D437)</f>
        <v>37</v>
      </c>
      <c r="E438">
        <f>IF(B438&lt;6,ROUNDDOWN(D438*VLOOKUP(C438,$U$1:$V$5,2,FALSE),0)*$S$3,0)</f>
        <v>210</v>
      </c>
      <c r="F438">
        <f t="shared" si="26"/>
        <v>0</v>
      </c>
      <c r="G438">
        <f t="shared" si="27"/>
        <v>0</v>
      </c>
      <c r="H438">
        <f t="shared" si="25"/>
        <v>210</v>
      </c>
      <c r="I438">
        <f>SUM($H$2:H438)</f>
        <v>21535</v>
      </c>
    </row>
    <row r="439" spans="1:9" x14ac:dyDescent="0.25">
      <c r="A439" s="1">
        <v>45364</v>
      </c>
      <c r="B439">
        <f t="shared" si="24"/>
        <v>3</v>
      </c>
      <c r="C439" t="s">
        <v>8</v>
      </c>
      <c r="D439">
        <f>IF(AND(MONTH(A439)&lt;&gt;MONTH(A438),I438&gt;=3*$S$2),D438+3,D438)</f>
        <v>37</v>
      </c>
      <c r="E439">
        <f>IF(B439&lt;6,ROUNDDOWN(D439*VLOOKUP(C439,$U$1:$V$5,2,FALSE),0)*$S$3,0)</f>
        <v>210</v>
      </c>
      <c r="F439">
        <f t="shared" si="26"/>
        <v>0</v>
      </c>
      <c r="G439">
        <f t="shared" si="27"/>
        <v>0</v>
      </c>
      <c r="H439">
        <f t="shared" si="25"/>
        <v>210</v>
      </c>
      <c r="I439">
        <f>SUM($H$2:H439)</f>
        <v>21745</v>
      </c>
    </row>
    <row r="440" spans="1:9" x14ac:dyDescent="0.25">
      <c r="A440" s="1">
        <v>45365</v>
      </c>
      <c r="B440">
        <f t="shared" si="24"/>
        <v>4</v>
      </c>
      <c r="C440" t="s">
        <v>8</v>
      </c>
      <c r="D440">
        <f>IF(AND(MONTH(A440)&lt;&gt;MONTH(A439),I439&gt;=3*$S$2),D439+3,D439)</f>
        <v>37</v>
      </c>
      <c r="E440">
        <f>IF(B440&lt;6,ROUNDDOWN(D440*VLOOKUP(C440,$U$1:$V$5,2,FALSE),0)*$S$3,0)</f>
        <v>210</v>
      </c>
      <c r="F440">
        <f t="shared" si="26"/>
        <v>0</v>
      </c>
      <c r="G440">
        <f t="shared" si="27"/>
        <v>0</v>
      </c>
      <c r="H440">
        <f t="shared" si="25"/>
        <v>210</v>
      </c>
      <c r="I440">
        <f>SUM($H$2:H440)</f>
        <v>21955</v>
      </c>
    </row>
    <row r="441" spans="1:9" x14ac:dyDescent="0.25">
      <c r="A441" s="1">
        <v>45366</v>
      </c>
      <c r="B441">
        <f t="shared" si="24"/>
        <v>5</v>
      </c>
      <c r="C441" t="s">
        <v>8</v>
      </c>
      <c r="D441">
        <f>IF(AND(MONTH(A441)&lt;&gt;MONTH(A440),I440&gt;=3*$S$2),D440+3,D440)</f>
        <v>37</v>
      </c>
      <c r="E441">
        <f>IF(B441&lt;6,ROUNDDOWN(D441*VLOOKUP(C441,$U$1:$V$5,2,FALSE),0)*$S$3,0)</f>
        <v>210</v>
      </c>
      <c r="F441">
        <f t="shared" si="26"/>
        <v>0</v>
      </c>
      <c r="G441">
        <f t="shared" si="27"/>
        <v>0</v>
      </c>
      <c r="H441">
        <f t="shared" si="25"/>
        <v>210</v>
      </c>
      <c r="I441">
        <f>SUM($H$2:H441)</f>
        <v>22165</v>
      </c>
    </row>
    <row r="442" spans="1:9" x14ac:dyDescent="0.25">
      <c r="A442" s="1">
        <v>45367</v>
      </c>
      <c r="B442">
        <f t="shared" si="24"/>
        <v>6</v>
      </c>
      <c r="C442" t="s">
        <v>8</v>
      </c>
      <c r="D442">
        <f>IF(AND(MONTH(A442)&lt;&gt;MONTH(A441),I441&gt;=3*$S$2),D441+3,D441)</f>
        <v>37</v>
      </c>
      <c r="E442">
        <f>IF(B442&lt;6,ROUNDDOWN(D442*VLOOKUP(C442,$U$1:$V$5,2,FALSE),0)*$S$3,0)</f>
        <v>0</v>
      </c>
      <c r="F442">
        <f t="shared" si="26"/>
        <v>0</v>
      </c>
      <c r="G442">
        <f t="shared" si="27"/>
        <v>0</v>
      </c>
      <c r="H442">
        <f t="shared" si="25"/>
        <v>0</v>
      </c>
      <c r="I442">
        <f>SUM($H$2:H442)</f>
        <v>22165</v>
      </c>
    </row>
    <row r="443" spans="1:9" x14ac:dyDescent="0.25">
      <c r="A443" s="1">
        <v>45368</v>
      </c>
      <c r="B443">
        <f t="shared" si="24"/>
        <v>7</v>
      </c>
      <c r="C443" t="s">
        <v>8</v>
      </c>
      <c r="D443">
        <f>IF(AND(MONTH(A443)&lt;&gt;MONTH(A442),I442&gt;=3*$S$2),D442+3,D442)</f>
        <v>37</v>
      </c>
      <c r="E443">
        <f>IF(B443&lt;6,ROUNDDOWN(D443*VLOOKUP(C443,$U$1:$V$5,2,FALSE),0)*$S$3,0)</f>
        <v>0</v>
      </c>
      <c r="F443">
        <f t="shared" si="26"/>
        <v>555</v>
      </c>
      <c r="G443">
        <f t="shared" si="27"/>
        <v>0</v>
      </c>
      <c r="H443">
        <f t="shared" si="25"/>
        <v>-555</v>
      </c>
      <c r="I443">
        <f>SUM($H$2:H443)</f>
        <v>21610</v>
      </c>
    </row>
    <row r="444" spans="1:9" x14ac:dyDescent="0.25">
      <c r="A444" s="1">
        <v>45369</v>
      </c>
      <c r="B444">
        <f t="shared" si="24"/>
        <v>1</v>
      </c>
      <c r="C444" t="s">
        <v>8</v>
      </c>
      <c r="D444">
        <f>IF(AND(MONTH(A444)&lt;&gt;MONTH(A443),I443&gt;=3*$S$2),D443+3,D443)</f>
        <v>37</v>
      </c>
      <c r="E444">
        <f>IF(B444&lt;6,ROUNDDOWN(D444*VLOOKUP(C444,$U$1:$V$5,2,FALSE),0)*$S$3,0)</f>
        <v>210</v>
      </c>
      <c r="F444">
        <f t="shared" si="26"/>
        <v>0</v>
      </c>
      <c r="G444">
        <f t="shared" si="27"/>
        <v>0</v>
      </c>
      <c r="H444">
        <f t="shared" si="25"/>
        <v>210</v>
      </c>
      <c r="I444">
        <f>SUM($H$2:H444)</f>
        <v>21820</v>
      </c>
    </row>
    <row r="445" spans="1:9" x14ac:dyDescent="0.25">
      <c r="A445" s="1">
        <v>45370</v>
      </c>
      <c r="B445">
        <f t="shared" si="24"/>
        <v>2</v>
      </c>
      <c r="C445" t="s">
        <v>8</v>
      </c>
      <c r="D445">
        <f>IF(AND(MONTH(A445)&lt;&gt;MONTH(A444),I444&gt;=3*$S$2),D444+3,D444)</f>
        <v>37</v>
      </c>
      <c r="E445">
        <f>IF(B445&lt;6,ROUNDDOWN(D445*VLOOKUP(C445,$U$1:$V$5,2,FALSE),0)*$S$3,0)</f>
        <v>210</v>
      </c>
      <c r="F445">
        <f t="shared" si="26"/>
        <v>0</v>
      </c>
      <c r="G445">
        <f t="shared" si="27"/>
        <v>0</v>
      </c>
      <c r="H445">
        <f t="shared" si="25"/>
        <v>210</v>
      </c>
      <c r="I445">
        <f>SUM($H$2:H445)</f>
        <v>22030</v>
      </c>
    </row>
    <row r="446" spans="1:9" x14ac:dyDescent="0.25">
      <c r="A446" s="1">
        <v>45371</v>
      </c>
      <c r="B446">
        <f t="shared" si="24"/>
        <v>3</v>
      </c>
      <c r="C446" t="s">
        <v>8</v>
      </c>
      <c r="D446">
        <f>IF(AND(MONTH(A446)&lt;&gt;MONTH(A445),I445&gt;=3*$S$2),D445+3,D445)</f>
        <v>37</v>
      </c>
      <c r="E446">
        <f>IF(B446&lt;6,ROUNDDOWN(D446*VLOOKUP(C446,$U$1:$V$5,2,FALSE),0)*$S$3,0)</f>
        <v>210</v>
      </c>
      <c r="F446">
        <f t="shared" si="26"/>
        <v>0</v>
      </c>
      <c r="G446">
        <f t="shared" si="27"/>
        <v>0</v>
      </c>
      <c r="H446">
        <f t="shared" si="25"/>
        <v>210</v>
      </c>
      <c r="I446">
        <f>SUM($H$2:H446)</f>
        <v>22240</v>
      </c>
    </row>
    <row r="447" spans="1:9" x14ac:dyDescent="0.25">
      <c r="A447" s="1">
        <v>45372</v>
      </c>
      <c r="B447">
        <f t="shared" si="24"/>
        <v>4</v>
      </c>
      <c r="C447" t="s">
        <v>9</v>
      </c>
      <c r="D447">
        <f>IF(AND(MONTH(A447)&lt;&gt;MONTH(A446),I446&gt;=3*$S$2),D446+3,D446)</f>
        <v>37</v>
      </c>
      <c r="E447">
        <f>IF(B447&lt;6,ROUNDDOWN(D447*VLOOKUP(C447,$U$1:$V$5,2,FALSE),0)*$S$3,0)</f>
        <v>540</v>
      </c>
      <c r="F447">
        <f t="shared" si="26"/>
        <v>0</v>
      </c>
      <c r="G447">
        <f t="shared" si="27"/>
        <v>0</v>
      </c>
      <c r="H447">
        <f t="shared" si="25"/>
        <v>540</v>
      </c>
      <c r="I447">
        <f>SUM($H$2:H447)</f>
        <v>22780</v>
      </c>
    </row>
    <row r="448" spans="1:9" x14ac:dyDescent="0.25">
      <c r="A448" s="1">
        <v>45373</v>
      </c>
      <c r="B448">
        <f t="shared" si="24"/>
        <v>5</v>
      </c>
      <c r="C448" t="s">
        <v>9</v>
      </c>
      <c r="D448">
        <f>IF(AND(MONTH(A448)&lt;&gt;MONTH(A447),I447&gt;=3*$S$2),D447+3,D447)</f>
        <v>37</v>
      </c>
      <c r="E448">
        <f>IF(B448&lt;6,ROUNDDOWN(D448*VLOOKUP(C448,$U$1:$V$5,2,FALSE),0)*$S$3,0)</f>
        <v>540</v>
      </c>
      <c r="F448">
        <f t="shared" si="26"/>
        <v>0</v>
      </c>
      <c r="G448">
        <f t="shared" si="27"/>
        <v>0</v>
      </c>
      <c r="H448">
        <f t="shared" si="25"/>
        <v>540</v>
      </c>
      <c r="I448">
        <f>SUM($H$2:H448)</f>
        <v>23320</v>
      </c>
    </row>
    <row r="449" spans="1:9" x14ac:dyDescent="0.25">
      <c r="A449" s="1">
        <v>45374</v>
      </c>
      <c r="B449">
        <f t="shared" si="24"/>
        <v>6</v>
      </c>
      <c r="C449" t="s">
        <v>9</v>
      </c>
      <c r="D449">
        <f>IF(AND(MONTH(A449)&lt;&gt;MONTH(A448),I448&gt;=3*$S$2),D448+3,D448)</f>
        <v>37</v>
      </c>
      <c r="E449">
        <f>IF(B449&lt;6,ROUNDDOWN(D449*VLOOKUP(C449,$U$1:$V$5,2,FALSE),0)*$S$3,0)</f>
        <v>0</v>
      </c>
      <c r="F449">
        <f t="shared" si="26"/>
        <v>0</v>
      </c>
      <c r="G449">
        <f t="shared" si="27"/>
        <v>0</v>
      </c>
      <c r="H449">
        <f t="shared" si="25"/>
        <v>0</v>
      </c>
      <c r="I449">
        <f>SUM($H$2:H449)</f>
        <v>23320</v>
      </c>
    </row>
    <row r="450" spans="1:9" x14ac:dyDescent="0.25">
      <c r="A450" s="1">
        <v>45375</v>
      </c>
      <c r="B450">
        <f t="shared" si="24"/>
        <v>7</v>
      </c>
      <c r="C450" t="s">
        <v>9</v>
      </c>
      <c r="D450">
        <f>IF(AND(MONTH(A450)&lt;&gt;MONTH(A449),I449&gt;=3*$S$2),D449+3,D449)</f>
        <v>37</v>
      </c>
      <c r="E450">
        <f>IF(B450&lt;6,ROUNDDOWN(D450*VLOOKUP(C450,$U$1:$V$5,2,FALSE),0)*$S$3,0)</f>
        <v>0</v>
      </c>
      <c r="F450">
        <f t="shared" si="26"/>
        <v>555</v>
      </c>
      <c r="G450">
        <f t="shared" si="27"/>
        <v>0</v>
      </c>
      <c r="H450">
        <f t="shared" si="25"/>
        <v>-555</v>
      </c>
      <c r="I450">
        <f>SUM($H$2:H450)</f>
        <v>22765</v>
      </c>
    </row>
    <row r="451" spans="1:9" x14ac:dyDescent="0.25">
      <c r="A451" s="1">
        <v>45376</v>
      </c>
      <c r="B451">
        <f t="shared" ref="B451:B514" si="28">WEEKDAY(A451,2)</f>
        <v>1</v>
      </c>
      <c r="C451" t="s">
        <v>9</v>
      </c>
      <c r="D451">
        <f>IF(AND(MONTH(A451)&lt;&gt;MONTH(A450),I450&gt;=3*$S$2),D450+3,D450)</f>
        <v>37</v>
      </c>
      <c r="E451">
        <f>IF(B451&lt;6,ROUNDDOWN(D451*VLOOKUP(C451,$U$1:$V$5,2,FALSE),0)*$S$3,0)</f>
        <v>540</v>
      </c>
      <c r="F451">
        <f t="shared" si="26"/>
        <v>0</v>
      </c>
      <c r="G451">
        <f t="shared" si="27"/>
        <v>0</v>
      </c>
      <c r="H451">
        <f t="shared" ref="H451:H514" si="29">E451-F451-G451</f>
        <v>540</v>
      </c>
      <c r="I451">
        <f>SUM($H$2:H451)</f>
        <v>23305</v>
      </c>
    </row>
    <row r="452" spans="1:9" x14ac:dyDescent="0.25">
      <c r="A452" s="1">
        <v>45377</v>
      </c>
      <c r="B452">
        <f t="shared" si="28"/>
        <v>2</v>
      </c>
      <c r="C452" t="s">
        <v>9</v>
      </c>
      <c r="D452">
        <f>IF(AND(MONTH(A452)&lt;&gt;MONTH(A451),I451&gt;=3*$S$2),D451+3,D451)</f>
        <v>37</v>
      </c>
      <c r="E452">
        <f>IF(B452&lt;6,ROUNDDOWN(D452*VLOOKUP(C452,$U$1:$V$5,2,FALSE),0)*$S$3,0)</f>
        <v>540</v>
      </c>
      <c r="F452">
        <f t="shared" ref="F452:F515" si="30">IF(B452=7,$S$4*D452,0)</f>
        <v>0</v>
      </c>
      <c r="G452">
        <f t="shared" ref="G452:G515" si="31">IF(D452&gt;D451,3*$S$2,0)</f>
        <v>0</v>
      </c>
      <c r="H452">
        <f t="shared" si="29"/>
        <v>540</v>
      </c>
      <c r="I452">
        <f>SUM($H$2:H452)</f>
        <v>23845</v>
      </c>
    </row>
    <row r="453" spans="1:9" x14ac:dyDescent="0.25">
      <c r="A453" s="1">
        <v>45378</v>
      </c>
      <c r="B453">
        <f t="shared" si="28"/>
        <v>3</v>
      </c>
      <c r="C453" t="s">
        <v>9</v>
      </c>
      <c r="D453">
        <f>IF(AND(MONTH(A453)&lt;&gt;MONTH(A452),I452&gt;=3*$S$2),D452+3,D452)</f>
        <v>37</v>
      </c>
      <c r="E453">
        <f>IF(B453&lt;6,ROUNDDOWN(D453*VLOOKUP(C453,$U$1:$V$5,2,FALSE),0)*$S$3,0)</f>
        <v>540</v>
      </c>
      <c r="F453">
        <f t="shared" si="30"/>
        <v>0</v>
      </c>
      <c r="G453">
        <f t="shared" si="31"/>
        <v>0</v>
      </c>
      <c r="H453">
        <f t="shared" si="29"/>
        <v>540</v>
      </c>
      <c r="I453">
        <f>SUM($H$2:H453)</f>
        <v>24385</v>
      </c>
    </row>
    <row r="454" spans="1:9" x14ac:dyDescent="0.25">
      <c r="A454" s="1">
        <v>45379</v>
      </c>
      <c r="B454">
        <f t="shared" si="28"/>
        <v>4</v>
      </c>
      <c r="C454" t="s">
        <v>9</v>
      </c>
      <c r="D454">
        <f>IF(AND(MONTH(A454)&lt;&gt;MONTH(A453),I453&gt;=3*$S$2),D453+3,D453)</f>
        <v>37</v>
      </c>
      <c r="E454">
        <f>IF(B454&lt;6,ROUNDDOWN(D454*VLOOKUP(C454,$U$1:$V$5,2,FALSE),0)*$S$3,0)</f>
        <v>540</v>
      </c>
      <c r="F454">
        <f t="shared" si="30"/>
        <v>0</v>
      </c>
      <c r="G454">
        <f t="shared" si="31"/>
        <v>0</v>
      </c>
      <c r="H454">
        <f t="shared" si="29"/>
        <v>540</v>
      </c>
      <c r="I454">
        <f>SUM($H$2:H454)</f>
        <v>24925</v>
      </c>
    </row>
    <row r="455" spans="1:9" x14ac:dyDescent="0.25">
      <c r="A455" s="1">
        <v>45380</v>
      </c>
      <c r="B455">
        <f t="shared" si="28"/>
        <v>5</v>
      </c>
      <c r="C455" t="s">
        <v>9</v>
      </c>
      <c r="D455">
        <f>IF(AND(MONTH(A455)&lt;&gt;MONTH(A454),I454&gt;=3*$S$2),D454+3,D454)</f>
        <v>37</v>
      </c>
      <c r="E455">
        <f>IF(B455&lt;6,ROUNDDOWN(D455*VLOOKUP(C455,$U$1:$V$5,2,FALSE),0)*$S$3,0)</f>
        <v>540</v>
      </c>
      <c r="F455">
        <f t="shared" si="30"/>
        <v>0</v>
      </c>
      <c r="G455">
        <f t="shared" si="31"/>
        <v>0</v>
      </c>
      <c r="H455">
        <f t="shared" si="29"/>
        <v>540</v>
      </c>
      <c r="I455">
        <f>SUM($H$2:H455)</f>
        <v>25465</v>
      </c>
    </row>
    <row r="456" spans="1:9" x14ac:dyDescent="0.25">
      <c r="A456" s="1">
        <v>45381</v>
      </c>
      <c r="B456">
        <f t="shared" si="28"/>
        <v>6</v>
      </c>
      <c r="C456" t="s">
        <v>9</v>
      </c>
      <c r="D456">
        <f>IF(AND(MONTH(A456)&lt;&gt;MONTH(A455),I455&gt;=3*$S$2),D455+3,D455)</f>
        <v>37</v>
      </c>
      <c r="E456">
        <f>IF(B456&lt;6,ROUNDDOWN(D456*VLOOKUP(C456,$U$1:$V$5,2,FALSE),0)*$S$3,0)</f>
        <v>0</v>
      </c>
      <c r="F456">
        <f t="shared" si="30"/>
        <v>0</v>
      </c>
      <c r="G456">
        <f t="shared" si="31"/>
        <v>0</v>
      </c>
      <c r="H456">
        <f t="shared" si="29"/>
        <v>0</v>
      </c>
      <c r="I456">
        <f>SUM($H$2:H456)</f>
        <v>25465</v>
      </c>
    </row>
    <row r="457" spans="1:9" x14ac:dyDescent="0.25">
      <c r="A457" s="1">
        <v>45382</v>
      </c>
      <c r="B457">
        <f t="shared" si="28"/>
        <v>7</v>
      </c>
      <c r="C457" t="s">
        <v>9</v>
      </c>
      <c r="D457">
        <f>IF(AND(MONTH(A457)&lt;&gt;MONTH(A456),I456&gt;=3*$S$2),D456+3,D456)</f>
        <v>37</v>
      </c>
      <c r="E457">
        <f>IF(B457&lt;6,ROUNDDOWN(D457*VLOOKUP(C457,$U$1:$V$5,2,FALSE),0)*$S$3,0)</f>
        <v>0</v>
      </c>
      <c r="F457">
        <f t="shared" si="30"/>
        <v>555</v>
      </c>
      <c r="G457">
        <f t="shared" si="31"/>
        <v>0</v>
      </c>
      <c r="H457">
        <f t="shared" si="29"/>
        <v>-555</v>
      </c>
      <c r="I457">
        <f>SUM($H$2:H457)</f>
        <v>24910</v>
      </c>
    </row>
    <row r="458" spans="1:9" x14ac:dyDescent="0.25">
      <c r="A458" s="1">
        <v>45383</v>
      </c>
      <c r="B458">
        <f t="shared" si="28"/>
        <v>1</v>
      </c>
      <c r="C458" t="s">
        <v>9</v>
      </c>
      <c r="D458">
        <f>IF(AND(MONTH(A458)&lt;&gt;MONTH(A457),I457&gt;=3*$S$2),D457+3,D457)</f>
        <v>40</v>
      </c>
      <c r="E458">
        <f>IF(B458&lt;6,ROUNDDOWN(D458*VLOOKUP(C458,$U$1:$V$5,2,FALSE),0)*$S$3,0)</f>
        <v>600</v>
      </c>
      <c r="F458">
        <f t="shared" si="30"/>
        <v>0</v>
      </c>
      <c r="G458">
        <f t="shared" si="31"/>
        <v>2400</v>
      </c>
      <c r="H458">
        <f t="shared" si="29"/>
        <v>-1800</v>
      </c>
      <c r="I458">
        <f>SUM($H$2:H458)</f>
        <v>23110</v>
      </c>
    </row>
    <row r="459" spans="1:9" x14ac:dyDescent="0.25">
      <c r="A459" s="1">
        <v>45384</v>
      </c>
      <c r="B459">
        <f t="shared" si="28"/>
        <v>2</v>
      </c>
      <c r="C459" t="s">
        <v>9</v>
      </c>
      <c r="D459">
        <f>IF(AND(MONTH(A459)&lt;&gt;MONTH(A458),I458&gt;=3*$S$2),D458+3,D458)</f>
        <v>40</v>
      </c>
      <c r="E459">
        <f>IF(B459&lt;6,ROUNDDOWN(D459*VLOOKUP(C459,$U$1:$V$5,2,FALSE),0)*$S$3,0)</f>
        <v>600</v>
      </c>
      <c r="F459">
        <f t="shared" si="30"/>
        <v>0</v>
      </c>
      <c r="G459">
        <f t="shared" si="31"/>
        <v>0</v>
      </c>
      <c r="H459">
        <f t="shared" si="29"/>
        <v>600</v>
      </c>
      <c r="I459">
        <f>SUM($H$2:H459)</f>
        <v>23710</v>
      </c>
    </row>
    <row r="460" spans="1:9" x14ac:dyDescent="0.25">
      <c r="A460" s="1">
        <v>45385</v>
      </c>
      <c r="B460">
        <f t="shared" si="28"/>
        <v>3</v>
      </c>
      <c r="C460" t="s">
        <v>9</v>
      </c>
      <c r="D460">
        <f>IF(AND(MONTH(A460)&lt;&gt;MONTH(A459),I459&gt;=3*$S$2),D459+3,D459)</f>
        <v>40</v>
      </c>
      <c r="E460">
        <f>IF(B460&lt;6,ROUNDDOWN(D460*VLOOKUP(C460,$U$1:$V$5,2,FALSE),0)*$S$3,0)</f>
        <v>600</v>
      </c>
      <c r="F460">
        <f t="shared" si="30"/>
        <v>0</v>
      </c>
      <c r="G460">
        <f t="shared" si="31"/>
        <v>0</v>
      </c>
      <c r="H460">
        <f t="shared" si="29"/>
        <v>600</v>
      </c>
      <c r="I460">
        <f>SUM($H$2:H460)</f>
        <v>24310</v>
      </c>
    </row>
    <row r="461" spans="1:9" x14ac:dyDescent="0.25">
      <c r="A461" s="1">
        <v>45386</v>
      </c>
      <c r="B461">
        <f t="shared" si="28"/>
        <v>4</v>
      </c>
      <c r="C461" t="s">
        <v>9</v>
      </c>
      <c r="D461">
        <f>IF(AND(MONTH(A461)&lt;&gt;MONTH(A460),I460&gt;=3*$S$2),D460+3,D460)</f>
        <v>40</v>
      </c>
      <c r="E461">
        <f>IF(B461&lt;6,ROUNDDOWN(D461*VLOOKUP(C461,$U$1:$V$5,2,FALSE),0)*$S$3,0)</f>
        <v>600</v>
      </c>
      <c r="F461">
        <f t="shared" si="30"/>
        <v>0</v>
      </c>
      <c r="G461">
        <f t="shared" si="31"/>
        <v>0</v>
      </c>
      <c r="H461">
        <f t="shared" si="29"/>
        <v>600</v>
      </c>
      <c r="I461">
        <f>SUM($H$2:H461)</f>
        <v>24910</v>
      </c>
    </row>
    <row r="462" spans="1:9" x14ac:dyDescent="0.25">
      <c r="A462" s="1">
        <v>45387</v>
      </c>
      <c r="B462">
        <f t="shared" si="28"/>
        <v>5</v>
      </c>
      <c r="C462" t="s">
        <v>9</v>
      </c>
      <c r="D462">
        <f>IF(AND(MONTH(A462)&lt;&gt;MONTH(A461),I461&gt;=3*$S$2),D461+3,D461)</f>
        <v>40</v>
      </c>
      <c r="E462">
        <f>IF(B462&lt;6,ROUNDDOWN(D462*VLOOKUP(C462,$U$1:$V$5,2,FALSE),0)*$S$3,0)</f>
        <v>600</v>
      </c>
      <c r="F462">
        <f t="shared" si="30"/>
        <v>0</v>
      </c>
      <c r="G462">
        <f t="shared" si="31"/>
        <v>0</v>
      </c>
      <c r="H462">
        <f t="shared" si="29"/>
        <v>600</v>
      </c>
      <c r="I462">
        <f>SUM($H$2:H462)</f>
        <v>25510</v>
      </c>
    </row>
    <row r="463" spans="1:9" x14ac:dyDescent="0.25">
      <c r="A463" s="1">
        <v>45388</v>
      </c>
      <c r="B463">
        <f t="shared" si="28"/>
        <v>6</v>
      </c>
      <c r="C463" t="s">
        <v>9</v>
      </c>
      <c r="D463">
        <f>IF(AND(MONTH(A463)&lt;&gt;MONTH(A462),I462&gt;=3*$S$2),D462+3,D462)</f>
        <v>40</v>
      </c>
      <c r="E463">
        <f>IF(B463&lt;6,ROUNDDOWN(D463*VLOOKUP(C463,$U$1:$V$5,2,FALSE),0)*$S$3,0)</f>
        <v>0</v>
      </c>
      <c r="F463">
        <f t="shared" si="30"/>
        <v>0</v>
      </c>
      <c r="G463">
        <f t="shared" si="31"/>
        <v>0</v>
      </c>
      <c r="H463">
        <f t="shared" si="29"/>
        <v>0</v>
      </c>
      <c r="I463">
        <f>SUM($H$2:H463)</f>
        <v>25510</v>
      </c>
    </row>
    <row r="464" spans="1:9" x14ac:dyDescent="0.25">
      <c r="A464" s="1">
        <v>45389</v>
      </c>
      <c r="B464">
        <f t="shared" si="28"/>
        <v>7</v>
      </c>
      <c r="C464" t="s">
        <v>9</v>
      </c>
      <c r="D464">
        <f>IF(AND(MONTH(A464)&lt;&gt;MONTH(A463),I463&gt;=3*$S$2),D463+3,D463)</f>
        <v>40</v>
      </c>
      <c r="E464">
        <f>IF(B464&lt;6,ROUNDDOWN(D464*VLOOKUP(C464,$U$1:$V$5,2,FALSE),0)*$S$3,0)</f>
        <v>0</v>
      </c>
      <c r="F464">
        <f t="shared" si="30"/>
        <v>600</v>
      </c>
      <c r="G464">
        <f t="shared" si="31"/>
        <v>0</v>
      </c>
      <c r="H464">
        <f t="shared" si="29"/>
        <v>-600</v>
      </c>
      <c r="I464">
        <f>SUM($H$2:H464)</f>
        <v>24910</v>
      </c>
    </row>
    <row r="465" spans="1:9" x14ac:dyDescent="0.25">
      <c r="A465" s="1">
        <v>45390</v>
      </c>
      <c r="B465">
        <f t="shared" si="28"/>
        <v>1</v>
      </c>
      <c r="C465" t="s">
        <v>9</v>
      </c>
      <c r="D465">
        <f>IF(AND(MONTH(A465)&lt;&gt;MONTH(A464),I464&gt;=3*$S$2),D464+3,D464)</f>
        <v>40</v>
      </c>
      <c r="E465">
        <f>IF(B465&lt;6,ROUNDDOWN(D465*VLOOKUP(C465,$U$1:$V$5,2,FALSE),0)*$S$3,0)</f>
        <v>600</v>
      </c>
      <c r="F465">
        <f t="shared" si="30"/>
        <v>0</v>
      </c>
      <c r="G465">
        <f t="shared" si="31"/>
        <v>0</v>
      </c>
      <c r="H465">
        <f t="shared" si="29"/>
        <v>600</v>
      </c>
      <c r="I465">
        <f>SUM($H$2:H465)</f>
        <v>25510</v>
      </c>
    </row>
    <row r="466" spans="1:9" x14ac:dyDescent="0.25">
      <c r="A466" s="1">
        <v>45391</v>
      </c>
      <c r="B466">
        <f t="shared" si="28"/>
        <v>2</v>
      </c>
      <c r="C466" t="s">
        <v>9</v>
      </c>
      <c r="D466">
        <f>IF(AND(MONTH(A466)&lt;&gt;MONTH(A465),I465&gt;=3*$S$2),D465+3,D465)</f>
        <v>40</v>
      </c>
      <c r="E466">
        <f>IF(B466&lt;6,ROUNDDOWN(D466*VLOOKUP(C466,$U$1:$V$5,2,FALSE),0)*$S$3,0)</f>
        <v>600</v>
      </c>
      <c r="F466">
        <f t="shared" si="30"/>
        <v>0</v>
      </c>
      <c r="G466">
        <f t="shared" si="31"/>
        <v>0</v>
      </c>
      <c r="H466">
        <f t="shared" si="29"/>
        <v>600</v>
      </c>
      <c r="I466">
        <f>SUM($H$2:H466)</f>
        <v>26110</v>
      </c>
    </row>
    <row r="467" spans="1:9" x14ac:dyDescent="0.25">
      <c r="A467" s="1">
        <v>45392</v>
      </c>
      <c r="B467">
        <f t="shared" si="28"/>
        <v>3</v>
      </c>
      <c r="C467" t="s">
        <v>9</v>
      </c>
      <c r="D467">
        <f>IF(AND(MONTH(A467)&lt;&gt;MONTH(A466),I466&gt;=3*$S$2),D466+3,D466)</f>
        <v>40</v>
      </c>
      <c r="E467">
        <f>IF(B467&lt;6,ROUNDDOWN(D467*VLOOKUP(C467,$U$1:$V$5,2,FALSE),0)*$S$3,0)</f>
        <v>600</v>
      </c>
      <c r="F467">
        <f t="shared" si="30"/>
        <v>0</v>
      </c>
      <c r="G467">
        <f t="shared" si="31"/>
        <v>0</v>
      </c>
      <c r="H467">
        <f t="shared" si="29"/>
        <v>600</v>
      </c>
      <c r="I467">
        <f>SUM($H$2:H467)</f>
        <v>26710</v>
      </c>
    </row>
    <row r="468" spans="1:9" x14ac:dyDescent="0.25">
      <c r="A468" s="1">
        <v>45393</v>
      </c>
      <c r="B468">
        <f t="shared" si="28"/>
        <v>4</v>
      </c>
      <c r="C468" t="s">
        <v>9</v>
      </c>
      <c r="D468">
        <f>IF(AND(MONTH(A468)&lt;&gt;MONTH(A467),I467&gt;=3*$S$2),D467+3,D467)</f>
        <v>40</v>
      </c>
      <c r="E468">
        <f>IF(B468&lt;6,ROUNDDOWN(D468*VLOOKUP(C468,$U$1:$V$5,2,FALSE),0)*$S$3,0)</f>
        <v>600</v>
      </c>
      <c r="F468">
        <f t="shared" si="30"/>
        <v>0</v>
      </c>
      <c r="G468">
        <f t="shared" si="31"/>
        <v>0</v>
      </c>
      <c r="H468">
        <f t="shared" si="29"/>
        <v>600</v>
      </c>
      <c r="I468">
        <f>SUM($H$2:H468)</f>
        <v>27310</v>
      </c>
    </row>
    <row r="469" spans="1:9" x14ac:dyDescent="0.25">
      <c r="A469" s="1">
        <v>45394</v>
      </c>
      <c r="B469">
        <f t="shared" si="28"/>
        <v>5</v>
      </c>
      <c r="C469" t="s">
        <v>9</v>
      </c>
      <c r="D469">
        <f>IF(AND(MONTH(A469)&lt;&gt;MONTH(A468),I468&gt;=3*$S$2),D468+3,D468)</f>
        <v>40</v>
      </c>
      <c r="E469">
        <f>IF(B469&lt;6,ROUNDDOWN(D469*VLOOKUP(C469,$U$1:$V$5,2,FALSE),0)*$S$3,0)</f>
        <v>600</v>
      </c>
      <c r="F469">
        <f t="shared" si="30"/>
        <v>0</v>
      </c>
      <c r="G469">
        <f t="shared" si="31"/>
        <v>0</v>
      </c>
      <c r="H469">
        <f t="shared" si="29"/>
        <v>600</v>
      </c>
      <c r="I469">
        <f>SUM($H$2:H469)</f>
        <v>27910</v>
      </c>
    </row>
    <row r="470" spans="1:9" x14ac:dyDescent="0.25">
      <c r="A470" s="1">
        <v>45395</v>
      </c>
      <c r="B470">
        <f t="shared" si="28"/>
        <v>6</v>
      </c>
      <c r="C470" t="s">
        <v>9</v>
      </c>
      <c r="D470">
        <f>IF(AND(MONTH(A470)&lt;&gt;MONTH(A469),I469&gt;=3*$S$2),D469+3,D469)</f>
        <v>40</v>
      </c>
      <c r="E470">
        <f>IF(B470&lt;6,ROUNDDOWN(D470*VLOOKUP(C470,$U$1:$V$5,2,FALSE),0)*$S$3,0)</f>
        <v>0</v>
      </c>
      <c r="F470">
        <f t="shared" si="30"/>
        <v>0</v>
      </c>
      <c r="G470">
        <f t="shared" si="31"/>
        <v>0</v>
      </c>
      <c r="H470">
        <f t="shared" si="29"/>
        <v>0</v>
      </c>
      <c r="I470">
        <f>SUM($H$2:H470)</f>
        <v>27910</v>
      </c>
    </row>
    <row r="471" spans="1:9" x14ac:dyDescent="0.25">
      <c r="A471" s="1">
        <v>45396</v>
      </c>
      <c r="B471">
        <f t="shared" si="28"/>
        <v>7</v>
      </c>
      <c r="C471" t="s">
        <v>9</v>
      </c>
      <c r="D471">
        <f>IF(AND(MONTH(A471)&lt;&gt;MONTH(A470),I470&gt;=3*$S$2),D470+3,D470)</f>
        <v>40</v>
      </c>
      <c r="E471">
        <f>IF(B471&lt;6,ROUNDDOWN(D471*VLOOKUP(C471,$U$1:$V$5,2,FALSE),0)*$S$3,0)</f>
        <v>0</v>
      </c>
      <c r="F471">
        <f t="shared" si="30"/>
        <v>600</v>
      </c>
      <c r="G471">
        <f t="shared" si="31"/>
        <v>0</v>
      </c>
      <c r="H471">
        <f t="shared" si="29"/>
        <v>-600</v>
      </c>
      <c r="I471">
        <f>SUM($H$2:H471)</f>
        <v>27310</v>
      </c>
    </row>
    <row r="472" spans="1:9" x14ac:dyDescent="0.25">
      <c r="A472" s="1">
        <v>45397</v>
      </c>
      <c r="B472">
        <f t="shared" si="28"/>
        <v>1</v>
      </c>
      <c r="C472" t="s">
        <v>9</v>
      </c>
      <c r="D472">
        <f>IF(AND(MONTH(A472)&lt;&gt;MONTH(A471),I471&gt;=3*$S$2),D471+3,D471)</f>
        <v>40</v>
      </c>
      <c r="E472">
        <f>IF(B472&lt;6,ROUNDDOWN(D472*VLOOKUP(C472,$U$1:$V$5,2,FALSE),0)*$S$3,0)</f>
        <v>600</v>
      </c>
      <c r="F472">
        <f t="shared" si="30"/>
        <v>0</v>
      </c>
      <c r="G472">
        <f t="shared" si="31"/>
        <v>0</v>
      </c>
      <c r="H472">
        <f t="shared" si="29"/>
        <v>600</v>
      </c>
      <c r="I472">
        <f>SUM($H$2:H472)</f>
        <v>27910</v>
      </c>
    </row>
    <row r="473" spans="1:9" x14ac:dyDescent="0.25">
      <c r="A473" s="1">
        <v>45398</v>
      </c>
      <c r="B473">
        <f t="shared" si="28"/>
        <v>2</v>
      </c>
      <c r="C473" t="s">
        <v>9</v>
      </c>
      <c r="D473">
        <f>IF(AND(MONTH(A473)&lt;&gt;MONTH(A472),I472&gt;=3*$S$2),D472+3,D472)</f>
        <v>40</v>
      </c>
      <c r="E473">
        <f>IF(B473&lt;6,ROUNDDOWN(D473*VLOOKUP(C473,$U$1:$V$5,2,FALSE),0)*$S$3,0)</f>
        <v>600</v>
      </c>
      <c r="F473">
        <f t="shared" si="30"/>
        <v>0</v>
      </c>
      <c r="G473">
        <f t="shared" si="31"/>
        <v>0</v>
      </c>
      <c r="H473">
        <f t="shared" si="29"/>
        <v>600</v>
      </c>
      <c r="I473">
        <f>SUM($H$2:H473)</f>
        <v>28510</v>
      </c>
    </row>
    <row r="474" spans="1:9" x14ac:dyDescent="0.25">
      <c r="A474" s="1">
        <v>45399</v>
      </c>
      <c r="B474">
        <f t="shared" si="28"/>
        <v>3</v>
      </c>
      <c r="C474" t="s">
        <v>9</v>
      </c>
      <c r="D474">
        <f>IF(AND(MONTH(A474)&lt;&gt;MONTH(A473),I473&gt;=3*$S$2),D473+3,D473)</f>
        <v>40</v>
      </c>
      <c r="E474">
        <f>IF(B474&lt;6,ROUNDDOWN(D474*VLOOKUP(C474,$U$1:$V$5,2,FALSE),0)*$S$3,0)</f>
        <v>600</v>
      </c>
      <c r="F474">
        <f t="shared" si="30"/>
        <v>0</v>
      </c>
      <c r="G474">
        <f t="shared" si="31"/>
        <v>0</v>
      </c>
      <c r="H474">
        <f t="shared" si="29"/>
        <v>600</v>
      </c>
      <c r="I474">
        <f>SUM($H$2:H474)</f>
        <v>29110</v>
      </c>
    </row>
    <row r="475" spans="1:9" x14ac:dyDescent="0.25">
      <c r="A475" s="1">
        <v>45400</v>
      </c>
      <c r="B475">
        <f t="shared" si="28"/>
        <v>4</v>
      </c>
      <c r="C475" t="s">
        <v>9</v>
      </c>
      <c r="D475">
        <f>IF(AND(MONTH(A475)&lt;&gt;MONTH(A474),I474&gt;=3*$S$2),D474+3,D474)</f>
        <v>40</v>
      </c>
      <c r="E475">
        <f>IF(B475&lt;6,ROUNDDOWN(D475*VLOOKUP(C475,$U$1:$V$5,2,FALSE),0)*$S$3,0)</f>
        <v>600</v>
      </c>
      <c r="F475">
        <f t="shared" si="30"/>
        <v>0</v>
      </c>
      <c r="G475">
        <f t="shared" si="31"/>
        <v>0</v>
      </c>
      <c r="H475">
        <f t="shared" si="29"/>
        <v>600</v>
      </c>
      <c r="I475">
        <f>SUM($H$2:H475)</f>
        <v>29710</v>
      </c>
    </row>
    <row r="476" spans="1:9" x14ac:dyDescent="0.25">
      <c r="A476" s="1">
        <v>45401</v>
      </c>
      <c r="B476">
        <f t="shared" si="28"/>
        <v>5</v>
      </c>
      <c r="C476" t="s">
        <v>9</v>
      </c>
      <c r="D476">
        <f>IF(AND(MONTH(A476)&lt;&gt;MONTH(A475),I475&gt;=3*$S$2),D475+3,D475)</f>
        <v>40</v>
      </c>
      <c r="E476">
        <f>IF(B476&lt;6,ROUNDDOWN(D476*VLOOKUP(C476,$U$1:$V$5,2,FALSE),0)*$S$3,0)</f>
        <v>600</v>
      </c>
      <c r="F476">
        <f t="shared" si="30"/>
        <v>0</v>
      </c>
      <c r="G476">
        <f t="shared" si="31"/>
        <v>0</v>
      </c>
      <c r="H476">
        <f t="shared" si="29"/>
        <v>600</v>
      </c>
      <c r="I476">
        <f>SUM($H$2:H476)</f>
        <v>30310</v>
      </c>
    </row>
    <row r="477" spans="1:9" x14ac:dyDescent="0.25">
      <c r="A477" s="1">
        <v>45402</v>
      </c>
      <c r="B477">
        <f t="shared" si="28"/>
        <v>6</v>
      </c>
      <c r="C477" t="s">
        <v>9</v>
      </c>
      <c r="D477">
        <f>IF(AND(MONTH(A477)&lt;&gt;MONTH(A476),I476&gt;=3*$S$2),D476+3,D476)</f>
        <v>40</v>
      </c>
      <c r="E477">
        <f>IF(B477&lt;6,ROUNDDOWN(D477*VLOOKUP(C477,$U$1:$V$5,2,FALSE),0)*$S$3,0)</f>
        <v>0</v>
      </c>
      <c r="F477">
        <f t="shared" si="30"/>
        <v>0</v>
      </c>
      <c r="G477">
        <f t="shared" si="31"/>
        <v>0</v>
      </c>
      <c r="H477">
        <f t="shared" si="29"/>
        <v>0</v>
      </c>
      <c r="I477">
        <f>SUM($H$2:H477)</f>
        <v>30310</v>
      </c>
    </row>
    <row r="478" spans="1:9" x14ac:dyDescent="0.25">
      <c r="A478" s="1">
        <v>45403</v>
      </c>
      <c r="B478">
        <f t="shared" si="28"/>
        <v>7</v>
      </c>
      <c r="C478" t="s">
        <v>9</v>
      </c>
      <c r="D478">
        <f>IF(AND(MONTH(A478)&lt;&gt;MONTH(A477),I477&gt;=3*$S$2),D477+3,D477)</f>
        <v>40</v>
      </c>
      <c r="E478">
        <f>IF(B478&lt;6,ROUNDDOWN(D478*VLOOKUP(C478,$U$1:$V$5,2,FALSE),0)*$S$3,0)</f>
        <v>0</v>
      </c>
      <c r="F478">
        <f t="shared" si="30"/>
        <v>600</v>
      </c>
      <c r="G478">
        <f t="shared" si="31"/>
        <v>0</v>
      </c>
      <c r="H478">
        <f t="shared" si="29"/>
        <v>-600</v>
      </c>
      <c r="I478">
        <f>SUM($H$2:H478)</f>
        <v>29710</v>
      </c>
    </row>
    <row r="479" spans="1:9" x14ac:dyDescent="0.25">
      <c r="A479" s="1">
        <v>45404</v>
      </c>
      <c r="B479">
        <f t="shared" si="28"/>
        <v>1</v>
      </c>
      <c r="C479" t="s">
        <v>9</v>
      </c>
      <c r="D479">
        <f>IF(AND(MONTH(A479)&lt;&gt;MONTH(A478),I478&gt;=3*$S$2),D478+3,D478)</f>
        <v>40</v>
      </c>
      <c r="E479">
        <f>IF(B479&lt;6,ROUNDDOWN(D479*VLOOKUP(C479,$U$1:$V$5,2,FALSE),0)*$S$3,0)</f>
        <v>600</v>
      </c>
      <c r="F479">
        <f t="shared" si="30"/>
        <v>0</v>
      </c>
      <c r="G479">
        <f t="shared" si="31"/>
        <v>0</v>
      </c>
      <c r="H479">
        <f t="shared" si="29"/>
        <v>600</v>
      </c>
      <c r="I479">
        <f>SUM($H$2:H479)</f>
        <v>30310</v>
      </c>
    </row>
    <row r="480" spans="1:9" x14ac:dyDescent="0.25">
      <c r="A480" s="1">
        <v>45405</v>
      </c>
      <c r="B480">
        <f t="shared" si="28"/>
        <v>2</v>
      </c>
      <c r="C480" t="s">
        <v>9</v>
      </c>
      <c r="D480">
        <f>IF(AND(MONTH(A480)&lt;&gt;MONTH(A479),I479&gt;=3*$S$2),D479+3,D479)</f>
        <v>40</v>
      </c>
      <c r="E480">
        <f>IF(B480&lt;6,ROUNDDOWN(D480*VLOOKUP(C480,$U$1:$V$5,2,FALSE),0)*$S$3,0)</f>
        <v>600</v>
      </c>
      <c r="F480">
        <f t="shared" si="30"/>
        <v>0</v>
      </c>
      <c r="G480">
        <f t="shared" si="31"/>
        <v>0</v>
      </c>
      <c r="H480">
        <f t="shared" si="29"/>
        <v>600</v>
      </c>
      <c r="I480">
        <f>SUM($H$2:H480)</f>
        <v>30910</v>
      </c>
    </row>
    <row r="481" spans="1:9" x14ac:dyDescent="0.25">
      <c r="A481" s="1">
        <v>45406</v>
      </c>
      <c r="B481">
        <f t="shared" si="28"/>
        <v>3</v>
      </c>
      <c r="C481" t="s">
        <v>9</v>
      </c>
      <c r="D481">
        <f>IF(AND(MONTH(A481)&lt;&gt;MONTH(A480),I480&gt;=3*$S$2),D480+3,D480)</f>
        <v>40</v>
      </c>
      <c r="E481">
        <f>IF(B481&lt;6,ROUNDDOWN(D481*VLOOKUP(C481,$U$1:$V$5,2,FALSE),0)*$S$3,0)</f>
        <v>600</v>
      </c>
      <c r="F481">
        <f t="shared" si="30"/>
        <v>0</v>
      </c>
      <c r="G481">
        <f t="shared" si="31"/>
        <v>0</v>
      </c>
      <c r="H481">
        <f t="shared" si="29"/>
        <v>600</v>
      </c>
      <c r="I481">
        <f>SUM($H$2:H481)</f>
        <v>31510</v>
      </c>
    </row>
    <row r="482" spans="1:9" x14ac:dyDescent="0.25">
      <c r="A482" s="1">
        <v>45407</v>
      </c>
      <c r="B482">
        <f t="shared" si="28"/>
        <v>4</v>
      </c>
      <c r="C482" t="s">
        <v>9</v>
      </c>
      <c r="D482">
        <f>IF(AND(MONTH(A482)&lt;&gt;MONTH(A481),I481&gt;=3*$S$2),D481+3,D481)</f>
        <v>40</v>
      </c>
      <c r="E482">
        <f>IF(B482&lt;6,ROUNDDOWN(D482*VLOOKUP(C482,$U$1:$V$5,2,FALSE),0)*$S$3,0)</f>
        <v>600</v>
      </c>
      <c r="F482">
        <f t="shared" si="30"/>
        <v>0</v>
      </c>
      <c r="G482">
        <f t="shared" si="31"/>
        <v>0</v>
      </c>
      <c r="H482">
        <f t="shared" si="29"/>
        <v>600</v>
      </c>
      <c r="I482">
        <f>SUM($H$2:H482)</f>
        <v>32110</v>
      </c>
    </row>
    <row r="483" spans="1:9" x14ac:dyDescent="0.25">
      <c r="A483" s="1">
        <v>45408</v>
      </c>
      <c r="B483">
        <f t="shared" si="28"/>
        <v>5</v>
      </c>
      <c r="C483" t="s">
        <v>9</v>
      </c>
      <c r="D483">
        <f>IF(AND(MONTH(A483)&lt;&gt;MONTH(A482),I482&gt;=3*$S$2),D482+3,D482)</f>
        <v>40</v>
      </c>
      <c r="E483">
        <f>IF(B483&lt;6,ROUNDDOWN(D483*VLOOKUP(C483,$U$1:$V$5,2,FALSE),0)*$S$3,0)</f>
        <v>600</v>
      </c>
      <c r="F483">
        <f t="shared" si="30"/>
        <v>0</v>
      </c>
      <c r="G483">
        <f t="shared" si="31"/>
        <v>0</v>
      </c>
      <c r="H483">
        <f t="shared" si="29"/>
        <v>600</v>
      </c>
      <c r="I483">
        <f>SUM($H$2:H483)</f>
        <v>32710</v>
      </c>
    </row>
    <row r="484" spans="1:9" x14ac:dyDescent="0.25">
      <c r="A484" s="1">
        <v>45409</v>
      </c>
      <c r="B484">
        <f t="shared" si="28"/>
        <v>6</v>
      </c>
      <c r="C484" t="s">
        <v>9</v>
      </c>
      <c r="D484">
        <f>IF(AND(MONTH(A484)&lt;&gt;MONTH(A483),I483&gt;=3*$S$2),D483+3,D483)</f>
        <v>40</v>
      </c>
      <c r="E484">
        <f>IF(B484&lt;6,ROUNDDOWN(D484*VLOOKUP(C484,$U$1:$V$5,2,FALSE),0)*$S$3,0)</f>
        <v>0</v>
      </c>
      <c r="F484">
        <f t="shared" si="30"/>
        <v>0</v>
      </c>
      <c r="G484">
        <f t="shared" si="31"/>
        <v>0</v>
      </c>
      <c r="H484">
        <f t="shared" si="29"/>
        <v>0</v>
      </c>
      <c r="I484">
        <f>SUM($H$2:H484)</f>
        <v>32710</v>
      </c>
    </row>
    <row r="485" spans="1:9" x14ac:dyDescent="0.25">
      <c r="A485" s="1">
        <v>45410</v>
      </c>
      <c r="B485">
        <f t="shared" si="28"/>
        <v>7</v>
      </c>
      <c r="C485" t="s">
        <v>9</v>
      </c>
      <c r="D485">
        <f>IF(AND(MONTH(A485)&lt;&gt;MONTH(A484),I484&gt;=3*$S$2),D484+3,D484)</f>
        <v>40</v>
      </c>
      <c r="E485">
        <f>IF(B485&lt;6,ROUNDDOWN(D485*VLOOKUP(C485,$U$1:$V$5,2,FALSE),0)*$S$3,0)</f>
        <v>0</v>
      </c>
      <c r="F485">
        <f t="shared" si="30"/>
        <v>600</v>
      </c>
      <c r="G485">
        <f t="shared" si="31"/>
        <v>0</v>
      </c>
      <c r="H485">
        <f t="shared" si="29"/>
        <v>-600</v>
      </c>
      <c r="I485">
        <f>SUM($H$2:H485)</f>
        <v>32110</v>
      </c>
    </row>
    <row r="486" spans="1:9" x14ac:dyDescent="0.25">
      <c r="A486" s="1">
        <v>45411</v>
      </c>
      <c r="B486">
        <f t="shared" si="28"/>
        <v>1</v>
      </c>
      <c r="C486" t="s">
        <v>9</v>
      </c>
      <c r="D486">
        <f>IF(AND(MONTH(A486)&lt;&gt;MONTH(A485),I485&gt;=3*$S$2),D485+3,D485)</f>
        <v>40</v>
      </c>
      <c r="E486">
        <f>IF(B486&lt;6,ROUNDDOWN(D486*VLOOKUP(C486,$U$1:$V$5,2,FALSE),0)*$S$3,0)</f>
        <v>600</v>
      </c>
      <c r="F486">
        <f t="shared" si="30"/>
        <v>0</v>
      </c>
      <c r="G486">
        <f t="shared" si="31"/>
        <v>0</v>
      </c>
      <c r="H486">
        <f t="shared" si="29"/>
        <v>600</v>
      </c>
      <c r="I486">
        <f>SUM($H$2:H486)</f>
        <v>32710</v>
      </c>
    </row>
    <row r="487" spans="1:9" x14ac:dyDescent="0.25">
      <c r="A487" s="1">
        <v>45412</v>
      </c>
      <c r="B487">
        <f t="shared" si="28"/>
        <v>2</v>
      </c>
      <c r="C487" t="s">
        <v>9</v>
      </c>
      <c r="D487">
        <f>IF(AND(MONTH(A487)&lt;&gt;MONTH(A486),I486&gt;=3*$S$2),D486+3,D486)</f>
        <v>40</v>
      </c>
      <c r="E487">
        <f>IF(B487&lt;6,ROUNDDOWN(D487*VLOOKUP(C487,$U$1:$V$5,2,FALSE),0)*$S$3,0)</f>
        <v>600</v>
      </c>
      <c r="F487">
        <f t="shared" si="30"/>
        <v>0</v>
      </c>
      <c r="G487">
        <f t="shared" si="31"/>
        <v>0</v>
      </c>
      <c r="H487">
        <f t="shared" si="29"/>
        <v>600</v>
      </c>
      <c r="I487">
        <f>SUM($H$2:H487)</f>
        <v>33310</v>
      </c>
    </row>
    <row r="488" spans="1:9" x14ac:dyDescent="0.25">
      <c r="A488" s="1">
        <v>45413</v>
      </c>
      <c r="B488">
        <f t="shared" si="28"/>
        <v>3</v>
      </c>
      <c r="C488" t="s">
        <v>9</v>
      </c>
      <c r="D488">
        <f>IF(AND(MONTH(A488)&lt;&gt;MONTH(A487),I487&gt;=3*$S$2),D487+3,D487)</f>
        <v>43</v>
      </c>
      <c r="E488">
        <f>IF(B488&lt;6,ROUNDDOWN(D488*VLOOKUP(C488,$U$1:$V$5,2,FALSE),0)*$S$3,0)</f>
        <v>630</v>
      </c>
      <c r="F488">
        <f t="shared" si="30"/>
        <v>0</v>
      </c>
      <c r="G488">
        <f t="shared" si="31"/>
        <v>2400</v>
      </c>
      <c r="H488">
        <f t="shared" si="29"/>
        <v>-1770</v>
      </c>
      <c r="I488">
        <f>SUM($H$2:H488)</f>
        <v>31540</v>
      </c>
    </row>
    <row r="489" spans="1:9" x14ac:dyDescent="0.25">
      <c r="A489" s="1">
        <v>45414</v>
      </c>
      <c r="B489">
        <f t="shared" si="28"/>
        <v>4</v>
      </c>
      <c r="C489" t="s">
        <v>9</v>
      </c>
      <c r="D489">
        <f>IF(AND(MONTH(A489)&lt;&gt;MONTH(A488),I488&gt;=3*$S$2),D488+3,D488)</f>
        <v>43</v>
      </c>
      <c r="E489">
        <f>IF(B489&lt;6,ROUNDDOWN(D489*VLOOKUP(C489,$U$1:$V$5,2,FALSE),0)*$S$3,0)</f>
        <v>630</v>
      </c>
      <c r="F489">
        <f t="shared" si="30"/>
        <v>0</v>
      </c>
      <c r="G489">
        <f t="shared" si="31"/>
        <v>0</v>
      </c>
      <c r="H489">
        <f t="shared" si="29"/>
        <v>630</v>
      </c>
      <c r="I489">
        <f>SUM($H$2:H489)</f>
        <v>32170</v>
      </c>
    </row>
    <row r="490" spans="1:9" x14ac:dyDescent="0.25">
      <c r="A490" s="1">
        <v>45415</v>
      </c>
      <c r="B490">
        <f t="shared" si="28"/>
        <v>5</v>
      </c>
      <c r="C490" t="s">
        <v>9</v>
      </c>
      <c r="D490">
        <f>IF(AND(MONTH(A490)&lt;&gt;MONTH(A489),I489&gt;=3*$S$2),D489+3,D489)</f>
        <v>43</v>
      </c>
      <c r="E490">
        <f>IF(B490&lt;6,ROUNDDOWN(D490*VLOOKUP(C490,$U$1:$V$5,2,FALSE),0)*$S$3,0)</f>
        <v>630</v>
      </c>
      <c r="F490">
        <f t="shared" si="30"/>
        <v>0</v>
      </c>
      <c r="G490">
        <f t="shared" si="31"/>
        <v>0</v>
      </c>
      <c r="H490">
        <f t="shared" si="29"/>
        <v>630</v>
      </c>
      <c r="I490">
        <f>SUM($H$2:H490)</f>
        <v>32800</v>
      </c>
    </row>
    <row r="491" spans="1:9" x14ac:dyDescent="0.25">
      <c r="A491" s="1">
        <v>45416</v>
      </c>
      <c r="B491">
        <f t="shared" si="28"/>
        <v>6</v>
      </c>
      <c r="C491" t="s">
        <v>9</v>
      </c>
      <c r="D491">
        <f>IF(AND(MONTH(A491)&lt;&gt;MONTH(A490),I490&gt;=3*$S$2),D490+3,D490)</f>
        <v>43</v>
      </c>
      <c r="E491">
        <f>IF(B491&lt;6,ROUNDDOWN(D491*VLOOKUP(C491,$U$1:$V$5,2,FALSE),0)*$S$3,0)</f>
        <v>0</v>
      </c>
      <c r="F491">
        <f t="shared" si="30"/>
        <v>0</v>
      </c>
      <c r="G491">
        <f t="shared" si="31"/>
        <v>0</v>
      </c>
      <c r="H491">
        <f t="shared" si="29"/>
        <v>0</v>
      </c>
      <c r="I491">
        <f>SUM($H$2:H491)</f>
        <v>32800</v>
      </c>
    </row>
    <row r="492" spans="1:9" x14ac:dyDescent="0.25">
      <c r="A492" s="1">
        <v>45417</v>
      </c>
      <c r="B492">
        <f t="shared" si="28"/>
        <v>7</v>
      </c>
      <c r="C492" t="s">
        <v>9</v>
      </c>
      <c r="D492">
        <f>IF(AND(MONTH(A492)&lt;&gt;MONTH(A491),I491&gt;=3*$S$2),D491+3,D491)</f>
        <v>43</v>
      </c>
      <c r="E492">
        <f>IF(B492&lt;6,ROUNDDOWN(D492*VLOOKUP(C492,$U$1:$V$5,2,FALSE),0)*$S$3,0)</f>
        <v>0</v>
      </c>
      <c r="F492">
        <f t="shared" si="30"/>
        <v>645</v>
      </c>
      <c r="G492">
        <f t="shared" si="31"/>
        <v>0</v>
      </c>
      <c r="H492">
        <f t="shared" si="29"/>
        <v>-645</v>
      </c>
      <c r="I492">
        <f>SUM($H$2:H492)</f>
        <v>32155</v>
      </c>
    </row>
    <row r="493" spans="1:9" x14ac:dyDescent="0.25">
      <c r="A493" s="1">
        <v>45418</v>
      </c>
      <c r="B493">
        <f t="shared" si="28"/>
        <v>1</v>
      </c>
      <c r="C493" t="s">
        <v>9</v>
      </c>
      <c r="D493">
        <f>IF(AND(MONTH(A493)&lt;&gt;MONTH(A492),I492&gt;=3*$S$2),D492+3,D492)</f>
        <v>43</v>
      </c>
      <c r="E493">
        <f>IF(B493&lt;6,ROUNDDOWN(D493*VLOOKUP(C493,$U$1:$V$5,2,FALSE),0)*$S$3,0)</f>
        <v>630</v>
      </c>
      <c r="F493">
        <f t="shared" si="30"/>
        <v>0</v>
      </c>
      <c r="G493">
        <f t="shared" si="31"/>
        <v>0</v>
      </c>
      <c r="H493">
        <f t="shared" si="29"/>
        <v>630</v>
      </c>
      <c r="I493">
        <f>SUM($H$2:H493)</f>
        <v>32785</v>
      </c>
    </row>
    <row r="494" spans="1:9" x14ac:dyDescent="0.25">
      <c r="A494" s="1">
        <v>45419</v>
      </c>
      <c r="B494">
        <f t="shared" si="28"/>
        <v>2</v>
      </c>
      <c r="C494" t="s">
        <v>9</v>
      </c>
      <c r="D494">
        <f>IF(AND(MONTH(A494)&lt;&gt;MONTH(A493),I493&gt;=3*$S$2),D493+3,D493)</f>
        <v>43</v>
      </c>
      <c r="E494">
        <f>IF(B494&lt;6,ROUNDDOWN(D494*VLOOKUP(C494,$U$1:$V$5,2,FALSE),0)*$S$3,0)</f>
        <v>630</v>
      </c>
      <c r="F494">
        <f t="shared" si="30"/>
        <v>0</v>
      </c>
      <c r="G494">
        <f t="shared" si="31"/>
        <v>0</v>
      </c>
      <c r="H494">
        <f t="shared" si="29"/>
        <v>630</v>
      </c>
      <c r="I494">
        <f>SUM($H$2:H494)</f>
        <v>33415</v>
      </c>
    </row>
    <row r="495" spans="1:9" x14ac:dyDescent="0.25">
      <c r="A495" s="1">
        <v>45420</v>
      </c>
      <c r="B495">
        <f t="shared" si="28"/>
        <v>3</v>
      </c>
      <c r="C495" t="s">
        <v>9</v>
      </c>
      <c r="D495">
        <f>IF(AND(MONTH(A495)&lt;&gt;MONTH(A494),I494&gt;=3*$S$2),D494+3,D494)</f>
        <v>43</v>
      </c>
      <c r="E495">
        <f>IF(B495&lt;6,ROUNDDOWN(D495*VLOOKUP(C495,$U$1:$V$5,2,FALSE),0)*$S$3,0)</f>
        <v>630</v>
      </c>
      <c r="F495">
        <f t="shared" si="30"/>
        <v>0</v>
      </c>
      <c r="G495">
        <f t="shared" si="31"/>
        <v>0</v>
      </c>
      <c r="H495">
        <f t="shared" si="29"/>
        <v>630</v>
      </c>
      <c r="I495">
        <f>SUM($H$2:H495)</f>
        <v>34045</v>
      </c>
    </row>
    <row r="496" spans="1:9" x14ac:dyDescent="0.25">
      <c r="A496" s="1">
        <v>45421</v>
      </c>
      <c r="B496">
        <f t="shared" si="28"/>
        <v>4</v>
      </c>
      <c r="C496" t="s">
        <v>9</v>
      </c>
      <c r="D496">
        <f>IF(AND(MONTH(A496)&lt;&gt;MONTH(A495),I495&gt;=3*$S$2),D495+3,D495)</f>
        <v>43</v>
      </c>
      <c r="E496">
        <f>IF(B496&lt;6,ROUNDDOWN(D496*VLOOKUP(C496,$U$1:$V$5,2,FALSE),0)*$S$3,0)</f>
        <v>630</v>
      </c>
      <c r="F496">
        <f t="shared" si="30"/>
        <v>0</v>
      </c>
      <c r="G496">
        <f t="shared" si="31"/>
        <v>0</v>
      </c>
      <c r="H496">
        <f t="shared" si="29"/>
        <v>630</v>
      </c>
      <c r="I496">
        <f>SUM($H$2:H496)</f>
        <v>34675</v>
      </c>
    </row>
    <row r="497" spans="1:9" x14ac:dyDescent="0.25">
      <c r="A497" s="1">
        <v>45422</v>
      </c>
      <c r="B497">
        <f t="shared" si="28"/>
        <v>5</v>
      </c>
      <c r="C497" t="s">
        <v>9</v>
      </c>
      <c r="D497">
        <f>IF(AND(MONTH(A497)&lt;&gt;MONTH(A496),I496&gt;=3*$S$2),D496+3,D496)</f>
        <v>43</v>
      </c>
      <c r="E497">
        <f>IF(B497&lt;6,ROUNDDOWN(D497*VLOOKUP(C497,$U$1:$V$5,2,FALSE),0)*$S$3,0)</f>
        <v>630</v>
      </c>
      <c r="F497">
        <f t="shared" si="30"/>
        <v>0</v>
      </c>
      <c r="G497">
        <f t="shared" si="31"/>
        <v>0</v>
      </c>
      <c r="H497">
        <f t="shared" si="29"/>
        <v>630</v>
      </c>
      <c r="I497">
        <f>SUM($H$2:H497)</f>
        <v>35305</v>
      </c>
    </row>
    <row r="498" spans="1:9" x14ac:dyDescent="0.25">
      <c r="A498" s="1">
        <v>45423</v>
      </c>
      <c r="B498">
        <f t="shared" si="28"/>
        <v>6</v>
      </c>
      <c r="C498" t="s">
        <v>9</v>
      </c>
      <c r="D498">
        <f>IF(AND(MONTH(A498)&lt;&gt;MONTH(A497),I497&gt;=3*$S$2),D497+3,D497)</f>
        <v>43</v>
      </c>
      <c r="E498">
        <f>IF(B498&lt;6,ROUNDDOWN(D498*VLOOKUP(C498,$U$1:$V$5,2,FALSE),0)*$S$3,0)</f>
        <v>0</v>
      </c>
      <c r="F498">
        <f t="shared" si="30"/>
        <v>0</v>
      </c>
      <c r="G498">
        <f t="shared" si="31"/>
        <v>0</v>
      </c>
      <c r="H498">
        <f t="shared" si="29"/>
        <v>0</v>
      </c>
      <c r="I498">
        <f>SUM($H$2:H498)</f>
        <v>35305</v>
      </c>
    </row>
    <row r="499" spans="1:9" x14ac:dyDescent="0.25">
      <c r="A499" s="1">
        <v>45424</v>
      </c>
      <c r="B499">
        <f t="shared" si="28"/>
        <v>7</v>
      </c>
      <c r="C499" t="s">
        <v>9</v>
      </c>
      <c r="D499">
        <f>IF(AND(MONTH(A499)&lt;&gt;MONTH(A498),I498&gt;=3*$S$2),D498+3,D498)</f>
        <v>43</v>
      </c>
      <c r="E499">
        <f>IF(B499&lt;6,ROUNDDOWN(D499*VLOOKUP(C499,$U$1:$V$5,2,FALSE),0)*$S$3,0)</f>
        <v>0</v>
      </c>
      <c r="F499">
        <f t="shared" si="30"/>
        <v>645</v>
      </c>
      <c r="G499">
        <f t="shared" si="31"/>
        <v>0</v>
      </c>
      <c r="H499">
        <f t="shared" si="29"/>
        <v>-645</v>
      </c>
      <c r="I499">
        <f>SUM($H$2:H499)</f>
        <v>34660</v>
      </c>
    </row>
    <row r="500" spans="1:9" x14ac:dyDescent="0.25">
      <c r="A500" s="1">
        <v>45425</v>
      </c>
      <c r="B500">
        <f t="shared" si="28"/>
        <v>1</v>
      </c>
      <c r="C500" t="s">
        <v>9</v>
      </c>
      <c r="D500">
        <f>IF(AND(MONTH(A500)&lt;&gt;MONTH(A499),I499&gt;=3*$S$2),D499+3,D499)</f>
        <v>43</v>
      </c>
      <c r="E500">
        <f>IF(B500&lt;6,ROUNDDOWN(D500*VLOOKUP(C500,$U$1:$V$5,2,FALSE),0)*$S$3,0)</f>
        <v>630</v>
      </c>
      <c r="F500">
        <f t="shared" si="30"/>
        <v>0</v>
      </c>
      <c r="G500">
        <f t="shared" si="31"/>
        <v>0</v>
      </c>
      <c r="H500">
        <f t="shared" si="29"/>
        <v>630</v>
      </c>
      <c r="I500">
        <f>SUM($H$2:H500)</f>
        <v>35290</v>
      </c>
    </row>
    <row r="501" spans="1:9" x14ac:dyDescent="0.25">
      <c r="A501" s="1">
        <v>45426</v>
      </c>
      <c r="B501">
        <f t="shared" si="28"/>
        <v>2</v>
      </c>
      <c r="C501" t="s">
        <v>9</v>
      </c>
      <c r="D501">
        <f>IF(AND(MONTH(A501)&lt;&gt;MONTH(A500),I500&gt;=3*$S$2),D500+3,D500)</f>
        <v>43</v>
      </c>
      <c r="E501">
        <f>IF(B501&lt;6,ROUNDDOWN(D501*VLOOKUP(C501,$U$1:$V$5,2,FALSE),0)*$S$3,0)</f>
        <v>630</v>
      </c>
      <c r="F501">
        <f t="shared" si="30"/>
        <v>0</v>
      </c>
      <c r="G501">
        <f t="shared" si="31"/>
        <v>0</v>
      </c>
      <c r="H501">
        <f t="shared" si="29"/>
        <v>630</v>
      </c>
      <c r="I501">
        <f>SUM($H$2:H501)</f>
        <v>35920</v>
      </c>
    </row>
    <row r="502" spans="1:9" x14ac:dyDescent="0.25">
      <c r="A502" s="1">
        <v>45427</v>
      </c>
      <c r="B502">
        <f t="shared" si="28"/>
        <v>3</v>
      </c>
      <c r="C502" t="s">
        <v>9</v>
      </c>
      <c r="D502">
        <f>IF(AND(MONTH(A502)&lt;&gt;MONTH(A501),I501&gt;=3*$S$2),D501+3,D501)</f>
        <v>43</v>
      </c>
      <c r="E502">
        <f>IF(B502&lt;6,ROUNDDOWN(D502*VLOOKUP(C502,$U$1:$V$5,2,FALSE),0)*$S$3,0)</f>
        <v>630</v>
      </c>
      <c r="F502">
        <f t="shared" si="30"/>
        <v>0</v>
      </c>
      <c r="G502">
        <f t="shared" si="31"/>
        <v>0</v>
      </c>
      <c r="H502">
        <f t="shared" si="29"/>
        <v>630</v>
      </c>
      <c r="I502">
        <f>SUM($H$2:H502)</f>
        <v>36550</v>
      </c>
    </row>
    <row r="503" spans="1:9" x14ac:dyDescent="0.25">
      <c r="A503" s="1">
        <v>45428</v>
      </c>
      <c r="B503">
        <f t="shared" si="28"/>
        <v>4</v>
      </c>
      <c r="C503" t="s">
        <v>9</v>
      </c>
      <c r="D503">
        <f>IF(AND(MONTH(A503)&lt;&gt;MONTH(A502),I502&gt;=3*$S$2),D502+3,D502)</f>
        <v>43</v>
      </c>
      <c r="E503">
        <f>IF(B503&lt;6,ROUNDDOWN(D503*VLOOKUP(C503,$U$1:$V$5,2,FALSE),0)*$S$3,0)</f>
        <v>630</v>
      </c>
      <c r="F503">
        <f t="shared" si="30"/>
        <v>0</v>
      </c>
      <c r="G503">
        <f t="shared" si="31"/>
        <v>0</v>
      </c>
      <c r="H503">
        <f t="shared" si="29"/>
        <v>630</v>
      </c>
      <c r="I503">
        <f>SUM($H$2:H503)</f>
        <v>37180</v>
      </c>
    </row>
    <row r="504" spans="1:9" x14ac:dyDescent="0.25">
      <c r="A504" s="1">
        <v>45429</v>
      </c>
      <c r="B504">
        <f t="shared" si="28"/>
        <v>5</v>
      </c>
      <c r="C504" t="s">
        <v>9</v>
      </c>
      <c r="D504">
        <f>IF(AND(MONTH(A504)&lt;&gt;MONTH(A503),I503&gt;=3*$S$2),D503+3,D503)</f>
        <v>43</v>
      </c>
      <c r="E504">
        <f>IF(B504&lt;6,ROUNDDOWN(D504*VLOOKUP(C504,$U$1:$V$5,2,FALSE),0)*$S$3,0)</f>
        <v>630</v>
      </c>
      <c r="F504">
        <f t="shared" si="30"/>
        <v>0</v>
      </c>
      <c r="G504">
        <f t="shared" si="31"/>
        <v>0</v>
      </c>
      <c r="H504">
        <f t="shared" si="29"/>
        <v>630</v>
      </c>
      <c r="I504">
        <f>SUM($H$2:H504)</f>
        <v>37810</v>
      </c>
    </row>
    <row r="505" spans="1:9" x14ac:dyDescent="0.25">
      <c r="A505" s="1">
        <v>45430</v>
      </c>
      <c r="B505">
        <f t="shared" si="28"/>
        <v>6</v>
      </c>
      <c r="C505" t="s">
        <v>9</v>
      </c>
      <c r="D505">
        <f>IF(AND(MONTH(A505)&lt;&gt;MONTH(A504),I504&gt;=3*$S$2),D504+3,D504)</f>
        <v>43</v>
      </c>
      <c r="E505">
        <f>IF(B505&lt;6,ROUNDDOWN(D505*VLOOKUP(C505,$U$1:$V$5,2,FALSE),0)*$S$3,0)</f>
        <v>0</v>
      </c>
      <c r="F505">
        <f t="shared" si="30"/>
        <v>0</v>
      </c>
      <c r="G505">
        <f t="shared" si="31"/>
        <v>0</v>
      </c>
      <c r="H505">
        <f t="shared" si="29"/>
        <v>0</v>
      </c>
      <c r="I505">
        <f>SUM($H$2:H505)</f>
        <v>37810</v>
      </c>
    </row>
    <row r="506" spans="1:9" x14ac:dyDescent="0.25">
      <c r="A506" s="1">
        <v>45431</v>
      </c>
      <c r="B506">
        <f t="shared" si="28"/>
        <v>7</v>
      </c>
      <c r="C506" t="s">
        <v>9</v>
      </c>
      <c r="D506">
        <f>IF(AND(MONTH(A506)&lt;&gt;MONTH(A505),I505&gt;=3*$S$2),D505+3,D505)</f>
        <v>43</v>
      </c>
      <c r="E506">
        <f>IF(B506&lt;6,ROUNDDOWN(D506*VLOOKUP(C506,$U$1:$V$5,2,FALSE),0)*$S$3,0)</f>
        <v>0</v>
      </c>
      <c r="F506">
        <f t="shared" si="30"/>
        <v>645</v>
      </c>
      <c r="G506">
        <f t="shared" si="31"/>
        <v>0</v>
      </c>
      <c r="H506">
        <f t="shared" si="29"/>
        <v>-645</v>
      </c>
      <c r="I506">
        <f>SUM($H$2:H506)</f>
        <v>37165</v>
      </c>
    </row>
    <row r="507" spans="1:9" x14ac:dyDescent="0.25">
      <c r="A507" s="1">
        <v>45432</v>
      </c>
      <c r="B507">
        <f t="shared" si="28"/>
        <v>1</v>
      </c>
      <c r="C507" t="s">
        <v>9</v>
      </c>
      <c r="D507">
        <f>IF(AND(MONTH(A507)&lt;&gt;MONTH(A506),I506&gt;=3*$S$2),D506+3,D506)</f>
        <v>43</v>
      </c>
      <c r="E507">
        <f>IF(B507&lt;6,ROUNDDOWN(D507*VLOOKUP(C507,$U$1:$V$5,2,FALSE),0)*$S$3,0)</f>
        <v>630</v>
      </c>
      <c r="F507">
        <f t="shared" si="30"/>
        <v>0</v>
      </c>
      <c r="G507">
        <f t="shared" si="31"/>
        <v>0</v>
      </c>
      <c r="H507">
        <f t="shared" si="29"/>
        <v>630</v>
      </c>
      <c r="I507">
        <f>SUM($H$2:H507)</f>
        <v>37795</v>
      </c>
    </row>
    <row r="508" spans="1:9" x14ac:dyDescent="0.25">
      <c r="A508" s="1">
        <v>45433</v>
      </c>
      <c r="B508">
        <f t="shared" si="28"/>
        <v>2</v>
      </c>
      <c r="C508" t="s">
        <v>9</v>
      </c>
      <c r="D508">
        <f>IF(AND(MONTH(A508)&lt;&gt;MONTH(A507),I507&gt;=3*$S$2),D507+3,D507)</f>
        <v>43</v>
      </c>
      <c r="E508">
        <f>IF(B508&lt;6,ROUNDDOWN(D508*VLOOKUP(C508,$U$1:$V$5,2,FALSE),0)*$S$3,0)</f>
        <v>630</v>
      </c>
      <c r="F508">
        <f t="shared" si="30"/>
        <v>0</v>
      </c>
      <c r="G508">
        <f t="shared" si="31"/>
        <v>0</v>
      </c>
      <c r="H508">
        <f t="shared" si="29"/>
        <v>630</v>
      </c>
      <c r="I508">
        <f>SUM($H$2:H508)</f>
        <v>38425</v>
      </c>
    </row>
    <row r="509" spans="1:9" x14ac:dyDescent="0.25">
      <c r="A509" s="1">
        <v>45434</v>
      </c>
      <c r="B509">
        <f t="shared" si="28"/>
        <v>3</v>
      </c>
      <c r="C509" t="s">
        <v>9</v>
      </c>
      <c r="D509">
        <f>IF(AND(MONTH(A509)&lt;&gt;MONTH(A508),I508&gt;=3*$S$2),D508+3,D508)</f>
        <v>43</v>
      </c>
      <c r="E509">
        <f>IF(B509&lt;6,ROUNDDOWN(D509*VLOOKUP(C509,$U$1:$V$5,2,FALSE),0)*$S$3,0)</f>
        <v>630</v>
      </c>
      <c r="F509">
        <f t="shared" si="30"/>
        <v>0</v>
      </c>
      <c r="G509">
        <f t="shared" si="31"/>
        <v>0</v>
      </c>
      <c r="H509">
        <f t="shared" si="29"/>
        <v>630</v>
      </c>
      <c r="I509">
        <f>SUM($H$2:H509)</f>
        <v>39055</v>
      </c>
    </row>
    <row r="510" spans="1:9" x14ac:dyDescent="0.25">
      <c r="A510" s="1">
        <v>45435</v>
      </c>
      <c r="B510">
        <f t="shared" si="28"/>
        <v>4</v>
      </c>
      <c r="C510" t="s">
        <v>9</v>
      </c>
      <c r="D510">
        <f>IF(AND(MONTH(A510)&lt;&gt;MONTH(A509),I509&gt;=3*$S$2),D509+3,D509)</f>
        <v>43</v>
      </c>
      <c r="E510">
        <f>IF(B510&lt;6,ROUNDDOWN(D510*VLOOKUP(C510,$U$1:$V$5,2,FALSE),0)*$S$3,0)</f>
        <v>630</v>
      </c>
      <c r="F510">
        <f t="shared" si="30"/>
        <v>0</v>
      </c>
      <c r="G510">
        <f t="shared" si="31"/>
        <v>0</v>
      </c>
      <c r="H510">
        <f t="shared" si="29"/>
        <v>630</v>
      </c>
      <c r="I510">
        <f>SUM($H$2:H510)</f>
        <v>39685</v>
      </c>
    </row>
    <row r="511" spans="1:9" x14ac:dyDescent="0.25">
      <c r="A511" s="1">
        <v>45436</v>
      </c>
      <c r="B511">
        <f t="shared" si="28"/>
        <v>5</v>
      </c>
      <c r="C511" t="s">
        <v>9</v>
      </c>
      <c r="D511">
        <f>IF(AND(MONTH(A511)&lt;&gt;MONTH(A510),I510&gt;=3*$S$2),D510+3,D510)</f>
        <v>43</v>
      </c>
      <c r="E511">
        <f>IF(B511&lt;6,ROUNDDOWN(D511*VLOOKUP(C511,$U$1:$V$5,2,FALSE),0)*$S$3,0)</f>
        <v>630</v>
      </c>
      <c r="F511">
        <f t="shared" si="30"/>
        <v>0</v>
      </c>
      <c r="G511">
        <f t="shared" si="31"/>
        <v>0</v>
      </c>
      <c r="H511">
        <f t="shared" si="29"/>
        <v>630</v>
      </c>
      <c r="I511">
        <f>SUM($H$2:H511)</f>
        <v>40315</v>
      </c>
    </row>
    <row r="512" spans="1:9" x14ac:dyDescent="0.25">
      <c r="A512" s="1">
        <v>45437</v>
      </c>
      <c r="B512">
        <f t="shared" si="28"/>
        <v>6</v>
      </c>
      <c r="C512" t="s">
        <v>9</v>
      </c>
      <c r="D512">
        <f>IF(AND(MONTH(A512)&lt;&gt;MONTH(A511),I511&gt;=3*$S$2),D511+3,D511)</f>
        <v>43</v>
      </c>
      <c r="E512">
        <f>IF(B512&lt;6,ROUNDDOWN(D512*VLOOKUP(C512,$U$1:$V$5,2,FALSE),0)*$S$3,0)</f>
        <v>0</v>
      </c>
      <c r="F512">
        <f t="shared" si="30"/>
        <v>0</v>
      </c>
      <c r="G512">
        <f t="shared" si="31"/>
        <v>0</v>
      </c>
      <c r="H512">
        <f t="shared" si="29"/>
        <v>0</v>
      </c>
      <c r="I512">
        <f>SUM($H$2:H512)</f>
        <v>40315</v>
      </c>
    </row>
    <row r="513" spans="1:9" x14ac:dyDescent="0.25">
      <c r="A513" s="1">
        <v>45438</v>
      </c>
      <c r="B513">
        <f t="shared" si="28"/>
        <v>7</v>
      </c>
      <c r="C513" t="s">
        <v>9</v>
      </c>
      <c r="D513">
        <f>IF(AND(MONTH(A513)&lt;&gt;MONTH(A512),I512&gt;=3*$S$2),D512+3,D512)</f>
        <v>43</v>
      </c>
      <c r="E513">
        <f>IF(B513&lt;6,ROUNDDOWN(D513*VLOOKUP(C513,$U$1:$V$5,2,FALSE),0)*$S$3,0)</f>
        <v>0</v>
      </c>
      <c r="F513">
        <f t="shared" si="30"/>
        <v>645</v>
      </c>
      <c r="G513">
        <f t="shared" si="31"/>
        <v>0</v>
      </c>
      <c r="H513">
        <f t="shared" si="29"/>
        <v>-645</v>
      </c>
      <c r="I513">
        <f>SUM($H$2:H513)</f>
        <v>39670</v>
      </c>
    </row>
    <row r="514" spans="1:9" x14ac:dyDescent="0.25">
      <c r="A514" s="1">
        <v>45439</v>
      </c>
      <c r="B514">
        <f t="shared" si="28"/>
        <v>1</v>
      </c>
      <c r="C514" t="s">
        <v>9</v>
      </c>
      <c r="D514">
        <f>IF(AND(MONTH(A514)&lt;&gt;MONTH(A513),I513&gt;=3*$S$2),D513+3,D513)</f>
        <v>43</v>
      </c>
      <c r="E514">
        <f>IF(B514&lt;6,ROUNDDOWN(D514*VLOOKUP(C514,$U$1:$V$5,2,FALSE),0)*$S$3,0)</f>
        <v>630</v>
      </c>
      <c r="F514">
        <f t="shared" si="30"/>
        <v>0</v>
      </c>
      <c r="G514">
        <f t="shared" si="31"/>
        <v>0</v>
      </c>
      <c r="H514">
        <f t="shared" si="29"/>
        <v>630</v>
      </c>
      <c r="I514">
        <f>SUM($H$2:H514)</f>
        <v>40300</v>
      </c>
    </row>
    <row r="515" spans="1:9" x14ac:dyDescent="0.25">
      <c r="A515" s="1">
        <v>45440</v>
      </c>
      <c r="B515">
        <f t="shared" ref="B515:B578" si="32">WEEKDAY(A515,2)</f>
        <v>2</v>
      </c>
      <c r="C515" t="s">
        <v>9</v>
      </c>
      <c r="D515">
        <f>IF(AND(MONTH(A515)&lt;&gt;MONTH(A514),I514&gt;=3*$S$2),D514+3,D514)</f>
        <v>43</v>
      </c>
      <c r="E515">
        <f>IF(B515&lt;6,ROUNDDOWN(D515*VLOOKUP(C515,$U$1:$V$5,2,FALSE),0)*$S$3,0)</f>
        <v>630</v>
      </c>
      <c r="F515">
        <f t="shared" si="30"/>
        <v>0</v>
      </c>
      <c r="G515">
        <f t="shared" si="31"/>
        <v>0</v>
      </c>
      <c r="H515">
        <f t="shared" ref="H515:H578" si="33">E515-F515-G515</f>
        <v>630</v>
      </c>
      <c r="I515">
        <f>SUM($H$2:H515)</f>
        <v>40930</v>
      </c>
    </row>
    <row r="516" spans="1:9" x14ac:dyDescent="0.25">
      <c r="A516" s="1">
        <v>45441</v>
      </c>
      <c r="B516">
        <f t="shared" si="32"/>
        <v>3</v>
      </c>
      <c r="C516" t="s">
        <v>9</v>
      </c>
      <c r="D516">
        <f>IF(AND(MONTH(A516)&lt;&gt;MONTH(A515),I515&gt;=3*$S$2),D515+3,D515)</f>
        <v>43</v>
      </c>
      <c r="E516">
        <f>IF(B516&lt;6,ROUNDDOWN(D516*VLOOKUP(C516,$U$1:$V$5,2,FALSE),0)*$S$3,0)</f>
        <v>630</v>
      </c>
      <c r="F516">
        <f t="shared" ref="F516:F579" si="34">IF(B516=7,$S$4*D516,0)</f>
        <v>0</v>
      </c>
      <c r="G516">
        <f t="shared" ref="G516:G579" si="35">IF(D516&gt;D515,3*$S$2,0)</f>
        <v>0</v>
      </c>
      <c r="H516">
        <f t="shared" si="33"/>
        <v>630</v>
      </c>
      <c r="I516">
        <f>SUM($H$2:H516)</f>
        <v>41560</v>
      </c>
    </row>
    <row r="517" spans="1:9" x14ac:dyDescent="0.25">
      <c r="A517" s="1">
        <v>45442</v>
      </c>
      <c r="B517">
        <f t="shared" si="32"/>
        <v>4</v>
      </c>
      <c r="C517" t="s">
        <v>9</v>
      </c>
      <c r="D517">
        <f>IF(AND(MONTH(A517)&lt;&gt;MONTH(A516),I516&gt;=3*$S$2),D516+3,D516)</f>
        <v>43</v>
      </c>
      <c r="E517">
        <f>IF(B517&lt;6,ROUNDDOWN(D517*VLOOKUP(C517,$U$1:$V$5,2,FALSE),0)*$S$3,0)</f>
        <v>630</v>
      </c>
      <c r="F517">
        <f t="shared" si="34"/>
        <v>0</v>
      </c>
      <c r="G517">
        <f t="shared" si="35"/>
        <v>0</v>
      </c>
      <c r="H517">
        <f t="shared" si="33"/>
        <v>630</v>
      </c>
      <c r="I517">
        <f>SUM($H$2:H517)</f>
        <v>42190</v>
      </c>
    </row>
    <row r="518" spans="1:9" x14ac:dyDescent="0.25">
      <c r="A518" s="1">
        <v>45443</v>
      </c>
      <c r="B518">
        <f t="shared" si="32"/>
        <v>5</v>
      </c>
      <c r="C518" t="s">
        <v>9</v>
      </c>
      <c r="D518">
        <f>IF(AND(MONTH(A518)&lt;&gt;MONTH(A517),I517&gt;=3*$S$2),D517+3,D517)</f>
        <v>43</v>
      </c>
      <c r="E518">
        <f>IF(B518&lt;6,ROUNDDOWN(D518*VLOOKUP(C518,$U$1:$V$5,2,FALSE),0)*$S$3,0)</f>
        <v>630</v>
      </c>
      <c r="F518">
        <f t="shared" si="34"/>
        <v>0</v>
      </c>
      <c r="G518">
        <f t="shared" si="35"/>
        <v>0</v>
      </c>
      <c r="H518">
        <f t="shared" si="33"/>
        <v>630</v>
      </c>
      <c r="I518">
        <f>SUM($H$2:H518)</f>
        <v>42820</v>
      </c>
    </row>
    <row r="519" spans="1:9" x14ac:dyDescent="0.25">
      <c r="A519" s="1">
        <v>45444</v>
      </c>
      <c r="B519">
        <f t="shared" si="32"/>
        <v>6</v>
      </c>
      <c r="C519" t="s">
        <v>9</v>
      </c>
      <c r="D519">
        <f>IF(AND(MONTH(A519)&lt;&gt;MONTH(A518),I518&gt;=3*$S$2),D518+3,D518)</f>
        <v>46</v>
      </c>
      <c r="E519">
        <f>IF(B519&lt;6,ROUNDDOWN(D519*VLOOKUP(C519,$U$1:$V$5,2,FALSE),0)*$S$3,0)</f>
        <v>0</v>
      </c>
      <c r="F519">
        <f t="shared" si="34"/>
        <v>0</v>
      </c>
      <c r="G519">
        <f t="shared" si="35"/>
        <v>2400</v>
      </c>
      <c r="H519">
        <f t="shared" si="33"/>
        <v>-2400</v>
      </c>
      <c r="I519">
        <f>SUM($H$2:H519)</f>
        <v>40420</v>
      </c>
    </row>
    <row r="520" spans="1:9" x14ac:dyDescent="0.25">
      <c r="A520" s="1">
        <v>45445</v>
      </c>
      <c r="B520">
        <f t="shared" si="32"/>
        <v>7</v>
      </c>
      <c r="C520" t="s">
        <v>9</v>
      </c>
      <c r="D520">
        <f>IF(AND(MONTH(A520)&lt;&gt;MONTH(A519),I519&gt;=3*$S$2),D519+3,D519)</f>
        <v>46</v>
      </c>
      <c r="E520">
        <f>IF(B520&lt;6,ROUNDDOWN(D520*VLOOKUP(C520,$U$1:$V$5,2,FALSE),0)*$S$3,0)</f>
        <v>0</v>
      </c>
      <c r="F520">
        <f t="shared" si="34"/>
        <v>690</v>
      </c>
      <c r="G520">
        <f t="shared" si="35"/>
        <v>0</v>
      </c>
      <c r="H520">
        <f t="shared" si="33"/>
        <v>-690</v>
      </c>
      <c r="I520">
        <f>SUM($H$2:H520)</f>
        <v>39730</v>
      </c>
    </row>
    <row r="521" spans="1:9" x14ac:dyDescent="0.25">
      <c r="A521" s="1">
        <v>45446</v>
      </c>
      <c r="B521">
        <f t="shared" si="32"/>
        <v>1</v>
      </c>
      <c r="C521" t="s">
        <v>9</v>
      </c>
      <c r="D521">
        <f>IF(AND(MONTH(A521)&lt;&gt;MONTH(A520),I520&gt;=3*$S$2),D520+3,D520)</f>
        <v>46</v>
      </c>
      <c r="E521">
        <f>IF(B521&lt;6,ROUNDDOWN(D521*VLOOKUP(C521,$U$1:$V$5,2,FALSE),0)*$S$3,0)</f>
        <v>690</v>
      </c>
      <c r="F521">
        <f t="shared" si="34"/>
        <v>0</v>
      </c>
      <c r="G521">
        <f t="shared" si="35"/>
        <v>0</v>
      </c>
      <c r="H521">
        <f t="shared" si="33"/>
        <v>690</v>
      </c>
      <c r="I521">
        <f>SUM($H$2:H521)</f>
        <v>40420</v>
      </c>
    </row>
    <row r="522" spans="1:9" x14ac:dyDescent="0.25">
      <c r="A522" s="1">
        <v>45447</v>
      </c>
      <c r="B522">
        <f t="shared" si="32"/>
        <v>2</v>
      </c>
      <c r="C522" t="s">
        <v>9</v>
      </c>
      <c r="D522">
        <f>IF(AND(MONTH(A522)&lt;&gt;MONTH(A521),I521&gt;=3*$S$2),D521+3,D521)</f>
        <v>46</v>
      </c>
      <c r="E522">
        <f>IF(B522&lt;6,ROUNDDOWN(D522*VLOOKUP(C522,$U$1:$V$5,2,FALSE),0)*$S$3,0)</f>
        <v>690</v>
      </c>
      <c r="F522">
        <f t="shared" si="34"/>
        <v>0</v>
      </c>
      <c r="G522">
        <f t="shared" si="35"/>
        <v>0</v>
      </c>
      <c r="H522">
        <f t="shared" si="33"/>
        <v>690</v>
      </c>
      <c r="I522">
        <f>SUM($H$2:H522)</f>
        <v>41110</v>
      </c>
    </row>
    <row r="523" spans="1:9" x14ac:dyDescent="0.25">
      <c r="A523" s="1">
        <v>45448</v>
      </c>
      <c r="B523">
        <f t="shared" si="32"/>
        <v>3</v>
      </c>
      <c r="C523" t="s">
        <v>9</v>
      </c>
      <c r="D523">
        <f>IF(AND(MONTH(A523)&lt;&gt;MONTH(A522),I522&gt;=3*$S$2),D522+3,D522)</f>
        <v>46</v>
      </c>
      <c r="E523">
        <f>IF(B523&lt;6,ROUNDDOWN(D523*VLOOKUP(C523,$U$1:$V$5,2,FALSE),0)*$S$3,0)</f>
        <v>690</v>
      </c>
      <c r="F523">
        <f t="shared" si="34"/>
        <v>0</v>
      </c>
      <c r="G523">
        <f t="shared" si="35"/>
        <v>0</v>
      </c>
      <c r="H523">
        <f t="shared" si="33"/>
        <v>690</v>
      </c>
      <c r="I523">
        <f>SUM($H$2:H523)</f>
        <v>41800</v>
      </c>
    </row>
    <row r="524" spans="1:9" x14ac:dyDescent="0.25">
      <c r="A524" s="1">
        <v>45449</v>
      </c>
      <c r="B524">
        <f t="shared" si="32"/>
        <v>4</v>
      </c>
      <c r="C524" t="s">
        <v>9</v>
      </c>
      <c r="D524">
        <f>IF(AND(MONTH(A524)&lt;&gt;MONTH(A523),I523&gt;=3*$S$2),D523+3,D523)</f>
        <v>46</v>
      </c>
      <c r="E524">
        <f>IF(B524&lt;6,ROUNDDOWN(D524*VLOOKUP(C524,$U$1:$V$5,2,FALSE),0)*$S$3,0)</f>
        <v>690</v>
      </c>
      <c r="F524">
        <f t="shared" si="34"/>
        <v>0</v>
      </c>
      <c r="G524">
        <f t="shared" si="35"/>
        <v>0</v>
      </c>
      <c r="H524">
        <f t="shared" si="33"/>
        <v>690</v>
      </c>
      <c r="I524">
        <f>SUM($H$2:H524)</f>
        <v>42490</v>
      </c>
    </row>
    <row r="525" spans="1:9" x14ac:dyDescent="0.25">
      <c r="A525" s="1">
        <v>45450</v>
      </c>
      <c r="B525">
        <f t="shared" si="32"/>
        <v>5</v>
      </c>
      <c r="C525" t="s">
        <v>9</v>
      </c>
      <c r="D525">
        <f>IF(AND(MONTH(A525)&lt;&gt;MONTH(A524),I524&gt;=3*$S$2),D524+3,D524)</f>
        <v>46</v>
      </c>
      <c r="E525">
        <f>IF(B525&lt;6,ROUNDDOWN(D525*VLOOKUP(C525,$U$1:$V$5,2,FALSE),0)*$S$3,0)</f>
        <v>690</v>
      </c>
      <c r="F525">
        <f t="shared" si="34"/>
        <v>0</v>
      </c>
      <c r="G525">
        <f t="shared" si="35"/>
        <v>0</v>
      </c>
      <c r="H525">
        <f t="shared" si="33"/>
        <v>690</v>
      </c>
      <c r="I525">
        <f>SUM($H$2:H525)</f>
        <v>43180</v>
      </c>
    </row>
    <row r="526" spans="1:9" x14ac:dyDescent="0.25">
      <c r="A526" s="1">
        <v>45451</v>
      </c>
      <c r="B526">
        <f t="shared" si="32"/>
        <v>6</v>
      </c>
      <c r="C526" t="s">
        <v>9</v>
      </c>
      <c r="D526">
        <f>IF(AND(MONTH(A526)&lt;&gt;MONTH(A525),I525&gt;=3*$S$2),D525+3,D525)</f>
        <v>46</v>
      </c>
      <c r="E526">
        <f>IF(B526&lt;6,ROUNDDOWN(D526*VLOOKUP(C526,$U$1:$V$5,2,FALSE),0)*$S$3,0)</f>
        <v>0</v>
      </c>
      <c r="F526">
        <f t="shared" si="34"/>
        <v>0</v>
      </c>
      <c r="G526">
        <f t="shared" si="35"/>
        <v>0</v>
      </c>
      <c r="H526">
        <f t="shared" si="33"/>
        <v>0</v>
      </c>
      <c r="I526">
        <f>SUM($H$2:H526)</f>
        <v>43180</v>
      </c>
    </row>
    <row r="527" spans="1:9" x14ac:dyDescent="0.25">
      <c r="A527" s="1">
        <v>45452</v>
      </c>
      <c r="B527">
        <f t="shared" si="32"/>
        <v>7</v>
      </c>
      <c r="C527" t="s">
        <v>9</v>
      </c>
      <c r="D527">
        <f>IF(AND(MONTH(A527)&lt;&gt;MONTH(A526),I526&gt;=3*$S$2),D526+3,D526)</f>
        <v>46</v>
      </c>
      <c r="E527">
        <f>IF(B527&lt;6,ROUNDDOWN(D527*VLOOKUP(C527,$U$1:$V$5,2,FALSE),0)*$S$3,0)</f>
        <v>0</v>
      </c>
      <c r="F527">
        <f t="shared" si="34"/>
        <v>690</v>
      </c>
      <c r="G527">
        <f t="shared" si="35"/>
        <v>0</v>
      </c>
      <c r="H527">
        <f t="shared" si="33"/>
        <v>-690</v>
      </c>
      <c r="I527">
        <f>SUM($H$2:H527)</f>
        <v>42490</v>
      </c>
    </row>
    <row r="528" spans="1:9" x14ac:dyDescent="0.25">
      <c r="A528" s="1">
        <v>45453</v>
      </c>
      <c r="B528">
        <f t="shared" si="32"/>
        <v>1</v>
      </c>
      <c r="C528" t="s">
        <v>9</v>
      </c>
      <c r="D528">
        <f>IF(AND(MONTH(A528)&lt;&gt;MONTH(A527),I527&gt;=3*$S$2),D527+3,D527)</f>
        <v>46</v>
      </c>
      <c r="E528">
        <f>IF(B528&lt;6,ROUNDDOWN(D528*VLOOKUP(C528,$U$1:$V$5,2,FALSE),0)*$S$3,0)</f>
        <v>690</v>
      </c>
      <c r="F528">
        <f t="shared" si="34"/>
        <v>0</v>
      </c>
      <c r="G528">
        <f t="shared" si="35"/>
        <v>0</v>
      </c>
      <c r="H528">
        <f t="shared" si="33"/>
        <v>690</v>
      </c>
      <c r="I528">
        <f>SUM($H$2:H528)</f>
        <v>43180</v>
      </c>
    </row>
    <row r="529" spans="1:9" x14ac:dyDescent="0.25">
      <c r="A529" s="1">
        <v>45454</v>
      </c>
      <c r="B529">
        <f t="shared" si="32"/>
        <v>2</v>
      </c>
      <c r="C529" t="s">
        <v>9</v>
      </c>
      <c r="D529">
        <f>IF(AND(MONTH(A529)&lt;&gt;MONTH(A528),I528&gt;=3*$S$2),D528+3,D528)</f>
        <v>46</v>
      </c>
      <c r="E529">
        <f>IF(B529&lt;6,ROUNDDOWN(D529*VLOOKUP(C529,$U$1:$V$5,2,FALSE),0)*$S$3,0)</f>
        <v>690</v>
      </c>
      <c r="F529">
        <f t="shared" si="34"/>
        <v>0</v>
      </c>
      <c r="G529">
        <f t="shared" si="35"/>
        <v>0</v>
      </c>
      <c r="H529">
        <f t="shared" si="33"/>
        <v>690</v>
      </c>
      <c r="I529">
        <f>SUM($H$2:H529)</f>
        <v>43870</v>
      </c>
    </row>
    <row r="530" spans="1:9" x14ac:dyDescent="0.25">
      <c r="A530" s="1">
        <v>45455</v>
      </c>
      <c r="B530">
        <f t="shared" si="32"/>
        <v>3</v>
      </c>
      <c r="C530" t="s">
        <v>9</v>
      </c>
      <c r="D530">
        <f>IF(AND(MONTH(A530)&lt;&gt;MONTH(A529),I529&gt;=3*$S$2),D529+3,D529)</f>
        <v>46</v>
      </c>
      <c r="E530">
        <f>IF(B530&lt;6,ROUNDDOWN(D530*VLOOKUP(C530,$U$1:$V$5,2,FALSE),0)*$S$3,0)</f>
        <v>690</v>
      </c>
      <c r="F530">
        <f t="shared" si="34"/>
        <v>0</v>
      </c>
      <c r="G530">
        <f t="shared" si="35"/>
        <v>0</v>
      </c>
      <c r="H530">
        <f t="shared" si="33"/>
        <v>690</v>
      </c>
      <c r="I530">
        <f>SUM($H$2:H530)</f>
        <v>44560</v>
      </c>
    </row>
    <row r="531" spans="1:9" x14ac:dyDescent="0.25">
      <c r="A531" s="1">
        <v>45456</v>
      </c>
      <c r="B531">
        <f t="shared" si="32"/>
        <v>4</v>
      </c>
      <c r="C531" t="s">
        <v>9</v>
      </c>
      <c r="D531">
        <f>IF(AND(MONTH(A531)&lt;&gt;MONTH(A530),I530&gt;=3*$S$2),D530+3,D530)</f>
        <v>46</v>
      </c>
      <c r="E531">
        <f>IF(B531&lt;6,ROUNDDOWN(D531*VLOOKUP(C531,$U$1:$V$5,2,FALSE),0)*$S$3,0)</f>
        <v>690</v>
      </c>
      <c r="F531">
        <f t="shared" si="34"/>
        <v>0</v>
      </c>
      <c r="G531">
        <f t="shared" si="35"/>
        <v>0</v>
      </c>
      <c r="H531">
        <f t="shared" si="33"/>
        <v>690</v>
      </c>
      <c r="I531">
        <f>SUM($H$2:H531)</f>
        <v>45250</v>
      </c>
    </row>
    <row r="532" spans="1:9" x14ac:dyDescent="0.25">
      <c r="A532" s="1">
        <v>45457</v>
      </c>
      <c r="B532">
        <f t="shared" si="32"/>
        <v>5</v>
      </c>
      <c r="C532" t="s">
        <v>9</v>
      </c>
      <c r="D532">
        <f>IF(AND(MONTH(A532)&lt;&gt;MONTH(A531),I531&gt;=3*$S$2),D531+3,D531)</f>
        <v>46</v>
      </c>
      <c r="E532">
        <f>IF(B532&lt;6,ROUNDDOWN(D532*VLOOKUP(C532,$U$1:$V$5,2,FALSE),0)*$S$3,0)</f>
        <v>690</v>
      </c>
      <c r="F532">
        <f t="shared" si="34"/>
        <v>0</v>
      </c>
      <c r="G532">
        <f t="shared" si="35"/>
        <v>0</v>
      </c>
      <c r="H532">
        <f t="shared" si="33"/>
        <v>690</v>
      </c>
      <c r="I532">
        <f>SUM($H$2:H532)</f>
        <v>45940</v>
      </c>
    </row>
    <row r="533" spans="1:9" x14ac:dyDescent="0.25">
      <c r="A533" s="1">
        <v>45458</v>
      </c>
      <c r="B533">
        <f t="shared" si="32"/>
        <v>6</v>
      </c>
      <c r="C533" t="s">
        <v>9</v>
      </c>
      <c r="D533">
        <f>IF(AND(MONTH(A533)&lt;&gt;MONTH(A532),I532&gt;=3*$S$2),D532+3,D532)</f>
        <v>46</v>
      </c>
      <c r="E533">
        <f>IF(B533&lt;6,ROUNDDOWN(D533*VLOOKUP(C533,$U$1:$V$5,2,FALSE),0)*$S$3,0)</f>
        <v>0</v>
      </c>
      <c r="F533">
        <f t="shared" si="34"/>
        <v>0</v>
      </c>
      <c r="G533">
        <f t="shared" si="35"/>
        <v>0</v>
      </c>
      <c r="H533">
        <f t="shared" si="33"/>
        <v>0</v>
      </c>
      <c r="I533">
        <f>SUM($H$2:H533)</f>
        <v>45940</v>
      </c>
    </row>
    <row r="534" spans="1:9" x14ac:dyDescent="0.25">
      <c r="A534" s="1">
        <v>45459</v>
      </c>
      <c r="B534">
        <f t="shared" si="32"/>
        <v>7</v>
      </c>
      <c r="C534" t="s">
        <v>9</v>
      </c>
      <c r="D534">
        <f>IF(AND(MONTH(A534)&lt;&gt;MONTH(A533),I533&gt;=3*$S$2),D533+3,D533)</f>
        <v>46</v>
      </c>
      <c r="E534">
        <f>IF(B534&lt;6,ROUNDDOWN(D534*VLOOKUP(C534,$U$1:$V$5,2,FALSE),0)*$S$3,0)</f>
        <v>0</v>
      </c>
      <c r="F534">
        <f t="shared" si="34"/>
        <v>690</v>
      </c>
      <c r="G534">
        <f t="shared" si="35"/>
        <v>0</v>
      </c>
      <c r="H534">
        <f t="shared" si="33"/>
        <v>-690</v>
      </c>
      <c r="I534">
        <f>SUM($H$2:H534)</f>
        <v>45250</v>
      </c>
    </row>
    <row r="535" spans="1:9" x14ac:dyDescent="0.25">
      <c r="A535" s="1">
        <v>45460</v>
      </c>
      <c r="B535">
        <f t="shared" si="32"/>
        <v>1</v>
      </c>
      <c r="C535" t="s">
        <v>9</v>
      </c>
      <c r="D535">
        <f>IF(AND(MONTH(A535)&lt;&gt;MONTH(A534),I534&gt;=3*$S$2),D534+3,D534)</f>
        <v>46</v>
      </c>
      <c r="E535">
        <f>IF(B535&lt;6,ROUNDDOWN(D535*VLOOKUP(C535,$U$1:$V$5,2,FALSE),0)*$S$3,0)</f>
        <v>690</v>
      </c>
      <c r="F535">
        <f t="shared" si="34"/>
        <v>0</v>
      </c>
      <c r="G535">
        <f t="shared" si="35"/>
        <v>0</v>
      </c>
      <c r="H535">
        <f t="shared" si="33"/>
        <v>690</v>
      </c>
      <c r="I535">
        <f>SUM($H$2:H535)</f>
        <v>45940</v>
      </c>
    </row>
    <row r="536" spans="1:9" x14ac:dyDescent="0.25">
      <c r="A536" s="1">
        <v>45461</v>
      </c>
      <c r="B536">
        <f t="shared" si="32"/>
        <v>2</v>
      </c>
      <c r="C536" t="s">
        <v>9</v>
      </c>
      <c r="D536">
        <f>IF(AND(MONTH(A536)&lt;&gt;MONTH(A535),I535&gt;=3*$S$2),D535+3,D535)</f>
        <v>46</v>
      </c>
      <c r="E536">
        <f>IF(B536&lt;6,ROUNDDOWN(D536*VLOOKUP(C536,$U$1:$V$5,2,FALSE),0)*$S$3,0)</f>
        <v>690</v>
      </c>
      <c r="F536">
        <f t="shared" si="34"/>
        <v>0</v>
      </c>
      <c r="G536">
        <f t="shared" si="35"/>
        <v>0</v>
      </c>
      <c r="H536">
        <f t="shared" si="33"/>
        <v>690</v>
      </c>
      <c r="I536">
        <f>SUM($H$2:H536)</f>
        <v>46630</v>
      </c>
    </row>
    <row r="537" spans="1:9" x14ac:dyDescent="0.25">
      <c r="A537" s="1">
        <v>45462</v>
      </c>
      <c r="B537">
        <f t="shared" si="32"/>
        <v>3</v>
      </c>
      <c r="C537" t="s">
        <v>9</v>
      </c>
      <c r="D537">
        <f>IF(AND(MONTH(A537)&lt;&gt;MONTH(A536),I536&gt;=3*$S$2),D536+3,D536)</f>
        <v>46</v>
      </c>
      <c r="E537">
        <f>IF(B537&lt;6,ROUNDDOWN(D537*VLOOKUP(C537,$U$1:$V$5,2,FALSE),0)*$S$3,0)</f>
        <v>690</v>
      </c>
      <c r="F537">
        <f t="shared" si="34"/>
        <v>0</v>
      </c>
      <c r="G537">
        <f t="shared" si="35"/>
        <v>0</v>
      </c>
      <c r="H537">
        <f t="shared" si="33"/>
        <v>690</v>
      </c>
      <c r="I537">
        <f>SUM($H$2:H537)</f>
        <v>47320</v>
      </c>
    </row>
    <row r="538" spans="1:9" x14ac:dyDescent="0.25">
      <c r="A538" s="1">
        <v>45463</v>
      </c>
      <c r="B538">
        <f t="shared" si="32"/>
        <v>4</v>
      </c>
      <c r="C538" t="s">
        <v>9</v>
      </c>
      <c r="D538">
        <f>IF(AND(MONTH(A538)&lt;&gt;MONTH(A537),I537&gt;=3*$S$2),D537+3,D537)</f>
        <v>46</v>
      </c>
      <c r="E538">
        <f>IF(B538&lt;6,ROUNDDOWN(D538*VLOOKUP(C538,$U$1:$V$5,2,FALSE),0)*$S$3,0)</f>
        <v>690</v>
      </c>
      <c r="F538">
        <f t="shared" si="34"/>
        <v>0</v>
      </c>
      <c r="G538">
        <f t="shared" si="35"/>
        <v>0</v>
      </c>
      <c r="H538">
        <f t="shared" si="33"/>
        <v>690</v>
      </c>
      <c r="I538">
        <f>SUM($H$2:H538)</f>
        <v>48010</v>
      </c>
    </row>
    <row r="539" spans="1:9" x14ac:dyDescent="0.25">
      <c r="A539" s="1">
        <v>45464</v>
      </c>
      <c r="B539">
        <f t="shared" si="32"/>
        <v>5</v>
      </c>
      <c r="C539" t="s">
        <v>10</v>
      </c>
      <c r="D539">
        <f>IF(AND(MONTH(A539)&lt;&gt;MONTH(A538),I538&gt;=3*$S$2),D538+3,D538)</f>
        <v>46</v>
      </c>
      <c r="E539">
        <f>IF(B539&lt;6,ROUNDDOWN(D539*VLOOKUP(C539,$U$1:$V$5,2,FALSE),0)*$S$3,0)</f>
        <v>1230</v>
      </c>
      <c r="F539">
        <f t="shared" si="34"/>
        <v>0</v>
      </c>
      <c r="G539">
        <f t="shared" si="35"/>
        <v>0</v>
      </c>
      <c r="H539">
        <f t="shared" si="33"/>
        <v>1230</v>
      </c>
      <c r="I539">
        <f>SUM($H$2:H539)</f>
        <v>49240</v>
      </c>
    </row>
    <row r="540" spans="1:9" x14ac:dyDescent="0.25">
      <c r="A540" s="1">
        <v>45465</v>
      </c>
      <c r="B540">
        <f t="shared" si="32"/>
        <v>6</v>
      </c>
      <c r="C540" t="s">
        <v>10</v>
      </c>
      <c r="D540">
        <f>IF(AND(MONTH(A540)&lt;&gt;MONTH(A539),I539&gt;=3*$S$2),D539+3,D539)</f>
        <v>46</v>
      </c>
      <c r="E540">
        <f>IF(B540&lt;6,ROUNDDOWN(D540*VLOOKUP(C540,$U$1:$V$5,2,FALSE),0)*$S$3,0)</f>
        <v>0</v>
      </c>
      <c r="F540">
        <f t="shared" si="34"/>
        <v>0</v>
      </c>
      <c r="G540">
        <f t="shared" si="35"/>
        <v>0</v>
      </c>
      <c r="H540">
        <f t="shared" si="33"/>
        <v>0</v>
      </c>
      <c r="I540">
        <f>SUM($H$2:H540)</f>
        <v>49240</v>
      </c>
    </row>
    <row r="541" spans="1:9" x14ac:dyDescent="0.25">
      <c r="A541" s="1">
        <v>45466</v>
      </c>
      <c r="B541">
        <f t="shared" si="32"/>
        <v>7</v>
      </c>
      <c r="C541" t="s">
        <v>10</v>
      </c>
      <c r="D541">
        <f>IF(AND(MONTH(A541)&lt;&gt;MONTH(A540),I540&gt;=3*$S$2),D540+3,D540)</f>
        <v>46</v>
      </c>
      <c r="E541">
        <f>IF(B541&lt;6,ROUNDDOWN(D541*VLOOKUP(C541,$U$1:$V$5,2,FALSE),0)*$S$3,0)</f>
        <v>0</v>
      </c>
      <c r="F541">
        <f t="shared" si="34"/>
        <v>690</v>
      </c>
      <c r="G541">
        <f t="shared" si="35"/>
        <v>0</v>
      </c>
      <c r="H541">
        <f t="shared" si="33"/>
        <v>-690</v>
      </c>
      <c r="I541">
        <f>SUM($H$2:H541)</f>
        <v>48550</v>
      </c>
    </row>
    <row r="542" spans="1:9" x14ac:dyDescent="0.25">
      <c r="A542" s="1">
        <v>45467</v>
      </c>
      <c r="B542">
        <f t="shared" si="32"/>
        <v>1</v>
      </c>
      <c r="C542" t="s">
        <v>10</v>
      </c>
      <c r="D542">
        <f>IF(AND(MONTH(A542)&lt;&gt;MONTH(A541),I541&gt;=3*$S$2),D541+3,D541)</f>
        <v>46</v>
      </c>
      <c r="E542">
        <f>IF(B542&lt;6,ROUNDDOWN(D542*VLOOKUP(C542,$U$1:$V$5,2,FALSE),0)*$S$3,0)</f>
        <v>1230</v>
      </c>
      <c r="F542">
        <f t="shared" si="34"/>
        <v>0</v>
      </c>
      <c r="G542">
        <f t="shared" si="35"/>
        <v>0</v>
      </c>
      <c r="H542">
        <f t="shared" si="33"/>
        <v>1230</v>
      </c>
      <c r="I542">
        <f>SUM($H$2:H542)</f>
        <v>49780</v>
      </c>
    </row>
    <row r="543" spans="1:9" x14ac:dyDescent="0.25">
      <c r="A543" s="1">
        <v>45468</v>
      </c>
      <c r="B543">
        <f t="shared" si="32"/>
        <v>2</v>
      </c>
      <c r="C543" t="s">
        <v>10</v>
      </c>
      <c r="D543">
        <f>IF(AND(MONTH(A543)&lt;&gt;MONTH(A542),I542&gt;=3*$S$2),D542+3,D542)</f>
        <v>46</v>
      </c>
      <c r="E543">
        <f>IF(B543&lt;6,ROUNDDOWN(D543*VLOOKUP(C543,$U$1:$V$5,2,FALSE),0)*$S$3,0)</f>
        <v>1230</v>
      </c>
      <c r="F543">
        <f t="shared" si="34"/>
        <v>0</v>
      </c>
      <c r="G543">
        <f t="shared" si="35"/>
        <v>0</v>
      </c>
      <c r="H543">
        <f t="shared" si="33"/>
        <v>1230</v>
      </c>
      <c r="I543">
        <f>SUM($H$2:H543)</f>
        <v>51010</v>
      </c>
    </row>
    <row r="544" spans="1:9" x14ac:dyDescent="0.25">
      <c r="A544" s="1">
        <v>45469</v>
      </c>
      <c r="B544">
        <f t="shared" si="32"/>
        <v>3</v>
      </c>
      <c r="C544" t="s">
        <v>10</v>
      </c>
      <c r="D544">
        <f>IF(AND(MONTH(A544)&lt;&gt;MONTH(A543),I543&gt;=3*$S$2),D543+3,D543)</f>
        <v>46</v>
      </c>
      <c r="E544">
        <f>IF(B544&lt;6,ROUNDDOWN(D544*VLOOKUP(C544,$U$1:$V$5,2,FALSE),0)*$S$3,0)</f>
        <v>1230</v>
      </c>
      <c r="F544">
        <f t="shared" si="34"/>
        <v>0</v>
      </c>
      <c r="G544">
        <f t="shared" si="35"/>
        <v>0</v>
      </c>
      <c r="H544">
        <f t="shared" si="33"/>
        <v>1230</v>
      </c>
      <c r="I544">
        <f>SUM($H$2:H544)</f>
        <v>52240</v>
      </c>
    </row>
    <row r="545" spans="1:9" x14ac:dyDescent="0.25">
      <c r="A545" s="1">
        <v>45470</v>
      </c>
      <c r="B545">
        <f t="shared" si="32"/>
        <v>4</v>
      </c>
      <c r="C545" t="s">
        <v>10</v>
      </c>
      <c r="D545">
        <f>IF(AND(MONTH(A545)&lt;&gt;MONTH(A544),I544&gt;=3*$S$2),D544+3,D544)</f>
        <v>46</v>
      </c>
      <c r="E545">
        <f>IF(B545&lt;6,ROUNDDOWN(D545*VLOOKUP(C545,$U$1:$V$5,2,FALSE),0)*$S$3,0)</f>
        <v>1230</v>
      </c>
      <c r="F545">
        <f t="shared" si="34"/>
        <v>0</v>
      </c>
      <c r="G545">
        <f t="shared" si="35"/>
        <v>0</v>
      </c>
      <c r="H545">
        <f t="shared" si="33"/>
        <v>1230</v>
      </c>
      <c r="I545">
        <f>SUM($H$2:H545)</f>
        <v>53470</v>
      </c>
    </row>
    <row r="546" spans="1:9" x14ac:dyDescent="0.25">
      <c r="A546" s="1">
        <v>45471</v>
      </c>
      <c r="B546">
        <f t="shared" si="32"/>
        <v>5</v>
      </c>
      <c r="C546" t="s">
        <v>10</v>
      </c>
      <c r="D546">
        <f>IF(AND(MONTH(A546)&lt;&gt;MONTH(A545),I545&gt;=3*$S$2),D545+3,D545)</f>
        <v>46</v>
      </c>
      <c r="E546">
        <f>IF(B546&lt;6,ROUNDDOWN(D546*VLOOKUP(C546,$U$1:$V$5,2,FALSE),0)*$S$3,0)</f>
        <v>1230</v>
      </c>
      <c r="F546">
        <f t="shared" si="34"/>
        <v>0</v>
      </c>
      <c r="G546">
        <f t="shared" si="35"/>
        <v>0</v>
      </c>
      <c r="H546">
        <f t="shared" si="33"/>
        <v>1230</v>
      </c>
      <c r="I546">
        <f>SUM($H$2:H546)</f>
        <v>54700</v>
      </c>
    </row>
    <row r="547" spans="1:9" x14ac:dyDescent="0.25">
      <c r="A547" s="1">
        <v>45472</v>
      </c>
      <c r="B547">
        <f t="shared" si="32"/>
        <v>6</v>
      </c>
      <c r="C547" t="s">
        <v>10</v>
      </c>
      <c r="D547">
        <f>IF(AND(MONTH(A547)&lt;&gt;MONTH(A546),I546&gt;=3*$S$2),D546+3,D546)</f>
        <v>46</v>
      </c>
      <c r="E547">
        <f>IF(B547&lt;6,ROUNDDOWN(D547*VLOOKUP(C547,$U$1:$V$5,2,FALSE),0)*$S$3,0)</f>
        <v>0</v>
      </c>
      <c r="F547">
        <f t="shared" si="34"/>
        <v>0</v>
      </c>
      <c r="G547">
        <f t="shared" si="35"/>
        <v>0</v>
      </c>
      <c r="H547">
        <f t="shared" si="33"/>
        <v>0</v>
      </c>
      <c r="I547">
        <f>SUM($H$2:H547)</f>
        <v>54700</v>
      </c>
    </row>
    <row r="548" spans="1:9" x14ac:dyDescent="0.25">
      <c r="A548" s="1">
        <v>45473</v>
      </c>
      <c r="B548">
        <f t="shared" si="32"/>
        <v>7</v>
      </c>
      <c r="C548" t="s">
        <v>10</v>
      </c>
      <c r="D548">
        <f>IF(AND(MONTH(A548)&lt;&gt;MONTH(A547),I547&gt;=3*$S$2),D547+3,D547)</f>
        <v>46</v>
      </c>
      <c r="E548">
        <f>IF(B548&lt;6,ROUNDDOWN(D548*VLOOKUP(C548,$U$1:$V$5,2,FALSE),0)*$S$3,0)</f>
        <v>0</v>
      </c>
      <c r="F548">
        <f t="shared" si="34"/>
        <v>690</v>
      </c>
      <c r="G548">
        <f t="shared" si="35"/>
        <v>0</v>
      </c>
      <c r="H548">
        <f t="shared" si="33"/>
        <v>-690</v>
      </c>
      <c r="I548">
        <f>SUM($H$2:H548)</f>
        <v>54010</v>
      </c>
    </row>
    <row r="549" spans="1:9" x14ac:dyDescent="0.25">
      <c r="A549" s="1">
        <v>45474</v>
      </c>
      <c r="B549">
        <f t="shared" si="32"/>
        <v>1</v>
      </c>
      <c r="C549" t="s">
        <v>10</v>
      </c>
      <c r="D549">
        <f>IF(AND(MONTH(A549)&lt;&gt;MONTH(A548),I548&gt;=3*$S$2),D548+3,D548)</f>
        <v>49</v>
      </c>
      <c r="E549">
        <f>IF(B549&lt;6,ROUNDDOWN(D549*VLOOKUP(C549,$U$1:$V$5,2,FALSE),0)*$S$3,0)</f>
        <v>1320</v>
      </c>
      <c r="F549">
        <f t="shared" si="34"/>
        <v>0</v>
      </c>
      <c r="G549">
        <f t="shared" si="35"/>
        <v>2400</v>
      </c>
      <c r="H549">
        <f t="shared" si="33"/>
        <v>-1080</v>
      </c>
      <c r="I549">
        <f>SUM($H$2:H549)</f>
        <v>52930</v>
      </c>
    </row>
    <row r="550" spans="1:9" x14ac:dyDescent="0.25">
      <c r="A550" s="1">
        <v>45475</v>
      </c>
      <c r="B550">
        <f t="shared" si="32"/>
        <v>2</v>
      </c>
      <c r="C550" t="s">
        <v>10</v>
      </c>
      <c r="D550">
        <f>IF(AND(MONTH(A550)&lt;&gt;MONTH(A549),I549&gt;=3*$S$2),D549+3,D549)</f>
        <v>49</v>
      </c>
      <c r="E550">
        <f>IF(B550&lt;6,ROUNDDOWN(D550*VLOOKUP(C550,$U$1:$V$5,2,FALSE),0)*$S$3,0)</f>
        <v>1320</v>
      </c>
      <c r="F550">
        <f t="shared" si="34"/>
        <v>0</v>
      </c>
      <c r="G550">
        <f t="shared" si="35"/>
        <v>0</v>
      </c>
      <c r="H550">
        <f t="shared" si="33"/>
        <v>1320</v>
      </c>
      <c r="I550">
        <f>SUM($H$2:H550)</f>
        <v>54250</v>
      </c>
    </row>
    <row r="551" spans="1:9" x14ac:dyDescent="0.25">
      <c r="A551" s="1">
        <v>45476</v>
      </c>
      <c r="B551">
        <f t="shared" si="32"/>
        <v>3</v>
      </c>
      <c r="C551" t="s">
        <v>10</v>
      </c>
      <c r="D551">
        <f>IF(AND(MONTH(A551)&lt;&gt;MONTH(A550),I550&gt;=3*$S$2),D550+3,D550)</f>
        <v>49</v>
      </c>
      <c r="E551">
        <f>IF(B551&lt;6,ROUNDDOWN(D551*VLOOKUP(C551,$U$1:$V$5,2,FALSE),0)*$S$3,0)</f>
        <v>1320</v>
      </c>
      <c r="F551">
        <f t="shared" si="34"/>
        <v>0</v>
      </c>
      <c r="G551">
        <f t="shared" si="35"/>
        <v>0</v>
      </c>
      <c r="H551">
        <f t="shared" si="33"/>
        <v>1320</v>
      </c>
      <c r="I551">
        <f>SUM($H$2:H551)</f>
        <v>55570</v>
      </c>
    </row>
    <row r="552" spans="1:9" x14ac:dyDescent="0.25">
      <c r="A552" s="1">
        <v>45477</v>
      </c>
      <c r="B552">
        <f t="shared" si="32"/>
        <v>4</v>
      </c>
      <c r="C552" t="s">
        <v>10</v>
      </c>
      <c r="D552">
        <f>IF(AND(MONTH(A552)&lt;&gt;MONTH(A551),I551&gt;=3*$S$2),D551+3,D551)</f>
        <v>49</v>
      </c>
      <c r="E552">
        <f>IF(B552&lt;6,ROUNDDOWN(D552*VLOOKUP(C552,$U$1:$V$5,2,FALSE),0)*$S$3,0)</f>
        <v>1320</v>
      </c>
      <c r="F552">
        <f t="shared" si="34"/>
        <v>0</v>
      </c>
      <c r="G552">
        <f t="shared" si="35"/>
        <v>0</v>
      </c>
      <c r="H552">
        <f t="shared" si="33"/>
        <v>1320</v>
      </c>
      <c r="I552">
        <f>SUM($H$2:H552)</f>
        <v>56890</v>
      </c>
    </row>
    <row r="553" spans="1:9" x14ac:dyDescent="0.25">
      <c r="A553" s="1">
        <v>45478</v>
      </c>
      <c r="B553">
        <f t="shared" si="32"/>
        <v>5</v>
      </c>
      <c r="C553" t="s">
        <v>10</v>
      </c>
      <c r="D553">
        <f>IF(AND(MONTH(A553)&lt;&gt;MONTH(A552),I552&gt;=3*$S$2),D552+3,D552)</f>
        <v>49</v>
      </c>
      <c r="E553">
        <f>IF(B553&lt;6,ROUNDDOWN(D553*VLOOKUP(C553,$U$1:$V$5,2,FALSE),0)*$S$3,0)</f>
        <v>1320</v>
      </c>
      <c r="F553">
        <f t="shared" si="34"/>
        <v>0</v>
      </c>
      <c r="G553">
        <f t="shared" si="35"/>
        <v>0</v>
      </c>
      <c r="H553">
        <f t="shared" si="33"/>
        <v>1320</v>
      </c>
      <c r="I553">
        <f>SUM($H$2:H553)</f>
        <v>58210</v>
      </c>
    </row>
    <row r="554" spans="1:9" x14ac:dyDescent="0.25">
      <c r="A554" s="1">
        <v>45479</v>
      </c>
      <c r="B554">
        <f t="shared" si="32"/>
        <v>6</v>
      </c>
      <c r="C554" t="s">
        <v>10</v>
      </c>
      <c r="D554">
        <f>IF(AND(MONTH(A554)&lt;&gt;MONTH(A553),I553&gt;=3*$S$2),D553+3,D553)</f>
        <v>49</v>
      </c>
      <c r="E554">
        <f>IF(B554&lt;6,ROUNDDOWN(D554*VLOOKUP(C554,$U$1:$V$5,2,FALSE),0)*$S$3,0)</f>
        <v>0</v>
      </c>
      <c r="F554">
        <f t="shared" si="34"/>
        <v>0</v>
      </c>
      <c r="G554">
        <f t="shared" si="35"/>
        <v>0</v>
      </c>
      <c r="H554">
        <f t="shared" si="33"/>
        <v>0</v>
      </c>
      <c r="I554">
        <f>SUM($H$2:H554)</f>
        <v>58210</v>
      </c>
    </row>
    <row r="555" spans="1:9" x14ac:dyDescent="0.25">
      <c r="A555" s="1">
        <v>45480</v>
      </c>
      <c r="B555">
        <f t="shared" si="32"/>
        <v>7</v>
      </c>
      <c r="C555" t="s">
        <v>10</v>
      </c>
      <c r="D555">
        <f>IF(AND(MONTH(A555)&lt;&gt;MONTH(A554),I554&gt;=3*$S$2),D554+3,D554)</f>
        <v>49</v>
      </c>
      <c r="E555">
        <f>IF(B555&lt;6,ROUNDDOWN(D555*VLOOKUP(C555,$U$1:$V$5,2,FALSE),0)*$S$3,0)</f>
        <v>0</v>
      </c>
      <c r="F555">
        <f t="shared" si="34"/>
        <v>735</v>
      </c>
      <c r="G555">
        <f t="shared" si="35"/>
        <v>0</v>
      </c>
      <c r="H555">
        <f t="shared" si="33"/>
        <v>-735</v>
      </c>
      <c r="I555">
        <f>SUM($H$2:H555)</f>
        <v>57475</v>
      </c>
    </row>
    <row r="556" spans="1:9" x14ac:dyDescent="0.25">
      <c r="A556" s="1">
        <v>45481</v>
      </c>
      <c r="B556">
        <f t="shared" si="32"/>
        <v>1</v>
      </c>
      <c r="C556" t="s">
        <v>10</v>
      </c>
      <c r="D556">
        <f>IF(AND(MONTH(A556)&lt;&gt;MONTH(A555),I555&gt;=3*$S$2),D555+3,D555)</f>
        <v>49</v>
      </c>
      <c r="E556">
        <f>IF(B556&lt;6,ROUNDDOWN(D556*VLOOKUP(C556,$U$1:$V$5,2,FALSE),0)*$S$3,0)</f>
        <v>1320</v>
      </c>
      <c r="F556">
        <f t="shared" si="34"/>
        <v>0</v>
      </c>
      <c r="G556">
        <f t="shared" si="35"/>
        <v>0</v>
      </c>
      <c r="H556">
        <f t="shared" si="33"/>
        <v>1320</v>
      </c>
      <c r="I556">
        <f>SUM($H$2:H556)</f>
        <v>58795</v>
      </c>
    </row>
    <row r="557" spans="1:9" x14ac:dyDescent="0.25">
      <c r="A557" s="1">
        <v>45482</v>
      </c>
      <c r="B557">
        <f t="shared" si="32"/>
        <v>2</v>
      </c>
      <c r="C557" t="s">
        <v>10</v>
      </c>
      <c r="D557">
        <f>IF(AND(MONTH(A557)&lt;&gt;MONTH(A556),I556&gt;=3*$S$2),D556+3,D556)</f>
        <v>49</v>
      </c>
      <c r="E557">
        <f>IF(B557&lt;6,ROUNDDOWN(D557*VLOOKUP(C557,$U$1:$V$5,2,FALSE),0)*$S$3,0)</f>
        <v>1320</v>
      </c>
      <c r="F557">
        <f t="shared" si="34"/>
        <v>0</v>
      </c>
      <c r="G557">
        <f t="shared" si="35"/>
        <v>0</v>
      </c>
      <c r="H557">
        <f t="shared" si="33"/>
        <v>1320</v>
      </c>
      <c r="I557">
        <f>SUM($H$2:H557)</f>
        <v>60115</v>
      </c>
    </row>
    <row r="558" spans="1:9" x14ac:dyDescent="0.25">
      <c r="A558" s="1">
        <v>45483</v>
      </c>
      <c r="B558">
        <f t="shared" si="32"/>
        <v>3</v>
      </c>
      <c r="C558" t="s">
        <v>10</v>
      </c>
      <c r="D558">
        <f>IF(AND(MONTH(A558)&lt;&gt;MONTH(A557),I557&gt;=3*$S$2),D557+3,D557)</f>
        <v>49</v>
      </c>
      <c r="E558">
        <f>IF(B558&lt;6,ROUNDDOWN(D558*VLOOKUP(C558,$U$1:$V$5,2,FALSE),0)*$S$3,0)</f>
        <v>1320</v>
      </c>
      <c r="F558">
        <f t="shared" si="34"/>
        <v>0</v>
      </c>
      <c r="G558">
        <f t="shared" si="35"/>
        <v>0</v>
      </c>
      <c r="H558">
        <f t="shared" si="33"/>
        <v>1320</v>
      </c>
      <c r="I558">
        <f>SUM($H$2:H558)</f>
        <v>61435</v>
      </c>
    </row>
    <row r="559" spans="1:9" x14ac:dyDescent="0.25">
      <c r="A559" s="1">
        <v>45484</v>
      </c>
      <c r="B559">
        <f t="shared" si="32"/>
        <v>4</v>
      </c>
      <c r="C559" t="s">
        <v>10</v>
      </c>
      <c r="D559">
        <f>IF(AND(MONTH(A559)&lt;&gt;MONTH(A558),I558&gt;=3*$S$2),D558+3,D558)</f>
        <v>49</v>
      </c>
      <c r="E559">
        <f>IF(B559&lt;6,ROUNDDOWN(D559*VLOOKUP(C559,$U$1:$V$5,2,FALSE),0)*$S$3,0)</f>
        <v>1320</v>
      </c>
      <c r="F559">
        <f t="shared" si="34"/>
        <v>0</v>
      </c>
      <c r="G559">
        <f t="shared" si="35"/>
        <v>0</v>
      </c>
      <c r="H559">
        <f t="shared" si="33"/>
        <v>1320</v>
      </c>
      <c r="I559">
        <f>SUM($H$2:H559)</f>
        <v>62755</v>
      </c>
    </row>
    <row r="560" spans="1:9" x14ac:dyDescent="0.25">
      <c r="A560" s="1">
        <v>45485</v>
      </c>
      <c r="B560">
        <f t="shared" si="32"/>
        <v>5</v>
      </c>
      <c r="C560" t="s">
        <v>10</v>
      </c>
      <c r="D560">
        <f>IF(AND(MONTH(A560)&lt;&gt;MONTH(A559),I559&gt;=3*$S$2),D559+3,D559)</f>
        <v>49</v>
      </c>
      <c r="E560">
        <f>IF(B560&lt;6,ROUNDDOWN(D560*VLOOKUP(C560,$U$1:$V$5,2,FALSE),0)*$S$3,0)</f>
        <v>1320</v>
      </c>
      <c r="F560">
        <f t="shared" si="34"/>
        <v>0</v>
      </c>
      <c r="G560">
        <f t="shared" si="35"/>
        <v>0</v>
      </c>
      <c r="H560">
        <f t="shared" si="33"/>
        <v>1320</v>
      </c>
      <c r="I560">
        <f>SUM($H$2:H560)</f>
        <v>64075</v>
      </c>
    </row>
    <row r="561" spans="1:9" x14ac:dyDescent="0.25">
      <c r="A561" s="1">
        <v>45486</v>
      </c>
      <c r="B561">
        <f t="shared" si="32"/>
        <v>6</v>
      </c>
      <c r="C561" t="s">
        <v>10</v>
      </c>
      <c r="D561">
        <f>IF(AND(MONTH(A561)&lt;&gt;MONTH(A560),I560&gt;=3*$S$2),D560+3,D560)</f>
        <v>49</v>
      </c>
      <c r="E561">
        <f>IF(B561&lt;6,ROUNDDOWN(D561*VLOOKUP(C561,$U$1:$V$5,2,FALSE),0)*$S$3,0)</f>
        <v>0</v>
      </c>
      <c r="F561">
        <f t="shared" si="34"/>
        <v>0</v>
      </c>
      <c r="G561">
        <f t="shared" si="35"/>
        <v>0</v>
      </c>
      <c r="H561">
        <f t="shared" si="33"/>
        <v>0</v>
      </c>
      <c r="I561">
        <f>SUM($H$2:H561)</f>
        <v>64075</v>
      </c>
    </row>
    <row r="562" spans="1:9" x14ac:dyDescent="0.25">
      <c r="A562" s="1">
        <v>45487</v>
      </c>
      <c r="B562">
        <f t="shared" si="32"/>
        <v>7</v>
      </c>
      <c r="C562" t="s">
        <v>10</v>
      </c>
      <c r="D562">
        <f>IF(AND(MONTH(A562)&lt;&gt;MONTH(A561),I561&gt;=3*$S$2),D561+3,D561)</f>
        <v>49</v>
      </c>
      <c r="E562">
        <f>IF(B562&lt;6,ROUNDDOWN(D562*VLOOKUP(C562,$U$1:$V$5,2,FALSE),0)*$S$3,0)</f>
        <v>0</v>
      </c>
      <c r="F562">
        <f t="shared" si="34"/>
        <v>735</v>
      </c>
      <c r="G562">
        <f t="shared" si="35"/>
        <v>0</v>
      </c>
      <c r="H562">
        <f t="shared" si="33"/>
        <v>-735</v>
      </c>
      <c r="I562">
        <f>SUM($H$2:H562)</f>
        <v>63340</v>
      </c>
    </row>
    <row r="563" spans="1:9" x14ac:dyDescent="0.25">
      <c r="A563" s="1">
        <v>45488</v>
      </c>
      <c r="B563">
        <f t="shared" si="32"/>
        <v>1</v>
      </c>
      <c r="C563" t="s">
        <v>10</v>
      </c>
      <c r="D563">
        <f>IF(AND(MONTH(A563)&lt;&gt;MONTH(A562),I562&gt;=3*$S$2),D562+3,D562)</f>
        <v>49</v>
      </c>
      <c r="E563">
        <f>IF(B563&lt;6,ROUNDDOWN(D563*VLOOKUP(C563,$U$1:$V$5,2,FALSE),0)*$S$3,0)</f>
        <v>1320</v>
      </c>
      <c r="F563">
        <f t="shared" si="34"/>
        <v>0</v>
      </c>
      <c r="G563">
        <f t="shared" si="35"/>
        <v>0</v>
      </c>
      <c r="H563">
        <f t="shared" si="33"/>
        <v>1320</v>
      </c>
      <c r="I563">
        <f>SUM($H$2:H563)</f>
        <v>64660</v>
      </c>
    </row>
    <row r="564" spans="1:9" x14ac:dyDescent="0.25">
      <c r="A564" s="1">
        <v>45489</v>
      </c>
      <c r="B564">
        <f t="shared" si="32"/>
        <v>2</v>
      </c>
      <c r="C564" t="s">
        <v>10</v>
      </c>
      <c r="D564">
        <f>IF(AND(MONTH(A564)&lt;&gt;MONTH(A563),I563&gt;=3*$S$2),D563+3,D563)</f>
        <v>49</v>
      </c>
      <c r="E564">
        <f>IF(B564&lt;6,ROUNDDOWN(D564*VLOOKUP(C564,$U$1:$V$5,2,FALSE),0)*$S$3,0)</f>
        <v>1320</v>
      </c>
      <c r="F564">
        <f t="shared" si="34"/>
        <v>0</v>
      </c>
      <c r="G564">
        <f t="shared" si="35"/>
        <v>0</v>
      </c>
      <c r="H564">
        <f t="shared" si="33"/>
        <v>1320</v>
      </c>
      <c r="I564">
        <f>SUM($H$2:H564)</f>
        <v>65980</v>
      </c>
    </row>
    <row r="565" spans="1:9" x14ac:dyDescent="0.25">
      <c r="A565" s="1">
        <v>45490</v>
      </c>
      <c r="B565">
        <f t="shared" si="32"/>
        <v>3</v>
      </c>
      <c r="C565" t="s">
        <v>10</v>
      </c>
      <c r="D565">
        <f>IF(AND(MONTH(A565)&lt;&gt;MONTH(A564),I564&gt;=3*$S$2),D564+3,D564)</f>
        <v>49</v>
      </c>
      <c r="E565">
        <f>IF(B565&lt;6,ROUNDDOWN(D565*VLOOKUP(C565,$U$1:$V$5,2,FALSE),0)*$S$3,0)</f>
        <v>1320</v>
      </c>
      <c r="F565">
        <f t="shared" si="34"/>
        <v>0</v>
      </c>
      <c r="G565">
        <f t="shared" si="35"/>
        <v>0</v>
      </c>
      <c r="H565">
        <f t="shared" si="33"/>
        <v>1320</v>
      </c>
      <c r="I565">
        <f>SUM($H$2:H565)</f>
        <v>67300</v>
      </c>
    </row>
    <row r="566" spans="1:9" x14ac:dyDescent="0.25">
      <c r="A566" s="1">
        <v>45491</v>
      </c>
      <c r="B566">
        <f t="shared" si="32"/>
        <v>4</v>
      </c>
      <c r="C566" t="s">
        <v>10</v>
      </c>
      <c r="D566">
        <f>IF(AND(MONTH(A566)&lt;&gt;MONTH(A565),I565&gt;=3*$S$2),D565+3,D565)</f>
        <v>49</v>
      </c>
      <c r="E566">
        <f>IF(B566&lt;6,ROUNDDOWN(D566*VLOOKUP(C566,$U$1:$V$5,2,FALSE),0)*$S$3,0)</f>
        <v>1320</v>
      </c>
      <c r="F566">
        <f t="shared" si="34"/>
        <v>0</v>
      </c>
      <c r="G566">
        <f t="shared" si="35"/>
        <v>0</v>
      </c>
      <c r="H566">
        <f t="shared" si="33"/>
        <v>1320</v>
      </c>
      <c r="I566">
        <f>SUM($H$2:H566)</f>
        <v>68620</v>
      </c>
    </row>
    <row r="567" spans="1:9" x14ac:dyDescent="0.25">
      <c r="A567" s="1">
        <v>45492</v>
      </c>
      <c r="B567">
        <f t="shared" si="32"/>
        <v>5</v>
      </c>
      <c r="C567" t="s">
        <v>10</v>
      </c>
      <c r="D567">
        <f>IF(AND(MONTH(A567)&lt;&gt;MONTH(A566),I566&gt;=3*$S$2),D566+3,D566)</f>
        <v>49</v>
      </c>
      <c r="E567">
        <f>IF(B567&lt;6,ROUNDDOWN(D567*VLOOKUP(C567,$U$1:$V$5,2,FALSE),0)*$S$3,0)</f>
        <v>1320</v>
      </c>
      <c r="F567">
        <f t="shared" si="34"/>
        <v>0</v>
      </c>
      <c r="G567">
        <f t="shared" si="35"/>
        <v>0</v>
      </c>
      <c r="H567">
        <f t="shared" si="33"/>
        <v>1320</v>
      </c>
      <c r="I567">
        <f>SUM($H$2:H567)</f>
        <v>69940</v>
      </c>
    </row>
    <row r="568" spans="1:9" x14ac:dyDescent="0.25">
      <c r="A568" s="1">
        <v>45493</v>
      </c>
      <c r="B568">
        <f t="shared" si="32"/>
        <v>6</v>
      </c>
      <c r="C568" t="s">
        <v>10</v>
      </c>
      <c r="D568">
        <f>IF(AND(MONTH(A568)&lt;&gt;MONTH(A567),I567&gt;=3*$S$2),D567+3,D567)</f>
        <v>49</v>
      </c>
      <c r="E568">
        <f>IF(B568&lt;6,ROUNDDOWN(D568*VLOOKUP(C568,$U$1:$V$5,2,FALSE),0)*$S$3,0)</f>
        <v>0</v>
      </c>
      <c r="F568">
        <f t="shared" si="34"/>
        <v>0</v>
      </c>
      <c r="G568">
        <f t="shared" si="35"/>
        <v>0</v>
      </c>
      <c r="H568">
        <f t="shared" si="33"/>
        <v>0</v>
      </c>
      <c r="I568">
        <f>SUM($H$2:H568)</f>
        <v>69940</v>
      </c>
    </row>
    <row r="569" spans="1:9" x14ac:dyDescent="0.25">
      <c r="A569" s="1">
        <v>45494</v>
      </c>
      <c r="B569">
        <f t="shared" si="32"/>
        <v>7</v>
      </c>
      <c r="C569" t="s">
        <v>10</v>
      </c>
      <c r="D569">
        <f>IF(AND(MONTH(A569)&lt;&gt;MONTH(A568),I568&gt;=3*$S$2),D568+3,D568)</f>
        <v>49</v>
      </c>
      <c r="E569">
        <f>IF(B569&lt;6,ROUNDDOWN(D569*VLOOKUP(C569,$U$1:$V$5,2,FALSE),0)*$S$3,0)</f>
        <v>0</v>
      </c>
      <c r="F569">
        <f t="shared" si="34"/>
        <v>735</v>
      </c>
      <c r="G569">
        <f t="shared" si="35"/>
        <v>0</v>
      </c>
      <c r="H569">
        <f t="shared" si="33"/>
        <v>-735</v>
      </c>
      <c r="I569">
        <f>SUM($H$2:H569)</f>
        <v>69205</v>
      </c>
    </row>
    <row r="570" spans="1:9" x14ac:dyDescent="0.25">
      <c r="A570" s="1">
        <v>45495</v>
      </c>
      <c r="B570">
        <f t="shared" si="32"/>
        <v>1</v>
      </c>
      <c r="C570" t="s">
        <v>10</v>
      </c>
      <c r="D570">
        <f>IF(AND(MONTH(A570)&lt;&gt;MONTH(A569),I569&gt;=3*$S$2),D569+3,D569)</f>
        <v>49</v>
      </c>
      <c r="E570">
        <f>IF(B570&lt;6,ROUNDDOWN(D570*VLOOKUP(C570,$U$1:$V$5,2,FALSE),0)*$S$3,0)</f>
        <v>1320</v>
      </c>
      <c r="F570">
        <f t="shared" si="34"/>
        <v>0</v>
      </c>
      <c r="G570">
        <f t="shared" si="35"/>
        <v>0</v>
      </c>
      <c r="H570">
        <f t="shared" si="33"/>
        <v>1320</v>
      </c>
      <c r="I570">
        <f>SUM($H$2:H570)</f>
        <v>70525</v>
      </c>
    </row>
    <row r="571" spans="1:9" x14ac:dyDescent="0.25">
      <c r="A571" s="1">
        <v>45496</v>
      </c>
      <c r="B571">
        <f t="shared" si="32"/>
        <v>2</v>
      </c>
      <c r="C571" t="s">
        <v>10</v>
      </c>
      <c r="D571">
        <f>IF(AND(MONTH(A571)&lt;&gt;MONTH(A570),I570&gt;=3*$S$2),D570+3,D570)</f>
        <v>49</v>
      </c>
      <c r="E571">
        <f>IF(B571&lt;6,ROUNDDOWN(D571*VLOOKUP(C571,$U$1:$V$5,2,FALSE),0)*$S$3,0)</f>
        <v>1320</v>
      </c>
      <c r="F571">
        <f t="shared" si="34"/>
        <v>0</v>
      </c>
      <c r="G571">
        <f t="shared" si="35"/>
        <v>0</v>
      </c>
      <c r="H571">
        <f t="shared" si="33"/>
        <v>1320</v>
      </c>
      <c r="I571">
        <f>SUM($H$2:H571)</f>
        <v>71845</v>
      </c>
    </row>
    <row r="572" spans="1:9" x14ac:dyDescent="0.25">
      <c r="A572" s="1">
        <v>45497</v>
      </c>
      <c r="B572">
        <f t="shared" si="32"/>
        <v>3</v>
      </c>
      <c r="C572" t="s">
        <v>10</v>
      </c>
      <c r="D572">
        <f>IF(AND(MONTH(A572)&lt;&gt;MONTH(A571),I571&gt;=3*$S$2),D571+3,D571)</f>
        <v>49</v>
      </c>
      <c r="E572">
        <f>IF(B572&lt;6,ROUNDDOWN(D572*VLOOKUP(C572,$U$1:$V$5,2,FALSE),0)*$S$3,0)</f>
        <v>1320</v>
      </c>
      <c r="F572">
        <f t="shared" si="34"/>
        <v>0</v>
      </c>
      <c r="G572">
        <f t="shared" si="35"/>
        <v>0</v>
      </c>
      <c r="H572">
        <f t="shared" si="33"/>
        <v>1320</v>
      </c>
      <c r="I572">
        <f>SUM($H$2:H572)</f>
        <v>73165</v>
      </c>
    </row>
    <row r="573" spans="1:9" x14ac:dyDescent="0.25">
      <c r="A573" s="1">
        <v>45498</v>
      </c>
      <c r="B573">
        <f t="shared" si="32"/>
        <v>4</v>
      </c>
      <c r="C573" t="s">
        <v>10</v>
      </c>
      <c r="D573">
        <f>IF(AND(MONTH(A573)&lt;&gt;MONTH(A572),I572&gt;=3*$S$2),D572+3,D572)</f>
        <v>49</v>
      </c>
      <c r="E573">
        <f>IF(B573&lt;6,ROUNDDOWN(D573*VLOOKUP(C573,$U$1:$V$5,2,FALSE),0)*$S$3,0)</f>
        <v>1320</v>
      </c>
      <c r="F573">
        <f t="shared" si="34"/>
        <v>0</v>
      </c>
      <c r="G573">
        <f t="shared" si="35"/>
        <v>0</v>
      </c>
      <c r="H573">
        <f t="shared" si="33"/>
        <v>1320</v>
      </c>
      <c r="I573">
        <f>SUM($H$2:H573)</f>
        <v>74485</v>
      </c>
    </row>
    <row r="574" spans="1:9" x14ac:dyDescent="0.25">
      <c r="A574" s="1">
        <v>45499</v>
      </c>
      <c r="B574">
        <f t="shared" si="32"/>
        <v>5</v>
      </c>
      <c r="C574" t="s">
        <v>10</v>
      </c>
      <c r="D574">
        <f>IF(AND(MONTH(A574)&lt;&gt;MONTH(A573),I573&gt;=3*$S$2),D573+3,D573)</f>
        <v>49</v>
      </c>
      <c r="E574">
        <f>IF(B574&lt;6,ROUNDDOWN(D574*VLOOKUP(C574,$U$1:$V$5,2,FALSE),0)*$S$3,0)</f>
        <v>1320</v>
      </c>
      <c r="F574">
        <f t="shared" si="34"/>
        <v>0</v>
      </c>
      <c r="G574">
        <f t="shared" si="35"/>
        <v>0</v>
      </c>
      <c r="H574">
        <f t="shared" si="33"/>
        <v>1320</v>
      </c>
      <c r="I574">
        <f>SUM($H$2:H574)</f>
        <v>75805</v>
      </c>
    </row>
    <row r="575" spans="1:9" x14ac:dyDescent="0.25">
      <c r="A575" s="1">
        <v>45500</v>
      </c>
      <c r="B575">
        <f t="shared" si="32"/>
        <v>6</v>
      </c>
      <c r="C575" t="s">
        <v>10</v>
      </c>
      <c r="D575">
        <f>IF(AND(MONTH(A575)&lt;&gt;MONTH(A574),I574&gt;=3*$S$2),D574+3,D574)</f>
        <v>49</v>
      </c>
      <c r="E575">
        <f>IF(B575&lt;6,ROUNDDOWN(D575*VLOOKUP(C575,$U$1:$V$5,2,FALSE),0)*$S$3,0)</f>
        <v>0</v>
      </c>
      <c r="F575">
        <f t="shared" si="34"/>
        <v>0</v>
      </c>
      <c r="G575">
        <f t="shared" si="35"/>
        <v>0</v>
      </c>
      <c r="H575">
        <f t="shared" si="33"/>
        <v>0</v>
      </c>
      <c r="I575">
        <f>SUM($H$2:H575)</f>
        <v>75805</v>
      </c>
    </row>
    <row r="576" spans="1:9" x14ac:dyDescent="0.25">
      <c r="A576" s="1">
        <v>45501</v>
      </c>
      <c r="B576">
        <f t="shared" si="32"/>
        <v>7</v>
      </c>
      <c r="C576" t="s">
        <v>10</v>
      </c>
      <c r="D576">
        <f>IF(AND(MONTH(A576)&lt;&gt;MONTH(A575),I575&gt;=3*$S$2),D575+3,D575)</f>
        <v>49</v>
      </c>
      <c r="E576">
        <f>IF(B576&lt;6,ROUNDDOWN(D576*VLOOKUP(C576,$U$1:$V$5,2,FALSE),0)*$S$3,0)</f>
        <v>0</v>
      </c>
      <c r="F576">
        <f t="shared" si="34"/>
        <v>735</v>
      </c>
      <c r="G576">
        <f t="shared" si="35"/>
        <v>0</v>
      </c>
      <c r="H576">
        <f t="shared" si="33"/>
        <v>-735</v>
      </c>
      <c r="I576">
        <f>SUM($H$2:H576)</f>
        <v>75070</v>
      </c>
    </row>
    <row r="577" spans="1:9" x14ac:dyDescent="0.25">
      <c r="A577" s="1">
        <v>45502</v>
      </c>
      <c r="B577">
        <f t="shared" si="32"/>
        <v>1</v>
      </c>
      <c r="C577" t="s">
        <v>10</v>
      </c>
      <c r="D577">
        <f>IF(AND(MONTH(A577)&lt;&gt;MONTH(A576),I576&gt;=3*$S$2),D576+3,D576)</f>
        <v>49</v>
      </c>
      <c r="E577">
        <f>IF(B577&lt;6,ROUNDDOWN(D577*VLOOKUP(C577,$U$1:$V$5,2,FALSE),0)*$S$3,0)</f>
        <v>1320</v>
      </c>
      <c r="F577">
        <f t="shared" si="34"/>
        <v>0</v>
      </c>
      <c r="G577">
        <f t="shared" si="35"/>
        <v>0</v>
      </c>
      <c r="H577">
        <f t="shared" si="33"/>
        <v>1320</v>
      </c>
      <c r="I577">
        <f>SUM($H$2:H577)</f>
        <v>76390</v>
      </c>
    </row>
    <row r="578" spans="1:9" x14ac:dyDescent="0.25">
      <c r="A578" s="1">
        <v>45503</v>
      </c>
      <c r="B578">
        <f t="shared" si="32"/>
        <v>2</v>
      </c>
      <c r="C578" t="s">
        <v>10</v>
      </c>
      <c r="D578">
        <f>IF(AND(MONTH(A578)&lt;&gt;MONTH(A577),I577&gt;=3*$S$2),D577+3,D577)</f>
        <v>49</v>
      </c>
      <c r="E578">
        <f>IF(B578&lt;6,ROUNDDOWN(D578*VLOOKUP(C578,$U$1:$V$5,2,FALSE),0)*$S$3,0)</f>
        <v>1320</v>
      </c>
      <c r="F578">
        <f t="shared" si="34"/>
        <v>0</v>
      </c>
      <c r="G578">
        <f t="shared" si="35"/>
        <v>0</v>
      </c>
      <c r="H578">
        <f t="shared" si="33"/>
        <v>1320</v>
      </c>
      <c r="I578">
        <f>SUM($H$2:H578)</f>
        <v>77710</v>
      </c>
    </row>
    <row r="579" spans="1:9" x14ac:dyDescent="0.25">
      <c r="A579" s="1">
        <v>45504</v>
      </c>
      <c r="B579">
        <f t="shared" ref="B579:B642" si="36">WEEKDAY(A579,2)</f>
        <v>3</v>
      </c>
      <c r="C579" t="s">
        <v>10</v>
      </c>
      <c r="D579">
        <f>IF(AND(MONTH(A579)&lt;&gt;MONTH(A578),I578&gt;=3*$S$2),D578+3,D578)</f>
        <v>49</v>
      </c>
      <c r="E579">
        <f>IF(B579&lt;6,ROUNDDOWN(D579*VLOOKUP(C579,$U$1:$V$5,2,FALSE),0)*$S$3,0)</f>
        <v>1320</v>
      </c>
      <c r="F579">
        <f t="shared" si="34"/>
        <v>0</v>
      </c>
      <c r="G579">
        <f t="shared" si="35"/>
        <v>0</v>
      </c>
      <c r="H579">
        <f t="shared" ref="H579:H642" si="37">E579-F579-G579</f>
        <v>1320</v>
      </c>
      <c r="I579">
        <f>SUM($H$2:H579)</f>
        <v>79030</v>
      </c>
    </row>
    <row r="580" spans="1:9" x14ac:dyDescent="0.25">
      <c r="A580" s="1">
        <v>45505</v>
      </c>
      <c r="B580">
        <f t="shared" si="36"/>
        <v>4</v>
      </c>
      <c r="C580" t="s">
        <v>10</v>
      </c>
      <c r="D580">
        <f>IF(AND(MONTH(A580)&lt;&gt;MONTH(A579),I579&gt;=3*$S$2),D579+3,D579)</f>
        <v>52</v>
      </c>
      <c r="E580">
        <f>IF(B580&lt;6,ROUNDDOWN(D580*VLOOKUP(C580,$U$1:$V$5,2,FALSE),0)*$S$3,0)</f>
        <v>1380</v>
      </c>
      <c r="F580">
        <f t="shared" ref="F580:F643" si="38">IF(B580=7,$S$4*D580,0)</f>
        <v>0</v>
      </c>
      <c r="G580">
        <f t="shared" ref="G580:G643" si="39">IF(D580&gt;D579,3*$S$2,0)</f>
        <v>2400</v>
      </c>
      <c r="H580">
        <f t="shared" si="37"/>
        <v>-1020</v>
      </c>
      <c r="I580">
        <f>SUM($H$2:H580)</f>
        <v>78010</v>
      </c>
    </row>
    <row r="581" spans="1:9" x14ac:dyDescent="0.25">
      <c r="A581" s="1">
        <v>45506</v>
      </c>
      <c r="B581">
        <f t="shared" si="36"/>
        <v>5</v>
      </c>
      <c r="C581" t="s">
        <v>10</v>
      </c>
      <c r="D581">
        <f>IF(AND(MONTH(A581)&lt;&gt;MONTH(A580),I580&gt;=3*$S$2),D580+3,D580)</f>
        <v>52</v>
      </c>
      <c r="E581">
        <f>IF(B581&lt;6,ROUNDDOWN(D581*VLOOKUP(C581,$U$1:$V$5,2,FALSE),0)*$S$3,0)</f>
        <v>1380</v>
      </c>
      <c r="F581">
        <f t="shared" si="38"/>
        <v>0</v>
      </c>
      <c r="G581">
        <f t="shared" si="39"/>
        <v>0</v>
      </c>
      <c r="H581">
        <f t="shared" si="37"/>
        <v>1380</v>
      </c>
      <c r="I581">
        <f>SUM($H$2:H581)</f>
        <v>79390</v>
      </c>
    </row>
    <row r="582" spans="1:9" x14ac:dyDescent="0.25">
      <c r="A582" s="1">
        <v>45507</v>
      </c>
      <c r="B582">
        <f t="shared" si="36"/>
        <v>6</v>
      </c>
      <c r="C582" t="s">
        <v>10</v>
      </c>
      <c r="D582">
        <f>IF(AND(MONTH(A582)&lt;&gt;MONTH(A581),I581&gt;=3*$S$2),D581+3,D581)</f>
        <v>52</v>
      </c>
      <c r="E582">
        <f>IF(B582&lt;6,ROUNDDOWN(D582*VLOOKUP(C582,$U$1:$V$5,2,FALSE),0)*$S$3,0)</f>
        <v>0</v>
      </c>
      <c r="F582">
        <f t="shared" si="38"/>
        <v>0</v>
      </c>
      <c r="G582">
        <f t="shared" si="39"/>
        <v>0</v>
      </c>
      <c r="H582">
        <f t="shared" si="37"/>
        <v>0</v>
      </c>
      <c r="I582">
        <f>SUM($H$2:H582)</f>
        <v>79390</v>
      </c>
    </row>
    <row r="583" spans="1:9" x14ac:dyDescent="0.25">
      <c r="A583" s="1">
        <v>45508</v>
      </c>
      <c r="B583">
        <f t="shared" si="36"/>
        <v>7</v>
      </c>
      <c r="C583" t="s">
        <v>10</v>
      </c>
      <c r="D583">
        <f>IF(AND(MONTH(A583)&lt;&gt;MONTH(A582),I582&gt;=3*$S$2),D582+3,D582)</f>
        <v>52</v>
      </c>
      <c r="E583">
        <f>IF(B583&lt;6,ROUNDDOWN(D583*VLOOKUP(C583,$U$1:$V$5,2,FALSE),0)*$S$3,0)</f>
        <v>0</v>
      </c>
      <c r="F583">
        <f t="shared" si="38"/>
        <v>780</v>
      </c>
      <c r="G583">
        <f t="shared" si="39"/>
        <v>0</v>
      </c>
      <c r="H583">
        <f t="shared" si="37"/>
        <v>-780</v>
      </c>
      <c r="I583">
        <f>SUM($H$2:H583)</f>
        <v>78610</v>
      </c>
    </row>
    <row r="584" spans="1:9" x14ac:dyDescent="0.25">
      <c r="A584" s="1">
        <v>45509</v>
      </c>
      <c r="B584">
        <f t="shared" si="36"/>
        <v>1</v>
      </c>
      <c r="C584" t="s">
        <v>10</v>
      </c>
      <c r="D584">
        <f>IF(AND(MONTH(A584)&lt;&gt;MONTH(A583),I583&gt;=3*$S$2),D583+3,D583)</f>
        <v>52</v>
      </c>
      <c r="E584">
        <f>IF(B584&lt;6,ROUNDDOWN(D584*VLOOKUP(C584,$U$1:$V$5,2,FALSE),0)*$S$3,0)</f>
        <v>1380</v>
      </c>
      <c r="F584">
        <f t="shared" si="38"/>
        <v>0</v>
      </c>
      <c r="G584">
        <f t="shared" si="39"/>
        <v>0</v>
      </c>
      <c r="H584">
        <f t="shared" si="37"/>
        <v>1380</v>
      </c>
      <c r="I584">
        <f>SUM($H$2:H584)</f>
        <v>79990</v>
      </c>
    </row>
    <row r="585" spans="1:9" x14ac:dyDescent="0.25">
      <c r="A585" s="1">
        <v>45510</v>
      </c>
      <c r="B585">
        <f t="shared" si="36"/>
        <v>2</v>
      </c>
      <c r="C585" t="s">
        <v>10</v>
      </c>
      <c r="D585">
        <f>IF(AND(MONTH(A585)&lt;&gt;MONTH(A584),I584&gt;=3*$S$2),D584+3,D584)</f>
        <v>52</v>
      </c>
      <c r="E585">
        <f>IF(B585&lt;6,ROUNDDOWN(D585*VLOOKUP(C585,$U$1:$V$5,2,FALSE),0)*$S$3,0)</f>
        <v>1380</v>
      </c>
      <c r="F585">
        <f t="shared" si="38"/>
        <v>0</v>
      </c>
      <c r="G585">
        <f t="shared" si="39"/>
        <v>0</v>
      </c>
      <c r="H585">
        <f t="shared" si="37"/>
        <v>1380</v>
      </c>
      <c r="I585">
        <f>SUM($H$2:H585)</f>
        <v>81370</v>
      </c>
    </row>
    <row r="586" spans="1:9" x14ac:dyDescent="0.25">
      <c r="A586" s="1">
        <v>45511</v>
      </c>
      <c r="B586">
        <f t="shared" si="36"/>
        <v>3</v>
      </c>
      <c r="C586" t="s">
        <v>10</v>
      </c>
      <c r="D586">
        <f>IF(AND(MONTH(A586)&lt;&gt;MONTH(A585),I585&gt;=3*$S$2),D585+3,D585)</f>
        <v>52</v>
      </c>
      <c r="E586">
        <f>IF(B586&lt;6,ROUNDDOWN(D586*VLOOKUP(C586,$U$1:$V$5,2,FALSE),0)*$S$3,0)</f>
        <v>1380</v>
      </c>
      <c r="F586">
        <f t="shared" si="38"/>
        <v>0</v>
      </c>
      <c r="G586">
        <f t="shared" si="39"/>
        <v>0</v>
      </c>
      <c r="H586">
        <f t="shared" si="37"/>
        <v>1380</v>
      </c>
      <c r="I586">
        <f>SUM($H$2:H586)</f>
        <v>82750</v>
      </c>
    </row>
    <row r="587" spans="1:9" x14ac:dyDescent="0.25">
      <c r="A587" s="1">
        <v>45512</v>
      </c>
      <c r="B587">
        <f t="shared" si="36"/>
        <v>4</v>
      </c>
      <c r="C587" t="s">
        <v>10</v>
      </c>
      <c r="D587">
        <f>IF(AND(MONTH(A587)&lt;&gt;MONTH(A586),I586&gt;=3*$S$2),D586+3,D586)</f>
        <v>52</v>
      </c>
      <c r="E587">
        <f>IF(B587&lt;6,ROUNDDOWN(D587*VLOOKUP(C587,$U$1:$V$5,2,FALSE),0)*$S$3,0)</f>
        <v>1380</v>
      </c>
      <c r="F587">
        <f t="shared" si="38"/>
        <v>0</v>
      </c>
      <c r="G587">
        <f t="shared" si="39"/>
        <v>0</v>
      </c>
      <c r="H587">
        <f t="shared" si="37"/>
        <v>1380</v>
      </c>
      <c r="I587">
        <f>SUM($H$2:H587)</f>
        <v>84130</v>
      </c>
    </row>
    <row r="588" spans="1:9" x14ac:dyDescent="0.25">
      <c r="A588" s="1">
        <v>45513</v>
      </c>
      <c r="B588">
        <f t="shared" si="36"/>
        <v>5</v>
      </c>
      <c r="C588" t="s">
        <v>10</v>
      </c>
      <c r="D588">
        <f>IF(AND(MONTH(A588)&lt;&gt;MONTH(A587),I587&gt;=3*$S$2),D587+3,D587)</f>
        <v>52</v>
      </c>
      <c r="E588">
        <f>IF(B588&lt;6,ROUNDDOWN(D588*VLOOKUP(C588,$U$1:$V$5,2,FALSE),0)*$S$3,0)</f>
        <v>1380</v>
      </c>
      <c r="F588">
        <f t="shared" si="38"/>
        <v>0</v>
      </c>
      <c r="G588">
        <f t="shared" si="39"/>
        <v>0</v>
      </c>
      <c r="H588">
        <f t="shared" si="37"/>
        <v>1380</v>
      </c>
      <c r="I588">
        <f>SUM($H$2:H588)</f>
        <v>85510</v>
      </c>
    </row>
    <row r="589" spans="1:9" x14ac:dyDescent="0.25">
      <c r="A589" s="1">
        <v>45514</v>
      </c>
      <c r="B589">
        <f t="shared" si="36"/>
        <v>6</v>
      </c>
      <c r="C589" t="s">
        <v>10</v>
      </c>
      <c r="D589">
        <f>IF(AND(MONTH(A589)&lt;&gt;MONTH(A588),I588&gt;=3*$S$2),D588+3,D588)</f>
        <v>52</v>
      </c>
      <c r="E589">
        <f>IF(B589&lt;6,ROUNDDOWN(D589*VLOOKUP(C589,$U$1:$V$5,2,FALSE),0)*$S$3,0)</f>
        <v>0</v>
      </c>
      <c r="F589">
        <f t="shared" si="38"/>
        <v>0</v>
      </c>
      <c r="G589">
        <f t="shared" si="39"/>
        <v>0</v>
      </c>
      <c r="H589">
        <f t="shared" si="37"/>
        <v>0</v>
      </c>
      <c r="I589">
        <f>SUM($H$2:H589)</f>
        <v>85510</v>
      </c>
    </row>
    <row r="590" spans="1:9" x14ac:dyDescent="0.25">
      <c r="A590" s="1">
        <v>45515</v>
      </c>
      <c r="B590">
        <f t="shared" si="36"/>
        <v>7</v>
      </c>
      <c r="C590" t="s">
        <v>10</v>
      </c>
      <c r="D590">
        <f>IF(AND(MONTH(A590)&lt;&gt;MONTH(A589),I589&gt;=3*$S$2),D589+3,D589)</f>
        <v>52</v>
      </c>
      <c r="E590">
        <f>IF(B590&lt;6,ROUNDDOWN(D590*VLOOKUP(C590,$U$1:$V$5,2,FALSE),0)*$S$3,0)</f>
        <v>0</v>
      </c>
      <c r="F590">
        <f t="shared" si="38"/>
        <v>780</v>
      </c>
      <c r="G590">
        <f t="shared" si="39"/>
        <v>0</v>
      </c>
      <c r="H590">
        <f t="shared" si="37"/>
        <v>-780</v>
      </c>
      <c r="I590">
        <f>SUM($H$2:H590)</f>
        <v>84730</v>
      </c>
    </row>
    <row r="591" spans="1:9" x14ac:dyDescent="0.25">
      <c r="A591" s="1">
        <v>45516</v>
      </c>
      <c r="B591">
        <f t="shared" si="36"/>
        <v>1</v>
      </c>
      <c r="C591" t="s">
        <v>10</v>
      </c>
      <c r="D591">
        <f>IF(AND(MONTH(A591)&lt;&gt;MONTH(A590),I590&gt;=3*$S$2),D590+3,D590)</f>
        <v>52</v>
      </c>
      <c r="E591">
        <f>IF(B591&lt;6,ROUNDDOWN(D591*VLOOKUP(C591,$U$1:$V$5,2,FALSE),0)*$S$3,0)</f>
        <v>1380</v>
      </c>
      <c r="F591">
        <f t="shared" si="38"/>
        <v>0</v>
      </c>
      <c r="G591">
        <f t="shared" si="39"/>
        <v>0</v>
      </c>
      <c r="H591">
        <f t="shared" si="37"/>
        <v>1380</v>
      </c>
      <c r="I591">
        <f>SUM($H$2:H591)</f>
        <v>86110</v>
      </c>
    </row>
    <row r="592" spans="1:9" x14ac:dyDescent="0.25">
      <c r="A592" s="1">
        <v>45517</v>
      </c>
      <c r="B592">
        <f t="shared" si="36"/>
        <v>2</v>
      </c>
      <c r="C592" t="s">
        <v>10</v>
      </c>
      <c r="D592">
        <f>IF(AND(MONTH(A592)&lt;&gt;MONTH(A591),I591&gt;=3*$S$2),D591+3,D591)</f>
        <v>52</v>
      </c>
      <c r="E592">
        <f>IF(B592&lt;6,ROUNDDOWN(D592*VLOOKUP(C592,$U$1:$V$5,2,FALSE),0)*$S$3,0)</f>
        <v>1380</v>
      </c>
      <c r="F592">
        <f t="shared" si="38"/>
        <v>0</v>
      </c>
      <c r="G592">
        <f t="shared" si="39"/>
        <v>0</v>
      </c>
      <c r="H592">
        <f t="shared" si="37"/>
        <v>1380</v>
      </c>
      <c r="I592">
        <f>SUM($H$2:H592)</f>
        <v>87490</v>
      </c>
    </row>
    <row r="593" spans="1:9" x14ac:dyDescent="0.25">
      <c r="A593" s="1">
        <v>45518</v>
      </c>
      <c r="B593">
        <f t="shared" si="36"/>
        <v>3</v>
      </c>
      <c r="C593" t="s">
        <v>10</v>
      </c>
      <c r="D593">
        <f>IF(AND(MONTH(A593)&lt;&gt;MONTH(A592),I592&gt;=3*$S$2),D592+3,D592)</f>
        <v>52</v>
      </c>
      <c r="E593">
        <f>IF(B593&lt;6,ROUNDDOWN(D593*VLOOKUP(C593,$U$1:$V$5,2,FALSE),0)*$S$3,0)</f>
        <v>1380</v>
      </c>
      <c r="F593">
        <f t="shared" si="38"/>
        <v>0</v>
      </c>
      <c r="G593">
        <f t="shared" si="39"/>
        <v>0</v>
      </c>
      <c r="H593">
        <f t="shared" si="37"/>
        <v>1380</v>
      </c>
      <c r="I593">
        <f>SUM($H$2:H593)</f>
        <v>88870</v>
      </c>
    </row>
    <row r="594" spans="1:9" x14ac:dyDescent="0.25">
      <c r="A594" s="1">
        <v>45519</v>
      </c>
      <c r="B594">
        <f t="shared" si="36"/>
        <v>4</v>
      </c>
      <c r="C594" t="s">
        <v>10</v>
      </c>
      <c r="D594">
        <f>IF(AND(MONTH(A594)&lt;&gt;MONTH(A593),I593&gt;=3*$S$2),D593+3,D593)</f>
        <v>52</v>
      </c>
      <c r="E594">
        <f>IF(B594&lt;6,ROUNDDOWN(D594*VLOOKUP(C594,$U$1:$V$5,2,FALSE),0)*$S$3,0)</f>
        <v>1380</v>
      </c>
      <c r="F594">
        <f t="shared" si="38"/>
        <v>0</v>
      </c>
      <c r="G594">
        <f t="shared" si="39"/>
        <v>0</v>
      </c>
      <c r="H594">
        <f t="shared" si="37"/>
        <v>1380</v>
      </c>
      <c r="I594">
        <f>SUM($H$2:H594)</f>
        <v>90250</v>
      </c>
    </row>
    <row r="595" spans="1:9" x14ac:dyDescent="0.25">
      <c r="A595" s="1">
        <v>45520</v>
      </c>
      <c r="B595">
        <f t="shared" si="36"/>
        <v>5</v>
      </c>
      <c r="C595" t="s">
        <v>10</v>
      </c>
      <c r="D595">
        <f>IF(AND(MONTH(A595)&lt;&gt;MONTH(A594),I594&gt;=3*$S$2),D594+3,D594)</f>
        <v>52</v>
      </c>
      <c r="E595">
        <f>IF(B595&lt;6,ROUNDDOWN(D595*VLOOKUP(C595,$U$1:$V$5,2,FALSE),0)*$S$3,0)</f>
        <v>1380</v>
      </c>
      <c r="F595">
        <f t="shared" si="38"/>
        <v>0</v>
      </c>
      <c r="G595">
        <f t="shared" si="39"/>
        <v>0</v>
      </c>
      <c r="H595">
        <f t="shared" si="37"/>
        <v>1380</v>
      </c>
      <c r="I595">
        <f>SUM($H$2:H595)</f>
        <v>91630</v>
      </c>
    </row>
    <row r="596" spans="1:9" x14ac:dyDescent="0.25">
      <c r="A596" s="1">
        <v>45521</v>
      </c>
      <c r="B596">
        <f t="shared" si="36"/>
        <v>6</v>
      </c>
      <c r="C596" t="s">
        <v>10</v>
      </c>
      <c r="D596">
        <f>IF(AND(MONTH(A596)&lt;&gt;MONTH(A595),I595&gt;=3*$S$2),D595+3,D595)</f>
        <v>52</v>
      </c>
      <c r="E596">
        <f>IF(B596&lt;6,ROUNDDOWN(D596*VLOOKUP(C596,$U$1:$V$5,2,FALSE),0)*$S$3,0)</f>
        <v>0</v>
      </c>
      <c r="F596">
        <f t="shared" si="38"/>
        <v>0</v>
      </c>
      <c r="G596">
        <f t="shared" si="39"/>
        <v>0</v>
      </c>
      <c r="H596">
        <f t="shared" si="37"/>
        <v>0</v>
      </c>
      <c r="I596">
        <f>SUM($H$2:H596)</f>
        <v>91630</v>
      </c>
    </row>
    <row r="597" spans="1:9" x14ac:dyDescent="0.25">
      <c r="A597" s="1">
        <v>45522</v>
      </c>
      <c r="B597">
        <f t="shared" si="36"/>
        <v>7</v>
      </c>
      <c r="C597" t="s">
        <v>10</v>
      </c>
      <c r="D597">
        <f>IF(AND(MONTH(A597)&lt;&gt;MONTH(A596),I596&gt;=3*$S$2),D596+3,D596)</f>
        <v>52</v>
      </c>
      <c r="E597">
        <f>IF(B597&lt;6,ROUNDDOWN(D597*VLOOKUP(C597,$U$1:$V$5,2,FALSE),0)*$S$3,0)</f>
        <v>0</v>
      </c>
      <c r="F597">
        <f t="shared" si="38"/>
        <v>780</v>
      </c>
      <c r="G597">
        <f t="shared" si="39"/>
        <v>0</v>
      </c>
      <c r="H597">
        <f t="shared" si="37"/>
        <v>-780</v>
      </c>
      <c r="I597">
        <f>SUM($H$2:H597)</f>
        <v>90850</v>
      </c>
    </row>
    <row r="598" spans="1:9" x14ac:dyDescent="0.25">
      <c r="A598" s="1">
        <v>45523</v>
      </c>
      <c r="B598">
        <f t="shared" si="36"/>
        <v>1</v>
      </c>
      <c r="C598" t="s">
        <v>10</v>
      </c>
      <c r="D598">
        <f>IF(AND(MONTH(A598)&lt;&gt;MONTH(A597),I597&gt;=3*$S$2),D597+3,D597)</f>
        <v>52</v>
      </c>
      <c r="E598">
        <f>IF(B598&lt;6,ROUNDDOWN(D598*VLOOKUP(C598,$U$1:$V$5,2,FALSE),0)*$S$3,0)</f>
        <v>1380</v>
      </c>
      <c r="F598">
        <f t="shared" si="38"/>
        <v>0</v>
      </c>
      <c r="G598">
        <f t="shared" si="39"/>
        <v>0</v>
      </c>
      <c r="H598">
        <f t="shared" si="37"/>
        <v>1380</v>
      </c>
      <c r="I598">
        <f>SUM($H$2:H598)</f>
        <v>92230</v>
      </c>
    </row>
    <row r="599" spans="1:9" x14ac:dyDescent="0.25">
      <c r="A599" s="1">
        <v>45524</v>
      </c>
      <c r="B599">
        <f t="shared" si="36"/>
        <v>2</v>
      </c>
      <c r="C599" t="s">
        <v>10</v>
      </c>
      <c r="D599">
        <f>IF(AND(MONTH(A599)&lt;&gt;MONTH(A598),I598&gt;=3*$S$2),D598+3,D598)</f>
        <v>52</v>
      </c>
      <c r="E599">
        <f>IF(B599&lt;6,ROUNDDOWN(D599*VLOOKUP(C599,$U$1:$V$5,2,FALSE),0)*$S$3,0)</f>
        <v>1380</v>
      </c>
      <c r="F599">
        <f t="shared" si="38"/>
        <v>0</v>
      </c>
      <c r="G599">
        <f t="shared" si="39"/>
        <v>0</v>
      </c>
      <c r="H599">
        <f t="shared" si="37"/>
        <v>1380</v>
      </c>
      <c r="I599">
        <f>SUM($H$2:H599)</f>
        <v>93610</v>
      </c>
    </row>
    <row r="600" spans="1:9" x14ac:dyDescent="0.25">
      <c r="A600" s="1">
        <v>45525</v>
      </c>
      <c r="B600">
        <f t="shared" si="36"/>
        <v>3</v>
      </c>
      <c r="C600" t="s">
        <v>10</v>
      </c>
      <c r="D600">
        <f>IF(AND(MONTH(A600)&lt;&gt;MONTH(A599),I599&gt;=3*$S$2),D599+3,D599)</f>
        <v>52</v>
      </c>
      <c r="E600">
        <f>IF(B600&lt;6,ROUNDDOWN(D600*VLOOKUP(C600,$U$1:$V$5,2,FALSE),0)*$S$3,0)</f>
        <v>1380</v>
      </c>
      <c r="F600">
        <f t="shared" si="38"/>
        <v>0</v>
      </c>
      <c r="G600">
        <f t="shared" si="39"/>
        <v>0</v>
      </c>
      <c r="H600">
        <f t="shared" si="37"/>
        <v>1380</v>
      </c>
      <c r="I600">
        <f>SUM($H$2:H600)</f>
        <v>94990</v>
      </c>
    </row>
    <row r="601" spans="1:9" x14ac:dyDescent="0.25">
      <c r="A601" s="1">
        <v>45526</v>
      </c>
      <c r="B601">
        <f t="shared" si="36"/>
        <v>4</v>
      </c>
      <c r="C601" t="s">
        <v>10</v>
      </c>
      <c r="D601">
        <f>IF(AND(MONTH(A601)&lt;&gt;MONTH(A600),I600&gt;=3*$S$2),D600+3,D600)</f>
        <v>52</v>
      </c>
      <c r="E601">
        <f>IF(B601&lt;6,ROUNDDOWN(D601*VLOOKUP(C601,$U$1:$V$5,2,FALSE),0)*$S$3,0)</f>
        <v>1380</v>
      </c>
      <c r="F601">
        <f t="shared" si="38"/>
        <v>0</v>
      </c>
      <c r="G601">
        <f t="shared" si="39"/>
        <v>0</v>
      </c>
      <c r="H601">
        <f t="shared" si="37"/>
        <v>1380</v>
      </c>
      <c r="I601">
        <f>SUM($H$2:H601)</f>
        <v>96370</v>
      </c>
    </row>
    <row r="602" spans="1:9" x14ac:dyDescent="0.25">
      <c r="A602" s="1">
        <v>45527</v>
      </c>
      <c r="B602">
        <f t="shared" si="36"/>
        <v>5</v>
      </c>
      <c r="C602" t="s">
        <v>10</v>
      </c>
      <c r="D602">
        <f>IF(AND(MONTH(A602)&lt;&gt;MONTH(A601),I601&gt;=3*$S$2),D601+3,D601)</f>
        <v>52</v>
      </c>
      <c r="E602">
        <f>IF(B602&lt;6,ROUNDDOWN(D602*VLOOKUP(C602,$U$1:$V$5,2,FALSE),0)*$S$3,0)</f>
        <v>1380</v>
      </c>
      <c r="F602">
        <f t="shared" si="38"/>
        <v>0</v>
      </c>
      <c r="G602">
        <f t="shared" si="39"/>
        <v>0</v>
      </c>
      <c r="H602">
        <f t="shared" si="37"/>
        <v>1380</v>
      </c>
      <c r="I602">
        <f>SUM($H$2:H602)</f>
        <v>97750</v>
      </c>
    </row>
    <row r="603" spans="1:9" x14ac:dyDescent="0.25">
      <c r="A603" s="1">
        <v>45528</v>
      </c>
      <c r="B603">
        <f t="shared" si="36"/>
        <v>6</v>
      </c>
      <c r="C603" t="s">
        <v>10</v>
      </c>
      <c r="D603">
        <f>IF(AND(MONTH(A603)&lt;&gt;MONTH(A602),I602&gt;=3*$S$2),D602+3,D602)</f>
        <v>52</v>
      </c>
      <c r="E603">
        <f>IF(B603&lt;6,ROUNDDOWN(D603*VLOOKUP(C603,$U$1:$V$5,2,FALSE),0)*$S$3,0)</f>
        <v>0</v>
      </c>
      <c r="F603">
        <f t="shared" si="38"/>
        <v>0</v>
      </c>
      <c r="G603">
        <f t="shared" si="39"/>
        <v>0</v>
      </c>
      <c r="H603">
        <f t="shared" si="37"/>
        <v>0</v>
      </c>
      <c r="I603">
        <f>SUM($H$2:H603)</f>
        <v>97750</v>
      </c>
    </row>
    <row r="604" spans="1:9" x14ac:dyDescent="0.25">
      <c r="A604" s="1">
        <v>45529</v>
      </c>
      <c r="B604">
        <f t="shared" si="36"/>
        <v>7</v>
      </c>
      <c r="C604" t="s">
        <v>10</v>
      </c>
      <c r="D604">
        <f>IF(AND(MONTH(A604)&lt;&gt;MONTH(A603),I603&gt;=3*$S$2),D603+3,D603)</f>
        <v>52</v>
      </c>
      <c r="E604">
        <f>IF(B604&lt;6,ROUNDDOWN(D604*VLOOKUP(C604,$U$1:$V$5,2,FALSE),0)*$S$3,0)</f>
        <v>0</v>
      </c>
      <c r="F604">
        <f t="shared" si="38"/>
        <v>780</v>
      </c>
      <c r="G604">
        <f t="shared" si="39"/>
        <v>0</v>
      </c>
      <c r="H604">
        <f t="shared" si="37"/>
        <v>-780</v>
      </c>
      <c r="I604">
        <f>SUM($H$2:H604)</f>
        <v>96970</v>
      </c>
    </row>
    <row r="605" spans="1:9" x14ac:dyDescent="0.25">
      <c r="A605" s="1">
        <v>45530</v>
      </c>
      <c r="B605">
        <f t="shared" si="36"/>
        <v>1</v>
      </c>
      <c r="C605" t="s">
        <v>10</v>
      </c>
      <c r="D605">
        <f>IF(AND(MONTH(A605)&lt;&gt;MONTH(A604),I604&gt;=3*$S$2),D604+3,D604)</f>
        <v>52</v>
      </c>
      <c r="E605">
        <f>IF(B605&lt;6,ROUNDDOWN(D605*VLOOKUP(C605,$U$1:$V$5,2,FALSE),0)*$S$3,0)</f>
        <v>1380</v>
      </c>
      <c r="F605">
        <f t="shared" si="38"/>
        <v>0</v>
      </c>
      <c r="G605">
        <f t="shared" si="39"/>
        <v>0</v>
      </c>
      <c r="H605">
        <f t="shared" si="37"/>
        <v>1380</v>
      </c>
      <c r="I605">
        <f>SUM($H$2:H605)</f>
        <v>98350</v>
      </c>
    </row>
    <row r="606" spans="1:9" x14ac:dyDescent="0.25">
      <c r="A606" s="1">
        <v>45531</v>
      </c>
      <c r="B606">
        <f t="shared" si="36"/>
        <v>2</v>
      </c>
      <c r="C606" t="s">
        <v>10</v>
      </c>
      <c r="D606">
        <f>IF(AND(MONTH(A606)&lt;&gt;MONTH(A605),I605&gt;=3*$S$2),D605+3,D605)</f>
        <v>52</v>
      </c>
      <c r="E606">
        <f>IF(B606&lt;6,ROUNDDOWN(D606*VLOOKUP(C606,$U$1:$V$5,2,FALSE),0)*$S$3,0)</f>
        <v>1380</v>
      </c>
      <c r="F606">
        <f t="shared" si="38"/>
        <v>0</v>
      </c>
      <c r="G606">
        <f t="shared" si="39"/>
        <v>0</v>
      </c>
      <c r="H606">
        <f t="shared" si="37"/>
        <v>1380</v>
      </c>
      <c r="I606">
        <f>SUM($H$2:H606)</f>
        <v>99730</v>
      </c>
    </row>
    <row r="607" spans="1:9" x14ac:dyDescent="0.25">
      <c r="A607" s="1">
        <v>45532</v>
      </c>
      <c r="B607">
        <f t="shared" si="36"/>
        <v>3</v>
      </c>
      <c r="C607" t="s">
        <v>10</v>
      </c>
      <c r="D607">
        <f>IF(AND(MONTH(A607)&lt;&gt;MONTH(A606),I606&gt;=3*$S$2),D606+3,D606)</f>
        <v>52</v>
      </c>
      <c r="E607">
        <f>IF(B607&lt;6,ROUNDDOWN(D607*VLOOKUP(C607,$U$1:$V$5,2,FALSE),0)*$S$3,0)</f>
        <v>1380</v>
      </c>
      <c r="F607">
        <f t="shared" si="38"/>
        <v>0</v>
      </c>
      <c r="G607">
        <f t="shared" si="39"/>
        <v>0</v>
      </c>
      <c r="H607">
        <f t="shared" si="37"/>
        <v>1380</v>
      </c>
      <c r="I607">
        <f>SUM($H$2:H607)</f>
        <v>101110</v>
      </c>
    </row>
    <row r="608" spans="1:9" x14ac:dyDescent="0.25">
      <c r="A608" s="1">
        <v>45533</v>
      </c>
      <c r="B608">
        <f t="shared" si="36"/>
        <v>4</v>
      </c>
      <c r="C608" t="s">
        <v>10</v>
      </c>
      <c r="D608">
        <f>IF(AND(MONTH(A608)&lt;&gt;MONTH(A607),I607&gt;=3*$S$2),D607+3,D607)</f>
        <v>52</v>
      </c>
      <c r="E608">
        <f>IF(B608&lt;6,ROUNDDOWN(D608*VLOOKUP(C608,$U$1:$V$5,2,FALSE),0)*$S$3,0)</f>
        <v>1380</v>
      </c>
      <c r="F608">
        <f t="shared" si="38"/>
        <v>0</v>
      </c>
      <c r="G608">
        <f t="shared" si="39"/>
        <v>0</v>
      </c>
      <c r="H608">
        <f t="shared" si="37"/>
        <v>1380</v>
      </c>
      <c r="I608">
        <f>SUM($H$2:H608)</f>
        <v>102490</v>
      </c>
    </row>
    <row r="609" spans="1:9" x14ac:dyDescent="0.25">
      <c r="A609" s="1">
        <v>45534</v>
      </c>
      <c r="B609">
        <f t="shared" si="36"/>
        <v>5</v>
      </c>
      <c r="C609" t="s">
        <v>10</v>
      </c>
      <c r="D609">
        <f>IF(AND(MONTH(A609)&lt;&gt;MONTH(A608),I608&gt;=3*$S$2),D608+3,D608)</f>
        <v>52</v>
      </c>
      <c r="E609">
        <f>IF(B609&lt;6,ROUNDDOWN(D609*VLOOKUP(C609,$U$1:$V$5,2,FALSE),0)*$S$3,0)</f>
        <v>1380</v>
      </c>
      <c r="F609">
        <f t="shared" si="38"/>
        <v>0</v>
      </c>
      <c r="G609">
        <f t="shared" si="39"/>
        <v>0</v>
      </c>
      <c r="H609">
        <f t="shared" si="37"/>
        <v>1380</v>
      </c>
      <c r="I609">
        <f>SUM($H$2:H609)</f>
        <v>103870</v>
      </c>
    </row>
    <row r="610" spans="1:9" x14ac:dyDescent="0.25">
      <c r="A610" s="1">
        <v>45535</v>
      </c>
      <c r="B610">
        <f t="shared" si="36"/>
        <v>6</v>
      </c>
      <c r="C610" t="s">
        <v>10</v>
      </c>
      <c r="D610">
        <f>IF(AND(MONTH(A610)&lt;&gt;MONTH(A609),I609&gt;=3*$S$2),D609+3,D609)</f>
        <v>52</v>
      </c>
      <c r="E610">
        <f>IF(B610&lt;6,ROUNDDOWN(D610*VLOOKUP(C610,$U$1:$V$5,2,FALSE),0)*$S$3,0)</f>
        <v>0</v>
      </c>
      <c r="F610">
        <f t="shared" si="38"/>
        <v>0</v>
      </c>
      <c r="G610">
        <f t="shared" si="39"/>
        <v>0</v>
      </c>
      <c r="H610">
        <f t="shared" si="37"/>
        <v>0</v>
      </c>
      <c r="I610">
        <f>SUM($H$2:H610)</f>
        <v>103870</v>
      </c>
    </row>
    <row r="611" spans="1:9" x14ac:dyDescent="0.25">
      <c r="A611" s="1">
        <v>45536</v>
      </c>
      <c r="B611">
        <f t="shared" si="36"/>
        <v>7</v>
      </c>
      <c r="C611" t="s">
        <v>10</v>
      </c>
      <c r="D611">
        <f>IF(AND(MONTH(A611)&lt;&gt;MONTH(A610),I610&gt;=3*$S$2),D610+3,D610)</f>
        <v>55</v>
      </c>
      <c r="E611">
        <f>IF(B611&lt;6,ROUNDDOWN(D611*VLOOKUP(C611,$U$1:$V$5,2,FALSE),0)*$S$3,0)</f>
        <v>0</v>
      </c>
      <c r="F611">
        <f t="shared" si="38"/>
        <v>825</v>
      </c>
      <c r="G611">
        <f t="shared" si="39"/>
        <v>2400</v>
      </c>
      <c r="H611">
        <f t="shared" si="37"/>
        <v>-3225</v>
      </c>
      <c r="I611">
        <f>SUM($H$2:H611)</f>
        <v>100645</v>
      </c>
    </row>
    <row r="612" spans="1:9" x14ac:dyDescent="0.25">
      <c r="A612" s="1">
        <v>45537</v>
      </c>
      <c r="B612">
        <f t="shared" si="36"/>
        <v>1</v>
      </c>
      <c r="C612" t="s">
        <v>10</v>
      </c>
      <c r="D612">
        <f>IF(AND(MONTH(A612)&lt;&gt;MONTH(A611),I611&gt;=3*$S$2),D611+3,D611)</f>
        <v>55</v>
      </c>
      <c r="E612">
        <f>IF(B612&lt;6,ROUNDDOWN(D612*VLOOKUP(C612,$U$1:$V$5,2,FALSE),0)*$S$3,0)</f>
        <v>1470</v>
      </c>
      <c r="F612">
        <f t="shared" si="38"/>
        <v>0</v>
      </c>
      <c r="G612">
        <f t="shared" si="39"/>
        <v>0</v>
      </c>
      <c r="H612">
        <f t="shared" si="37"/>
        <v>1470</v>
      </c>
      <c r="I612">
        <f>SUM($H$2:H612)</f>
        <v>102115</v>
      </c>
    </row>
    <row r="613" spans="1:9" x14ac:dyDescent="0.25">
      <c r="A613" s="1">
        <v>45538</v>
      </c>
      <c r="B613">
        <f t="shared" si="36"/>
        <v>2</v>
      </c>
      <c r="C613" t="s">
        <v>10</v>
      </c>
      <c r="D613">
        <f>IF(AND(MONTH(A613)&lt;&gt;MONTH(A612),I612&gt;=3*$S$2),D612+3,D612)</f>
        <v>55</v>
      </c>
      <c r="E613">
        <f>IF(B613&lt;6,ROUNDDOWN(D613*VLOOKUP(C613,$U$1:$V$5,2,FALSE),0)*$S$3,0)</f>
        <v>1470</v>
      </c>
      <c r="F613">
        <f t="shared" si="38"/>
        <v>0</v>
      </c>
      <c r="G613">
        <f t="shared" si="39"/>
        <v>0</v>
      </c>
      <c r="H613">
        <f t="shared" si="37"/>
        <v>1470</v>
      </c>
      <c r="I613">
        <f>SUM($H$2:H613)</f>
        <v>103585</v>
      </c>
    </row>
    <row r="614" spans="1:9" x14ac:dyDescent="0.25">
      <c r="A614" s="1">
        <v>45539</v>
      </c>
      <c r="B614">
        <f t="shared" si="36"/>
        <v>3</v>
      </c>
      <c r="C614" t="s">
        <v>10</v>
      </c>
      <c r="D614">
        <f>IF(AND(MONTH(A614)&lt;&gt;MONTH(A613),I613&gt;=3*$S$2),D613+3,D613)</f>
        <v>55</v>
      </c>
      <c r="E614">
        <f>IF(B614&lt;6,ROUNDDOWN(D614*VLOOKUP(C614,$U$1:$V$5,2,FALSE),0)*$S$3,0)</f>
        <v>1470</v>
      </c>
      <c r="F614">
        <f t="shared" si="38"/>
        <v>0</v>
      </c>
      <c r="G614">
        <f t="shared" si="39"/>
        <v>0</v>
      </c>
      <c r="H614">
        <f t="shared" si="37"/>
        <v>1470</v>
      </c>
      <c r="I614">
        <f>SUM($H$2:H614)</f>
        <v>105055</v>
      </c>
    </row>
    <row r="615" spans="1:9" x14ac:dyDescent="0.25">
      <c r="A615" s="1">
        <v>45540</v>
      </c>
      <c r="B615">
        <f t="shared" si="36"/>
        <v>4</v>
      </c>
      <c r="C615" t="s">
        <v>10</v>
      </c>
      <c r="D615">
        <f>IF(AND(MONTH(A615)&lt;&gt;MONTH(A614),I614&gt;=3*$S$2),D614+3,D614)</f>
        <v>55</v>
      </c>
      <c r="E615">
        <f>IF(B615&lt;6,ROUNDDOWN(D615*VLOOKUP(C615,$U$1:$V$5,2,FALSE),0)*$S$3,0)</f>
        <v>1470</v>
      </c>
      <c r="F615">
        <f t="shared" si="38"/>
        <v>0</v>
      </c>
      <c r="G615">
        <f t="shared" si="39"/>
        <v>0</v>
      </c>
      <c r="H615">
        <f t="shared" si="37"/>
        <v>1470</v>
      </c>
      <c r="I615">
        <f>SUM($H$2:H615)</f>
        <v>106525</v>
      </c>
    </row>
    <row r="616" spans="1:9" x14ac:dyDescent="0.25">
      <c r="A616" s="1">
        <v>45541</v>
      </c>
      <c r="B616">
        <f t="shared" si="36"/>
        <v>5</v>
      </c>
      <c r="C616" t="s">
        <v>10</v>
      </c>
      <c r="D616">
        <f>IF(AND(MONTH(A616)&lt;&gt;MONTH(A615),I615&gt;=3*$S$2),D615+3,D615)</f>
        <v>55</v>
      </c>
      <c r="E616">
        <f>IF(B616&lt;6,ROUNDDOWN(D616*VLOOKUP(C616,$U$1:$V$5,2,FALSE),0)*$S$3,0)</f>
        <v>1470</v>
      </c>
      <c r="F616">
        <f t="shared" si="38"/>
        <v>0</v>
      </c>
      <c r="G616">
        <f t="shared" si="39"/>
        <v>0</v>
      </c>
      <c r="H616">
        <f t="shared" si="37"/>
        <v>1470</v>
      </c>
      <c r="I616">
        <f>SUM($H$2:H616)</f>
        <v>107995</v>
      </c>
    </row>
    <row r="617" spans="1:9" x14ac:dyDescent="0.25">
      <c r="A617" s="1">
        <v>45542</v>
      </c>
      <c r="B617">
        <f t="shared" si="36"/>
        <v>6</v>
      </c>
      <c r="C617" t="s">
        <v>10</v>
      </c>
      <c r="D617">
        <f>IF(AND(MONTH(A617)&lt;&gt;MONTH(A616),I616&gt;=3*$S$2),D616+3,D616)</f>
        <v>55</v>
      </c>
      <c r="E617">
        <f>IF(B617&lt;6,ROUNDDOWN(D617*VLOOKUP(C617,$U$1:$V$5,2,FALSE),0)*$S$3,0)</f>
        <v>0</v>
      </c>
      <c r="F617">
        <f t="shared" si="38"/>
        <v>0</v>
      </c>
      <c r="G617">
        <f t="shared" si="39"/>
        <v>0</v>
      </c>
      <c r="H617">
        <f t="shared" si="37"/>
        <v>0</v>
      </c>
      <c r="I617">
        <f>SUM($H$2:H617)</f>
        <v>107995</v>
      </c>
    </row>
    <row r="618" spans="1:9" x14ac:dyDescent="0.25">
      <c r="A618" s="1">
        <v>45543</v>
      </c>
      <c r="B618">
        <f t="shared" si="36"/>
        <v>7</v>
      </c>
      <c r="C618" t="s">
        <v>10</v>
      </c>
      <c r="D618">
        <f>IF(AND(MONTH(A618)&lt;&gt;MONTH(A617),I617&gt;=3*$S$2),D617+3,D617)</f>
        <v>55</v>
      </c>
      <c r="E618">
        <f>IF(B618&lt;6,ROUNDDOWN(D618*VLOOKUP(C618,$U$1:$V$5,2,FALSE),0)*$S$3,0)</f>
        <v>0</v>
      </c>
      <c r="F618">
        <f t="shared" si="38"/>
        <v>825</v>
      </c>
      <c r="G618">
        <f t="shared" si="39"/>
        <v>0</v>
      </c>
      <c r="H618">
        <f t="shared" si="37"/>
        <v>-825</v>
      </c>
      <c r="I618">
        <f>SUM($H$2:H618)</f>
        <v>107170</v>
      </c>
    </row>
    <row r="619" spans="1:9" x14ac:dyDescent="0.25">
      <c r="A619" s="1">
        <v>45544</v>
      </c>
      <c r="B619">
        <f t="shared" si="36"/>
        <v>1</v>
      </c>
      <c r="C619" t="s">
        <v>10</v>
      </c>
      <c r="D619">
        <f>IF(AND(MONTH(A619)&lt;&gt;MONTH(A618),I618&gt;=3*$S$2),D618+3,D618)</f>
        <v>55</v>
      </c>
      <c r="E619">
        <f>IF(B619&lt;6,ROUNDDOWN(D619*VLOOKUP(C619,$U$1:$V$5,2,FALSE),0)*$S$3,0)</f>
        <v>1470</v>
      </c>
      <c r="F619">
        <f t="shared" si="38"/>
        <v>0</v>
      </c>
      <c r="G619">
        <f t="shared" si="39"/>
        <v>0</v>
      </c>
      <c r="H619">
        <f t="shared" si="37"/>
        <v>1470</v>
      </c>
      <c r="I619">
        <f>SUM($H$2:H619)</f>
        <v>108640</v>
      </c>
    </row>
    <row r="620" spans="1:9" x14ac:dyDescent="0.25">
      <c r="A620" s="1">
        <v>45545</v>
      </c>
      <c r="B620">
        <f t="shared" si="36"/>
        <v>2</v>
      </c>
      <c r="C620" t="s">
        <v>10</v>
      </c>
      <c r="D620">
        <f>IF(AND(MONTH(A620)&lt;&gt;MONTH(A619),I619&gt;=3*$S$2),D619+3,D619)</f>
        <v>55</v>
      </c>
      <c r="E620">
        <f>IF(B620&lt;6,ROUNDDOWN(D620*VLOOKUP(C620,$U$1:$V$5,2,FALSE),0)*$S$3,0)</f>
        <v>1470</v>
      </c>
      <c r="F620">
        <f t="shared" si="38"/>
        <v>0</v>
      </c>
      <c r="G620">
        <f t="shared" si="39"/>
        <v>0</v>
      </c>
      <c r="H620">
        <f t="shared" si="37"/>
        <v>1470</v>
      </c>
      <c r="I620">
        <f>SUM($H$2:H620)</f>
        <v>110110</v>
      </c>
    </row>
    <row r="621" spans="1:9" x14ac:dyDescent="0.25">
      <c r="A621" s="1">
        <v>45546</v>
      </c>
      <c r="B621">
        <f t="shared" si="36"/>
        <v>3</v>
      </c>
      <c r="C621" t="s">
        <v>10</v>
      </c>
      <c r="D621">
        <f>IF(AND(MONTH(A621)&lt;&gt;MONTH(A620),I620&gt;=3*$S$2),D620+3,D620)</f>
        <v>55</v>
      </c>
      <c r="E621">
        <f>IF(B621&lt;6,ROUNDDOWN(D621*VLOOKUP(C621,$U$1:$V$5,2,FALSE),0)*$S$3,0)</f>
        <v>1470</v>
      </c>
      <c r="F621">
        <f t="shared" si="38"/>
        <v>0</v>
      </c>
      <c r="G621">
        <f t="shared" si="39"/>
        <v>0</v>
      </c>
      <c r="H621">
        <f t="shared" si="37"/>
        <v>1470</v>
      </c>
      <c r="I621">
        <f>SUM($H$2:H621)</f>
        <v>111580</v>
      </c>
    </row>
    <row r="622" spans="1:9" x14ac:dyDescent="0.25">
      <c r="A622" s="1">
        <v>45547</v>
      </c>
      <c r="B622">
        <f t="shared" si="36"/>
        <v>4</v>
      </c>
      <c r="C622" t="s">
        <v>10</v>
      </c>
      <c r="D622">
        <f>IF(AND(MONTH(A622)&lt;&gt;MONTH(A621),I621&gt;=3*$S$2),D621+3,D621)</f>
        <v>55</v>
      </c>
      <c r="E622">
        <f>IF(B622&lt;6,ROUNDDOWN(D622*VLOOKUP(C622,$U$1:$V$5,2,FALSE),0)*$S$3,0)</f>
        <v>1470</v>
      </c>
      <c r="F622">
        <f t="shared" si="38"/>
        <v>0</v>
      </c>
      <c r="G622">
        <f t="shared" si="39"/>
        <v>0</v>
      </c>
      <c r="H622">
        <f t="shared" si="37"/>
        <v>1470</v>
      </c>
      <c r="I622">
        <f>SUM($H$2:H622)</f>
        <v>113050</v>
      </c>
    </row>
    <row r="623" spans="1:9" x14ac:dyDescent="0.25">
      <c r="A623" s="1">
        <v>45548</v>
      </c>
      <c r="B623">
        <f t="shared" si="36"/>
        <v>5</v>
      </c>
      <c r="C623" t="s">
        <v>10</v>
      </c>
      <c r="D623">
        <f>IF(AND(MONTH(A623)&lt;&gt;MONTH(A622),I622&gt;=3*$S$2),D622+3,D622)</f>
        <v>55</v>
      </c>
      <c r="E623">
        <f>IF(B623&lt;6,ROUNDDOWN(D623*VLOOKUP(C623,$U$1:$V$5,2,FALSE),0)*$S$3,0)</f>
        <v>1470</v>
      </c>
      <c r="F623">
        <f t="shared" si="38"/>
        <v>0</v>
      </c>
      <c r="G623">
        <f t="shared" si="39"/>
        <v>0</v>
      </c>
      <c r="H623">
        <f t="shared" si="37"/>
        <v>1470</v>
      </c>
      <c r="I623">
        <f>SUM($H$2:H623)</f>
        <v>114520</v>
      </c>
    </row>
    <row r="624" spans="1:9" x14ac:dyDescent="0.25">
      <c r="A624" s="1">
        <v>45549</v>
      </c>
      <c r="B624">
        <f t="shared" si="36"/>
        <v>6</v>
      </c>
      <c r="C624" t="s">
        <v>10</v>
      </c>
      <c r="D624">
        <f>IF(AND(MONTH(A624)&lt;&gt;MONTH(A623),I623&gt;=3*$S$2),D623+3,D623)</f>
        <v>55</v>
      </c>
      <c r="E624">
        <f>IF(B624&lt;6,ROUNDDOWN(D624*VLOOKUP(C624,$U$1:$V$5,2,FALSE),0)*$S$3,0)</f>
        <v>0</v>
      </c>
      <c r="F624">
        <f t="shared" si="38"/>
        <v>0</v>
      </c>
      <c r="G624">
        <f t="shared" si="39"/>
        <v>0</v>
      </c>
      <c r="H624">
        <f t="shared" si="37"/>
        <v>0</v>
      </c>
      <c r="I624">
        <f>SUM($H$2:H624)</f>
        <v>114520</v>
      </c>
    </row>
    <row r="625" spans="1:9" x14ac:dyDescent="0.25">
      <c r="A625" s="1">
        <v>45550</v>
      </c>
      <c r="B625">
        <f t="shared" si="36"/>
        <v>7</v>
      </c>
      <c r="C625" t="s">
        <v>10</v>
      </c>
      <c r="D625">
        <f>IF(AND(MONTH(A625)&lt;&gt;MONTH(A624),I624&gt;=3*$S$2),D624+3,D624)</f>
        <v>55</v>
      </c>
      <c r="E625">
        <f>IF(B625&lt;6,ROUNDDOWN(D625*VLOOKUP(C625,$U$1:$V$5,2,FALSE),0)*$S$3,0)</f>
        <v>0</v>
      </c>
      <c r="F625">
        <f t="shared" si="38"/>
        <v>825</v>
      </c>
      <c r="G625">
        <f t="shared" si="39"/>
        <v>0</v>
      </c>
      <c r="H625">
        <f t="shared" si="37"/>
        <v>-825</v>
      </c>
      <c r="I625">
        <f>SUM($H$2:H625)</f>
        <v>113695</v>
      </c>
    </row>
    <row r="626" spans="1:9" x14ac:dyDescent="0.25">
      <c r="A626" s="1">
        <v>45551</v>
      </c>
      <c r="B626">
        <f t="shared" si="36"/>
        <v>1</v>
      </c>
      <c r="C626" t="s">
        <v>10</v>
      </c>
      <c r="D626">
        <f>IF(AND(MONTH(A626)&lt;&gt;MONTH(A625),I625&gt;=3*$S$2),D625+3,D625)</f>
        <v>55</v>
      </c>
      <c r="E626">
        <f>IF(B626&lt;6,ROUNDDOWN(D626*VLOOKUP(C626,$U$1:$V$5,2,FALSE),0)*$S$3,0)</f>
        <v>1470</v>
      </c>
      <c r="F626">
        <f t="shared" si="38"/>
        <v>0</v>
      </c>
      <c r="G626">
        <f t="shared" si="39"/>
        <v>0</v>
      </c>
      <c r="H626">
        <f t="shared" si="37"/>
        <v>1470</v>
      </c>
      <c r="I626">
        <f>SUM($H$2:H626)</f>
        <v>115165</v>
      </c>
    </row>
    <row r="627" spans="1:9" x14ac:dyDescent="0.25">
      <c r="A627" s="1">
        <v>45552</v>
      </c>
      <c r="B627">
        <f t="shared" si="36"/>
        <v>2</v>
      </c>
      <c r="C627" t="s">
        <v>10</v>
      </c>
      <c r="D627">
        <f>IF(AND(MONTH(A627)&lt;&gt;MONTH(A626),I626&gt;=3*$S$2),D626+3,D626)</f>
        <v>55</v>
      </c>
      <c r="E627">
        <f>IF(B627&lt;6,ROUNDDOWN(D627*VLOOKUP(C627,$U$1:$V$5,2,FALSE),0)*$S$3,0)</f>
        <v>1470</v>
      </c>
      <c r="F627">
        <f t="shared" si="38"/>
        <v>0</v>
      </c>
      <c r="G627">
        <f t="shared" si="39"/>
        <v>0</v>
      </c>
      <c r="H627">
        <f t="shared" si="37"/>
        <v>1470</v>
      </c>
      <c r="I627">
        <f>SUM($H$2:H627)</f>
        <v>116635</v>
      </c>
    </row>
    <row r="628" spans="1:9" x14ac:dyDescent="0.25">
      <c r="A628" s="1">
        <v>45553</v>
      </c>
      <c r="B628">
        <f t="shared" si="36"/>
        <v>3</v>
      </c>
      <c r="C628" t="s">
        <v>10</v>
      </c>
      <c r="D628">
        <f>IF(AND(MONTH(A628)&lt;&gt;MONTH(A627),I627&gt;=3*$S$2),D627+3,D627)</f>
        <v>55</v>
      </c>
      <c r="E628">
        <f>IF(B628&lt;6,ROUNDDOWN(D628*VLOOKUP(C628,$U$1:$V$5,2,FALSE),0)*$S$3,0)</f>
        <v>1470</v>
      </c>
      <c r="F628">
        <f t="shared" si="38"/>
        <v>0</v>
      </c>
      <c r="G628">
        <f t="shared" si="39"/>
        <v>0</v>
      </c>
      <c r="H628">
        <f t="shared" si="37"/>
        <v>1470</v>
      </c>
      <c r="I628">
        <f>SUM($H$2:H628)</f>
        <v>118105</v>
      </c>
    </row>
    <row r="629" spans="1:9" x14ac:dyDescent="0.25">
      <c r="A629" s="1">
        <v>45554</v>
      </c>
      <c r="B629">
        <f t="shared" si="36"/>
        <v>4</v>
      </c>
      <c r="C629" t="s">
        <v>10</v>
      </c>
      <c r="D629">
        <f>IF(AND(MONTH(A629)&lt;&gt;MONTH(A628),I628&gt;=3*$S$2),D628+3,D628)</f>
        <v>55</v>
      </c>
      <c r="E629">
        <f>IF(B629&lt;6,ROUNDDOWN(D629*VLOOKUP(C629,$U$1:$V$5,2,FALSE),0)*$S$3,0)</f>
        <v>1470</v>
      </c>
      <c r="F629">
        <f t="shared" si="38"/>
        <v>0</v>
      </c>
      <c r="G629">
        <f t="shared" si="39"/>
        <v>0</v>
      </c>
      <c r="H629">
        <f t="shared" si="37"/>
        <v>1470</v>
      </c>
      <c r="I629">
        <f>SUM($H$2:H629)</f>
        <v>119575</v>
      </c>
    </row>
    <row r="630" spans="1:9" x14ac:dyDescent="0.25">
      <c r="A630" s="1">
        <v>45555</v>
      </c>
      <c r="B630">
        <f t="shared" si="36"/>
        <v>5</v>
      </c>
      <c r="C630" t="s">
        <v>10</v>
      </c>
      <c r="D630">
        <f>IF(AND(MONTH(A630)&lt;&gt;MONTH(A629),I629&gt;=3*$S$2),D629+3,D629)</f>
        <v>55</v>
      </c>
      <c r="E630">
        <f>IF(B630&lt;6,ROUNDDOWN(D630*VLOOKUP(C630,$U$1:$V$5,2,FALSE),0)*$S$3,0)</f>
        <v>1470</v>
      </c>
      <c r="F630">
        <f t="shared" si="38"/>
        <v>0</v>
      </c>
      <c r="G630">
        <f t="shared" si="39"/>
        <v>0</v>
      </c>
      <c r="H630">
        <f t="shared" si="37"/>
        <v>1470</v>
      </c>
      <c r="I630">
        <f>SUM($H$2:H630)</f>
        <v>121045</v>
      </c>
    </row>
    <row r="631" spans="1:9" x14ac:dyDescent="0.25">
      <c r="A631" s="1">
        <v>45556</v>
      </c>
      <c r="B631">
        <f t="shared" si="36"/>
        <v>6</v>
      </c>
      <c r="C631" t="s">
        <v>10</v>
      </c>
      <c r="D631">
        <f>IF(AND(MONTH(A631)&lt;&gt;MONTH(A630),I630&gt;=3*$S$2),D630+3,D630)</f>
        <v>55</v>
      </c>
      <c r="E631">
        <f>IF(B631&lt;6,ROUNDDOWN(D631*VLOOKUP(C631,$U$1:$V$5,2,FALSE),0)*$S$3,0)</f>
        <v>0</v>
      </c>
      <c r="F631">
        <f t="shared" si="38"/>
        <v>0</v>
      </c>
      <c r="G631">
        <f t="shared" si="39"/>
        <v>0</v>
      </c>
      <c r="H631">
        <f t="shared" si="37"/>
        <v>0</v>
      </c>
      <c r="I631">
        <f>SUM($H$2:H631)</f>
        <v>121045</v>
      </c>
    </row>
    <row r="632" spans="1:9" x14ac:dyDescent="0.25">
      <c r="A632" s="1">
        <v>45557</v>
      </c>
      <c r="B632">
        <f t="shared" si="36"/>
        <v>7</v>
      </c>
      <c r="C632" t="s">
        <v>10</v>
      </c>
      <c r="D632">
        <f>IF(AND(MONTH(A632)&lt;&gt;MONTH(A631),I631&gt;=3*$S$2),D631+3,D631)</f>
        <v>55</v>
      </c>
      <c r="E632">
        <f>IF(B632&lt;6,ROUNDDOWN(D632*VLOOKUP(C632,$U$1:$V$5,2,FALSE),0)*$S$3,0)</f>
        <v>0</v>
      </c>
      <c r="F632">
        <f t="shared" si="38"/>
        <v>825</v>
      </c>
      <c r="G632">
        <f t="shared" si="39"/>
        <v>0</v>
      </c>
      <c r="H632">
        <f t="shared" si="37"/>
        <v>-825</v>
      </c>
      <c r="I632">
        <f>SUM($H$2:H632)</f>
        <v>120220</v>
      </c>
    </row>
    <row r="633" spans="1:9" x14ac:dyDescent="0.25">
      <c r="A633" s="1">
        <v>45558</v>
      </c>
      <c r="B633">
        <f t="shared" si="36"/>
        <v>1</v>
      </c>
      <c r="C633" t="s">
        <v>11</v>
      </c>
      <c r="D633">
        <f>IF(AND(MONTH(A633)&lt;&gt;MONTH(A632),I632&gt;=3*$S$2),D632+3,D632)</f>
        <v>55</v>
      </c>
      <c r="E633">
        <f>IF(B633&lt;6,ROUNDDOWN(D633*VLOOKUP(C633,$U$1:$V$5,2,FALSE),0)*$S$3,0)</f>
        <v>660</v>
      </c>
      <c r="F633">
        <f t="shared" si="38"/>
        <v>0</v>
      </c>
      <c r="G633">
        <f t="shared" si="39"/>
        <v>0</v>
      </c>
      <c r="H633">
        <f t="shared" si="37"/>
        <v>660</v>
      </c>
      <c r="I633">
        <f>SUM($H$2:H633)</f>
        <v>120880</v>
      </c>
    </row>
    <row r="634" spans="1:9" x14ac:dyDescent="0.25">
      <c r="A634" s="1">
        <v>45559</v>
      </c>
      <c r="B634">
        <f t="shared" si="36"/>
        <v>2</v>
      </c>
      <c r="C634" t="s">
        <v>11</v>
      </c>
      <c r="D634">
        <f>IF(AND(MONTH(A634)&lt;&gt;MONTH(A633),I633&gt;=3*$S$2),D633+3,D633)</f>
        <v>55</v>
      </c>
      <c r="E634">
        <f>IF(B634&lt;6,ROUNDDOWN(D634*VLOOKUP(C634,$U$1:$V$5,2,FALSE),0)*$S$3,0)</f>
        <v>660</v>
      </c>
      <c r="F634">
        <f t="shared" si="38"/>
        <v>0</v>
      </c>
      <c r="G634">
        <f t="shared" si="39"/>
        <v>0</v>
      </c>
      <c r="H634">
        <f t="shared" si="37"/>
        <v>660</v>
      </c>
      <c r="I634">
        <f>SUM($H$2:H634)</f>
        <v>121540</v>
      </c>
    </row>
    <row r="635" spans="1:9" x14ac:dyDescent="0.25">
      <c r="A635" s="1">
        <v>45560</v>
      </c>
      <c r="B635">
        <f t="shared" si="36"/>
        <v>3</v>
      </c>
      <c r="C635" t="s">
        <v>11</v>
      </c>
      <c r="D635">
        <f>IF(AND(MONTH(A635)&lt;&gt;MONTH(A634),I634&gt;=3*$S$2),D634+3,D634)</f>
        <v>55</v>
      </c>
      <c r="E635">
        <f>IF(B635&lt;6,ROUNDDOWN(D635*VLOOKUP(C635,$U$1:$V$5,2,FALSE),0)*$S$3,0)</f>
        <v>660</v>
      </c>
      <c r="F635">
        <f t="shared" si="38"/>
        <v>0</v>
      </c>
      <c r="G635">
        <f t="shared" si="39"/>
        <v>0</v>
      </c>
      <c r="H635">
        <f t="shared" si="37"/>
        <v>660</v>
      </c>
      <c r="I635">
        <f>SUM($H$2:H635)</f>
        <v>122200</v>
      </c>
    </row>
    <row r="636" spans="1:9" x14ac:dyDescent="0.25">
      <c r="A636" s="1">
        <v>45561</v>
      </c>
      <c r="B636">
        <f t="shared" si="36"/>
        <v>4</v>
      </c>
      <c r="C636" t="s">
        <v>11</v>
      </c>
      <c r="D636">
        <f>IF(AND(MONTH(A636)&lt;&gt;MONTH(A635),I635&gt;=3*$S$2),D635+3,D635)</f>
        <v>55</v>
      </c>
      <c r="E636">
        <f>IF(B636&lt;6,ROUNDDOWN(D636*VLOOKUP(C636,$U$1:$V$5,2,FALSE),0)*$S$3,0)</f>
        <v>660</v>
      </c>
      <c r="F636">
        <f t="shared" si="38"/>
        <v>0</v>
      </c>
      <c r="G636">
        <f t="shared" si="39"/>
        <v>0</v>
      </c>
      <c r="H636">
        <f t="shared" si="37"/>
        <v>660</v>
      </c>
      <c r="I636">
        <f>SUM($H$2:H636)</f>
        <v>122860</v>
      </c>
    </row>
    <row r="637" spans="1:9" x14ac:dyDescent="0.25">
      <c r="A637" s="1">
        <v>45562</v>
      </c>
      <c r="B637">
        <f t="shared" si="36"/>
        <v>5</v>
      </c>
      <c r="C637" t="s">
        <v>11</v>
      </c>
      <c r="D637">
        <f>IF(AND(MONTH(A637)&lt;&gt;MONTH(A636),I636&gt;=3*$S$2),D636+3,D636)</f>
        <v>55</v>
      </c>
      <c r="E637">
        <f>IF(B637&lt;6,ROUNDDOWN(D637*VLOOKUP(C637,$U$1:$V$5,2,FALSE),0)*$S$3,0)</f>
        <v>660</v>
      </c>
      <c r="F637">
        <f t="shared" si="38"/>
        <v>0</v>
      </c>
      <c r="G637">
        <f t="shared" si="39"/>
        <v>0</v>
      </c>
      <c r="H637">
        <f t="shared" si="37"/>
        <v>660</v>
      </c>
      <c r="I637">
        <f>SUM($H$2:H637)</f>
        <v>123520</v>
      </c>
    </row>
    <row r="638" spans="1:9" x14ac:dyDescent="0.25">
      <c r="A638" s="1">
        <v>45563</v>
      </c>
      <c r="B638">
        <f t="shared" si="36"/>
        <v>6</v>
      </c>
      <c r="C638" t="s">
        <v>11</v>
      </c>
      <c r="D638">
        <f>IF(AND(MONTH(A638)&lt;&gt;MONTH(A637),I637&gt;=3*$S$2),D637+3,D637)</f>
        <v>55</v>
      </c>
      <c r="E638">
        <f>IF(B638&lt;6,ROUNDDOWN(D638*VLOOKUP(C638,$U$1:$V$5,2,FALSE),0)*$S$3,0)</f>
        <v>0</v>
      </c>
      <c r="F638">
        <f t="shared" si="38"/>
        <v>0</v>
      </c>
      <c r="G638">
        <f t="shared" si="39"/>
        <v>0</v>
      </c>
      <c r="H638">
        <f t="shared" si="37"/>
        <v>0</v>
      </c>
      <c r="I638">
        <f>SUM($H$2:H638)</f>
        <v>123520</v>
      </c>
    </row>
    <row r="639" spans="1:9" x14ac:dyDescent="0.25">
      <c r="A639" s="1">
        <v>45564</v>
      </c>
      <c r="B639">
        <f t="shared" si="36"/>
        <v>7</v>
      </c>
      <c r="C639" t="s">
        <v>11</v>
      </c>
      <c r="D639">
        <f>IF(AND(MONTH(A639)&lt;&gt;MONTH(A638),I638&gt;=3*$S$2),D638+3,D638)</f>
        <v>55</v>
      </c>
      <c r="E639">
        <f>IF(B639&lt;6,ROUNDDOWN(D639*VLOOKUP(C639,$U$1:$V$5,2,FALSE),0)*$S$3,0)</f>
        <v>0</v>
      </c>
      <c r="F639">
        <f t="shared" si="38"/>
        <v>825</v>
      </c>
      <c r="G639">
        <f t="shared" si="39"/>
        <v>0</v>
      </c>
      <c r="H639">
        <f t="shared" si="37"/>
        <v>-825</v>
      </c>
      <c r="I639">
        <f>SUM($H$2:H639)</f>
        <v>122695</v>
      </c>
    </row>
    <row r="640" spans="1:9" x14ac:dyDescent="0.25">
      <c r="A640" s="1">
        <v>45565</v>
      </c>
      <c r="B640">
        <f t="shared" si="36"/>
        <v>1</v>
      </c>
      <c r="C640" t="s">
        <v>11</v>
      </c>
      <c r="D640">
        <f>IF(AND(MONTH(A640)&lt;&gt;MONTH(A639),I639&gt;=3*$S$2),D639+3,D639)</f>
        <v>55</v>
      </c>
      <c r="E640">
        <f>IF(B640&lt;6,ROUNDDOWN(D640*VLOOKUP(C640,$U$1:$V$5,2,FALSE),0)*$S$3,0)</f>
        <v>660</v>
      </c>
      <c r="F640">
        <f t="shared" si="38"/>
        <v>0</v>
      </c>
      <c r="G640">
        <f t="shared" si="39"/>
        <v>0</v>
      </c>
      <c r="H640">
        <f t="shared" si="37"/>
        <v>660</v>
      </c>
      <c r="I640">
        <f>SUM($H$2:H640)</f>
        <v>123355</v>
      </c>
    </row>
    <row r="641" spans="1:9" x14ac:dyDescent="0.25">
      <c r="A641" s="1">
        <v>45566</v>
      </c>
      <c r="B641">
        <f t="shared" si="36"/>
        <v>2</v>
      </c>
      <c r="C641" t="s">
        <v>11</v>
      </c>
      <c r="D641">
        <f>IF(AND(MONTH(A641)&lt;&gt;MONTH(A640),I640&gt;=3*$S$2),D640+3,D640)</f>
        <v>58</v>
      </c>
      <c r="E641">
        <f>IF(B641&lt;6,ROUNDDOWN(D641*VLOOKUP(C641,$U$1:$V$5,2,FALSE),0)*$S$3,0)</f>
        <v>690</v>
      </c>
      <c r="F641">
        <f t="shared" si="38"/>
        <v>0</v>
      </c>
      <c r="G641">
        <f t="shared" si="39"/>
        <v>2400</v>
      </c>
      <c r="H641">
        <f t="shared" si="37"/>
        <v>-1710</v>
      </c>
      <c r="I641">
        <f>SUM($H$2:H641)</f>
        <v>121645</v>
      </c>
    </row>
    <row r="642" spans="1:9" x14ac:dyDescent="0.25">
      <c r="A642" s="1">
        <v>45567</v>
      </c>
      <c r="B642">
        <f t="shared" si="36"/>
        <v>3</v>
      </c>
      <c r="C642" t="s">
        <v>11</v>
      </c>
      <c r="D642">
        <f>IF(AND(MONTH(A642)&lt;&gt;MONTH(A641),I641&gt;=3*$S$2),D641+3,D641)</f>
        <v>58</v>
      </c>
      <c r="E642">
        <f>IF(B642&lt;6,ROUNDDOWN(D642*VLOOKUP(C642,$U$1:$V$5,2,FALSE),0)*$S$3,0)</f>
        <v>690</v>
      </c>
      <c r="F642">
        <f t="shared" si="38"/>
        <v>0</v>
      </c>
      <c r="G642">
        <f t="shared" si="39"/>
        <v>0</v>
      </c>
      <c r="H642">
        <f t="shared" si="37"/>
        <v>690</v>
      </c>
      <c r="I642">
        <f>SUM($H$2:H642)</f>
        <v>122335</v>
      </c>
    </row>
    <row r="643" spans="1:9" x14ac:dyDescent="0.25">
      <c r="A643" s="1">
        <v>45568</v>
      </c>
      <c r="B643">
        <f t="shared" ref="B643:B706" si="40">WEEKDAY(A643,2)</f>
        <v>4</v>
      </c>
      <c r="C643" t="s">
        <v>11</v>
      </c>
      <c r="D643">
        <f>IF(AND(MONTH(A643)&lt;&gt;MONTH(A642),I642&gt;=3*$S$2),D642+3,D642)</f>
        <v>58</v>
      </c>
      <c r="E643">
        <f>IF(B643&lt;6,ROUNDDOWN(D643*VLOOKUP(C643,$U$1:$V$5,2,FALSE),0)*$S$3,0)</f>
        <v>690</v>
      </c>
      <c r="F643">
        <f t="shared" si="38"/>
        <v>0</v>
      </c>
      <c r="G643">
        <f t="shared" si="39"/>
        <v>0</v>
      </c>
      <c r="H643">
        <f t="shared" ref="H643:H706" si="41">E643-F643-G643</f>
        <v>690</v>
      </c>
      <c r="I643">
        <f>SUM($H$2:H643)</f>
        <v>123025</v>
      </c>
    </row>
    <row r="644" spans="1:9" x14ac:dyDescent="0.25">
      <c r="A644" s="1">
        <v>45569</v>
      </c>
      <c r="B644">
        <f t="shared" si="40"/>
        <v>5</v>
      </c>
      <c r="C644" t="s">
        <v>11</v>
      </c>
      <c r="D644">
        <f>IF(AND(MONTH(A644)&lt;&gt;MONTH(A643),I643&gt;=3*$S$2),D643+3,D643)</f>
        <v>58</v>
      </c>
      <c r="E644">
        <f>IF(B644&lt;6,ROUNDDOWN(D644*VLOOKUP(C644,$U$1:$V$5,2,FALSE),0)*$S$3,0)</f>
        <v>690</v>
      </c>
      <c r="F644">
        <f t="shared" ref="F644:F707" si="42">IF(B644=7,$S$4*D644,0)</f>
        <v>0</v>
      </c>
      <c r="G644">
        <f t="shared" ref="G644:G707" si="43">IF(D644&gt;D643,3*$S$2,0)</f>
        <v>0</v>
      </c>
      <c r="H644">
        <f t="shared" si="41"/>
        <v>690</v>
      </c>
      <c r="I644">
        <f>SUM($H$2:H644)</f>
        <v>123715</v>
      </c>
    </row>
    <row r="645" spans="1:9" x14ac:dyDescent="0.25">
      <c r="A645" s="1">
        <v>45570</v>
      </c>
      <c r="B645">
        <f t="shared" si="40"/>
        <v>6</v>
      </c>
      <c r="C645" t="s">
        <v>11</v>
      </c>
      <c r="D645">
        <f>IF(AND(MONTH(A645)&lt;&gt;MONTH(A644),I644&gt;=3*$S$2),D644+3,D644)</f>
        <v>58</v>
      </c>
      <c r="E645">
        <f>IF(B645&lt;6,ROUNDDOWN(D645*VLOOKUP(C645,$U$1:$V$5,2,FALSE),0)*$S$3,0)</f>
        <v>0</v>
      </c>
      <c r="F645">
        <f t="shared" si="42"/>
        <v>0</v>
      </c>
      <c r="G645">
        <f t="shared" si="43"/>
        <v>0</v>
      </c>
      <c r="H645">
        <f t="shared" si="41"/>
        <v>0</v>
      </c>
      <c r="I645">
        <f>SUM($H$2:H645)</f>
        <v>123715</v>
      </c>
    </row>
    <row r="646" spans="1:9" x14ac:dyDescent="0.25">
      <c r="A646" s="1">
        <v>45571</v>
      </c>
      <c r="B646">
        <f t="shared" si="40"/>
        <v>7</v>
      </c>
      <c r="C646" t="s">
        <v>11</v>
      </c>
      <c r="D646">
        <f>IF(AND(MONTH(A646)&lt;&gt;MONTH(A645),I645&gt;=3*$S$2),D645+3,D645)</f>
        <v>58</v>
      </c>
      <c r="E646">
        <f>IF(B646&lt;6,ROUNDDOWN(D646*VLOOKUP(C646,$U$1:$V$5,2,FALSE),0)*$S$3,0)</f>
        <v>0</v>
      </c>
      <c r="F646">
        <f t="shared" si="42"/>
        <v>870</v>
      </c>
      <c r="G646">
        <f t="shared" si="43"/>
        <v>0</v>
      </c>
      <c r="H646">
        <f t="shared" si="41"/>
        <v>-870</v>
      </c>
      <c r="I646">
        <f>SUM($H$2:H646)</f>
        <v>122845</v>
      </c>
    </row>
    <row r="647" spans="1:9" x14ac:dyDescent="0.25">
      <c r="A647" s="1">
        <v>45572</v>
      </c>
      <c r="B647">
        <f t="shared" si="40"/>
        <v>1</v>
      </c>
      <c r="C647" t="s">
        <v>11</v>
      </c>
      <c r="D647">
        <f>IF(AND(MONTH(A647)&lt;&gt;MONTH(A646),I646&gt;=3*$S$2),D646+3,D646)</f>
        <v>58</v>
      </c>
      <c r="E647">
        <f>IF(B647&lt;6,ROUNDDOWN(D647*VLOOKUP(C647,$U$1:$V$5,2,FALSE),0)*$S$3,0)</f>
        <v>690</v>
      </c>
      <c r="F647">
        <f t="shared" si="42"/>
        <v>0</v>
      </c>
      <c r="G647">
        <f t="shared" si="43"/>
        <v>0</v>
      </c>
      <c r="H647">
        <f t="shared" si="41"/>
        <v>690</v>
      </c>
      <c r="I647">
        <f>SUM($H$2:H647)</f>
        <v>123535</v>
      </c>
    </row>
    <row r="648" spans="1:9" x14ac:dyDescent="0.25">
      <c r="A648" s="1">
        <v>45573</v>
      </c>
      <c r="B648">
        <f t="shared" si="40"/>
        <v>2</v>
      </c>
      <c r="C648" t="s">
        <v>11</v>
      </c>
      <c r="D648">
        <f>IF(AND(MONTH(A648)&lt;&gt;MONTH(A647),I647&gt;=3*$S$2),D647+3,D647)</f>
        <v>58</v>
      </c>
      <c r="E648">
        <f>IF(B648&lt;6,ROUNDDOWN(D648*VLOOKUP(C648,$U$1:$V$5,2,FALSE),0)*$S$3,0)</f>
        <v>690</v>
      </c>
      <c r="F648">
        <f t="shared" si="42"/>
        <v>0</v>
      </c>
      <c r="G648">
        <f t="shared" si="43"/>
        <v>0</v>
      </c>
      <c r="H648">
        <f t="shared" si="41"/>
        <v>690</v>
      </c>
      <c r="I648">
        <f>SUM($H$2:H648)</f>
        <v>124225</v>
      </c>
    </row>
    <row r="649" spans="1:9" x14ac:dyDescent="0.25">
      <c r="A649" s="1">
        <v>45574</v>
      </c>
      <c r="B649">
        <f t="shared" si="40"/>
        <v>3</v>
      </c>
      <c r="C649" t="s">
        <v>11</v>
      </c>
      <c r="D649">
        <f>IF(AND(MONTH(A649)&lt;&gt;MONTH(A648),I648&gt;=3*$S$2),D648+3,D648)</f>
        <v>58</v>
      </c>
      <c r="E649">
        <f>IF(B649&lt;6,ROUNDDOWN(D649*VLOOKUP(C649,$U$1:$V$5,2,FALSE),0)*$S$3,0)</f>
        <v>690</v>
      </c>
      <c r="F649">
        <f t="shared" si="42"/>
        <v>0</v>
      </c>
      <c r="G649">
        <f t="shared" si="43"/>
        <v>0</v>
      </c>
      <c r="H649">
        <f t="shared" si="41"/>
        <v>690</v>
      </c>
      <c r="I649">
        <f>SUM($H$2:H649)</f>
        <v>124915</v>
      </c>
    </row>
    <row r="650" spans="1:9" x14ac:dyDescent="0.25">
      <c r="A650" s="1">
        <v>45575</v>
      </c>
      <c r="B650">
        <f t="shared" si="40"/>
        <v>4</v>
      </c>
      <c r="C650" t="s">
        <v>11</v>
      </c>
      <c r="D650">
        <f>IF(AND(MONTH(A650)&lt;&gt;MONTH(A649),I649&gt;=3*$S$2),D649+3,D649)</f>
        <v>58</v>
      </c>
      <c r="E650">
        <f>IF(B650&lt;6,ROUNDDOWN(D650*VLOOKUP(C650,$U$1:$V$5,2,FALSE),0)*$S$3,0)</f>
        <v>690</v>
      </c>
      <c r="F650">
        <f t="shared" si="42"/>
        <v>0</v>
      </c>
      <c r="G650">
        <f t="shared" si="43"/>
        <v>0</v>
      </c>
      <c r="H650">
        <f t="shared" si="41"/>
        <v>690</v>
      </c>
      <c r="I650">
        <f>SUM($H$2:H650)</f>
        <v>125605</v>
      </c>
    </row>
    <row r="651" spans="1:9" x14ac:dyDescent="0.25">
      <c r="A651" s="1">
        <v>45576</v>
      </c>
      <c r="B651">
        <f t="shared" si="40"/>
        <v>5</v>
      </c>
      <c r="C651" t="s">
        <v>11</v>
      </c>
      <c r="D651">
        <f>IF(AND(MONTH(A651)&lt;&gt;MONTH(A650),I650&gt;=3*$S$2),D650+3,D650)</f>
        <v>58</v>
      </c>
      <c r="E651">
        <f>IF(B651&lt;6,ROUNDDOWN(D651*VLOOKUP(C651,$U$1:$V$5,2,FALSE),0)*$S$3,0)</f>
        <v>690</v>
      </c>
      <c r="F651">
        <f t="shared" si="42"/>
        <v>0</v>
      </c>
      <c r="G651">
        <f t="shared" si="43"/>
        <v>0</v>
      </c>
      <c r="H651">
        <f t="shared" si="41"/>
        <v>690</v>
      </c>
      <c r="I651">
        <f>SUM($H$2:H651)</f>
        <v>126295</v>
      </c>
    </row>
    <row r="652" spans="1:9" x14ac:dyDescent="0.25">
      <c r="A652" s="1">
        <v>45577</v>
      </c>
      <c r="B652">
        <f t="shared" si="40"/>
        <v>6</v>
      </c>
      <c r="C652" t="s">
        <v>11</v>
      </c>
      <c r="D652">
        <f>IF(AND(MONTH(A652)&lt;&gt;MONTH(A651),I651&gt;=3*$S$2),D651+3,D651)</f>
        <v>58</v>
      </c>
      <c r="E652">
        <f>IF(B652&lt;6,ROUNDDOWN(D652*VLOOKUP(C652,$U$1:$V$5,2,FALSE),0)*$S$3,0)</f>
        <v>0</v>
      </c>
      <c r="F652">
        <f t="shared" si="42"/>
        <v>0</v>
      </c>
      <c r="G652">
        <f t="shared" si="43"/>
        <v>0</v>
      </c>
      <c r="H652">
        <f t="shared" si="41"/>
        <v>0</v>
      </c>
      <c r="I652">
        <f>SUM($H$2:H652)</f>
        <v>126295</v>
      </c>
    </row>
    <row r="653" spans="1:9" x14ac:dyDescent="0.25">
      <c r="A653" s="1">
        <v>45578</v>
      </c>
      <c r="B653">
        <f t="shared" si="40"/>
        <v>7</v>
      </c>
      <c r="C653" t="s">
        <v>11</v>
      </c>
      <c r="D653">
        <f>IF(AND(MONTH(A653)&lt;&gt;MONTH(A652),I652&gt;=3*$S$2),D652+3,D652)</f>
        <v>58</v>
      </c>
      <c r="E653">
        <f>IF(B653&lt;6,ROUNDDOWN(D653*VLOOKUP(C653,$U$1:$V$5,2,FALSE),0)*$S$3,0)</f>
        <v>0</v>
      </c>
      <c r="F653">
        <f t="shared" si="42"/>
        <v>870</v>
      </c>
      <c r="G653">
        <f t="shared" si="43"/>
        <v>0</v>
      </c>
      <c r="H653">
        <f t="shared" si="41"/>
        <v>-870</v>
      </c>
      <c r="I653">
        <f>SUM($H$2:H653)</f>
        <v>125425</v>
      </c>
    </row>
    <row r="654" spans="1:9" x14ac:dyDescent="0.25">
      <c r="A654" s="1">
        <v>45579</v>
      </c>
      <c r="B654">
        <f t="shared" si="40"/>
        <v>1</v>
      </c>
      <c r="C654" t="s">
        <v>11</v>
      </c>
      <c r="D654">
        <f>IF(AND(MONTH(A654)&lt;&gt;MONTH(A653),I653&gt;=3*$S$2),D653+3,D653)</f>
        <v>58</v>
      </c>
      <c r="E654">
        <f>IF(B654&lt;6,ROUNDDOWN(D654*VLOOKUP(C654,$U$1:$V$5,2,FALSE),0)*$S$3,0)</f>
        <v>690</v>
      </c>
      <c r="F654">
        <f t="shared" si="42"/>
        <v>0</v>
      </c>
      <c r="G654">
        <f t="shared" si="43"/>
        <v>0</v>
      </c>
      <c r="H654">
        <f t="shared" si="41"/>
        <v>690</v>
      </c>
      <c r="I654">
        <f>SUM($H$2:H654)</f>
        <v>126115</v>
      </c>
    </row>
    <row r="655" spans="1:9" x14ac:dyDescent="0.25">
      <c r="A655" s="1">
        <v>45580</v>
      </c>
      <c r="B655">
        <f t="shared" si="40"/>
        <v>2</v>
      </c>
      <c r="C655" t="s">
        <v>11</v>
      </c>
      <c r="D655">
        <f>IF(AND(MONTH(A655)&lt;&gt;MONTH(A654),I654&gt;=3*$S$2),D654+3,D654)</f>
        <v>58</v>
      </c>
      <c r="E655">
        <f>IF(B655&lt;6,ROUNDDOWN(D655*VLOOKUP(C655,$U$1:$V$5,2,FALSE),0)*$S$3,0)</f>
        <v>690</v>
      </c>
      <c r="F655">
        <f t="shared" si="42"/>
        <v>0</v>
      </c>
      <c r="G655">
        <f t="shared" si="43"/>
        <v>0</v>
      </c>
      <c r="H655">
        <f t="shared" si="41"/>
        <v>690</v>
      </c>
      <c r="I655">
        <f>SUM($H$2:H655)</f>
        <v>126805</v>
      </c>
    </row>
    <row r="656" spans="1:9" x14ac:dyDescent="0.25">
      <c r="A656" s="1">
        <v>45581</v>
      </c>
      <c r="B656">
        <f t="shared" si="40"/>
        <v>3</v>
      </c>
      <c r="C656" t="s">
        <v>11</v>
      </c>
      <c r="D656">
        <f>IF(AND(MONTH(A656)&lt;&gt;MONTH(A655),I655&gt;=3*$S$2),D655+3,D655)</f>
        <v>58</v>
      </c>
      <c r="E656">
        <f>IF(B656&lt;6,ROUNDDOWN(D656*VLOOKUP(C656,$U$1:$V$5,2,FALSE),0)*$S$3,0)</f>
        <v>690</v>
      </c>
      <c r="F656">
        <f t="shared" si="42"/>
        <v>0</v>
      </c>
      <c r="G656">
        <f t="shared" si="43"/>
        <v>0</v>
      </c>
      <c r="H656">
        <f t="shared" si="41"/>
        <v>690</v>
      </c>
      <c r="I656">
        <f>SUM($H$2:H656)</f>
        <v>127495</v>
      </c>
    </row>
    <row r="657" spans="1:9" x14ac:dyDescent="0.25">
      <c r="A657" s="1">
        <v>45582</v>
      </c>
      <c r="B657">
        <f t="shared" si="40"/>
        <v>4</v>
      </c>
      <c r="C657" t="s">
        <v>11</v>
      </c>
      <c r="D657">
        <f>IF(AND(MONTH(A657)&lt;&gt;MONTH(A656),I656&gt;=3*$S$2),D656+3,D656)</f>
        <v>58</v>
      </c>
      <c r="E657">
        <f>IF(B657&lt;6,ROUNDDOWN(D657*VLOOKUP(C657,$U$1:$V$5,2,FALSE),0)*$S$3,0)</f>
        <v>690</v>
      </c>
      <c r="F657">
        <f t="shared" si="42"/>
        <v>0</v>
      </c>
      <c r="G657">
        <f t="shared" si="43"/>
        <v>0</v>
      </c>
      <c r="H657">
        <f t="shared" si="41"/>
        <v>690</v>
      </c>
      <c r="I657">
        <f>SUM($H$2:H657)</f>
        <v>128185</v>
      </c>
    </row>
    <row r="658" spans="1:9" x14ac:dyDescent="0.25">
      <c r="A658" s="1">
        <v>45583</v>
      </c>
      <c r="B658">
        <f t="shared" si="40"/>
        <v>5</v>
      </c>
      <c r="C658" t="s">
        <v>11</v>
      </c>
      <c r="D658">
        <f>IF(AND(MONTH(A658)&lt;&gt;MONTH(A657),I657&gt;=3*$S$2),D657+3,D657)</f>
        <v>58</v>
      </c>
      <c r="E658">
        <f>IF(B658&lt;6,ROUNDDOWN(D658*VLOOKUP(C658,$U$1:$V$5,2,FALSE),0)*$S$3,0)</f>
        <v>690</v>
      </c>
      <c r="F658">
        <f t="shared" si="42"/>
        <v>0</v>
      </c>
      <c r="G658">
        <f t="shared" si="43"/>
        <v>0</v>
      </c>
      <c r="H658">
        <f t="shared" si="41"/>
        <v>690</v>
      </c>
      <c r="I658">
        <f>SUM($H$2:H658)</f>
        <v>128875</v>
      </c>
    </row>
    <row r="659" spans="1:9" x14ac:dyDescent="0.25">
      <c r="A659" s="1">
        <v>45584</v>
      </c>
      <c r="B659">
        <f t="shared" si="40"/>
        <v>6</v>
      </c>
      <c r="C659" t="s">
        <v>11</v>
      </c>
      <c r="D659">
        <f>IF(AND(MONTH(A659)&lt;&gt;MONTH(A658),I658&gt;=3*$S$2),D658+3,D658)</f>
        <v>58</v>
      </c>
      <c r="E659">
        <f>IF(B659&lt;6,ROUNDDOWN(D659*VLOOKUP(C659,$U$1:$V$5,2,FALSE),0)*$S$3,0)</f>
        <v>0</v>
      </c>
      <c r="F659">
        <f t="shared" si="42"/>
        <v>0</v>
      </c>
      <c r="G659">
        <f t="shared" si="43"/>
        <v>0</v>
      </c>
      <c r="H659">
        <f t="shared" si="41"/>
        <v>0</v>
      </c>
      <c r="I659">
        <f>SUM($H$2:H659)</f>
        <v>128875</v>
      </c>
    </row>
    <row r="660" spans="1:9" x14ac:dyDescent="0.25">
      <c r="A660" s="1">
        <v>45585</v>
      </c>
      <c r="B660">
        <f t="shared" si="40"/>
        <v>7</v>
      </c>
      <c r="C660" t="s">
        <v>11</v>
      </c>
      <c r="D660">
        <f>IF(AND(MONTH(A660)&lt;&gt;MONTH(A659),I659&gt;=3*$S$2),D659+3,D659)</f>
        <v>58</v>
      </c>
      <c r="E660">
        <f>IF(B660&lt;6,ROUNDDOWN(D660*VLOOKUP(C660,$U$1:$V$5,2,FALSE),0)*$S$3,0)</f>
        <v>0</v>
      </c>
      <c r="F660">
        <f t="shared" si="42"/>
        <v>870</v>
      </c>
      <c r="G660">
        <f t="shared" si="43"/>
        <v>0</v>
      </c>
      <c r="H660">
        <f t="shared" si="41"/>
        <v>-870</v>
      </c>
      <c r="I660">
        <f>SUM($H$2:H660)</f>
        <v>128005</v>
      </c>
    </row>
    <row r="661" spans="1:9" x14ac:dyDescent="0.25">
      <c r="A661" s="1">
        <v>45586</v>
      </c>
      <c r="B661">
        <f t="shared" si="40"/>
        <v>1</v>
      </c>
      <c r="C661" t="s">
        <v>11</v>
      </c>
      <c r="D661">
        <f>IF(AND(MONTH(A661)&lt;&gt;MONTH(A660),I660&gt;=3*$S$2),D660+3,D660)</f>
        <v>58</v>
      </c>
      <c r="E661">
        <f>IF(B661&lt;6,ROUNDDOWN(D661*VLOOKUP(C661,$U$1:$V$5,2,FALSE),0)*$S$3,0)</f>
        <v>690</v>
      </c>
      <c r="F661">
        <f t="shared" si="42"/>
        <v>0</v>
      </c>
      <c r="G661">
        <f t="shared" si="43"/>
        <v>0</v>
      </c>
      <c r="H661">
        <f t="shared" si="41"/>
        <v>690</v>
      </c>
      <c r="I661">
        <f>SUM($H$2:H661)</f>
        <v>128695</v>
      </c>
    </row>
    <row r="662" spans="1:9" x14ac:dyDescent="0.25">
      <c r="A662" s="1">
        <v>45587</v>
      </c>
      <c r="B662">
        <f t="shared" si="40"/>
        <v>2</v>
      </c>
      <c r="C662" t="s">
        <v>11</v>
      </c>
      <c r="D662">
        <f>IF(AND(MONTH(A662)&lt;&gt;MONTH(A661),I661&gt;=3*$S$2),D661+3,D661)</f>
        <v>58</v>
      </c>
      <c r="E662">
        <f>IF(B662&lt;6,ROUNDDOWN(D662*VLOOKUP(C662,$U$1:$V$5,2,FALSE),0)*$S$3,0)</f>
        <v>690</v>
      </c>
      <c r="F662">
        <f t="shared" si="42"/>
        <v>0</v>
      </c>
      <c r="G662">
        <f t="shared" si="43"/>
        <v>0</v>
      </c>
      <c r="H662">
        <f t="shared" si="41"/>
        <v>690</v>
      </c>
      <c r="I662">
        <f>SUM($H$2:H662)</f>
        <v>129385</v>
      </c>
    </row>
    <row r="663" spans="1:9" x14ac:dyDescent="0.25">
      <c r="A663" s="1">
        <v>45588</v>
      </c>
      <c r="B663">
        <f t="shared" si="40"/>
        <v>3</v>
      </c>
      <c r="C663" t="s">
        <v>11</v>
      </c>
      <c r="D663">
        <f>IF(AND(MONTH(A663)&lt;&gt;MONTH(A662),I662&gt;=3*$S$2),D662+3,D662)</f>
        <v>58</v>
      </c>
      <c r="E663">
        <f>IF(B663&lt;6,ROUNDDOWN(D663*VLOOKUP(C663,$U$1:$V$5,2,FALSE),0)*$S$3,0)</f>
        <v>690</v>
      </c>
      <c r="F663">
        <f t="shared" si="42"/>
        <v>0</v>
      </c>
      <c r="G663">
        <f t="shared" si="43"/>
        <v>0</v>
      </c>
      <c r="H663">
        <f t="shared" si="41"/>
        <v>690</v>
      </c>
      <c r="I663">
        <f>SUM($H$2:H663)</f>
        <v>130075</v>
      </c>
    </row>
    <row r="664" spans="1:9" x14ac:dyDescent="0.25">
      <c r="A664" s="1">
        <v>45589</v>
      </c>
      <c r="B664">
        <f t="shared" si="40"/>
        <v>4</v>
      </c>
      <c r="C664" t="s">
        <v>11</v>
      </c>
      <c r="D664">
        <f>IF(AND(MONTH(A664)&lt;&gt;MONTH(A663),I663&gt;=3*$S$2),D663+3,D663)</f>
        <v>58</v>
      </c>
      <c r="E664">
        <f>IF(B664&lt;6,ROUNDDOWN(D664*VLOOKUP(C664,$U$1:$V$5,2,FALSE),0)*$S$3,0)</f>
        <v>690</v>
      </c>
      <c r="F664">
        <f t="shared" si="42"/>
        <v>0</v>
      </c>
      <c r="G664">
        <f t="shared" si="43"/>
        <v>0</v>
      </c>
      <c r="H664">
        <f t="shared" si="41"/>
        <v>690</v>
      </c>
      <c r="I664">
        <f>SUM($H$2:H664)</f>
        <v>130765</v>
      </c>
    </row>
    <row r="665" spans="1:9" x14ac:dyDescent="0.25">
      <c r="A665" s="1">
        <v>45590</v>
      </c>
      <c r="B665">
        <f t="shared" si="40"/>
        <v>5</v>
      </c>
      <c r="C665" t="s">
        <v>11</v>
      </c>
      <c r="D665">
        <f>IF(AND(MONTH(A665)&lt;&gt;MONTH(A664),I664&gt;=3*$S$2),D664+3,D664)</f>
        <v>58</v>
      </c>
      <c r="E665">
        <f>IF(B665&lt;6,ROUNDDOWN(D665*VLOOKUP(C665,$U$1:$V$5,2,FALSE),0)*$S$3,0)</f>
        <v>690</v>
      </c>
      <c r="F665">
        <f t="shared" si="42"/>
        <v>0</v>
      </c>
      <c r="G665">
        <f t="shared" si="43"/>
        <v>0</v>
      </c>
      <c r="H665">
        <f t="shared" si="41"/>
        <v>690</v>
      </c>
      <c r="I665">
        <f>SUM($H$2:H665)</f>
        <v>131455</v>
      </c>
    </row>
    <row r="666" spans="1:9" x14ac:dyDescent="0.25">
      <c r="A666" s="1">
        <v>45591</v>
      </c>
      <c r="B666">
        <f t="shared" si="40"/>
        <v>6</v>
      </c>
      <c r="C666" t="s">
        <v>11</v>
      </c>
      <c r="D666">
        <f>IF(AND(MONTH(A666)&lt;&gt;MONTH(A665),I665&gt;=3*$S$2),D665+3,D665)</f>
        <v>58</v>
      </c>
      <c r="E666">
        <f>IF(B666&lt;6,ROUNDDOWN(D666*VLOOKUP(C666,$U$1:$V$5,2,FALSE),0)*$S$3,0)</f>
        <v>0</v>
      </c>
      <c r="F666">
        <f t="shared" si="42"/>
        <v>0</v>
      </c>
      <c r="G666">
        <f t="shared" si="43"/>
        <v>0</v>
      </c>
      <c r="H666">
        <f t="shared" si="41"/>
        <v>0</v>
      </c>
      <c r="I666">
        <f>SUM($H$2:H666)</f>
        <v>131455</v>
      </c>
    </row>
    <row r="667" spans="1:9" x14ac:dyDescent="0.25">
      <c r="A667" s="1">
        <v>45592</v>
      </c>
      <c r="B667">
        <f t="shared" si="40"/>
        <v>7</v>
      </c>
      <c r="C667" t="s">
        <v>11</v>
      </c>
      <c r="D667">
        <f>IF(AND(MONTH(A667)&lt;&gt;MONTH(A666),I666&gt;=3*$S$2),D666+3,D666)</f>
        <v>58</v>
      </c>
      <c r="E667">
        <f>IF(B667&lt;6,ROUNDDOWN(D667*VLOOKUP(C667,$U$1:$V$5,2,FALSE),0)*$S$3,0)</f>
        <v>0</v>
      </c>
      <c r="F667">
        <f t="shared" si="42"/>
        <v>870</v>
      </c>
      <c r="G667">
        <f t="shared" si="43"/>
        <v>0</v>
      </c>
      <c r="H667">
        <f t="shared" si="41"/>
        <v>-870</v>
      </c>
      <c r="I667">
        <f>SUM($H$2:H667)</f>
        <v>130585</v>
      </c>
    </row>
    <row r="668" spans="1:9" x14ac:dyDescent="0.25">
      <c r="A668" s="1">
        <v>45593</v>
      </c>
      <c r="B668">
        <f t="shared" si="40"/>
        <v>1</v>
      </c>
      <c r="C668" t="s">
        <v>11</v>
      </c>
      <c r="D668">
        <f>IF(AND(MONTH(A668)&lt;&gt;MONTH(A667),I667&gt;=3*$S$2),D667+3,D667)</f>
        <v>58</v>
      </c>
      <c r="E668">
        <f>IF(B668&lt;6,ROUNDDOWN(D668*VLOOKUP(C668,$U$1:$V$5,2,FALSE),0)*$S$3,0)</f>
        <v>690</v>
      </c>
      <c r="F668">
        <f t="shared" si="42"/>
        <v>0</v>
      </c>
      <c r="G668">
        <f t="shared" si="43"/>
        <v>0</v>
      </c>
      <c r="H668">
        <f t="shared" si="41"/>
        <v>690</v>
      </c>
      <c r="I668">
        <f>SUM($H$2:H668)</f>
        <v>131275</v>
      </c>
    </row>
    <row r="669" spans="1:9" x14ac:dyDescent="0.25">
      <c r="A669" s="1">
        <v>45594</v>
      </c>
      <c r="B669">
        <f t="shared" si="40"/>
        <v>2</v>
      </c>
      <c r="C669" t="s">
        <v>11</v>
      </c>
      <c r="D669">
        <f>IF(AND(MONTH(A669)&lt;&gt;MONTH(A668),I668&gt;=3*$S$2),D668+3,D668)</f>
        <v>58</v>
      </c>
      <c r="E669">
        <f>IF(B669&lt;6,ROUNDDOWN(D669*VLOOKUP(C669,$U$1:$V$5,2,FALSE),0)*$S$3,0)</f>
        <v>690</v>
      </c>
      <c r="F669">
        <f t="shared" si="42"/>
        <v>0</v>
      </c>
      <c r="G669">
        <f t="shared" si="43"/>
        <v>0</v>
      </c>
      <c r="H669">
        <f t="shared" si="41"/>
        <v>690</v>
      </c>
      <c r="I669">
        <f>SUM($H$2:H669)</f>
        <v>131965</v>
      </c>
    </row>
    <row r="670" spans="1:9" x14ac:dyDescent="0.25">
      <c r="A670" s="1">
        <v>45595</v>
      </c>
      <c r="B670">
        <f t="shared" si="40"/>
        <v>3</v>
      </c>
      <c r="C670" t="s">
        <v>11</v>
      </c>
      <c r="D670">
        <f>IF(AND(MONTH(A670)&lt;&gt;MONTH(A669),I669&gt;=3*$S$2),D669+3,D669)</f>
        <v>58</v>
      </c>
      <c r="E670">
        <f>IF(B670&lt;6,ROUNDDOWN(D670*VLOOKUP(C670,$U$1:$V$5,2,FALSE),0)*$S$3,0)</f>
        <v>690</v>
      </c>
      <c r="F670">
        <f t="shared" si="42"/>
        <v>0</v>
      </c>
      <c r="G670">
        <f t="shared" si="43"/>
        <v>0</v>
      </c>
      <c r="H670">
        <f t="shared" si="41"/>
        <v>690</v>
      </c>
      <c r="I670">
        <f>SUM($H$2:H670)</f>
        <v>132655</v>
      </c>
    </row>
    <row r="671" spans="1:9" x14ac:dyDescent="0.25">
      <c r="A671" s="1">
        <v>45596</v>
      </c>
      <c r="B671">
        <f t="shared" si="40"/>
        <v>4</v>
      </c>
      <c r="C671" t="s">
        <v>11</v>
      </c>
      <c r="D671">
        <f>IF(AND(MONTH(A671)&lt;&gt;MONTH(A670),I670&gt;=3*$S$2),D670+3,D670)</f>
        <v>58</v>
      </c>
      <c r="E671">
        <f>IF(B671&lt;6,ROUNDDOWN(D671*VLOOKUP(C671,$U$1:$V$5,2,FALSE),0)*$S$3,0)</f>
        <v>690</v>
      </c>
      <c r="F671">
        <f t="shared" si="42"/>
        <v>0</v>
      </c>
      <c r="G671">
        <f t="shared" si="43"/>
        <v>0</v>
      </c>
      <c r="H671">
        <f t="shared" si="41"/>
        <v>690</v>
      </c>
      <c r="I671">
        <f>SUM($H$2:H671)</f>
        <v>133345</v>
      </c>
    </row>
    <row r="672" spans="1:9" x14ac:dyDescent="0.25">
      <c r="A672" s="1">
        <v>45597</v>
      </c>
      <c r="B672">
        <f t="shared" si="40"/>
        <v>5</v>
      </c>
      <c r="C672" t="s">
        <v>11</v>
      </c>
      <c r="D672">
        <f>IF(AND(MONTH(A672)&lt;&gt;MONTH(A671),I671&gt;=3*$S$2),D671+3,D671)</f>
        <v>61</v>
      </c>
      <c r="E672">
        <f>IF(B672&lt;6,ROUNDDOWN(D672*VLOOKUP(C672,$U$1:$V$5,2,FALSE),0)*$S$3,0)</f>
        <v>720</v>
      </c>
      <c r="F672">
        <f t="shared" si="42"/>
        <v>0</v>
      </c>
      <c r="G672">
        <f t="shared" si="43"/>
        <v>2400</v>
      </c>
      <c r="H672">
        <f t="shared" si="41"/>
        <v>-1680</v>
      </c>
      <c r="I672">
        <f>SUM($H$2:H672)</f>
        <v>131665</v>
      </c>
    </row>
    <row r="673" spans="1:9" x14ac:dyDescent="0.25">
      <c r="A673" s="1">
        <v>45598</v>
      </c>
      <c r="B673">
        <f t="shared" si="40"/>
        <v>6</v>
      </c>
      <c r="C673" t="s">
        <v>11</v>
      </c>
      <c r="D673">
        <f>IF(AND(MONTH(A673)&lt;&gt;MONTH(A672),I672&gt;=3*$S$2),D672+3,D672)</f>
        <v>61</v>
      </c>
      <c r="E673">
        <f>IF(B673&lt;6,ROUNDDOWN(D673*VLOOKUP(C673,$U$1:$V$5,2,FALSE),0)*$S$3,0)</f>
        <v>0</v>
      </c>
      <c r="F673">
        <f t="shared" si="42"/>
        <v>0</v>
      </c>
      <c r="G673">
        <f t="shared" si="43"/>
        <v>0</v>
      </c>
      <c r="H673">
        <f t="shared" si="41"/>
        <v>0</v>
      </c>
      <c r="I673">
        <f>SUM($H$2:H673)</f>
        <v>131665</v>
      </c>
    </row>
    <row r="674" spans="1:9" x14ac:dyDescent="0.25">
      <c r="A674" s="1">
        <v>45599</v>
      </c>
      <c r="B674">
        <f t="shared" si="40"/>
        <v>7</v>
      </c>
      <c r="C674" t="s">
        <v>11</v>
      </c>
      <c r="D674">
        <f>IF(AND(MONTH(A674)&lt;&gt;MONTH(A673),I673&gt;=3*$S$2),D673+3,D673)</f>
        <v>61</v>
      </c>
      <c r="E674">
        <f>IF(B674&lt;6,ROUNDDOWN(D674*VLOOKUP(C674,$U$1:$V$5,2,FALSE),0)*$S$3,0)</f>
        <v>0</v>
      </c>
      <c r="F674">
        <f t="shared" si="42"/>
        <v>915</v>
      </c>
      <c r="G674">
        <f t="shared" si="43"/>
        <v>0</v>
      </c>
      <c r="H674">
        <f t="shared" si="41"/>
        <v>-915</v>
      </c>
      <c r="I674">
        <f>SUM($H$2:H674)</f>
        <v>130750</v>
      </c>
    </row>
    <row r="675" spans="1:9" x14ac:dyDescent="0.25">
      <c r="A675" s="1">
        <v>45600</v>
      </c>
      <c r="B675">
        <f t="shared" si="40"/>
        <v>1</v>
      </c>
      <c r="C675" t="s">
        <v>11</v>
      </c>
      <c r="D675">
        <f>IF(AND(MONTH(A675)&lt;&gt;MONTH(A674),I674&gt;=3*$S$2),D674+3,D674)</f>
        <v>61</v>
      </c>
      <c r="E675">
        <f>IF(B675&lt;6,ROUNDDOWN(D675*VLOOKUP(C675,$U$1:$V$5,2,FALSE),0)*$S$3,0)</f>
        <v>720</v>
      </c>
      <c r="F675">
        <f t="shared" si="42"/>
        <v>0</v>
      </c>
      <c r="G675">
        <f t="shared" si="43"/>
        <v>0</v>
      </c>
      <c r="H675">
        <f t="shared" si="41"/>
        <v>720</v>
      </c>
      <c r="I675">
        <f>SUM($H$2:H675)</f>
        <v>131470</v>
      </c>
    </row>
    <row r="676" spans="1:9" x14ac:dyDescent="0.25">
      <c r="A676" s="1">
        <v>45601</v>
      </c>
      <c r="B676">
        <f t="shared" si="40"/>
        <v>2</v>
      </c>
      <c r="C676" t="s">
        <v>11</v>
      </c>
      <c r="D676">
        <f>IF(AND(MONTH(A676)&lt;&gt;MONTH(A675),I675&gt;=3*$S$2),D675+3,D675)</f>
        <v>61</v>
      </c>
      <c r="E676">
        <f>IF(B676&lt;6,ROUNDDOWN(D676*VLOOKUP(C676,$U$1:$V$5,2,FALSE),0)*$S$3,0)</f>
        <v>720</v>
      </c>
      <c r="F676">
        <f t="shared" si="42"/>
        <v>0</v>
      </c>
      <c r="G676">
        <f t="shared" si="43"/>
        <v>0</v>
      </c>
      <c r="H676">
        <f t="shared" si="41"/>
        <v>720</v>
      </c>
      <c r="I676">
        <f>SUM($H$2:H676)</f>
        <v>132190</v>
      </c>
    </row>
    <row r="677" spans="1:9" x14ac:dyDescent="0.25">
      <c r="A677" s="1">
        <v>45602</v>
      </c>
      <c r="B677">
        <f t="shared" si="40"/>
        <v>3</v>
      </c>
      <c r="C677" t="s">
        <v>11</v>
      </c>
      <c r="D677">
        <f>IF(AND(MONTH(A677)&lt;&gt;MONTH(A676),I676&gt;=3*$S$2),D676+3,D676)</f>
        <v>61</v>
      </c>
      <c r="E677">
        <f>IF(B677&lt;6,ROUNDDOWN(D677*VLOOKUP(C677,$U$1:$V$5,2,FALSE),0)*$S$3,0)</f>
        <v>720</v>
      </c>
      <c r="F677">
        <f t="shared" si="42"/>
        <v>0</v>
      </c>
      <c r="G677">
        <f t="shared" si="43"/>
        <v>0</v>
      </c>
      <c r="H677">
        <f t="shared" si="41"/>
        <v>720</v>
      </c>
      <c r="I677">
        <f>SUM($H$2:H677)</f>
        <v>132910</v>
      </c>
    </row>
    <row r="678" spans="1:9" x14ac:dyDescent="0.25">
      <c r="A678" s="1">
        <v>45603</v>
      </c>
      <c r="B678">
        <f t="shared" si="40"/>
        <v>4</v>
      </c>
      <c r="C678" t="s">
        <v>11</v>
      </c>
      <c r="D678">
        <f>IF(AND(MONTH(A678)&lt;&gt;MONTH(A677),I677&gt;=3*$S$2),D677+3,D677)</f>
        <v>61</v>
      </c>
      <c r="E678">
        <f>IF(B678&lt;6,ROUNDDOWN(D678*VLOOKUP(C678,$U$1:$V$5,2,FALSE),0)*$S$3,0)</f>
        <v>720</v>
      </c>
      <c r="F678">
        <f t="shared" si="42"/>
        <v>0</v>
      </c>
      <c r="G678">
        <f t="shared" si="43"/>
        <v>0</v>
      </c>
      <c r="H678">
        <f t="shared" si="41"/>
        <v>720</v>
      </c>
      <c r="I678">
        <f>SUM($H$2:H678)</f>
        <v>133630</v>
      </c>
    </row>
    <row r="679" spans="1:9" x14ac:dyDescent="0.25">
      <c r="A679" s="1">
        <v>45604</v>
      </c>
      <c r="B679">
        <f t="shared" si="40"/>
        <v>5</v>
      </c>
      <c r="C679" t="s">
        <v>11</v>
      </c>
      <c r="D679">
        <f>IF(AND(MONTH(A679)&lt;&gt;MONTH(A678),I678&gt;=3*$S$2),D678+3,D678)</f>
        <v>61</v>
      </c>
      <c r="E679">
        <f>IF(B679&lt;6,ROUNDDOWN(D679*VLOOKUP(C679,$U$1:$V$5,2,FALSE),0)*$S$3,0)</f>
        <v>720</v>
      </c>
      <c r="F679">
        <f t="shared" si="42"/>
        <v>0</v>
      </c>
      <c r="G679">
        <f t="shared" si="43"/>
        <v>0</v>
      </c>
      <c r="H679">
        <f t="shared" si="41"/>
        <v>720</v>
      </c>
      <c r="I679">
        <f>SUM($H$2:H679)</f>
        <v>134350</v>
      </c>
    </row>
    <row r="680" spans="1:9" x14ac:dyDescent="0.25">
      <c r="A680" s="1">
        <v>45605</v>
      </c>
      <c r="B680">
        <f t="shared" si="40"/>
        <v>6</v>
      </c>
      <c r="C680" t="s">
        <v>11</v>
      </c>
      <c r="D680">
        <f>IF(AND(MONTH(A680)&lt;&gt;MONTH(A679),I679&gt;=3*$S$2),D679+3,D679)</f>
        <v>61</v>
      </c>
      <c r="E680">
        <f>IF(B680&lt;6,ROUNDDOWN(D680*VLOOKUP(C680,$U$1:$V$5,2,FALSE),0)*$S$3,0)</f>
        <v>0</v>
      </c>
      <c r="F680">
        <f t="shared" si="42"/>
        <v>0</v>
      </c>
      <c r="G680">
        <f t="shared" si="43"/>
        <v>0</v>
      </c>
      <c r="H680">
        <f t="shared" si="41"/>
        <v>0</v>
      </c>
      <c r="I680">
        <f>SUM($H$2:H680)</f>
        <v>134350</v>
      </c>
    </row>
    <row r="681" spans="1:9" x14ac:dyDescent="0.25">
      <c r="A681" s="1">
        <v>45606</v>
      </c>
      <c r="B681">
        <f t="shared" si="40"/>
        <v>7</v>
      </c>
      <c r="C681" t="s">
        <v>11</v>
      </c>
      <c r="D681">
        <f>IF(AND(MONTH(A681)&lt;&gt;MONTH(A680),I680&gt;=3*$S$2),D680+3,D680)</f>
        <v>61</v>
      </c>
      <c r="E681">
        <f>IF(B681&lt;6,ROUNDDOWN(D681*VLOOKUP(C681,$U$1:$V$5,2,FALSE),0)*$S$3,0)</f>
        <v>0</v>
      </c>
      <c r="F681">
        <f t="shared" si="42"/>
        <v>915</v>
      </c>
      <c r="G681">
        <f t="shared" si="43"/>
        <v>0</v>
      </c>
      <c r="H681">
        <f t="shared" si="41"/>
        <v>-915</v>
      </c>
      <c r="I681">
        <f>SUM($H$2:H681)</f>
        <v>133435</v>
      </c>
    </row>
    <row r="682" spans="1:9" x14ac:dyDescent="0.25">
      <c r="A682" s="1">
        <v>45607</v>
      </c>
      <c r="B682">
        <f t="shared" si="40"/>
        <v>1</v>
      </c>
      <c r="C682" t="s">
        <v>11</v>
      </c>
      <c r="D682">
        <f>IF(AND(MONTH(A682)&lt;&gt;MONTH(A681),I681&gt;=3*$S$2),D681+3,D681)</f>
        <v>61</v>
      </c>
      <c r="E682">
        <f>IF(B682&lt;6,ROUNDDOWN(D682*VLOOKUP(C682,$U$1:$V$5,2,FALSE),0)*$S$3,0)</f>
        <v>720</v>
      </c>
      <c r="F682">
        <f t="shared" si="42"/>
        <v>0</v>
      </c>
      <c r="G682">
        <f t="shared" si="43"/>
        <v>0</v>
      </c>
      <c r="H682">
        <f t="shared" si="41"/>
        <v>720</v>
      </c>
      <c r="I682">
        <f>SUM($H$2:H682)</f>
        <v>134155</v>
      </c>
    </row>
    <row r="683" spans="1:9" x14ac:dyDescent="0.25">
      <c r="A683" s="1">
        <v>45608</v>
      </c>
      <c r="B683">
        <f t="shared" si="40"/>
        <v>2</v>
      </c>
      <c r="C683" t="s">
        <v>11</v>
      </c>
      <c r="D683">
        <f>IF(AND(MONTH(A683)&lt;&gt;MONTH(A682),I682&gt;=3*$S$2),D682+3,D682)</f>
        <v>61</v>
      </c>
      <c r="E683">
        <f>IF(B683&lt;6,ROUNDDOWN(D683*VLOOKUP(C683,$U$1:$V$5,2,FALSE),0)*$S$3,0)</f>
        <v>720</v>
      </c>
      <c r="F683">
        <f t="shared" si="42"/>
        <v>0</v>
      </c>
      <c r="G683">
        <f t="shared" si="43"/>
        <v>0</v>
      </c>
      <c r="H683">
        <f t="shared" si="41"/>
        <v>720</v>
      </c>
      <c r="I683">
        <f>SUM($H$2:H683)</f>
        <v>134875</v>
      </c>
    </row>
    <row r="684" spans="1:9" x14ac:dyDescent="0.25">
      <c r="A684" s="1">
        <v>45609</v>
      </c>
      <c r="B684">
        <f t="shared" si="40"/>
        <v>3</v>
      </c>
      <c r="C684" t="s">
        <v>11</v>
      </c>
      <c r="D684">
        <f>IF(AND(MONTH(A684)&lt;&gt;MONTH(A683),I683&gt;=3*$S$2),D683+3,D683)</f>
        <v>61</v>
      </c>
      <c r="E684">
        <f>IF(B684&lt;6,ROUNDDOWN(D684*VLOOKUP(C684,$U$1:$V$5,2,FALSE),0)*$S$3,0)</f>
        <v>720</v>
      </c>
      <c r="F684">
        <f t="shared" si="42"/>
        <v>0</v>
      </c>
      <c r="G684">
        <f t="shared" si="43"/>
        <v>0</v>
      </c>
      <c r="H684">
        <f t="shared" si="41"/>
        <v>720</v>
      </c>
      <c r="I684">
        <f>SUM($H$2:H684)</f>
        <v>135595</v>
      </c>
    </row>
    <row r="685" spans="1:9" x14ac:dyDescent="0.25">
      <c r="A685" s="1">
        <v>45610</v>
      </c>
      <c r="B685">
        <f t="shared" si="40"/>
        <v>4</v>
      </c>
      <c r="C685" t="s">
        <v>11</v>
      </c>
      <c r="D685">
        <f>IF(AND(MONTH(A685)&lt;&gt;MONTH(A684),I684&gt;=3*$S$2),D684+3,D684)</f>
        <v>61</v>
      </c>
      <c r="E685">
        <f>IF(B685&lt;6,ROUNDDOWN(D685*VLOOKUP(C685,$U$1:$V$5,2,FALSE),0)*$S$3,0)</f>
        <v>720</v>
      </c>
      <c r="F685">
        <f t="shared" si="42"/>
        <v>0</v>
      </c>
      <c r="G685">
        <f t="shared" si="43"/>
        <v>0</v>
      </c>
      <c r="H685">
        <f t="shared" si="41"/>
        <v>720</v>
      </c>
      <c r="I685">
        <f>SUM($H$2:H685)</f>
        <v>136315</v>
      </c>
    </row>
    <row r="686" spans="1:9" x14ac:dyDescent="0.25">
      <c r="A686" s="1">
        <v>45611</v>
      </c>
      <c r="B686">
        <f t="shared" si="40"/>
        <v>5</v>
      </c>
      <c r="C686" t="s">
        <v>11</v>
      </c>
      <c r="D686">
        <f>IF(AND(MONTH(A686)&lt;&gt;MONTH(A685),I685&gt;=3*$S$2),D685+3,D685)</f>
        <v>61</v>
      </c>
      <c r="E686">
        <f>IF(B686&lt;6,ROUNDDOWN(D686*VLOOKUP(C686,$U$1:$V$5,2,FALSE),0)*$S$3,0)</f>
        <v>720</v>
      </c>
      <c r="F686">
        <f t="shared" si="42"/>
        <v>0</v>
      </c>
      <c r="G686">
        <f t="shared" si="43"/>
        <v>0</v>
      </c>
      <c r="H686">
        <f t="shared" si="41"/>
        <v>720</v>
      </c>
      <c r="I686">
        <f>SUM($H$2:H686)</f>
        <v>137035</v>
      </c>
    </row>
    <row r="687" spans="1:9" x14ac:dyDescent="0.25">
      <c r="A687" s="1">
        <v>45612</v>
      </c>
      <c r="B687">
        <f t="shared" si="40"/>
        <v>6</v>
      </c>
      <c r="C687" t="s">
        <v>11</v>
      </c>
      <c r="D687">
        <f>IF(AND(MONTH(A687)&lt;&gt;MONTH(A686),I686&gt;=3*$S$2),D686+3,D686)</f>
        <v>61</v>
      </c>
      <c r="E687">
        <f>IF(B687&lt;6,ROUNDDOWN(D687*VLOOKUP(C687,$U$1:$V$5,2,FALSE),0)*$S$3,0)</f>
        <v>0</v>
      </c>
      <c r="F687">
        <f t="shared" si="42"/>
        <v>0</v>
      </c>
      <c r="G687">
        <f t="shared" si="43"/>
        <v>0</v>
      </c>
      <c r="H687">
        <f t="shared" si="41"/>
        <v>0</v>
      </c>
      <c r="I687">
        <f>SUM($H$2:H687)</f>
        <v>137035</v>
      </c>
    </row>
    <row r="688" spans="1:9" x14ac:dyDescent="0.25">
      <c r="A688" s="1">
        <v>45613</v>
      </c>
      <c r="B688">
        <f t="shared" si="40"/>
        <v>7</v>
      </c>
      <c r="C688" t="s">
        <v>11</v>
      </c>
      <c r="D688">
        <f>IF(AND(MONTH(A688)&lt;&gt;MONTH(A687),I687&gt;=3*$S$2),D687+3,D687)</f>
        <v>61</v>
      </c>
      <c r="E688">
        <f>IF(B688&lt;6,ROUNDDOWN(D688*VLOOKUP(C688,$U$1:$V$5,2,FALSE),0)*$S$3,0)</f>
        <v>0</v>
      </c>
      <c r="F688">
        <f t="shared" si="42"/>
        <v>915</v>
      </c>
      <c r="G688">
        <f t="shared" si="43"/>
        <v>0</v>
      </c>
      <c r="H688">
        <f t="shared" si="41"/>
        <v>-915</v>
      </c>
      <c r="I688">
        <f>SUM($H$2:H688)</f>
        <v>136120</v>
      </c>
    </row>
    <row r="689" spans="1:9" x14ac:dyDescent="0.25">
      <c r="A689" s="1">
        <v>45614</v>
      </c>
      <c r="B689">
        <f t="shared" si="40"/>
        <v>1</v>
      </c>
      <c r="C689" t="s">
        <v>11</v>
      </c>
      <c r="D689">
        <f>IF(AND(MONTH(A689)&lt;&gt;MONTH(A688),I688&gt;=3*$S$2),D688+3,D688)</f>
        <v>61</v>
      </c>
      <c r="E689">
        <f>IF(B689&lt;6,ROUNDDOWN(D689*VLOOKUP(C689,$U$1:$V$5,2,FALSE),0)*$S$3,0)</f>
        <v>720</v>
      </c>
      <c r="F689">
        <f t="shared" si="42"/>
        <v>0</v>
      </c>
      <c r="G689">
        <f t="shared" si="43"/>
        <v>0</v>
      </c>
      <c r="H689">
        <f t="shared" si="41"/>
        <v>720</v>
      </c>
      <c r="I689">
        <f>SUM($H$2:H689)</f>
        <v>136840</v>
      </c>
    </row>
    <row r="690" spans="1:9" x14ac:dyDescent="0.25">
      <c r="A690" s="1">
        <v>45615</v>
      </c>
      <c r="B690">
        <f t="shared" si="40"/>
        <v>2</v>
      </c>
      <c r="C690" t="s">
        <v>11</v>
      </c>
      <c r="D690">
        <f>IF(AND(MONTH(A690)&lt;&gt;MONTH(A689),I689&gt;=3*$S$2),D689+3,D689)</f>
        <v>61</v>
      </c>
      <c r="E690">
        <f>IF(B690&lt;6,ROUNDDOWN(D690*VLOOKUP(C690,$U$1:$V$5,2,FALSE),0)*$S$3,0)</f>
        <v>720</v>
      </c>
      <c r="F690">
        <f t="shared" si="42"/>
        <v>0</v>
      </c>
      <c r="G690">
        <f t="shared" si="43"/>
        <v>0</v>
      </c>
      <c r="H690">
        <f t="shared" si="41"/>
        <v>720</v>
      </c>
      <c r="I690">
        <f>SUM($H$2:H690)</f>
        <v>137560</v>
      </c>
    </row>
    <row r="691" spans="1:9" x14ac:dyDescent="0.25">
      <c r="A691" s="1">
        <v>45616</v>
      </c>
      <c r="B691">
        <f t="shared" si="40"/>
        <v>3</v>
      </c>
      <c r="C691" t="s">
        <v>11</v>
      </c>
      <c r="D691">
        <f>IF(AND(MONTH(A691)&lt;&gt;MONTH(A690),I690&gt;=3*$S$2),D690+3,D690)</f>
        <v>61</v>
      </c>
      <c r="E691">
        <f>IF(B691&lt;6,ROUNDDOWN(D691*VLOOKUP(C691,$U$1:$V$5,2,FALSE),0)*$S$3,0)</f>
        <v>720</v>
      </c>
      <c r="F691">
        <f t="shared" si="42"/>
        <v>0</v>
      </c>
      <c r="G691">
        <f t="shared" si="43"/>
        <v>0</v>
      </c>
      <c r="H691">
        <f t="shared" si="41"/>
        <v>720</v>
      </c>
      <c r="I691">
        <f>SUM($H$2:H691)</f>
        <v>138280</v>
      </c>
    </row>
    <row r="692" spans="1:9" x14ac:dyDescent="0.25">
      <c r="A692" s="1">
        <v>45617</v>
      </c>
      <c r="B692">
        <f t="shared" si="40"/>
        <v>4</v>
      </c>
      <c r="C692" t="s">
        <v>11</v>
      </c>
      <c r="D692">
        <f>IF(AND(MONTH(A692)&lt;&gt;MONTH(A691),I691&gt;=3*$S$2),D691+3,D691)</f>
        <v>61</v>
      </c>
      <c r="E692">
        <f>IF(B692&lt;6,ROUNDDOWN(D692*VLOOKUP(C692,$U$1:$V$5,2,FALSE),0)*$S$3,0)</f>
        <v>720</v>
      </c>
      <c r="F692">
        <f t="shared" si="42"/>
        <v>0</v>
      </c>
      <c r="G692">
        <f t="shared" si="43"/>
        <v>0</v>
      </c>
      <c r="H692">
        <f t="shared" si="41"/>
        <v>720</v>
      </c>
      <c r="I692">
        <f>SUM($H$2:H692)</f>
        <v>139000</v>
      </c>
    </row>
    <row r="693" spans="1:9" x14ac:dyDescent="0.25">
      <c r="A693" s="1">
        <v>45618</v>
      </c>
      <c r="B693">
        <f t="shared" si="40"/>
        <v>5</v>
      </c>
      <c r="C693" t="s">
        <v>11</v>
      </c>
      <c r="D693">
        <f>IF(AND(MONTH(A693)&lt;&gt;MONTH(A692),I692&gt;=3*$S$2),D692+3,D692)</f>
        <v>61</v>
      </c>
      <c r="E693">
        <f>IF(B693&lt;6,ROUNDDOWN(D693*VLOOKUP(C693,$U$1:$V$5,2,FALSE),0)*$S$3,0)</f>
        <v>720</v>
      </c>
      <c r="F693">
        <f t="shared" si="42"/>
        <v>0</v>
      </c>
      <c r="G693">
        <f t="shared" si="43"/>
        <v>0</v>
      </c>
      <c r="H693">
        <f t="shared" si="41"/>
        <v>720</v>
      </c>
      <c r="I693">
        <f>SUM($H$2:H693)</f>
        <v>139720</v>
      </c>
    </row>
    <row r="694" spans="1:9" x14ac:dyDescent="0.25">
      <c r="A694" s="1">
        <v>45619</v>
      </c>
      <c r="B694">
        <f t="shared" si="40"/>
        <v>6</v>
      </c>
      <c r="C694" t="s">
        <v>11</v>
      </c>
      <c r="D694">
        <f>IF(AND(MONTH(A694)&lt;&gt;MONTH(A693),I693&gt;=3*$S$2),D693+3,D693)</f>
        <v>61</v>
      </c>
      <c r="E694">
        <f>IF(B694&lt;6,ROUNDDOWN(D694*VLOOKUP(C694,$U$1:$V$5,2,FALSE),0)*$S$3,0)</f>
        <v>0</v>
      </c>
      <c r="F694">
        <f t="shared" si="42"/>
        <v>0</v>
      </c>
      <c r="G694">
        <f t="shared" si="43"/>
        <v>0</v>
      </c>
      <c r="H694">
        <f t="shared" si="41"/>
        <v>0</v>
      </c>
      <c r="I694">
        <f>SUM($H$2:H694)</f>
        <v>139720</v>
      </c>
    </row>
    <row r="695" spans="1:9" x14ac:dyDescent="0.25">
      <c r="A695" s="1">
        <v>45620</v>
      </c>
      <c r="B695">
        <f t="shared" si="40"/>
        <v>7</v>
      </c>
      <c r="C695" t="s">
        <v>11</v>
      </c>
      <c r="D695">
        <f>IF(AND(MONTH(A695)&lt;&gt;MONTH(A694),I694&gt;=3*$S$2),D694+3,D694)</f>
        <v>61</v>
      </c>
      <c r="E695">
        <f>IF(B695&lt;6,ROUNDDOWN(D695*VLOOKUP(C695,$U$1:$V$5,2,FALSE),0)*$S$3,0)</f>
        <v>0</v>
      </c>
      <c r="F695">
        <f t="shared" si="42"/>
        <v>915</v>
      </c>
      <c r="G695">
        <f t="shared" si="43"/>
        <v>0</v>
      </c>
      <c r="H695">
        <f t="shared" si="41"/>
        <v>-915</v>
      </c>
      <c r="I695">
        <f>SUM($H$2:H695)</f>
        <v>138805</v>
      </c>
    </row>
    <row r="696" spans="1:9" x14ac:dyDescent="0.25">
      <c r="A696" s="1">
        <v>45621</v>
      </c>
      <c r="B696">
        <f t="shared" si="40"/>
        <v>1</v>
      </c>
      <c r="C696" t="s">
        <v>11</v>
      </c>
      <c r="D696">
        <f>IF(AND(MONTH(A696)&lt;&gt;MONTH(A695),I695&gt;=3*$S$2),D695+3,D695)</f>
        <v>61</v>
      </c>
      <c r="E696">
        <f>IF(B696&lt;6,ROUNDDOWN(D696*VLOOKUP(C696,$U$1:$V$5,2,FALSE),0)*$S$3,0)</f>
        <v>720</v>
      </c>
      <c r="F696">
        <f t="shared" si="42"/>
        <v>0</v>
      </c>
      <c r="G696">
        <f t="shared" si="43"/>
        <v>0</v>
      </c>
      <c r="H696">
        <f t="shared" si="41"/>
        <v>720</v>
      </c>
      <c r="I696">
        <f>SUM($H$2:H696)</f>
        <v>139525</v>
      </c>
    </row>
    <row r="697" spans="1:9" x14ac:dyDescent="0.25">
      <c r="A697" s="1">
        <v>45622</v>
      </c>
      <c r="B697">
        <f t="shared" si="40"/>
        <v>2</v>
      </c>
      <c r="C697" t="s">
        <v>11</v>
      </c>
      <c r="D697">
        <f>IF(AND(MONTH(A697)&lt;&gt;MONTH(A696),I696&gt;=3*$S$2),D696+3,D696)</f>
        <v>61</v>
      </c>
      <c r="E697">
        <f>IF(B697&lt;6,ROUNDDOWN(D697*VLOOKUP(C697,$U$1:$V$5,2,FALSE),0)*$S$3,0)</f>
        <v>720</v>
      </c>
      <c r="F697">
        <f t="shared" si="42"/>
        <v>0</v>
      </c>
      <c r="G697">
        <f t="shared" si="43"/>
        <v>0</v>
      </c>
      <c r="H697">
        <f t="shared" si="41"/>
        <v>720</v>
      </c>
      <c r="I697">
        <f>SUM($H$2:H697)</f>
        <v>140245</v>
      </c>
    </row>
    <row r="698" spans="1:9" x14ac:dyDescent="0.25">
      <c r="A698" s="1">
        <v>45623</v>
      </c>
      <c r="B698">
        <f t="shared" si="40"/>
        <v>3</v>
      </c>
      <c r="C698" t="s">
        <v>11</v>
      </c>
      <c r="D698">
        <f>IF(AND(MONTH(A698)&lt;&gt;MONTH(A697),I697&gt;=3*$S$2),D697+3,D697)</f>
        <v>61</v>
      </c>
      <c r="E698">
        <f>IF(B698&lt;6,ROUNDDOWN(D698*VLOOKUP(C698,$U$1:$V$5,2,FALSE),0)*$S$3,0)</f>
        <v>720</v>
      </c>
      <c r="F698">
        <f t="shared" si="42"/>
        <v>0</v>
      </c>
      <c r="G698">
        <f t="shared" si="43"/>
        <v>0</v>
      </c>
      <c r="H698">
        <f t="shared" si="41"/>
        <v>720</v>
      </c>
      <c r="I698">
        <f>SUM($H$2:H698)</f>
        <v>140965</v>
      </c>
    </row>
    <row r="699" spans="1:9" x14ac:dyDescent="0.25">
      <c r="A699" s="1">
        <v>45624</v>
      </c>
      <c r="B699">
        <f t="shared" si="40"/>
        <v>4</v>
      </c>
      <c r="C699" t="s">
        <v>11</v>
      </c>
      <c r="D699">
        <f>IF(AND(MONTH(A699)&lt;&gt;MONTH(A698),I698&gt;=3*$S$2),D698+3,D698)</f>
        <v>61</v>
      </c>
      <c r="E699">
        <f>IF(B699&lt;6,ROUNDDOWN(D699*VLOOKUP(C699,$U$1:$V$5,2,FALSE),0)*$S$3,0)</f>
        <v>720</v>
      </c>
      <c r="F699">
        <f t="shared" si="42"/>
        <v>0</v>
      </c>
      <c r="G699">
        <f t="shared" si="43"/>
        <v>0</v>
      </c>
      <c r="H699">
        <f t="shared" si="41"/>
        <v>720</v>
      </c>
      <c r="I699">
        <f>SUM($H$2:H699)</f>
        <v>141685</v>
      </c>
    </row>
    <row r="700" spans="1:9" x14ac:dyDescent="0.25">
      <c r="A700" s="1">
        <v>45625</v>
      </c>
      <c r="B700">
        <f t="shared" si="40"/>
        <v>5</v>
      </c>
      <c r="C700" t="s">
        <v>11</v>
      </c>
      <c r="D700">
        <f>IF(AND(MONTH(A700)&lt;&gt;MONTH(A699),I699&gt;=3*$S$2),D699+3,D699)</f>
        <v>61</v>
      </c>
      <c r="E700">
        <f>IF(B700&lt;6,ROUNDDOWN(D700*VLOOKUP(C700,$U$1:$V$5,2,FALSE),0)*$S$3,0)</f>
        <v>720</v>
      </c>
      <c r="F700">
        <f t="shared" si="42"/>
        <v>0</v>
      </c>
      <c r="G700">
        <f t="shared" si="43"/>
        <v>0</v>
      </c>
      <c r="H700">
        <f t="shared" si="41"/>
        <v>720</v>
      </c>
      <c r="I700">
        <f>SUM($H$2:H700)</f>
        <v>142405</v>
      </c>
    </row>
    <row r="701" spans="1:9" x14ac:dyDescent="0.25">
      <c r="A701" s="1">
        <v>45626</v>
      </c>
      <c r="B701">
        <f t="shared" si="40"/>
        <v>6</v>
      </c>
      <c r="C701" t="s">
        <v>11</v>
      </c>
      <c r="D701">
        <f>IF(AND(MONTH(A701)&lt;&gt;MONTH(A700),I700&gt;=3*$S$2),D700+3,D700)</f>
        <v>61</v>
      </c>
      <c r="E701">
        <f>IF(B701&lt;6,ROUNDDOWN(D701*VLOOKUP(C701,$U$1:$V$5,2,FALSE),0)*$S$3,0)</f>
        <v>0</v>
      </c>
      <c r="F701">
        <f t="shared" si="42"/>
        <v>0</v>
      </c>
      <c r="G701">
        <f t="shared" si="43"/>
        <v>0</v>
      </c>
      <c r="H701">
        <f t="shared" si="41"/>
        <v>0</v>
      </c>
      <c r="I701">
        <f>SUM($H$2:H701)</f>
        <v>142405</v>
      </c>
    </row>
    <row r="702" spans="1:9" x14ac:dyDescent="0.25">
      <c r="A702" s="1">
        <v>45627</v>
      </c>
      <c r="B702">
        <f t="shared" si="40"/>
        <v>7</v>
      </c>
      <c r="C702" t="s">
        <v>11</v>
      </c>
      <c r="D702">
        <f>IF(AND(MONTH(A702)&lt;&gt;MONTH(A701),I701&gt;=3*$S$2),D701+3,D701)</f>
        <v>64</v>
      </c>
      <c r="E702">
        <f>IF(B702&lt;6,ROUNDDOWN(D702*VLOOKUP(C702,$U$1:$V$5,2,FALSE),0)*$S$3,0)</f>
        <v>0</v>
      </c>
      <c r="F702">
        <f t="shared" si="42"/>
        <v>960</v>
      </c>
      <c r="G702">
        <f t="shared" si="43"/>
        <v>2400</v>
      </c>
      <c r="H702">
        <f t="shared" si="41"/>
        <v>-3360</v>
      </c>
      <c r="I702">
        <f>SUM($H$2:H702)</f>
        <v>139045</v>
      </c>
    </row>
    <row r="703" spans="1:9" x14ac:dyDescent="0.25">
      <c r="A703" s="1">
        <v>45628</v>
      </c>
      <c r="B703">
        <f t="shared" si="40"/>
        <v>1</v>
      </c>
      <c r="C703" t="s">
        <v>11</v>
      </c>
      <c r="D703">
        <f>IF(AND(MONTH(A703)&lt;&gt;MONTH(A702),I702&gt;=3*$S$2),D702+3,D702)</f>
        <v>64</v>
      </c>
      <c r="E703">
        <f>IF(B703&lt;6,ROUNDDOWN(D703*VLOOKUP(C703,$U$1:$V$5,2,FALSE),0)*$S$3,0)</f>
        <v>750</v>
      </c>
      <c r="F703">
        <f t="shared" si="42"/>
        <v>0</v>
      </c>
      <c r="G703">
        <f t="shared" si="43"/>
        <v>0</v>
      </c>
      <c r="H703">
        <f t="shared" si="41"/>
        <v>750</v>
      </c>
      <c r="I703">
        <f>SUM($H$2:H703)</f>
        <v>139795</v>
      </c>
    </row>
    <row r="704" spans="1:9" x14ac:dyDescent="0.25">
      <c r="A704" s="1">
        <v>45629</v>
      </c>
      <c r="B704">
        <f t="shared" si="40"/>
        <v>2</v>
      </c>
      <c r="C704" t="s">
        <v>11</v>
      </c>
      <c r="D704">
        <f>IF(AND(MONTH(A704)&lt;&gt;MONTH(A703),I703&gt;=3*$S$2),D703+3,D703)</f>
        <v>64</v>
      </c>
      <c r="E704">
        <f>IF(B704&lt;6,ROUNDDOWN(D704*VLOOKUP(C704,$U$1:$V$5,2,FALSE),0)*$S$3,0)</f>
        <v>750</v>
      </c>
      <c r="F704">
        <f t="shared" si="42"/>
        <v>0</v>
      </c>
      <c r="G704">
        <f t="shared" si="43"/>
        <v>0</v>
      </c>
      <c r="H704">
        <f t="shared" si="41"/>
        <v>750</v>
      </c>
      <c r="I704">
        <f>SUM($H$2:H704)</f>
        <v>140545</v>
      </c>
    </row>
    <row r="705" spans="1:9" x14ac:dyDescent="0.25">
      <c r="A705" s="1">
        <v>45630</v>
      </c>
      <c r="B705">
        <f t="shared" si="40"/>
        <v>3</v>
      </c>
      <c r="C705" t="s">
        <v>11</v>
      </c>
      <c r="D705">
        <f>IF(AND(MONTH(A705)&lt;&gt;MONTH(A704),I704&gt;=3*$S$2),D704+3,D704)</f>
        <v>64</v>
      </c>
      <c r="E705">
        <f>IF(B705&lt;6,ROUNDDOWN(D705*VLOOKUP(C705,$U$1:$V$5,2,FALSE),0)*$S$3,0)</f>
        <v>750</v>
      </c>
      <c r="F705">
        <f t="shared" si="42"/>
        <v>0</v>
      </c>
      <c r="G705">
        <f t="shared" si="43"/>
        <v>0</v>
      </c>
      <c r="H705">
        <f t="shared" si="41"/>
        <v>750</v>
      </c>
      <c r="I705">
        <f>SUM($H$2:H705)</f>
        <v>141295</v>
      </c>
    </row>
    <row r="706" spans="1:9" x14ac:dyDescent="0.25">
      <c r="A706" s="1">
        <v>45631</v>
      </c>
      <c r="B706">
        <f t="shared" si="40"/>
        <v>4</v>
      </c>
      <c r="C706" t="s">
        <v>11</v>
      </c>
      <c r="D706">
        <f>IF(AND(MONTH(A706)&lt;&gt;MONTH(A705),I705&gt;=3*$S$2),D705+3,D705)</f>
        <v>64</v>
      </c>
      <c r="E706">
        <f>IF(B706&lt;6,ROUNDDOWN(D706*VLOOKUP(C706,$U$1:$V$5,2,FALSE),0)*$S$3,0)</f>
        <v>750</v>
      </c>
      <c r="F706">
        <f t="shared" si="42"/>
        <v>0</v>
      </c>
      <c r="G706">
        <f t="shared" si="43"/>
        <v>0</v>
      </c>
      <c r="H706">
        <f t="shared" si="41"/>
        <v>750</v>
      </c>
      <c r="I706">
        <f>SUM($H$2:H706)</f>
        <v>142045</v>
      </c>
    </row>
    <row r="707" spans="1:9" x14ac:dyDescent="0.25">
      <c r="A707" s="1">
        <v>45632</v>
      </c>
      <c r="B707">
        <f t="shared" ref="B707:B732" si="44">WEEKDAY(A707,2)</f>
        <v>5</v>
      </c>
      <c r="C707" t="s">
        <v>11</v>
      </c>
      <c r="D707">
        <f>IF(AND(MONTH(A707)&lt;&gt;MONTH(A706),I706&gt;=3*$S$2),D706+3,D706)</f>
        <v>64</v>
      </c>
      <c r="E707">
        <f>IF(B707&lt;6,ROUNDDOWN(D707*VLOOKUP(C707,$U$1:$V$5,2,FALSE),0)*$S$3,0)</f>
        <v>750</v>
      </c>
      <c r="F707">
        <f t="shared" si="42"/>
        <v>0</v>
      </c>
      <c r="G707">
        <f t="shared" si="43"/>
        <v>0</v>
      </c>
      <c r="H707">
        <f t="shared" ref="H707:H732" si="45">E707-F707-G707</f>
        <v>750</v>
      </c>
      <c r="I707">
        <f>SUM($H$2:H707)</f>
        <v>142795</v>
      </c>
    </row>
    <row r="708" spans="1:9" x14ac:dyDescent="0.25">
      <c r="A708" s="1">
        <v>45633</v>
      </c>
      <c r="B708">
        <f t="shared" si="44"/>
        <v>6</v>
      </c>
      <c r="C708" t="s">
        <v>11</v>
      </c>
      <c r="D708">
        <f>IF(AND(MONTH(A708)&lt;&gt;MONTH(A707),I707&gt;=3*$S$2),D707+3,D707)</f>
        <v>64</v>
      </c>
      <c r="E708">
        <f>IF(B708&lt;6,ROUNDDOWN(D708*VLOOKUP(C708,$U$1:$V$5,2,FALSE),0)*$S$3,0)</f>
        <v>0</v>
      </c>
      <c r="F708">
        <f t="shared" ref="F708:F732" si="46">IF(B708=7,$S$4*D708,0)</f>
        <v>0</v>
      </c>
      <c r="G708">
        <f t="shared" ref="G708:G732" si="47">IF(D708&gt;D707,3*$S$2,0)</f>
        <v>0</v>
      </c>
      <c r="H708">
        <f t="shared" si="45"/>
        <v>0</v>
      </c>
      <c r="I708">
        <f>SUM($H$2:H708)</f>
        <v>142795</v>
      </c>
    </row>
    <row r="709" spans="1:9" x14ac:dyDescent="0.25">
      <c r="A709" s="1">
        <v>45634</v>
      </c>
      <c r="B709">
        <f t="shared" si="44"/>
        <v>7</v>
      </c>
      <c r="C709" t="s">
        <v>11</v>
      </c>
      <c r="D709">
        <f>IF(AND(MONTH(A709)&lt;&gt;MONTH(A708),I708&gt;=3*$S$2),D708+3,D708)</f>
        <v>64</v>
      </c>
      <c r="E709">
        <f>IF(B709&lt;6,ROUNDDOWN(D709*VLOOKUP(C709,$U$1:$V$5,2,FALSE),0)*$S$3,0)</f>
        <v>0</v>
      </c>
      <c r="F709">
        <f t="shared" si="46"/>
        <v>960</v>
      </c>
      <c r="G709">
        <f t="shared" si="47"/>
        <v>0</v>
      </c>
      <c r="H709">
        <f t="shared" si="45"/>
        <v>-960</v>
      </c>
      <c r="I709">
        <f>SUM($H$2:H709)</f>
        <v>141835</v>
      </c>
    </row>
    <row r="710" spans="1:9" x14ac:dyDescent="0.25">
      <c r="A710" s="1">
        <v>45635</v>
      </c>
      <c r="B710">
        <f t="shared" si="44"/>
        <v>1</v>
      </c>
      <c r="C710" t="s">
        <v>11</v>
      </c>
      <c r="D710">
        <f>IF(AND(MONTH(A710)&lt;&gt;MONTH(A709),I709&gt;=3*$S$2),D709+3,D709)</f>
        <v>64</v>
      </c>
      <c r="E710">
        <f>IF(B710&lt;6,ROUNDDOWN(D710*VLOOKUP(C710,$U$1:$V$5,2,FALSE),0)*$S$3,0)</f>
        <v>750</v>
      </c>
      <c r="F710">
        <f t="shared" si="46"/>
        <v>0</v>
      </c>
      <c r="G710">
        <f t="shared" si="47"/>
        <v>0</v>
      </c>
      <c r="H710">
        <f t="shared" si="45"/>
        <v>750</v>
      </c>
      <c r="I710">
        <f>SUM($H$2:H710)</f>
        <v>142585</v>
      </c>
    </row>
    <row r="711" spans="1:9" x14ac:dyDescent="0.25">
      <c r="A711" s="1">
        <v>45636</v>
      </c>
      <c r="B711">
        <f t="shared" si="44"/>
        <v>2</v>
      </c>
      <c r="C711" t="s">
        <v>11</v>
      </c>
      <c r="D711">
        <f>IF(AND(MONTH(A711)&lt;&gt;MONTH(A710),I710&gt;=3*$S$2),D710+3,D710)</f>
        <v>64</v>
      </c>
      <c r="E711">
        <f>IF(B711&lt;6,ROUNDDOWN(D711*VLOOKUP(C711,$U$1:$V$5,2,FALSE),0)*$S$3,0)</f>
        <v>750</v>
      </c>
      <c r="F711">
        <f t="shared" si="46"/>
        <v>0</v>
      </c>
      <c r="G711">
        <f t="shared" si="47"/>
        <v>0</v>
      </c>
      <c r="H711">
        <f t="shared" si="45"/>
        <v>750</v>
      </c>
      <c r="I711">
        <f>SUM($H$2:H711)</f>
        <v>143335</v>
      </c>
    </row>
    <row r="712" spans="1:9" x14ac:dyDescent="0.25">
      <c r="A712" s="1">
        <v>45637</v>
      </c>
      <c r="B712">
        <f t="shared" si="44"/>
        <v>3</v>
      </c>
      <c r="C712" t="s">
        <v>11</v>
      </c>
      <c r="D712">
        <f>IF(AND(MONTH(A712)&lt;&gt;MONTH(A711),I711&gt;=3*$S$2),D711+3,D711)</f>
        <v>64</v>
      </c>
      <c r="E712">
        <f>IF(B712&lt;6,ROUNDDOWN(D712*VLOOKUP(C712,$U$1:$V$5,2,FALSE),0)*$S$3,0)</f>
        <v>750</v>
      </c>
      <c r="F712">
        <f t="shared" si="46"/>
        <v>0</v>
      </c>
      <c r="G712">
        <f t="shared" si="47"/>
        <v>0</v>
      </c>
      <c r="H712">
        <f t="shared" si="45"/>
        <v>750</v>
      </c>
      <c r="I712">
        <f>SUM($H$2:H712)</f>
        <v>144085</v>
      </c>
    </row>
    <row r="713" spans="1:9" x14ac:dyDescent="0.25">
      <c r="A713" s="1">
        <v>45638</v>
      </c>
      <c r="B713">
        <f t="shared" si="44"/>
        <v>4</v>
      </c>
      <c r="C713" t="s">
        <v>11</v>
      </c>
      <c r="D713">
        <f>IF(AND(MONTH(A713)&lt;&gt;MONTH(A712),I712&gt;=3*$S$2),D712+3,D712)</f>
        <v>64</v>
      </c>
      <c r="E713">
        <f>IF(B713&lt;6,ROUNDDOWN(D713*VLOOKUP(C713,$U$1:$V$5,2,FALSE),0)*$S$3,0)</f>
        <v>750</v>
      </c>
      <c r="F713">
        <f t="shared" si="46"/>
        <v>0</v>
      </c>
      <c r="G713">
        <f t="shared" si="47"/>
        <v>0</v>
      </c>
      <c r="H713">
        <f t="shared" si="45"/>
        <v>750</v>
      </c>
      <c r="I713">
        <f>SUM($H$2:H713)</f>
        <v>144835</v>
      </c>
    </row>
    <row r="714" spans="1:9" x14ac:dyDescent="0.25">
      <c r="A714" s="1">
        <v>45639</v>
      </c>
      <c r="B714">
        <f t="shared" si="44"/>
        <v>5</v>
      </c>
      <c r="C714" t="s">
        <v>11</v>
      </c>
      <c r="D714">
        <f>IF(AND(MONTH(A714)&lt;&gt;MONTH(A713),I713&gt;=3*$S$2),D713+3,D713)</f>
        <v>64</v>
      </c>
      <c r="E714">
        <f>IF(B714&lt;6,ROUNDDOWN(D714*VLOOKUP(C714,$U$1:$V$5,2,FALSE),0)*$S$3,0)</f>
        <v>750</v>
      </c>
      <c r="F714">
        <f t="shared" si="46"/>
        <v>0</v>
      </c>
      <c r="G714">
        <f t="shared" si="47"/>
        <v>0</v>
      </c>
      <c r="H714">
        <f t="shared" si="45"/>
        <v>750</v>
      </c>
      <c r="I714">
        <f>SUM($H$2:H714)</f>
        <v>145585</v>
      </c>
    </row>
    <row r="715" spans="1:9" x14ac:dyDescent="0.25">
      <c r="A715" s="1">
        <v>45640</v>
      </c>
      <c r="B715">
        <f t="shared" si="44"/>
        <v>6</v>
      </c>
      <c r="C715" t="s">
        <v>11</v>
      </c>
      <c r="D715">
        <f>IF(AND(MONTH(A715)&lt;&gt;MONTH(A714),I714&gt;=3*$S$2),D714+3,D714)</f>
        <v>64</v>
      </c>
      <c r="E715">
        <f>IF(B715&lt;6,ROUNDDOWN(D715*VLOOKUP(C715,$U$1:$V$5,2,FALSE),0)*$S$3,0)</f>
        <v>0</v>
      </c>
      <c r="F715">
        <f t="shared" si="46"/>
        <v>0</v>
      </c>
      <c r="G715">
        <f t="shared" si="47"/>
        <v>0</v>
      </c>
      <c r="H715">
        <f t="shared" si="45"/>
        <v>0</v>
      </c>
      <c r="I715">
        <f>SUM($H$2:H715)</f>
        <v>145585</v>
      </c>
    </row>
    <row r="716" spans="1:9" x14ac:dyDescent="0.25">
      <c r="A716" s="1">
        <v>45641</v>
      </c>
      <c r="B716">
        <f t="shared" si="44"/>
        <v>7</v>
      </c>
      <c r="C716" t="s">
        <v>11</v>
      </c>
      <c r="D716">
        <f>IF(AND(MONTH(A716)&lt;&gt;MONTH(A715),I715&gt;=3*$S$2),D715+3,D715)</f>
        <v>64</v>
      </c>
      <c r="E716">
        <f>IF(B716&lt;6,ROUNDDOWN(D716*VLOOKUP(C716,$U$1:$V$5,2,FALSE),0)*$S$3,0)</f>
        <v>0</v>
      </c>
      <c r="F716">
        <f t="shared" si="46"/>
        <v>960</v>
      </c>
      <c r="G716">
        <f t="shared" si="47"/>
        <v>0</v>
      </c>
      <c r="H716">
        <f t="shared" si="45"/>
        <v>-960</v>
      </c>
      <c r="I716">
        <f>SUM($H$2:H716)</f>
        <v>144625</v>
      </c>
    </row>
    <row r="717" spans="1:9" x14ac:dyDescent="0.25">
      <c r="A717" s="1">
        <v>45642</v>
      </c>
      <c r="B717">
        <f t="shared" si="44"/>
        <v>1</v>
      </c>
      <c r="C717" t="s">
        <v>11</v>
      </c>
      <c r="D717">
        <f>IF(AND(MONTH(A717)&lt;&gt;MONTH(A716),I716&gt;=3*$S$2),D716+3,D716)</f>
        <v>64</v>
      </c>
      <c r="E717">
        <f>IF(B717&lt;6,ROUNDDOWN(D717*VLOOKUP(C717,$U$1:$V$5,2,FALSE),0)*$S$3,0)</f>
        <v>750</v>
      </c>
      <c r="F717">
        <f t="shared" si="46"/>
        <v>0</v>
      </c>
      <c r="G717">
        <f t="shared" si="47"/>
        <v>0</v>
      </c>
      <c r="H717">
        <f t="shared" si="45"/>
        <v>750</v>
      </c>
      <c r="I717">
        <f>SUM($H$2:H717)</f>
        <v>145375</v>
      </c>
    </row>
    <row r="718" spans="1:9" x14ac:dyDescent="0.25">
      <c r="A718" s="1">
        <v>45643</v>
      </c>
      <c r="B718">
        <f t="shared" si="44"/>
        <v>2</v>
      </c>
      <c r="C718" t="s">
        <v>11</v>
      </c>
      <c r="D718">
        <f>IF(AND(MONTH(A718)&lt;&gt;MONTH(A717),I717&gt;=3*$S$2),D717+3,D717)</f>
        <v>64</v>
      </c>
      <c r="E718">
        <f>IF(B718&lt;6,ROUNDDOWN(D718*VLOOKUP(C718,$U$1:$V$5,2,FALSE),0)*$S$3,0)</f>
        <v>750</v>
      </c>
      <c r="F718">
        <f t="shared" si="46"/>
        <v>0</v>
      </c>
      <c r="G718">
        <f t="shared" si="47"/>
        <v>0</v>
      </c>
      <c r="H718">
        <f t="shared" si="45"/>
        <v>750</v>
      </c>
      <c r="I718">
        <f>SUM($H$2:H718)</f>
        <v>146125</v>
      </c>
    </row>
    <row r="719" spans="1:9" x14ac:dyDescent="0.25">
      <c r="A719" s="1">
        <v>45644</v>
      </c>
      <c r="B719">
        <f t="shared" si="44"/>
        <v>3</v>
      </c>
      <c r="C719" t="s">
        <v>11</v>
      </c>
      <c r="D719">
        <f>IF(AND(MONTH(A719)&lt;&gt;MONTH(A718),I718&gt;=3*$S$2),D718+3,D718)</f>
        <v>64</v>
      </c>
      <c r="E719">
        <f>IF(B719&lt;6,ROUNDDOWN(D719*VLOOKUP(C719,$U$1:$V$5,2,FALSE),0)*$S$3,0)</f>
        <v>750</v>
      </c>
      <c r="F719">
        <f t="shared" si="46"/>
        <v>0</v>
      </c>
      <c r="G719">
        <f t="shared" si="47"/>
        <v>0</v>
      </c>
      <c r="H719">
        <f t="shared" si="45"/>
        <v>750</v>
      </c>
      <c r="I719">
        <f>SUM($H$2:H719)</f>
        <v>146875</v>
      </c>
    </row>
    <row r="720" spans="1:9" x14ac:dyDescent="0.25">
      <c r="A720" s="1">
        <v>45645</v>
      </c>
      <c r="B720">
        <f t="shared" si="44"/>
        <v>4</v>
      </c>
      <c r="C720" t="s">
        <v>11</v>
      </c>
      <c r="D720">
        <f>IF(AND(MONTH(A720)&lt;&gt;MONTH(A719),I719&gt;=3*$S$2),D719+3,D719)</f>
        <v>64</v>
      </c>
      <c r="E720">
        <f>IF(B720&lt;6,ROUNDDOWN(D720*VLOOKUP(C720,$U$1:$V$5,2,FALSE),0)*$S$3,0)</f>
        <v>750</v>
      </c>
      <c r="F720">
        <f t="shared" si="46"/>
        <v>0</v>
      </c>
      <c r="G720">
        <f t="shared" si="47"/>
        <v>0</v>
      </c>
      <c r="H720">
        <f t="shared" si="45"/>
        <v>750</v>
      </c>
      <c r="I720">
        <f>SUM($H$2:H720)</f>
        <v>147625</v>
      </c>
    </row>
    <row r="721" spans="1:9" x14ac:dyDescent="0.25">
      <c r="A721" s="1">
        <v>45646</v>
      </c>
      <c r="B721">
        <f t="shared" si="44"/>
        <v>5</v>
      </c>
      <c r="C721" t="s">
        <v>11</v>
      </c>
      <c r="D721">
        <f>IF(AND(MONTH(A721)&lt;&gt;MONTH(A720),I720&gt;=3*$S$2),D720+3,D720)</f>
        <v>64</v>
      </c>
      <c r="E721">
        <f>IF(B721&lt;6,ROUNDDOWN(D721*VLOOKUP(C721,$U$1:$V$5,2,FALSE),0)*$S$3,0)</f>
        <v>750</v>
      </c>
      <c r="F721">
        <f t="shared" si="46"/>
        <v>0</v>
      </c>
      <c r="G721">
        <f t="shared" si="47"/>
        <v>0</v>
      </c>
      <c r="H721">
        <f t="shared" si="45"/>
        <v>750</v>
      </c>
      <c r="I721">
        <f>SUM($H$2:H721)</f>
        <v>148375</v>
      </c>
    </row>
    <row r="722" spans="1:9" x14ac:dyDescent="0.25">
      <c r="A722" s="1">
        <v>45647</v>
      </c>
      <c r="B722">
        <f t="shared" si="44"/>
        <v>6</v>
      </c>
      <c r="C722" t="s">
        <v>8</v>
      </c>
      <c r="D722">
        <f>IF(AND(MONTH(A722)&lt;&gt;MONTH(A721),I721&gt;=3*$S$2),D721+3,D721)</f>
        <v>64</v>
      </c>
      <c r="E722">
        <f>IF(B722&lt;6,ROUNDDOWN(D722*VLOOKUP(C722,$U$1:$V$5,2,FALSE),0)*$S$3,0)</f>
        <v>0</v>
      </c>
      <c r="F722">
        <f t="shared" si="46"/>
        <v>0</v>
      </c>
      <c r="G722">
        <f t="shared" si="47"/>
        <v>0</v>
      </c>
      <c r="H722">
        <f t="shared" si="45"/>
        <v>0</v>
      </c>
      <c r="I722">
        <f>SUM($H$2:H722)</f>
        <v>148375</v>
      </c>
    </row>
    <row r="723" spans="1:9" x14ac:dyDescent="0.25">
      <c r="A723" s="1">
        <v>45648</v>
      </c>
      <c r="B723">
        <f t="shared" si="44"/>
        <v>7</v>
      </c>
      <c r="C723" t="s">
        <v>8</v>
      </c>
      <c r="D723">
        <f>IF(AND(MONTH(A723)&lt;&gt;MONTH(A722),I722&gt;=3*$S$2),D722+3,D722)</f>
        <v>64</v>
      </c>
      <c r="E723">
        <f>IF(B723&lt;6,ROUNDDOWN(D723*VLOOKUP(C723,$U$1:$V$5,2,FALSE),0)*$S$3,0)</f>
        <v>0</v>
      </c>
      <c r="F723">
        <f t="shared" si="46"/>
        <v>960</v>
      </c>
      <c r="G723">
        <f t="shared" si="47"/>
        <v>0</v>
      </c>
      <c r="H723">
        <f t="shared" si="45"/>
        <v>-960</v>
      </c>
      <c r="I723">
        <f>SUM($H$2:H723)</f>
        <v>147415</v>
      </c>
    </row>
    <row r="724" spans="1:9" x14ac:dyDescent="0.25">
      <c r="A724" s="1">
        <v>45649</v>
      </c>
      <c r="B724">
        <f t="shared" si="44"/>
        <v>1</v>
      </c>
      <c r="C724" t="s">
        <v>8</v>
      </c>
      <c r="D724">
        <f>IF(AND(MONTH(A724)&lt;&gt;MONTH(A723),I723&gt;=3*$S$2),D723+3,D723)</f>
        <v>64</v>
      </c>
      <c r="E724">
        <f>IF(B724&lt;6,ROUNDDOWN(D724*VLOOKUP(C724,$U$1:$V$5,2,FALSE),0)*$S$3,0)</f>
        <v>360</v>
      </c>
      <c r="F724">
        <f t="shared" si="46"/>
        <v>0</v>
      </c>
      <c r="G724">
        <f t="shared" si="47"/>
        <v>0</v>
      </c>
      <c r="H724">
        <f t="shared" si="45"/>
        <v>360</v>
      </c>
      <c r="I724">
        <f>SUM($H$2:H724)</f>
        <v>147775</v>
      </c>
    </row>
    <row r="725" spans="1:9" x14ac:dyDescent="0.25">
      <c r="A725" s="1">
        <v>45650</v>
      </c>
      <c r="B725">
        <f t="shared" si="44"/>
        <v>2</v>
      </c>
      <c r="C725" t="s">
        <v>8</v>
      </c>
      <c r="D725">
        <f>IF(AND(MONTH(A725)&lt;&gt;MONTH(A724),I724&gt;=3*$S$2),D724+3,D724)</f>
        <v>64</v>
      </c>
      <c r="E725">
        <f>IF(B725&lt;6,ROUNDDOWN(D725*VLOOKUP(C725,$U$1:$V$5,2,FALSE),0)*$S$3,0)</f>
        <v>360</v>
      </c>
      <c r="F725">
        <f t="shared" si="46"/>
        <v>0</v>
      </c>
      <c r="G725">
        <f t="shared" si="47"/>
        <v>0</v>
      </c>
      <c r="H725">
        <f t="shared" si="45"/>
        <v>360</v>
      </c>
      <c r="I725">
        <f>SUM($H$2:H725)</f>
        <v>148135</v>
      </c>
    </row>
    <row r="726" spans="1:9" x14ac:dyDescent="0.25">
      <c r="A726" s="1">
        <v>45651</v>
      </c>
      <c r="B726">
        <f t="shared" si="44"/>
        <v>3</v>
      </c>
      <c r="C726" t="s">
        <v>8</v>
      </c>
      <c r="D726">
        <f>IF(AND(MONTH(A726)&lt;&gt;MONTH(A725),I725&gt;=3*$S$2),D725+3,D725)</f>
        <v>64</v>
      </c>
      <c r="E726">
        <f>IF(B726&lt;6,ROUNDDOWN(D726*VLOOKUP(C726,$U$1:$V$5,2,FALSE),0)*$S$3,0)</f>
        <v>360</v>
      </c>
      <c r="F726">
        <f t="shared" si="46"/>
        <v>0</v>
      </c>
      <c r="G726">
        <f t="shared" si="47"/>
        <v>0</v>
      </c>
      <c r="H726">
        <f t="shared" si="45"/>
        <v>360</v>
      </c>
      <c r="I726">
        <f>SUM($H$2:H726)</f>
        <v>148495</v>
      </c>
    </row>
    <row r="727" spans="1:9" x14ac:dyDescent="0.25">
      <c r="A727" s="1">
        <v>45652</v>
      </c>
      <c r="B727">
        <f t="shared" si="44"/>
        <v>4</v>
      </c>
      <c r="C727" t="s">
        <v>8</v>
      </c>
      <c r="D727">
        <f>IF(AND(MONTH(A727)&lt;&gt;MONTH(A726),I726&gt;=3*$S$2),D726+3,D726)</f>
        <v>64</v>
      </c>
      <c r="E727">
        <f>IF(B727&lt;6,ROUNDDOWN(D727*VLOOKUP(C727,$U$1:$V$5,2,FALSE),0)*$S$3,0)</f>
        <v>360</v>
      </c>
      <c r="F727">
        <f t="shared" si="46"/>
        <v>0</v>
      </c>
      <c r="G727">
        <f t="shared" si="47"/>
        <v>0</v>
      </c>
      <c r="H727">
        <f t="shared" si="45"/>
        <v>360</v>
      </c>
      <c r="I727">
        <f>SUM($H$2:H727)</f>
        <v>148855</v>
      </c>
    </row>
    <row r="728" spans="1:9" x14ac:dyDescent="0.25">
      <c r="A728" s="1">
        <v>45653</v>
      </c>
      <c r="B728">
        <f t="shared" si="44"/>
        <v>5</v>
      </c>
      <c r="C728" t="s">
        <v>8</v>
      </c>
      <c r="D728">
        <f>IF(AND(MONTH(A728)&lt;&gt;MONTH(A727),I727&gt;=3*$S$2),D727+3,D727)</f>
        <v>64</v>
      </c>
      <c r="E728">
        <f>IF(B728&lt;6,ROUNDDOWN(D728*VLOOKUP(C728,$U$1:$V$5,2,FALSE),0)*$S$3,0)</f>
        <v>360</v>
      </c>
      <c r="F728">
        <f t="shared" si="46"/>
        <v>0</v>
      </c>
      <c r="G728">
        <f t="shared" si="47"/>
        <v>0</v>
      </c>
      <c r="H728">
        <f t="shared" si="45"/>
        <v>360</v>
      </c>
      <c r="I728">
        <f>SUM($H$2:H728)</f>
        <v>149215</v>
      </c>
    </row>
    <row r="729" spans="1:9" x14ac:dyDescent="0.25">
      <c r="A729" s="1">
        <v>45654</v>
      </c>
      <c r="B729">
        <f t="shared" si="44"/>
        <v>6</v>
      </c>
      <c r="C729" t="s">
        <v>8</v>
      </c>
      <c r="D729">
        <f>IF(AND(MONTH(A729)&lt;&gt;MONTH(A728),I728&gt;=3*$S$2),D728+3,D728)</f>
        <v>64</v>
      </c>
      <c r="E729">
        <f>IF(B729&lt;6,ROUNDDOWN(D729*VLOOKUP(C729,$U$1:$V$5,2,FALSE),0)*$S$3,0)</f>
        <v>0</v>
      </c>
      <c r="F729">
        <f t="shared" si="46"/>
        <v>0</v>
      </c>
      <c r="G729">
        <f t="shared" si="47"/>
        <v>0</v>
      </c>
      <c r="H729">
        <f t="shared" si="45"/>
        <v>0</v>
      </c>
      <c r="I729">
        <f>SUM($H$2:H729)</f>
        <v>149215</v>
      </c>
    </row>
    <row r="730" spans="1:9" x14ac:dyDescent="0.25">
      <c r="A730" s="1">
        <v>45655</v>
      </c>
      <c r="B730">
        <f t="shared" si="44"/>
        <v>7</v>
      </c>
      <c r="C730" t="s">
        <v>8</v>
      </c>
      <c r="D730">
        <f>IF(AND(MONTH(A730)&lt;&gt;MONTH(A729),I729&gt;=3*$S$2),D729+3,D729)</f>
        <v>64</v>
      </c>
      <c r="E730">
        <f>IF(B730&lt;6,ROUNDDOWN(D730*VLOOKUP(C730,$U$1:$V$5,2,FALSE),0)*$S$3,0)</f>
        <v>0</v>
      </c>
      <c r="F730">
        <f t="shared" si="46"/>
        <v>960</v>
      </c>
      <c r="G730">
        <f t="shared" si="47"/>
        <v>0</v>
      </c>
      <c r="H730">
        <f t="shared" si="45"/>
        <v>-960</v>
      </c>
      <c r="I730">
        <f>SUM($H$2:H730)</f>
        <v>148255</v>
      </c>
    </row>
    <row r="731" spans="1:9" x14ac:dyDescent="0.25">
      <c r="A731" s="1">
        <v>45656</v>
      </c>
      <c r="B731">
        <f t="shared" si="44"/>
        <v>1</v>
      </c>
      <c r="C731" t="s">
        <v>8</v>
      </c>
      <c r="D731">
        <f>IF(AND(MONTH(A731)&lt;&gt;MONTH(A730),I730&gt;=3*$S$2),D730+3,D730)</f>
        <v>64</v>
      </c>
      <c r="E731">
        <f>IF(B731&lt;6,ROUNDDOWN(D731*VLOOKUP(C731,$U$1:$V$5,2,FALSE),0)*$S$3,0)</f>
        <v>360</v>
      </c>
      <c r="F731">
        <f t="shared" si="46"/>
        <v>0</v>
      </c>
      <c r="G731">
        <f t="shared" si="47"/>
        <v>0</v>
      </c>
      <c r="H731">
        <f t="shared" si="45"/>
        <v>360</v>
      </c>
      <c r="I731">
        <f>SUM($H$2:H731)</f>
        <v>148615</v>
      </c>
    </row>
    <row r="732" spans="1:9" x14ac:dyDescent="0.25">
      <c r="A732" s="1">
        <v>45657</v>
      </c>
      <c r="B732">
        <f t="shared" si="44"/>
        <v>2</v>
      </c>
      <c r="C732" t="s">
        <v>8</v>
      </c>
      <c r="D732">
        <f>IF(AND(MONTH(A732)&lt;&gt;MONTH(A731),I731&gt;=3*$S$2),D731+3,D731)</f>
        <v>64</v>
      </c>
      <c r="E732">
        <f>IF(B732&lt;6,ROUNDDOWN(D732*VLOOKUP(C732,$U$1:$V$5,2,FALSE),0)*$S$3,0)</f>
        <v>360</v>
      </c>
      <c r="F732">
        <f t="shared" si="46"/>
        <v>0</v>
      </c>
      <c r="G732">
        <f t="shared" si="47"/>
        <v>0</v>
      </c>
      <c r="H732">
        <f t="shared" si="45"/>
        <v>360</v>
      </c>
      <c r="I732">
        <f>SUM($H$2:H732)</f>
        <v>148975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2"/>
  <sheetViews>
    <sheetView workbookViewId="0">
      <selection activeCell="E2" sqref="E2"/>
    </sheetView>
  </sheetViews>
  <sheetFormatPr defaultRowHeight="15" x14ac:dyDescent="0.25"/>
  <cols>
    <col min="1" max="1" width="10.140625" bestFit="1" customWidth="1"/>
    <col min="3" max="3" width="10" bestFit="1" customWidth="1"/>
    <col min="16" max="16" width="28" bestFit="1" customWidth="1"/>
  </cols>
  <sheetData>
    <row r="1" spans="1:20" x14ac:dyDescent="0.25">
      <c r="A1" t="s">
        <v>7</v>
      </c>
      <c r="B1" t="s">
        <v>6</v>
      </c>
      <c r="C1" t="s">
        <v>12</v>
      </c>
      <c r="D1" t="s">
        <v>13</v>
      </c>
      <c r="E1" t="s">
        <v>17</v>
      </c>
      <c r="F1" t="s">
        <v>15</v>
      </c>
      <c r="P1" t="s">
        <v>0</v>
      </c>
      <c r="Q1">
        <v>10</v>
      </c>
      <c r="S1" t="s">
        <v>4</v>
      </c>
      <c r="T1" t="s">
        <v>5</v>
      </c>
    </row>
    <row r="2" spans="1:20" x14ac:dyDescent="0.25">
      <c r="A2" s="1">
        <v>44927</v>
      </c>
      <c r="B2">
        <f>WEEKDAY(A2,2)</f>
        <v>7</v>
      </c>
      <c r="C2" t="s">
        <v>8</v>
      </c>
      <c r="D2">
        <v>0</v>
      </c>
      <c r="E2">
        <f>$Q$1*$Q$2+$Q$4*$Q$1</f>
        <v>8150</v>
      </c>
      <c r="F2">
        <f>D2-E2</f>
        <v>-8150</v>
      </c>
      <c r="P2" t="s">
        <v>3</v>
      </c>
      <c r="Q2">
        <v>800</v>
      </c>
      <c r="S2" t="s">
        <v>8</v>
      </c>
      <c r="T2" s="2">
        <v>0.2</v>
      </c>
    </row>
    <row r="3" spans="1:20" x14ac:dyDescent="0.25">
      <c r="A3" s="1">
        <v>44928</v>
      </c>
      <c r="B3">
        <f t="shared" ref="B3:B66" si="0">WEEKDAY(A3,2)</f>
        <v>1</v>
      </c>
      <c r="C3" t="s">
        <v>8</v>
      </c>
      <c r="D3">
        <f>IF(B3&lt;6,$Q$1*VLOOKUP(C3,$S$1:$T$5,2,FALSE)*$Q$3,0)</f>
        <v>60</v>
      </c>
      <c r="E3">
        <f>IF(B3=7,$Q$4*$Q$1,0)</f>
        <v>0</v>
      </c>
      <c r="F3">
        <f t="shared" ref="F3:F66" si="1">D3-E3</f>
        <v>60</v>
      </c>
      <c r="P3" t="s">
        <v>1</v>
      </c>
      <c r="Q3">
        <v>30</v>
      </c>
      <c r="S3" t="s">
        <v>9</v>
      </c>
      <c r="T3" s="2">
        <v>0.5</v>
      </c>
    </row>
    <row r="4" spans="1:20" x14ac:dyDescent="0.25">
      <c r="A4" s="1">
        <v>44929</v>
      </c>
      <c r="B4">
        <f t="shared" si="0"/>
        <v>2</v>
      </c>
      <c r="C4" t="s">
        <v>8</v>
      </c>
      <c r="D4">
        <f t="shared" ref="D4:D67" si="2">IF(B4&lt;6,$Q$1*VLOOKUP(C4,$S$1:$T$5,2,FALSE)*$Q$3,0)</f>
        <v>60</v>
      </c>
      <c r="E4">
        <f t="shared" ref="E4:E67" si="3">IF(B4=7,$Q$4*$Q$1,0)</f>
        <v>0</v>
      </c>
      <c r="F4">
        <f t="shared" si="1"/>
        <v>60</v>
      </c>
      <c r="P4" t="s">
        <v>2</v>
      </c>
      <c r="Q4">
        <v>15</v>
      </c>
      <c r="S4" t="s">
        <v>10</v>
      </c>
      <c r="T4" s="2">
        <v>0.9</v>
      </c>
    </row>
    <row r="5" spans="1:20" x14ac:dyDescent="0.25">
      <c r="A5" s="1">
        <v>44930</v>
      </c>
      <c r="B5">
        <f t="shared" si="0"/>
        <v>3</v>
      </c>
      <c r="C5" t="s">
        <v>8</v>
      </c>
      <c r="D5">
        <f t="shared" si="2"/>
        <v>60</v>
      </c>
      <c r="E5">
        <f t="shared" si="3"/>
        <v>0</v>
      </c>
      <c r="F5">
        <f t="shared" si="1"/>
        <v>60</v>
      </c>
      <c r="S5" t="s">
        <v>11</v>
      </c>
      <c r="T5" s="2">
        <v>0.4</v>
      </c>
    </row>
    <row r="6" spans="1:20" x14ac:dyDescent="0.25">
      <c r="A6" s="1">
        <v>44931</v>
      </c>
      <c r="B6">
        <f t="shared" si="0"/>
        <v>4</v>
      </c>
      <c r="C6" t="s">
        <v>8</v>
      </c>
      <c r="D6">
        <f t="shared" si="2"/>
        <v>60</v>
      </c>
      <c r="E6">
        <f t="shared" si="3"/>
        <v>0</v>
      </c>
      <c r="F6">
        <f t="shared" si="1"/>
        <v>60</v>
      </c>
    </row>
    <row r="7" spans="1:20" x14ac:dyDescent="0.25">
      <c r="A7" s="1">
        <v>44932</v>
      </c>
      <c r="B7">
        <f t="shared" si="0"/>
        <v>5</v>
      </c>
      <c r="C7" t="s">
        <v>8</v>
      </c>
      <c r="D7">
        <f t="shared" si="2"/>
        <v>60</v>
      </c>
      <c r="E7">
        <f t="shared" si="3"/>
        <v>0</v>
      </c>
      <c r="F7">
        <f t="shared" si="1"/>
        <v>60</v>
      </c>
    </row>
    <row r="8" spans="1:20" x14ac:dyDescent="0.25">
      <c r="A8" s="1">
        <v>44933</v>
      </c>
      <c r="B8">
        <f t="shared" si="0"/>
        <v>6</v>
      </c>
      <c r="C8" t="s">
        <v>8</v>
      </c>
      <c r="D8">
        <f t="shared" si="2"/>
        <v>0</v>
      </c>
      <c r="E8">
        <f t="shared" si="3"/>
        <v>0</v>
      </c>
      <c r="F8">
        <f t="shared" si="1"/>
        <v>0</v>
      </c>
    </row>
    <row r="9" spans="1:20" x14ac:dyDescent="0.25">
      <c r="A9" s="1">
        <v>44934</v>
      </c>
      <c r="B9">
        <f t="shared" si="0"/>
        <v>7</v>
      </c>
      <c r="C9" t="s">
        <v>8</v>
      </c>
      <c r="D9">
        <f t="shared" si="2"/>
        <v>0</v>
      </c>
      <c r="E9">
        <f t="shared" si="3"/>
        <v>150</v>
      </c>
      <c r="F9">
        <f t="shared" si="1"/>
        <v>-150</v>
      </c>
    </row>
    <row r="10" spans="1:20" x14ac:dyDescent="0.25">
      <c r="A10" s="1">
        <v>44935</v>
      </c>
      <c r="B10">
        <f t="shared" si="0"/>
        <v>1</v>
      </c>
      <c r="C10" t="s">
        <v>8</v>
      </c>
      <c r="D10">
        <f t="shared" si="2"/>
        <v>60</v>
      </c>
      <c r="E10">
        <f t="shared" si="3"/>
        <v>0</v>
      </c>
      <c r="F10">
        <f t="shared" si="1"/>
        <v>60</v>
      </c>
    </row>
    <row r="11" spans="1:20" x14ac:dyDescent="0.25">
      <c r="A11" s="1">
        <v>44936</v>
      </c>
      <c r="B11">
        <f t="shared" si="0"/>
        <v>2</v>
      </c>
      <c r="C11" t="s">
        <v>8</v>
      </c>
      <c r="D11">
        <f t="shared" si="2"/>
        <v>60</v>
      </c>
      <c r="E11">
        <f t="shared" si="3"/>
        <v>0</v>
      </c>
      <c r="F11">
        <f t="shared" si="1"/>
        <v>60</v>
      </c>
    </row>
    <row r="12" spans="1:20" x14ac:dyDescent="0.25">
      <c r="A12" s="1">
        <v>44937</v>
      </c>
      <c r="B12">
        <f t="shared" si="0"/>
        <v>3</v>
      </c>
      <c r="C12" t="s">
        <v>8</v>
      </c>
      <c r="D12">
        <f t="shared" si="2"/>
        <v>60</v>
      </c>
      <c r="E12">
        <f t="shared" si="3"/>
        <v>0</v>
      </c>
      <c r="F12">
        <f t="shared" si="1"/>
        <v>60</v>
      </c>
    </row>
    <row r="13" spans="1:20" x14ac:dyDescent="0.25">
      <c r="A13" s="1">
        <v>44938</v>
      </c>
      <c r="B13">
        <f t="shared" si="0"/>
        <v>4</v>
      </c>
      <c r="C13" t="s">
        <v>8</v>
      </c>
      <c r="D13">
        <f t="shared" si="2"/>
        <v>60</v>
      </c>
      <c r="E13">
        <f t="shared" si="3"/>
        <v>0</v>
      </c>
      <c r="F13">
        <f t="shared" si="1"/>
        <v>60</v>
      </c>
    </row>
    <row r="14" spans="1:20" x14ac:dyDescent="0.25">
      <c r="A14" s="1">
        <v>44939</v>
      </c>
      <c r="B14">
        <f t="shared" si="0"/>
        <v>5</v>
      </c>
      <c r="C14" t="s">
        <v>8</v>
      </c>
      <c r="D14">
        <f t="shared" si="2"/>
        <v>60</v>
      </c>
      <c r="E14">
        <f t="shared" si="3"/>
        <v>0</v>
      </c>
      <c r="F14">
        <f t="shared" si="1"/>
        <v>60</v>
      </c>
    </row>
    <row r="15" spans="1:20" x14ac:dyDescent="0.25">
      <c r="A15" s="1">
        <v>44940</v>
      </c>
      <c r="B15">
        <f t="shared" si="0"/>
        <v>6</v>
      </c>
      <c r="C15" t="s">
        <v>8</v>
      </c>
      <c r="D15">
        <f t="shared" si="2"/>
        <v>0</v>
      </c>
      <c r="E15">
        <f t="shared" si="3"/>
        <v>0</v>
      </c>
      <c r="F15">
        <f t="shared" si="1"/>
        <v>0</v>
      </c>
    </row>
    <row r="16" spans="1:20" x14ac:dyDescent="0.25">
      <c r="A16" s="1">
        <v>44941</v>
      </c>
      <c r="B16">
        <f t="shared" si="0"/>
        <v>7</v>
      </c>
      <c r="C16" t="s">
        <v>8</v>
      </c>
      <c r="D16">
        <f t="shared" si="2"/>
        <v>0</v>
      </c>
      <c r="E16">
        <f t="shared" si="3"/>
        <v>150</v>
      </c>
      <c r="F16">
        <f t="shared" si="1"/>
        <v>-150</v>
      </c>
    </row>
    <row r="17" spans="1:6" x14ac:dyDescent="0.25">
      <c r="A17" s="1">
        <v>44942</v>
      </c>
      <c r="B17">
        <f t="shared" si="0"/>
        <v>1</v>
      </c>
      <c r="C17" t="s">
        <v>8</v>
      </c>
      <c r="D17">
        <f t="shared" si="2"/>
        <v>60</v>
      </c>
      <c r="E17">
        <f t="shared" si="3"/>
        <v>0</v>
      </c>
      <c r="F17">
        <f t="shared" si="1"/>
        <v>60</v>
      </c>
    </row>
    <row r="18" spans="1:6" x14ac:dyDescent="0.25">
      <c r="A18" s="1">
        <v>44943</v>
      </c>
      <c r="B18">
        <f t="shared" si="0"/>
        <v>2</v>
      </c>
      <c r="C18" t="s">
        <v>8</v>
      </c>
      <c r="D18">
        <f t="shared" si="2"/>
        <v>60</v>
      </c>
      <c r="E18">
        <f t="shared" si="3"/>
        <v>0</v>
      </c>
      <c r="F18">
        <f t="shared" si="1"/>
        <v>60</v>
      </c>
    </row>
    <row r="19" spans="1:6" x14ac:dyDescent="0.25">
      <c r="A19" s="1">
        <v>44944</v>
      </c>
      <c r="B19">
        <f t="shared" si="0"/>
        <v>3</v>
      </c>
      <c r="C19" t="s">
        <v>8</v>
      </c>
      <c r="D19">
        <f t="shared" si="2"/>
        <v>60</v>
      </c>
      <c r="E19">
        <f t="shared" si="3"/>
        <v>0</v>
      </c>
      <c r="F19">
        <f t="shared" si="1"/>
        <v>60</v>
      </c>
    </row>
    <row r="20" spans="1:6" x14ac:dyDescent="0.25">
      <c r="A20" s="1">
        <v>44945</v>
      </c>
      <c r="B20">
        <f t="shared" si="0"/>
        <v>4</v>
      </c>
      <c r="C20" t="s">
        <v>8</v>
      </c>
      <c r="D20">
        <f t="shared" si="2"/>
        <v>60</v>
      </c>
      <c r="E20">
        <f t="shared" si="3"/>
        <v>0</v>
      </c>
      <c r="F20">
        <f t="shared" si="1"/>
        <v>60</v>
      </c>
    </row>
    <row r="21" spans="1:6" x14ac:dyDescent="0.25">
      <c r="A21" s="1">
        <v>44946</v>
      </c>
      <c r="B21">
        <f t="shared" si="0"/>
        <v>5</v>
      </c>
      <c r="C21" t="s">
        <v>8</v>
      </c>
      <c r="D21">
        <f t="shared" si="2"/>
        <v>60</v>
      </c>
      <c r="E21">
        <f t="shared" si="3"/>
        <v>0</v>
      </c>
      <c r="F21">
        <f t="shared" si="1"/>
        <v>60</v>
      </c>
    </row>
    <row r="22" spans="1:6" x14ac:dyDescent="0.25">
      <c r="A22" s="1">
        <v>44947</v>
      </c>
      <c r="B22">
        <f t="shared" si="0"/>
        <v>6</v>
      </c>
      <c r="C22" t="s">
        <v>8</v>
      </c>
      <c r="D22">
        <f t="shared" si="2"/>
        <v>0</v>
      </c>
      <c r="E22">
        <f t="shared" si="3"/>
        <v>0</v>
      </c>
      <c r="F22">
        <f t="shared" si="1"/>
        <v>0</v>
      </c>
    </row>
    <row r="23" spans="1:6" x14ac:dyDescent="0.25">
      <c r="A23" s="1">
        <v>44948</v>
      </c>
      <c r="B23">
        <f t="shared" si="0"/>
        <v>7</v>
      </c>
      <c r="C23" t="s">
        <v>8</v>
      </c>
      <c r="D23">
        <f t="shared" si="2"/>
        <v>0</v>
      </c>
      <c r="E23">
        <f t="shared" si="3"/>
        <v>150</v>
      </c>
      <c r="F23">
        <f t="shared" si="1"/>
        <v>-150</v>
      </c>
    </row>
    <row r="24" spans="1:6" x14ac:dyDescent="0.25">
      <c r="A24" s="1">
        <v>44949</v>
      </c>
      <c r="B24">
        <f t="shared" si="0"/>
        <v>1</v>
      </c>
      <c r="C24" t="s">
        <v>8</v>
      </c>
      <c r="D24">
        <f t="shared" si="2"/>
        <v>60</v>
      </c>
      <c r="E24">
        <f t="shared" si="3"/>
        <v>0</v>
      </c>
      <c r="F24">
        <f t="shared" si="1"/>
        <v>60</v>
      </c>
    </row>
    <row r="25" spans="1:6" x14ac:dyDescent="0.25">
      <c r="A25" s="1">
        <v>44950</v>
      </c>
      <c r="B25">
        <f t="shared" si="0"/>
        <v>2</v>
      </c>
      <c r="C25" t="s">
        <v>8</v>
      </c>
      <c r="D25">
        <f t="shared" si="2"/>
        <v>60</v>
      </c>
      <c r="E25">
        <f t="shared" si="3"/>
        <v>0</v>
      </c>
      <c r="F25">
        <f t="shared" si="1"/>
        <v>60</v>
      </c>
    </row>
    <row r="26" spans="1:6" x14ac:dyDescent="0.25">
      <c r="A26" s="1">
        <v>44951</v>
      </c>
      <c r="B26">
        <f t="shared" si="0"/>
        <v>3</v>
      </c>
      <c r="C26" t="s">
        <v>8</v>
      </c>
      <c r="D26">
        <f t="shared" si="2"/>
        <v>60</v>
      </c>
      <c r="E26">
        <f t="shared" si="3"/>
        <v>0</v>
      </c>
      <c r="F26">
        <f t="shared" si="1"/>
        <v>60</v>
      </c>
    </row>
    <row r="27" spans="1:6" x14ac:dyDescent="0.25">
      <c r="A27" s="1">
        <v>44952</v>
      </c>
      <c r="B27">
        <f t="shared" si="0"/>
        <v>4</v>
      </c>
      <c r="C27" t="s">
        <v>8</v>
      </c>
      <c r="D27">
        <f t="shared" si="2"/>
        <v>60</v>
      </c>
      <c r="E27">
        <f t="shared" si="3"/>
        <v>0</v>
      </c>
      <c r="F27">
        <f t="shared" si="1"/>
        <v>60</v>
      </c>
    </row>
    <row r="28" spans="1:6" x14ac:dyDescent="0.25">
      <c r="A28" s="1">
        <v>44953</v>
      </c>
      <c r="B28">
        <f t="shared" si="0"/>
        <v>5</v>
      </c>
      <c r="C28" t="s">
        <v>8</v>
      </c>
      <c r="D28">
        <f t="shared" si="2"/>
        <v>60</v>
      </c>
      <c r="E28">
        <f t="shared" si="3"/>
        <v>0</v>
      </c>
      <c r="F28">
        <f t="shared" si="1"/>
        <v>60</v>
      </c>
    </row>
    <row r="29" spans="1:6" x14ac:dyDescent="0.25">
      <c r="A29" s="1">
        <v>44954</v>
      </c>
      <c r="B29">
        <f t="shared" si="0"/>
        <v>6</v>
      </c>
      <c r="C29" t="s">
        <v>8</v>
      </c>
      <c r="D29">
        <f t="shared" si="2"/>
        <v>0</v>
      </c>
      <c r="E29">
        <f t="shared" si="3"/>
        <v>0</v>
      </c>
      <c r="F29">
        <f t="shared" si="1"/>
        <v>0</v>
      </c>
    </row>
    <row r="30" spans="1:6" x14ac:dyDescent="0.25">
      <c r="A30" s="1">
        <v>44955</v>
      </c>
      <c r="B30">
        <f t="shared" si="0"/>
        <v>7</v>
      </c>
      <c r="C30" t="s">
        <v>8</v>
      </c>
      <c r="D30">
        <f t="shared" si="2"/>
        <v>0</v>
      </c>
      <c r="E30">
        <f t="shared" si="3"/>
        <v>150</v>
      </c>
      <c r="F30">
        <f t="shared" si="1"/>
        <v>-150</v>
      </c>
    </row>
    <row r="31" spans="1:6" x14ac:dyDescent="0.25">
      <c r="A31" s="1">
        <v>44956</v>
      </c>
      <c r="B31">
        <f t="shared" si="0"/>
        <v>1</v>
      </c>
      <c r="C31" t="s">
        <v>8</v>
      </c>
      <c r="D31">
        <f t="shared" si="2"/>
        <v>60</v>
      </c>
      <c r="E31">
        <f t="shared" si="3"/>
        <v>0</v>
      </c>
      <c r="F31">
        <f t="shared" si="1"/>
        <v>60</v>
      </c>
    </row>
    <row r="32" spans="1:6" x14ac:dyDescent="0.25">
      <c r="A32" s="1">
        <v>44957</v>
      </c>
      <c r="B32">
        <f t="shared" si="0"/>
        <v>2</v>
      </c>
      <c r="C32" t="s">
        <v>8</v>
      </c>
      <c r="D32">
        <f t="shared" si="2"/>
        <v>60</v>
      </c>
      <c r="E32">
        <f t="shared" si="3"/>
        <v>0</v>
      </c>
      <c r="F32">
        <f t="shared" si="1"/>
        <v>60</v>
      </c>
    </row>
    <row r="33" spans="1:6" x14ac:dyDescent="0.25">
      <c r="A33" s="1">
        <v>44958</v>
      </c>
      <c r="B33">
        <f t="shared" si="0"/>
        <v>3</v>
      </c>
      <c r="C33" t="s">
        <v>8</v>
      </c>
      <c r="D33">
        <f t="shared" si="2"/>
        <v>60</v>
      </c>
      <c r="E33">
        <f t="shared" si="3"/>
        <v>0</v>
      </c>
      <c r="F33">
        <f t="shared" si="1"/>
        <v>60</v>
      </c>
    </row>
    <row r="34" spans="1:6" x14ac:dyDescent="0.25">
      <c r="A34" s="1">
        <v>44959</v>
      </c>
      <c r="B34">
        <f t="shared" si="0"/>
        <v>4</v>
      </c>
      <c r="C34" t="s">
        <v>8</v>
      </c>
      <c r="D34">
        <f t="shared" si="2"/>
        <v>60</v>
      </c>
      <c r="E34">
        <f t="shared" si="3"/>
        <v>0</v>
      </c>
      <c r="F34">
        <f t="shared" si="1"/>
        <v>60</v>
      </c>
    </row>
    <row r="35" spans="1:6" x14ac:dyDescent="0.25">
      <c r="A35" s="1">
        <v>44960</v>
      </c>
      <c r="B35">
        <f t="shared" si="0"/>
        <v>5</v>
      </c>
      <c r="C35" t="s">
        <v>8</v>
      </c>
      <c r="D35">
        <f t="shared" si="2"/>
        <v>60</v>
      </c>
      <c r="E35">
        <f t="shared" si="3"/>
        <v>0</v>
      </c>
      <c r="F35">
        <f t="shared" si="1"/>
        <v>60</v>
      </c>
    </row>
    <row r="36" spans="1:6" x14ac:dyDescent="0.25">
      <c r="A36" s="1">
        <v>44961</v>
      </c>
      <c r="B36">
        <f t="shared" si="0"/>
        <v>6</v>
      </c>
      <c r="C36" t="s">
        <v>8</v>
      </c>
      <c r="D36">
        <f t="shared" si="2"/>
        <v>0</v>
      </c>
      <c r="E36">
        <f t="shared" si="3"/>
        <v>0</v>
      </c>
      <c r="F36">
        <f t="shared" si="1"/>
        <v>0</v>
      </c>
    </row>
    <row r="37" spans="1:6" x14ac:dyDescent="0.25">
      <c r="A37" s="1">
        <v>44962</v>
      </c>
      <c r="B37">
        <f t="shared" si="0"/>
        <v>7</v>
      </c>
      <c r="C37" t="s">
        <v>8</v>
      </c>
      <c r="D37">
        <f t="shared" si="2"/>
        <v>0</v>
      </c>
      <c r="E37">
        <f t="shared" si="3"/>
        <v>150</v>
      </c>
      <c r="F37">
        <f t="shared" si="1"/>
        <v>-150</v>
      </c>
    </row>
    <row r="38" spans="1:6" x14ac:dyDescent="0.25">
      <c r="A38" s="1">
        <v>44963</v>
      </c>
      <c r="B38">
        <f t="shared" si="0"/>
        <v>1</v>
      </c>
      <c r="C38" t="s">
        <v>8</v>
      </c>
      <c r="D38">
        <f t="shared" si="2"/>
        <v>60</v>
      </c>
      <c r="E38">
        <f t="shared" si="3"/>
        <v>0</v>
      </c>
      <c r="F38">
        <f t="shared" si="1"/>
        <v>60</v>
      </c>
    </row>
    <row r="39" spans="1:6" x14ac:dyDescent="0.25">
      <c r="A39" s="1">
        <v>44964</v>
      </c>
      <c r="B39">
        <f t="shared" si="0"/>
        <v>2</v>
      </c>
      <c r="C39" t="s">
        <v>8</v>
      </c>
      <c r="D39">
        <f t="shared" si="2"/>
        <v>60</v>
      </c>
      <c r="E39">
        <f t="shared" si="3"/>
        <v>0</v>
      </c>
      <c r="F39">
        <f t="shared" si="1"/>
        <v>60</v>
      </c>
    </row>
    <row r="40" spans="1:6" x14ac:dyDescent="0.25">
      <c r="A40" s="1">
        <v>44965</v>
      </c>
      <c r="B40">
        <f t="shared" si="0"/>
        <v>3</v>
      </c>
      <c r="C40" t="s">
        <v>8</v>
      </c>
      <c r="D40">
        <f t="shared" si="2"/>
        <v>60</v>
      </c>
      <c r="E40">
        <f t="shared" si="3"/>
        <v>0</v>
      </c>
      <c r="F40">
        <f t="shared" si="1"/>
        <v>60</v>
      </c>
    </row>
    <row r="41" spans="1:6" x14ac:dyDescent="0.25">
      <c r="A41" s="1">
        <v>44966</v>
      </c>
      <c r="B41">
        <f t="shared" si="0"/>
        <v>4</v>
      </c>
      <c r="C41" t="s">
        <v>8</v>
      </c>
      <c r="D41">
        <f t="shared" si="2"/>
        <v>60</v>
      </c>
      <c r="E41">
        <f t="shared" si="3"/>
        <v>0</v>
      </c>
      <c r="F41">
        <f t="shared" si="1"/>
        <v>60</v>
      </c>
    </row>
    <row r="42" spans="1:6" x14ac:dyDescent="0.25">
      <c r="A42" s="1">
        <v>44967</v>
      </c>
      <c r="B42">
        <f t="shared" si="0"/>
        <v>5</v>
      </c>
      <c r="C42" t="s">
        <v>8</v>
      </c>
      <c r="D42">
        <f t="shared" si="2"/>
        <v>60</v>
      </c>
      <c r="E42">
        <f t="shared" si="3"/>
        <v>0</v>
      </c>
      <c r="F42">
        <f t="shared" si="1"/>
        <v>60</v>
      </c>
    </row>
    <row r="43" spans="1:6" x14ac:dyDescent="0.25">
      <c r="A43" s="1">
        <v>44968</v>
      </c>
      <c r="B43">
        <f t="shared" si="0"/>
        <v>6</v>
      </c>
      <c r="C43" t="s">
        <v>8</v>
      </c>
      <c r="D43">
        <f t="shared" si="2"/>
        <v>0</v>
      </c>
      <c r="E43">
        <f t="shared" si="3"/>
        <v>0</v>
      </c>
      <c r="F43">
        <f t="shared" si="1"/>
        <v>0</v>
      </c>
    </row>
    <row r="44" spans="1:6" x14ac:dyDescent="0.25">
      <c r="A44" s="1">
        <v>44969</v>
      </c>
      <c r="B44">
        <f t="shared" si="0"/>
        <v>7</v>
      </c>
      <c r="C44" t="s">
        <v>8</v>
      </c>
      <c r="D44">
        <f t="shared" si="2"/>
        <v>0</v>
      </c>
      <c r="E44">
        <f t="shared" si="3"/>
        <v>150</v>
      </c>
      <c r="F44">
        <f t="shared" si="1"/>
        <v>-150</v>
      </c>
    </row>
    <row r="45" spans="1:6" x14ac:dyDescent="0.25">
      <c r="A45" s="1">
        <v>44970</v>
      </c>
      <c r="B45">
        <f t="shared" si="0"/>
        <v>1</v>
      </c>
      <c r="C45" t="s">
        <v>8</v>
      </c>
      <c r="D45">
        <f t="shared" si="2"/>
        <v>60</v>
      </c>
      <c r="E45">
        <f t="shared" si="3"/>
        <v>0</v>
      </c>
      <c r="F45">
        <f t="shared" si="1"/>
        <v>60</v>
      </c>
    </row>
    <row r="46" spans="1:6" x14ac:dyDescent="0.25">
      <c r="A46" s="1">
        <v>44971</v>
      </c>
      <c r="B46">
        <f t="shared" si="0"/>
        <v>2</v>
      </c>
      <c r="C46" t="s">
        <v>8</v>
      </c>
      <c r="D46">
        <f t="shared" si="2"/>
        <v>60</v>
      </c>
      <c r="E46">
        <f t="shared" si="3"/>
        <v>0</v>
      </c>
      <c r="F46">
        <f t="shared" si="1"/>
        <v>60</v>
      </c>
    </row>
    <row r="47" spans="1:6" x14ac:dyDescent="0.25">
      <c r="A47" s="1">
        <v>44972</v>
      </c>
      <c r="B47">
        <f t="shared" si="0"/>
        <v>3</v>
      </c>
      <c r="C47" t="s">
        <v>8</v>
      </c>
      <c r="D47">
        <f t="shared" si="2"/>
        <v>60</v>
      </c>
      <c r="E47">
        <f t="shared" si="3"/>
        <v>0</v>
      </c>
      <c r="F47">
        <f t="shared" si="1"/>
        <v>60</v>
      </c>
    </row>
    <row r="48" spans="1:6" x14ac:dyDescent="0.25">
      <c r="A48" s="1">
        <v>44973</v>
      </c>
      <c r="B48">
        <f t="shared" si="0"/>
        <v>4</v>
      </c>
      <c r="C48" t="s">
        <v>8</v>
      </c>
      <c r="D48">
        <f t="shared" si="2"/>
        <v>60</v>
      </c>
      <c r="E48">
        <f t="shared" si="3"/>
        <v>0</v>
      </c>
      <c r="F48">
        <f t="shared" si="1"/>
        <v>60</v>
      </c>
    </row>
    <row r="49" spans="1:6" x14ac:dyDescent="0.25">
      <c r="A49" s="1">
        <v>44974</v>
      </c>
      <c r="B49">
        <f t="shared" si="0"/>
        <v>5</v>
      </c>
      <c r="C49" t="s">
        <v>8</v>
      </c>
      <c r="D49">
        <f t="shared" si="2"/>
        <v>60</v>
      </c>
      <c r="E49">
        <f t="shared" si="3"/>
        <v>0</v>
      </c>
      <c r="F49">
        <f t="shared" si="1"/>
        <v>60</v>
      </c>
    </row>
    <row r="50" spans="1:6" x14ac:dyDescent="0.25">
      <c r="A50" s="1">
        <v>44975</v>
      </c>
      <c r="B50">
        <f t="shared" si="0"/>
        <v>6</v>
      </c>
      <c r="C50" t="s">
        <v>8</v>
      </c>
      <c r="D50">
        <f t="shared" si="2"/>
        <v>0</v>
      </c>
      <c r="E50">
        <f t="shared" si="3"/>
        <v>0</v>
      </c>
      <c r="F50">
        <f t="shared" si="1"/>
        <v>0</v>
      </c>
    </row>
    <row r="51" spans="1:6" x14ac:dyDescent="0.25">
      <c r="A51" s="1">
        <v>44976</v>
      </c>
      <c r="B51">
        <f t="shared" si="0"/>
        <v>7</v>
      </c>
      <c r="C51" t="s">
        <v>8</v>
      </c>
      <c r="D51">
        <f t="shared" si="2"/>
        <v>0</v>
      </c>
      <c r="E51">
        <f t="shared" si="3"/>
        <v>150</v>
      </c>
      <c r="F51">
        <f t="shared" si="1"/>
        <v>-150</v>
      </c>
    </row>
    <row r="52" spans="1:6" x14ac:dyDescent="0.25">
      <c r="A52" s="1">
        <v>44977</v>
      </c>
      <c r="B52">
        <f t="shared" si="0"/>
        <v>1</v>
      </c>
      <c r="C52" t="s">
        <v>8</v>
      </c>
      <c r="D52">
        <f t="shared" si="2"/>
        <v>60</v>
      </c>
      <c r="E52">
        <f t="shared" si="3"/>
        <v>0</v>
      </c>
      <c r="F52">
        <f t="shared" si="1"/>
        <v>60</v>
      </c>
    </row>
    <row r="53" spans="1:6" x14ac:dyDescent="0.25">
      <c r="A53" s="1">
        <v>44978</v>
      </c>
      <c r="B53">
        <f t="shared" si="0"/>
        <v>2</v>
      </c>
      <c r="C53" t="s">
        <v>8</v>
      </c>
      <c r="D53">
        <f t="shared" si="2"/>
        <v>60</v>
      </c>
      <c r="E53">
        <f t="shared" si="3"/>
        <v>0</v>
      </c>
      <c r="F53">
        <f t="shared" si="1"/>
        <v>60</v>
      </c>
    </row>
    <row r="54" spans="1:6" x14ac:dyDescent="0.25">
      <c r="A54" s="1">
        <v>44979</v>
      </c>
      <c r="B54">
        <f t="shared" si="0"/>
        <v>3</v>
      </c>
      <c r="C54" t="s">
        <v>8</v>
      </c>
      <c r="D54">
        <f t="shared" si="2"/>
        <v>60</v>
      </c>
      <c r="E54">
        <f t="shared" si="3"/>
        <v>0</v>
      </c>
      <c r="F54">
        <f t="shared" si="1"/>
        <v>60</v>
      </c>
    </row>
    <row r="55" spans="1:6" x14ac:dyDescent="0.25">
      <c r="A55" s="1">
        <v>44980</v>
      </c>
      <c r="B55">
        <f t="shared" si="0"/>
        <v>4</v>
      </c>
      <c r="C55" t="s">
        <v>8</v>
      </c>
      <c r="D55">
        <f t="shared" si="2"/>
        <v>60</v>
      </c>
      <c r="E55">
        <f t="shared" si="3"/>
        <v>0</v>
      </c>
      <c r="F55">
        <f t="shared" si="1"/>
        <v>60</v>
      </c>
    </row>
    <row r="56" spans="1:6" x14ac:dyDescent="0.25">
      <c r="A56" s="1">
        <v>44981</v>
      </c>
      <c r="B56">
        <f t="shared" si="0"/>
        <v>5</v>
      </c>
      <c r="C56" t="s">
        <v>8</v>
      </c>
      <c r="D56">
        <f t="shared" si="2"/>
        <v>60</v>
      </c>
      <c r="E56">
        <f t="shared" si="3"/>
        <v>0</v>
      </c>
      <c r="F56">
        <f t="shared" si="1"/>
        <v>60</v>
      </c>
    </row>
    <row r="57" spans="1:6" x14ac:dyDescent="0.25">
      <c r="A57" s="1">
        <v>44982</v>
      </c>
      <c r="B57">
        <f t="shared" si="0"/>
        <v>6</v>
      </c>
      <c r="C57" t="s">
        <v>8</v>
      </c>
      <c r="D57">
        <f t="shared" si="2"/>
        <v>0</v>
      </c>
      <c r="E57">
        <f t="shared" si="3"/>
        <v>0</v>
      </c>
      <c r="F57">
        <f t="shared" si="1"/>
        <v>0</v>
      </c>
    </row>
    <row r="58" spans="1:6" x14ac:dyDescent="0.25">
      <c r="A58" s="1">
        <v>44983</v>
      </c>
      <c r="B58">
        <f t="shared" si="0"/>
        <v>7</v>
      </c>
      <c r="C58" t="s">
        <v>8</v>
      </c>
      <c r="D58">
        <f t="shared" si="2"/>
        <v>0</v>
      </c>
      <c r="E58">
        <f t="shared" si="3"/>
        <v>150</v>
      </c>
      <c r="F58">
        <f t="shared" si="1"/>
        <v>-150</v>
      </c>
    </row>
    <row r="59" spans="1:6" x14ac:dyDescent="0.25">
      <c r="A59" s="1">
        <v>44984</v>
      </c>
      <c r="B59">
        <f t="shared" si="0"/>
        <v>1</v>
      </c>
      <c r="C59" t="s">
        <v>8</v>
      </c>
      <c r="D59">
        <f t="shared" si="2"/>
        <v>60</v>
      </c>
      <c r="E59">
        <f t="shared" si="3"/>
        <v>0</v>
      </c>
      <c r="F59">
        <f t="shared" si="1"/>
        <v>60</v>
      </c>
    </row>
    <row r="60" spans="1:6" x14ac:dyDescent="0.25">
      <c r="A60" s="1">
        <v>44985</v>
      </c>
      <c r="B60">
        <f t="shared" si="0"/>
        <v>2</v>
      </c>
      <c r="C60" t="s">
        <v>8</v>
      </c>
      <c r="D60">
        <f t="shared" si="2"/>
        <v>60</v>
      </c>
      <c r="E60">
        <f t="shared" si="3"/>
        <v>0</v>
      </c>
      <c r="F60">
        <f t="shared" si="1"/>
        <v>60</v>
      </c>
    </row>
    <row r="61" spans="1:6" x14ac:dyDescent="0.25">
      <c r="A61" s="1">
        <v>44986</v>
      </c>
      <c r="B61">
        <f t="shared" si="0"/>
        <v>3</v>
      </c>
      <c r="C61" t="s">
        <v>8</v>
      </c>
      <c r="D61">
        <f t="shared" si="2"/>
        <v>60</v>
      </c>
      <c r="E61">
        <f t="shared" si="3"/>
        <v>0</v>
      </c>
      <c r="F61">
        <f t="shared" si="1"/>
        <v>60</v>
      </c>
    </row>
    <row r="62" spans="1:6" x14ac:dyDescent="0.25">
      <c r="A62" s="1">
        <v>44987</v>
      </c>
      <c r="B62">
        <f t="shared" si="0"/>
        <v>4</v>
      </c>
      <c r="C62" t="s">
        <v>8</v>
      </c>
      <c r="D62">
        <f t="shared" si="2"/>
        <v>60</v>
      </c>
      <c r="E62">
        <f t="shared" si="3"/>
        <v>0</v>
      </c>
      <c r="F62">
        <f t="shared" si="1"/>
        <v>60</v>
      </c>
    </row>
    <row r="63" spans="1:6" x14ac:dyDescent="0.25">
      <c r="A63" s="1">
        <v>44988</v>
      </c>
      <c r="B63">
        <f t="shared" si="0"/>
        <v>5</v>
      </c>
      <c r="C63" t="s">
        <v>8</v>
      </c>
      <c r="D63">
        <f t="shared" si="2"/>
        <v>60</v>
      </c>
      <c r="E63">
        <f t="shared" si="3"/>
        <v>0</v>
      </c>
      <c r="F63">
        <f t="shared" si="1"/>
        <v>60</v>
      </c>
    </row>
    <row r="64" spans="1:6" x14ac:dyDescent="0.25">
      <c r="A64" s="1">
        <v>44989</v>
      </c>
      <c r="B64">
        <f t="shared" si="0"/>
        <v>6</v>
      </c>
      <c r="C64" t="s">
        <v>8</v>
      </c>
      <c r="D64">
        <f t="shared" si="2"/>
        <v>0</v>
      </c>
      <c r="E64">
        <f t="shared" si="3"/>
        <v>0</v>
      </c>
      <c r="F64">
        <f t="shared" si="1"/>
        <v>0</v>
      </c>
    </row>
    <row r="65" spans="1:6" x14ac:dyDescent="0.25">
      <c r="A65" s="1">
        <v>44990</v>
      </c>
      <c r="B65">
        <f t="shared" si="0"/>
        <v>7</v>
      </c>
      <c r="C65" t="s">
        <v>8</v>
      </c>
      <c r="D65">
        <f t="shared" si="2"/>
        <v>0</v>
      </c>
      <c r="E65">
        <f t="shared" si="3"/>
        <v>150</v>
      </c>
      <c r="F65">
        <f t="shared" si="1"/>
        <v>-150</v>
      </c>
    </row>
    <row r="66" spans="1:6" x14ac:dyDescent="0.25">
      <c r="A66" s="1">
        <v>44991</v>
      </c>
      <c r="B66">
        <f t="shared" si="0"/>
        <v>1</v>
      </c>
      <c r="C66" t="s">
        <v>8</v>
      </c>
      <c r="D66">
        <f t="shared" si="2"/>
        <v>60</v>
      </c>
      <c r="E66">
        <f t="shared" si="3"/>
        <v>0</v>
      </c>
      <c r="F66">
        <f t="shared" si="1"/>
        <v>60</v>
      </c>
    </row>
    <row r="67" spans="1:6" x14ac:dyDescent="0.25">
      <c r="A67" s="1">
        <v>44992</v>
      </c>
      <c r="B67">
        <f t="shared" ref="B67:B130" si="4">WEEKDAY(A67,2)</f>
        <v>2</v>
      </c>
      <c r="C67" t="s">
        <v>8</v>
      </c>
      <c r="D67">
        <f t="shared" si="2"/>
        <v>60</v>
      </c>
      <c r="E67">
        <f t="shared" si="3"/>
        <v>0</v>
      </c>
      <c r="F67">
        <f t="shared" ref="F67:F130" si="5">D67-E67</f>
        <v>60</v>
      </c>
    </row>
    <row r="68" spans="1:6" x14ac:dyDescent="0.25">
      <c r="A68" s="1">
        <v>44993</v>
      </c>
      <c r="B68">
        <f t="shared" si="4"/>
        <v>3</v>
      </c>
      <c r="C68" t="s">
        <v>8</v>
      </c>
      <c r="D68">
        <f t="shared" ref="D68:D131" si="6">IF(B68&lt;6,$Q$1*VLOOKUP(C68,$S$1:$T$5,2,FALSE)*$Q$3,0)</f>
        <v>60</v>
      </c>
      <c r="E68">
        <f t="shared" ref="E68:E131" si="7">IF(B68=7,$Q$4*$Q$1,0)</f>
        <v>0</v>
      </c>
      <c r="F68">
        <f t="shared" si="5"/>
        <v>60</v>
      </c>
    </row>
    <row r="69" spans="1:6" x14ac:dyDescent="0.25">
      <c r="A69" s="1">
        <v>44994</v>
      </c>
      <c r="B69">
        <f t="shared" si="4"/>
        <v>4</v>
      </c>
      <c r="C69" t="s">
        <v>8</v>
      </c>
      <c r="D69">
        <f t="shared" si="6"/>
        <v>60</v>
      </c>
      <c r="E69">
        <f t="shared" si="7"/>
        <v>0</v>
      </c>
      <c r="F69">
        <f t="shared" si="5"/>
        <v>60</v>
      </c>
    </row>
    <row r="70" spans="1:6" x14ac:dyDescent="0.25">
      <c r="A70" s="1">
        <v>44995</v>
      </c>
      <c r="B70">
        <f t="shared" si="4"/>
        <v>5</v>
      </c>
      <c r="C70" t="s">
        <v>8</v>
      </c>
      <c r="D70">
        <f t="shared" si="6"/>
        <v>60</v>
      </c>
      <c r="E70">
        <f t="shared" si="7"/>
        <v>0</v>
      </c>
      <c r="F70">
        <f t="shared" si="5"/>
        <v>60</v>
      </c>
    </row>
    <row r="71" spans="1:6" x14ac:dyDescent="0.25">
      <c r="A71" s="1">
        <v>44996</v>
      </c>
      <c r="B71">
        <f t="shared" si="4"/>
        <v>6</v>
      </c>
      <c r="C71" t="s">
        <v>8</v>
      </c>
      <c r="D71">
        <f t="shared" si="6"/>
        <v>0</v>
      </c>
      <c r="E71">
        <f t="shared" si="7"/>
        <v>0</v>
      </c>
      <c r="F71">
        <f t="shared" si="5"/>
        <v>0</v>
      </c>
    </row>
    <row r="72" spans="1:6" x14ac:dyDescent="0.25">
      <c r="A72" s="1">
        <v>44997</v>
      </c>
      <c r="B72">
        <f t="shared" si="4"/>
        <v>7</v>
      </c>
      <c r="C72" t="s">
        <v>8</v>
      </c>
      <c r="D72">
        <f t="shared" si="6"/>
        <v>0</v>
      </c>
      <c r="E72">
        <f t="shared" si="7"/>
        <v>150</v>
      </c>
      <c r="F72">
        <f t="shared" si="5"/>
        <v>-150</v>
      </c>
    </row>
    <row r="73" spans="1:6" x14ac:dyDescent="0.25">
      <c r="A73" s="1">
        <v>44998</v>
      </c>
      <c r="B73">
        <f t="shared" si="4"/>
        <v>1</v>
      </c>
      <c r="C73" t="s">
        <v>8</v>
      </c>
      <c r="D73">
        <f t="shared" si="6"/>
        <v>60</v>
      </c>
      <c r="E73">
        <f t="shared" si="7"/>
        <v>0</v>
      </c>
      <c r="F73">
        <f t="shared" si="5"/>
        <v>60</v>
      </c>
    </row>
    <row r="74" spans="1:6" x14ac:dyDescent="0.25">
      <c r="A74" s="1">
        <v>44999</v>
      </c>
      <c r="B74">
        <f t="shared" si="4"/>
        <v>2</v>
      </c>
      <c r="C74" t="s">
        <v>8</v>
      </c>
      <c r="D74">
        <f t="shared" si="6"/>
        <v>60</v>
      </c>
      <c r="E74">
        <f t="shared" si="7"/>
        <v>0</v>
      </c>
      <c r="F74">
        <f t="shared" si="5"/>
        <v>60</v>
      </c>
    </row>
    <row r="75" spans="1:6" x14ac:dyDescent="0.25">
      <c r="A75" s="1">
        <v>45000</v>
      </c>
      <c r="B75">
        <f t="shared" si="4"/>
        <v>3</v>
      </c>
      <c r="C75" t="s">
        <v>8</v>
      </c>
      <c r="D75">
        <f t="shared" si="6"/>
        <v>60</v>
      </c>
      <c r="E75">
        <f t="shared" si="7"/>
        <v>0</v>
      </c>
      <c r="F75">
        <f t="shared" si="5"/>
        <v>60</v>
      </c>
    </row>
    <row r="76" spans="1:6" x14ac:dyDescent="0.25">
      <c r="A76" s="1">
        <v>45001</v>
      </c>
      <c r="B76">
        <f t="shared" si="4"/>
        <v>4</v>
      </c>
      <c r="C76" t="s">
        <v>8</v>
      </c>
      <c r="D76">
        <f t="shared" si="6"/>
        <v>60</v>
      </c>
      <c r="E76">
        <f t="shared" si="7"/>
        <v>0</v>
      </c>
      <c r="F76">
        <f t="shared" si="5"/>
        <v>60</v>
      </c>
    </row>
    <row r="77" spans="1:6" x14ac:dyDescent="0.25">
      <c r="A77" s="1">
        <v>45002</v>
      </c>
      <c r="B77">
        <f t="shared" si="4"/>
        <v>5</v>
      </c>
      <c r="C77" t="s">
        <v>8</v>
      </c>
      <c r="D77">
        <f t="shared" si="6"/>
        <v>60</v>
      </c>
      <c r="E77">
        <f t="shared" si="7"/>
        <v>0</v>
      </c>
      <c r="F77">
        <f t="shared" si="5"/>
        <v>60</v>
      </c>
    </row>
    <row r="78" spans="1:6" x14ac:dyDescent="0.25">
      <c r="A78" s="1">
        <v>45003</v>
      </c>
      <c r="B78">
        <f t="shared" si="4"/>
        <v>6</v>
      </c>
      <c r="C78" t="s">
        <v>8</v>
      </c>
      <c r="D78">
        <f t="shared" si="6"/>
        <v>0</v>
      </c>
      <c r="E78">
        <f t="shared" si="7"/>
        <v>0</v>
      </c>
      <c r="F78">
        <f t="shared" si="5"/>
        <v>0</v>
      </c>
    </row>
    <row r="79" spans="1:6" x14ac:dyDescent="0.25">
      <c r="A79" s="1">
        <v>45004</v>
      </c>
      <c r="B79">
        <f t="shared" si="4"/>
        <v>7</v>
      </c>
      <c r="C79" t="s">
        <v>8</v>
      </c>
      <c r="D79">
        <f t="shared" si="6"/>
        <v>0</v>
      </c>
      <c r="E79">
        <f t="shared" si="7"/>
        <v>150</v>
      </c>
      <c r="F79">
        <f t="shared" si="5"/>
        <v>-150</v>
      </c>
    </row>
    <row r="80" spans="1:6" x14ac:dyDescent="0.25">
      <c r="A80" s="1">
        <v>45005</v>
      </c>
      <c r="B80">
        <f t="shared" si="4"/>
        <v>1</v>
      </c>
      <c r="C80" t="s">
        <v>8</v>
      </c>
      <c r="D80">
        <f t="shared" si="6"/>
        <v>60</v>
      </c>
      <c r="E80">
        <f t="shared" si="7"/>
        <v>0</v>
      </c>
      <c r="F80">
        <f t="shared" si="5"/>
        <v>60</v>
      </c>
    </row>
    <row r="81" spans="1:6" x14ac:dyDescent="0.25">
      <c r="A81" s="1">
        <v>45006</v>
      </c>
      <c r="B81">
        <f t="shared" si="4"/>
        <v>2</v>
      </c>
      <c r="C81" t="s">
        <v>9</v>
      </c>
      <c r="D81">
        <f t="shared" si="6"/>
        <v>150</v>
      </c>
      <c r="E81">
        <f t="shared" si="7"/>
        <v>0</v>
      </c>
      <c r="F81">
        <f t="shared" si="5"/>
        <v>150</v>
      </c>
    </row>
    <row r="82" spans="1:6" x14ac:dyDescent="0.25">
      <c r="A82" s="1">
        <v>45007</v>
      </c>
      <c r="B82">
        <f t="shared" si="4"/>
        <v>3</v>
      </c>
      <c r="C82" t="s">
        <v>9</v>
      </c>
      <c r="D82">
        <f t="shared" si="6"/>
        <v>150</v>
      </c>
      <c r="E82">
        <f t="shared" si="7"/>
        <v>0</v>
      </c>
      <c r="F82">
        <f t="shared" si="5"/>
        <v>150</v>
      </c>
    </row>
    <row r="83" spans="1:6" x14ac:dyDescent="0.25">
      <c r="A83" s="1">
        <v>45008</v>
      </c>
      <c r="B83">
        <f t="shared" si="4"/>
        <v>4</v>
      </c>
      <c r="C83" t="s">
        <v>9</v>
      </c>
      <c r="D83">
        <f t="shared" si="6"/>
        <v>150</v>
      </c>
      <c r="E83">
        <f t="shared" si="7"/>
        <v>0</v>
      </c>
      <c r="F83">
        <f t="shared" si="5"/>
        <v>150</v>
      </c>
    </row>
    <row r="84" spans="1:6" x14ac:dyDescent="0.25">
      <c r="A84" s="1">
        <v>45009</v>
      </c>
      <c r="B84">
        <f t="shared" si="4"/>
        <v>5</v>
      </c>
      <c r="C84" t="s">
        <v>9</v>
      </c>
      <c r="D84">
        <f t="shared" si="6"/>
        <v>150</v>
      </c>
      <c r="E84">
        <f t="shared" si="7"/>
        <v>0</v>
      </c>
      <c r="F84">
        <f t="shared" si="5"/>
        <v>150</v>
      </c>
    </row>
    <row r="85" spans="1:6" x14ac:dyDescent="0.25">
      <c r="A85" s="1">
        <v>45010</v>
      </c>
      <c r="B85">
        <f t="shared" si="4"/>
        <v>6</v>
      </c>
      <c r="C85" t="s">
        <v>9</v>
      </c>
      <c r="D85">
        <f t="shared" si="6"/>
        <v>0</v>
      </c>
      <c r="E85">
        <f t="shared" si="7"/>
        <v>0</v>
      </c>
      <c r="F85">
        <f t="shared" si="5"/>
        <v>0</v>
      </c>
    </row>
    <row r="86" spans="1:6" x14ac:dyDescent="0.25">
      <c r="A86" s="1">
        <v>45011</v>
      </c>
      <c r="B86">
        <f t="shared" si="4"/>
        <v>7</v>
      </c>
      <c r="C86" t="s">
        <v>9</v>
      </c>
      <c r="D86">
        <f t="shared" si="6"/>
        <v>0</v>
      </c>
      <c r="E86">
        <f t="shared" si="7"/>
        <v>150</v>
      </c>
      <c r="F86">
        <f t="shared" si="5"/>
        <v>-150</v>
      </c>
    </row>
    <row r="87" spans="1:6" x14ac:dyDescent="0.25">
      <c r="A87" s="1">
        <v>45012</v>
      </c>
      <c r="B87">
        <f t="shared" si="4"/>
        <v>1</v>
      </c>
      <c r="C87" t="s">
        <v>9</v>
      </c>
      <c r="D87">
        <f t="shared" si="6"/>
        <v>150</v>
      </c>
      <c r="E87">
        <f t="shared" si="7"/>
        <v>0</v>
      </c>
      <c r="F87">
        <f t="shared" si="5"/>
        <v>150</v>
      </c>
    </row>
    <row r="88" spans="1:6" x14ac:dyDescent="0.25">
      <c r="A88" s="1">
        <v>45013</v>
      </c>
      <c r="B88">
        <f t="shared" si="4"/>
        <v>2</v>
      </c>
      <c r="C88" t="s">
        <v>9</v>
      </c>
      <c r="D88">
        <f t="shared" si="6"/>
        <v>150</v>
      </c>
      <c r="E88">
        <f t="shared" si="7"/>
        <v>0</v>
      </c>
      <c r="F88">
        <f t="shared" si="5"/>
        <v>150</v>
      </c>
    </row>
    <row r="89" spans="1:6" x14ac:dyDescent="0.25">
      <c r="A89" s="1">
        <v>45014</v>
      </c>
      <c r="B89">
        <f t="shared" si="4"/>
        <v>3</v>
      </c>
      <c r="C89" t="s">
        <v>9</v>
      </c>
      <c r="D89">
        <f t="shared" si="6"/>
        <v>150</v>
      </c>
      <c r="E89">
        <f t="shared" si="7"/>
        <v>0</v>
      </c>
      <c r="F89">
        <f t="shared" si="5"/>
        <v>150</v>
      </c>
    </row>
    <row r="90" spans="1:6" x14ac:dyDescent="0.25">
      <c r="A90" s="1">
        <v>45015</v>
      </c>
      <c r="B90">
        <f t="shared" si="4"/>
        <v>4</v>
      </c>
      <c r="C90" t="s">
        <v>9</v>
      </c>
      <c r="D90">
        <f t="shared" si="6"/>
        <v>150</v>
      </c>
      <c r="E90">
        <f t="shared" si="7"/>
        <v>0</v>
      </c>
      <c r="F90">
        <f t="shared" si="5"/>
        <v>150</v>
      </c>
    </row>
    <row r="91" spans="1:6" x14ac:dyDescent="0.25">
      <c r="A91" s="1">
        <v>45016</v>
      </c>
      <c r="B91">
        <f t="shared" si="4"/>
        <v>5</v>
      </c>
      <c r="C91" t="s">
        <v>9</v>
      </c>
      <c r="D91">
        <f t="shared" si="6"/>
        <v>150</v>
      </c>
      <c r="E91">
        <f t="shared" si="7"/>
        <v>0</v>
      </c>
      <c r="F91">
        <f t="shared" si="5"/>
        <v>150</v>
      </c>
    </row>
    <row r="92" spans="1:6" x14ac:dyDescent="0.25">
      <c r="A92" s="1">
        <v>45017</v>
      </c>
      <c r="B92">
        <f t="shared" si="4"/>
        <v>6</v>
      </c>
      <c r="C92" t="s">
        <v>9</v>
      </c>
      <c r="D92">
        <f t="shared" si="6"/>
        <v>0</v>
      </c>
      <c r="E92">
        <f t="shared" si="7"/>
        <v>0</v>
      </c>
      <c r="F92">
        <f t="shared" si="5"/>
        <v>0</v>
      </c>
    </row>
    <row r="93" spans="1:6" x14ac:dyDescent="0.25">
      <c r="A93" s="1">
        <v>45018</v>
      </c>
      <c r="B93">
        <f t="shared" si="4"/>
        <v>7</v>
      </c>
      <c r="C93" t="s">
        <v>9</v>
      </c>
      <c r="D93">
        <f t="shared" si="6"/>
        <v>0</v>
      </c>
      <c r="E93">
        <f t="shared" si="7"/>
        <v>150</v>
      </c>
      <c r="F93">
        <f t="shared" si="5"/>
        <v>-150</v>
      </c>
    </row>
    <row r="94" spans="1:6" x14ac:dyDescent="0.25">
      <c r="A94" s="1">
        <v>45019</v>
      </c>
      <c r="B94">
        <f t="shared" si="4"/>
        <v>1</v>
      </c>
      <c r="C94" t="s">
        <v>9</v>
      </c>
      <c r="D94">
        <f t="shared" si="6"/>
        <v>150</v>
      </c>
      <c r="E94">
        <f t="shared" si="7"/>
        <v>0</v>
      </c>
      <c r="F94">
        <f t="shared" si="5"/>
        <v>150</v>
      </c>
    </row>
    <row r="95" spans="1:6" x14ac:dyDescent="0.25">
      <c r="A95" s="1">
        <v>45020</v>
      </c>
      <c r="B95">
        <f t="shared" si="4"/>
        <v>2</v>
      </c>
      <c r="C95" t="s">
        <v>9</v>
      </c>
      <c r="D95">
        <f t="shared" si="6"/>
        <v>150</v>
      </c>
      <c r="E95">
        <f t="shared" si="7"/>
        <v>0</v>
      </c>
      <c r="F95">
        <f t="shared" si="5"/>
        <v>150</v>
      </c>
    </row>
    <row r="96" spans="1:6" x14ac:dyDescent="0.25">
      <c r="A96" s="1">
        <v>45021</v>
      </c>
      <c r="B96">
        <f t="shared" si="4"/>
        <v>3</v>
      </c>
      <c r="C96" t="s">
        <v>9</v>
      </c>
      <c r="D96">
        <f t="shared" si="6"/>
        <v>150</v>
      </c>
      <c r="E96">
        <f t="shared" si="7"/>
        <v>0</v>
      </c>
      <c r="F96">
        <f t="shared" si="5"/>
        <v>150</v>
      </c>
    </row>
    <row r="97" spans="1:6" x14ac:dyDescent="0.25">
      <c r="A97" s="1">
        <v>45022</v>
      </c>
      <c r="B97">
        <f t="shared" si="4"/>
        <v>4</v>
      </c>
      <c r="C97" t="s">
        <v>9</v>
      </c>
      <c r="D97">
        <f t="shared" si="6"/>
        <v>150</v>
      </c>
      <c r="E97">
        <f t="shared" si="7"/>
        <v>0</v>
      </c>
      <c r="F97">
        <f t="shared" si="5"/>
        <v>150</v>
      </c>
    </row>
    <row r="98" spans="1:6" x14ac:dyDescent="0.25">
      <c r="A98" s="1">
        <v>45023</v>
      </c>
      <c r="B98">
        <f t="shared" si="4"/>
        <v>5</v>
      </c>
      <c r="C98" t="s">
        <v>9</v>
      </c>
      <c r="D98">
        <f t="shared" si="6"/>
        <v>150</v>
      </c>
      <c r="E98">
        <f t="shared" si="7"/>
        <v>0</v>
      </c>
      <c r="F98">
        <f t="shared" si="5"/>
        <v>150</v>
      </c>
    </row>
    <row r="99" spans="1:6" x14ac:dyDescent="0.25">
      <c r="A99" s="1">
        <v>45024</v>
      </c>
      <c r="B99">
        <f t="shared" si="4"/>
        <v>6</v>
      </c>
      <c r="C99" t="s">
        <v>9</v>
      </c>
      <c r="D99">
        <f t="shared" si="6"/>
        <v>0</v>
      </c>
      <c r="E99">
        <f t="shared" si="7"/>
        <v>0</v>
      </c>
      <c r="F99">
        <f t="shared" si="5"/>
        <v>0</v>
      </c>
    </row>
    <row r="100" spans="1:6" x14ac:dyDescent="0.25">
      <c r="A100" s="1">
        <v>45025</v>
      </c>
      <c r="B100">
        <f t="shared" si="4"/>
        <v>7</v>
      </c>
      <c r="C100" t="s">
        <v>9</v>
      </c>
      <c r="D100">
        <f t="shared" si="6"/>
        <v>0</v>
      </c>
      <c r="E100">
        <f t="shared" si="7"/>
        <v>150</v>
      </c>
      <c r="F100">
        <f t="shared" si="5"/>
        <v>-150</v>
      </c>
    </row>
    <row r="101" spans="1:6" x14ac:dyDescent="0.25">
      <c r="A101" s="1">
        <v>45026</v>
      </c>
      <c r="B101">
        <f t="shared" si="4"/>
        <v>1</v>
      </c>
      <c r="C101" t="s">
        <v>9</v>
      </c>
      <c r="D101">
        <f t="shared" si="6"/>
        <v>150</v>
      </c>
      <c r="E101">
        <f t="shared" si="7"/>
        <v>0</v>
      </c>
      <c r="F101">
        <f t="shared" si="5"/>
        <v>150</v>
      </c>
    </row>
    <row r="102" spans="1:6" x14ac:dyDescent="0.25">
      <c r="A102" s="1">
        <v>45027</v>
      </c>
      <c r="B102">
        <f t="shared" si="4"/>
        <v>2</v>
      </c>
      <c r="C102" t="s">
        <v>9</v>
      </c>
      <c r="D102">
        <f t="shared" si="6"/>
        <v>150</v>
      </c>
      <c r="E102">
        <f t="shared" si="7"/>
        <v>0</v>
      </c>
      <c r="F102">
        <f t="shared" si="5"/>
        <v>150</v>
      </c>
    </row>
    <row r="103" spans="1:6" x14ac:dyDescent="0.25">
      <c r="A103" s="1">
        <v>45028</v>
      </c>
      <c r="B103">
        <f t="shared" si="4"/>
        <v>3</v>
      </c>
      <c r="C103" t="s">
        <v>9</v>
      </c>
      <c r="D103">
        <f t="shared" si="6"/>
        <v>150</v>
      </c>
      <c r="E103">
        <f t="shared" si="7"/>
        <v>0</v>
      </c>
      <c r="F103">
        <f t="shared" si="5"/>
        <v>150</v>
      </c>
    </row>
    <row r="104" spans="1:6" x14ac:dyDescent="0.25">
      <c r="A104" s="1">
        <v>45029</v>
      </c>
      <c r="B104">
        <f t="shared" si="4"/>
        <v>4</v>
      </c>
      <c r="C104" t="s">
        <v>9</v>
      </c>
      <c r="D104">
        <f t="shared" si="6"/>
        <v>150</v>
      </c>
      <c r="E104">
        <f t="shared" si="7"/>
        <v>0</v>
      </c>
      <c r="F104">
        <f t="shared" si="5"/>
        <v>150</v>
      </c>
    </row>
    <row r="105" spans="1:6" x14ac:dyDescent="0.25">
      <c r="A105" s="1">
        <v>45030</v>
      </c>
      <c r="B105">
        <f t="shared" si="4"/>
        <v>5</v>
      </c>
      <c r="C105" t="s">
        <v>9</v>
      </c>
      <c r="D105">
        <f t="shared" si="6"/>
        <v>150</v>
      </c>
      <c r="E105">
        <f t="shared" si="7"/>
        <v>0</v>
      </c>
      <c r="F105">
        <f t="shared" si="5"/>
        <v>150</v>
      </c>
    </row>
    <row r="106" spans="1:6" x14ac:dyDescent="0.25">
      <c r="A106" s="1">
        <v>45031</v>
      </c>
      <c r="B106">
        <f t="shared" si="4"/>
        <v>6</v>
      </c>
      <c r="C106" t="s">
        <v>9</v>
      </c>
      <c r="D106">
        <f t="shared" si="6"/>
        <v>0</v>
      </c>
      <c r="E106">
        <f t="shared" si="7"/>
        <v>0</v>
      </c>
      <c r="F106">
        <f t="shared" si="5"/>
        <v>0</v>
      </c>
    </row>
    <row r="107" spans="1:6" x14ac:dyDescent="0.25">
      <c r="A107" s="1">
        <v>45032</v>
      </c>
      <c r="B107">
        <f t="shared" si="4"/>
        <v>7</v>
      </c>
      <c r="C107" t="s">
        <v>9</v>
      </c>
      <c r="D107">
        <f t="shared" si="6"/>
        <v>0</v>
      </c>
      <c r="E107">
        <f t="shared" si="7"/>
        <v>150</v>
      </c>
      <c r="F107">
        <f t="shared" si="5"/>
        <v>-150</v>
      </c>
    </row>
    <row r="108" spans="1:6" x14ac:dyDescent="0.25">
      <c r="A108" s="1">
        <v>45033</v>
      </c>
      <c r="B108">
        <f t="shared" si="4"/>
        <v>1</v>
      </c>
      <c r="C108" t="s">
        <v>9</v>
      </c>
      <c r="D108">
        <f t="shared" si="6"/>
        <v>150</v>
      </c>
      <c r="E108">
        <f t="shared" si="7"/>
        <v>0</v>
      </c>
      <c r="F108">
        <f t="shared" si="5"/>
        <v>150</v>
      </c>
    </row>
    <row r="109" spans="1:6" x14ac:dyDescent="0.25">
      <c r="A109" s="1">
        <v>45034</v>
      </c>
      <c r="B109">
        <f t="shared" si="4"/>
        <v>2</v>
      </c>
      <c r="C109" t="s">
        <v>9</v>
      </c>
      <c r="D109">
        <f t="shared" si="6"/>
        <v>150</v>
      </c>
      <c r="E109">
        <f t="shared" si="7"/>
        <v>0</v>
      </c>
      <c r="F109">
        <f t="shared" si="5"/>
        <v>150</v>
      </c>
    </row>
    <row r="110" spans="1:6" x14ac:dyDescent="0.25">
      <c r="A110" s="1">
        <v>45035</v>
      </c>
      <c r="B110">
        <f t="shared" si="4"/>
        <v>3</v>
      </c>
      <c r="C110" t="s">
        <v>9</v>
      </c>
      <c r="D110">
        <f t="shared" si="6"/>
        <v>150</v>
      </c>
      <c r="E110">
        <f t="shared" si="7"/>
        <v>0</v>
      </c>
      <c r="F110">
        <f t="shared" si="5"/>
        <v>150</v>
      </c>
    </row>
    <row r="111" spans="1:6" x14ac:dyDescent="0.25">
      <c r="A111" s="1">
        <v>45036</v>
      </c>
      <c r="B111">
        <f t="shared" si="4"/>
        <v>4</v>
      </c>
      <c r="C111" t="s">
        <v>9</v>
      </c>
      <c r="D111">
        <f t="shared" si="6"/>
        <v>150</v>
      </c>
      <c r="E111">
        <f t="shared" si="7"/>
        <v>0</v>
      </c>
      <c r="F111">
        <f t="shared" si="5"/>
        <v>150</v>
      </c>
    </row>
    <row r="112" spans="1:6" x14ac:dyDescent="0.25">
      <c r="A112" s="1">
        <v>45037</v>
      </c>
      <c r="B112">
        <f t="shared" si="4"/>
        <v>5</v>
      </c>
      <c r="C112" t="s">
        <v>9</v>
      </c>
      <c r="D112">
        <f t="shared" si="6"/>
        <v>150</v>
      </c>
      <c r="E112">
        <f t="shared" si="7"/>
        <v>0</v>
      </c>
      <c r="F112">
        <f t="shared" si="5"/>
        <v>150</v>
      </c>
    </row>
    <row r="113" spans="1:6" x14ac:dyDescent="0.25">
      <c r="A113" s="1">
        <v>45038</v>
      </c>
      <c r="B113">
        <f t="shared" si="4"/>
        <v>6</v>
      </c>
      <c r="C113" t="s">
        <v>9</v>
      </c>
      <c r="D113">
        <f t="shared" si="6"/>
        <v>0</v>
      </c>
      <c r="E113">
        <f t="shared" si="7"/>
        <v>0</v>
      </c>
      <c r="F113">
        <f t="shared" si="5"/>
        <v>0</v>
      </c>
    </row>
    <row r="114" spans="1:6" x14ac:dyDescent="0.25">
      <c r="A114" s="1">
        <v>45039</v>
      </c>
      <c r="B114">
        <f t="shared" si="4"/>
        <v>7</v>
      </c>
      <c r="C114" t="s">
        <v>9</v>
      </c>
      <c r="D114">
        <f t="shared" si="6"/>
        <v>0</v>
      </c>
      <c r="E114">
        <f t="shared" si="7"/>
        <v>150</v>
      </c>
      <c r="F114">
        <f t="shared" si="5"/>
        <v>-150</v>
      </c>
    </row>
    <row r="115" spans="1:6" x14ac:dyDescent="0.25">
      <c r="A115" s="1">
        <v>45040</v>
      </c>
      <c r="B115">
        <f t="shared" si="4"/>
        <v>1</v>
      </c>
      <c r="C115" t="s">
        <v>9</v>
      </c>
      <c r="D115">
        <f t="shared" si="6"/>
        <v>150</v>
      </c>
      <c r="E115">
        <f t="shared" si="7"/>
        <v>0</v>
      </c>
      <c r="F115">
        <f t="shared" si="5"/>
        <v>150</v>
      </c>
    </row>
    <row r="116" spans="1:6" x14ac:dyDescent="0.25">
      <c r="A116" s="1">
        <v>45041</v>
      </c>
      <c r="B116">
        <f t="shared" si="4"/>
        <v>2</v>
      </c>
      <c r="C116" t="s">
        <v>9</v>
      </c>
      <c r="D116">
        <f t="shared" si="6"/>
        <v>150</v>
      </c>
      <c r="E116">
        <f t="shared" si="7"/>
        <v>0</v>
      </c>
      <c r="F116">
        <f t="shared" si="5"/>
        <v>150</v>
      </c>
    </row>
    <row r="117" spans="1:6" x14ac:dyDescent="0.25">
      <c r="A117" s="1">
        <v>45042</v>
      </c>
      <c r="B117">
        <f t="shared" si="4"/>
        <v>3</v>
      </c>
      <c r="C117" t="s">
        <v>9</v>
      </c>
      <c r="D117">
        <f t="shared" si="6"/>
        <v>150</v>
      </c>
      <c r="E117">
        <f t="shared" si="7"/>
        <v>0</v>
      </c>
      <c r="F117">
        <f t="shared" si="5"/>
        <v>150</v>
      </c>
    </row>
    <row r="118" spans="1:6" x14ac:dyDescent="0.25">
      <c r="A118" s="1">
        <v>45043</v>
      </c>
      <c r="B118">
        <f t="shared" si="4"/>
        <v>4</v>
      </c>
      <c r="C118" t="s">
        <v>9</v>
      </c>
      <c r="D118">
        <f t="shared" si="6"/>
        <v>150</v>
      </c>
      <c r="E118">
        <f t="shared" si="7"/>
        <v>0</v>
      </c>
      <c r="F118">
        <f t="shared" si="5"/>
        <v>150</v>
      </c>
    </row>
    <row r="119" spans="1:6" x14ac:dyDescent="0.25">
      <c r="A119" s="1">
        <v>45044</v>
      </c>
      <c r="B119">
        <f t="shared" si="4"/>
        <v>5</v>
      </c>
      <c r="C119" t="s">
        <v>9</v>
      </c>
      <c r="D119">
        <f t="shared" si="6"/>
        <v>150</v>
      </c>
      <c r="E119">
        <f t="shared" si="7"/>
        <v>0</v>
      </c>
      <c r="F119">
        <f t="shared" si="5"/>
        <v>150</v>
      </c>
    </row>
    <row r="120" spans="1:6" x14ac:dyDescent="0.25">
      <c r="A120" s="1">
        <v>45045</v>
      </c>
      <c r="B120">
        <f t="shared" si="4"/>
        <v>6</v>
      </c>
      <c r="C120" t="s">
        <v>9</v>
      </c>
      <c r="D120">
        <f t="shared" si="6"/>
        <v>0</v>
      </c>
      <c r="E120">
        <f t="shared" si="7"/>
        <v>0</v>
      </c>
      <c r="F120">
        <f t="shared" si="5"/>
        <v>0</v>
      </c>
    </row>
    <row r="121" spans="1:6" x14ac:dyDescent="0.25">
      <c r="A121" s="1">
        <v>45046</v>
      </c>
      <c r="B121">
        <f t="shared" si="4"/>
        <v>7</v>
      </c>
      <c r="C121" t="s">
        <v>9</v>
      </c>
      <c r="D121">
        <f t="shared" si="6"/>
        <v>0</v>
      </c>
      <c r="E121">
        <f t="shared" si="7"/>
        <v>150</v>
      </c>
      <c r="F121">
        <f t="shared" si="5"/>
        <v>-150</v>
      </c>
    </row>
    <row r="122" spans="1:6" x14ac:dyDescent="0.25">
      <c r="A122" s="1">
        <v>45047</v>
      </c>
      <c r="B122">
        <f t="shared" si="4"/>
        <v>1</v>
      </c>
      <c r="C122" t="s">
        <v>9</v>
      </c>
      <c r="D122">
        <f t="shared" si="6"/>
        <v>150</v>
      </c>
      <c r="E122">
        <f t="shared" si="7"/>
        <v>0</v>
      </c>
      <c r="F122">
        <f t="shared" si="5"/>
        <v>150</v>
      </c>
    </row>
    <row r="123" spans="1:6" x14ac:dyDescent="0.25">
      <c r="A123" s="1">
        <v>45048</v>
      </c>
      <c r="B123">
        <f t="shared" si="4"/>
        <v>2</v>
      </c>
      <c r="C123" t="s">
        <v>9</v>
      </c>
      <c r="D123">
        <f t="shared" si="6"/>
        <v>150</v>
      </c>
      <c r="E123">
        <f t="shared" si="7"/>
        <v>0</v>
      </c>
      <c r="F123">
        <f t="shared" si="5"/>
        <v>150</v>
      </c>
    </row>
    <row r="124" spans="1:6" x14ac:dyDescent="0.25">
      <c r="A124" s="1">
        <v>45049</v>
      </c>
      <c r="B124">
        <f t="shared" si="4"/>
        <v>3</v>
      </c>
      <c r="C124" t="s">
        <v>9</v>
      </c>
      <c r="D124">
        <f t="shared" si="6"/>
        <v>150</v>
      </c>
      <c r="E124">
        <f t="shared" si="7"/>
        <v>0</v>
      </c>
      <c r="F124">
        <f t="shared" si="5"/>
        <v>150</v>
      </c>
    </row>
    <row r="125" spans="1:6" x14ac:dyDescent="0.25">
      <c r="A125" s="1">
        <v>45050</v>
      </c>
      <c r="B125">
        <f t="shared" si="4"/>
        <v>4</v>
      </c>
      <c r="C125" t="s">
        <v>9</v>
      </c>
      <c r="D125">
        <f t="shared" si="6"/>
        <v>150</v>
      </c>
      <c r="E125">
        <f t="shared" si="7"/>
        <v>0</v>
      </c>
      <c r="F125">
        <f t="shared" si="5"/>
        <v>150</v>
      </c>
    </row>
    <row r="126" spans="1:6" x14ac:dyDescent="0.25">
      <c r="A126" s="1">
        <v>45051</v>
      </c>
      <c r="B126">
        <f t="shared" si="4"/>
        <v>5</v>
      </c>
      <c r="C126" t="s">
        <v>9</v>
      </c>
      <c r="D126">
        <f t="shared" si="6"/>
        <v>150</v>
      </c>
      <c r="E126">
        <f t="shared" si="7"/>
        <v>0</v>
      </c>
      <c r="F126">
        <f t="shared" si="5"/>
        <v>150</v>
      </c>
    </row>
    <row r="127" spans="1:6" x14ac:dyDescent="0.25">
      <c r="A127" s="1">
        <v>45052</v>
      </c>
      <c r="B127">
        <f t="shared" si="4"/>
        <v>6</v>
      </c>
      <c r="C127" t="s">
        <v>9</v>
      </c>
      <c r="D127">
        <f t="shared" si="6"/>
        <v>0</v>
      </c>
      <c r="E127">
        <f t="shared" si="7"/>
        <v>0</v>
      </c>
      <c r="F127">
        <f t="shared" si="5"/>
        <v>0</v>
      </c>
    </row>
    <row r="128" spans="1:6" x14ac:dyDescent="0.25">
      <c r="A128" s="1">
        <v>45053</v>
      </c>
      <c r="B128">
        <f t="shared" si="4"/>
        <v>7</v>
      </c>
      <c r="C128" t="s">
        <v>9</v>
      </c>
      <c r="D128">
        <f t="shared" si="6"/>
        <v>0</v>
      </c>
      <c r="E128">
        <f t="shared" si="7"/>
        <v>150</v>
      </c>
      <c r="F128">
        <f t="shared" si="5"/>
        <v>-150</v>
      </c>
    </row>
    <row r="129" spans="1:6" x14ac:dyDescent="0.25">
      <c r="A129" s="1">
        <v>45054</v>
      </c>
      <c r="B129">
        <f t="shared" si="4"/>
        <v>1</v>
      </c>
      <c r="C129" t="s">
        <v>9</v>
      </c>
      <c r="D129">
        <f t="shared" si="6"/>
        <v>150</v>
      </c>
      <c r="E129">
        <f t="shared" si="7"/>
        <v>0</v>
      </c>
      <c r="F129">
        <f t="shared" si="5"/>
        <v>150</v>
      </c>
    </row>
    <row r="130" spans="1:6" x14ac:dyDescent="0.25">
      <c r="A130" s="1">
        <v>45055</v>
      </c>
      <c r="B130">
        <f t="shared" si="4"/>
        <v>2</v>
      </c>
      <c r="C130" t="s">
        <v>9</v>
      </c>
      <c r="D130">
        <f t="shared" si="6"/>
        <v>150</v>
      </c>
      <c r="E130">
        <f t="shared" si="7"/>
        <v>0</v>
      </c>
      <c r="F130">
        <f t="shared" si="5"/>
        <v>150</v>
      </c>
    </row>
    <row r="131" spans="1:6" x14ac:dyDescent="0.25">
      <c r="A131" s="1">
        <v>45056</v>
      </c>
      <c r="B131">
        <f t="shared" ref="B131:B194" si="8">WEEKDAY(A131,2)</f>
        <v>3</v>
      </c>
      <c r="C131" t="s">
        <v>9</v>
      </c>
      <c r="D131">
        <f t="shared" si="6"/>
        <v>150</v>
      </c>
      <c r="E131">
        <f t="shared" si="7"/>
        <v>0</v>
      </c>
      <c r="F131">
        <f t="shared" ref="F131:F194" si="9">D131-E131</f>
        <v>150</v>
      </c>
    </row>
    <row r="132" spans="1:6" x14ac:dyDescent="0.25">
      <c r="A132" s="1">
        <v>45057</v>
      </c>
      <c r="B132">
        <f t="shared" si="8"/>
        <v>4</v>
      </c>
      <c r="C132" t="s">
        <v>9</v>
      </c>
      <c r="D132">
        <f t="shared" ref="D132:D195" si="10">IF(B132&lt;6,$Q$1*VLOOKUP(C132,$S$1:$T$5,2,FALSE)*$Q$3,0)</f>
        <v>150</v>
      </c>
      <c r="E132">
        <f t="shared" ref="E132:E195" si="11">IF(B132=7,$Q$4*$Q$1,0)</f>
        <v>0</v>
      </c>
      <c r="F132">
        <f t="shared" si="9"/>
        <v>150</v>
      </c>
    </row>
    <row r="133" spans="1:6" x14ac:dyDescent="0.25">
      <c r="A133" s="1">
        <v>45058</v>
      </c>
      <c r="B133">
        <f t="shared" si="8"/>
        <v>5</v>
      </c>
      <c r="C133" t="s">
        <v>9</v>
      </c>
      <c r="D133">
        <f t="shared" si="10"/>
        <v>150</v>
      </c>
      <c r="E133">
        <f t="shared" si="11"/>
        <v>0</v>
      </c>
      <c r="F133">
        <f t="shared" si="9"/>
        <v>150</v>
      </c>
    </row>
    <row r="134" spans="1:6" x14ac:dyDescent="0.25">
      <c r="A134" s="1">
        <v>45059</v>
      </c>
      <c r="B134">
        <f t="shared" si="8"/>
        <v>6</v>
      </c>
      <c r="C134" t="s">
        <v>9</v>
      </c>
      <c r="D134">
        <f t="shared" si="10"/>
        <v>0</v>
      </c>
      <c r="E134">
        <f t="shared" si="11"/>
        <v>0</v>
      </c>
      <c r="F134">
        <f t="shared" si="9"/>
        <v>0</v>
      </c>
    </row>
    <row r="135" spans="1:6" x14ac:dyDescent="0.25">
      <c r="A135" s="1">
        <v>45060</v>
      </c>
      <c r="B135">
        <f t="shared" si="8"/>
        <v>7</v>
      </c>
      <c r="C135" t="s">
        <v>9</v>
      </c>
      <c r="D135">
        <f t="shared" si="10"/>
        <v>0</v>
      </c>
      <c r="E135">
        <f t="shared" si="11"/>
        <v>150</v>
      </c>
      <c r="F135">
        <f t="shared" si="9"/>
        <v>-150</v>
      </c>
    </row>
    <row r="136" spans="1:6" x14ac:dyDescent="0.25">
      <c r="A136" s="1">
        <v>45061</v>
      </c>
      <c r="B136">
        <f t="shared" si="8"/>
        <v>1</v>
      </c>
      <c r="C136" t="s">
        <v>9</v>
      </c>
      <c r="D136">
        <f t="shared" si="10"/>
        <v>150</v>
      </c>
      <c r="E136">
        <f t="shared" si="11"/>
        <v>0</v>
      </c>
      <c r="F136">
        <f t="shared" si="9"/>
        <v>150</v>
      </c>
    </row>
    <row r="137" spans="1:6" x14ac:dyDescent="0.25">
      <c r="A137" s="1">
        <v>45062</v>
      </c>
      <c r="B137">
        <f t="shared" si="8"/>
        <v>2</v>
      </c>
      <c r="C137" t="s">
        <v>9</v>
      </c>
      <c r="D137">
        <f t="shared" si="10"/>
        <v>150</v>
      </c>
      <c r="E137">
        <f t="shared" si="11"/>
        <v>0</v>
      </c>
      <c r="F137">
        <f t="shared" si="9"/>
        <v>150</v>
      </c>
    </row>
    <row r="138" spans="1:6" x14ac:dyDescent="0.25">
      <c r="A138" s="1">
        <v>45063</v>
      </c>
      <c r="B138">
        <f t="shared" si="8"/>
        <v>3</v>
      </c>
      <c r="C138" t="s">
        <v>9</v>
      </c>
      <c r="D138">
        <f t="shared" si="10"/>
        <v>150</v>
      </c>
      <c r="E138">
        <f t="shared" si="11"/>
        <v>0</v>
      </c>
      <c r="F138">
        <f t="shared" si="9"/>
        <v>150</v>
      </c>
    </row>
    <row r="139" spans="1:6" x14ac:dyDescent="0.25">
      <c r="A139" s="1">
        <v>45064</v>
      </c>
      <c r="B139">
        <f t="shared" si="8"/>
        <v>4</v>
      </c>
      <c r="C139" t="s">
        <v>9</v>
      </c>
      <c r="D139">
        <f t="shared" si="10"/>
        <v>150</v>
      </c>
      <c r="E139">
        <f t="shared" si="11"/>
        <v>0</v>
      </c>
      <c r="F139">
        <f t="shared" si="9"/>
        <v>150</v>
      </c>
    </row>
    <row r="140" spans="1:6" x14ac:dyDescent="0.25">
      <c r="A140" s="1">
        <v>45065</v>
      </c>
      <c r="B140">
        <f t="shared" si="8"/>
        <v>5</v>
      </c>
      <c r="C140" t="s">
        <v>9</v>
      </c>
      <c r="D140">
        <f t="shared" si="10"/>
        <v>150</v>
      </c>
      <c r="E140">
        <f t="shared" si="11"/>
        <v>0</v>
      </c>
      <c r="F140">
        <f t="shared" si="9"/>
        <v>150</v>
      </c>
    </row>
    <row r="141" spans="1:6" x14ac:dyDescent="0.25">
      <c r="A141" s="1">
        <v>45066</v>
      </c>
      <c r="B141">
        <f t="shared" si="8"/>
        <v>6</v>
      </c>
      <c r="C141" t="s">
        <v>9</v>
      </c>
      <c r="D141">
        <f t="shared" si="10"/>
        <v>0</v>
      </c>
      <c r="E141">
        <f t="shared" si="11"/>
        <v>0</v>
      </c>
      <c r="F141">
        <f t="shared" si="9"/>
        <v>0</v>
      </c>
    </row>
    <row r="142" spans="1:6" x14ac:dyDescent="0.25">
      <c r="A142" s="1">
        <v>45067</v>
      </c>
      <c r="B142">
        <f t="shared" si="8"/>
        <v>7</v>
      </c>
      <c r="C142" t="s">
        <v>9</v>
      </c>
      <c r="D142">
        <f t="shared" si="10"/>
        <v>0</v>
      </c>
      <c r="E142">
        <f t="shared" si="11"/>
        <v>150</v>
      </c>
      <c r="F142">
        <f t="shared" si="9"/>
        <v>-150</v>
      </c>
    </row>
    <row r="143" spans="1:6" x14ac:dyDescent="0.25">
      <c r="A143" s="1">
        <v>45068</v>
      </c>
      <c r="B143">
        <f t="shared" si="8"/>
        <v>1</v>
      </c>
      <c r="C143" t="s">
        <v>9</v>
      </c>
      <c r="D143">
        <f t="shared" si="10"/>
        <v>150</v>
      </c>
      <c r="E143">
        <f t="shared" si="11"/>
        <v>0</v>
      </c>
      <c r="F143">
        <f t="shared" si="9"/>
        <v>150</v>
      </c>
    </row>
    <row r="144" spans="1:6" x14ac:dyDescent="0.25">
      <c r="A144" s="1">
        <v>45069</v>
      </c>
      <c r="B144">
        <f t="shared" si="8"/>
        <v>2</v>
      </c>
      <c r="C144" t="s">
        <v>9</v>
      </c>
      <c r="D144">
        <f t="shared" si="10"/>
        <v>150</v>
      </c>
      <c r="E144">
        <f t="shared" si="11"/>
        <v>0</v>
      </c>
      <c r="F144">
        <f t="shared" si="9"/>
        <v>150</v>
      </c>
    </row>
    <row r="145" spans="1:6" x14ac:dyDescent="0.25">
      <c r="A145" s="1">
        <v>45070</v>
      </c>
      <c r="B145">
        <f t="shared" si="8"/>
        <v>3</v>
      </c>
      <c r="C145" t="s">
        <v>9</v>
      </c>
      <c r="D145">
        <f t="shared" si="10"/>
        <v>150</v>
      </c>
      <c r="E145">
        <f t="shared" si="11"/>
        <v>0</v>
      </c>
      <c r="F145">
        <f t="shared" si="9"/>
        <v>150</v>
      </c>
    </row>
    <row r="146" spans="1:6" x14ac:dyDescent="0.25">
      <c r="A146" s="1">
        <v>45071</v>
      </c>
      <c r="B146">
        <f t="shared" si="8"/>
        <v>4</v>
      </c>
      <c r="C146" t="s">
        <v>9</v>
      </c>
      <c r="D146">
        <f t="shared" si="10"/>
        <v>150</v>
      </c>
      <c r="E146">
        <f t="shared" si="11"/>
        <v>0</v>
      </c>
      <c r="F146">
        <f t="shared" si="9"/>
        <v>150</v>
      </c>
    </row>
    <row r="147" spans="1:6" x14ac:dyDescent="0.25">
      <c r="A147" s="1">
        <v>45072</v>
      </c>
      <c r="B147">
        <f t="shared" si="8"/>
        <v>5</v>
      </c>
      <c r="C147" t="s">
        <v>9</v>
      </c>
      <c r="D147">
        <f t="shared" si="10"/>
        <v>150</v>
      </c>
      <c r="E147">
        <f t="shared" si="11"/>
        <v>0</v>
      </c>
      <c r="F147">
        <f t="shared" si="9"/>
        <v>150</v>
      </c>
    </row>
    <row r="148" spans="1:6" x14ac:dyDescent="0.25">
      <c r="A148" s="1">
        <v>45073</v>
      </c>
      <c r="B148">
        <f t="shared" si="8"/>
        <v>6</v>
      </c>
      <c r="C148" t="s">
        <v>9</v>
      </c>
      <c r="D148">
        <f t="shared" si="10"/>
        <v>0</v>
      </c>
      <c r="E148">
        <f t="shared" si="11"/>
        <v>0</v>
      </c>
      <c r="F148">
        <f t="shared" si="9"/>
        <v>0</v>
      </c>
    </row>
    <row r="149" spans="1:6" x14ac:dyDescent="0.25">
      <c r="A149" s="1">
        <v>45074</v>
      </c>
      <c r="B149">
        <f t="shared" si="8"/>
        <v>7</v>
      </c>
      <c r="C149" t="s">
        <v>9</v>
      </c>
      <c r="D149">
        <f t="shared" si="10"/>
        <v>0</v>
      </c>
      <c r="E149">
        <f t="shared" si="11"/>
        <v>150</v>
      </c>
      <c r="F149">
        <f t="shared" si="9"/>
        <v>-150</v>
      </c>
    </row>
    <row r="150" spans="1:6" x14ac:dyDescent="0.25">
      <c r="A150" s="1">
        <v>45075</v>
      </c>
      <c r="B150">
        <f t="shared" si="8"/>
        <v>1</v>
      </c>
      <c r="C150" t="s">
        <v>9</v>
      </c>
      <c r="D150">
        <f t="shared" si="10"/>
        <v>150</v>
      </c>
      <c r="E150">
        <f t="shared" si="11"/>
        <v>0</v>
      </c>
      <c r="F150">
        <f t="shared" si="9"/>
        <v>150</v>
      </c>
    </row>
    <row r="151" spans="1:6" x14ac:dyDescent="0.25">
      <c r="A151" s="1">
        <v>45076</v>
      </c>
      <c r="B151">
        <f t="shared" si="8"/>
        <v>2</v>
      </c>
      <c r="C151" t="s">
        <v>9</v>
      </c>
      <c r="D151">
        <f t="shared" si="10"/>
        <v>150</v>
      </c>
      <c r="E151">
        <f t="shared" si="11"/>
        <v>0</v>
      </c>
      <c r="F151">
        <f t="shared" si="9"/>
        <v>150</v>
      </c>
    </row>
    <row r="152" spans="1:6" x14ac:dyDescent="0.25">
      <c r="A152" s="1">
        <v>45077</v>
      </c>
      <c r="B152">
        <f t="shared" si="8"/>
        <v>3</v>
      </c>
      <c r="C152" t="s">
        <v>9</v>
      </c>
      <c r="D152">
        <f t="shared" si="10"/>
        <v>150</v>
      </c>
      <c r="E152">
        <f t="shared" si="11"/>
        <v>0</v>
      </c>
      <c r="F152">
        <f t="shared" si="9"/>
        <v>150</v>
      </c>
    </row>
    <row r="153" spans="1:6" x14ac:dyDescent="0.25">
      <c r="A153" s="1">
        <v>45078</v>
      </c>
      <c r="B153">
        <f t="shared" si="8"/>
        <v>4</v>
      </c>
      <c r="C153" t="s">
        <v>9</v>
      </c>
      <c r="D153">
        <f t="shared" si="10"/>
        <v>150</v>
      </c>
      <c r="E153">
        <f t="shared" si="11"/>
        <v>0</v>
      </c>
      <c r="F153">
        <f t="shared" si="9"/>
        <v>150</v>
      </c>
    </row>
    <row r="154" spans="1:6" x14ac:dyDescent="0.25">
      <c r="A154" s="1">
        <v>45079</v>
      </c>
      <c r="B154">
        <f t="shared" si="8"/>
        <v>5</v>
      </c>
      <c r="C154" t="s">
        <v>9</v>
      </c>
      <c r="D154">
        <f t="shared" si="10"/>
        <v>150</v>
      </c>
      <c r="E154">
        <f t="shared" si="11"/>
        <v>0</v>
      </c>
      <c r="F154">
        <f t="shared" si="9"/>
        <v>150</v>
      </c>
    </row>
    <row r="155" spans="1:6" x14ac:dyDescent="0.25">
      <c r="A155" s="1">
        <v>45080</v>
      </c>
      <c r="B155">
        <f t="shared" si="8"/>
        <v>6</v>
      </c>
      <c r="C155" t="s">
        <v>9</v>
      </c>
      <c r="D155">
        <f t="shared" si="10"/>
        <v>0</v>
      </c>
      <c r="E155">
        <f t="shared" si="11"/>
        <v>0</v>
      </c>
      <c r="F155">
        <f t="shared" si="9"/>
        <v>0</v>
      </c>
    </row>
    <row r="156" spans="1:6" x14ac:dyDescent="0.25">
      <c r="A156" s="1">
        <v>45081</v>
      </c>
      <c r="B156">
        <f t="shared" si="8"/>
        <v>7</v>
      </c>
      <c r="C156" t="s">
        <v>9</v>
      </c>
      <c r="D156">
        <f t="shared" si="10"/>
        <v>0</v>
      </c>
      <c r="E156">
        <f t="shared" si="11"/>
        <v>150</v>
      </c>
      <c r="F156">
        <f t="shared" si="9"/>
        <v>-150</v>
      </c>
    </row>
    <row r="157" spans="1:6" x14ac:dyDescent="0.25">
      <c r="A157" s="1">
        <v>45082</v>
      </c>
      <c r="B157">
        <f t="shared" si="8"/>
        <v>1</v>
      </c>
      <c r="C157" t="s">
        <v>9</v>
      </c>
      <c r="D157">
        <f t="shared" si="10"/>
        <v>150</v>
      </c>
      <c r="E157">
        <f t="shared" si="11"/>
        <v>0</v>
      </c>
      <c r="F157">
        <f t="shared" si="9"/>
        <v>150</v>
      </c>
    </row>
    <row r="158" spans="1:6" x14ac:dyDescent="0.25">
      <c r="A158" s="1">
        <v>45083</v>
      </c>
      <c r="B158">
        <f t="shared" si="8"/>
        <v>2</v>
      </c>
      <c r="C158" t="s">
        <v>9</v>
      </c>
      <c r="D158">
        <f t="shared" si="10"/>
        <v>150</v>
      </c>
      <c r="E158">
        <f t="shared" si="11"/>
        <v>0</v>
      </c>
      <c r="F158">
        <f t="shared" si="9"/>
        <v>150</v>
      </c>
    </row>
    <row r="159" spans="1:6" x14ac:dyDescent="0.25">
      <c r="A159" s="1">
        <v>45084</v>
      </c>
      <c r="B159">
        <f t="shared" si="8"/>
        <v>3</v>
      </c>
      <c r="C159" t="s">
        <v>9</v>
      </c>
      <c r="D159">
        <f t="shared" si="10"/>
        <v>150</v>
      </c>
      <c r="E159">
        <f t="shared" si="11"/>
        <v>0</v>
      </c>
      <c r="F159">
        <f t="shared" si="9"/>
        <v>150</v>
      </c>
    </row>
    <row r="160" spans="1:6" x14ac:dyDescent="0.25">
      <c r="A160" s="1">
        <v>45085</v>
      </c>
      <c r="B160">
        <f t="shared" si="8"/>
        <v>4</v>
      </c>
      <c r="C160" t="s">
        <v>9</v>
      </c>
      <c r="D160">
        <f t="shared" si="10"/>
        <v>150</v>
      </c>
      <c r="E160">
        <f t="shared" si="11"/>
        <v>0</v>
      </c>
      <c r="F160">
        <f t="shared" si="9"/>
        <v>150</v>
      </c>
    </row>
    <row r="161" spans="1:6" x14ac:dyDescent="0.25">
      <c r="A161" s="1">
        <v>45086</v>
      </c>
      <c r="B161">
        <f t="shared" si="8"/>
        <v>5</v>
      </c>
      <c r="C161" t="s">
        <v>9</v>
      </c>
      <c r="D161">
        <f t="shared" si="10"/>
        <v>150</v>
      </c>
      <c r="E161">
        <f t="shared" si="11"/>
        <v>0</v>
      </c>
      <c r="F161">
        <f t="shared" si="9"/>
        <v>150</v>
      </c>
    </row>
    <row r="162" spans="1:6" x14ac:dyDescent="0.25">
      <c r="A162" s="1">
        <v>45087</v>
      </c>
      <c r="B162">
        <f t="shared" si="8"/>
        <v>6</v>
      </c>
      <c r="C162" t="s">
        <v>9</v>
      </c>
      <c r="D162">
        <f t="shared" si="10"/>
        <v>0</v>
      </c>
      <c r="E162">
        <f t="shared" si="11"/>
        <v>0</v>
      </c>
      <c r="F162">
        <f t="shared" si="9"/>
        <v>0</v>
      </c>
    </row>
    <row r="163" spans="1:6" x14ac:dyDescent="0.25">
      <c r="A163" s="1">
        <v>45088</v>
      </c>
      <c r="B163">
        <f t="shared" si="8"/>
        <v>7</v>
      </c>
      <c r="C163" t="s">
        <v>9</v>
      </c>
      <c r="D163">
        <f t="shared" si="10"/>
        <v>0</v>
      </c>
      <c r="E163">
        <f t="shared" si="11"/>
        <v>150</v>
      </c>
      <c r="F163">
        <f t="shared" si="9"/>
        <v>-150</v>
      </c>
    </row>
    <row r="164" spans="1:6" x14ac:dyDescent="0.25">
      <c r="A164" s="1">
        <v>45089</v>
      </c>
      <c r="B164">
        <f t="shared" si="8"/>
        <v>1</v>
      </c>
      <c r="C164" t="s">
        <v>9</v>
      </c>
      <c r="D164">
        <f t="shared" si="10"/>
        <v>150</v>
      </c>
      <c r="E164">
        <f t="shared" si="11"/>
        <v>0</v>
      </c>
      <c r="F164">
        <f t="shared" si="9"/>
        <v>150</v>
      </c>
    </row>
    <row r="165" spans="1:6" x14ac:dyDescent="0.25">
      <c r="A165" s="1">
        <v>45090</v>
      </c>
      <c r="B165">
        <f t="shared" si="8"/>
        <v>2</v>
      </c>
      <c r="C165" t="s">
        <v>9</v>
      </c>
      <c r="D165">
        <f t="shared" si="10"/>
        <v>150</v>
      </c>
      <c r="E165">
        <f t="shared" si="11"/>
        <v>0</v>
      </c>
      <c r="F165">
        <f t="shared" si="9"/>
        <v>150</v>
      </c>
    </row>
    <row r="166" spans="1:6" x14ac:dyDescent="0.25">
      <c r="A166" s="1">
        <v>45091</v>
      </c>
      <c r="B166">
        <f t="shared" si="8"/>
        <v>3</v>
      </c>
      <c r="C166" t="s">
        <v>9</v>
      </c>
      <c r="D166">
        <f t="shared" si="10"/>
        <v>150</v>
      </c>
      <c r="E166">
        <f t="shared" si="11"/>
        <v>0</v>
      </c>
      <c r="F166">
        <f t="shared" si="9"/>
        <v>150</v>
      </c>
    </row>
    <row r="167" spans="1:6" x14ac:dyDescent="0.25">
      <c r="A167" s="1">
        <v>45092</v>
      </c>
      <c r="B167">
        <f t="shared" si="8"/>
        <v>4</v>
      </c>
      <c r="C167" t="s">
        <v>9</v>
      </c>
      <c r="D167">
        <f t="shared" si="10"/>
        <v>150</v>
      </c>
      <c r="E167">
        <f t="shared" si="11"/>
        <v>0</v>
      </c>
      <c r="F167">
        <f t="shared" si="9"/>
        <v>150</v>
      </c>
    </row>
    <row r="168" spans="1:6" x14ac:dyDescent="0.25">
      <c r="A168" s="1">
        <v>45093</v>
      </c>
      <c r="B168">
        <f t="shared" si="8"/>
        <v>5</v>
      </c>
      <c r="C168" t="s">
        <v>9</v>
      </c>
      <c r="D168">
        <f t="shared" si="10"/>
        <v>150</v>
      </c>
      <c r="E168">
        <f t="shared" si="11"/>
        <v>0</v>
      </c>
      <c r="F168">
        <f t="shared" si="9"/>
        <v>150</v>
      </c>
    </row>
    <row r="169" spans="1:6" x14ac:dyDescent="0.25">
      <c r="A169" s="1">
        <v>45094</v>
      </c>
      <c r="B169">
        <f t="shared" si="8"/>
        <v>6</v>
      </c>
      <c r="C169" t="s">
        <v>9</v>
      </c>
      <c r="D169">
        <f t="shared" si="10"/>
        <v>0</v>
      </c>
      <c r="E169">
        <f t="shared" si="11"/>
        <v>0</v>
      </c>
      <c r="F169">
        <f t="shared" si="9"/>
        <v>0</v>
      </c>
    </row>
    <row r="170" spans="1:6" x14ac:dyDescent="0.25">
      <c r="A170" s="1">
        <v>45095</v>
      </c>
      <c r="B170">
        <f t="shared" si="8"/>
        <v>7</v>
      </c>
      <c r="C170" t="s">
        <v>9</v>
      </c>
      <c r="D170">
        <f t="shared" si="10"/>
        <v>0</v>
      </c>
      <c r="E170">
        <f t="shared" si="11"/>
        <v>150</v>
      </c>
      <c r="F170">
        <f t="shared" si="9"/>
        <v>-150</v>
      </c>
    </row>
    <row r="171" spans="1:6" x14ac:dyDescent="0.25">
      <c r="A171" s="1">
        <v>45096</v>
      </c>
      <c r="B171">
        <f t="shared" si="8"/>
        <v>1</v>
      </c>
      <c r="C171" t="s">
        <v>9</v>
      </c>
      <c r="D171">
        <f t="shared" si="10"/>
        <v>150</v>
      </c>
      <c r="E171">
        <f t="shared" si="11"/>
        <v>0</v>
      </c>
      <c r="F171">
        <f t="shared" si="9"/>
        <v>150</v>
      </c>
    </row>
    <row r="172" spans="1:6" x14ac:dyDescent="0.25">
      <c r="A172" s="1">
        <v>45097</v>
      </c>
      <c r="B172">
        <f t="shared" si="8"/>
        <v>2</v>
      </c>
      <c r="C172" t="s">
        <v>9</v>
      </c>
      <c r="D172">
        <f t="shared" si="10"/>
        <v>150</v>
      </c>
      <c r="E172">
        <f t="shared" si="11"/>
        <v>0</v>
      </c>
      <c r="F172">
        <f t="shared" si="9"/>
        <v>150</v>
      </c>
    </row>
    <row r="173" spans="1:6" x14ac:dyDescent="0.25">
      <c r="A173" s="1">
        <v>45098</v>
      </c>
      <c r="B173">
        <f t="shared" si="8"/>
        <v>3</v>
      </c>
      <c r="C173" t="s">
        <v>10</v>
      </c>
      <c r="D173">
        <f t="shared" si="10"/>
        <v>270</v>
      </c>
      <c r="E173">
        <f t="shared" si="11"/>
        <v>0</v>
      </c>
      <c r="F173">
        <f t="shared" si="9"/>
        <v>270</v>
      </c>
    </row>
    <row r="174" spans="1:6" x14ac:dyDescent="0.25">
      <c r="A174" s="1">
        <v>45099</v>
      </c>
      <c r="B174">
        <f t="shared" si="8"/>
        <v>4</v>
      </c>
      <c r="C174" t="s">
        <v>10</v>
      </c>
      <c r="D174">
        <f t="shared" si="10"/>
        <v>270</v>
      </c>
      <c r="E174">
        <f t="shared" si="11"/>
        <v>0</v>
      </c>
      <c r="F174">
        <f t="shared" si="9"/>
        <v>270</v>
      </c>
    </row>
    <row r="175" spans="1:6" x14ac:dyDescent="0.25">
      <c r="A175" s="1">
        <v>45100</v>
      </c>
      <c r="B175">
        <f t="shared" si="8"/>
        <v>5</v>
      </c>
      <c r="C175" t="s">
        <v>10</v>
      </c>
      <c r="D175">
        <f t="shared" si="10"/>
        <v>270</v>
      </c>
      <c r="E175">
        <f t="shared" si="11"/>
        <v>0</v>
      </c>
      <c r="F175">
        <f t="shared" si="9"/>
        <v>270</v>
      </c>
    </row>
    <row r="176" spans="1:6" x14ac:dyDescent="0.25">
      <c r="A176" s="1">
        <v>45101</v>
      </c>
      <c r="B176">
        <f t="shared" si="8"/>
        <v>6</v>
      </c>
      <c r="C176" t="s">
        <v>10</v>
      </c>
      <c r="D176">
        <f t="shared" si="10"/>
        <v>0</v>
      </c>
      <c r="E176">
        <f t="shared" si="11"/>
        <v>0</v>
      </c>
      <c r="F176">
        <f t="shared" si="9"/>
        <v>0</v>
      </c>
    </row>
    <row r="177" spans="1:6" x14ac:dyDescent="0.25">
      <c r="A177" s="1">
        <v>45102</v>
      </c>
      <c r="B177">
        <f t="shared" si="8"/>
        <v>7</v>
      </c>
      <c r="C177" t="s">
        <v>10</v>
      </c>
      <c r="D177">
        <f t="shared" si="10"/>
        <v>0</v>
      </c>
      <c r="E177">
        <f t="shared" si="11"/>
        <v>150</v>
      </c>
      <c r="F177">
        <f t="shared" si="9"/>
        <v>-150</v>
      </c>
    </row>
    <row r="178" spans="1:6" x14ac:dyDescent="0.25">
      <c r="A178" s="1">
        <v>45103</v>
      </c>
      <c r="B178">
        <f t="shared" si="8"/>
        <v>1</v>
      </c>
      <c r="C178" t="s">
        <v>10</v>
      </c>
      <c r="D178">
        <f t="shared" si="10"/>
        <v>270</v>
      </c>
      <c r="E178">
        <f t="shared" si="11"/>
        <v>0</v>
      </c>
      <c r="F178">
        <f t="shared" si="9"/>
        <v>270</v>
      </c>
    </row>
    <row r="179" spans="1:6" x14ac:dyDescent="0.25">
      <c r="A179" s="1">
        <v>45104</v>
      </c>
      <c r="B179">
        <f t="shared" si="8"/>
        <v>2</v>
      </c>
      <c r="C179" t="s">
        <v>10</v>
      </c>
      <c r="D179">
        <f t="shared" si="10"/>
        <v>270</v>
      </c>
      <c r="E179">
        <f t="shared" si="11"/>
        <v>0</v>
      </c>
      <c r="F179">
        <f t="shared" si="9"/>
        <v>270</v>
      </c>
    </row>
    <row r="180" spans="1:6" x14ac:dyDescent="0.25">
      <c r="A180" s="1">
        <v>45105</v>
      </c>
      <c r="B180">
        <f t="shared" si="8"/>
        <v>3</v>
      </c>
      <c r="C180" t="s">
        <v>10</v>
      </c>
      <c r="D180">
        <f t="shared" si="10"/>
        <v>270</v>
      </c>
      <c r="E180">
        <f t="shared" si="11"/>
        <v>0</v>
      </c>
      <c r="F180">
        <f t="shared" si="9"/>
        <v>270</v>
      </c>
    </row>
    <row r="181" spans="1:6" x14ac:dyDescent="0.25">
      <c r="A181" s="1">
        <v>45106</v>
      </c>
      <c r="B181">
        <f t="shared" si="8"/>
        <v>4</v>
      </c>
      <c r="C181" t="s">
        <v>10</v>
      </c>
      <c r="D181">
        <f t="shared" si="10"/>
        <v>270</v>
      </c>
      <c r="E181">
        <f t="shared" si="11"/>
        <v>0</v>
      </c>
      <c r="F181">
        <f t="shared" si="9"/>
        <v>270</v>
      </c>
    </row>
    <row r="182" spans="1:6" x14ac:dyDescent="0.25">
      <c r="A182" s="1">
        <v>45107</v>
      </c>
      <c r="B182">
        <f t="shared" si="8"/>
        <v>5</v>
      </c>
      <c r="C182" t="s">
        <v>10</v>
      </c>
      <c r="D182">
        <f t="shared" si="10"/>
        <v>270</v>
      </c>
      <c r="E182">
        <f t="shared" si="11"/>
        <v>0</v>
      </c>
      <c r="F182">
        <f t="shared" si="9"/>
        <v>270</v>
      </c>
    </row>
    <row r="183" spans="1:6" x14ac:dyDescent="0.25">
      <c r="A183" s="1">
        <v>45108</v>
      </c>
      <c r="B183">
        <f t="shared" si="8"/>
        <v>6</v>
      </c>
      <c r="C183" t="s">
        <v>10</v>
      </c>
      <c r="D183">
        <f t="shared" si="10"/>
        <v>0</v>
      </c>
      <c r="E183">
        <f t="shared" si="11"/>
        <v>0</v>
      </c>
      <c r="F183">
        <f t="shared" si="9"/>
        <v>0</v>
      </c>
    </row>
    <row r="184" spans="1:6" x14ac:dyDescent="0.25">
      <c r="A184" s="1">
        <v>45109</v>
      </c>
      <c r="B184">
        <f t="shared" si="8"/>
        <v>7</v>
      </c>
      <c r="C184" t="s">
        <v>10</v>
      </c>
      <c r="D184">
        <f t="shared" si="10"/>
        <v>0</v>
      </c>
      <c r="E184">
        <f t="shared" si="11"/>
        <v>150</v>
      </c>
      <c r="F184">
        <f t="shared" si="9"/>
        <v>-150</v>
      </c>
    </row>
    <row r="185" spans="1:6" x14ac:dyDescent="0.25">
      <c r="A185" s="1">
        <v>45110</v>
      </c>
      <c r="B185">
        <f t="shared" si="8"/>
        <v>1</v>
      </c>
      <c r="C185" t="s">
        <v>10</v>
      </c>
      <c r="D185">
        <f t="shared" si="10"/>
        <v>270</v>
      </c>
      <c r="E185">
        <f t="shared" si="11"/>
        <v>0</v>
      </c>
      <c r="F185">
        <f t="shared" si="9"/>
        <v>270</v>
      </c>
    </row>
    <row r="186" spans="1:6" x14ac:dyDescent="0.25">
      <c r="A186" s="1">
        <v>45111</v>
      </c>
      <c r="B186">
        <f t="shared" si="8"/>
        <v>2</v>
      </c>
      <c r="C186" t="s">
        <v>10</v>
      </c>
      <c r="D186">
        <f t="shared" si="10"/>
        <v>270</v>
      </c>
      <c r="E186">
        <f t="shared" si="11"/>
        <v>0</v>
      </c>
      <c r="F186">
        <f t="shared" si="9"/>
        <v>270</v>
      </c>
    </row>
    <row r="187" spans="1:6" x14ac:dyDescent="0.25">
      <c r="A187" s="1">
        <v>45112</v>
      </c>
      <c r="B187">
        <f t="shared" si="8"/>
        <v>3</v>
      </c>
      <c r="C187" t="s">
        <v>10</v>
      </c>
      <c r="D187">
        <f t="shared" si="10"/>
        <v>270</v>
      </c>
      <c r="E187">
        <f t="shared" si="11"/>
        <v>0</v>
      </c>
      <c r="F187">
        <f t="shared" si="9"/>
        <v>270</v>
      </c>
    </row>
    <row r="188" spans="1:6" x14ac:dyDescent="0.25">
      <c r="A188" s="1">
        <v>45113</v>
      </c>
      <c r="B188">
        <f t="shared" si="8"/>
        <v>4</v>
      </c>
      <c r="C188" t="s">
        <v>10</v>
      </c>
      <c r="D188">
        <f t="shared" si="10"/>
        <v>270</v>
      </c>
      <c r="E188">
        <f t="shared" si="11"/>
        <v>0</v>
      </c>
      <c r="F188">
        <f t="shared" si="9"/>
        <v>270</v>
      </c>
    </row>
    <row r="189" spans="1:6" x14ac:dyDescent="0.25">
      <c r="A189" s="1">
        <v>45114</v>
      </c>
      <c r="B189">
        <f t="shared" si="8"/>
        <v>5</v>
      </c>
      <c r="C189" t="s">
        <v>10</v>
      </c>
      <c r="D189">
        <f t="shared" si="10"/>
        <v>270</v>
      </c>
      <c r="E189">
        <f t="shared" si="11"/>
        <v>0</v>
      </c>
      <c r="F189">
        <f t="shared" si="9"/>
        <v>270</v>
      </c>
    </row>
    <row r="190" spans="1:6" x14ac:dyDescent="0.25">
      <c r="A190" s="1">
        <v>45115</v>
      </c>
      <c r="B190">
        <f t="shared" si="8"/>
        <v>6</v>
      </c>
      <c r="C190" t="s">
        <v>10</v>
      </c>
      <c r="D190">
        <f t="shared" si="10"/>
        <v>0</v>
      </c>
      <c r="E190">
        <f t="shared" si="11"/>
        <v>0</v>
      </c>
      <c r="F190">
        <f t="shared" si="9"/>
        <v>0</v>
      </c>
    </row>
    <row r="191" spans="1:6" x14ac:dyDescent="0.25">
      <c r="A191" s="1">
        <v>45116</v>
      </c>
      <c r="B191">
        <f t="shared" si="8"/>
        <v>7</v>
      </c>
      <c r="C191" t="s">
        <v>10</v>
      </c>
      <c r="D191">
        <f t="shared" si="10"/>
        <v>0</v>
      </c>
      <c r="E191">
        <f t="shared" si="11"/>
        <v>150</v>
      </c>
      <c r="F191">
        <f t="shared" si="9"/>
        <v>-150</v>
      </c>
    </row>
    <row r="192" spans="1:6" x14ac:dyDescent="0.25">
      <c r="A192" s="1">
        <v>45117</v>
      </c>
      <c r="B192">
        <f t="shared" si="8"/>
        <v>1</v>
      </c>
      <c r="C192" t="s">
        <v>10</v>
      </c>
      <c r="D192">
        <f t="shared" si="10"/>
        <v>270</v>
      </c>
      <c r="E192">
        <f t="shared" si="11"/>
        <v>0</v>
      </c>
      <c r="F192">
        <f t="shared" si="9"/>
        <v>270</v>
      </c>
    </row>
    <row r="193" spans="1:6" x14ac:dyDescent="0.25">
      <c r="A193" s="1">
        <v>45118</v>
      </c>
      <c r="B193">
        <f t="shared" si="8"/>
        <v>2</v>
      </c>
      <c r="C193" t="s">
        <v>10</v>
      </c>
      <c r="D193">
        <f t="shared" si="10"/>
        <v>270</v>
      </c>
      <c r="E193">
        <f t="shared" si="11"/>
        <v>0</v>
      </c>
      <c r="F193">
        <f t="shared" si="9"/>
        <v>270</v>
      </c>
    </row>
    <row r="194" spans="1:6" x14ac:dyDescent="0.25">
      <c r="A194" s="1">
        <v>45119</v>
      </c>
      <c r="B194">
        <f t="shared" si="8"/>
        <v>3</v>
      </c>
      <c r="C194" t="s">
        <v>10</v>
      </c>
      <c r="D194">
        <f t="shared" si="10"/>
        <v>270</v>
      </c>
      <c r="E194">
        <f t="shared" si="11"/>
        <v>0</v>
      </c>
      <c r="F194">
        <f t="shared" si="9"/>
        <v>270</v>
      </c>
    </row>
    <row r="195" spans="1:6" x14ac:dyDescent="0.25">
      <c r="A195" s="1">
        <v>45120</v>
      </c>
      <c r="B195">
        <f t="shared" ref="B195:B258" si="12">WEEKDAY(A195,2)</f>
        <v>4</v>
      </c>
      <c r="C195" t="s">
        <v>10</v>
      </c>
      <c r="D195">
        <f t="shared" si="10"/>
        <v>270</v>
      </c>
      <c r="E195">
        <f t="shared" si="11"/>
        <v>0</v>
      </c>
      <c r="F195">
        <f t="shared" ref="F195:F258" si="13">D195-E195</f>
        <v>270</v>
      </c>
    </row>
    <row r="196" spans="1:6" x14ac:dyDescent="0.25">
      <c r="A196" s="1">
        <v>45121</v>
      </c>
      <c r="B196">
        <f t="shared" si="12"/>
        <v>5</v>
      </c>
      <c r="C196" t="s">
        <v>10</v>
      </c>
      <c r="D196">
        <f t="shared" ref="D196:D259" si="14">IF(B196&lt;6,$Q$1*VLOOKUP(C196,$S$1:$T$5,2,FALSE)*$Q$3,0)</f>
        <v>270</v>
      </c>
      <c r="E196">
        <f t="shared" ref="E196:E259" si="15">IF(B196=7,$Q$4*$Q$1,0)</f>
        <v>0</v>
      </c>
      <c r="F196">
        <f t="shared" si="13"/>
        <v>270</v>
      </c>
    </row>
    <row r="197" spans="1:6" x14ac:dyDescent="0.25">
      <c r="A197" s="1">
        <v>45122</v>
      </c>
      <c r="B197">
        <f t="shared" si="12"/>
        <v>6</v>
      </c>
      <c r="C197" t="s">
        <v>10</v>
      </c>
      <c r="D197">
        <f t="shared" si="14"/>
        <v>0</v>
      </c>
      <c r="E197">
        <f t="shared" si="15"/>
        <v>0</v>
      </c>
      <c r="F197">
        <f t="shared" si="13"/>
        <v>0</v>
      </c>
    </row>
    <row r="198" spans="1:6" x14ac:dyDescent="0.25">
      <c r="A198" s="1">
        <v>45123</v>
      </c>
      <c r="B198">
        <f t="shared" si="12"/>
        <v>7</v>
      </c>
      <c r="C198" t="s">
        <v>10</v>
      </c>
      <c r="D198">
        <f t="shared" si="14"/>
        <v>0</v>
      </c>
      <c r="E198">
        <f t="shared" si="15"/>
        <v>150</v>
      </c>
      <c r="F198">
        <f t="shared" si="13"/>
        <v>-150</v>
      </c>
    </row>
    <row r="199" spans="1:6" x14ac:dyDescent="0.25">
      <c r="A199" s="1">
        <v>45124</v>
      </c>
      <c r="B199">
        <f t="shared" si="12"/>
        <v>1</v>
      </c>
      <c r="C199" t="s">
        <v>10</v>
      </c>
      <c r="D199">
        <f t="shared" si="14"/>
        <v>270</v>
      </c>
      <c r="E199">
        <f t="shared" si="15"/>
        <v>0</v>
      </c>
      <c r="F199">
        <f t="shared" si="13"/>
        <v>270</v>
      </c>
    </row>
    <row r="200" spans="1:6" x14ac:dyDescent="0.25">
      <c r="A200" s="1">
        <v>45125</v>
      </c>
      <c r="B200">
        <f t="shared" si="12"/>
        <v>2</v>
      </c>
      <c r="C200" t="s">
        <v>10</v>
      </c>
      <c r="D200">
        <f t="shared" si="14"/>
        <v>270</v>
      </c>
      <c r="E200">
        <f t="shared" si="15"/>
        <v>0</v>
      </c>
      <c r="F200">
        <f t="shared" si="13"/>
        <v>270</v>
      </c>
    </row>
    <row r="201" spans="1:6" x14ac:dyDescent="0.25">
      <c r="A201" s="1">
        <v>45126</v>
      </c>
      <c r="B201">
        <f t="shared" si="12"/>
        <v>3</v>
      </c>
      <c r="C201" t="s">
        <v>10</v>
      </c>
      <c r="D201">
        <f t="shared" si="14"/>
        <v>270</v>
      </c>
      <c r="E201">
        <f t="shared" si="15"/>
        <v>0</v>
      </c>
      <c r="F201">
        <f t="shared" si="13"/>
        <v>270</v>
      </c>
    </row>
    <row r="202" spans="1:6" x14ac:dyDescent="0.25">
      <c r="A202" s="1">
        <v>45127</v>
      </c>
      <c r="B202">
        <f t="shared" si="12"/>
        <v>4</v>
      </c>
      <c r="C202" t="s">
        <v>10</v>
      </c>
      <c r="D202">
        <f t="shared" si="14"/>
        <v>270</v>
      </c>
      <c r="E202">
        <f t="shared" si="15"/>
        <v>0</v>
      </c>
      <c r="F202">
        <f t="shared" si="13"/>
        <v>270</v>
      </c>
    </row>
    <row r="203" spans="1:6" x14ac:dyDescent="0.25">
      <c r="A203" s="1">
        <v>45128</v>
      </c>
      <c r="B203">
        <f t="shared" si="12"/>
        <v>5</v>
      </c>
      <c r="C203" t="s">
        <v>10</v>
      </c>
      <c r="D203">
        <f t="shared" si="14"/>
        <v>270</v>
      </c>
      <c r="E203">
        <f t="shared" si="15"/>
        <v>0</v>
      </c>
      <c r="F203">
        <f t="shared" si="13"/>
        <v>270</v>
      </c>
    </row>
    <row r="204" spans="1:6" x14ac:dyDescent="0.25">
      <c r="A204" s="1">
        <v>45129</v>
      </c>
      <c r="B204">
        <f t="shared" si="12"/>
        <v>6</v>
      </c>
      <c r="C204" t="s">
        <v>10</v>
      </c>
      <c r="D204">
        <f t="shared" si="14"/>
        <v>0</v>
      </c>
      <c r="E204">
        <f t="shared" si="15"/>
        <v>0</v>
      </c>
      <c r="F204">
        <f t="shared" si="13"/>
        <v>0</v>
      </c>
    </row>
    <row r="205" spans="1:6" x14ac:dyDescent="0.25">
      <c r="A205" s="1">
        <v>45130</v>
      </c>
      <c r="B205">
        <f t="shared" si="12"/>
        <v>7</v>
      </c>
      <c r="C205" t="s">
        <v>10</v>
      </c>
      <c r="D205">
        <f t="shared" si="14"/>
        <v>0</v>
      </c>
      <c r="E205">
        <f t="shared" si="15"/>
        <v>150</v>
      </c>
      <c r="F205">
        <f t="shared" si="13"/>
        <v>-150</v>
      </c>
    </row>
    <row r="206" spans="1:6" x14ac:dyDescent="0.25">
      <c r="A206" s="1">
        <v>45131</v>
      </c>
      <c r="B206">
        <f t="shared" si="12"/>
        <v>1</v>
      </c>
      <c r="C206" t="s">
        <v>10</v>
      </c>
      <c r="D206">
        <f t="shared" si="14"/>
        <v>270</v>
      </c>
      <c r="E206">
        <f t="shared" si="15"/>
        <v>0</v>
      </c>
      <c r="F206">
        <f t="shared" si="13"/>
        <v>270</v>
      </c>
    </row>
    <row r="207" spans="1:6" x14ac:dyDescent="0.25">
      <c r="A207" s="1">
        <v>45132</v>
      </c>
      <c r="B207">
        <f t="shared" si="12"/>
        <v>2</v>
      </c>
      <c r="C207" t="s">
        <v>10</v>
      </c>
      <c r="D207">
        <f t="shared" si="14"/>
        <v>270</v>
      </c>
      <c r="E207">
        <f t="shared" si="15"/>
        <v>0</v>
      </c>
      <c r="F207">
        <f t="shared" si="13"/>
        <v>270</v>
      </c>
    </row>
    <row r="208" spans="1:6" x14ac:dyDescent="0.25">
      <c r="A208" s="1">
        <v>45133</v>
      </c>
      <c r="B208">
        <f t="shared" si="12"/>
        <v>3</v>
      </c>
      <c r="C208" t="s">
        <v>10</v>
      </c>
      <c r="D208">
        <f t="shared" si="14"/>
        <v>270</v>
      </c>
      <c r="E208">
        <f t="shared" si="15"/>
        <v>0</v>
      </c>
      <c r="F208">
        <f t="shared" si="13"/>
        <v>270</v>
      </c>
    </row>
    <row r="209" spans="1:6" x14ac:dyDescent="0.25">
      <c r="A209" s="1">
        <v>45134</v>
      </c>
      <c r="B209">
        <f t="shared" si="12"/>
        <v>4</v>
      </c>
      <c r="C209" t="s">
        <v>10</v>
      </c>
      <c r="D209">
        <f t="shared" si="14"/>
        <v>270</v>
      </c>
      <c r="E209">
        <f t="shared" si="15"/>
        <v>0</v>
      </c>
      <c r="F209">
        <f t="shared" si="13"/>
        <v>270</v>
      </c>
    </row>
    <row r="210" spans="1:6" x14ac:dyDescent="0.25">
      <c r="A210" s="1">
        <v>45135</v>
      </c>
      <c r="B210">
        <f t="shared" si="12"/>
        <v>5</v>
      </c>
      <c r="C210" t="s">
        <v>10</v>
      </c>
      <c r="D210">
        <f t="shared" si="14"/>
        <v>270</v>
      </c>
      <c r="E210">
        <f t="shared" si="15"/>
        <v>0</v>
      </c>
      <c r="F210">
        <f t="shared" si="13"/>
        <v>270</v>
      </c>
    </row>
    <row r="211" spans="1:6" x14ac:dyDescent="0.25">
      <c r="A211" s="1">
        <v>45136</v>
      </c>
      <c r="B211">
        <f t="shared" si="12"/>
        <v>6</v>
      </c>
      <c r="C211" t="s">
        <v>10</v>
      </c>
      <c r="D211">
        <f t="shared" si="14"/>
        <v>0</v>
      </c>
      <c r="E211">
        <f t="shared" si="15"/>
        <v>0</v>
      </c>
      <c r="F211">
        <f t="shared" si="13"/>
        <v>0</v>
      </c>
    </row>
    <row r="212" spans="1:6" x14ac:dyDescent="0.25">
      <c r="A212" s="1">
        <v>45137</v>
      </c>
      <c r="B212">
        <f t="shared" si="12"/>
        <v>7</v>
      </c>
      <c r="C212" t="s">
        <v>10</v>
      </c>
      <c r="D212">
        <f t="shared" si="14"/>
        <v>0</v>
      </c>
      <c r="E212">
        <f t="shared" si="15"/>
        <v>150</v>
      </c>
      <c r="F212">
        <f t="shared" si="13"/>
        <v>-150</v>
      </c>
    </row>
    <row r="213" spans="1:6" x14ac:dyDescent="0.25">
      <c r="A213" s="1">
        <v>45138</v>
      </c>
      <c r="B213">
        <f t="shared" si="12"/>
        <v>1</v>
      </c>
      <c r="C213" t="s">
        <v>10</v>
      </c>
      <c r="D213">
        <f t="shared" si="14"/>
        <v>270</v>
      </c>
      <c r="E213">
        <f t="shared" si="15"/>
        <v>0</v>
      </c>
      <c r="F213">
        <f t="shared" si="13"/>
        <v>270</v>
      </c>
    </row>
    <row r="214" spans="1:6" x14ac:dyDescent="0.25">
      <c r="A214" s="1">
        <v>45139</v>
      </c>
      <c r="B214">
        <f t="shared" si="12"/>
        <v>2</v>
      </c>
      <c r="C214" t="s">
        <v>10</v>
      </c>
      <c r="D214">
        <f t="shared" si="14"/>
        <v>270</v>
      </c>
      <c r="E214">
        <f t="shared" si="15"/>
        <v>0</v>
      </c>
      <c r="F214">
        <f t="shared" si="13"/>
        <v>270</v>
      </c>
    </row>
    <row r="215" spans="1:6" x14ac:dyDescent="0.25">
      <c r="A215" s="1">
        <v>45140</v>
      </c>
      <c r="B215">
        <f t="shared" si="12"/>
        <v>3</v>
      </c>
      <c r="C215" t="s">
        <v>10</v>
      </c>
      <c r="D215">
        <f t="shared" si="14"/>
        <v>270</v>
      </c>
      <c r="E215">
        <f t="shared" si="15"/>
        <v>0</v>
      </c>
      <c r="F215">
        <f t="shared" si="13"/>
        <v>270</v>
      </c>
    </row>
    <row r="216" spans="1:6" x14ac:dyDescent="0.25">
      <c r="A216" s="1">
        <v>45141</v>
      </c>
      <c r="B216">
        <f t="shared" si="12"/>
        <v>4</v>
      </c>
      <c r="C216" t="s">
        <v>10</v>
      </c>
      <c r="D216">
        <f t="shared" si="14"/>
        <v>270</v>
      </c>
      <c r="E216">
        <f t="shared" si="15"/>
        <v>0</v>
      </c>
      <c r="F216">
        <f t="shared" si="13"/>
        <v>270</v>
      </c>
    </row>
    <row r="217" spans="1:6" x14ac:dyDescent="0.25">
      <c r="A217" s="1">
        <v>45142</v>
      </c>
      <c r="B217">
        <f t="shared" si="12"/>
        <v>5</v>
      </c>
      <c r="C217" t="s">
        <v>10</v>
      </c>
      <c r="D217">
        <f t="shared" si="14"/>
        <v>270</v>
      </c>
      <c r="E217">
        <f t="shared" si="15"/>
        <v>0</v>
      </c>
      <c r="F217">
        <f t="shared" si="13"/>
        <v>270</v>
      </c>
    </row>
    <row r="218" spans="1:6" x14ac:dyDescent="0.25">
      <c r="A218" s="1">
        <v>45143</v>
      </c>
      <c r="B218">
        <f t="shared" si="12"/>
        <v>6</v>
      </c>
      <c r="C218" t="s">
        <v>10</v>
      </c>
      <c r="D218">
        <f t="shared" si="14"/>
        <v>0</v>
      </c>
      <c r="E218">
        <f t="shared" si="15"/>
        <v>0</v>
      </c>
      <c r="F218">
        <f t="shared" si="13"/>
        <v>0</v>
      </c>
    </row>
    <row r="219" spans="1:6" x14ac:dyDescent="0.25">
      <c r="A219" s="1">
        <v>45144</v>
      </c>
      <c r="B219">
        <f t="shared" si="12"/>
        <v>7</v>
      </c>
      <c r="C219" t="s">
        <v>10</v>
      </c>
      <c r="D219">
        <f t="shared" si="14"/>
        <v>0</v>
      </c>
      <c r="E219">
        <f t="shared" si="15"/>
        <v>150</v>
      </c>
      <c r="F219">
        <f t="shared" si="13"/>
        <v>-150</v>
      </c>
    </row>
    <row r="220" spans="1:6" x14ac:dyDescent="0.25">
      <c r="A220" s="1">
        <v>45145</v>
      </c>
      <c r="B220">
        <f t="shared" si="12"/>
        <v>1</v>
      </c>
      <c r="C220" t="s">
        <v>10</v>
      </c>
      <c r="D220">
        <f t="shared" si="14"/>
        <v>270</v>
      </c>
      <c r="E220">
        <f t="shared" si="15"/>
        <v>0</v>
      </c>
      <c r="F220">
        <f t="shared" si="13"/>
        <v>270</v>
      </c>
    </row>
    <row r="221" spans="1:6" x14ac:dyDescent="0.25">
      <c r="A221" s="1">
        <v>45146</v>
      </c>
      <c r="B221">
        <f t="shared" si="12"/>
        <v>2</v>
      </c>
      <c r="C221" t="s">
        <v>10</v>
      </c>
      <c r="D221">
        <f t="shared" si="14"/>
        <v>270</v>
      </c>
      <c r="E221">
        <f t="shared" si="15"/>
        <v>0</v>
      </c>
      <c r="F221">
        <f t="shared" si="13"/>
        <v>270</v>
      </c>
    </row>
    <row r="222" spans="1:6" x14ac:dyDescent="0.25">
      <c r="A222" s="1">
        <v>45147</v>
      </c>
      <c r="B222">
        <f t="shared" si="12"/>
        <v>3</v>
      </c>
      <c r="C222" t="s">
        <v>10</v>
      </c>
      <c r="D222">
        <f t="shared" si="14"/>
        <v>270</v>
      </c>
      <c r="E222">
        <f t="shared" si="15"/>
        <v>0</v>
      </c>
      <c r="F222">
        <f t="shared" si="13"/>
        <v>270</v>
      </c>
    </row>
    <row r="223" spans="1:6" x14ac:dyDescent="0.25">
      <c r="A223" s="1">
        <v>45148</v>
      </c>
      <c r="B223">
        <f t="shared" si="12"/>
        <v>4</v>
      </c>
      <c r="C223" t="s">
        <v>10</v>
      </c>
      <c r="D223">
        <f t="shared" si="14"/>
        <v>270</v>
      </c>
      <c r="E223">
        <f t="shared" si="15"/>
        <v>0</v>
      </c>
      <c r="F223">
        <f t="shared" si="13"/>
        <v>270</v>
      </c>
    </row>
    <row r="224" spans="1:6" x14ac:dyDescent="0.25">
      <c r="A224" s="1">
        <v>45149</v>
      </c>
      <c r="B224">
        <f t="shared" si="12"/>
        <v>5</v>
      </c>
      <c r="C224" t="s">
        <v>10</v>
      </c>
      <c r="D224">
        <f t="shared" si="14"/>
        <v>270</v>
      </c>
      <c r="E224">
        <f t="shared" si="15"/>
        <v>0</v>
      </c>
      <c r="F224">
        <f t="shared" si="13"/>
        <v>270</v>
      </c>
    </row>
    <row r="225" spans="1:6" x14ac:dyDescent="0.25">
      <c r="A225" s="1">
        <v>45150</v>
      </c>
      <c r="B225">
        <f t="shared" si="12"/>
        <v>6</v>
      </c>
      <c r="C225" t="s">
        <v>10</v>
      </c>
      <c r="D225">
        <f t="shared" si="14"/>
        <v>0</v>
      </c>
      <c r="E225">
        <f t="shared" si="15"/>
        <v>0</v>
      </c>
      <c r="F225">
        <f t="shared" si="13"/>
        <v>0</v>
      </c>
    </row>
    <row r="226" spans="1:6" x14ac:dyDescent="0.25">
      <c r="A226" s="1">
        <v>45151</v>
      </c>
      <c r="B226">
        <f t="shared" si="12"/>
        <v>7</v>
      </c>
      <c r="C226" t="s">
        <v>10</v>
      </c>
      <c r="D226">
        <f t="shared" si="14"/>
        <v>0</v>
      </c>
      <c r="E226">
        <f t="shared" si="15"/>
        <v>150</v>
      </c>
      <c r="F226">
        <f t="shared" si="13"/>
        <v>-150</v>
      </c>
    </row>
    <row r="227" spans="1:6" x14ac:dyDescent="0.25">
      <c r="A227" s="1">
        <v>45152</v>
      </c>
      <c r="B227">
        <f t="shared" si="12"/>
        <v>1</v>
      </c>
      <c r="C227" t="s">
        <v>10</v>
      </c>
      <c r="D227">
        <f t="shared" si="14"/>
        <v>270</v>
      </c>
      <c r="E227">
        <f t="shared" si="15"/>
        <v>0</v>
      </c>
      <c r="F227">
        <f t="shared" si="13"/>
        <v>270</v>
      </c>
    </row>
    <row r="228" spans="1:6" x14ac:dyDescent="0.25">
      <c r="A228" s="1">
        <v>45153</v>
      </c>
      <c r="B228">
        <f t="shared" si="12"/>
        <v>2</v>
      </c>
      <c r="C228" t="s">
        <v>10</v>
      </c>
      <c r="D228">
        <f t="shared" si="14"/>
        <v>270</v>
      </c>
      <c r="E228">
        <f t="shared" si="15"/>
        <v>0</v>
      </c>
      <c r="F228">
        <f t="shared" si="13"/>
        <v>270</v>
      </c>
    </row>
    <row r="229" spans="1:6" x14ac:dyDescent="0.25">
      <c r="A229" s="1">
        <v>45154</v>
      </c>
      <c r="B229">
        <f t="shared" si="12"/>
        <v>3</v>
      </c>
      <c r="C229" t="s">
        <v>10</v>
      </c>
      <c r="D229">
        <f t="shared" si="14"/>
        <v>270</v>
      </c>
      <c r="E229">
        <f t="shared" si="15"/>
        <v>0</v>
      </c>
      <c r="F229">
        <f t="shared" si="13"/>
        <v>270</v>
      </c>
    </row>
    <row r="230" spans="1:6" x14ac:dyDescent="0.25">
      <c r="A230" s="1">
        <v>45155</v>
      </c>
      <c r="B230">
        <f t="shared" si="12"/>
        <v>4</v>
      </c>
      <c r="C230" t="s">
        <v>10</v>
      </c>
      <c r="D230">
        <f t="shared" si="14"/>
        <v>270</v>
      </c>
      <c r="E230">
        <f t="shared" si="15"/>
        <v>0</v>
      </c>
      <c r="F230">
        <f t="shared" si="13"/>
        <v>270</v>
      </c>
    </row>
    <row r="231" spans="1:6" x14ac:dyDescent="0.25">
      <c r="A231" s="1">
        <v>45156</v>
      </c>
      <c r="B231">
        <f t="shared" si="12"/>
        <v>5</v>
      </c>
      <c r="C231" t="s">
        <v>10</v>
      </c>
      <c r="D231">
        <f t="shared" si="14"/>
        <v>270</v>
      </c>
      <c r="E231">
        <f t="shared" si="15"/>
        <v>0</v>
      </c>
      <c r="F231">
        <f t="shared" si="13"/>
        <v>270</v>
      </c>
    </row>
    <row r="232" spans="1:6" x14ac:dyDescent="0.25">
      <c r="A232" s="1">
        <v>45157</v>
      </c>
      <c r="B232">
        <f t="shared" si="12"/>
        <v>6</v>
      </c>
      <c r="C232" t="s">
        <v>10</v>
      </c>
      <c r="D232">
        <f t="shared" si="14"/>
        <v>0</v>
      </c>
      <c r="E232">
        <f t="shared" si="15"/>
        <v>0</v>
      </c>
      <c r="F232">
        <f t="shared" si="13"/>
        <v>0</v>
      </c>
    </row>
    <row r="233" spans="1:6" x14ac:dyDescent="0.25">
      <c r="A233" s="1">
        <v>45158</v>
      </c>
      <c r="B233">
        <f t="shared" si="12"/>
        <v>7</v>
      </c>
      <c r="C233" t="s">
        <v>10</v>
      </c>
      <c r="D233">
        <f t="shared" si="14"/>
        <v>0</v>
      </c>
      <c r="E233">
        <f t="shared" si="15"/>
        <v>150</v>
      </c>
      <c r="F233">
        <f t="shared" si="13"/>
        <v>-150</v>
      </c>
    </row>
    <row r="234" spans="1:6" x14ac:dyDescent="0.25">
      <c r="A234" s="1">
        <v>45159</v>
      </c>
      <c r="B234">
        <f t="shared" si="12"/>
        <v>1</v>
      </c>
      <c r="C234" t="s">
        <v>10</v>
      </c>
      <c r="D234">
        <f t="shared" si="14"/>
        <v>270</v>
      </c>
      <c r="E234">
        <f t="shared" si="15"/>
        <v>0</v>
      </c>
      <c r="F234">
        <f t="shared" si="13"/>
        <v>270</v>
      </c>
    </row>
    <row r="235" spans="1:6" x14ac:dyDescent="0.25">
      <c r="A235" s="1">
        <v>45160</v>
      </c>
      <c r="B235">
        <f t="shared" si="12"/>
        <v>2</v>
      </c>
      <c r="C235" t="s">
        <v>10</v>
      </c>
      <c r="D235">
        <f t="shared" si="14"/>
        <v>270</v>
      </c>
      <c r="E235">
        <f t="shared" si="15"/>
        <v>0</v>
      </c>
      <c r="F235">
        <f t="shared" si="13"/>
        <v>270</v>
      </c>
    </row>
    <row r="236" spans="1:6" x14ac:dyDescent="0.25">
      <c r="A236" s="1">
        <v>45161</v>
      </c>
      <c r="B236">
        <f t="shared" si="12"/>
        <v>3</v>
      </c>
      <c r="C236" t="s">
        <v>10</v>
      </c>
      <c r="D236">
        <f t="shared" si="14"/>
        <v>270</v>
      </c>
      <c r="E236">
        <f t="shared" si="15"/>
        <v>0</v>
      </c>
      <c r="F236">
        <f t="shared" si="13"/>
        <v>270</v>
      </c>
    </row>
    <row r="237" spans="1:6" x14ac:dyDescent="0.25">
      <c r="A237" s="1">
        <v>45162</v>
      </c>
      <c r="B237">
        <f t="shared" si="12"/>
        <v>4</v>
      </c>
      <c r="C237" t="s">
        <v>10</v>
      </c>
      <c r="D237">
        <f t="shared" si="14"/>
        <v>270</v>
      </c>
      <c r="E237">
        <f t="shared" si="15"/>
        <v>0</v>
      </c>
      <c r="F237">
        <f t="shared" si="13"/>
        <v>270</v>
      </c>
    </row>
    <row r="238" spans="1:6" x14ac:dyDescent="0.25">
      <c r="A238" s="1">
        <v>45163</v>
      </c>
      <c r="B238">
        <f t="shared" si="12"/>
        <v>5</v>
      </c>
      <c r="C238" t="s">
        <v>10</v>
      </c>
      <c r="D238">
        <f t="shared" si="14"/>
        <v>270</v>
      </c>
      <c r="E238">
        <f t="shared" si="15"/>
        <v>0</v>
      </c>
      <c r="F238">
        <f t="shared" si="13"/>
        <v>270</v>
      </c>
    </row>
    <row r="239" spans="1:6" x14ac:dyDescent="0.25">
      <c r="A239" s="1">
        <v>45164</v>
      </c>
      <c r="B239">
        <f t="shared" si="12"/>
        <v>6</v>
      </c>
      <c r="C239" t="s">
        <v>10</v>
      </c>
      <c r="D239">
        <f t="shared" si="14"/>
        <v>0</v>
      </c>
      <c r="E239">
        <f t="shared" si="15"/>
        <v>0</v>
      </c>
      <c r="F239">
        <f t="shared" si="13"/>
        <v>0</v>
      </c>
    </row>
    <row r="240" spans="1:6" x14ac:dyDescent="0.25">
      <c r="A240" s="1">
        <v>45165</v>
      </c>
      <c r="B240">
        <f t="shared" si="12"/>
        <v>7</v>
      </c>
      <c r="C240" t="s">
        <v>10</v>
      </c>
      <c r="D240">
        <f t="shared" si="14"/>
        <v>0</v>
      </c>
      <c r="E240">
        <f t="shared" si="15"/>
        <v>150</v>
      </c>
      <c r="F240">
        <f t="shared" si="13"/>
        <v>-150</v>
      </c>
    </row>
    <row r="241" spans="1:6" x14ac:dyDescent="0.25">
      <c r="A241" s="1">
        <v>45166</v>
      </c>
      <c r="B241">
        <f t="shared" si="12"/>
        <v>1</v>
      </c>
      <c r="C241" t="s">
        <v>10</v>
      </c>
      <c r="D241">
        <f t="shared" si="14"/>
        <v>270</v>
      </c>
      <c r="E241">
        <f t="shared" si="15"/>
        <v>0</v>
      </c>
      <c r="F241">
        <f t="shared" si="13"/>
        <v>270</v>
      </c>
    </row>
    <row r="242" spans="1:6" x14ac:dyDescent="0.25">
      <c r="A242" s="1">
        <v>45167</v>
      </c>
      <c r="B242">
        <f t="shared" si="12"/>
        <v>2</v>
      </c>
      <c r="C242" t="s">
        <v>10</v>
      </c>
      <c r="D242">
        <f t="shared" si="14"/>
        <v>270</v>
      </c>
      <c r="E242">
        <f t="shared" si="15"/>
        <v>0</v>
      </c>
      <c r="F242">
        <f t="shared" si="13"/>
        <v>270</v>
      </c>
    </row>
    <row r="243" spans="1:6" x14ac:dyDescent="0.25">
      <c r="A243" s="1">
        <v>45168</v>
      </c>
      <c r="B243">
        <f t="shared" si="12"/>
        <v>3</v>
      </c>
      <c r="C243" t="s">
        <v>10</v>
      </c>
      <c r="D243">
        <f t="shared" si="14"/>
        <v>270</v>
      </c>
      <c r="E243">
        <f t="shared" si="15"/>
        <v>0</v>
      </c>
      <c r="F243">
        <f t="shared" si="13"/>
        <v>270</v>
      </c>
    </row>
    <row r="244" spans="1:6" x14ac:dyDescent="0.25">
      <c r="A244" s="1">
        <v>45169</v>
      </c>
      <c r="B244">
        <f t="shared" si="12"/>
        <v>4</v>
      </c>
      <c r="C244" t="s">
        <v>10</v>
      </c>
      <c r="D244">
        <f t="shared" si="14"/>
        <v>270</v>
      </c>
      <c r="E244">
        <f t="shared" si="15"/>
        <v>0</v>
      </c>
      <c r="F244">
        <f t="shared" si="13"/>
        <v>270</v>
      </c>
    </row>
    <row r="245" spans="1:6" x14ac:dyDescent="0.25">
      <c r="A245" s="1">
        <v>45170</v>
      </c>
      <c r="B245">
        <f t="shared" si="12"/>
        <v>5</v>
      </c>
      <c r="C245" t="s">
        <v>10</v>
      </c>
      <c r="D245">
        <f t="shared" si="14"/>
        <v>270</v>
      </c>
      <c r="E245">
        <f t="shared" si="15"/>
        <v>0</v>
      </c>
      <c r="F245">
        <f t="shared" si="13"/>
        <v>270</v>
      </c>
    </row>
    <row r="246" spans="1:6" x14ac:dyDescent="0.25">
      <c r="A246" s="1">
        <v>45171</v>
      </c>
      <c r="B246">
        <f t="shared" si="12"/>
        <v>6</v>
      </c>
      <c r="C246" t="s">
        <v>10</v>
      </c>
      <c r="D246">
        <f t="shared" si="14"/>
        <v>0</v>
      </c>
      <c r="E246">
        <f t="shared" si="15"/>
        <v>0</v>
      </c>
      <c r="F246">
        <f t="shared" si="13"/>
        <v>0</v>
      </c>
    </row>
    <row r="247" spans="1:6" x14ac:dyDescent="0.25">
      <c r="A247" s="1">
        <v>45172</v>
      </c>
      <c r="B247">
        <f t="shared" si="12"/>
        <v>7</v>
      </c>
      <c r="C247" t="s">
        <v>10</v>
      </c>
      <c r="D247">
        <f t="shared" si="14"/>
        <v>0</v>
      </c>
      <c r="E247">
        <f t="shared" si="15"/>
        <v>150</v>
      </c>
      <c r="F247">
        <f t="shared" si="13"/>
        <v>-150</v>
      </c>
    </row>
    <row r="248" spans="1:6" x14ac:dyDescent="0.25">
      <c r="A248" s="1">
        <v>45173</v>
      </c>
      <c r="B248">
        <f t="shared" si="12"/>
        <v>1</v>
      </c>
      <c r="C248" t="s">
        <v>10</v>
      </c>
      <c r="D248">
        <f t="shared" si="14"/>
        <v>270</v>
      </c>
      <c r="E248">
        <f t="shared" si="15"/>
        <v>0</v>
      </c>
      <c r="F248">
        <f t="shared" si="13"/>
        <v>270</v>
      </c>
    </row>
    <row r="249" spans="1:6" x14ac:dyDescent="0.25">
      <c r="A249" s="1">
        <v>45174</v>
      </c>
      <c r="B249">
        <f t="shared" si="12"/>
        <v>2</v>
      </c>
      <c r="C249" t="s">
        <v>10</v>
      </c>
      <c r="D249">
        <f t="shared" si="14"/>
        <v>270</v>
      </c>
      <c r="E249">
        <f t="shared" si="15"/>
        <v>0</v>
      </c>
      <c r="F249">
        <f t="shared" si="13"/>
        <v>270</v>
      </c>
    </row>
    <row r="250" spans="1:6" x14ac:dyDescent="0.25">
      <c r="A250" s="1">
        <v>45175</v>
      </c>
      <c r="B250">
        <f t="shared" si="12"/>
        <v>3</v>
      </c>
      <c r="C250" t="s">
        <v>10</v>
      </c>
      <c r="D250">
        <f t="shared" si="14"/>
        <v>270</v>
      </c>
      <c r="E250">
        <f t="shared" si="15"/>
        <v>0</v>
      </c>
      <c r="F250">
        <f t="shared" si="13"/>
        <v>270</v>
      </c>
    </row>
    <row r="251" spans="1:6" x14ac:dyDescent="0.25">
      <c r="A251" s="1">
        <v>45176</v>
      </c>
      <c r="B251">
        <f t="shared" si="12"/>
        <v>4</v>
      </c>
      <c r="C251" t="s">
        <v>10</v>
      </c>
      <c r="D251">
        <f t="shared" si="14"/>
        <v>270</v>
      </c>
      <c r="E251">
        <f t="shared" si="15"/>
        <v>0</v>
      </c>
      <c r="F251">
        <f t="shared" si="13"/>
        <v>270</v>
      </c>
    </row>
    <row r="252" spans="1:6" x14ac:dyDescent="0.25">
      <c r="A252" s="1">
        <v>45177</v>
      </c>
      <c r="B252">
        <f t="shared" si="12"/>
        <v>5</v>
      </c>
      <c r="C252" t="s">
        <v>10</v>
      </c>
      <c r="D252">
        <f t="shared" si="14"/>
        <v>270</v>
      </c>
      <c r="E252">
        <f t="shared" si="15"/>
        <v>0</v>
      </c>
      <c r="F252">
        <f t="shared" si="13"/>
        <v>270</v>
      </c>
    </row>
    <row r="253" spans="1:6" x14ac:dyDescent="0.25">
      <c r="A253" s="1">
        <v>45178</v>
      </c>
      <c r="B253">
        <f t="shared" si="12"/>
        <v>6</v>
      </c>
      <c r="C253" t="s">
        <v>10</v>
      </c>
      <c r="D253">
        <f t="shared" si="14"/>
        <v>0</v>
      </c>
      <c r="E253">
        <f t="shared" si="15"/>
        <v>0</v>
      </c>
      <c r="F253">
        <f t="shared" si="13"/>
        <v>0</v>
      </c>
    </row>
    <row r="254" spans="1:6" x14ac:dyDescent="0.25">
      <c r="A254" s="1">
        <v>45179</v>
      </c>
      <c r="B254">
        <f t="shared" si="12"/>
        <v>7</v>
      </c>
      <c r="C254" t="s">
        <v>10</v>
      </c>
      <c r="D254">
        <f t="shared" si="14"/>
        <v>0</v>
      </c>
      <c r="E254">
        <f t="shared" si="15"/>
        <v>150</v>
      </c>
      <c r="F254">
        <f t="shared" si="13"/>
        <v>-150</v>
      </c>
    </row>
    <row r="255" spans="1:6" x14ac:dyDescent="0.25">
      <c r="A255" s="1">
        <v>45180</v>
      </c>
      <c r="B255">
        <f t="shared" si="12"/>
        <v>1</v>
      </c>
      <c r="C255" t="s">
        <v>10</v>
      </c>
      <c r="D255">
        <f t="shared" si="14"/>
        <v>270</v>
      </c>
      <c r="E255">
        <f t="shared" si="15"/>
        <v>0</v>
      </c>
      <c r="F255">
        <f t="shared" si="13"/>
        <v>270</v>
      </c>
    </row>
    <row r="256" spans="1:6" x14ac:dyDescent="0.25">
      <c r="A256" s="1">
        <v>45181</v>
      </c>
      <c r="B256">
        <f t="shared" si="12"/>
        <v>2</v>
      </c>
      <c r="C256" t="s">
        <v>10</v>
      </c>
      <c r="D256">
        <f t="shared" si="14"/>
        <v>270</v>
      </c>
      <c r="E256">
        <f t="shared" si="15"/>
        <v>0</v>
      </c>
      <c r="F256">
        <f t="shared" si="13"/>
        <v>270</v>
      </c>
    </row>
    <row r="257" spans="1:6" x14ac:dyDescent="0.25">
      <c r="A257" s="1">
        <v>45182</v>
      </c>
      <c r="B257">
        <f t="shared" si="12"/>
        <v>3</v>
      </c>
      <c r="C257" t="s">
        <v>10</v>
      </c>
      <c r="D257">
        <f t="shared" si="14"/>
        <v>270</v>
      </c>
      <c r="E257">
        <f t="shared" si="15"/>
        <v>0</v>
      </c>
      <c r="F257">
        <f t="shared" si="13"/>
        <v>270</v>
      </c>
    </row>
    <row r="258" spans="1:6" x14ac:dyDescent="0.25">
      <c r="A258" s="1">
        <v>45183</v>
      </c>
      <c r="B258">
        <f t="shared" si="12"/>
        <v>4</v>
      </c>
      <c r="C258" t="s">
        <v>10</v>
      </c>
      <c r="D258">
        <f t="shared" si="14"/>
        <v>270</v>
      </c>
      <c r="E258">
        <f t="shared" si="15"/>
        <v>0</v>
      </c>
      <c r="F258">
        <f t="shared" si="13"/>
        <v>270</v>
      </c>
    </row>
    <row r="259" spans="1:6" x14ac:dyDescent="0.25">
      <c r="A259" s="1">
        <v>45184</v>
      </c>
      <c r="B259">
        <f t="shared" ref="B259:B322" si="16">WEEKDAY(A259,2)</f>
        <v>5</v>
      </c>
      <c r="C259" t="s">
        <v>10</v>
      </c>
      <c r="D259">
        <f t="shared" si="14"/>
        <v>270</v>
      </c>
      <c r="E259">
        <f t="shared" si="15"/>
        <v>0</v>
      </c>
      <c r="F259">
        <f t="shared" ref="F259:F322" si="17">D259-E259</f>
        <v>270</v>
      </c>
    </row>
    <row r="260" spans="1:6" x14ac:dyDescent="0.25">
      <c r="A260" s="1">
        <v>45185</v>
      </c>
      <c r="B260">
        <f t="shared" si="16"/>
        <v>6</v>
      </c>
      <c r="C260" t="s">
        <v>10</v>
      </c>
      <c r="D260">
        <f t="shared" ref="D260:D323" si="18">IF(B260&lt;6,$Q$1*VLOOKUP(C260,$S$1:$T$5,2,FALSE)*$Q$3,0)</f>
        <v>0</v>
      </c>
      <c r="E260">
        <f t="shared" ref="E260:E323" si="19">IF(B260=7,$Q$4*$Q$1,0)</f>
        <v>0</v>
      </c>
      <c r="F260">
        <f t="shared" si="17"/>
        <v>0</v>
      </c>
    </row>
    <row r="261" spans="1:6" x14ac:dyDescent="0.25">
      <c r="A261" s="1">
        <v>45186</v>
      </c>
      <c r="B261">
        <f t="shared" si="16"/>
        <v>7</v>
      </c>
      <c r="C261" t="s">
        <v>10</v>
      </c>
      <c r="D261">
        <f t="shared" si="18"/>
        <v>0</v>
      </c>
      <c r="E261">
        <f t="shared" si="19"/>
        <v>150</v>
      </c>
      <c r="F261">
        <f t="shared" si="17"/>
        <v>-150</v>
      </c>
    </row>
    <row r="262" spans="1:6" x14ac:dyDescent="0.25">
      <c r="A262" s="1">
        <v>45187</v>
      </c>
      <c r="B262">
        <f t="shared" si="16"/>
        <v>1</v>
      </c>
      <c r="C262" t="s">
        <v>10</v>
      </c>
      <c r="D262">
        <f t="shared" si="18"/>
        <v>270</v>
      </c>
      <c r="E262">
        <f t="shared" si="19"/>
        <v>0</v>
      </c>
      <c r="F262">
        <f t="shared" si="17"/>
        <v>270</v>
      </c>
    </row>
    <row r="263" spans="1:6" x14ac:dyDescent="0.25">
      <c r="A263" s="1">
        <v>45188</v>
      </c>
      <c r="B263">
        <f t="shared" si="16"/>
        <v>2</v>
      </c>
      <c r="C263" t="s">
        <v>10</v>
      </c>
      <c r="D263">
        <f t="shared" si="18"/>
        <v>270</v>
      </c>
      <c r="E263">
        <f t="shared" si="19"/>
        <v>0</v>
      </c>
      <c r="F263">
        <f t="shared" si="17"/>
        <v>270</v>
      </c>
    </row>
    <row r="264" spans="1:6" x14ac:dyDescent="0.25">
      <c r="A264" s="1">
        <v>45189</v>
      </c>
      <c r="B264">
        <f t="shared" si="16"/>
        <v>3</v>
      </c>
      <c r="C264" t="s">
        <v>10</v>
      </c>
      <c r="D264">
        <f t="shared" si="18"/>
        <v>270</v>
      </c>
      <c r="E264">
        <f t="shared" si="19"/>
        <v>0</v>
      </c>
      <c r="F264">
        <f t="shared" si="17"/>
        <v>270</v>
      </c>
    </row>
    <row r="265" spans="1:6" x14ac:dyDescent="0.25">
      <c r="A265" s="1">
        <v>45190</v>
      </c>
      <c r="B265">
        <f t="shared" si="16"/>
        <v>4</v>
      </c>
      <c r="C265" t="s">
        <v>10</v>
      </c>
      <c r="D265">
        <f t="shared" si="18"/>
        <v>270</v>
      </c>
      <c r="E265">
        <f t="shared" si="19"/>
        <v>0</v>
      </c>
      <c r="F265">
        <f t="shared" si="17"/>
        <v>270</v>
      </c>
    </row>
    <row r="266" spans="1:6" x14ac:dyDescent="0.25">
      <c r="A266" s="1">
        <v>45191</v>
      </c>
      <c r="B266">
        <f t="shared" si="16"/>
        <v>5</v>
      </c>
      <c r="C266" t="s">
        <v>10</v>
      </c>
      <c r="D266">
        <f t="shared" si="18"/>
        <v>270</v>
      </c>
      <c r="E266">
        <f t="shared" si="19"/>
        <v>0</v>
      </c>
      <c r="F266">
        <f t="shared" si="17"/>
        <v>270</v>
      </c>
    </row>
    <row r="267" spans="1:6" x14ac:dyDescent="0.25">
      <c r="A267" s="1">
        <v>45192</v>
      </c>
      <c r="B267">
        <f t="shared" si="16"/>
        <v>6</v>
      </c>
      <c r="C267" t="s">
        <v>11</v>
      </c>
      <c r="D267">
        <f t="shared" si="18"/>
        <v>0</v>
      </c>
      <c r="E267">
        <f t="shared" si="19"/>
        <v>0</v>
      </c>
      <c r="F267">
        <f t="shared" si="17"/>
        <v>0</v>
      </c>
    </row>
    <row r="268" spans="1:6" x14ac:dyDescent="0.25">
      <c r="A268" s="1">
        <v>45193</v>
      </c>
      <c r="B268">
        <f t="shared" si="16"/>
        <v>7</v>
      </c>
      <c r="C268" t="s">
        <v>11</v>
      </c>
      <c r="D268">
        <f t="shared" si="18"/>
        <v>0</v>
      </c>
      <c r="E268">
        <f t="shared" si="19"/>
        <v>150</v>
      </c>
      <c r="F268">
        <f t="shared" si="17"/>
        <v>-150</v>
      </c>
    </row>
    <row r="269" spans="1:6" x14ac:dyDescent="0.25">
      <c r="A269" s="1">
        <v>45194</v>
      </c>
      <c r="B269">
        <f t="shared" si="16"/>
        <v>1</v>
      </c>
      <c r="C269" t="s">
        <v>11</v>
      </c>
      <c r="D269">
        <f t="shared" si="18"/>
        <v>120</v>
      </c>
      <c r="E269">
        <f t="shared" si="19"/>
        <v>0</v>
      </c>
      <c r="F269">
        <f t="shared" si="17"/>
        <v>120</v>
      </c>
    </row>
    <row r="270" spans="1:6" x14ac:dyDescent="0.25">
      <c r="A270" s="1">
        <v>45195</v>
      </c>
      <c r="B270">
        <f t="shared" si="16"/>
        <v>2</v>
      </c>
      <c r="C270" t="s">
        <v>11</v>
      </c>
      <c r="D270">
        <f t="shared" si="18"/>
        <v>120</v>
      </c>
      <c r="E270">
        <f t="shared" si="19"/>
        <v>0</v>
      </c>
      <c r="F270">
        <f t="shared" si="17"/>
        <v>120</v>
      </c>
    </row>
    <row r="271" spans="1:6" x14ac:dyDescent="0.25">
      <c r="A271" s="1">
        <v>45196</v>
      </c>
      <c r="B271">
        <f t="shared" si="16"/>
        <v>3</v>
      </c>
      <c r="C271" t="s">
        <v>11</v>
      </c>
      <c r="D271">
        <f t="shared" si="18"/>
        <v>120</v>
      </c>
      <c r="E271">
        <f t="shared" si="19"/>
        <v>0</v>
      </c>
      <c r="F271">
        <f t="shared" si="17"/>
        <v>120</v>
      </c>
    </row>
    <row r="272" spans="1:6" x14ac:dyDescent="0.25">
      <c r="A272" s="1">
        <v>45197</v>
      </c>
      <c r="B272">
        <f t="shared" si="16"/>
        <v>4</v>
      </c>
      <c r="C272" t="s">
        <v>11</v>
      </c>
      <c r="D272">
        <f t="shared" si="18"/>
        <v>120</v>
      </c>
      <c r="E272">
        <f t="shared" si="19"/>
        <v>0</v>
      </c>
      <c r="F272">
        <f t="shared" si="17"/>
        <v>120</v>
      </c>
    </row>
    <row r="273" spans="1:6" x14ac:dyDescent="0.25">
      <c r="A273" s="1">
        <v>45198</v>
      </c>
      <c r="B273">
        <f t="shared" si="16"/>
        <v>5</v>
      </c>
      <c r="C273" t="s">
        <v>11</v>
      </c>
      <c r="D273">
        <f t="shared" si="18"/>
        <v>120</v>
      </c>
      <c r="E273">
        <f t="shared" si="19"/>
        <v>0</v>
      </c>
      <c r="F273">
        <f t="shared" si="17"/>
        <v>120</v>
      </c>
    </row>
    <row r="274" spans="1:6" x14ac:dyDescent="0.25">
      <c r="A274" s="1">
        <v>45199</v>
      </c>
      <c r="B274">
        <f t="shared" si="16"/>
        <v>6</v>
      </c>
      <c r="C274" t="s">
        <v>11</v>
      </c>
      <c r="D274">
        <f t="shared" si="18"/>
        <v>0</v>
      </c>
      <c r="E274">
        <f t="shared" si="19"/>
        <v>0</v>
      </c>
      <c r="F274">
        <f t="shared" si="17"/>
        <v>0</v>
      </c>
    </row>
    <row r="275" spans="1:6" x14ac:dyDescent="0.25">
      <c r="A275" s="1">
        <v>45200</v>
      </c>
      <c r="B275">
        <f t="shared" si="16"/>
        <v>7</v>
      </c>
      <c r="C275" t="s">
        <v>11</v>
      </c>
      <c r="D275">
        <f t="shared" si="18"/>
        <v>0</v>
      </c>
      <c r="E275">
        <f t="shared" si="19"/>
        <v>150</v>
      </c>
      <c r="F275">
        <f t="shared" si="17"/>
        <v>-150</v>
      </c>
    </row>
    <row r="276" spans="1:6" x14ac:dyDescent="0.25">
      <c r="A276" s="1">
        <v>45201</v>
      </c>
      <c r="B276">
        <f t="shared" si="16"/>
        <v>1</v>
      </c>
      <c r="C276" t="s">
        <v>11</v>
      </c>
      <c r="D276">
        <f t="shared" si="18"/>
        <v>120</v>
      </c>
      <c r="E276">
        <f t="shared" si="19"/>
        <v>0</v>
      </c>
      <c r="F276">
        <f t="shared" si="17"/>
        <v>120</v>
      </c>
    </row>
    <row r="277" spans="1:6" x14ac:dyDescent="0.25">
      <c r="A277" s="1">
        <v>45202</v>
      </c>
      <c r="B277">
        <f t="shared" si="16"/>
        <v>2</v>
      </c>
      <c r="C277" t="s">
        <v>11</v>
      </c>
      <c r="D277">
        <f t="shared" si="18"/>
        <v>120</v>
      </c>
      <c r="E277">
        <f t="shared" si="19"/>
        <v>0</v>
      </c>
      <c r="F277">
        <f t="shared" si="17"/>
        <v>120</v>
      </c>
    </row>
    <row r="278" spans="1:6" x14ac:dyDescent="0.25">
      <c r="A278" s="1">
        <v>45203</v>
      </c>
      <c r="B278">
        <f t="shared" si="16"/>
        <v>3</v>
      </c>
      <c r="C278" t="s">
        <v>11</v>
      </c>
      <c r="D278">
        <f t="shared" si="18"/>
        <v>120</v>
      </c>
      <c r="E278">
        <f t="shared" si="19"/>
        <v>0</v>
      </c>
      <c r="F278">
        <f t="shared" si="17"/>
        <v>120</v>
      </c>
    </row>
    <row r="279" spans="1:6" x14ac:dyDescent="0.25">
      <c r="A279" s="1">
        <v>45204</v>
      </c>
      <c r="B279">
        <f t="shared" si="16"/>
        <v>4</v>
      </c>
      <c r="C279" t="s">
        <v>11</v>
      </c>
      <c r="D279">
        <f t="shared" si="18"/>
        <v>120</v>
      </c>
      <c r="E279">
        <f t="shared" si="19"/>
        <v>0</v>
      </c>
      <c r="F279">
        <f t="shared" si="17"/>
        <v>120</v>
      </c>
    </row>
    <row r="280" spans="1:6" x14ac:dyDescent="0.25">
      <c r="A280" s="1">
        <v>45205</v>
      </c>
      <c r="B280">
        <f t="shared" si="16"/>
        <v>5</v>
      </c>
      <c r="C280" t="s">
        <v>11</v>
      </c>
      <c r="D280">
        <f t="shared" si="18"/>
        <v>120</v>
      </c>
      <c r="E280">
        <f t="shared" si="19"/>
        <v>0</v>
      </c>
      <c r="F280">
        <f t="shared" si="17"/>
        <v>120</v>
      </c>
    </row>
    <row r="281" spans="1:6" x14ac:dyDescent="0.25">
      <c r="A281" s="1">
        <v>45206</v>
      </c>
      <c r="B281">
        <f t="shared" si="16"/>
        <v>6</v>
      </c>
      <c r="C281" t="s">
        <v>11</v>
      </c>
      <c r="D281">
        <f t="shared" si="18"/>
        <v>0</v>
      </c>
      <c r="E281">
        <f t="shared" si="19"/>
        <v>0</v>
      </c>
      <c r="F281">
        <f t="shared" si="17"/>
        <v>0</v>
      </c>
    </row>
    <row r="282" spans="1:6" x14ac:dyDescent="0.25">
      <c r="A282" s="1">
        <v>45207</v>
      </c>
      <c r="B282">
        <f t="shared" si="16"/>
        <v>7</v>
      </c>
      <c r="C282" t="s">
        <v>11</v>
      </c>
      <c r="D282">
        <f t="shared" si="18"/>
        <v>0</v>
      </c>
      <c r="E282">
        <f t="shared" si="19"/>
        <v>150</v>
      </c>
      <c r="F282">
        <f t="shared" si="17"/>
        <v>-150</v>
      </c>
    </row>
    <row r="283" spans="1:6" x14ac:dyDescent="0.25">
      <c r="A283" s="1">
        <v>45208</v>
      </c>
      <c r="B283">
        <f t="shared" si="16"/>
        <v>1</v>
      </c>
      <c r="C283" t="s">
        <v>11</v>
      </c>
      <c r="D283">
        <f t="shared" si="18"/>
        <v>120</v>
      </c>
      <c r="E283">
        <f t="shared" si="19"/>
        <v>0</v>
      </c>
      <c r="F283">
        <f t="shared" si="17"/>
        <v>120</v>
      </c>
    </row>
    <row r="284" spans="1:6" x14ac:dyDescent="0.25">
      <c r="A284" s="1">
        <v>45209</v>
      </c>
      <c r="B284">
        <f t="shared" si="16"/>
        <v>2</v>
      </c>
      <c r="C284" t="s">
        <v>11</v>
      </c>
      <c r="D284">
        <f t="shared" si="18"/>
        <v>120</v>
      </c>
      <c r="E284">
        <f t="shared" si="19"/>
        <v>0</v>
      </c>
      <c r="F284">
        <f t="shared" si="17"/>
        <v>120</v>
      </c>
    </row>
    <row r="285" spans="1:6" x14ac:dyDescent="0.25">
      <c r="A285" s="1">
        <v>45210</v>
      </c>
      <c r="B285">
        <f t="shared" si="16"/>
        <v>3</v>
      </c>
      <c r="C285" t="s">
        <v>11</v>
      </c>
      <c r="D285">
        <f t="shared" si="18"/>
        <v>120</v>
      </c>
      <c r="E285">
        <f t="shared" si="19"/>
        <v>0</v>
      </c>
      <c r="F285">
        <f t="shared" si="17"/>
        <v>120</v>
      </c>
    </row>
    <row r="286" spans="1:6" x14ac:dyDescent="0.25">
      <c r="A286" s="1">
        <v>45211</v>
      </c>
      <c r="B286">
        <f t="shared" si="16"/>
        <v>4</v>
      </c>
      <c r="C286" t="s">
        <v>11</v>
      </c>
      <c r="D286">
        <f t="shared" si="18"/>
        <v>120</v>
      </c>
      <c r="E286">
        <f t="shared" si="19"/>
        <v>0</v>
      </c>
      <c r="F286">
        <f t="shared" si="17"/>
        <v>120</v>
      </c>
    </row>
    <row r="287" spans="1:6" x14ac:dyDescent="0.25">
      <c r="A287" s="1">
        <v>45212</v>
      </c>
      <c r="B287">
        <f t="shared" si="16"/>
        <v>5</v>
      </c>
      <c r="C287" t="s">
        <v>11</v>
      </c>
      <c r="D287">
        <f t="shared" si="18"/>
        <v>120</v>
      </c>
      <c r="E287">
        <f t="shared" si="19"/>
        <v>0</v>
      </c>
      <c r="F287">
        <f t="shared" si="17"/>
        <v>120</v>
      </c>
    </row>
    <row r="288" spans="1:6" x14ac:dyDescent="0.25">
      <c r="A288" s="1">
        <v>45213</v>
      </c>
      <c r="B288">
        <f t="shared" si="16"/>
        <v>6</v>
      </c>
      <c r="C288" t="s">
        <v>11</v>
      </c>
      <c r="D288">
        <f t="shared" si="18"/>
        <v>0</v>
      </c>
      <c r="E288">
        <f t="shared" si="19"/>
        <v>0</v>
      </c>
      <c r="F288">
        <f t="shared" si="17"/>
        <v>0</v>
      </c>
    </row>
    <row r="289" spans="1:6" x14ac:dyDescent="0.25">
      <c r="A289" s="1">
        <v>45214</v>
      </c>
      <c r="B289">
        <f t="shared" si="16"/>
        <v>7</v>
      </c>
      <c r="C289" t="s">
        <v>11</v>
      </c>
      <c r="D289">
        <f t="shared" si="18"/>
        <v>0</v>
      </c>
      <c r="E289">
        <f t="shared" si="19"/>
        <v>150</v>
      </c>
      <c r="F289">
        <f t="shared" si="17"/>
        <v>-150</v>
      </c>
    </row>
    <row r="290" spans="1:6" x14ac:dyDescent="0.25">
      <c r="A290" s="1">
        <v>45215</v>
      </c>
      <c r="B290">
        <f t="shared" si="16"/>
        <v>1</v>
      </c>
      <c r="C290" t="s">
        <v>11</v>
      </c>
      <c r="D290">
        <f t="shared" si="18"/>
        <v>120</v>
      </c>
      <c r="E290">
        <f t="shared" si="19"/>
        <v>0</v>
      </c>
      <c r="F290">
        <f t="shared" si="17"/>
        <v>120</v>
      </c>
    </row>
    <row r="291" spans="1:6" x14ac:dyDescent="0.25">
      <c r="A291" s="1">
        <v>45216</v>
      </c>
      <c r="B291">
        <f t="shared" si="16"/>
        <v>2</v>
      </c>
      <c r="C291" t="s">
        <v>11</v>
      </c>
      <c r="D291">
        <f t="shared" si="18"/>
        <v>120</v>
      </c>
      <c r="E291">
        <f t="shared" si="19"/>
        <v>0</v>
      </c>
      <c r="F291">
        <f t="shared" si="17"/>
        <v>120</v>
      </c>
    </row>
    <row r="292" spans="1:6" x14ac:dyDescent="0.25">
      <c r="A292" s="1">
        <v>45217</v>
      </c>
      <c r="B292">
        <f t="shared" si="16"/>
        <v>3</v>
      </c>
      <c r="C292" t="s">
        <v>11</v>
      </c>
      <c r="D292">
        <f t="shared" si="18"/>
        <v>120</v>
      </c>
      <c r="E292">
        <f t="shared" si="19"/>
        <v>0</v>
      </c>
      <c r="F292">
        <f t="shared" si="17"/>
        <v>120</v>
      </c>
    </row>
    <row r="293" spans="1:6" x14ac:dyDescent="0.25">
      <c r="A293" s="1">
        <v>45218</v>
      </c>
      <c r="B293">
        <f t="shared" si="16"/>
        <v>4</v>
      </c>
      <c r="C293" t="s">
        <v>11</v>
      </c>
      <c r="D293">
        <f t="shared" si="18"/>
        <v>120</v>
      </c>
      <c r="E293">
        <f t="shared" si="19"/>
        <v>0</v>
      </c>
      <c r="F293">
        <f t="shared" si="17"/>
        <v>120</v>
      </c>
    </row>
    <row r="294" spans="1:6" x14ac:dyDescent="0.25">
      <c r="A294" s="1">
        <v>45219</v>
      </c>
      <c r="B294">
        <f t="shared" si="16"/>
        <v>5</v>
      </c>
      <c r="C294" t="s">
        <v>11</v>
      </c>
      <c r="D294">
        <f t="shared" si="18"/>
        <v>120</v>
      </c>
      <c r="E294">
        <f t="shared" si="19"/>
        <v>0</v>
      </c>
      <c r="F294">
        <f t="shared" si="17"/>
        <v>120</v>
      </c>
    </row>
    <row r="295" spans="1:6" x14ac:dyDescent="0.25">
      <c r="A295" s="1">
        <v>45220</v>
      </c>
      <c r="B295">
        <f t="shared" si="16"/>
        <v>6</v>
      </c>
      <c r="C295" t="s">
        <v>11</v>
      </c>
      <c r="D295">
        <f t="shared" si="18"/>
        <v>0</v>
      </c>
      <c r="E295">
        <f t="shared" si="19"/>
        <v>0</v>
      </c>
      <c r="F295">
        <f t="shared" si="17"/>
        <v>0</v>
      </c>
    </row>
    <row r="296" spans="1:6" x14ac:dyDescent="0.25">
      <c r="A296" s="1">
        <v>45221</v>
      </c>
      <c r="B296">
        <f t="shared" si="16"/>
        <v>7</v>
      </c>
      <c r="C296" t="s">
        <v>11</v>
      </c>
      <c r="D296">
        <f t="shared" si="18"/>
        <v>0</v>
      </c>
      <c r="E296">
        <f t="shared" si="19"/>
        <v>150</v>
      </c>
      <c r="F296">
        <f t="shared" si="17"/>
        <v>-150</v>
      </c>
    </row>
    <row r="297" spans="1:6" x14ac:dyDescent="0.25">
      <c r="A297" s="1">
        <v>45222</v>
      </c>
      <c r="B297">
        <f t="shared" si="16"/>
        <v>1</v>
      </c>
      <c r="C297" t="s">
        <v>11</v>
      </c>
      <c r="D297">
        <f t="shared" si="18"/>
        <v>120</v>
      </c>
      <c r="E297">
        <f t="shared" si="19"/>
        <v>0</v>
      </c>
      <c r="F297">
        <f t="shared" si="17"/>
        <v>120</v>
      </c>
    </row>
    <row r="298" spans="1:6" x14ac:dyDescent="0.25">
      <c r="A298" s="1">
        <v>45223</v>
      </c>
      <c r="B298">
        <f t="shared" si="16"/>
        <v>2</v>
      </c>
      <c r="C298" t="s">
        <v>11</v>
      </c>
      <c r="D298">
        <f t="shared" si="18"/>
        <v>120</v>
      </c>
      <c r="E298">
        <f t="shared" si="19"/>
        <v>0</v>
      </c>
      <c r="F298">
        <f t="shared" si="17"/>
        <v>120</v>
      </c>
    </row>
    <row r="299" spans="1:6" x14ac:dyDescent="0.25">
      <c r="A299" s="1">
        <v>45224</v>
      </c>
      <c r="B299">
        <f t="shared" si="16"/>
        <v>3</v>
      </c>
      <c r="C299" t="s">
        <v>11</v>
      </c>
      <c r="D299">
        <f t="shared" si="18"/>
        <v>120</v>
      </c>
      <c r="E299">
        <f t="shared" si="19"/>
        <v>0</v>
      </c>
      <c r="F299">
        <f t="shared" si="17"/>
        <v>120</v>
      </c>
    </row>
    <row r="300" spans="1:6" x14ac:dyDescent="0.25">
      <c r="A300" s="1">
        <v>45225</v>
      </c>
      <c r="B300">
        <f t="shared" si="16"/>
        <v>4</v>
      </c>
      <c r="C300" t="s">
        <v>11</v>
      </c>
      <c r="D300">
        <f t="shared" si="18"/>
        <v>120</v>
      </c>
      <c r="E300">
        <f t="shared" si="19"/>
        <v>0</v>
      </c>
      <c r="F300">
        <f t="shared" si="17"/>
        <v>120</v>
      </c>
    </row>
    <row r="301" spans="1:6" x14ac:dyDescent="0.25">
      <c r="A301" s="1">
        <v>45226</v>
      </c>
      <c r="B301">
        <f t="shared" si="16"/>
        <v>5</v>
      </c>
      <c r="C301" t="s">
        <v>11</v>
      </c>
      <c r="D301">
        <f t="shared" si="18"/>
        <v>120</v>
      </c>
      <c r="E301">
        <f t="shared" si="19"/>
        <v>0</v>
      </c>
      <c r="F301">
        <f t="shared" si="17"/>
        <v>120</v>
      </c>
    </row>
    <row r="302" spans="1:6" x14ac:dyDescent="0.25">
      <c r="A302" s="1">
        <v>45227</v>
      </c>
      <c r="B302">
        <f t="shared" si="16"/>
        <v>6</v>
      </c>
      <c r="C302" t="s">
        <v>11</v>
      </c>
      <c r="D302">
        <f t="shared" si="18"/>
        <v>0</v>
      </c>
      <c r="E302">
        <f t="shared" si="19"/>
        <v>0</v>
      </c>
      <c r="F302">
        <f t="shared" si="17"/>
        <v>0</v>
      </c>
    </row>
    <row r="303" spans="1:6" x14ac:dyDescent="0.25">
      <c r="A303" s="1">
        <v>45228</v>
      </c>
      <c r="B303">
        <f t="shared" si="16"/>
        <v>7</v>
      </c>
      <c r="C303" t="s">
        <v>11</v>
      </c>
      <c r="D303">
        <f t="shared" si="18"/>
        <v>0</v>
      </c>
      <c r="E303">
        <f t="shared" si="19"/>
        <v>150</v>
      </c>
      <c r="F303">
        <f t="shared" si="17"/>
        <v>-150</v>
      </c>
    </row>
    <row r="304" spans="1:6" x14ac:dyDescent="0.25">
      <c r="A304" s="1">
        <v>45229</v>
      </c>
      <c r="B304">
        <f t="shared" si="16"/>
        <v>1</v>
      </c>
      <c r="C304" t="s">
        <v>11</v>
      </c>
      <c r="D304">
        <f t="shared" si="18"/>
        <v>120</v>
      </c>
      <c r="E304">
        <f t="shared" si="19"/>
        <v>0</v>
      </c>
      <c r="F304">
        <f t="shared" si="17"/>
        <v>120</v>
      </c>
    </row>
    <row r="305" spans="1:6" x14ac:dyDescent="0.25">
      <c r="A305" s="1">
        <v>45230</v>
      </c>
      <c r="B305">
        <f t="shared" si="16"/>
        <v>2</v>
      </c>
      <c r="C305" t="s">
        <v>11</v>
      </c>
      <c r="D305">
        <f t="shared" si="18"/>
        <v>120</v>
      </c>
      <c r="E305">
        <f t="shared" si="19"/>
        <v>0</v>
      </c>
      <c r="F305">
        <f t="shared" si="17"/>
        <v>120</v>
      </c>
    </row>
    <row r="306" spans="1:6" x14ac:dyDescent="0.25">
      <c r="A306" s="1">
        <v>45231</v>
      </c>
      <c r="B306">
        <f t="shared" si="16"/>
        <v>3</v>
      </c>
      <c r="C306" t="s">
        <v>11</v>
      </c>
      <c r="D306">
        <f t="shared" si="18"/>
        <v>120</v>
      </c>
      <c r="E306">
        <f t="shared" si="19"/>
        <v>0</v>
      </c>
      <c r="F306">
        <f t="shared" si="17"/>
        <v>120</v>
      </c>
    </row>
    <row r="307" spans="1:6" x14ac:dyDescent="0.25">
      <c r="A307" s="1">
        <v>45232</v>
      </c>
      <c r="B307">
        <f t="shared" si="16"/>
        <v>4</v>
      </c>
      <c r="C307" t="s">
        <v>11</v>
      </c>
      <c r="D307">
        <f t="shared" si="18"/>
        <v>120</v>
      </c>
      <c r="E307">
        <f t="shared" si="19"/>
        <v>0</v>
      </c>
      <c r="F307">
        <f t="shared" si="17"/>
        <v>120</v>
      </c>
    </row>
    <row r="308" spans="1:6" x14ac:dyDescent="0.25">
      <c r="A308" s="1">
        <v>45233</v>
      </c>
      <c r="B308">
        <f t="shared" si="16"/>
        <v>5</v>
      </c>
      <c r="C308" t="s">
        <v>11</v>
      </c>
      <c r="D308">
        <f t="shared" si="18"/>
        <v>120</v>
      </c>
      <c r="E308">
        <f t="shared" si="19"/>
        <v>0</v>
      </c>
      <c r="F308">
        <f t="shared" si="17"/>
        <v>120</v>
      </c>
    </row>
    <row r="309" spans="1:6" x14ac:dyDescent="0.25">
      <c r="A309" s="1">
        <v>45234</v>
      </c>
      <c r="B309">
        <f t="shared" si="16"/>
        <v>6</v>
      </c>
      <c r="C309" t="s">
        <v>11</v>
      </c>
      <c r="D309">
        <f t="shared" si="18"/>
        <v>0</v>
      </c>
      <c r="E309">
        <f t="shared" si="19"/>
        <v>0</v>
      </c>
      <c r="F309">
        <f t="shared" si="17"/>
        <v>0</v>
      </c>
    </row>
    <row r="310" spans="1:6" x14ac:dyDescent="0.25">
      <c r="A310" s="1">
        <v>45235</v>
      </c>
      <c r="B310">
        <f t="shared" si="16"/>
        <v>7</v>
      </c>
      <c r="C310" t="s">
        <v>11</v>
      </c>
      <c r="D310">
        <f t="shared" si="18"/>
        <v>0</v>
      </c>
      <c r="E310">
        <f t="shared" si="19"/>
        <v>150</v>
      </c>
      <c r="F310">
        <f t="shared" si="17"/>
        <v>-150</v>
      </c>
    </row>
    <row r="311" spans="1:6" x14ac:dyDescent="0.25">
      <c r="A311" s="1">
        <v>45236</v>
      </c>
      <c r="B311">
        <f t="shared" si="16"/>
        <v>1</v>
      </c>
      <c r="C311" t="s">
        <v>11</v>
      </c>
      <c r="D311">
        <f t="shared" si="18"/>
        <v>120</v>
      </c>
      <c r="E311">
        <f t="shared" si="19"/>
        <v>0</v>
      </c>
      <c r="F311">
        <f t="shared" si="17"/>
        <v>120</v>
      </c>
    </row>
    <row r="312" spans="1:6" x14ac:dyDescent="0.25">
      <c r="A312" s="1">
        <v>45237</v>
      </c>
      <c r="B312">
        <f t="shared" si="16"/>
        <v>2</v>
      </c>
      <c r="C312" t="s">
        <v>11</v>
      </c>
      <c r="D312">
        <f t="shared" si="18"/>
        <v>120</v>
      </c>
      <c r="E312">
        <f t="shared" si="19"/>
        <v>0</v>
      </c>
      <c r="F312">
        <f t="shared" si="17"/>
        <v>120</v>
      </c>
    </row>
    <row r="313" spans="1:6" x14ac:dyDescent="0.25">
      <c r="A313" s="1">
        <v>45238</v>
      </c>
      <c r="B313">
        <f t="shared" si="16"/>
        <v>3</v>
      </c>
      <c r="C313" t="s">
        <v>11</v>
      </c>
      <c r="D313">
        <f t="shared" si="18"/>
        <v>120</v>
      </c>
      <c r="E313">
        <f t="shared" si="19"/>
        <v>0</v>
      </c>
      <c r="F313">
        <f t="shared" si="17"/>
        <v>120</v>
      </c>
    </row>
    <row r="314" spans="1:6" x14ac:dyDescent="0.25">
      <c r="A314" s="1">
        <v>45239</v>
      </c>
      <c r="B314">
        <f t="shared" si="16"/>
        <v>4</v>
      </c>
      <c r="C314" t="s">
        <v>11</v>
      </c>
      <c r="D314">
        <f t="shared" si="18"/>
        <v>120</v>
      </c>
      <c r="E314">
        <f t="shared" si="19"/>
        <v>0</v>
      </c>
      <c r="F314">
        <f t="shared" si="17"/>
        <v>120</v>
      </c>
    </row>
    <row r="315" spans="1:6" x14ac:dyDescent="0.25">
      <c r="A315" s="1">
        <v>45240</v>
      </c>
      <c r="B315">
        <f t="shared" si="16"/>
        <v>5</v>
      </c>
      <c r="C315" t="s">
        <v>11</v>
      </c>
      <c r="D315">
        <f t="shared" si="18"/>
        <v>120</v>
      </c>
      <c r="E315">
        <f t="shared" si="19"/>
        <v>0</v>
      </c>
      <c r="F315">
        <f t="shared" si="17"/>
        <v>120</v>
      </c>
    </row>
    <row r="316" spans="1:6" x14ac:dyDescent="0.25">
      <c r="A316" s="1">
        <v>45241</v>
      </c>
      <c r="B316">
        <f t="shared" si="16"/>
        <v>6</v>
      </c>
      <c r="C316" t="s">
        <v>11</v>
      </c>
      <c r="D316">
        <f t="shared" si="18"/>
        <v>0</v>
      </c>
      <c r="E316">
        <f t="shared" si="19"/>
        <v>0</v>
      </c>
      <c r="F316">
        <f t="shared" si="17"/>
        <v>0</v>
      </c>
    </row>
    <row r="317" spans="1:6" x14ac:dyDescent="0.25">
      <c r="A317" s="1">
        <v>45242</v>
      </c>
      <c r="B317">
        <f t="shared" si="16"/>
        <v>7</v>
      </c>
      <c r="C317" t="s">
        <v>11</v>
      </c>
      <c r="D317">
        <f t="shared" si="18"/>
        <v>0</v>
      </c>
      <c r="E317">
        <f t="shared" si="19"/>
        <v>150</v>
      </c>
      <c r="F317">
        <f t="shared" si="17"/>
        <v>-150</v>
      </c>
    </row>
    <row r="318" spans="1:6" x14ac:dyDescent="0.25">
      <c r="A318" s="1">
        <v>45243</v>
      </c>
      <c r="B318">
        <f t="shared" si="16"/>
        <v>1</v>
      </c>
      <c r="C318" t="s">
        <v>11</v>
      </c>
      <c r="D318">
        <f t="shared" si="18"/>
        <v>120</v>
      </c>
      <c r="E318">
        <f t="shared" si="19"/>
        <v>0</v>
      </c>
      <c r="F318">
        <f t="shared" si="17"/>
        <v>120</v>
      </c>
    </row>
    <row r="319" spans="1:6" x14ac:dyDescent="0.25">
      <c r="A319" s="1">
        <v>45244</v>
      </c>
      <c r="B319">
        <f t="shared" si="16"/>
        <v>2</v>
      </c>
      <c r="C319" t="s">
        <v>11</v>
      </c>
      <c r="D319">
        <f t="shared" si="18"/>
        <v>120</v>
      </c>
      <c r="E319">
        <f t="shared" si="19"/>
        <v>0</v>
      </c>
      <c r="F319">
        <f t="shared" si="17"/>
        <v>120</v>
      </c>
    </row>
    <row r="320" spans="1:6" x14ac:dyDescent="0.25">
      <c r="A320" s="1">
        <v>45245</v>
      </c>
      <c r="B320">
        <f t="shared" si="16"/>
        <v>3</v>
      </c>
      <c r="C320" t="s">
        <v>11</v>
      </c>
      <c r="D320">
        <f t="shared" si="18"/>
        <v>120</v>
      </c>
      <c r="E320">
        <f t="shared" si="19"/>
        <v>0</v>
      </c>
      <c r="F320">
        <f t="shared" si="17"/>
        <v>120</v>
      </c>
    </row>
    <row r="321" spans="1:6" x14ac:dyDescent="0.25">
      <c r="A321" s="1">
        <v>45246</v>
      </c>
      <c r="B321">
        <f t="shared" si="16"/>
        <v>4</v>
      </c>
      <c r="C321" t="s">
        <v>11</v>
      </c>
      <c r="D321">
        <f t="shared" si="18"/>
        <v>120</v>
      </c>
      <c r="E321">
        <f t="shared" si="19"/>
        <v>0</v>
      </c>
      <c r="F321">
        <f t="shared" si="17"/>
        <v>120</v>
      </c>
    </row>
    <row r="322" spans="1:6" x14ac:dyDescent="0.25">
      <c r="A322" s="1">
        <v>45247</v>
      </c>
      <c r="B322">
        <f t="shared" si="16"/>
        <v>5</v>
      </c>
      <c r="C322" t="s">
        <v>11</v>
      </c>
      <c r="D322">
        <f t="shared" si="18"/>
        <v>120</v>
      </c>
      <c r="E322">
        <f t="shared" si="19"/>
        <v>0</v>
      </c>
      <c r="F322">
        <f t="shared" si="17"/>
        <v>120</v>
      </c>
    </row>
    <row r="323" spans="1:6" x14ac:dyDescent="0.25">
      <c r="A323" s="1">
        <v>45248</v>
      </c>
      <c r="B323">
        <f t="shared" ref="B323:B386" si="20">WEEKDAY(A323,2)</f>
        <v>6</v>
      </c>
      <c r="C323" t="s">
        <v>11</v>
      </c>
      <c r="D323">
        <f t="shared" si="18"/>
        <v>0</v>
      </c>
      <c r="E323">
        <f t="shared" si="19"/>
        <v>0</v>
      </c>
      <c r="F323">
        <f t="shared" ref="F323:F386" si="21">D323-E323</f>
        <v>0</v>
      </c>
    </row>
    <row r="324" spans="1:6" x14ac:dyDescent="0.25">
      <c r="A324" s="1">
        <v>45249</v>
      </c>
      <c r="B324">
        <f t="shared" si="20"/>
        <v>7</v>
      </c>
      <c r="C324" t="s">
        <v>11</v>
      </c>
      <c r="D324">
        <f t="shared" ref="D324:D387" si="22">IF(B324&lt;6,$Q$1*VLOOKUP(C324,$S$1:$T$5,2,FALSE)*$Q$3,0)</f>
        <v>0</v>
      </c>
      <c r="E324">
        <f t="shared" ref="E324:E387" si="23">IF(B324=7,$Q$4*$Q$1,0)</f>
        <v>150</v>
      </c>
      <c r="F324">
        <f t="shared" si="21"/>
        <v>-150</v>
      </c>
    </row>
    <row r="325" spans="1:6" x14ac:dyDescent="0.25">
      <c r="A325" s="1">
        <v>45250</v>
      </c>
      <c r="B325">
        <f t="shared" si="20"/>
        <v>1</v>
      </c>
      <c r="C325" t="s">
        <v>11</v>
      </c>
      <c r="D325">
        <f t="shared" si="22"/>
        <v>120</v>
      </c>
      <c r="E325">
        <f t="shared" si="23"/>
        <v>0</v>
      </c>
      <c r="F325">
        <f t="shared" si="21"/>
        <v>120</v>
      </c>
    </row>
    <row r="326" spans="1:6" x14ac:dyDescent="0.25">
      <c r="A326" s="1">
        <v>45251</v>
      </c>
      <c r="B326">
        <f t="shared" si="20"/>
        <v>2</v>
      </c>
      <c r="C326" t="s">
        <v>11</v>
      </c>
      <c r="D326">
        <f t="shared" si="22"/>
        <v>120</v>
      </c>
      <c r="E326">
        <f t="shared" si="23"/>
        <v>0</v>
      </c>
      <c r="F326">
        <f t="shared" si="21"/>
        <v>120</v>
      </c>
    </row>
    <row r="327" spans="1:6" x14ac:dyDescent="0.25">
      <c r="A327" s="1">
        <v>45252</v>
      </c>
      <c r="B327">
        <f t="shared" si="20"/>
        <v>3</v>
      </c>
      <c r="C327" t="s">
        <v>11</v>
      </c>
      <c r="D327">
        <f t="shared" si="22"/>
        <v>120</v>
      </c>
      <c r="E327">
        <f t="shared" si="23"/>
        <v>0</v>
      </c>
      <c r="F327">
        <f t="shared" si="21"/>
        <v>120</v>
      </c>
    </row>
    <row r="328" spans="1:6" x14ac:dyDescent="0.25">
      <c r="A328" s="1">
        <v>45253</v>
      </c>
      <c r="B328">
        <f t="shared" si="20"/>
        <v>4</v>
      </c>
      <c r="C328" t="s">
        <v>11</v>
      </c>
      <c r="D328">
        <f t="shared" si="22"/>
        <v>120</v>
      </c>
      <c r="E328">
        <f t="shared" si="23"/>
        <v>0</v>
      </c>
      <c r="F328">
        <f t="shared" si="21"/>
        <v>120</v>
      </c>
    </row>
    <row r="329" spans="1:6" x14ac:dyDescent="0.25">
      <c r="A329" s="1">
        <v>45254</v>
      </c>
      <c r="B329">
        <f t="shared" si="20"/>
        <v>5</v>
      </c>
      <c r="C329" t="s">
        <v>11</v>
      </c>
      <c r="D329">
        <f t="shared" si="22"/>
        <v>120</v>
      </c>
      <c r="E329">
        <f t="shared" si="23"/>
        <v>0</v>
      </c>
      <c r="F329">
        <f t="shared" si="21"/>
        <v>120</v>
      </c>
    </row>
    <row r="330" spans="1:6" x14ac:dyDescent="0.25">
      <c r="A330" s="1">
        <v>45255</v>
      </c>
      <c r="B330">
        <f t="shared" si="20"/>
        <v>6</v>
      </c>
      <c r="C330" t="s">
        <v>11</v>
      </c>
      <c r="D330">
        <f t="shared" si="22"/>
        <v>0</v>
      </c>
      <c r="E330">
        <f t="shared" si="23"/>
        <v>0</v>
      </c>
      <c r="F330">
        <f t="shared" si="21"/>
        <v>0</v>
      </c>
    </row>
    <row r="331" spans="1:6" x14ac:dyDescent="0.25">
      <c r="A331" s="1">
        <v>45256</v>
      </c>
      <c r="B331">
        <f t="shared" si="20"/>
        <v>7</v>
      </c>
      <c r="C331" t="s">
        <v>11</v>
      </c>
      <c r="D331">
        <f t="shared" si="22"/>
        <v>0</v>
      </c>
      <c r="E331">
        <f t="shared" si="23"/>
        <v>150</v>
      </c>
      <c r="F331">
        <f t="shared" si="21"/>
        <v>-150</v>
      </c>
    </row>
    <row r="332" spans="1:6" x14ac:dyDescent="0.25">
      <c r="A332" s="1">
        <v>45257</v>
      </c>
      <c r="B332">
        <f t="shared" si="20"/>
        <v>1</v>
      </c>
      <c r="C332" t="s">
        <v>11</v>
      </c>
      <c r="D332">
        <f t="shared" si="22"/>
        <v>120</v>
      </c>
      <c r="E332">
        <f t="shared" si="23"/>
        <v>0</v>
      </c>
      <c r="F332">
        <f t="shared" si="21"/>
        <v>120</v>
      </c>
    </row>
    <row r="333" spans="1:6" x14ac:dyDescent="0.25">
      <c r="A333" s="1">
        <v>45258</v>
      </c>
      <c r="B333">
        <f t="shared" si="20"/>
        <v>2</v>
      </c>
      <c r="C333" t="s">
        <v>11</v>
      </c>
      <c r="D333">
        <f t="shared" si="22"/>
        <v>120</v>
      </c>
      <c r="E333">
        <f t="shared" si="23"/>
        <v>0</v>
      </c>
      <c r="F333">
        <f t="shared" si="21"/>
        <v>120</v>
      </c>
    </row>
    <row r="334" spans="1:6" x14ac:dyDescent="0.25">
      <c r="A334" s="1">
        <v>45259</v>
      </c>
      <c r="B334">
        <f t="shared" si="20"/>
        <v>3</v>
      </c>
      <c r="C334" t="s">
        <v>11</v>
      </c>
      <c r="D334">
        <f t="shared" si="22"/>
        <v>120</v>
      </c>
      <c r="E334">
        <f t="shared" si="23"/>
        <v>0</v>
      </c>
      <c r="F334">
        <f t="shared" si="21"/>
        <v>120</v>
      </c>
    </row>
    <row r="335" spans="1:6" x14ac:dyDescent="0.25">
      <c r="A335" s="1">
        <v>45260</v>
      </c>
      <c r="B335">
        <f t="shared" si="20"/>
        <v>4</v>
      </c>
      <c r="C335" t="s">
        <v>11</v>
      </c>
      <c r="D335">
        <f t="shared" si="22"/>
        <v>120</v>
      </c>
      <c r="E335">
        <f t="shared" si="23"/>
        <v>0</v>
      </c>
      <c r="F335">
        <f t="shared" si="21"/>
        <v>120</v>
      </c>
    </row>
    <row r="336" spans="1:6" x14ac:dyDescent="0.25">
      <c r="A336" s="1">
        <v>45261</v>
      </c>
      <c r="B336">
        <f t="shared" si="20"/>
        <v>5</v>
      </c>
      <c r="C336" t="s">
        <v>11</v>
      </c>
      <c r="D336">
        <f t="shared" si="22"/>
        <v>120</v>
      </c>
      <c r="E336">
        <f t="shared" si="23"/>
        <v>0</v>
      </c>
      <c r="F336">
        <f t="shared" si="21"/>
        <v>120</v>
      </c>
    </row>
    <row r="337" spans="1:6" x14ac:dyDescent="0.25">
      <c r="A337" s="1">
        <v>45262</v>
      </c>
      <c r="B337">
        <f t="shared" si="20"/>
        <v>6</v>
      </c>
      <c r="C337" t="s">
        <v>11</v>
      </c>
      <c r="D337">
        <f t="shared" si="22"/>
        <v>0</v>
      </c>
      <c r="E337">
        <f t="shared" si="23"/>
        <v>0</v>
      </c>
      <c r="F337">
        <f t="shared" si="21"/>
        <v>0</v>
      </c>
    </row>
    <row r="338" spans="1:6" x14ac:dyDescent="0.25">
      <c r="A338" s="1">
        <v>45263</v>
      </c>
      <c r="B338">
        <f t="shared" si="20"/>
        <v>7</v>
      </c>
      <c r="C338" t="s">
        <v>11</v>
      </c>
      <c r="D338">
        <f t="shared" si="22"/>
        <v>0</v>
      </c>
      <c r="E338">
        <f t="shared" si="23"/>
        <v>150</v>
      </c>
      <c r="F338">
        <f t="shared" si="21"/>
        <v>-150</v>
      </c>
    </row>
    <row r="339" spans="1:6" x14ac:dyDescent="0.25">
      <c r="A339" s="1">
        <v>45264</v>
      </c>
      <c r="B339">
        <f t="shared" si="20"/>
        <v>1</v>
      </c>
      <c r="C339" t="s">
        <v>11</v>
      </c>
      <c r="D339">
        <f t="shared" si="22"/>
        <v>120</v>
      </c>
      <c r="E339">
        <f t="shared" si="23"/>
        <v>0</v>
      </c>
      <c r="F339">
        <f t="shared" si="21"/>
        <v>120</v>
      </c>
    </row>
    <row r="340" spans="1:6" x14ac:dyDescent="0.25">
      <c r="A340" s="1">
        <v>45265</v>
      </c>
      <c r="B340">
        <f t="shared" si="20"/>
        <v>2</v>
      </c>
      <c r="C340" t="s">
        <v>11</v>
      </c>
      <c r="D340">
        <f t="shared" si="22"/>
        <v>120</v>
      </c>
      <c r="E340">
        <f t="shared" si="23"/>
        <v>0</v>
      </c>
      <c r="F340">
        <f t="shared" si="21"/>
        <v>120</v>
      </c>
    </row>
    <row r="341" spans="1:6" x14ac:dyDescent="0.25">
      <c r="A341" s="1">
        <v>45266</v>
      </c>
      <c r="B341">
        <f t="shared" si="20"/>
        <v>3</v>
      </c>
      <c r="C341" t="s">
        <v>11</v>
      </c>
      <c r="D341">
        <f t="shared" si="22"/>
        <v>120</v>
      </c>
      <c r="E341">
        <f t="shared" si="23"/>
        <v>0</v>
      </c>
      <c r="F341">
        <f t="shared" si="21"/>
        <v>120</v>
      </c>
    </row>
    <row r="342" spans="1:6" x14ac:dyDescent="0.25">
      <c r="A342" s="1">
        <v>45267</v>
      </c>
      <c r="B342">
        <f t="shared" si="20"/>
        <v>4</v>
      </c>
      <c r="C342" t="s">
        <v>11</v>
      </c>
      <c r="D342">
        <f t="shared" si="22"/>
        <v>120</v>
      </c>
      <c r="E342">
        <f t="shared" si="23"/>
        <v>0</v>
      </c>
      <c r="F342">
        <f t="shared" si="21"/>
        <v>120</v>
      </c>
    </row>
    <row r="343" spans="1:6" x14ac:dyDescent="0.25">
      <c r="A343" s="1">
        <v>45268</v>
      </c>
      <c r="B343">
        <f t="shared" si="20"/>
        <v>5</v>
      </c>
      <c r="C343" t="s">
        <v>11</v>
      </c>
      <c r="D343">
        <f t="shared" si="22"/>
        <v>120</v>
      </c>
      <c r="E343">
        <f t="shared" si="23"/>
        <v>0</v>
      </c>
      <c r="F343">
        <f t="shared" si="21"/>
        <v>120</v>
      </c>
    </row>
    <row r="344" spans="1:6" x14ac:dyDescent="0.25">
      <c r="A344" s="1">
        <v>45269</v>
      </c>
      <c r="B344">
        <f t="shared" si="20"/>
        <v>6</v>
      </c>
      <c r="C344" t="s">
        <v>11</v>
      </c>
      <c r="D344">
        <f t="shared" si="22"/>
        <v>0</v>
      </c>
      <c r="E344">
        <f t="shared" si="23"/>
        <v>0</v>
      </c>
      <c r="F344">
        <f t="shared" si="21"/>
        <v>0</v>
      </c>
    </row>
    <row r="345" spans="1:6" x14ac:dyDescent="0.25">
      <c r="A345" s="1">
        <v>45270</v>
      </c>
      <c r="B345">
        <f t="shared" si="20"/>
        <v>7</v>
      </c>
      <c r="C345" t="s">
        <v>11</v>
      </c>
      <c r="D345">
        <f t="shared" si="22"/>
        <v>0</v>
      </c>
      <c r="E345">
        <f t="shared" si="23"/>
        <v>150</v>
      </c>
      <c r="F345">
        <f t="shared" si="21"/>
        <v>-150</v>
      </c>
    </row>
    <row r="346" spans="1:6" x14ac:dyDescent="0.25">
      <c r="A346" s="1">
        <v>45271</v>
      </c>
      <c r="B346">
        <f t="shared" si="20"/>
        <v>1</v>
      </c>
      <c r="C346" t="s">
        <v>11</v>
      </c>
      <c r="D346">
        <f t="shared" si="22"/>
        <v>120</v>
      </c>
      <c r="E346">
        <f t="shared" si="23"/>
        <v>0</v>
      </c>
      <c r="F346">
        <f t="shared" si="21"/>
        <v>120</v>
      </c>
    </row>
    <row r="347" spans="1:6" x14ac:dyDescent="0.25">
      <c r="A347" s="1">
        <v>45272</v>
      </c>
      <c r="B347">
        <f t="shared" si="20"/>
        <v>2</v>
      </c>
      <c r="C347" t="s">
        <v>11</v>
      </c>
      <c r="D347">
        <f t="shared" si="22"/>
        <v>120</v>
      </c>
      <c r="E347">
        <f t="shared" si="23"/>
        <v>0</v>
      </c>
      <c r="F347">
        <f t="shared" si="21"/>
        <v>120</v>
      </c>
    </row>
    <row r="348" spans="1:6" x14ac:dyDescent="0.25">
      <c r="A348" s="1">
        <v>45273</v>
      </c>
      <c r="B348">
        <f t="shared" si="20"/>
        <v>3</v>
      </c>
      <c r="C348" t="s">
        <v>11</v>
      </c>
      <c r="D348">
        <f t="shared" si="22"/>
        <v>120</v>
      </c>
      <c r="E348">
        <f t="shared" si="23"/>
        <v>0</v>
      </c>
      <c r="F348">
        <f t="shared" si="21"/>
        <v>120</v>
      </c>
    </row>
    <row r="349" spans="1:6" x14ac:dyDescent="0.25">
      <c r="A349" s="1">
        <v>45274</v>
      </c>
      <c r="B349">
        <f t="shared" si="20"/>
        <v>4</v>
      </c>
      <c r="C349" t="s">
        <v>11</v>
      </c>
      <c r="D349">
        <f t="shared" si="22"/>
        <v>120</v>
      </c>
      <c r="E349">
        <f t="shared" si="23"/>
        <v>0</v>
      </c>
      <c r="F349">
        <f t="shared" si="21"/>
        <v>120</v>
      </c>
    </row>
    <row r="350" spans="1:6" x14ac:dyDescent="0.25">
      <c r="A350" s="1">
        <v>45275</v>
      </c>
      <c r="B350">
        <f t="shared" si="20"/>
        <v>5</v>
      </c>
      <c r="C350" t="s">
        <v>11</v>
      </c>
      <c r="D350">
        <f t="shared" si="22"/>
        <v>120</v>
      </c>
      <c r="E350">
        <f t="shared" si="23"/>
        <v>0</v>
      </c>
      <c r="F350">
        <f t="shared" si="21"/>
        <v>120</v>
      </c>
    </row>
    <row r="351" spans="1:6" x14ac:dyDescent="0.25">
      <c r="A351" s="1">
        <v>45276</v>
      </c>
      <c r="B351">
        <f t="shared" si="20"/>
        <v>6</v>
      </c>
      <c r="C351" t="s">
        <v>11</v>
      </c>
      <c r="D351">
        <f t="shared" si="22"/>
        <v>0</v>
      </c>
      <c r="E351">
        <f t="shared" si="23"/>
        <v>0</v>
      </c>
      <c r="F351">
        <f t="shared" si="21"/>
        <v>0</v>
      </c>
    </row>
    <row r="352" spans="1:6" x14ac:dyDescent="0.25">
      <c r="A352" s="1">
        <v>45277</v>
      </c>
      <c r="B352">
        <f t="shared" si="20"/>
        <v>7</v>
      </c>
      <c r="C352" t="s">
        <v>11</v>
      </c>
      <c r="D352">
        <f t="shared" si="22"/>
        <v>0</v>
      </c>
      <c r="E352">
        <f t="shared" si="23"/>
        <v>150</v>
      </c>
      <c r="F352">
        <f t="shared" si="21"/>
        <v>-150</v>
      </c>
    </row>
    <row r="353" spans="1:6" x14ac:dyDescent="0.25">
      <c r="A353" s="1">
        <v>45278</v>
      </c>
      <c r="B353">
        <f t="shared" si="20"/>
        <v>1</v>
      </c>
      <c r="C353" t="s">
        <v>11</v>
      </c>
      <c r="D353">
        <f t="shared" si="22"/>
        <v>120</v>
      </c>
      <c r="E353">
        <f t="shared" si="23"/>
        <v>0</v>
      </c>
      <c r="F353">
        <f t="shared" si="21"/>
        <v>120</v>
      </c>
    </row>
    <row r="354" spans="1:6" x14ac:dyDescent="0.25">
      <c r="A354" s="1">
        <v>45279</v>
      </c>
      <c r="B354">
        <f t="shared" si="20"/>
        <v>2</v>
      </c>
      <c r="C354" t="s">
        <v>11</v>
      </c>
      <c r="D354">
        <f t="shared" si="22"/>
        <v>120</v>
      </c>
      <c r="E354">
        <f t="shared" si="23"/>
        <v>0</v>
      </c>
      <c r="F354">
        <f t="shared" si="21"/>
        <v>120</v>
      </c>
    </row>
    <row r="355" spans="1:6" x14ac:dyDescent="0.25">
      <c r="A355" s="1">
        <v>45280</v>
      </c>
      <c r="B355">
        <f t="shared" si="20"/>
        <v>3</v>
      </c>
      <c r="C355" t="s">
        <v>11</v>
      </c>
      <c r="D355">
        <f t="shared" si="22"/>
        <v>120</v>
      </c>
      <c r="E355">
        <f t="shared" si="23"/>
        <v>0</v>
      </c>
      <c r="F355">
        <f t="shared" si="21"/>
        <v>120</v>
      </c>
    </row>
    <row r="356" spans="1:6" x14ac:dyDescent="0.25">
      <c r="A356" s="1">
        <v>45281</v>
      </c>
      <c r="B356">
        <f t="shared" si="20"/>
        <v>4</v>
      </c>
      <c r="C356" t="s">
        <v>8</v>
      </c>
      <c r="D356">
        <f t="shared" si="22"/>
        <v>60</v>
      </c>
      <c r="E356">
        <f t="shared" si="23"/>
        <v>0</v>
      </c>
      <c r="F356">
        <f t="shared" si="21"/>
        <v>60</v>
      </c>
    </row>
    <row r="357" spans="1:6" x14ac:dyDescent="0.25">
      <c r="A357" s="1">
        <v>45282</v>
      </c>
      <c r="B357">
        <f t="shared" si="20"/>
        <v>5</v>
      </c>
      <c r="C357" t="s">
        <v>8</v>
      </c>
      <c r="D357">
        <f t="shared" si="22"/>
        <v>60</v>
      </c>
      <c r="E357">
        <f t="shared" si="23"/>
        <v>0</v>
      </c>
      <c r="F357">
        <f t="shared" si="21"/>
        <v>60</v>
      </c>
    </row>
    <row r="358" spans="1:6" x14ac:dyDescent="0.25">
      <c r="A358" s="1">
        <v>45283</v>
      </c>
      <c r="B358">
        <f t="shared" si="20"/>
        <v>6</v>
      </c>
      <c r="C358" t="s">
        <v>8</v>
      </c>
      <c r="D358">
        <f t="shared" si="22"/>
        <v>0</v>
      </c>
      <c r="E358">
        <f t="shared" si="23"/>
        <v>0</v>
      </c>
      <c r="F358">
        <f t="shared" si="21"/>
        <v>0</v>
      </c>
    </row>
    <row r="359" spans="1:6" x14ac:dyDescent="0.25">
      <c r="A359" s="1">
        <v>45284</v>
      </c>
      <c r="B359">
        <f t="shared" si="20"/>
        <v>7</v>
      </c>
      <c r="C359" t="s">
        <v>8</v>
      </c>
      <c r="D359">
        <f t="shared" si="22"/>
        <v>0</v>
      </c>
      <c r="E359">
        <f t="shared" si="23"/>
        <v>150</v>
      </c>
      <c r="F359">
        <f t="shared" si="21"/>
        <v>-150</v>
      </c>
    </row>
    <row r="360" spans="1:6" x14ac:dyDescent="0.25">
      <c r="A360" s="1">
        <v>45285</v>
      </c>
      <c r="B360">
        <f t="shared" si="20"/>
        <v>1</v>
      </c>
      <c r="C360" t="s">
        <v>8</v>
      </c>
      <c r="D360">
        <f t="shared" si="22"/>
        <v>60</v>
      </c>
      <c r="E360">
        <f t="shared" si="23"/>
        <v>0</v>
      </c>
      <c r="F360">
        <f t="shared" si="21"/>
        <v>60</v>
      </c>
    </row>
    <row r="361" spans="1:6" x14ac:dyDescent="0.25">
      <c r="A361" s="1">
        <v>45286</v>
      </c>
      <c r="B361">
        <f t="shared" si="20"/>
        <v>2</v>
      </c>
      <c r="C361" t="s">
        <v>8</v>
      </c>
      <c r="D361">
        <f t="shared" si="22"/>
        <v>60</v>
      </c>
      <c r="E361">
        <f t="shared" si="23"/>
        <v>0</v>
      </c>
      <c r="F361">
        <f t="shared" si="21"/>
        <v>60</v>
      </c>
    </row>
    <row r="362" spans="1:6" x14ac:dyDescent="0.25">
      <c r="A362" s="1">
        <v>45287</v>
      </c>
      <c r="B362">
        <f t="shared" si="20"/>
        <v>3</v>
      </c>
      <c r="C362" t="s">
        <v>8</v>
      </c>
      <c r="D362">
        <f t="shared" si="22"/>
        <v>60</v>
      </c>
      <c r="E362">
        <f t="shared" si="23"/>
        <v>0</v>
      </c>
      <c r="F362">
        <f t="shared" si="21"/>
        <v>60</v>
      </c>
    </row>
    <row r="363" spans="1:6" x14ac:dyDescent="0.25">
      <c r="A363" s="1">
        <v>45288</v>
      </c>
      <c r="B363">
        <f t="shared" si="20"/>
        <v>4</v>
      </c>
      <c r="C363" t="s">
        <v>8</v>
      </c>
      <c r="D363">
        <f t="shared" si="22"/>
        <v>60</v>
      </c>
      <c r="E363">
        <f t="shared" si="23"/>
        <v>0</v>
      </c>
      <c r="F363">
        <f t="shared" si="21"/>
        <v>60</v>
      </c>
    </row>
    <row r="364" spans="1:6" x14ac:dyDescent="0.25">
      <c r="A364" s="1">
        <v>45289</v>
      </c>
      <c r="B364">
        <f t="shared" si="20"/>
        <v>5</v>
      </c>
      <c r="C364" t="s">
        <v>8</v>
      </c>
      <c r="D364">
        <f t="shared" si="22"/>
        <v>60</v>
      </c>
      <c r="E364">
        <f t="shared" si="23"/>
        <v>0</v>
      </c>
      <c r="F364">
        <f t="shared" si="21"/>
        <v>60</v>
      </c>
    </row>
    <row r="365" spans="1:6" x14ac:dyDescent="0.25">
      <c r="A365" s="1">
        <v>45290</v>
      </c>
      <c r="B365">
        <f t="shared" si="20"/>
        <v>6</v>
      </c>
      <c r="C365" t="s">
        <v>8</v>
      </c>
      <c r="D365">
        <f t="shared" si="22"/>
        <v>0</v>
      </c>
      <c r="E365">
        <f t="shared" si="23"/>
        <v>0</v>
      </c>
      <c r="F365">
        <f t="shared" si="21"/>
        <v>0</v>
      </c>
    </row>
    <row r="366" spans="1:6" x14ac:dyDescent="0.25">
      <c r="A366" s="1">
        <v>45291</v>
      </c>
      <c r="B366">
        <f t="shared" si="20"/>
        <v>7</v>
      </c>
      <c r="C366" t="s">
        <v>8</v>
      </c>
      <c r="D366">
        <f t="shared" si="22"/>
        <v>0</v>
      </c>
      <c r="E366">
        <f t="shared" si="23"/>
        <v>150</v>
      </c>
      <c r="F366">
        <f t="shared" si="21"/>
        <v>-150</v>
      </c>
    </row>
    <row r="367" spans="1:6" x14ac:dyDescent="0.25">
      <c r="A367" s="1">
        <v>45292</v>
      </c>
      <c r="B367">
        <f t="shared" si="20"/>
        <v>1</v>
      </c>
      <c r="C367" t="s">
        <v>8</v>
      </c>
      <c r="D367">
        <f t="shared" si="22"/>
        <v>60</v>
      </c>
      <c r="E367">
        <f t="shared" si="23"/>
        <v>0</v>
      </c>
      <c r="F367">
        <f t="shared" si="21"/>
        <v>60</v>
      </c>
    </row>
    <row r="368" spans="1:6" x14ac:dyDescent="0.25">
      <c r="A368" s="1">
        <v>45293</v>
      </c>
      <c r="B368">
        <f t="shared" si="20"/>
        <v>2</v>
      </c>
      <c r="C368" t="s">
        <v>8</v>
      </c>
      <c r="D368">
        <f t="shared" si="22"/>
        <v>60</v>
      </c>
      <c r="E368">
        <f t="shared" si="23"/>
        <v>0</v>
      </c>
      <c r="F368">
        <f t="shared" si="21"/>
        <v>60</v>
      </c>
    </row>
    <row r="369" spans="1:6" x14ac:dyDescent="0.25">
      <c r="A369" s="1">
        <v>45294</v>
      </c>
      <c r="B369">
        <f t="shared" si="20"/>
        <v>3</v>
      </c>
      <c r="C369" t="s">
        <v>8</v>
      </c>
      <c r="D369">
        <f t="shared" si="22"/>
        <v>60</v>
      </c>
      <c r="E369">
        <f t="shared" si="23"/>
        <v>0</v>
      </c>
      <c r="F369">
        <f t="shared" si="21"/>
        <v>60</v>
      </c>
    </row>
    <row r="370" spans="1:6" x14ac:dyDescent="0.25">
      <c r="A370" s="1">
        <v>45295</v>
      </c>
      <c r="B370">
        <f t="shared" si="20"/>
        <v>4</v>
      </c>
      <c r="C370" t="s">
        <v>8</v>
      </c>
      <c r="D370">
        <f t="shared" si="22"/>
        <v>60</v>
      </c>
      <c r="E370">
        <f t="shared" si="23"/>
        <v>0</v>
      </c>
      <c r="F370">
        <f t="shared" si="21"/>
        <v>60</v>
      </c>
    </row>
    <row r="371" spans="1:6" x14ac:dyDescent="0.25">
      <c r="A371" s="1">
        <v>45296</v>
      </c>
      <c r="B371">
        <f t="shared" si="20"/>
        <v>5</v>
      </c>
      <c r="C371" t="s">
        <v>8</v>
      </c>
      <c r="D371">
        <f t="shared" si="22"/>
        <v>60</v>
      </c>
      <c r="E371">
        <f t="shared" si="23"/>
        <v>0</v>
      </c>
      <c r="F371">
        <f t="shared" si="21"/>
        <v>60</v>
      </c>
    </row>
    <row r="372" spans="1:6" x14ac:dyDescent="0.25">
      <c r="A372" s="1">
        <v>45297</v>
      </c>
      <c r="B372">
        <f t="shared" si="20"/>
        <v>6</v>
      </c>
      <c r="C372" t="s">
        <v>8</v>
      </c>
      <c r="D372">
        <f t="shared" si="22"/>
        <v>0</v>
      </c>
      <c r="E372">
        <f t="shared" si="23"/>
        <v>0</v>
      </c>
      <c r="F372">
        <f t="shared" si="21"/>
        <v>0</v>
      </c>
    </row>
    <row r="373" spans="1:6" x14ac:dyDescent="0.25">
      <c r="A373" s="1">
        <v>45298</v>
      </c>
      <c r="B373">
        <f t="shared" si="20"/>
        <v>7</v>
      </c>
      <c r="C373" t="s">
        <v>8</v>
      </c>
      <c r="D373">
        <f t="shared" si="22"/>
        <v>0</v>
      </c>
      <c r="E373">
        <f t="shared" si="23"/>
        <v>150</v>
      </c>
      <c r="F373">
        <f t="shared" si="21"/>
        <v>-150</v>
      </c>
    </row>
    <row r="374" spans="1:6" x14ac:dyDescent="0.25">
      <c r="A374" s="1">
        <v>45299</v>
      </c>
      <c r="B374">
        <f t="shared" si="20"/>
        <v>1</v>
      </c>
      <c r="C374" t="s">
        <v>8</v>
      </c>
      <c r="D374">
        <f t="shared" si="22"/>
        <v>60</v>
      </c>
      <c r="E374">
        <f t="shared" si="23"/>
        <v>0</v>
      </c>
      <c r="F374">
        <f t="shared" si="21"/>
        <v>60</v>
      </c>
    </row>
    <row r="375" spans="1:6" x14ac:dyDescent="0.25">
      <c r="A375" s="1">
        <v>45300</v>
      </c>
      <c r="B375">
        <f t="shared" si="20"/>
        <v>2</v>
      </c>
      <c r="C375" t="s">
        <v>8</v>
      </c>
      <c r="D375">
        <f t="shared" si="22"/>
        <v>60</v>
      </c>
      <c r="E375">
        <f t="shared" si="23"/>
        <v>0</v>
      </c>
      <c r="F375">
        <f t="shared" si="21"/>
        <v>60</v>
      </c>
    </row>
    <row r="376" spans="1:6" x14ac:dyDescent="0.25">
      <c r="A376" s="1">
        <v>45301</v>
      </c>
      <c r="B376">
        <f t="shared" si="20"/>
        <v>3</v>
      </c>
      <c r="C376" t="s">
        <v>8</v>
      </c>
      <c r="D376">
        <f t="shared" si="22"/>
        <v>60</v>
      </c>
      <c r="E376">
        <f t="shared" si="23"/>
        <v>0</v>
      </c>
      <c r="F376">
        <f t="shared" si="21"/>
        <v>60</v>
      </c>
    </row>
    <row r="377" spans="1:6" x14ac:dyDescent="0.25">
      <c r="A377" s="1">
        <v>45302</v>
      </c>
      <c r="B377">
        <f t="shared" si="20"/>
        <v>4</v>
      </c>
      <c r="C377" t="s">
        <v>8</v>
      </c>
      <c r="D377">
        <f t="shared" si="22"/>
        <v>60</v>
      </c>
      <c r="E377">
        <f t="shared" si="23"/>
        <v>0</v>
      </c>
      <c r="F377">
        <f t="shared" si="21"/>
        <v>60</v>
      </c>
    </row>
    <row r="378" spans="1:6" x14ac:dyDescent="0.25">
      <c r="A378" s="1">
        <v>45303</v>
      </c>
      <c r="B378">
        <f t="shared" si="20"/>
        <v>5</v>
      </c>
      <c r="C378" t="s">
        <v>8</v>
      </c>
      <c r="D378">
        <f t="shared" si="22"/>
        <v>60</v>
      </c>
      <c r="E378">
        <f t="shared" si="23"/>
        <v>0</v>
      </c>
      <c r="F378">
        <f t="shared" si="21"/>
        <v>60</v>
      </c>
    </row>
    <row r="379" spans="1:6" x14ac:dyDescent="0.25">
      <c r="A379" s="1">
        <v>45304</v>
      </c>
      <c r="B379">
        <f t="shared" si="20"/>
        <v>6</v>
      </c>
      <c r="C379" t="s">
        <v>8</v>
      </c>
      <c r="D379">
        <f t="shared" si="22"/>
        <v>0</v>
      </c>
      <c r="E379">
        <f t="shared" si="23"/>
        <v>0</v>
      </c>
      <c r="F379">
        <f t="shared" si="21"/>
        <v>0</v>
      </c>
    </row>
    <row r="380" spans="1:6" x14ac:dyDescent="0.25">
      <c r="A380" s="1">
        <v>45305</v>
      </c>
      <c r="B380">
        <f t="shared" si="20"/>
        <v>7</v>
      </c>
      <c r="C380" t="s">
        <v>8</v>
      </c>
      <c r="D380">
        <f t="shared" si="22"/>
        <v>0</v>
      </c>
      <c r="E380">
        <f t="shared" si="23"/>
        <v>150</v>
      </c>
      <c r="F380">
        <f t="shared" si="21"/>
        <v>-150</v>
      </c>
    </row>
    <row r="381" spans="1:6" x14ac:dyDescent="0.25">
      <c r="A381" s="1">
        <v>45306</v>
      </c>
      <c r="B381">
        <f t="shared" si="20"/>
        <v>1</v>
      </c>
      <c r="C381" t="s">
        <v>8</v>
      </c>
      <c r="D381">
        <f t="shared" si="22"/>
        <v>60</v>
      </c>
      <c r="E381">
        <f t="shared" si="23"/>
        <v>0</v>
      </c>
      <c r="F381">
        <f t="shared" si="21"/>
        <v>60</v>
      </c>
    </row>
    <row r="382" spans="1:6" x14ac:dyDescent="0.25">
      <c r="A382" s="1">
        <v>45307</v>
      </c>
      <c r="B382">
        <f t="shared" si="20"/>
        <v>2</v>
      </c>
      <c r="C382" t="s">
        <v>8</v>
      </c>
      <c r="D382">
        <f t="shared" si="22"/>
        <v>60</v>
      </c>
      <c r="E382">
        <f t="shared" si="23"/>
        <v>0</v>
      </c>
      <c r="F382">
        <f t="shared" si="21"/>
        <v>60</v>
      </c>
    </row>
    <row r="383" spans="1:6" x14ac:dyDescent="0.25">
      <c r="A383" s="1">
        <v>45308</v>
      </c>
      <c r="B383">
        <f t="shared" si="20"/>
        <v>3</v>
      </c>
      <c r="C383" t="s">
        <v>8</v>
      </c>
      <c r="D383">
        <f t="shared" si="22"/>
        <v>60</v>
      </c>
      <c r="E383">
        <f t="shared" si="23"/>
        <v>0</v>
      </c>
      <c r="F383">
        <f t="shared" si="21"/>
        <v>60</v>
      </c>
    </row>
    <row r="384" spans="1:6" x14ac:dyDescent="0.25">
      <c r="A384" s="1">
        <v>45309</v>
      </c>
      <c r="B384">
        <f t="shared" si="20"/>
        <v>4</v>
      </c>
      <c r="C384" t="s">
        <v>8</v>
      </c>
      <c r="D384">
        <f t="shared" si="22"/>
        <v>60</v>
      </c>
      <c r="E384">
        <f t="shared" si="23"/>
        <v>0</v>
      </c>
      <c r="F384">
        <f t="shared" si="21"/>
        <v>60</v>
      </c>
    </row>
    <row r="385" spans="1:6" x14ac:dyDescent="0.25">
      <c r="A385" s="1">
        <v>45310</v>
      </c>
      <c r="B385">
        <f t="shared" si="20"/>
        <v>5</v>
      </c>
      <c r="C385" t="s">
        <v>8</v>
      </c>
      <c r="D385">
        <f t="shared" si="22"/>
        <v>60</v>
      </c>
      <c r="E385">
        <f t="shared" si="23"/>
        <v>0</v>
      </c>
      <c r="F385">
        <f t="shared" si="21"/>
        <v>60</v>
      </c>
    </row>
    <row r="386" spans="1:6" x14ac:dyDescent="0.25">
      <c r="A386" s="1">
        <v>45311</v>
      </c>
      <c r="B386">
        <f t="shared" si="20"/>
        <v>6</v>
      </c>
      <c r="C386" t="s">
        <v>8</v>
      </c>
      <c r="D386">
        <f t="shared" si="22"/>
        <v>0</v>
      </c>
      <c r="E386">
        <f t="shared" si="23"/>
        <v>0</v>
      </c>
      <c r="F386">
        <f t="shared" si="21"/>
        <v>0</v>
      </c>
    </row>
    <row r="387" spans="1:6" x14ac:dyDescent="0.25">
      <c r="A387" s="1">
        <v>45312</v>
      </c>
      <c r="B387">
        <f t="shared" ref="B387:B450" si="24">WEEKDAY(A387,2)</f>
        <v>7</v>
      </c>
      <c r="C387" t="s">
        <v>8</v>
      </c>
      <c r="D387">
        <f t="shared" si="22"/>
        <v>0</v>
      </c>
      <c r="E387">
        <f t="shared" si="23"/>
        <v>150</v>
      </c>
      <c r="F387">
        <f t="shared" ref="F387:F450" si="25">D387-E387</f>
        <v>-150</v>
      </c>
    </row>
    <row r="388" spans="1:6" x14ac:dyDescent="0.25">
      <c r="A388" s="1">
        <v>45313</v>
      </c>
      <c r="B388">
        <f t="shared" si="24"/>
        <v>1</v>
      </c>
      <c r="C388" t="s">
        <v>8</v>
      </c>
      <c r="D388">
        <f t="shared" ref="D388:D451" si="26">IF(B388&lt;6,$Q$1*VLOOKUP(C388,$S$1:$T$5,2,FALSE)*$Q$3,0)</f>
        <v>60</v>
      </c>
      <c r="E388">
        <f t="shared" ref="E388:E451" si="27">IF(B388=7,$Q$4*$Q$1,0)</f>
        <v>0</v>
      </c>
      <c r="F388">
        <f t="shared" si="25"/>
        <v>60</v>
      </c>
    </row>
    <row r="389" spans="1:6" x14ac:dyDescent="0.25">
      <c r="A389" s="1">
        <v>45314</v>
      </c>
      <c r="B389">
        <f t="shared" si="24"/>
        <v>2</v>
      </c>
      <c r="C389" t="s">
        <v>8</v>
      </c>
      <c r="D389">
        <f t="shared" si="26"/>
        <v>60</v>
      </c>
      <c r="E389">
        <f t="shared" si="27"/>
        <v>0</v>
      </c>
      <c r="F389">
        <f t="shared" si="25"/>
        <v>60</v>
      </c>
    </row>
    <row r="390" spans="1:6" x14ac:dyDescent="0.25">
      <c r="A390" s="1">
        <v>45315</v>
      </c>
      <c r="B390">
        <f t="shared" si="24"/>
        <v>3</v>
      </c>
      <c r="C390" t="s">
        <v>8</v>
      </c>
      <c r="D390">
        <f t="shared" si="26"/>
        <v>60</v>
      </c>
      <c r="E390">
        <f t="shared" si="27"/>
        <v>0</v>
      </c>
      <c r="F390">
        <f t="shared" si="25"/>
        <v>60</v>
      </c>
    </row>
    <row r="391" spans="1:6" x14ac:dyDescent="0.25">
      <c r="A391" s="1">
        <v>45316</v>
      </c>
      <c r="B391">
        <f t="shared" si="24"/>
        <v>4</v>
      </c>
      <c r="C391" t="s">
        <v>8</v>
      </c>
      <c r="D391">
        <f t="shared" si="26"/>
        <v>60</v>
      </c>
      <c r="E391">
        <f t="shared" si="27"/>
        <v>0</v>
      </c>
      <c r="F391">
        <f t="shared" si="25"/>
        <v>60</v>
      </c>
    </row>
    <row r="392" spans="1:6" x14ac:dyDescent="0.25">
      <c r="A392" s="1">
        <v>45317</v>
      </c>
      <c r="B392">
        <f t="shared" si="24"/>
        <v>5</v>
      </c>
      <c r="C392" t="s">
        <v>8</v>
      </c>
      <c r="D392">
        <f t="shared" si="26"/>
        <v>60</v>
      </c>
      <c r="E392">
        <f t="shared" si="27"/>
        <v>0</v>
      </c>
      <c r="F392">
        <f t="shared" si="25"/>
        <v>60</v>
      </c>
    </row>
    <row r="393" spans="1:6" x14ac:dyDescent="0.25">
      <c r="A393" s="1">
        <v>45318</v>
      </c>
      <c r="B393">
        <f t="shared" si="24"/>
        <v>6</v>
      </c>
      <c r="C393" t="s">
        <v>8</v>
      </c>
      <c r="D393">
        <f t="shared" si="26"/>
        <v>0</v>
      </c>
      <c r="E393">
        <f t="shared" si="27"/>
        <v>0</v>
      </c>
      <c r="F393">
        <f t="shared" si="25"/>
        <v>0</v>
      </c>
    </row>
    <row r="394" spans="1:6" x14ac:dyDescent="0.25">
      <c r="A394" s="1">
        <v>45319</v>
      </c>
      <c r="B394">
        <f t="shared" si="24"/>
        <v>7</v>
      </c>
      <c r="C394" t="s">
        <v>8</v>
      </c>
      <c r="D394">
        <f t="shared" si="26"/>
        <v>0</v>
      </c>
      <c r="E394">
        <f t="shared" si="27"/>
        <v>150</v>
      </c>
      <c r="F394">
        <f t="shared" si="25"/>
        <v>-150</v>
      </c>
    </row>
    <row r="395" spans="1:6" x14ac:dyDescent="0.25">
      <c r="A395" s="1">
        <v>45320</v>
      </c>
      <c r="B395">
        <f t="shared" si="24"/>
        <v>1</v>
      </c>
      <c r="C395" t="s">
        <v>8</v>
      </c>
      <c r="D395">
        <f t="shared" si="26"/>
        <v>60</v>
      </c>
      <c r="E395">
        <f t="shared" si="27"/>
        <v>0</v>
      </c>
      <c r="F395">
        <f t="shared" si="25"/>
        <v>60</v>
      </c>
    </row>
    <row r="396" spans="1:6" x14ac:dyDescent="0.25">
      <c r="A396" s="1">
        <v>45321</v>
      </c>
      <c r="B396">
        <f t="shared" si="24"/>
        <v>2</v>
      </c>
      <c r="C396" t="s">
        <v>8</v>
      </c>
      <c r="D396">
        <f t="shared" si="26"/>
        <v>60</v>
      </c>
      <c r="E396">
        <f t="shared" si="27"/>
        <v>0</v>
      </c>
      <c r="F396">
        <f t="shared" si="25"/>
        <v>60</v>
      </c>
    </row>
    <row r="397" spans="1:6" x14ac:dyDescent="0.25">
      <c r="A397" s="1">
        <v>45322</v>
      </c>
      <c r="B397">
        <f t="shared" si="24"/>
        <v>3</v>
      </c>
      <c r="C397" t="s">
        <v>8</v>
      </c>
      <c r="D397">
        <f t="shared" si="26"/>
        <v>60</v>
      </c>
      <c r="E397">
        <f t="shared" si="27"/>
        <v>0</v>
      </c>
      <c r="F397">
        <f t="shared" si="25"/>
        <v>60</v>
      </c>
    </row>
    <row r="398" spans="1:6" x14ac:dyDescent="0.25">
      <c r="A398" s="1">
        <v>45323</v>
      </c>
      <c r="B398">
        <f t="shared" si="24"/>
        <v>4</v>
      </c>
      <c r="C398" t="s">
        <v>8</v>
      </c>
      <c r="D398">
        <f t="shared" si="26"/>
        <v>60</v>
      </c>
      <c r="E398">
        <f t="shared" si="27"/>
        <v>0</v>
      </c>
      <c r="F398">
        <f t="shared" si="25"/>
        <v>60</v>
      </c>
    </row>
    <row r="399" spans="1:6" x14ac:dyDescent="0.25">
      <c r="A399" s="1">
        <v>45324</v>
      </c>
      <c r="B399">
        <f t="shared" si="24"/>
        <v>5</v>
      </c>
      <c r="C399" t="s">
        <v>8</v>
      </c>
      <c r="D399">
        <f t="shared" si="26"/>
        <v>60</v>
      </c>
      <c r="E399">
        <f t="shared" si="27"/>
        <v>0</v>
      </c>
      <c r="F399">
        <f t="shared" si="25"/>
        <v>60</v>
      </c>
    </row>
    <row r="400" spans="1:6" x14ac:dyDescent="0.25">
      <c r="A400" s="1">
        <v>45325</v>
      </c>
      <c r="B400">
        <f t="shared" si="24"/>
        <v>6</v>
      </c>
      <c r="C400" t="s">
        <v>8</v>
      </c>
      <c r="D400">
        <f t="shared" si="26"/>
        <v>0</v>
      </c>
      <c r="E400">
        <f t="shared" si="27"/>
        <v>0</v>
      </c>
      <c r="F400">
        <f t="shared" si="25"/>
        <v>0</v>
      </c>
    </row>
    <row r="401" spans="1:6" x14ac:dyDescent="0.25">
      <c r="A401" s="1">
        <v>45326</v>
      </c>
      <c r="B401">
        <f t="shared" si="24"/>
        <v>7</v>
      </c>
      <c r="C401" t="s">
        <v>8</v>
      </c>
      <c r="D401">
        <f t="shared" si="26"/>
        <v>0</v>
      </c>
      <c r="E401">
        <f t="shared" si="27"/>
        <v>150</v>
      </c>
      <c r="F401">
        <f t="shared" si="25"/>
        <v>-150</v>
      </c>
    </row>
    <row r="402" spans="1:6" x14ac:dyDescent="0.25">
      <c r="A402" s="1">
        <v>45327</v>
      </c>
      <c r="B402">
        <f t="shared" si="24"/>
        <v>1</v>
      </c>
      <c r="C402" t="s">
        <v>8</v>
      </c>
      <c r="D402">
        <f t="shared" si="26"/>
        <v>60</v>
      </c>
      <c r="E402">
        <f t="shared" si="27"/>
        <v>0</v>
      </c>
      <c r="F402">
        <f t="shared" si="25"/>
        <v>60</v>
      </c>
    </row>
    <row r="403" spans="1:6" x14ac:dyDescent="0.25">
      <c r="A403" s="1">
        <v>45328</v>
      </c>
      <c r="B403">
        <f t="shared" si="24"/>
        <v>2</v>
      </c>
      <c r="C403" t="s">
        <v>8</v>
      </c>
      <c r="D403">
        <f t="shared" si="26"/>
        <v>60</v>
      </c>
      <c r="E403">
        <f t="shared" si="27"/>
        <v>0</v>
      </c>
      <c r="F403">
        <f t="shared" si="25"/>
        <v>60</v>
      </c>
    </row>
    <row r="404" spans="1:6" x14ac:dyDescent="0.25">
      <c r="A404" s="1">
        <v>45329</v>
      </c>
      <c r="B404">
        <f t="shared" si="24"/>
        <v>3</v>
      </c>
      <c r="C404" t="s">
        <v>8</v>
      </c>
      <c r="D404">
        <f t="shared" si="26"/>
        <v>60</v>
      </c>
      <c r="E404">
        <f t="shared" si="27"/>
        <v>0</v>
      </c>
      <c r="F404">
        <f t="shared" si="25"/>
        <v>60</v>
      </c>
    </row>
    <row r="405" spans="1:6" x14ac:dyDescent="0.25">
      <c r="A405" s="1">
        <v>45330</v>
      </c>
      <c r="B405">
        <f t="shared" si="24"/>
        <v>4</v>
      </c>
      <c r="C405" t="s">
        <v>8</v>
      </c>
      <c r="D405">
        <f t="shared" si="26"/>
        <v>60</v>
      </c>
      <c r="E405">
        <f t="shared" si="27"/>
        <v>0</v>
      </c>
      <c r="F405">
        <f t="shared" si="25"/>
        <v>60</v>
      </c>
    </row>
    <row r="406" spans="1:6" x14ac:dyDescent="0.25">
      <c r="A406" s="1">
        <v>45331</v>
      </c>
      <c r="B406">
        <f t="shared" si="24"/>
        <v>5</v>
      </c>
      <c r="C406" t="s">
        <v>8</v>
      </c>
      <c r="D406">
        <f t="shared" si="26"/>
        <v>60</v>
      </c>
      <c r="E406">
        <f t="shared" si="27"/>
        <v>0</v>
      </c>
      <c r="F406">
        <f t="shared" si="25"/>
        <v>60</v>
      </c>
    </row>
    <row r="407" spans="1:6" x14ac:dyDescent="0.25">
      <c r="A407" s="1">
        <v>45332</v>
      </c>
      <c r="B407">
        <f t="shared" si="24"/>
        <v>6</v>
      </c>
      <c r="C407" t="s">
        <v>8</v>
      </c>
      <c r="D407">
        <f t="shared" si="26"/>
        <v>0</v>
      </c>
      <c r="E407">
        <f t="shared" si="27"/>
        <v>0</v>
      </c>
      <c r="F407">
        <f t="shared" si="25"/>
        <v>0</v>
      </c>
    </row>
    <row r="408" spans="1:6" x14ac:dyDescent="0.25">
      <c r="A408" s="1">
        <v>45333</v>
      </c>
      <c r="B408">
        <f t="shared" si="24"/>
        <v>7</v>
      </c>
      <c r="C408" t="s">
        <v>8</v>
      </c>
      <c r="D408">
        <f t="shared" si="26"/>
        <v>0</v>
      </c>
      <c r="E408">
        <f t="shared" si="27"/>
        <v>150</v>
      </c>
      <c r="F408">
        <f t="shared" si="25"/>
        <v>-150</v>
      </c>
    </row>
    <row r="409" spans="1:6" x14ac:dyDescent="0.25">
      <c r="A409" s="1">
        <v>45334</v>
      </c>
      <c r="B409">
        <f t="shared" si="24"/>
        <v>1</v>
      </c>
      <c r="C409" t="s">
        <v>8</v>
      </c>
      <c r="D409">
        <f t="shared" si="26"/>
        <v>60</v>
      </c>
      <c r="E409">
        <f t="shared" si="27"/>
        <v>0</v>
      </c>
      <c r="F409">
        <f t="shared" si="25"/>
        <v>60</v>
      </c>
    </row>
    <row r="410" spans="1:6" x14ac:dyDescent="0.25">
      <c r="A410" s="1">
        <v>45335</v>
      </c>
      <c r="B410">
        <f t="shared" si="24"/>
        <v>2</v>
      </c>
      <c r="C410" t="s">
        <v>8</v>
      </c>
      <c r="D410">
        <f t="shared" si="26"/>
        <v>60</v>
      </c>
      <c r="E410">
        <f t="shared" si="27"/>
        <v>0</v>
      </c>
      <c r="F410">
        <f t="shared" si="25"/>
        <v>60</v>
      </c>
    </row>
    <row r="411" spans="1:6" x14ac:dyDescent="0.25">
      <c r="A411" s="1">
        <v>45336</v>
      </c>
      <c r="B411">
        <f t="shared" si="24"/>
        <v>3</v>
      </c>
      <c r="C411" t="s">
        <v>8</v>
      </c>
      <c r="D411">
        <f t="shared" si="26"/>
        <v>60</v>
      </c>
      <c r="E411">
        <f t="shared" si="27"/>
        <v>0</v>
      </c>
      <c r="F411">
        <f t="shared" si="25"/>
        <v>60</v>
      </c>
    </row>
    <row r="412" spans="1:6" x14ac:dyDescent="0.25">
      <c r="A412" s="1">
        <v>45337</v>
      </c>
      <c r="B412">
        <f t="shared" si="24"/>
        <v>4</v>
      </c>
      <c r="C412" t="s">
        <v>8</v>
      </c>
      <c r="D412">
        <f t="shared" si="26"/>
        <v>60</v>
      </c>
      <c r="E412">
        <f t="shared" si="27"/>
        <v>0</v>
      </c>
      <c r="F412">
        <f t="shared" si="25"/>
        <v>60</v>
      </c>
    </row>
    <row r="413" spans="1:6" x14ac:dyDescent="0.25">
      <c r="A413" s="1">
        <v>45338</v>
      </c>
      <c r="B413">
        <f t="shared" si="24"/>
        <v>5</v>
      </c>
      <c r="C413" t="s">
        <v>8</v>
      </c>
      <c r="D413">
        <f t="shared" si="26"/>
        <v>60</v>
      </c>
      <c r="E413">
        <f t="shared" si="27"/>
        <v>0</v>
      </c>
      <c r="F413">
        <f t="shared" si="25"/>
        <v>60</v>
      </c>
    </row>
    <row r="414" spans="1:6" x14ac:dyDescent="0.25">
      <c r="A414" s="1">
        <v>45339</v>
      </c>
      <c r="B414">
        <f t="shared" si="24"/>
        <v>6</v>
      </c>
      <c r="C414" t="s">
        <v>8</v>
      </c>
      <c r="D414">
        <f t="shared" si="26"/>
        <v>0</v>
      </c>
      <c r="E414">
        <f t="shared" si="27"/>
        <v>0</v>
      </c>
      <c r="F414">
        <f t="shared" si="25"/>
        <v>0</v>
      </c>
    </row>
    <row r="415" spans="1:6" x14ac:dyDescent="0.25">
      <c r="A415" s="1">
        <v>45340</v>
      </c>
      <c r="B415">
        <f t="shared" si="24"/>
        <v>7</v>
      </c>
      <c r="C415" t="s">
        <v>8</v>
      </c>
      <c r="D415">
        <f t="shared" si="26"/>
        <v>0</v>
      </c>
      <c r="E415">
        <f t="shared" si="27"/>
        <v>150</v>
      </c>
      <c r="F415">
        <f t="shared" si="25"/>
        <v>-150</v>
      </c>
    </row>
    <row r="416" spans="1:6" x14ac:dyDescent="0.25">
      <c r="A416" s="1">
        <v>45341</v>
      </c>
      <c r="B416">
        <f t="shared" si="24"/>
        <v>1</v>
      </c>
      <c r="C416" t="s">
        <v>8</v>
      </c>
      <c r="D416">
        <f t="shared" si="26"/>
        <v>60</v>
      </c>
      <c r="E416">
        <f t="shared" si="27"/>
        <v>0</v>
      </c>
      <c r="F416">
        <f t="shared" si="25"/>
        <v>60</v>
      </c>
    </row>
    <row r="417" spans="1:6" x14ac:dyDescent="0.25">
      <c r="A417" s="1">
        <v>45342</v>
      </c>
      <c r="B417">
        <f t="shared" si="24"/>
        <v>2</v>
      </c>
      <c r="C417" t="s">
        <v>8</v>
      </c>
      <c r="D417">
        <f t="shared" si="26"/>
        <v>60</v>
      </c>
      <c r="E417">
        <f t="shared" si="27"/>
        <v>0</v>
      </c>
      <c r="F417">
        <f t="shared" si="25"/>
        <v>60</v>
      </c>
    </row>
    <row r="418" spans="1:6" x14ac:dyDescent="0.25">
      <c r="A418" s="1">
        <v>45343</v>
      </c>
      <c r="B418">
        <f t="shared" si="24"/>
        <v>3</v>
      </c>
      <c r="C418" t="s">
        <v>8</v>
      </c>
      <c r="D418">
        <f t="shared" si="26"/>
        <v>60</v>
      </c>
      <c r="E418">
        <f t="shared" si="27"/>
        <v>0</v>
      </c>
      <c r="F418">
        <f t="shared" si="25"/>
        <v>60</v>
      </c>
    </row>
    <row r="419" spans="1:6" x14ac:dyDescent="0.25">
      <c r="A419" s="1">
        <v>45344</v>
      </c>
      <c r="B419">
        <f t="shared" si="24"/>
        <v>4</v>
      </c>
      <c r="C419" t="s">
        <v>8</v>
      </c>
      <c r="D419">
        <f t="shared" si="26"/>
        <v>60</v>
      </c>
      <c r="E419">
        <f t="shared" si="27"/>
        <v>0</v>
      </c>
      <c r="F419">
        <f t="shared" si="25"/>
        <v>60</v>
      </c>
    </row>
    <row r="420" spans="1:6" x14ac:dyDescent="0.25">
      <c r="A420" s="1">
        <v>45345</v>
      </c>
      <c r="B420">
        <f t="shared" si="24"/>
        <v>5</v>
      </c>
      <c r="C420" t="s">
        <v>8</v>
      </c>
      <c r="D420">
        <f t="shared" si="26"/>
        <v>60</v>
      </c>
      <c r="E420">
        <f t="shared" si="27"/>
        <v>0</v>
      </c>
      <c r="F420">
        <f t="shared" si="25"/>
        <v>60</v>
      </c>
    </row>
    <row r="421" spans="1:6" x14ac:dyDescent="0.25">
      <c r="A421" s="1">
        <v>45346</v>
      </c>
      <c r="B421">
        <f t="shared" si="24"/>
        <v>6</v>
      </c>
      <c r="C421" t="s">
        <v>8</v>
      </c>
      <c r="D421">
        <f t="shared" si="26"/>
        <v>0</v>
      </c>
      <c r="E421">
        <f t="shared" si="27"/>
        <v>0</v>
      </c>
      <c r="F421">
        <f t="shared" si="25"/>
        <v>0</v>
      </c>
    </row>
    <row r="422" spans="1:6" x14ac:dyDescent="0.25">
      <c r="A422" s="1">
        <v>45347</v>
      </c>
      <c r="B422">
        <f t="shared" si="24"/>
        <v>7</v>
      </c>
      <c r="C422" t="s">
        <v>8</v>
      </c>
      <c r="D422">
        <f t="shared" si="26"/>
        <v>0</v>
      </c>
      <c r="E422">
        <f t="shared" si="27"/>
        <v>150</v>
      </c>
      <c r="F422">
        <f t="shared" si="25"/>
        <v>-150</v>
      </c>
    </row>
    <row r="423" spans="1:6" x14ac:dyDescent="0.25">
      <c r="A423" s="1">
        <v>45348</v>
      </c>
      <c r="B423">
        <f t="shared" si="24"/>
        <v>1</v>
      </c>
      <c r="C423" t="s">
        <v>8</v>
      </c>
      <c r="D423">
        <f t="shared" si="26"/>
        <v>60</v>
      </c>
      <c r="E423">
        <f t="shared" si="27"/>
        <v>0</v>
      </c>
      <c r="F423">
        <f t="shared" si="25"/>
        <v>60</v>
      </c>
    </row>
    <row r="424" spans="1:6" x14ac:dyDescent="0.25">
      <c r="A424" s="1">
        <v>45349</v>
      </c>
      <c r="B424">
        <f t="shared" si="24"/>
        <v>2</v>
      </c>
      <c r="C424" t="s">
        <v>8</v>
      </c>
      <c r="D424">
        <f t="shared" si="26"/>
        <v>60</v>
      </c>
      <c r="E424">
        <f t="shared" si="27"/>
        <v>0</v>
      </c>
      <c r="F424">
        <f t="shared" si="25"/>
        <v>60</v>
      </c>
    </row>
    <row r="425" spans="1:6" x14ac:dyDescent="0.25">
      <c r="A425" s="1">
        <v>45350</v>
      </c>
      <c r="B425">
        <f t="shared" si="24"/>
        <v>3</v>
      </c>
      <c r="C425" t="s">
        <v>8</v>
      </c>
      <c r="D425">
        <f t="shared" si="26"/>
        <v>60</v>
      </c>
      <c r="E425">
        <f t="shared" si="27"/>
        <v>0</v>
      </c>
      <c r="F425">
        <f t="shared" si="25"/>
        <v>60</v>
      </c>
    </row>
    <row r="426" spans="1:6" x14ac:dyDescent="0.25">
      <c r="A426" s="1">
        <v>45351</v>
      </c>
      <c r="B426">
        <f t="shared" si="24"/>
        <v>4</v>
      </c>
      <c r="C426" t="s">
        <v>8</v>
      </c>
      <c r="D426">
        <f t="shared" si="26"/>
        <v>60</v>
      </c>
      <c r="E426">
        <f t="shared" si="27"/>
        <v>0</v>
      </c>
      <c r="F426">
        <f t="shared" si="25"/>
        <v>60</v>
      </c>
    </row>
    <row r="427" spans="1:6" x14ac:dyDescent="0.25">
      <c r="A427" s="1">
        <v>45352</v>
      </c>
      <c r="B427">
        <f t="shared" si="24"/>
        <v>5</v>
      </c>
      <c r="C427" t="s">
        <v>8</v>
      </c>
      <c r="D427">
        <f t="shared" si="26"/>
        <v>60</v>
      </c>
      <c r="E427">
        <f t="shared" si="27"/>
        <v>0</v>
      </c>
      <c r="F427">
        <f t="shared" si="25"/>
        <v>60</v>
      </c>
    </row>
    <row r="428" spans="1:6" x14ac:dyDescent="0.25">
      <c r="A428" s="1">
        <v>45353</v>
      </c>
      <c r="B428">
        <f t="shared" si="24"/>
        <v>6</v>
      </c>
      <c r="C428" t="s">
        <v>8</v>
      </c>
      <c r="D428">
        <f t="shared" si="26"/>
        <v>0</v>
      </c>
      <c r="E428">
        <f t="shared" si="27"/>
        <v>0</v>
      </c>
      <c r="F428">
        <f t="shared" si="25"/>
        <v>0</v>
      </c>
    </row>
    <row r="429" spans="1:6" x14ac:dyDescent="0.25">
      <c r="A429" s="1">
        <v>45354</v>
      </c>
      <c r="B429">
        <f t="shared" si="24"/>
        <v>7</v>
      </c>
      <c r="C429" t="s">
        <v>8</v>
      </c>
      <c r="D429">
        <f t="shared" si="26"/>
        <v>0</v>
      </c>
      <c r="E429">
        <f t="shared" si="27"/>
        <v>150</v>
      </c>
      <c r="F429">
        <f t="shared" si="25"/>
        <v>-150</v>
      </c>
    </row>
    <row r="430" spans="1:6" x14ac:dyDescent="0.25">
      <c r="A430" s="1">
        <v>45355</v>
      </c>
      <c r="B430">
        <f t="shared" si="24"/>
        <v>1</v>
      </c>
      <c r="C430" t="s">
        <v>8</v>
      </c>
      <c r="D430">
        <f t="shared" si="26"/>
        <v>60</v>
      </c>
      <c r="E430">
        <f t="shared" si="27"/>
        <v>0</v>
      </c>
      <c r="F430">
        <f t="shared" si="25"/>
        <v>60</v>
      </c>
    </row>
    <row r="431" spans="1:6" x14ac:dyDescent="0.25">
      <c r="A431" s="1">
        <v>45356</v>
      </c>
      <c r="B431">
        <f t="shared" si="24"/>
        <v>2</v>
      </c>
      <c r="C431" t="s">
        <v>8</v>
      </c>
      <c r="D431">
        <f t="shared" si="26"/>
        <v>60</v>
      </c>
      <c r="E431">
        <f t="shared" si="27"/>
        <v>0</v>
      </c>
      <c r="F431">
        <f t="shared" si="25"/>
        <v>60</v>
      </c>
    </row>
    <row r="432" spans="1:6" x14ac:dyDescent="0.25">
      <c r="A432" s="1">
        <v>45357</v>
      </c>
      <c r="B432">
        <f t="shared" si="24"/>
        <v>3</v>
      </c>
      <c r="C432" t="s">
        <v>8</v>
      </c>
      <c r="D432">
        <f t="shared" si="26"/>
        <v>60</v>
      </c>
      <c r="E432">
        <f t="shared" si="27"/>
        <v>0</v>
      </c>
      <c r="F432">
        <f t="shared" si="25"/>
        <v>60</v>
      </c>
    </row>
    <row r="433" spans="1:6" x14ac:dyDescent="0.25">
      <c r="A433" s="1">
        <v>45358</v>
      </c>
      <c r="B433">
        <f t="shared" si="24"/>
        <v>4</v>
      </c>
      <c r="C433" t="s">
        <v>8</v>
      </c>
      <c r="D433">
        <f t="shared" si="26"/>
        <v>60</v>
      </c>
      <c r="E433">
        <f t="shared" si="27"/>
        <v>0</v>
      </c>
      <c r="F433">
        <f t="shared" si="25"/>
        <v>60</v>
      </c>
    </row>
    <row r="434" spans="1:6" x14ac:dyDescent="0.25">
      <c r="A434" s="1">
        <v>45359</v>
      </c>
      <c r="B434">
        <f t="shared" si="24"/>
        <v>5</v>
      </c>
      <c r="C434" t="s">
        <v>8</v>
      </c>
      <c r="D434">
        <f t="shared" si="26"/>
        <v>60</v>
      </c>
      <c r="E434">
        <f t="shared" si="27"/>
        <v>0</v>
      </c>
      <c r="F434">
        <f t="shared" si="25"/>
        <v>60</v>
      </c>
    </row>
    <row r="435" spans="1:6" x14ac:dyDescent="0.25">
      <c r="A435" s="1">
        <v>45360</v>
      </c>
      <c r="B435">
        <f t="shared" si="24"/>
        <v>6</v>
      </c>
      <c r="C435" t="s">
        <v>8</v>
      </c>
      <c r="D435">
        <f t="shared" si="26"/>
        <v>0</v>
      </c>
      <c r="E435">
        <f t="shared" si="27"/>
        <v>0</v>
      </c>
      <c r="F435">
        <f t="shared" si="25"/>
        <v>0</v>
      </c>
    </row>
    <row r="436" spans="1:6" x14ac:dyDescent="0.25">
      <c r="A436" s="1">
        <v>45361</v>
      </c>
      <c r="B436">
        <f t="shared" si="24"/>
        <v>7</v>
      </c>
      <c r="C436" t="s">
        <v>8</v>
      </c>
      <c r="D436">
        <f t="shared" si="26"/>
        <v>0</v>
      </c>
      <c r="E436">
        <f t="shared" si="27"/>
        <v>150</v>
      </c>
      <c r="F436">
        <f t="shared" si="25"/>
        <v>-150</v>
      </c>
    </row>
    <row r="437" spans="1:6" x14ac:dyDescent="0.25">
      <c r="A437" s="1">
        <v>45362</v>
      </c>
      <c r="B437">
        <f t="shared" si="24"/>
        <v>1</v>
      </c>
      <c r="C437" t="s">
        <v>8</v>
      </c>
      <c r="D437">
        <f t="shared" si="26"/>
        <v>60</v>
      </c>
      <c r="E437">
        <f t="shared" si="27"/>
        <v>0</v>
      </c>
      <c r="F437">
        <f t="shared" si="25"/>
        <v>60</v>
      </c>
    </row>
    <row r="438" spans="1:6" x14ac:dyDescent="0.25">
      <c r="A438" s="1">
        <v>45363</v>
      </c>
      <c r="B438">
        <f t="shared" si="24"/>
        <v>2</v>
      </c>
      <c r="C438" t="s">
        <v>8</v>
      </c>
      <c r="D438">
        <f t="shared" si="26"/>
        <v>60</v>
      </c>
      <c r="E438">
        <f t="shared" si="27"/>
        <v>0</v>
      </c>
      <c r="F438">
        <f t="shared" si="25"/>
        <v>60</v>
      </c>
    </row>
    <row r="439" spans="1:6" x14ac:dyDescent="0.25">
      <c r="A439" s="1">
        <v>45364</v>
      </c>
      <c r="B439">
        <f t="shared" si="24"/>
        <v>3</v>
      </c>
      <c r="C439" t="s">
        <v>8</v>
      </c>
      <c r="D439">
        <f t="shared" si="26"/>
        <v>60</v>
      </c>
      <c r="E439">
        <f t="shared" si="27"/>
        <v>0</v>
      </c>
      <c r="F439">
        <f t="shared" si="25"/>
        <v>60</v>
      </c>
    </row>
    <row r="440" spans="1:6" x14ac:dyDescent="0.25">
      <c r="A440" s="1">
        <v>45365</v>
      </c>
      <c r="B440">
        <f t="shared" si="24"/>
        <v>4</v>
      </c>
      <c r="C440" t="s">
        <v>8</v>
      </c>
      <c r="D440">
        <f t="shared" si="26"/>
        <v>60</v>
      </c>
      <c r="E440">
        <f t="shared" si="27"/>
        <v>0</v>
      </c>
      <c r="F440">
        <f t="shared" si="25"/>
        <v>60</v>
      </c>
    </row>
    <row r="441" spans="1:6" x14ac:dyDescent="0.25">
      <c r="A441" s="1">
        <v>45366</v>
      </c>
      <c r="B441">
        <f t="shared" si="24"/>
        <v>5</v>
      </c>
      <c r="C441" t="s">
        <v>8</v>
      </c>
      <c r="D441">
        <f t="shared" si="26"/>
        <v>60</v>
      </c>
      <c r="E441">
        <f t="shared" si="27"/>
        <v>0</v>
      </c>
      <c r="F441">
        <f t="shared" si="25"/>
        <v>60</v>
      </c>
    </row>
    <row r="442" spans="1:6" x14ac:dyDescent="0.25">
      <c r="A442" s="1">
        <v>45367</v>
      </c>
      <c r="B442">
        <f t="shared" si="24"/>
        <v>6</v>
      </c>
      <c r="C442" t="s">
        <v>8</v>
      </c>
      <c r="D442">
        <f t="shared" si="26"/>
        <v>0</v>
      </c>
      <c r="E442">
        <f t="shared" si="27"/>
        <v>0</v>
      </c>
      <c r="F442">
        <f t="shared" si="25"/>
        <v>0</v>
      </c>
    </row>
    <row r="443" spans="1:6" x14ac:dyDescent="0.25">
      <c r="A443" s="1">
        <v>45368</v>
      </c>
      <c r="B443">
        <f t="shared" si="24"/>
        <v>7</v>
      </c>
      <c r="C443" t="s">
        <v>8</v>
      </c>
      <c r="D443">
        <f t="shared" si="26"/>
        <v>0</v>
      </c>
      <c r="E443">
        <f t="shared" si="27"/>
        <v>150</v>
      </c>
      <c r="F443">
        <f t="shared" si="25"/>
        <v>-150</v>
      </c>
    </row>
    <row r="444" spans="1:6" x14ac:dyDescent="0.25">
      <c r="A444" s="1">
        <v>45369</v>
      </c>
      <c r="B444">
        <f t="shared" si="24"/>
        <v>1</v>
      </c>
      <c r="C444" t="s">
        <v>8</v>
      </c>
      <c r="D444">
        <f t="shared" si="26"/>
        <v>60</v>
      </c>
      <c r="E444">
        <f t="shared" si="27"/>
        <v>0</v>
      </c>
      <c r="F444">
        <f t="shared" si="25"/>
        <v>60</v>
      </c>
    </row>
    <row r="445" spans="1:6" x14ac:dyDescent="0.25">
      <c r="A445" s="1">
        <v>45370</v>
      </c>
      <c r="B445">
        <f t="shared" si="24"/>
        <v>2</v>
      </c>
      <c r="C445" t="s">
        <v>8</v>
      </c>
      <c r="D445">
        <f t="shared" si="26"/>
        <v>60</v>
      </c>
      <c r="E445">
        <f t="shared" si="27"/>
        <v>0</v>
      </c>
      <c r="F445">
        <f t="shared" si="25"/>
        <v>60</v>
      </c>
    </row>
    <row r="446" spans="1:6" x14ac:dyDescent="0.25">
      <c r="A446" s="1">
        <v>45371</v>
      </c>
      <c r="B446">
        <f t="shared" si="24"/>
        <v>3</v>
      </c>
      <c r="C446" t="s">
        <v>8</v>
      </c>
      <c r="D446">
        <f t="shared" si="26"/>
        <v>60</v>
      </c>
      <c r="E446">
        <f t="shared" si="27"/>
        <v>0</v>
      </c>
      <c r="F446">
        <f t="shared" si="25"/>
        <v>60</v>
      </c>
    </row>
    <row r="447" spans="1:6" x14ac:dyDescent="0.25">
      <c r="A447" s="1">
        <v>45372</v>
      </c>
      <c r="B447">
        <f t="shared" si="24"/>
        <v>4</v>
      </c>
      <c r="C447" t="s">
        <v>9</v>
      </c>
      <c r="D447">
        <f t="shared" si="26"/>
        <v>150</v>
      </c>
      <c r="E447">
        <f t="shared" si="27"/>
        <v>0</v>
      </c>
      <c r="F447">
        <f t="shared" si="25"/>
        <v>150</v>
      </c>
    </row>
    <row r="448" spans="1:6" x14ac:dyDescent="0.25">
      <c r="A448" s="1">
        <v>45373</v>
      </c>
      <c r="B448">
        <f t="shared" si="24"/>
        <v>5</v>
      </c>
      <c r="C448" t="s">
        <v>9</v>
      </c>
      <c r="D448">
        <f t="shared" si="26"/>
        <v>150</v>
      </c>
      <c r="E448">
        <f t="shared" si="27"/>
        <v>0</v>
      </c>
      <c r="F448">
        <f t="shared" si="25"/>
        <v>150</v>
      </c>
    </row>
    <row r="449" spans="1:6" x14ac:dyDescent="0.25">
      <c r="A449" s="1">
        <v>45374</v>
      </c>
      <c r="B449">
        <f t="shared" si="24"/>
        <v>6</v>
      </c>
      <c r="C449" t="s">
        <v>9</v>
      </c>
      <c r="D449">
        <f t="shared" si="26"/>
        <v>0</v>
      </c>
      <c r="E449">
        <f t="shared" si="27"/>
        <v>0</v>
      </c>
      <c r="F449">
        <f t="shared" si="25"/>
        <v>0</v>
      </c>
    </row>
    <row r="450" spans="1:6" x14ac:dyDescent="0.25">
      <c r="A450" s="1">
        <v>45375</v>
      </c>
      <c r="B450">
        <f t="shared" si="24"/>
        <v>7</v>
      </c>
      <c r="C450" t="s">
        <v>9</v>
      </c>
      <c r="D450">
        <f t="shared" si="26"/>
        <v>0</v>
      </c>
      <c r="E450">
        <f t="shared" si="27"/>
        <v>150</v>
      </c>
      <c r="F450">
        <f t="shared" si="25"/>
        <v>-150</v>
      </c>
    </row>
    <row r="451" spans="1:6" x14ac:dyDescent="0.25">
      <c r="A451" s="1">
        <v>45376</v>
      </c>
      <c r="B451">
        <f t="shared" ref="B451:B514" si="28">WEEKDAY(A451,2)</f>
        <v>1</v>
      </c>
      <c r="C451" t="s">
        <v>9</v>
      </c>
      <c r="D451">
        <f t="shared" si="26"/>
        <v>150</v>
      </c>
      <c r="E451">
        <f t="shared" si="27"/>
        <v>0</v>
      </c>
      <c r="F451">
        <f t="shared" ref="F451:F514" si="29">D451-E451</f>
        <v>150</v>
      </c>
    </row>
    <row r="452" spans="1:6" x14ac:dyDescent="0.25">
      <c r="A452" s="1">
        <v>45377</v>
      </c>
      <c r="B452">
        <f t="shared" si="28"/>
        <v>2</v>
      </c>
      <c r="C452" t="s">
        <v>9</v>
      </c>
      <c r="D452">
        <f t="shared" ref="D452:D515" si="30">IF(B452&lt;6,$Q$1*VLOOKUP(C452,$S$1:$T$5,2,FALSE)*$Q$3,0)</f>
        <v>150</v>
      </c>
      <c r="E452">
        <f t="shared" ref="E452:E515" si="31">IF(B452=7,$Q$4*$Q$1,0)</f>
        <v>0</v>
      </c>
      <c r="F452">
        <f t="shared" si="29"/>
        <v>150</v>
      </c>
    </row>
    <row r="453" spans="1:6" x14ac:dyDescent="0.25">
      <c r="A453" s="1">
        <v>45378</v>
      </c>
      <c r="B453">
        <f t="shared" si="28"/>
        <v>3</v>
      </c>
      <c r="C453" t="s">
        <v>9</v>
      </c>
      <c r="D453">
        <f t="shared" si="30"/>
        <v>150</v>
      </c>
      <c r="E453">
        <f t="shared" si="31"/>
        <v>0</v>
      </c>
      <c r="F453">
        <f t="shared" si="29"/>
        <v>150</v>
      </c>
    </row>
    <row r="454" spans="1:6" x14ac:dyDescent="0.25">
      <c r="A454" s="1">
        <v>45379</v>
      </c>
      <c r="B454">
        <f t="shared" si="28"/>
        <v>4</v>
      </c>
      <c r="C454" t="s">
        <v>9</v>
      </c>
      <c r="D454">
        <f t="shared" si="30"/>
        <v>150</v>
      </c>
      <c r="E454">
        <f t="shared" si="31"/>
        <v>0</v>
      </c>
      <c r="F454">
        <f t="shared" si="29"/>
        <v>150</v>
      </c>
    </row>
    <row r="455" spans="1:6" x14ac:dyDescent="0.25">
      <c r="A455" s="1">
        <v>45380</v>
      </c>
      <c r="B455">
        <f t="shared" si="28"/>
        <v>5</v>
      </c>
      <c r="C455" t="s">
        <v>9</v>
      </c>
      <c r="D455">
        <f t="shared" si="30"/>
        <v>150</v>
      </c>
      <c r="E455">
        <f t="shared" si="31"/>
        <v>0</v>
      </c>
      <c r="F455">
        <f t="shared" si="29"/>
        <v>150</v>
      </c>
    </row>
    <row r="456" spans="1:6" x14ac:dyDescent="0.25">
      <c r="A456" s="1">
        <v>45381</v>
      </c>
      <c r="B456">
        <f t="shared" si="28"/>
        <v>6</v>
      </c>
      <c r="C456" t="s">
        <v>9</v>
      </c>
      <c r="D456">
        <f t="shared" si="30"/>
        <v>0</v>
      </c>
      <c r="E456">
        <f t="shared" si="31"/>
        <v>0</v>
      </c>
      <c r="F456">
        <f t="shared" si="29"/>
        <v>0</v>
      </c>
    </row>
    <row r="457" spans="1:6" x14ac:dyDescent="0.25">
      <c r="A457" s="1">
        <v>45382</v>
      </c>
      <c r="B457">
        <f t="shared" si="28"/>
        <v>7</v>
      </c>
      <c r="C457" t="s">
        <v>9</v>
      </c>
      <c r="D457">
        <f t="shared" si="30"/>
        <v>0</v>
      </c>
      <c r="E457">
        <f t="shared" si="31"/>
        <v>150</v>
      </c>
      <c r="F457">
        <f t="shared" si="29"/>
        <v>-150</v>
      </c>
    </row>
    <row r="458" spans="1:6" x14ac:dyDescent="0.25">
      <c r="A458" s="1">
        <v>45383</v>
      </c>
      <c r="B458">
        <f t="shared" si="28"/>
        <v>1</v>
      </c>
      <c r="C458" t="s">
        <v>9</v>
      </c>
      <c r="D458">
        <f t="shared" si="30"/>
        <v>150</v>
      </c>
      <c r="E458">
        <f t="shared" si="31"/>
        <v>0</v>
      </c>
      <c r="F458">
        <f t="shared" si="29"/>
        <v>150</v>
      </c>
    </row>
    <row r="459" spans="1:6" x14ac:dyDescent="0.25">
      <c r="A459" s="1">
        <v>45384</v>
      </c>
      <c r="B459">
        <f t="shared" si="28"/>
        <v>2</v>
      </c>
      <c r="C459" t="s">
        <v>9</v>
      </c>
      <c r="D459">
        <f t="shared" si="30"/>
        <v>150</v>
      </c>
      <c r="E459">
        <f t="shared" si="31"/>
        <v>0</v>
      </c>
      <c r="F459">
        <f t="shared" si="29"/>
        <v>150</v>
      </c>
    </row>
    <row r="460" spans="1:6" x14ac:dyDescent="0.25">
      <c r="A460" s="1">
        <v>45385</v>
      </c>
      <c r="B460">
        <f t="shared" si="28"/>
        <v>3</v>
      </c>
      <c r="C460" t="s">
        <v>9</v>
      </c>
      <c r="D460">
        <f t="shared" si="30"/>
        <v>150</v>
      </c>
      <c r="E460">
        <f t="shared" si="31"/>
        <v>0</v>
      </c>
      <c r="F460">
        <f t="shared" si="29"/>
        <v>150</v>
      </c>
    </row>
    <row r="461" spans="1:6" x14ac:dyDescent="0.25">
      <c r="A461" s="1">
        <v>45386</v>
      </c>
      <c r="B461">
        <f t="shared" si="28"/>
        <v>4</v>
      </c>
      <c r="C461" t="s">
        <v>9</v>
      </c>
      <c r="D461">
        <f t="shared" si="30"/>
        <v>150</v>
      </c>
      <c r="E461">
        <f t="shared" si="31"/>
        <v>0</v>
      </c>
      <c r="F461">
        <f t="shared" si="29"/>
        <v>150</v>
      </c>
    </row>
    <row r="462" spans="1:6" x14ac:dyDescent="0.25">
      <c r="A462" s="1">
        <v>45387</v>
      </c>
      <c r="B462">
        <f t="shared" si="28"/>
        <v>5</v>
      </c>
      <c r="C462" t="s">
        <v>9</v>
      </c>
      <c r="D462">
        <f t="shared" si="30"/>
        <v>150</v>
      </c>
      <c r="E462">
        <f t="shared" si="31"/>
        <v>0</v>
      </c>
      <c r="F462">
        <f t="shared" si="29"/>
        <v>150</v>
      </c>
    </row>
    <row r="463" spans="1:6" x14ac:dyDescent="0.25">
      <c r="A463" s="1">
        <v>45388</v>
      </c>
      <c r="B463">
        <f t="shared" si="28"/>
        <v>6</v>
      </c>
      <c r="C463" t="s">
        <v>9</v>
      </c>
      <c r="D463">
        <f t="shared" si="30"/>
        <v>0</v>
      </c>
      <c r="E463">
        <f t="shared" si="31"/>
        <v>0</v>
      </c>
      <c r="F463">
        <f t="shared" si="29"/>
        <v>0</v>
      </c>
    </row>
    <row r="464" spans="1:6" x14ac:dyDescent="0.25">
      <c r="A464" s="1">
        <v>45389</v>
      </c>
      <c r="B464">
        <f t="shared" si="28"/>
        <v>7</v>
      </c>
      <c r="C464" t="s">
        <v>9</v>
      </c>
      <c r="D464">
        <f t="shared" si="30"/>
        <v>0</v>
      </c>
      <c r="E464">
        <f t="shared" si="31"/>
        <v>150</v>
      </c>
      <c r="F464">
        <f t="shared" si="29"/>
        <v>-150</v>
      </c>
    </row>
    <row r="465" spans="1:6" x14ac:dyDescent="0.25">
      <c r="A465" s="1">
        <v>45390</v>
      </c>
      <c r="B465">
        <f t="shared" si="28"/>
        <v>1</v>
      </c>
      <c r="C465" t="s">
        <v>9</v>
      </c>
      <c r="D465">
        <f t="shared" si="30"/>
        <v>150</v>
      </c>
      <c r="E465">
        <f t="shared" si="31"/>
        <v>0</v>
      </c>
      <c r="F465">
        <f t="shared" si="29"/>
        <v>150</v>
      </c>
    </row>
    <row r="466" spans="1:6" x14ac:dyDescent="0.25">
      <c r="A466" s="1">
        <v>45391</v>
      </c>
      <c r="B466">
        <f t="shared" si="28"/>
        <v>2</v>
      </c>
      <c r="C466" t="s">
        <v>9</v>
      </c>
      <c r="D466">
        <f t="shared" si="30"/>
        <v>150</v>
      </c>
      <c r="E466">
        <f t="shared" si="31"/>
        <v>0</v>
      </c>
      <c r="F466">
        <f t="shared" si="29"/>
        <v>150</v>
      </c>
    </row>
    <row r="467" spans="1:6" x14ac:dyDescent="0.25">
      <c r="A467" s="1">
        <v>45392</v>
      </c>
      <c r="B467">
        <f t="shared" si="28"/>
        <v>3</v>
      </c>
      <c r="C467" t="s">
        <v>9</v>
      </c>
      <c r="D467">
        <f t="shared" si="30"/>
        <v>150</v>
      </c>
      <c r="E467">
        <f t="shared" si="31"/>
        <v>0</v>
      </c>
      <c r="F467">
        <f t="shared" si="29"/>
        <v>150</v>
      </c>
    </row>
    <row r="468" spans="1:6" x14ac:dyDescent="0.25">
      <c r="A468" s="1">
        <v>45393</v>
      </c>
      <c r="B468">
        <f t="shared" si="28"/>
        <v>4</v>
      </c>
      <c r="C468" t="s">
        <v>9</v>
      </c>
      <c r="D468">
        <f t="shared" si="30"/>
        <v>150</v>
      </c>
      <c r="E468">
        <f t="shared" si="31"/>
        <v>0</v>
      </c>
      <c r="F468">
        <f t="shared" si="29"/>
        <v>150</v>
      </c>
    </row>
    <row r="469" spans="1:6" x14ac:dyDescent="0.25">
      <c r="A469" s="1">
        <v>45394</v>
      </c>
      <c r="B469">
        <f t="shared" si="28"/>
        <v>5</v>
      </c>
      <c r="C469" t="s">
        <v>9</v>
      </c>
      <c r="D469">
        <f t="shared" si="30"/>
        <v>150</v>
      </c>
      <c r="E469">
        <f t="shared" si="31"/>
        <v>0</v>
      </c>
      <c r="F469">
        <f t="shared" si="29"/>
        <v>150</v>
      </c>
    </row>
    <row r="470" spans="1:6" x14ac:dyDescent="0.25">
      <c r="A470" s="1">
        <v>45395</v>
      </c>
      <c r="B470">
        <f t="shared" si="28"/>
        <v>6</v>
      </c>
      <c r="C470" t="s">
        <v>9</v>
      </c>
      <c r="D470">
        <f t="shared" si="30"/>
        <v>0</v>
      </c>
      <c r="E470">
        <f t="shared" si="31"/>
        <v>0</v>
      </c>
      <c r="F470">
        <f t="shared" si="29"/>
        <v>0</v>
      </c>
    </row>
    <row r="471" spans="1:6" x14ac:dyDescent="0.25">
      <c r="A471" s="1">
        <v>45396</v>
      </c>
      <c r="B471">
        <f t="shared" si="28"/>
        <v>7</v>
      </c>
      <c r="C471" t="s">
        <v>9</v>
      </c>
      <c r="D471">
        <f t="shared" si="30"/>
        <v>0</v>
      </c>
      <c r="E471">
        <f t="shared" si="31"/>
        <v>150</v>
      </c>
      <c r="F471">
        <f t="shared" si="29"/>
        <v>-150</v>
      </c>
    </row>
    <row r="472" spans="1:6" x14ac:dyDescent="0.25">
      <c r="A472" s="1">
        <v>45397</v>
      </c>
      <c r="B472">
        <f t="shared" si="28"/>
        <v>1</v>
      </c>
      <c r="C472" t="s">
        <v>9</v>
      </c>
      <c r="D472">
        <f t="shared" si="30"/>
        <v>150</v>
      </c>
      <c r="E472">
        <f t="shared" si="31"/>
        <v>0</v>
      </c>
      <c r="F472">
        <f t="shared" si="29"/>
        <v>150</v>
      </c>
    </row>
    <row r="473" spans="1:6" x14ac:dyDescent="0.25">
      <c r="A473" s="1">
        <v>45398</v>
      </c>
      <c r="B473">
        <f t="shared" si="28"/>
        <v>2</v>
      </c>
      <c r="C473" t="s">
        <v>9</v>
      </c>
      <c r="D473">
        <f t="shared" si="30"/>
        <v>150</v>
      </c>
      <c r="E473">
        <f t="shared" si="31"/>
        <v>0</v>
      </c>
      <c r="F473">
        <f t="shared" si="29"/>
        <v>150</v>
      </c>
    </row>
    <row r="474" spans="1:6" x14ac:dyDescent="0.25">
      <c r="A474" s="1">
        <v>45399</v>
      </c>
      <c r="B474">
        <f t="shared" si="28"/>
        <v>3</v>
      </c>
      <c r="C474" t="s">
        <v>9</v>
      </c>
      <c r="D474">
        <f t="shared" si="30"/>
        <v>150</v>
      </c>
      <c r="E474">
        <f t="shared" si="31"/>
        <v>0</v>
      </c>
      <c r="F474">
        <f t="shared" si="29"/>
        <v>150</v>
      </c>
    </row>
    <row r="475" spans="1:6" x14ac:dyDescent="0.25">
      <c r="A475" s="1">
        <v>45400</v>
      </c>
      <c r="B475">
        <f t="shared" si="28"/>
        <v>4</v>
      </c>
      <c r="C475" t="s">
        <v>9</v>
      </c>
      <c r="D475">
        <f t="shared" si="30"/>
        <v>150</v>
      </c>
      <c r="E475">
        <f t="shared" si="31"/>
        <v>0</v>
      </c>
      <c r="F475">
        <f t="shared" si="29"/>
        <v>150</v>
      </c>
    </row>
    <row r="476" spans="1:6" x14ac:dyDescent="0.25">
      <c r="A476" s="1">
        <v>45401</v>
      </c>
      <c r="B476">
        <f t="shared" si="28"/>
        <v>5</v>
      </c>
      <c r="C476" t="s">
        <v>9</v>
      </c>
      <c r="D476">
        <f t="shared" si="30"/>
        <v>150</v>
      </c>
      <c r="E476">
        <f t="shared" si="31"/>
        <v>0</v>
      </c>
      <c r="F476">
        <f t="shared" si="29"/>
        <v>150</v>
      </c>
    </row>
    <row r="477" spans="1:6" x14ac:dyDescent="0.25">
      <c r="A477" s="1">
        <v>45402</v>
      </c>
      <c r="B477">
        <f t="shared" si="28"/>
        <v>6</v>
      </c>
      <c r="C477" t="s">
        <v>9</v>
      </c>
      <c r="D477">
        <f t="shared" si="30"/>
        <v>0</v>
      </c>
      <c r="E477">
        <f t="shared" si="31"/>
        <v>0</v>
      </c>
      <c r="F477">
        <f t="shared" si="29"/>
        <v>0</v>
      </c>
    </row>
    <row r="478" spans="1:6" x14ac:dyDescent="0.25">
      <c r="A478" s="1">
        <v>45403</v>
      </c>
      <c r="B478">
        <f t="shared" si="28"/>
        <v>7</v>
      </c>
      <c r="C478" t="s">
        <v>9</v>
      </c>
      <c r="D478">
        <f t="shared" si="30"/>
        <v>0</v>
      </c>
      <c r="E478">
        <f t="shared" si="31"/>
        <v>150</v>
      </c>
      <c r="F478">
        <f t="shared" si="29"/>
        <v>-150</v>
      </c>
    </row>
    <row r="479" spans="1:6" x14ac:dyDescent="0.25">
      <c r="A479" s="1">
        <v>45404</v>
      </c>
      <c r="B479">
        <f t="shared" si="28"/>
        <v>1</v>
      </c>
      <c r="C479" t="s">
        <v>9</v>
      </c>
      <c r="D479">
        <f t="shared" si="30"/>
        <v>150</v>
      </c>
      <c r="E479">
        <f t="shared" si="31"/>
        <v>0</v>
      </c>
      <c r="F479">
        <f t="shared" si="29"/>
        <v>150</v>
      </c>
    </row>
    <row r="480" spans="1:6" x14ac:dyDescent="0.25">
      <c r="A480" s="1">
        <v>45405</v>
      </c>
      <c r="B480">
        <f t="shared" si="28"/>
        <v>2</v>
      </c>
      <c r="C480" t="s">
        <v>9</v>
      </c>
      <c r="D480">
        <f t="shared" si="30"/>
        <v>150</v>
      </c>
      <c r="E480">
        <f t="shared" si="31"/>
        <v>0</v>
      </c>
      <c r="F480">
        <f t="shared" si="29"/>
        <v>150</v>
      </c>
    </row>
    <row r="481" spans="1:6" x14ac:dyDescent="0.25">
      <c r="A481" s="1">
        <v>45406</v>
      </c>
      <c r="B481">
        <f t="shared" si="28"/>
        <v>3</v>
      </c>
      <c r="C481" t="s">
        <v>9</v>
      </c>
      <c r="D481">
        <f t="shared" si="30"/>
        <v>150</v>
      </c>
      <c r="E481">
        <f t="shared" si="31"/>
        <v>0</v>
      </c>
      <c r="F481">
        <f t="shared" si="29"/>
        <v>150</v>
      </c>
    </row>
    <row r="482" spans="1:6" x14ac:dyDescent="0.25">
      <c r="A482" s="1">
        <v>45407</v>
      </c>
      <c r="B482">
        <f t="shared" si="28"/>
        <v>4</v>
      </c>
      <c r="C482" t="s">
        <v>9</v>
      </c>
      <c r="D482">
        <f t="shared" si="30"/>
        <v>150</v>
      </c>
      <c r="E482">
        <f t="shared" si="31"/>
        <v>0</v>
      </c>
      <c r="F482">
        <f t="shared" si="29"/>
        <v>150</v>
      </c>
    </row>
    <row r="483" spans="1:6" x14ac:dyDescent="0.25">
      <c r="A483" s="1">
        <v>45408</v>
      </c>
      <c r="B483">
        <f t="shared" si="28"/>
        <v>5</v>
      </c>
      <c r="C483" t="s">
        <v>9</v>
      </c>
      <c r="D483">
        <f t="shared" si="30"/>
        <v>150</v>
      </c>
      <c r="E483">
        <f t="shared" si="31"/>
        <v>0</v>
      </c>
      <c r="F483">
        <f t="shared" si="29"/>
        <v>150</v>
      </c>
    </row>
    <row r="484" spans="1:6" x14ac:dyDescent="0.25">
      <c r="A484" s="1">
        <v>45409</v>
      </c>
      <c r="B484">
        <f t="shared" si="28"/>
        <v>6</v>
      </c>
      <c r="C484" t="s">
        <v>9</v>
      </c>
      <c r="D484">
        <f t="shared" si="30"/>
        <v>0</v>
      </c>
      <c r="E484">
        <f t="shared" si="31"/>
        <v>0</v>
      </c>
      <c r="F484">
        <f t="shared" si="29"/>
        <v>0</v>
      </c>
    </row>
    <row r="485" spans="1:6" x14ac:dyDescent="0.25">
      <c r="A485" s="1">
        <v>45410</v>
      </c>
      <c r="B485">
        <f t="shared" si="28"/>
        <v>7</v>
      </c>
      <c r="C485" t="s">
        <v>9</v>
      </c>
      <c r="D485">
        <f t="shared" si="30"/>
        <v>0</v>
      </c>
      <c r="E485">
        <f t="shared" si="31"/>
        <v>150</v>
      </c>
      <c r="F485">
        <f t="shared" si="29"/>
        <v>-150</v>
      </c>
    </row>
    <row r="486" spans="1:6" x14ac:dyDescent="0.25">
      <c r="A486" s="1">
        <v>45411</v>
      </c>
      <c r="B486">
        <f t="shared" si="28"/>
        <v>1</v>
      </c>
      <c r="C486" t="s">
        <v>9</v>
      </c>
      <c r="D486">
        <f t="shared" si="30"/>
        <v>150</v>
      </c>
      <c r="E486">
        <f t="shared" si="31"/>
        <v>0</v>
      </c>
      <c r="F486">
        <f t="shared" si="29"/>
        <v>150</v>
      </c>
    </row>
    <row r="487" spans="1:6" x14ac:dyDescent="0.25">
      <c r="A487" s="1">
        <v>45412</v>
      </c>
      <c r="B487">
        <f t="shared" si="28"/>
        <v>2</v>
      </c>
      <c r="C487" t="s">
        <v>9</v>
      </c>
      <c r="D487">
        <f t="shared" si="30"/>
        <v>150</v>
      </c>
      <c r="E487">
        <f t="shared" si="31"/>
        <v>0</v>
      </c>
      <c r="F487">
        <f t="shared" si="29"/>
        <v>150</v>
      </c>
    </row>
    <row r="488" spans="1:6" x14ac:dyDescent="0.25">
      <c r="A488" s="1">
        <v>45413</v>
      </c>
      <c r="B488">
        <f t="shared" si="28"/>
        <v>3</v>
      </c>
      <c r="C488" t="s">
        <v>9</v>
      </c>
      <c r="D488">
        <f t="shared" si="30"/>
        <v>150</v>
      </c>
      <c r="E488">
        <f t="shared" si="31"/>
        <v>0</v>
      </c>
      <c r="F488">
        <f t="shared" si="29"/>
        <v>150</v>
      </c>
    </row>
    <row r="489" spans="1:6" x14ac:dyDescent="0.25">
      <c r="A489" s="1">
        <v>45414</v>
      </c>
      <c r="B489">
        <f t="shared" si="28"/>
        <v>4</v>
      </c>
      <c r="C489" t="s">
        <v>9</v>
      </c>
      <c r="D489">
        <f t="shared" si="30"/>
        <v>150</v>
      </c>
      <c r="E489">
        <f t="shared" si="31"/>
        <v>0</v>
      </c>
      <c r="F489">
        <f t="shared" si="29"/>
        <v>150</v>
      </c>
    </row>
    <row r="490" spans="1:6" x14ac:dyDescent="0.25">
      <c r="A490" s="1">
        <v>45415</v>
      </c>
      <c r="B490">
        <f t="shared" si="28"/>
        <v>5</v>
      </c>
      <c r="C490" t="s">
        <v>9</v>
      </c>
      <c r="D490">
        <f t="shared" si="30"/>
        <v>150</v>
      </c>
      <c r="E490">
        <f t="shared" si="31"/>
        <v>0</v>
      </c>
      <c r="F490">
        <f t="shared" si="29"/>
        <v>150</v>
      </c>
    </row>
    <row r="491" spans="1:6" x14ac:dyDescent="0.25">
      <c r="A491" s="1">
        <v>45416</v>
      </c>
      <c r="B491">
        <f t="shared" si="28"/>
        <v>6</v>
      </c>
      <c r="C491" t="s">
        <v>9</v>
      </c>
      <c r="D491">
        <f t="shared" si="30"/>
        <v>0</v>
      </c>
      <c r="E491">
        <f t="shared" si="31"/>
        <v>0</v>
      </c>
      <c r="F491">
        <f t="shared" si="29"/>
        <v>0</v>
      </c>
    </row>
    <row r="492" spans="1:6" x14ac:dyDescent="0.25">
      <c r="A492" s="1">
        <v>45417</v>
      </c>
      <c r="B492">
        <f t="shared" si="28"/>
        <v>7</v>
      </c>
      <c r="C492" t="s">
        <v>9</v>
      </c>
      <c r="D492">
        <f t="shared" si="30"/>
        <v>0</v>
      </c>
      <c r="E492">
        <f t="shared" si="31"/>
        <v>150</v>
      </c>
      <c r="F492">
        <f t="shared" si="29"/>
        <v>-150</v>
      </c>
    </row>
    <row r="493" spans="1:6" x14ac:dyDescent="0.25">
      <c r="A493" s="1">
        <v>45418</v>
      </c>
      <c r="B493">
        <f t="shared" si="28"/>
        <v>1</v>
      </c>
      <c r="C493" t="s">
        <v>9</v>
      </c>
      <c r="D493">
        <f t="shared" si="30"/>
        <v>150</v>
      </c>
      <c r="E493">
        <f t="shared" si="31"/>
        <v>0</v>
      </c>
      <c r="F493">
        <f t="shared" si="29"/>
        <v>150</v>
      </c>
    </row>
    <row r="494" spans="1:6" x14ac:dyDescent="0.25">
      <c r="A494" s="1">
        <v>45419</v>
      </c>
      <c r="B494">
        <f t="shared" si="28"/>
        <v>2</v>
      </c>
      <c r="C494" t="s">
        <v>9</v>
      </c>
      <c r="D494">
        <f t="shared" si="30"/>
        <v>150</v>
      </c>
      <c r="E494">
        <f t="shared" si="31"/>
        <v>0</v>
      </c>
      <c r="F494">
        <f t="shared" si="29"/>
        <v>150</v>
      </c>
    </row>
    <row r="495" spans="1:6" x14ac:dyDescent="0.25">
      <c r="A495" s="1">
        <v>45420</v>
      </c>
      <c r="B495">
        <f t="shared" si="28"/>
        <v>3</v>
      </c>
      <c r="C495" t="s">
        <v>9</v>
      </c>
      <c r="D495">
        <f t="shared" si="30"/>
        <v>150</v>
      </c>
      <c r="E495">
        <f t="shared" si="31"/>
        <v>0</v>
      </c>
      <c r="F495">
        <f t="shared" si="29"/>
        <v>150</v>
      </c>
    </row>
    <row r="496" spans="1:6" x14ac:dyDescent="0.25">
      <c r="A496" s="1">
        <v>45421</v>
      </c>
      <c r="B496">
        <f t="shared" si="28"/>
        <v>4</v>
      </c>
      <c r="C496" t="s">
        <v>9</v>
      </c>
      <c r="D496">
        <f t="shared" si="30"/>
        <v>150</v>
      </c>
      <c r="E496">
        <f t="shared" si="31"/>
        <v>0</v>
      </c>
      <c r="F496">
        <f t="shared" si="29"/>
        <v>150</v>
      </c>
    </row>
    <row r="497" spans="1:6" x14ac:dyDescent="0.25">
      <c r="A497" s="1">
        <v>45422</v>
      </c>
      <c r="B497">
        <f t="shared" si="28"/>
        <v>5</v>
      </c>
      <c r="C497" t="s">
        <v>9</v>
      </c>
      <c r="D497">
        <f t="shared" si="30"/>
        <v>150</v>
      </c>
      <c r="E497">
        <f t="shared" si="31"/>
        <v>0</v>
      </c>
      <c r="F497">
        <f t="shared" si="29"/>
        <v>150</v>
      </c>
    </row>
    <row r="498" spans="1:6" x14ac:dyDescent="0.25">
      <c r="A498" s="1">
        <v>45423</v>
      </c>
      <c r="B498">
        <f t="shared" si="28"/>
        <v>6</v>
      </c>
      <c r="C498" t="s">
        <v>9</v>
      </c>
      <c r="D498">
        <f t="shared" si="30"/>
        <v>0</v>
      </c>
      <c r="E498">
        <f t="shared" si="31"/>
        <v>0</v>
      </c>
      <c r="F498">
        <f t="shared" si="29"/>
        <v>0</v>
      </c>
    </row>
    <row r="499" spans="1:6" x14ac:dyDescent="0.25">
      <c r="A499" s="1">
        <v>45424</v>
      </c>
      <c r="B499">
        <f t="shared" si="28"/>
        <v>7</v>
      </c>
      <c r="C499" t="s">
        <v>9</v>
      </c>
      <c r="D499">
        <f t="shared" si="30"/>
        <v>0</v>
      </c>
      <c r="E499">
        <f t="shared" si="31"/>
        <v>150</v>
      </c>
      <c r="F499">
        <f t="shared" si="29"/>
        <v>-150</v>
      </c>
    </row>
    <row r="500" spans="1:6" x14ac:dyDescent="0.25">
      <c r="A500" s="1">
        <v>45425</v>
      </c>
      <c r="B500">
        <f t="shared" si="28"/>
        <v>1</v>
      </c>
      <c r="C500" t="s">
        <v>9</v>
      </c>
      <c r="D500">
        <f t="shared" si="30"/>
        <v>150</v>
      </c>
      <c r="E500">
        <f t="shared" si="31"/>
        <v>0</v>
      </c>
      <c r="F500">
        <f t="shared" si="29"/>
        <v>150</v>
      </c>
    </row>
    <row r="501" spans="1:6" x14ac:dyDescent="0.25">
      <c r="A501" s="1">
        <v>45426</v>
      </c>
      <c r="B501">
        <f t="shared" si="28"/>
        <v>2</v>
      </c>
      <c r="C501" t="s">
        <v>9</v>
      </c>
      <c r="D501">
        <f t="shared" si="30"/>
        <v>150</v>
      </c>
      <c r="E501">
        <f t="shared" si="31"/>
        <v>0</v>
      </c>
      <c r="F501">
        <f t="shared" si="29"/>
        <v>150</v>
      </c>
    </row>
    <row r="502" spans="1:6" x14ac:dyDescent="0.25">
      <c r="A502" s="1">
        <v>45427</v>
      </c>
      <c r="B502">
        <f t="shared" si="28"/>
        <v>3</v>
      </c>
      <c r="C502" t="s">
        <v>9</v>
      </c>
      <c r="D502">
        <f t="shared" si="30"/>
        <v>150</v>
      </c>
      <c r="E502">
        <f t="shared" si="31"/>
        <v>0</v>
      </c>
      <c r="F502">
        <f t="shared" si="29"/>
        <v>150</v>
      </c>
    </row>
    <row r="503" spans="1:6" x14ac:dyDescent="0.25">
      <c r="A503" s="1">
        <v>45428</v>
      </c>
      <c r="B503">
        <f t="shared" si="28"/>
        <v>4</v>
      </c>
      <c r="C503" t="s">
        <v>9</v>
      </c>
      <c r="D503">
        <f t="shared" si="30"/>
        <v>150</v>
      </c>
      <c r="E503">
        <f t="shared" si="31"/>
        <v>0</v>
      </c>
      <c r="F503">
        <f t="shared" si="29"/>
        <v>150</v>
      </c>
    </row>
    <row r="504" spans="1:6" x14ac:dyDescent="0.25">
      <c r="A504" s="1">
        <v>45429</v>
      </c>
      <c r="B504">
        <f t="shared" si="28"/>
        <v>5</v>
      </c>
      <c r="C504" t="s">
        <v>9</v>
      </c>
      <c r="D504">
        <f t="shared" si="30"/>
        <v>150</v>
      </c>
      <c r="E504">
        <f t="shared" si="31"/>
        <v>0</v>
      </c>
      <c r="F504">
        <f t="shared" si="29"/>
        <v>150</v>
      </c>
    </row>
    <row r="505" spans="1:6" x14ac:dyDescent="0.25">
      <c r="A505" s="1">
        <v>45430</v>
      </c>
      <c r="B505">
        <f t="shared" si="28"/>
        <v>6</v>
      </c>
      <c r="C505" t="s">
        <v>9</v>
      </c>
      <c r="D505">
        <f t="shared" si="30"/>
        <v>0</v>
      </c>
      <c r="E505">
        <f t="shared" si="31"/>
        <v>0</v>
      </c>
      <c r="F505">
        <f t="shared" si="29"/>
        <v>0</v>
      </c>
    </row>
    <row r="506" spans="1:6" x14ac:dyDescent="0.25">
      <c r="A506" s="1">
        <v>45431</v>
      </c>
      <c r="B506">
        <f t="shared" si="28"/>
        <v>7</v>
      </c>
      <c r="C506" t="s">
        <v>9</v>
      </c>
      <c r="D506">
        <f t="shared" si="30"/>
        <v>0</v>
      </c>
      <c r="E506">
        <f t="shared" si="31"/>
        <v>150</v>
      </c>
      <c r="F506">
        <f t="shared" si="29"/>
        <v>-150</v>
      </c>
    </row>
    <row r="507" spans="1:6" x14ac:dyDescent="0.25">
      <c r="A507" s="1">
        <v>45432</v>
      </c>
      <c r="B507">
        <f t="shared" si="28"/>
        <v>1</v>
      </c>
      <c r="C507" t="s">
        <v>9</v>
      </c>
      <c r="D507">
        <f t="shared" si="30"/>
        <v>150</v>
      </c>
      <c r="E507">
        <f t="shared" si="31"/>
        <v>0</v>
      </c>
      <c r="F507">
        <f t="shared" si="29"/>
        <v>150</v>
      </c>
    </row>
    <row r="508" spans="1:6" x14ac:dyDescent="0.25">
      <c r="A508" s="1">
        <v>45433</v>
      </c>
      <c r="B508">
        <f t="shared" si="28"/>
        <v>2</v>
      </c>
      <c r="C508" t="s">
        <v>9</v>
      </c>
      <c r="D508">
        <f t="shared" si="30"/>
        <v>150</v>
      </c>
      <c r="E508">
        <f t="shared" si="31"/>
        <v>0</v>
      </c>
      <c r="F508">
        <f t="shared" si="29"/>
        <v>150</v>
      </c>
    </row>
    <row r="509" spans="1:6" x14ac:dyDescent="0.25">
      <c r="A509" s="1">
        <v>45434</v>
      </c>
      <c r="B509">
        <f t="shared" si="28"/>
        <v>3</v>
      </c>
      <c r="C509" t="s">
        <v>9</v>
      </c>
      <c r="D509">
        <f t="shared" si="30"/>
        <v>150</v>
      </c>
      <c r="E509">
        <f t="shared" si="31"/>
        <v>0</v>
      </c>
      <c r="F509">
        <f t="shared" si="29"/>
        <v>150</v>
      </c>
    </row>
    <row r="510" spans="1:6" x14ac:dyDescent="0.25">
      <c r="A510" s="1">
        <v>45435</v>
      </c>
      <c r="B510">
        <f t="shared" si="28"/>
        <v>4</v>
      </c>
      <c r="C510" t="s">
        <v>9</v>
      </c>
      <c r="D510">
        <f t="shared" si="30"/>
        <v>150</v>
      </c>
      <c r="E510">
        <f t="shared" si="31"/>
        <v>0</v>
      </c>
      <c r="F510">
        <f t="shared" si="29"/>
        <v>150</v>
      </c>
    </row>
    <row r="511" spans="1:6" x14ac:dyDescent="0.25">
      <c r="A511" s="1">
        <v>45436</v>
      </c>
      <c r="B511">
        <f t="shared" si="28"/>
        <v>5</v>
      </c>
      <c r="C511" t="s">
        <v>9</v>
      </c>
      <c r="D511">
        <f t="shared" si="30"/>
        <v>150</v>
      </c>
      <c r="E511">
        <f t="shared" si="31"/>
        <v>0</v>
      </c>
      <c r="F511">
        <f t="shared" si="29"/>
        <v>150</v>
      </c>
    </row>
    <row r="512" spans="1:6" x14ac:dyDescent="0.25">
      <c r="A512" s="1">
        <v>45437</v>
      </c>
      <c r="B512">
        <f t="shared" si="28"/>
        <v>6</v>
      </c>
      <c r="C512" t="s">
        <v>9</v>
      </c>
      <c r="D512">
        <f t="shared" si="30"/>
        <v>0</v>
      </c>
      <c r="E512">
        <f t="shared" si="31"/>
        <v>0</v>
      </c>
      <c r="F512">
        <f t="shared" si="29"/>
        <v>0</v>
      </c>
    </row>
    <row r="513" spans="1:6" x14ac:dyDescent="0.25">
      <c r="A513" s="1">
        <v>45438</v>
      </c>
      <c r="B513">
        <f t="shared" si="28"/>
        <v>7</v>
      </c>
      <c r="C513" t="s">
        <v>9</v>
      </c>
      <c r="D513">
        <f t="shared" si="30"/>
        <v>0</v>
      </c>
      <c r="E513">
        <f t="shared" si="31"/>
        <v>150</v>
      </c>
      <c r="F513">
        <f t="shared" si="29"/>
        <v>-150</v>
      </c>
    </row>
    <row r="514" spans="1:6" x14ac:dyDescent="0.25">
      <c r="A514" s="1">
        <v>45439</v>
      </c>
      <c r="B514">
        <f t="shared" si="28"/>
        <v>1</v>
      </c>
      <c r="C514" t="s">
        <v>9</v>
      </c>
      <c r="D514">
        <f t="shared" si="30"/>
        <v>150</v>
      </c>
      <c r="E514">
        <f t="shared" si="31"/>
        <v>0</v>
      </c>
      <c r="F514">
        <f t="shared" si="29"/>
        <v>150</v>
      </c>
    </row>
    <row r="515" spans="1:6" x14ac:dyDescent="0.25">
      <c r="A515" s="1">
        <v>45440</v>
      </c>
      <c r="B515">
        <f t="shared" ref="B515:B578" si="32">WEEKDAY(A515,2)</f>
        <v>2</v>
      </c>
      <c r="C515" t="s">
        <v>9</v>
      </c>
      <c r="D515">
        <f t="shared" si="30"/>
        <v>150</v>
      </c>
      <c r="E515">
        <f t="shared" si="31"/>
        <v>0</v>
      </c>
      <c r="F515">
        <f t="shared" ref="F515:F578" si="33">D515-E515</f>
        <v>150</v>
      </c>
    </row>
    <row r="516" spans="1:6" x14ac:dyDescent="0.25">
      <c r="A516" s="1">
        <v>45441</v>
      </c>
      <c r="B516">
        <f t="shared" si="32"/>
        <v>3</v>
      </c>
      <c r="C516" t="s">
        <v>9</v>
      </c>
      <c r="D516">
        <f t="shared" ref="D516:D579" si="34">IF(B516&lt;6,$Q$1*VLOOKUP(C516,$S$1:$T$5,2,FALSE)*$Q$3,0)</f>
        <v>150</v>
      </c>
      <c r="E516">
        <f t="shared" ref="E516:E579" si="35">IF(B516=7,$Q$4*$Q$1,0)</f>
        <v>0</v>
      </c>
      <c r="F516">
        <f t="shared" si="33"/>
        <v>150</v>
      </c>
    </row>
    <row r="517" spans="1:6" x14ac:dyDescent="0.25">
      <c r="A517" s="1">
        <v>45442</v>
      </c>
      <c r="B517">
        <f t="shared" si="32"/>
        <v>4</v>
      </c>
      <c r="C517" t="s">
        <v>9</v>
      </c>
      <c r="D517">
        <f t="shared" si="34"/>
        <v>150</v>
      </c>
      <c r="E517">
        <f t="shared" si="35"/>
        <v>0</v>
      </c>
      <c r="F517">
        <f t="shared" si="33"/>
        <v>150</v>
      </c>
    </row>
    <row r="518" spans="1:6" x14ac:dyDescent="0.25">
      <c r="A518" s="1">
        <v>45443</v>
      </c>
      <c r="B518">
        <f t="shared" si="32"/>
        <v>5</v>
      </c>
      <c r="C518" t="s">
        <v>9</v>
      </c>
      <c r="D518">
        <f t="shared" si="34"/>
        <v>150</v>
      </c>
      <c r="E518">
        <f t="shared" si="35"/>
        <v>0</v>
      </c>
      <c r="F518">
        <f t="shared" si="33"/>
        <v>150</v>
      </c>
    </row>
    <row r="519" spans="1:6" x14ac:dyDescent="0.25">
      <c r="A519" s="1">
        <v>45444</v>
      </c>
      <c r="B519">
        <f t="shared" si="32"/>
        <v>6</v>
      </c>
      <c r="C519" t="s">
        <v>9</v>
      </c>
      <c r="D519">
        <f t="shared" si="34"/>
        <v>0</v>
      </c>
      <c r="E519">
        <f t="shared" si="35"/>
        <v>0</v>
      </c>
      <c r="F519">
        <f t="shared" si="33"/>
        <v>0</v>
      </c>
    </row>
    <row r="520" spans="1:6" x14ac:dyDescent="0.25">
      <c r="A520" s="1">
        <v>45445</v>
      </c>
      <c r="B520">
        <f t="shared" si="32"/>
        <v>7</v>
      </c>
      <c r="C520" t="s">
        <v>9</v>
      </c>
      <c r="D520">
        <f t="shared" si="34"/>
        <v>0</v>
      </c>
      <c r="E520">
        <f t="shared" si="35"/>
        <v>150</v>
      </c>
      <c r="F520">
        <f t="shared" si="33"/>
        <v>-150</v>
      </c>
    </row>
    <row r="521" spans="1:6" x14ac:dyDescent="0.25">
      <c r="A521" s="1">
        <v>45446</v>
      </c>
      <c r="B521">
        <f t="shared" si="32"/>
        <v>1</v>
      </c>
      <c r="C521" t="s">
        <v>9</v>
      </c>
      <c r="D521">
        <f t="shared" si="34"/>
        <v>150</v>
      </c>
      <c r="E521">
        <f t="shared" si="35"/>
        <v>0</v>
      </c>
      <c r="F521">
        <f t="shared" si="33"/>
        <v>150</v>
      </c>
    </row>
    <row r="522" spans="1:6" x14ac:dyDescent="0.25">
      <c r="A522" s="1">
        <v>45447</v>
      </c>
      <c r="B522">
        <f t="shared" si="32"/>
        <v>2</v>
      </c>
      <c r="C522" t="s">
        <v>9</v>
      </c>
      <c r="D522">
        <f t="shared" si="34"/>
        <v>150</v>
      </c>
      <c r="E522">
        <f t="shared" si="35"/>
        <v>0</v>
      </c>
      <c r="F522">
        <f t="shared" si="33"/>
        <v>150</v>
      </c>
    </row>
    <row r="523" spans="1:6" x14ac:dyDescent="0.25">
      <c r="A523" s="1">
        <v>45448</v>
      </c>
      <c r="B523">
        <f t="shared" si="32"/>
        <v>3</v>
      </c>
      <c r="C523" t="s">
        <v>9</v>
      </c>
      <c r="D523">
        <f t="shared" si="34"/>
        <v>150</v>
      </c>
      <c r="E523">
        <f t="shared" si="35"/>
        <v>0</v>
      </c>
      <c r="F523">
        <f t="shared" si="33"/>
        <v>150</v>
      </c>
    </row>
    <row r="524" spans="1:6" x14ac:dyDescent="0.25">
      <c r="A524" s="1">
        <v>45449</v>
      </c>
      <c r="B524">
        <f t="shared" si="32"/>
        <v>4</v>
      </c>
      <c r="C524" t="s">
        <v>9</v>
      </c>
      <c r="D524">
        <f t="shared" si="34"/>
        <v>150</v>
      </c>
      <c r="E524">
        <f t="shared" si="35"/>
        <v>0</v>
      </c>
      <c r="F524">
        <f t="shared" si="33"/>
        <v>150</v>
      </c>
    </row>
    <row r="525" spans="1:6" x14ac:dyDescent="0.25">
      <c r="A525" s="1">
        <v>45450</v>
      </c>
      <c r="B525">
        <f t="shared" si="32"/>
        <v>5</v>
      </c>
      <c r="C525" t="s">
        <v>9</v>
      </c>
      <c r="D525">
        <f t="shared" si="34"/>
        <v>150</v>
      </c>
      <c r="E525">
        <f t="shared" si="35"/>
        <v>0</v>
      </c>
      <c r="F525">
        <f t="shared" si="33"/>
        <v>150</v>
      </c>
    </row>
    <row r="526" spans="1:6" x14ac:dyDescent="0.25">
      <c r="A526" s="1">
        <v>45451</v>
      </c>
      <c r="B526">
        <f t="shared" si="32"/>
        <v>6</v>
      </c>
      <c r="C526" t="s">
        <v>9</v>
      </c>
      <c r="D526">
        <f t="shared" si="34"/>
        <v>0</v>
      </c>
      <c r="E526">
        <f t="shared" si="35"/>
        <v>0</v>
      </c>
      <c r="F526">
        <f t="shared" si="33"/>
        <v>0</v>
      </c>
    </row>
    <row r="527" spans="1:6" x14ac:dyDescent="0.25">
      <c r="A527" s="1">
        <v>45452</v>
      </c>
      <c r="B527">
        <f t="shared" si="32"/>
        <v>7</v>
      </c>
      <c r="C527" t="s">
        <v>9</v>
      </c>
      <c r="D527">
        <f t="shared" si="34"/>
        <v>0</v>
      </c>
      <c r="E527">
        <f t="shared" si="35"/>
        <v>150</v>
      </c>
      <c r="F527">
        <f t="shared" si="33"/>
        <v>-150</v>
      </c>
    </row>
    <row r="528" spans="1:6" x14ac:dyDescent="0.25">
      <c r="A528" s="1">
        <v>45453</v>
      </c>
      <c r="B528">
        <f t="shared" si="32"/>
        <v>1</v>
      </c>
      <c r="C528" t="s">
        <v>9</v>
      </c>
      <c r="D528">
        <f t="shared" si="34"/>
        <v>150</v>
      </c>
      <c r="E528">
        <f t="shared" si="35"/>
        <v>0</v>
      </c>
      <c r="F528">
        <f t="shared" si="33"/>
        <v>150</v>
      </c>
    </row>
    <row r="529" spans="1:6" x14ac:dyDescent="0.25">
      <c r="A529" s="1">
        <v>45454</v>
      </c>
      <c r="B529">
        <f t="shared" si="32"/>
        <v>2</v>
      </c>
      <c r="C529" t="s">
        <v>9</v>
      </c>
      <c r="D529">
        <f t="shared" si="34"/>
        <v>150</v>
      </c>
      <c r="E529">
        <f t="shared" si="35"/>
        <v>0</v>
      </c>
      <c r="F529">
        <f t="shared" si="33"/>
        <v>150</v>
      </c>
    </row>
    <row r="530" spans="1:6" x14ac:dyDescent="0.25">
      <c r="A530" s="1">
        <v>45455</v>
      </c>
      <c r="B530">
        <f t="shared" si="32"/>
        <v>3</v>
      </c>
      <c r="C530" t="s">
        <v>9</v>
      </c>
      <c r="D530">
        <f t="shared" si="34"/>
        <v>150</v>
      </c>
      <c r="E530">
        <f t="shared" si="35"/>
        <v>0</v>
      </c>
      <c r="F530">
        <f t="shared" si="33"/>
        <v>150</v>
      </c>
    </row>
    <row r="531" spans="1:6" x14ac:dyDescent="0.25">
      <c r="A531" s="1">
        <v>45456</v>
      </c>
      <c r="B531">
        <f t="shared" si="32"/>
        <v>4</v>
      </c>
      <c r="C531" t="s">
        <v>9</v>
      </c>
      <c r="D531">
        <f t="shared" si="34"/>
        <v>150</v>
      </c>
      <c r="E531">
        <f t="shared" si="35"/>
        <v>0</v>
      </c>
      <c r="F531">
        <f t="shared" si="33"/>
        <v>150</v>
      </c>
    </row>
    <row r="532" spans="1:6" x14ac:dyDescent="0.25">
      <c r="A532" s="1">
        <v>45457</v>
      </c>
      <c r="B532">
        <f t="shared" si="32"/>
        <v>5</v>
      </c>
      <c r="C532" t="s">
        <v>9</v>
      </c>
      <c r="D532">
        <f t="shared" si="34"/>
        <v>150</v>
      </c>
      <c r="E532">
        <f t="shared" si="35"/>
        <v>0</v>
      </c>
      <c r="F532">
        <f t="shared" si="33"/>
        <v>150</v>
      </c>
    </row>
    <row r="533" spans="1:6" x14ac:dyDescent="0.25">
      <c r="A533" s="1">
        <v>45458</v>
      </c>
      <c r="B533">
        <f t="shared" si="32"/>
        <v>6</v>
      </c>
      <c r="C533" t="s">
        <v>9</v>
      </c>
      <c r="D533">
        <f t="shared" si="34"/>
        <v>0</v>
      </c>
      <c r="E533">
        <f t="shared" si="35"/>
        <v>0</v>
      </c>
      <c r="F533">
        <f t="shared" si="33"/>
        <v>0</v>
      </c>
    </row>
    <row r="534" spans="1:6" x14ac:dyDescent="0.25">
      <c r="A534" s="1">
        <v>45459</v>
      </c>
      <c r="B534">
        <f t="shared" si="32"/>
        <v>7</v>
      </c>
      <c r="C534" t="s">
        <v>9</v>
      </c>
      <c r="D534">
        <f t="shared" si="34"/>
        <v>0</v>
      </c>
      <c r="E534">
        <f t="shared" si="35"/>
        <v>150</v>
      </c>
      <c r="F534">
        <f t="shared" si="33"/>
        <v>-150</v>
      </c>
    </row>
    <row r="535" spans="1:6" x14ac:dyDescent="0.25">
      <c r="A535" s="1">
        <v>45460</v>
      </c>
      <c r="B535">
        <f t="shared" si="32"/>
        <v>1</v>
      </c>
      <c r="C535" t="s">
        <v>9</v>
      </c>
      <c r="D535">
        <f t="shared" si="34"/>
        <v>150</v>
      </c>
      <c r="E535">
        <f t="shared" si="35"/>
        <v>0</v>
      </c>
      <c r="F535">
        <f t="shared" si="33"/>
        <v>150</v>
      </c>
    </row>
    <row r="536" spans="1:6" x14ac:dyDescent="0.25">
      <c r="A536" s="1">
        <v>45461</v>
      </c>
      <c r="B536">
        <f t="shared" si="32"/>
        <v>2</v>
      </c>
      <c r="C536" t="s">
        <v>9</v>
      </c>
      <c r="D536">
        <f t="shared" si="34"/>
        <v>150</v>
      </c>
      <c r="E536">
        <f t="shared" si="35"/>
        <v>0</v>
      </c>
      <c r="F536">
        <f t="shared" si="33"/>
        <v>150</v>
      </c>
    </row>
    <row r="537" spans="1:6" x14ac:dyDescent="0.25">
      <c r="A537" s="1">
        <v>45462</v>
      </c>
      <c r="B537">
        <f t="shared" si="32"/>
        <v>3</v>
      </c>
      <c r="C537" t="s">
        <v>9</v>
      </c>
      <c r="D537">
        <f t="shared" si="34"/>
        <v>150</v>
      </c>
      <c r="E537">
        <f t="shared" si="35"/>
        <v>0</v>
      </c>
      <c r="F537">
        <f t="shared" si="33"/>
        <v>150</v>
      </c>
    </row>
    <row r="538" spans="1:6" x14ac:dyDescent="0.25">
      <c r="A538" s="1">
        <v>45463</v>
      </c>
      <c r="B538">
        <f t="shared" si="32"/>
        <v>4</v>
      </c>
      <c r="C538" t="s">
        <v>9</v>
      </c>
      <c r="D538">
        <f t="shared" si="34"/>
        <v>150</v>
      </c>
      <c r="E538">
        <f t="shared" si="35"/>
        <v>0</v>
      </c>
      <c r="F538">
        <f t="shared" si="33"/>
        <v>150</v>
      </c>
    </row>
    <row r="539" spans="1:6" x14ac:dyDescent="0.25">
      <c r="A539" s="1">
        <v>45464</v>
      </c>
      <c r="B539">
        <f t="shared" si="32"/>
        <v>5</v>
      </c>
      <c r="C539" t="s">
        <v>10</v>
      </c>
      <c r="D539">
        <f t="shared" si="34"/>
        <v>270</v>
      </c>
      <c r="E539">
        <f t="shared" si="35"/>
        <v>0</v>
      </c>
      <c r="F539">
        <f t="shared" si="33"/>
        <v>270</v>
      </c>
    </row>
    <row r="540" spans="1:6" x14ac:dyDescent="0.25">
      <c r="A540" s="1">
        <v>45465</v>
      </c>
      <c r="B540">
        <f t="shared" si="32"/>
        <v>6</v>
      </c>
      <c r="C540" t="s">
        <v>10</v>
      </c>
      <c r="D540">
        <f t="shared" si="34"/>
        <v>0</v>
      </c>
      <c r="E540">
        <f t="shared" si="35"/>
        <v>0</v>
      </c>
      <c r="F540">
        <f t="shared" si="33"/>
        <v>0</v>
      </c>
    </row>
    <row r="541" spans="1:6" x14ac:dyDescent="0.25">
      <c r="A541" s="1">
        <v>45466</v>
      </c>
      <c r="B541">
        <f t="shared" si="32"/>
        <v>7</v>
      </c>
      <c r="C541" t="s">
        <v>10</v>
      </c>
      <c r="D541">
        <f t="shared" si="34"/>
        <v>0</v>
      </c>
      <c r="E541">
        <f t="shared" si="35"/>
        <v>150</v>
      </c>
      <c r="F541">
        <f t="shared" si="33"/>
        <v>-150</v>
      </c>
    </row>
    <row r="542" spans="1:6" x14ac:dyDescent="0.25">
      <c r="A542" s="1">
        <v>45467</v>
      </c>
      <c r="B542">
        <f t="shared" si="32"/>
        <v>1</v>
      </c>
      <c r="C542" t="s">
        <v>10</v>
      </c>
      <c r="D542">
        <f t="shared" si="34"/>
        <v>270</v>
      </c>
      <c r="E542">
        <f t="shared" si="35"/>
        <v>0</v>
      </c>
      <c r="F542">
        <f t="shared" si="33"/>
        <v>270</v>
      </c>
    </row>
    <row r="543" spans="1:6" x14ac:dyDescent="0.25">
      <c r="A543" s="1">
        <v>45468</v>
      </c>
      <c r="B543">
        <f t="shared" si="32"/>
        <v>2</v>
      </c>
      <c r="C543" t="s">
        <v>10</v>
      </c>
      <c r="D543">
        <f t="shared" si="34"/>
        <v>270</v>
      </c>
      <c r="E543">
        <f t="shared" si="35"/>
        <v>0</v>
      </c>
      <c r="F543">
        <f t="shared" si="33"/>
        <v>270</v>
      </c>
    </row>
    <row r="544" spans="1:6" x14ac:dyDescent="0.25">
      <c r="A544" s="1">
        <v>45469</v>
      </c>
      <c r="B544">
        <f t="shared" si="32"/>
        <v>3</v>
      </c>
      <c r="C544" t="s">
        <v>10</v>
      </c>
      <c r="D544">
        <f t="shared" si="34"/>
        <v>270</v>
      </c>
      <c r="E544">
        <f t="shared" si="35"/>
        <v>0</v>
      </c>
      <c r="F544">
        <f t="shared" si="33"/>
        <v>270</v>
      </c>
    </row>
    <row r="545" spans="1:6" x14ac:dyDescent="0.25">
      <c r="A545" s="1">
        <v>45470</v>
      </c>
      <c r="B545">
        <f t="shared" si="32"/>
        <v>4</v>
      </c>
      <c r="C545" t="s">
        <v>10</v>
      </c>
      <c r="D545">
        <f t="shared" si="34"/>
        <v>270</v>
      </c>
      <c r="E545">
        <f t="shared" si="35"/>
        <v>0</v>
      </c>
      <c r="F545">
        <f t="shared" si="33"/>
        <v>270</v>
      </c>
    </row>
    <row r="546" spans="1:6" x14ac:dyDescent="0.25">
      <c r="A546" s="1">
        <v>45471</v>
      </c>
      <c r="B546">
        <f t="shared" si="32"/>
        <v>5</v>
      </c>
      <c r="C546" t="s">
        <v>10</v>
      </c>
      <c r="D546">
        <f t="shared" si="34"/>
        <v>270</v>
      </c>
      <c r="E546">
        <f t="shared" si="35"/>
        <v>0</v>
      </c>
      <c r="F546">
        <f t="shared" si="33"/>
        <v>270</v>
      </c>
    </row>
    <row r="547" spans="1:6" x14ac:dyDescent="0.25">
      <c r="A547" s="1">
        <v>45472</v>
      </c>
      <c r="B547">
        <f t="shared" si="32"/>
        <v>6</v>
      </c>
      <c r="C547" t="s">
        <v>10</v>
      </c>
      <c r="D547">
        <f t="shared" si="34"/>
        <v>0</v>
      </c>
      <c r="E547">
        <f t="shared" si="35"/>
        <v>0</v>
      </c>
      <c r="F547">
        <f t="shared" si="33"/>
        <v>0</v>
      </c>
    </row>
    <row r="548" spans="1:6" x14ac:dyDescent="0.25">
      <c r="A548" s="1">
        <v>45473</v>
      </c>
      <c r="B548">
        <f t="shared" si="32"/>
        <v>7</v>
      </c>
      <c r="C548" t="s">
        <v>10</v>
      </c>
      <c r="D548">
        <f t="shared" si="34"/>
        <v>0</v>
      </c>
      <c r="E548">
        <f t="shared" si="35"/>
        <v>150</v>
      </c>
      <c r="F548">
        <f t="shared" si="33"/>
        <v>-150</v>
      </c>
    </row>
    <row r="549" spans="1:6" x14ac:dyDescent="0.25">
      <c r="A549" s="1">
        <v>45474</v>
      </c>
      <c r="B549">
        <f t="shared" si="32"/>
        <v>1</v>
      </c>
      <c r="C549" t="s">
        <v>10</v>
      </c>
      <c r="D549">
        <f t="shared" si="34"/>
        <v>270</v>
      </c>
      <c r="E549">
        <f t="shared" si="35"/>
        <v>0</v>
      </c>
      <c r="F549">
        <f t="shared" si="33"/>
        <v>270</v>
      </c>
    </row>
    <row r="550" spans="1:6" x14ac:dyDescent="0.25">
      <c r="A550" s="1">
        <v>45475</v>
      </c>
      <c r="B550">
        <f t="shared" si="32"/>
        <v>2</v>
      </c>
      <c r="C550" t="s">
        <v>10</v>
      </c>
      <c r="D550">
        <f t="shared" si="34"/>
        <v>270</v>
      </c>
      <c r="E550">
        <f t="shared" si="35"/>
        <v>0</v>
      </c>
      <c r="F550">
        <f t="shared" si="33"/>
        <v>270</v>
      </c>
    </row>
    <row r="551" spans="1:6" x14ac:dyDescent="0.25">
      <c r="A551" s="1">
        <v>45476</v>
      </c>
      <c r="B551">
        <f t="shared" si="32"/>
        <v>3</v>
      </c>
      <c r="C551" t="s">
        <v>10</v>
      </c>
      <c r="D551">
        <f t="shared" si="34"/>
        <v>270</v>
      </c>
      <c r="E551">
        <f t="shared" si="35"/>
        <v>0</v>
      </c>
      <c r="F551">
        <f t="shared" si="33"/>
        <v>270</v>
      </c>
    </row>
    <row r="552" spans="1:6" x14ac:dyDescent="0.25">
      <c r="A552" s="1">
        <v>45477</v>
      </c>
      <c r="B552">
        <f t="shared" si="32"/>
        <v>4</v>
      </c>
      <c r="C552" t="s">
        <v>10</v>
      </c>
      <c r="D552">
        <f t="shared" si="34"/>
        <v>270</v>
      </c>
      <c r="E552">
        <f t="shared" si="35"/>
        <v>0</v>
      </c>
      <c r="F552">
        <f t="shared" si="33"/>
        <v>270</v>
      </c>
    </row>
    <row r="553" spans="1:6" x14ac:dyDescent="0.25">
      <c r="A553" s="1">
        <v>45478</v>
      </c>
      <c r="B553">
        <f t="shared" si="32"/>
        <v>5</v>
      </c>
      <c r="C553" t="s">
        <v>10</v>
      </c>
      <c r="D553">
        <f t="shared" si="34"/>
        <v>270</v>
      </c>
      <c r="E553">
        <f t="shared" si="35"/>
        <v>0</v>
      </c>
      <c r="F553">
        <f t="shared" si="33"/>
        <v>270</v>
      </c>
    </row>
    <row r="554" spans="1:6" x14ac:dyDescent="0.25">
      <c r="A554" s="1">
        <v>45479</v>
      </c>
      <c r="B554">
        <f t="shared" si="32"/>
        <v>6</v>
      </c>
      <c r="C554" t="s">
        <v>10</v>
      </c>
      <c r="D554">
        <f t="shared" si="34"/>
        <v>0</v>
      </c>
      <c r="E554">
        <f t="shared" si="35"/>
        <v>0</v>
      </c>
      <c r="F554">
        <f t="shared" si="33"/>
        <v>0</v>
      </c>
    </row>
    <row r="555" spans="1:6" x14ac:dyDescent="0.25">
      <c r="A555" s="1">
        <v>45480</v>
      </c>
      <c r="B555">
        <f t="shared" si="32"/>
        <v>7</v>
      </c>
      <c r="C555" t="s">
        <v>10</v>
      </c>
      <c r="D555">
        <f t="shared" si="34"/>
        <v>0</v>
      </c>
      <c r="E555">
        <f t="shared" si="35"/>
        <v>150</v>
      </c>
      <c r="F555">
        <f t="shared" si="33"/>
        <v>-150</v>
      </c>
    </row>
    <row r="556" spans="1:6" x14ac:dyDescent="0.25">
      <c r="A556" s="1">
        <v>45481</v>
      </c>
      <c r="B556">
        <f t="shared" si="32"/>
        <v>1</v>
      </c>
      <c r="C556" t="s">
        <v>10</v>
      </c>
      <c r="D556">
        <f t="shared" si="34"/>
        <v>270</v>
      </c>
      <c r="E556">
        <f t="shared" si="35"/>
        <v>0</v>
      </c>
      <c r="F556">
        <f t="shared" si="33"/>
        <v>270</v>
      </c>
    </row>
    <row r="557" spans="1:6" x14ac:dyDescent="0.25">
      <c r="A557" s="1">
        <v>45482</v>
      </c>
      <c r="B557">
        <f t="shared" si="32"/>
        <v>2</v>
      </c>
      <c r="C557" t="s">
        <v>10</v>
      </c>
      <c r="D557">
        <f t="shared" si="34"/>
        <v>270</v>
      </c>
      <c r="E557">
        <f t="shared" si="35"/>
        <v>0</v>
      </c>
      <c r="F557">
        <f t="shared" si="33"/>
        <v>270</v>
      </c>
    </row>
    <row r="558" spans="1:6" x14ac:dyDescent="0.25">
      <c r="A558" s="1">
        <v>45483</v>
      </c>
      <c r="B558">
        <f t="shared" si="32"/>
        <v>3</v>
      </c>
      <c r="C558" t="s">
        <v>10</v>
      </c>
      <c r="D558">
        <f t="shared" si="34"/>
        <v>270</v>
      </c>
      <c r="E558">
        <f t="shared" si="35"/>
        <v>0</v>
      </c>
      <c r="F558">
        <f t="shared" si="33"/>
        <v>270</v>
      </c>
    </row>
    <row r="559" spans="1:6" x14ac:dyDescent="0.25">
      <c r="A559" s="1">
        <v>45484</v>
      </c>
      <c r="B559">
        <f t="shared" si="32"/>
        <v>4</v>
      </c>
      <c r="C559" t="s">
        <v>10</v>
      </c>
      <c r="D559">
        <f t="shared" si="34"/>
        <v>270</v>
      </c>
      <c r="E559">
        <f t="shared" si="35"/>
        <v>0</v>
      </c>
      <c r="F559">
        <f t="shared" si="33"/>
        <v>270</v>
      </c>
    </row>
    <row r="560" spans="1:6" x14ac:dyDescent="0.25">
      <c r="A560" s="1">
        <v>45485</v>
      </c>
      <c r="B560">
        <f t="shared" si="32"/>
        <v>5</v>
      </c>
      <c r="C560" t="s">
        <v>10</v>
      </c>
      <c r="D560">
        <f t="shared" si="34"/>
        <v>270</v>
      </c>
      <c r="E560">
        <f t="shared" si="35"/>
        <v>0</v>
      </c>
      <c r="F560">
        <f t="shared" si="33"/>
        <v>270</v>
      </c>
    </row>
    <row r="561" spans="1:6" x14ac:dyDescent="0.25">
      <c r="A561" s="1">
        <v>45486</v>
      </c>
      <c r="B561">
        <f t="shared" si="32"/>
        <v>6</v>
      </c>
      <c r="C561" t="s">
        <v>10</v>
      </c>
      <c r="D561">
        <f t="shared" si="34"/>
        <v>0</v>
      </c>
      <c r="E561">
        <f t="shared" si="35"/>
        <v>0</v>
      </c>
      <c r="F561">
        <f t="shared" si="33"/>
        <v>0</v>
      </c>
    </row>
    <row r="562" spans="1:6" x14ac:dyDescent="0.25">
      <c r="A562" s="1">
        <v>45487</v>
      </c>
      <c r="B562">
        <f t="shared" si="32"/>
        <v>7</v>
      </c>
      <c r="C562" t="s">
        <v>10</v>
      </c>
      <c r="D562">
        <f t="shared" si="34"/>
        <v>0</v>
      </c>
      <c r="E562">
        <f t="shared" si="35"/>
        <v>150</v>
      </c>
      <c r="F562">
        <f t="shared" si="33"/>
        <v>-150</v>
      </c>
    </row>
    <row r="563" spans="1:6" x14ac:dyDescent="0.25">
      <c r="A563" s="1">
        <v>45488</v>
      </c>
      <c r="B563">
        <f t="shared" si="32"/>
        <v>1</v>
      </c>
      <c r="C563" t="s">
        <v>10</v>
      </c>
      <c r="D563">
        <f t="shared" si="34"/>
        <v>270</v>
      </c>
      <c r="E563">
        <f t="shared" si="35"/>
        <v>0</v>
      </c>
      <c r="F563">
        <f t="shared" si="33"/>
        <v>270</v>
      </c>
    </row>
    <row r="564" spans="1:6" x14ac:dyDescent="0.25">
      <c r="A564" s="1">
        <v>45489</v>
      </c>
      <c r="B564">
        <f t="shared" si="32"/>
        <v>2</v>
      </c>
      <c r="C564" t="s">
        <v>10</v>
      </c>
      <c r="D564">
        <f t="shared" si="34"/>
        <v>270</v>
      </c>
      <c r="E564">
        <f t="shared" si="35"/>
        <v>0</v>
      </c>
      <c r="F564">
        <f t="shared" si="33"/>
        <v>270</v>
      </c>
    </row>
    <row r="565" spans="1:6" x14ac:dyDescent="0.25">
      <c r="A565" s="1">
        <v>45490</v>
      </c>
      <c r="B565">
        <f t="shared" si="32"/>
        <v>3</v>
      </c>
      <c r="C565" t="s">
        <v>10</v>
      </c>
      <c r="D565">
        <f t="shared" si="34"/>
        <v>270</v>
      </c>
      <c r="E565">
        <f t="shared" si="35"/>
        <v>0</v>
      </c>
      <c r="F565">
        <f t="shared" si="33"/>
        <v>270</v>
      </c>
    </row>
    <row r="566" spans="1:6" x14ac:dyDescent="0.25">
      <c r="A566" s="1">
        <v>45491</v>
      </c>
      <c r="B566">
        <f t="shared" si="32"/>
        <v>4</v>
      </c>
      <c r="C566" t="s">
        <v>10</v>
      </c>
      <c r="D566">
        <f t="shared" si="34"/>
        <v>270</v>
      </c>
      <c r="E566">
        <f t="shared" si="35"/>
        <v>0</v>
      </c>
      <c r="F566">
        <f t="shared" si="33"/>
        <v>270</v>
      </c>
    </row>
    <row r="567" spans="1:6" x14ac:dyDescent="0.25">
      <c r="A567" s="1">
        <v>45492</v>
      </c>
      <c r="B567">
        <f t="shared" si="32"/>
        <v>5</v>
      </c>
      <c r="C567" t="s">
        <v>10</v>
      </c>
      <c r="D567">
        <f t="shared" si="34"/>
        <v>270</v>
      </c>
      <c r="E567">
        <f t="shared" si="35"/>
        <v>0</v>
      </c>
      <c r="F567">
        <f t="shared" si="33"/>
        <v>270</v>
      </c>
    </row>
    <row r="568" spans="1:6" x14ac:dyDescent="0.25">
      <c r="A568" s="1">
        <v>45493</v>
      </c>
      <c r="B568">
        <f t="shared" si="32"/>
        <v>6</v>
      </c>
      <c r="C568" t="s">
        <v>10</v>
      </c>
      <c r="D568">
        <f t="shared" si="34"/>
        <v>0</v>
      </c>
      <c r="E568">
        <f t="shared" si="35"/>
        <v>0</v>
      </c>
      <c r="F568">
        <f t="shared" si="33"/>
        <v>0</v>
      </c>
    </row>
    <row r="569" spans="1:6" x14ac:dyDescent="0.25">
      <c r="A569" s="1">
        <v>45494</v>
      </c>
      <c r="B569">
        <f t="shared" si="32"/>
        <v>7</v>
      </c>
      <c r="C569" t="s">
        <v>10</v>
      </c>
      <c r="D569">
        <f t="shared" si="34"/>
        <v>0</v>
      </c>
      <c r="E569">
        <f t="shared" si="35"/>
        <v>150</v>
      </c>
      <c r="F569">
        <f t="shared" si="33"/>
        <v>-150</v>
      </c>
    </row>
    <row r="570" spans="1:6" x14ac:dyDescent="0.25">
      <c r="A570" s="1">
        <v>45495</v>
      </c>
      <c r="B570">
        <f t="shared" si="32"/>
        <v>1</v>
      </c>
      <c r="C570" t="s">
        <v>10</v>
      </c>
      <c r="D570">
        <f t="shared" si="34"/>
        <v>270</v>
      </c>
      <c r="E570">
        <f t="shared" si="35"/>
        <v>0</v>
      </c>
      <c r="F570">
        <f t="shared" si="33"/>
        <v>270</v>
      </c>
    </row>
    <row r="571" spans="1:6" x14ac:dyDescent="0.25">
      <c r="A571" s="1">
        <v>45496</v>
      </c>
      <c r="B571">
        <f t="shared" si="32"/>
        <v>2</v>
      </c>
      <c r="C571" t="s">
        <v>10</v>
      </c>
      <c r="D571">
        <f t="shared" si="34"/>
        <v>270</v>
      </c>
      <c r="E571">
        <f t="shared" si="35"/>
        <v>0</v>
      </c>
      <c r="F571">
        <f t="shared" si="33"/>
        <v>270</v>
      </c>
    </row>
    <row r="572" spans="1:6" x14ac:dyDescent="0.25">
      <c r="A572" s="1">
        <v>45497</v>
      </c>
      <c r="B572">
        <f t="shared" si="32"/>
        <v>3</v>
      </c>
      <c r="C572" t="s">
        <v>10</v>
      </c>
      <c r="D572">
        <f t="shared" si="34"/>
        <v>270</v>
      </c>
      <c r="E572">
        <f t="shared" si="35"/>
        <v>0</v>
      </c>
      <c r="F572">
        <f t="shared" si="33"/>
        <v>270</v>
      </c>
    </row>
    <row r="573" spans="1:6" x14ac:dyDescent="0.25">
      <c r="A573" s="1">
        <v>45498</v>
      </c>
      <c r="B573">
        <f t="shared" si="32"/>
        <v>4</v>
      </c>
      <c r="C573" t="s">
        <v>10</v>
      </c>
      <c r="D573">
        <f t="shared" si="34"/>
        <v>270</v>
      </c>
      <c r="E573">
        <f t="shared" si="35"/>
        <v>0</v>
      </c>
      <c r="F573">
        <f t="shared" si="33"/>
        <v>270</v>
      </c>
    </row>
    <row r="574" spans="1:6" x14ac:dyDescent="0.25">
      <c r="A574" s="1">
        <v>45499</v>
      </c>
      <c r="B574">
        <f t="shared" si="32"/>
        <v>5</v>
      </c>
      <c r="C574" t="s">
        <v>10</v>
      </c>
      <c r="D574">
        <f t="shared" si="34"/>
        <v>270</v>
      </c>
      <c r="E574">
        <f t="shared" si="35"/>
        <v>0</v>
      </c>
      <c r="F574">
        <f t="shared" si="33"/>
        <v>270</v>
      </c>
    </row>
    <row r="575" spans="1:6" x14ac:dyDescent="0.25">
      <c r="A575" s="1">
        <v>45500</v>
      </c>
      <c r="B575">
        <f t="shared" si="32"/>
        <v>6</v>
      </c>
      <c r="C575" t="s">
        <v>10</v>
      </c>
      <c r="D575">
        <f t="shared" si="34"/>
        <v>0</v>
      </c>
      <c r="E575">
        <f t="shared" si="35"/>
        <v>0</v>
      </c>
      <c r="F575">
        <f t="shared" si="33"/>
        <v>0</v>
      </c>
    </row>
    <row r="576" spans="1:6" x14ac:dyDescent="0.25">
      <c r="A576" s="1">
        <v>45501</v>
      </c>
      <c r="B576">
        <f t="shared" si="32"/>
        <v>7</v>
      </c>
      <c r="C576" t="s">
        <v>10</v>
      </c>
      <c r="D576">
        <f t="shared" si="34"/>
        <v>0</v>
      </c>
      <c r="E576">
        <f t="shared" si="35"/>
        <v>150</v>
      </c>
      <c r="F576">
        <f t="shared" si="33"/>
        <v>-150</v>
      </c>
    </row>
    <row r="577" spans="1:6" x14ac:dyDescent="0.25">
      <c r="A577" s="1">
        <v>45502</v>
      </c>
      <c r="B577">
        <f t="shared" si="32"/>
        <v>1</v>
      </c>
      <c r="C577" t="s">
        <v>10</v>
      </c>
      <c r="D577">
        <f t="shared" si="34"/>
        <v>270</v>
      </c>
      <c r="E577">
        <f t="shared" si="35"/>
        <v>0</v>
      </c>
      <c r="F577">
        <f t="shared" si="33"/>
        <v>270</v>
      </c>
    </row>
    <row r="578" spans="1:6" x14ac:dyDescent="0.25">
      <c r="A578" s="1">
        <v>45503</v>
      </c>
      <c r="B578">
        <f t="shared" si="32"/>
        <v>2</v>
      </c>
      <c r="C578" t="s">
        <v>10</v>
      </c>
      <c r="D578">
        <f t="shared" si="34"/>
        <v>270</v>
      </c>
      <c r="E578">
        <f t="shared" si="35"/>
        <v>0</v>
      </c>
      <c r="F578">
        <f t="shared" si="33"/>
        <v>270</v>
      </c>
    </row>
    <row r="579" spans="1:6" x14ac:dyDescent="0.25">
      <c r="A579" s="1">
        <v>45504</v>
      </c>
      <c r="B579">
        <f t="shared" ref="B579:B642" si="36">WEEKDAY(A579,2)</f>
        <v>3</v>
      </c>
      <c r="C579" t="s">
        <v>10</v>
      </c>
      <c r="D579">
        <f t="shared" si="34"/>
        <v>270</v>
      </c>
      <c r="E579">
        <f t="shared" si="35"/>
        <v>0</v>
      </c>
      <c r="F579">
        <f t="shared" ref="F579:F642" si="37">D579-E579</f>
        <v>270</v>
      </c>
    </row>
    <row r="580" spans="1:6" x14ac:dyDescent="0.25">
      <c r="A580" s="1">
        <v>45505</v>
      </c>
      <c r="B580">
        <f t="shared" si="36"/>
        <v>4</v>
      </c>
      <c r="C580" t="s">
        <v>10</v>
      </c>
      <c r="D580">
        <f t="shared" ref="D580:D643" si="38">IF(B580&lt;6,$Q$1*VLOOKUP(C580,$S$1:$T$5,2,FALSE)*$Q$3,0)</f>
        <v>270</v>
      </c>
      <c r="E580">
        <f t="shared" ref="E580:E643" si="39">IF(B580=7,$Q$4*$Q$1,0)</f>
        <v>0</v>
      </c>
      <c r="F580">
        <f t="shared" si="37"/>
        <v>270</v>
      </c>
    </row>
    <row r="581" spans="1:6" x14ac:dyDescent="0.25">
      <c r="A581" s="1">
        <v>45506</v>
      </c>
      <c r="B581">
        <f t="shared" si="36"/>
        <v>5</v>
      </c>
      <c r="C581" t="s">
        <v>10</v>
      </c>
      <c r="D581">
        <f t="shared" si="38"/>
        <v>270</v>
      </c>
      <c r="E581">
        <f t="shared" si="39"/>
        <v>0</v>
      </c>
      <c r="F581">
        <f t="shared" si="37"/>
        <v>270</v>
      </c>
    </row>
    <row r="582" spans="1:6" x14ac:dyDescent="0.25">
      <c r="A582" s="1">
        <v>45507</v>
      </c>
      <c r="B582">
        <f t="shared" si="36"/>
        <v>6</v>
      </c>
      <c r="C582" t="s">
        <v>10</v>
      </c>
      <c r="D582">
        <f t="shared" si="38"/>
        <v>0</v>
      </c>
      <c r="E582">
        <f t="shared" si="39"/>
        <v>0</v>
      </c>
      <c r="F582">
        <f t="shared" si="37"/>
        <v>0</v>
      </c>
    </row>
    <row r="583" spans="1:6" x14ac:dyDescent="0.25">
      <c r="A583" s="1">
        <v>45508</v>
      </c>
      <c r="B583">
        <f t="shared" si="36"/>
        <v>7</v>
      </c>
      <c r="C583" t="s">
        <v>10</v>
      </c>
      <c r="D583">
        <f t="shared" si="38"/>
        <v>0</v>
      </c>
      <c r="E583">
        <f t="shared" si="39"/>
        <v>150</v>
      </c>
      <c r="F583">
        <f t="shared" si="37"/>
        <v>-150</v>
      </c>
    </row>
    <row r="584" spans="1:6" x14ac:dyDescent="0.25">
      <c r="A584" s="1">
        <v>45509</v>
      </c>
      <c r="B584">
        <f t="shared" si="36"/>
        <v>1</v>
      </c>
      <c r="C584" t="s">
        <v>10</v>
      </c>
      <c r="D584">
        <f t="shared" si="38"/>
        <v>270</v>
      </c>
      <c r="E584">
        <f t="shared" si="39"/>
        <v>0</v>
      </c>
      <c r="F584">
        <f t="shared" si="37"/>
        <v>270</v>
      </c>
    </row>
    <row r="585" spans="1:6" x14ac:dyDescent="0.25">
      <c r="A585" s="1">
        <v>45510</v>
      </c>
      <c r="B585">
        <f t="shared" si="36"/>
        <v>2</v>
      </c>
      <c r="C585" t="s">
        <v>10</v>
      </c>
      <c r="D585">
        <f t="shared" si="38"/>
        <v>270</v>
      </c>
      <c r="E585">
        <f t="shared" si="39"/>
        <v>0</v>
      </c>
      <c r="F585">
        <f t="shared" si="37"/>
        <v>270</v>
      </c>
    </row>
    <row r="586" spans="1:6" x14ac:dyDescent="0.25">
      <c r="A586" s="1">
        <v>45511</v>
      </c>
      <c r="B586">
        <f t="shared" si="36"/>
        <v>3</v>
      </c>
      <c r="C586" t="s">
        <v>10</v>
      </c>
      <c r="D586">
        <f t="shared" si="38"/>
        <v>270</v>
      </c>
      <c r="E586">
        <f t="shared" si="39"/>
        <v>0</v>
      </c>
      <c r="F586">
        <f t="shared" si="37"/>
        <v>270</v>
      </c>
    </row>
    <row r="587" spans="1:6" x14ac:dyDescent="0.25">
      <c r="A587" s="1">
        <v>45512</v>
      </c>
      <c r="B587">
        <f t="shared" si="36"/>
        <v>4</v>
      </c>
      <c r="C587" t="s">
        <v>10</v>
      </c>
      <c r="D587">
        <f t="shared" si="38"/>
        <v>270</v>
      </c>
      <c r="E587">
        <f t="shared" si="39"/>
        <v>0</v>
      </c>
      <c r="F587">
        <f t="shared" si="37"/>
        <v>270</v>
      </c>
    </row>
    <row r="588" spans="1:6" x14ac:dyDescent="0.25">
      <c r="A588" s="1">
        <v>45513</v>
      </c>
      <c r="B588">
        <f t="shared" si="36"/>
        <v>5</v>
      </c>
      <c r="C588" t="s">
        <v>10</v>
      </c>
      <c r="D588">
        <f t="shared" si="38"/>
        <v>270</v>
      </c>
      <c r="E588">
        <f t="shared" si="39"/>
        <v>0</v>
      </c>
      <c r="F588">
        <f t="shared" si="37"/>
        <v>270</v>
      </c>
    </row>
    <row r="589" spans="1:6" x14ac:dyDescent="0.25">
      <c r="A589" s="1">
        <v>45514</v>
      </c>
      <c r="B589">
        <f t="shared" si="36"/>
        <v>6</v>
      </c>
      <c r="C589" t="s">
        <v>10</v>
      </c>
      <c r="D589">
        <f t="shared" si="38"/>
        <v>0</v>
      </c>
      <c r="E589">
        <f t="shared" si="39"/>
        <v>0</v>
      </c>
      <c r="F589">
        <f t="shared" si="37"/>
        <v>0</v>
      </c>
    </row>
    <row r="590" spans="1:6" x14ac:dyDescent="0.25">
      <c r="A590" s="1">
        <v>45515</v>
      </c>
      <c r="B590">
        <f t="shared" si="36"/>
        <v>7</v>
      </c>
      <c r="C590" t="s">
        <v>10</v>
      </c>
      <c r="D590">
        <f t="shared" si="38"/>
        <v>0</v>
      </c>
      <c r="E590">
        <f t="shared" si="39"/>
        <v>150</v>
      </c>
      <c r="F590">
        <f t="shared" si="37"/>
        <v>-150</v>
      </c>
    </row>
    <row r="591" spans="1:6" x14ac:dyDescent="0.25">
      <c r="A591" s="1">
        <v>45516</v>
      </c>
      <c r="B591">
        <f t="shared" si="36"/>
        <v>1</v>
      </c>
      <c r="C591" t="s">
        <v>10</v>
      </c>
      <c r="D591">
        <f t="shared" si="38"/>
        <v>270</v>
      </c>
      <c r="E591">
        <f t="shared" si="39"/>
        <v>0</v>
      </c>
      <c r="F591">
        <f t="shared" si="37"/>
        <v>270</v>
      </c>
    </row>
    <row r="592" spans="1:6" x14ac:dyDescent="0.25">
      <c r="A592" s="1">
        <v>45517</v>
      </c>
      <c r="B592">
        <f t="shared" si="36"/>
        <v>2</v>
      </c>
      <c r="C592" t="s">
        <v>10</v>
      </c>
      <c r="D592">
        <f t="shared" si="38"/>
        <v>270</v>
      </c>
      <c r="E592">
        <f t="shared" si="39"/>
        <v>0</v>
      </c>
      <c r="F592">
        <f t="shared" si="37"/>
        <v>270</v>
      </c>
    </row>
    <row r="593" spans="1:6" x14ac:dyDescent="0.25">
      <c r="A593" s="1">
        <v>45518</v>
      </c>
      <c r="B593">
        <f t="shared" si="36"/>
        <v>3</v>
      </c>
      <c r="C593" t="s">
        <v>10</v>
      </c>
      <c r="D593">
        <f t="shared" si="38"/>
        <v>270</v>
      </c>
      <c r="E593">
        <f t="shared" si="39"/>
        <v>0</v>
      </c>
      <c r="F593">
        <f t="shared" si="37"/>
        <v>270</v>
      </c>
    </row>
    <row r="594" spans="1:6" x14ac:dyDescent="0.25">
      <c r="A594" s="1">
        <v>45519</v>
      </c>
      <c r="B594">
        <f t="shared" si="36"/>
        <v>4</v>
      </c>
      <c r="C594" t="s">
        <v>10</v>
      </c>
      <c r="D594">
        <f t="shared" si="38"/>
        <v>270</v>
      </c>
      <c r="E594">
        <f t="shared" si="39"/>
        <v>0</v>
      </c>
      <c r="F594">
        <f t="shared" si="37"/>
        <v>270</v>
      </c>
    </row>
    <row r="595" spans="1:6" x14ac:dyDescent="0.25">
      <c r="A595" s="1">
        <v>45520</v>
      </c>
      <c r="B595">
        <f t="shared" si="36"/>
        <v>5</v>
      </c>
      <c r="C595" t="s">
        <v>10</v>
      </c>
      <c r="D595">
        <f t="shared" si="38"/>
        <v>270</v>
      </c>
      <c r="E595">
        <f t="shared" si="39"/>
        <v>0</v>
      </c>
      <c r="F595">
        <f t="shared" si="37"/>
        <v>270</v>
      </c>
    </row>
    <row r="596" spans="1:6" x14ac:dyDescent="0.25">
      <c r="A596" s="1">
        <v>45521</v>
      </c>
      <c r="B596">
        <f t="shared" si="36"/>
        <v>6</v>
      </c>
      <c r="C596" t="s">
        <v>10</v>
      </c>
      <c r="D596">
        <f t="shared" si="38"/>
        <v>0</v>
      </c>
      <c r="E596">
        <f t="shared" si="39"/>
        <v>0</v>
      </c>
      <c r="F596">
        <f t="shared" si="37"/>
        <v>0</v>
      </c>
    </row>
    <row r="597" spans="1:6" x14ac:dyDescent="0.25">
      <c r="A597" s="1">
        <v>45522</v>
      </c>
      <c r="B597">
        <f t="shared" si="36"/>
        <v>7</v>
      </c>
      <c r="C597" t="s">
        <v>10</v>
      </c>
      <c r="D597">
        <f t="shared" si="38"/>
        <v>0</v>
      </c>
      <c r="E597">
        <f t="shared" si="39"/>
        <v>150</v>
      </c>
      <c r="F597">
        <f t="shared" si="37"/>
        <v>-150</v>
      </c>
    </row>
    <row r="598" spans="1:6" x14ac:dyDescent="0.25">
      <c r="A598" s="1">
        <v>45523</v>
      </c>
      <c r="B598">
        <f t="shared" si="36"/>
        <v>1</v>
      </c>
      <c r="C598" t="s">
        <v>10</v>
      </c>
      <c r="D598">
        <f t="shared" si="38"/>
        <v>270</v>
      </c>
      <c r="E598">
        <f t="shared" si="39"/>
        <v>0</v>
      </c>
      <c r="F598">
        <f t="shared" si="37"/>
        <v>270</v>
      </c>
    </row>
    <row r="599" spans="1:6" x14ac:dyDescent="0.25">
      <c r="A599" s="1">
        <v>45524</v>
      </c>
      <c r="B599">
        <f t="shared" si="36"/>
        <v>2</v>
      </c>
      <c r="C599" t="s">
        <v>10</v>
      </c>
      <c r="D599">
        <f t="shared" si="38"/>
        <v>270</v>
      </c>
      <c r="E599">
        <f t="shared" si="39"/>
        <v>0</v>
      </c>
      <c r="F599">
        <f t="shared" si="37"/>
        <v>270</v>
      </c>
    </row>
    <row r="600" spans="1:6" x14ac:dyDescent="0.25">
      <c r="A600" s="1">
        <v>45525</v>
      </c>
      <c r="B600">
        <f t="shared" si="36"/>
        <v>3</v>
      </c>
      <c r="C600" t="s">
        <v>10</v>
      </c>
      <c r="D600">
        <f t="shared" si="38"/>
        <v>270</v>
      </c>
      <c r="E600">
        <f t="shared" si="39"/>
        <v>0</v>
      </c>
      <c r="F600">
        <f t="shared" si="37"/>
        <v>270</v>
      </c>
    </row>
    <row r="601" spans="1:6" x14ac:dyDescent="0.25">
      <c r="A601" s="1">
        <v>45526</v>
      </c>
      <c r="B601">
        <f t="shared" si="36"/>
        <v>4</v>
      </c>
      <c r="C601" t="s">
        <v>10</v>
      </c>
      <c r="D601">
        <f t="shared" si="38"/>
        <v>270</v>
      </c>
      <c r="E601">
        <f t="shared" si="39"/>
        <v>0</v>
      </c>
      <c r="F601">
        <f t="shared" si="37"/>
        <v>270</v>
      </c>
    </row>
    <row r="602" spans="1:6" x14ac:dyDescent="0.25">
      <c r="A602" s="1">
        <v>45527</v>
      </c>
      <c r="B602">
        <f t="shared" si="36"/>
        <v>5</v>
      </c>
      <c r="C602" t="s">
        <v>10</v>
      </c>
      <c r="D602">
        <f t="shared" si="38"/>
        <v>270</v>
      </c>
      <c r="E602">
        <f t="shared" si="39"/>
        <v>0</v>
      </c>
      <c r="F602">
        <f t="shared" si="37"/>
        <v>270</v>
      </c>
    </row>
    <row r="603" spans="1:6" x14ac:dyDescent="0.25">
      <c r="A603" s="1">
        <v>45528</v>
      </c>
      <c r="B603">
        <f t="shared" si="36"/>
        <v>6</v>
      </c>
      <c r="C603" t="s">
        <v>10</v>
      </c>
      <c r="D603">
        <f t="shared" si="38"/>
        <v>0</v>
      </c>
      <c r="E603">
        <f t="shared" si="39"/>
        <v>0</v>
      </c>
      <c r="F603">
        <f t="shared" si="37"/>
        <v>0</v>
      </c>
    </row>
    <row r="604" spans="1:6" x14ac:dyDescent="0.25">
      <c r="A604" s="1">
        <v>45529</v>
      </c>
      <c r="B604">
        <f t="shared" si="36"/>
        <v>7</v>
      </c>
      <c r="C604" t="s">
        <v>10</v>
      </c>
      <c r="D604">
        <f t="shared" si="38"/>
        <v>0</v>
      </c>
      <c r="E604">
        <f t="shared" si="39"/>
        <v>150</v>
      </c>
      <c r="F604">
        <f t="shared" si="37"/>
        <v>-150</v>
      </c>
    </row>
    <row r="605" spans="1:6" x14ac:dyDescent="0.25">
      <c r="A605" s="1">
        <v>45530</v>
      </c>
      <c r="B605">
        <f t="shared" si="36"/>
        <v>1</v>
      </c>
      <c r="C605" t="s">
        <v>10</v>
      </c>
      <c r="D605">
        <f t="shared" si="38"/>
        <v>270</v>
      </c>
      <c r="E605">
        <f t="shared" si="39"/>
        <v>0</v>
      </c>
      <c r="F605">
        <f t="shared" si="37"/>
        <v>270</v>
      </c>
    </row>
    <row r="606" spans="1:6" x14ac:dyDescent="0.25">
      <c r="A606" s="1">
        <v>45531</v>
      </c>
      <c r="B606">
        <f t="shared" si="36"/>
        <v>2</v>
      </c>
      <c r="C606" t="s">
        <v>10</v>
      </c>
      <c r="D606">
        <f t="shared" si="38"/>
        <v>270</v>
      </c>
      <c r="E606">
        <f t="shared" si="39"/>
        <v>0</v>
      </c>
      <c r="F606">
        <f t="shared" si="37"/>
        <v>270</v>
      </c>
    </row>
    <row r="607" spans="1:6" x14ac:dyDescent="0.25">
      <c r="A607" s="1">
        <v>45532</v>
      </c>
      <c r="B607">
        <f t="shared" si="36"/>
        <v>3</v>
      </c>
      <c r="C607" t="s">
        <v>10</v>
      </c>
      <c r="D607">
        <f t="shared" si="38"/>
        <v>270</v>
      </c>
      <c r="E607">
        <f t="shared" si="39"/>
        <v>0</v>
      </c>
      <c r="F607">
        <f t="shared" si="37"/>
        <v>270</v>
      </c>
    </row>
    <row r="608" spans="1:6" x14ac:dyDescent="0.25">
      <c r="A608" s="1">
        <v>45533</v>
      </c>
      <c r="B608">
        <f t="shared" si="36"/>
        <v>4</v>
      </c>
      <c r="C608" t="s">
        <v>10</v>
      </c>
      <c r="D608">
        <f t="shared" si="38"/>
        <v>270</v>
      </c>
      <c r="E608">
        <f t="shared" si="39"/>
        <v>0</v>
      </c>
      <c r="F608">
        <f t="shared" si="37"/>
        <v>270</v>
      </c>
    </row>
    <row r="609" spans="1:6" x14ac:dyDescent="0.25">
      <c r="A609" s="1">
        <v>45534</v>
      </c>
      <c r="B609">
        <f t="shared" si="36"/>
        <v>5</v>
      </c>
      <c r="C609" t="s">
        <v>10</v>
      </c>
      <c r="D609">
        <f t="shared" si="38"/>
        <v>270</v>
      </c>
      <c r="E609">
        <f t="shared" si="39"/>
        <v>0</v>
      </c>
      <c r="F609">
        <f t="shared" si="37"/>
        <v>270</v>
      </c>
    </row>
    <row r="610" spans="1:6" x14ac:dyDescent="0.25">
      <c r="A610" s="1">
        <v>45535</v>
      </c>
      <c r="B610">
        <f t="shared" si="36"/>
        <v>6</v>
      </c>
      <c r="C610" t="s">
        <v>10</v>
      </c>
      <c r="D610">
        <f t="shared" si="38"/>
        <v>0</v>
      </c>
      <c r="E610">
        <f t="shared" si="39"/>
        <v>0</v>
      </c>
      <c r="F610">
        <f t="shared" si="37"/>
        <v>0</v>
      </c>
    </row>
    <row r="611" spans="1:6" x14ac:dyDescent="0.25">
      <c r="A611" s="1">
        <v>45536</v>
      </c>
      <c r="B611">
        <f t="shared" si="36"/>
        <v>7</v>
      </c>
      <c r="C611" t="s">
        <v>10</v>
      </c>
      <c r="D611">
        <f t="shared" si="38"/>
        <v>0</v>
      </c>
      <c r="E611">
        <f t="shared" si="39"/>
        <v>150</v>
      </c>
      <c r="F611">
        <f t="shared" si="37"/>
        <v>-150</v>
      </c>
    </row>
    <row r="612" spans="1:6" x14ac:dyDescent="0.25">
      <c r="A612" s="1">
        <v>45537</v>
      </c>
      <c r="B612">
        <f t="shared" si="36"/>
        <v>1</v>
      </c>
      <c r="C612" t="s">
        <v>10</v>
      </c>
      <c r="D612">
        <f t="shared" si="38"/>
        <v>270</v>
      </c>
      <c r="E612">
        <f t="shared" si="39"/>
        <v>0</v>
      </c>
      <c r="F612">
        <f t="shared" si="37"/>
        <v>270</v>
      </c>
    </row>
    <row r="613" spans="1:6" x14ac:dyDescent="0.25">
      <c r="A613" s="1">
        <v>45538</v>
      </c>
      <c r="B613">
        <f t="shared" si="36"/>
        <v>2</v>
      </c>
      <c r="C613" t="s">
        <v>10</v>
      </c>
      <c r="D613">
        <f t="shared" si="38"/>
        <v>270</v>
      </c>
      <c r="E613">
        <f t="shared" si="39"/>
        <v>0</v>
      </c>
      <c r="F613">
        <f t="shared" si="37"/>
        <v>270</v>
      </c>
    </row>
    <row r="614" spans="1:6" x14ac:dyDescent="0.25">
      <c r="A614" s="1">
        <v>45539</v>
      </c>
      <c r="B614">
        <f t="shared" si="36"/>
        <v>3</v>
      </c>
      <c r="C614" t="s">
        <v>10</v>
      </c>
      <c r="D614">
        <f t="shared" si="38"/>
        <v>270</v>
      </c>
      <c r="E614">
        <f t="shared" si="39"/>
        <v>0</v>
      </c>
      <c r="F614">
        <f t="shared" si="37"/>
        <v>270</v>
      </c>
    </row>
    <row r="615" spans="1:6" x14ac:dyDescent="0.25">
      <c r="A615" s="1">
        <v>45540</v>
      </c>
      <c r="B615">
        <f t="shared" si="36"/>
        <v>4</v>
      </c>
      <c r="C615" t="s">
        <v>10</v>
      </c>
      <c r="D615">
        <f t="shared" si="38"/>
        <v>270</v>
      </c>
      <c r="E615">
        <f t="shared" si="39"/>
        <v>0</v>
      </c>
      <c r="F615">
        <f t="shared" si="37"/>
        <v>270</v>
      </c>
    </row>
    <row r="616" spans="1:6" x14ac:dyDescent="0.25">
      <c r="A616" s="1">
        <v>45541</v>
      </c>
      <c r="B616">
        <f t="shared" si="36"/>
        <v>5</v>
      </c>
      <c r="C616" t="s">
        <v>10</v>
      </c>
      <c r="D616">
        <f t="shared" si="38"/>
        <v>270</v>
      </c>
      <c r="E616">
        <f t="shared" si="39"/>
        <v>0</v>
      </c>
      <c r="F616">
        <f t="shared" si="37"/>
        <v>270</v>
      </c>
    </row>
    <row r="617" spans="1:6" x14ac:dyDescent="0.25">
      <c r="A617" s="1">
        <v>45542</v>
      </c>
      <c r="B617">
        <f t="shared" si="36"/>
        <v>6</v>
      </c>
      <c r="C617" t="s">
        <v>10</v>
      </c>
      <c r="D617">
        <f t="shared" si="38"/>
        <v>0</v>
      </c>
      <c r="E617">
        <f t="shared" si="39"/>
        <v>0</v>
      </c>
      <c r="F617">
        <f t="shared" si="37"/>
        <v>0</v>
      </c>
    </row>
    <row r="618" spans="1:6" x14ac:dyDescent="0.25">
      <c r="A618" s="1">
        <v>45543</v>
      </c>
      <c r="B618">
        <f t="shared" si="36"/>
        <v>7</v>
      </c>
      <c r="C618" t="s">
        <v>10</v>
      </c>
      <c r="D618">
        <f t="shared" si="38"/>
        <v>0</v>
      </c>
      <c r="E618">
        <f t="shared" si="39"/>
        <v>150</v>
      </c>
      <c r="F618">
        <f t="shared" si="37"/>
        <v>-150</v>
      </c>
    </row>
    <row r="619" spans="1:6" x14ac:dyDescent="0.25">
      <c r="A619" s="1">
        <v>45544</v>
      </c>
      <c r="B619">
        <f t="shared" si="36"/>
        <v>1</v>
      </c>
      <c r="C619" t="s">
        <v>10</v>
      </c>
      <c r="D619">
        <f t="shared" si="38"/>
        <v>270</v>
      </c>
      <c r="E619">
        <f t="shared" si="39"/>
        <v>0</v>
      </c>
      <c r="F619">
        <f t="shared" si="37"/>
        <v>270</v>
      </c>
    </row>
    <row r="620" spans="1:6" x14ac:dyDescent="0.25">
      <c r="A620" s="1">
        <v>45545</v>
      </c>
      <c r="B620">
        <f t="shared" si="36"/>
        <v>2</v>
      </c>
      <c r="C620" t="s">
        <v>10</v>
      </c>
      <c r="D620">
        <f t="shared" si="38"/>
        <v>270</v>
      </c>
      <c r="E620">
        <f t="shared" si="39"/>
        <v>0</v>
      </c>
      <c r="F620">
        <f t="shared" si="37"/>
        <v>270</v>
      </c>
    </row>
    <row r="621" spans="1:6" x14ac:dyDescent="0.25">
      <c r="A621" s="1">
        <v>45546</v>
      </c>
      <c r="B621">
        <f t="shared" si="36"/>
        <v>3</v>
      </c>
      <c r="C621" t="s">
        <v>10</v>
      </c>
      <c r="D621">
        <f t="shared" si="38"/>
        <v>270</v>
      </c>
      <c r="E621">
        <f t="shared" si="39"/>
        <v>0</v>
      </c>
      <c r="F621">
        <f t="shared" si="37"/>
        <v>270</v>
      </c>
    </row>
    <row r="622" spans="1:6" x14ac:dyDescent="0.25">
      <c r="A622" s="1">
        <v>45547</v>
      </c>
      <c r="B622">
        <f t="shared" si="36"/>
        <v>4</v>
      </c>
      <c r="C622" t="s">
        <v>10</v>
      </c>
      <c r="D622">
        <f t="shared" si="38"/>
        <v>270</v>
      </c>
      <c r="E622">
        <f t="shared" si="39"/>
        <v>0</v>
      </c>
      <c r="F622">
        <f t="shared" si="37"/>
        <v>270</v>
      </c>
    </row>
    <row r="623" spans="1:6" x14ac:dyDescent="0.25">
      <c r="A623" s="1">
        <v>45548</v>
      </c>
      <c r="B623">
        <f t="shared" si="36"/>
        <v>5</v>
      </c>
      <c r="C623" t="s">
        <v>10</v>
      </c>
      <c r="D623">
        <f t="shared" si="38"/>
        <v>270</v>
      </c>
      <c r="E623">
        <f t="shared" si="39"/>
        <v>0</v>
      </c>
      <c r="F623">
        <f t="shared" si="37"/>
        <v>270</v>
      </c>
    </row>
    <row r="624" spans="1:6" x14ac:dyDescent="0.25">
      <c r="A624" s="1">
        <v>45549</v>
      </c>
      <c r="B624">
        <f t="shared" si="36"/>
        <v>6</v>
      </c>
      <c r="C624" t="s">
        <v>10</v>
      </c>
      <c r="D624">
        <f t="shared" si="38"/>
        <v>0</v>
      </c>
      <c r="E624">
        <f t="shared" si="39"/>
        <v>0</v>
      </c>
      <c r="F624">
        <f t="shared" si="37"/>
        <v>0</v>
      </c>
    </row>
    <row r="625" spans="1:6" x14ac:dyDescent="0.25">
      <c r="A625" s="1">
        <v>45550</v>
      </c>
      <c r="B625">
        <f t="shared" si="36"/>
        <v>7</v>
      </c>
      <c r="C625" t="s">
        <v>10</v>
      </c>
      <c r="D625">
        <f t="shared" si="38"/>
        <v>0</v>
      </c>
      <c r="E625">
        <f t="shared" si="39"/>
        <v>150</v>
      </c>
      <c r="F625">
        <f t="shared" si="37"/>
        <v>-150</v>
      </c>
    </row>
    <row r="626" spans="1:6" x14ac:dyDescent="0.25">
      <c r="A626" s="1">
        <v>45551</v>
      </c>
      <c r="B626">
        <f t="shared" si="36"/>
        <v>1</v>
      </c>
      <c r="C626" t="s">
        <v>10</v>
      </c>
      <c r="D626">
        <f t="shared" si="38"/>
        <v>270</v>
      </c>
      <c r="E626">
        <f t="shared" si="39"/>
        <v>0</v>
      </c>
      <c r="F626">
        <f t="shared" si="37"/>
        <v>270</v>
      </c>
    </row>
    <row r="627" spans="1:6" x14ac:dyDescent="0.25">
      <c r="A627" s="1">
        <v>45552</v>
      </c>
      <c r="B627">
        <f t="shared" si="36"/>
        <v>2</v>
      </c>
      <c r="C627" t="s">
        <v>10</v>
      </c>
      <c r="D627">
        <f t="shared" si="38"/>
        <v>270</v>
      </c>
      <c r="E627">
        <f t="shared" si="39"/>
        <v>0</v>
      </c>
      <c r="F627">
        <f t="shared" si="37"/>
        <v>270</v>
      </c>
    </row>
    <row r="628" spans="1:6" x14ac:dyDescent="0.25">
      <c r="A628" s="1">
        <v>45553</v>
      </c>
      <c r="B628">
        <f t="shared" si="36"/>
        <v>3</v>
      </c>
      <c r="C628" t="s">
        <v>10</v>
      </c>
      <c r="D628">
        <f t="shared" si="38"/>
        <v>270</v>
      </c>
      <c r="E628">
        <f t="shared" si="39"/>
        <v>0</v>
      </c>
      <c r="F628">
        <f t="shared" si="37"/>
        <v>270</v>
      </c>
    </row>
    <row r="629" spans="1:6" x14ac:dyDescent="0.25">
      <c r="A629" s="1">
        <v>45554</v>
      </c>
      <c r="B629">
        <f t="shared" si="36"/>
        <v>4</v>
      </c>
      <c r="C629" t="s">
        <v>10</v>
      </c>
      <c r="D629">
        <f t="shared" si="38"/>
        <v>270</v>
      </c>
      <c r="E629">
        <f t="shared" si="39"/>
        <v>0</v>
      </c>
      <c r="F629">
        <f t="shared" si="37"/>
        <v>270</v>
      </c>
    </row>
    <row r="630" spans="1:6" x14ac:dyDescent="0.25">
      <c r="A630" s="1">
        <v>45555</v>
      </c>
      <c r="B630">
        <f t="shared" si="36"/>
        <v>5</v>
      </c>
      <c r="C630" t="s">
        <v>10</v>
      </c>
      <c r="D630">
        <f t="shared" si="38"/>
        <v>270</v>
      </c>
      <c r="E630">
        <f t="shared" si="39"/>
        <v>0</v>
      </c>
      <c r="F630">
        <f t="shared" si="37"/>
        <v>270</v>
      </c>
    </row>
    <row r="631" spans="1:6" x14ac:dyDescent="0.25">
      <c r="A631" s="1">
        <v>45556</v>
      </c>
      <c r="B631">
        <f t="shared" si="36"/>
        <v>6</v>
      </c>
      <c r="C631" t="s">
        <v>10</v>
      </c>
      <c r="D631">
        <f t="shared" si="38"/>
        <v>0</v>
      </c>
      <c r="E631">
        <f t="shared" si="39"/>
        <v>0</v>
      </c>
      <c r="F631">
        <f t="shared" si="37"/>
        <v>0</v>
      </c>
    </row>
    <row r="632" spans="1:6" x14ac:dyDescent="0.25">
      <c r="A632" s="1">
        <v>45557</v>
      </c>
      <c r="B632">
        <f t="shared" si="36"/>
        <v>7</v>
      </c>
      <c r="C632" t="s">
        <v>10</v>
      </c>
      <c r="D632">
        <f t="shared" si="38"/>
        <v>0</v>
      </c>
      <c r="E632">
        <f t="shared" si="39"/>
        <v>150</v>
      </c>
      <c r="F632">
        <f t="shared" si="37"/>
        <v>-150</v>
      </c>
    </row>
    <row r="633" spans="1:6" x14ac:dyDescent="0.25">
      <c r="A633" s="1">
        <v>45558</v>
      </c>
      <c r="B633">
        <f t="shared" si="36"/>
        <v>1</v>
      </c>
      <c r="C633" t="s">
        <v>11</v>
      </c>
      <c r="D633">
        <f t="shared" si="38"/>
        <v>120</v>
      </c>
      <c r="E633">
        <f t="shared" si="39"/>
        <v>0</v>
      </c>
      <c r="F633">
        <f t="shared" si="37"/>
        <v>120</v>
      </c>
    </row>
    <row r="634" spans="1:6" x14ac:dyDescent="0.25">
      <c r="A634" s="1">
        <v>45559</v>
      </c>
      <c r="B634">
        <f t="shared" si="36"/>
        <v>2</v>
      </c>
      <c r="C634" t="s">
        <v>11</v>
      </c>
      <c r="D634">
        <f t="shared" si="38"/>
        <v>120</v>
      </c>
      <c r="E634">
        <f t="shared" si="39"/>
        <v>0</v>
      </c>
      <c r="F634">
        <f t="shared" si="37"/>
        <v>120</v>
      </c>
    </row>
    <row r="635" spans="1:6" x14ac:dyDescent="0.25">
      <c r="A635" s="1">
        <v>45560</v>
      </c>
      <c r="B635">
        <f t="shared" si="36"/>
        <v>3</v>
      </c>
      <c r="C635" t="s">
        <v>11</v>
      </c>
      <c r="D635">
        <f t="shared" si="38"/>
        <v>120</v>
      </c>
      <c r="E635">
        <f t="shared" si="39"/>
        <v>0</v>
      </c>
      <c r="F635">
        <f t="shared" si="37"/>
        <v>120</v>
      </c>
    </row>
    <row r="636" spans="1:6" x14ac:dyDescent="0.25">
      <c r="A636" s="1">
        <v>45561</v>
      </c>
      <c r="B636">
        <f t="shared" si="36"/>
        <v>4</v>
      </c>
      <c r="C636" t="s">
        <v>11</v>
      </c>
      <c r="D636">
        <f t="shared" si="38"/>
        <v>120</v>
      </c>
      <c r="E636">
        <f t="shared" si="39"/>
        <v>0</v>
      </c>
      <c r="F636">
        <f t="shared" si="37"/>
        <v>120</v>
      </c>
    </row>
    <row r="637" spans="1:6" x14ac:dyDescent="0.25">
      <c r="A637" s="1">
        <v>45562</v>
      </c>
      <c r="B637">
        <f t="shared" si="36"/>
        <v>5</v>
      </c>
      <c r="C637" t="s">
        <v>11</v>
      </c>
      <c r="D637">
        <f t="shared" si="38"/>
        <v>120</v>
      </c>
      <c r="E637">
        <f t="shared" si="39"/>
        <v>0</v>
      </c>
      <c r="F637">
        <f t="shared" si="37"/>
        <v>120</v>
      </c>
    </row>
    <row r="638" spans="1:6" x14ac:dyDescent="0.25">
      <c r="A638" s="1">
        <v>45563</v>
      </c>
      <c r="B638">
        <f t="shared" si="36"/>
        <v>6</v>
      </c>
      <c r="C638" t="s">
        <v>11</v>
      </c>
      <c r="D638">
        <f t="shared" si="38"/>
        <v>0</v>
      </c>
      <c r="E638">
        <f t="shared" si="39"/>
        <v>0</v>
      </c>
      <c r="F638">
        <f t="shared" si="37"/>
        <v>0</v>
      </c>
    </row>
    <row r="639" spans="1:6" x14ac:dyDescent="0.25">
      <c r="A639" s="1">
        <v>45564</v>
      </c>
      <c r="B639">
        <f t="shared" si="36"/>
        <v>7</v>
      </c>
      <c r="C639" t="s">
        <v>11</v>
      </c>
      <c r="D639">
        <f t="shared" si="38"/>
        <v>0</v>
      </c>
      <c r="E639">
        <f t="shared" si="39"/>
        <v>150</v>
      </c>
      <c r="F639">
        <f t="shared" si="37"/>
        <v>-150</v>
      </c>
    </row>
    <row r="640" spans="1:6" x14ac:dyDescent="0.25">
      <c r="A640" s="1">
        <v>45565</v>
      </c>
      <c r="B640">
        <f t="shared" si="36"/>
        <v>1</v>
      </c>
      <c r="C640" t="s">
        <v>11</v>
      </c>
      <c r="D640">
        <f t="shared" si="38"/>
        <v>120</v>
      </c>
      <c r="E640">
        <f t="shared" si="39"/>
        <v>0</v>
      </c>
      <c r="F640">
        <f t="shared" si="37"/>
        <v>120</v>
      </c>
    </row>
    <row r="641" spans="1:6" x14ac:dyDescent="0.25">
      <c r="A641" s="1">
        <v>45566</v>
      </c>
      <c r="B641">
        <f t="shared" si="36"/>
        <v>2</v>
      </c>
      <c r="C641" t="s">
        <v>11</v>
      </c>
      <c r="D641">
        <f t="shared" si="38"/>
        <v>120</v>
      </c>
      <c r="E641">
        <f t="shared" si="39"/>
        <v>0</v>
      </c>
      <c r="F641">
        <f t="shared" si="37"/>
        <v>120</v>
      </c>
    </row>
    <row r="642" spans="1:6" x14ac:dyDescent="0.25">
      <c r="A642" s="1">
        <v>45567</v>
      </c>
      <c r="B642">
        <f t="shared" si="36"/>
        <v>3</v>
      </c>
      <c r="C642" t="s">
        <v>11</v>
      </c>
      <c r="D642">
        <f t="shared" si="38"/>
        <v>120</v>
      </c>
      <c r="E642">
        <f t="shared" si="39"/>
        <v>0</v>
      </c>
      <c r="F642">
        <f t="shared" si="37"/>
        <v>120</v>
      </c>
    </row>
    <row r="643" spans="1:6" x14ac:dyDescent="0.25">
      <c r="A643" s="1">
        <v>45568</v>
      </c>
      <c r="B643">
        <f t="shared" ref="B643:B706" si="40">WEEKDAY(A643,2)</f>
        <v>4</v>
      </c>
      <c r="C643" t="s">
        <v>11</v>
      </c>
      <c r="D643">
        <f t="shared" si="38"/>
        <v>120</v>
      </c>
      <c r="E643">
        <f t="shared" si="39"/>
        <v>0</v>
      </c>
      <c r="F643">
        <f t="shared" ref="F643:F706" si="41">D643-E643</f>
        <v>120</v>
      </c>
    </row>
    <row r="644" spans="1:6" x14ac:dyDescent="0.25">
      <c r="A644" s="1">
        <v>45569</v>
      </c>
      <c r="B644">
        <f t="shared" si="40"/>
        <v>5</v>
      </c>
      <c r="C644" t="s">
        <v>11</v>
      </c>
      <c r="D644">
        <f t="shared" ref="D644:D707" si="42">IF(B644&lt;6,$Q$1*VLOOKUP(C644,$S$1:$T$5,2,FALSE)*$Q$3,0)</f>
        <v>120</v>
      </c>
      <c r="E644">
        <f t="shared" ref="E644:E707" si="43">IF(B644=7,$Q$4*$Q$1,0)</f>
        <v>0</v>
      </c>
      <c r="F644">
        <f t="shared" si="41"/>
        <v>120</v>
      </c>
    </row>
    <row r="645" spans="1:6" x14ac:dyDescent="0.25">
      <c r="A645" s="1">
        <v>45570</v>
      </c>
      <c r="B645">
        <f t="shared" si="40"/>
        <v>6</v>
      </c>
      <c r="C645" t="s">
        <v>11</v>
      </c>
      <c r="D645">
        <f t="shared" si="42"/>
        <v>0</v>
      </c>
      <c r="E645">
        <f t="shared" si="43"/>
        <v>0</v>
      </c>
      <c r="F645">
        <f t="shared" si="41"/>
        <v>0</v>
      </c>
    </row>
    <row r="646" spans="1:6" x14ac:dyDescent="0.25">
      <c r="A646" s="1">
        <v>45571</v>
      </c>
      <c r="B646">
        <f t="shared" si="40"/>
        <v>7</v>
      </c>
      <c r="C646" t="s">
        <v>11</v>
      </c>
      <c r="D646">
        <f t="shared" si="42"/>
        <v>0</v>
      </c>
      <c r="E646">
        <f t="shared" si="43"/>
        <v>150</v>
      </c>
      <c r="F646">
        <f t="shared" si="41"/>
        <v>-150</v>
      </c>
    </row>
    <row r="647" spans="1:6" x14ac:dyDescent="0.25">
      <c r="A647" s="1">
        <v>45572</v>
      </c>
      <c r="B647">
        <f t="shared" si="40"/>
        <v>1</v>
      </c>
      <c r="C647" t="s">
        <v>11</v>
      </c>
      <c r="D647">
        <f t="shared" si="42"/>
        <v>120</v>
      </c>
      <c r="E647">
        <f t="shared" si="43"/>
        <v>0</v>
      </c>
      <c r="F647">
        <f t="shared" si="41"/>
        <v>120</v>
      </c>
    </row>
    <row r="648" spans="1:6" x14ac:dyDescent="0.25">
      <c r="A648" s="1">
        <v>45573</v>
      </c>
      <c r="B648">
        <f t="shared" si="40"/>
        <v>2</v>
      </c>
      <c r="C648" t="s">
        <v>11</v>
      </c>
      <c r="D648">
        <f t="shared" si="42"/>
        <v>120</v>
      </c>
      <c r="E648">
        <f t="shared" si="43"/>
        <v>0</v>
      </c>
      <c r="F648">
        <f t="shared" si="41"/>
        <v>120</v>
      </c>
    </row>
    <row r="649" spans="1:6" x14ac:dyDescent="0.25">
      <c r="A649" s="1">
        <v>45574</v>
      </c>
      <c r="B649">
        <f t="shared" si="40"/>
        <v>3</v>
      </c>
      <c r="C649" t="s">
        <v>11</v>
      </c>
      <c r="D649">
        <f t="shared" si="42"/>
        <v>120</v>
      </c>
      <c r="E649">
        <f t="shared" si="43"/>
        <v>0</v>
      </c>
      <c r="F649">
        <f t="shared" si="41"/>
        <v>120</v>
      </c>
    </row>
    <row r="650" spans="1:6" x14ac:dyDescent="0.25">
      <c r="A650" s="1">
        <v>45575</v>
      </c>
      <c r="B650">
        <f t="shared" si="40"/>
        <v>4</v>
      </c>
      <c r="C650" t="s">
        <v>11</v>
      </c>
      <c r="D650">
        <f t="shared" si="42"/>
        <v>120</v>
      </c>
      <c r="E650">
        <f t="shared" si="43"/>
        <v>0</v>
      </c>
      <c r="F650">
        <f t="shared" si="41"/>
        <v>120</v>
      </c>
    </row>
    <row r="651" spans="1:6" x14ac:dyDescent="0.25">
      <c r="A651" s="1">
        <v>45576</v>
      </c>
      <c r="B651">
        <f t="shared" si="40"/>
        <v>5</v>
      </c>
      <c r="C651" t="s">
        <v>11</v>
      </c>
      <c r="D651">
        <f t="shared" si="42"/>
        <v>120</v>
      </c>
      <c r="E651">
        <f t="shared" si="43"/>
        <v>0</v>
      </c>
      <c r="F651">
        <f t="shared" si="41"/>
        <v>120</v>
      </c>
    </row>
    <row r="652" spans="1:6" x14ac:dyDescent="0.25">
      <c r="A652" s="1">
        <v>45577</v>
      </c>
      <c r="B652">
        <f t="shared" si="40"/>
        <v>6</v>
      </c>
      <c r="C652" t="s">
        <v>11</v>
      </c>
      <c r="D652">
        <f t="shared" si="42"/>
        <v>0</v>
      </c>
      <c r="E652">
        <f t="shared" si="43"/>
        <v>0</v>
      </c>
      <c r="F652">
        <f t="shared" si="41"/>
        <v>0</v>
      </c>
    </row>
    <row r="653" spans="1:6" x14ac:dyDescent="0.25">
      <c r="A653" s="1">
        <v>45578</v>
      </c>
      <c r="B653">
        <f t="shared" si="40"/>
        <v>7</v>
      </c>
      <c r="C653" t="s">
        <v>11</v>
      </c>
      <c r="D653">
        <f t="shared" si="42"/>
        <v>0</v>
      </c>
      <c r="E653">
        <f t="shared" si="43"/>
        <v>150</v>
      </c>
      <c r="F653">
        <f t="shared" si="41"/>
        <v>-150</v>
      </c>
    </row>
    <row r="654" spans="1:6" x14ac:dyDescent="0.25">
      <c r="A654" s="1">
        <v>45579</v>
      </c>
      <c r="B654">
        <f t="shared" si="40"/>
        <v>1</v>
      </c>
      <c r="C654" t="s">
        <v>11</v>
      </c>
      <c r="D654">
        <f t="shared" si="42"/>
        <v>120</v>
      </c>
      <c r="E654">
        <f t="shared" si="43"/>
        <v>0</v>
      </c>
      <c r="F654">
        <f t="shared" si="41"/>
        <v>120</v>
      </c>
    </row>
    <row r="655" spans="1:6" x14ac:dyDescent="0.25">
      <c r="A655" s="1">
        <v>45580</v>
      </c>
      <c r="B655">
        <f t="shared" si="40"/>
        <v>2</v>
      </c>
      <c r="C655" t="s">
        <v>11</v>
      </c>
      <c r="D655">
        <f t="shared" si="42"/>
        <v>120</v>
      </c>
      <c r="E655">
        <f t="shared" si="43"/>
        <v>0</v>
      </c>
      <c r="F655">
        <f t="shared" si="41"/>
        <v>120</v>
      </c>
    </row>
    <row r="656" spans="1:6" x14ac:dyDescent="0.25">
      <c r="A656" s="1">
        <v>45581</v>
      </c>
      <c r="B656">
        <f t="shared" si="40"/>
        <v>3</v>
      </c>
      <c r="C656" t="s">
        <v>11</v>
      </c>
      <c r="D656">
        <f t="shared" si="42"/>
        <v>120</v>
      </c>
      <c r="E656">
        <f t="shared" si="43"/>
        <v>0</v>
      </c>
      <c r="F656">
        <f t="shared" si="41"/>
        <v>120</v>
      </c>
    </row>
    <row r="657" spans="1:6" x14ac:dyDescent="0.25">
      <c r="A657" s="1">
        <v>45582</v>
      </c>
      <c r="B657">
        <f t="shared" si="40"/>
        <v>4</v>
      </c>
      <c r="C657" t="s">
        <v>11</v>
      </c>
      <c r="D657">
        <f t="shared" si="42"/>
        <v>120</v>
      </c>
      <c r="E657">
        <f t="shared" si="43"/>
        <v>0</v>
      </c>
      <c r="F657">
        <f t="shared" si="41"/>
        <v>120</v>
      </c>
    </row>
    <row r="658" spans="1:6" x14ac:dyDescent="0.25">
      <c r="A658" s="1">
        <v>45583</v>
      </c>
      <c r="B658">
        <f t="shared" si="40"/>
        <v>5</v>
      </c>
      <c r="C658" t="s">
        <v>11</v>
      </c>
      <c r="D658">
        <f t="shared" si="42"/>
        <v>120</v>
      </c>
      <c r="E658">
        <f t="shared" si="43"/>
        <v>0</v>
      </c>
      <c r="F658">
        <f t="shared" si="41"/>
        <v>120</v>
      </c>
    </row>
    <row r="659" spans="1:6" x14ac:dyDescent="0.25">
      <c r="A659" s="1">
        <v>45584</v>
      </c>
      <c r="B659">
        <f t="shared" si="40"/>
        <v>6</v>
      </c>
      <c r="C659" t="s">
        <v>11</v>
      </c>
      <c r="D659">
        <f t="shared" si="42"/>
        <v>0</v>
      </c>
      <c r="E659">
        <f t="shared" si="43"/>
        <v>0</v>
      </c>
      <c r="F659">
        <f t="shared" si="41"/>
        <v>0</v>
      </c>
    </row>
    <row r="660" spans="1:6" x14ac:dyDescent="0.25">
      <c r="A660" s="1">
        <v>45585</v>
      </c>
      <c r="B660">
        <f t="shared" si="40"/>
        <v>7</v>
      </c>
      <c r="C660" t="s">
        <v>11</v>
      </c>
      <c r="D660">
        <f t="shared" si="42"/>
        <v>0</v>
      </c>
      <c r="E660">
        <f t="shared" si="43"/>
        <v>150</v>
      </c>
      <c r="F660">
        <f t="shared" si="41"/>
        <v>-150</v>
      </c>
    </row>
    <row r="661" spans="1:6" x14ac:dyDescent="0.25">
      <c r="A661" s="1">
        <v>45586</v>
      </c>
      <c r="B661">
        <f t="shared" si="40"/>
        <v>1</v>
      </c>
      <c r="C661" t="s">
        <v>11</v>
      </c>
      <c r="D661">
        <f t="shared" si="42"/>
        <v>120</v>
      </c>
      <c r="E661">
        <f t="shared" si="43"/>
        <v>0</v>
      </c>
      <c r="F661">
        <f t="shared" si="41"/>
        <v>120</v>
      </c>
    </row>
    <row r="662" spans="1:6" x14ac:dyDescent="0.25">
      <c r="A662" s="1">
        <v>45587</v>
      </c>
      <c r="B662">
        <f t="shared" si="40"/>
        <v>2</v>
      </c>
      <c r="C662" t="s">
        <v>11</v>
      </c>
      <c r="D662">
        <f t="shared" si="42"/>
        <v>120</v>
      </c>
      <c r="E662">
        <f t="shared" si="43"/>
        <v>0</v>
      </c>
      <c r="F662">
        <f t="shared" si="41"/>
        <v>120</v>
      </c>
    </row>
    <row r="663" spans="1:6" x14ac:dyDescent="0.25">
      <c r="A663" s="1">
        <v>45588</v>
      </c>
      <c r="B663">
        <f t="shared" si="40"/>
        <v>3</v>
      </c>
      <c r="C663" t="s">
        <v>11</v>
      </c>
      <c r="D663">
        <f t="shared" si="42"/>
        <v>120</v>
      </c>
      <c r="E663">
        <f t="shared" si="43"/>
        <v>0</v>
      </c>
      <c r="F663">
        <f t="shared" si="41"/>
        <v>120</v>
      </c>
    </row>
    <row r="664" spans="1:6" x14ac:dyDescent="0.25">
      <c r="A664" s="1">
        <v>45589</v>
      </c>
      <c r="B664">
        <f t="shared" si="40"/>
        <v>4</v>
      </c>
      <c r="C664" t="s">
        <v>11</v>
      </c>
      <c r="D664">
        <f t="shared" si="42"/>
        <v>120</v>
      </c>
      <c r="E664">
        <f t="shared" si="43"/>
        <v>0</v>
      </c>
      <c r="F664">
        <f t="shared" si="41"/>
        <v>120</v>
      </c>
    </row>
    <row r="665" spans="1:6" x14ac:dyDescent="0.25">
      <c r="A665" s="1">
        <v>45590</v>
      </c>
      <c r="B665">
        <f t="shared" si="40"/>
        <v>5</v>
      </c>
      <c r="C665" t="s">
        <v>11</v>
      </c>
      <c r="D665">
        <f t="shared" si="42"/>
        <v>120</v>
      </c>
      <c r="E665">
        <f t="shared" si="43"/>
        <v>0</v>
      </c>
      <c r="F665">
        <f t="shared" si="41"/>
        <v>120</v>
      </c>
    </row>
    <row r="666" spans="1:6" x14ac:dyDescent="0.25">
      <c r="A666" s="1">
        <v>45591</v>
      </c>
      <c r="B666">
        <f t="shared" si="40"/>
        <v>6</v>
      </c>
      <c r="C666" t="s">
        <v>11</v>
      </c>
      <c r="D666">
        <f t="shared" si="42"/>
        <v>0</v>
      </c>
      <c r="E666">
        <f t="shared" si="43"/>
        <v>0</v>
      </c>
      <c r="F666">
        <f t="shared" si="41"/>
        <v>0</v>
      </c>
    </row>
    <row r="667" spans="1:6" x14ac:dyDescent="0.25">
      <c r="A667" s="1">
        <v>45592</v>
      </c>
      <c r="B667">
        <f t="shared" si="40"/>
        <v>7</v>
      </c>
      <c r="C667" t="s">
        <v>11</v>
      </c>
      <c r="D667">
        <f t="shared" si="42"/>
        <v>0</v>
      </c>
      <c r="E667">
        <f t="shared" si="43"/>
        <v>150</v>
      </c>
      <c r="F667">
        <f t="shared" si="41"/>
        <v>-150</v>
      </c>
    </row>
    <row r="668" spans="1:6" x14ac:dyDescent="0.25">
      <c r="A668" s="1">
        <v>45593</v>
      </c>
      <c r="B668">
        <f t="shared" si="40"/>
        <v>1</v>
      </c>
      <c r="C668" t="s">
        <v>11</v>
      </c>
      <c r="D668">
        <f t="shared" si="42"/>
        <v>120</v>
      </c>
      <c r="E668">
        <f t="shared" si="43"/>
        <v>0</v>
      </c>
      <c r="F668">
        <f t="shared" si="41"/>
        <v>120</v>
      </c>
    </row>
    <row r="669" spans="1:6" x14ac:dyDescent="0.25">
      <c r="A669" s="1">
        <v>45594</v>
      </c>
      <c r="B669">
        <f t="shared" si="40"/>
        <v>2</v>
      </c>
      <c r="C669" t="s">
        <v>11</v>
      </c>
      <c r="D669">
        <f t="shared" si="42"/>
        <v>120</v>
      </c>
      <c r="E669">
        <f t="shared" si="43"/>
        <v>0</v>
      </c>
      <c r="F669">
        <f t="shared" si="41"/>
        <v>120</v>
      </c>
    </row>
    <row r="670" spans="1:6" x14ac:dyDescent="0.25">
      <c r="A670" s="1">
        <v>45595</v>
      </c>
      <c r="B670">
        <f t="shared" si="40"/>
        <v>3</v>
      </c>
      <c r="C670" t="s">
        <v>11</v>
      </c>
      <c r="D670">
        <f t="shared" si="42"/>
        <v>120</v>
      </c>
      <c r="E670">
        <f t="shared" si="43"/>
        <v>0</v>
      </c>
      <c r="F670">
        <f t="shared" si="41"/>
        <v>120</v>
      </c>
    </row>
    <row r="671" spans="1:6" x14ac:dyDescent="0.25">
      <c r="A671" s="1">
        <v>45596</v>
      </c>
      <c r="B671">
        <f t="shared" si="40"/>
        <v>4</v>
      </c>
      <c r="C671" t="s">
        <v>11</v>
      </c>
      <c r="D671">
        <f t="shared" si="42"/>
        <v>120</v>
      </c>
      <c r="E671">
        <f t="shared" si="43"/>
        <v>0</v>
      </c>
      <c r="F671">
        <f t="shared" si="41"/>
        <v>120</v>
      </c>
    </row>
    <row r="672" spans="1:6" x14ac:dyDescent="0.25">
      <c r="A672" s="1">
        <v>45597</v>
      </c>
      <c r="B672">
        <f t="shared" si="40"/>
        <v>5</v>
      </c>
      <c r="C672" t="s">
        <v>11</v>
      </c>
      <c r="D672">
        <f t="shared" si="42"/>
        <v>120</v>
      </c>
      <c r="E672">
        <f t="shared" si="43"/>
        <v>0</v>
      </c>
      <c r="F672">
        <f t="shared" si="41"/>
        <v>120</v>
      </c>
    </row>
    <row r="673" spans="1:6" x14ac:dyDescent="0.25">
      <c r="A673" s="1">
        <v>45598</v>
      </c>
      <c r="B673">
        <f t="shared" si="40"/>
        <v>6</v>
      </c>
      <c r="C673" t="s">
        <v>11</v>
      </c>
      <c r="D673">
        <f t="shared" si="42"/>
        <v>0</v>
      </c>
      <c r="E673">
        <f t="shared" si="43"/>
        <v>0</v>
      </c>
      <c r="F673">
        <f t="shared" si="41"/>
        <v>0</v>
      </c>
    </row>
    <row r="674" spans="1:6" x14ac:dyDescent="0.25">
      <c r="A674" s="1">
        <v>45599</v>
      </c>
      <c r="B674">
        <f t="shared" si="40"/>
        <v>7</v>
      </c>
      <c r="C674" t="s">
        <v>11</v>
      </c>
      <c r="D674">
        <f t="shared" si="42"/>
        <v>0</v>
      </c>
      <c r="E674">
        <f t="shared" si="43"/>
        <v>150</v>
      </c>
      <c r="F674">
        <f t="shared" si="41"/>
        <v>-150</v>
      </c>
    </row>
    <row r="675" spans="1:6" x14ac:dyDescent="0.25">
      <c r="A675" s="1">
        <v>45600</v>
      </c>
      <c r="B675">
        <f t="shared" si="40"/>
        <v>1</v>
      </c>
      <c r="C675" t="s">
        <v>11</v>
      </c>
      <c r="D675">
        <f t="shared" si="42"/>
        <v>120</v>
      </c>
      <c r="E675">
        <f t="shared" si="43"/>
        <v>0</v>
      </c>
      <c r="F675">
        <f t="shared" si="41"/>
        <v>120</v>
      </c>
    </row>
    <row r="676" spans="1:6" x14ac:dyDescent="0.25">
      <c r="A676" s="1">
        <v>45601</v>
      </c>
      <c r="B676">
        <f t="shared" si="40"/>
        <v>2</v>
      </c>
      <c r="C676" t="s">
        <v>11</v>
      </c>
      <c r="D676">
        <f t="shared" si="42"/>
        <v>120</v>
      </c>
      <c r="E676">
        <f t="shared" si="43"/>
        <v>0</v>
      </c>
      <c r="F676">
        <f t="shared" si="41"/>
        <v>120</v>
      </c>
    </row>
    <row r="677" spans="1:6" x14ac:dyDescent="0.25">
      <c r="A677" s="1">
        <v>45602</v>
      </c>
      <c r="B677">
        <f t="shared" si="40"/>
        <v>3</v>
      </c>
      <c r="C677" t="s">
        <v>11</v>
      </c>
      <c r="D677">
        <f t="shared" si="42"/>
        <v>120</v>
      </c>
      <c r="E677">
        <f t="shared" si="43"/>
        <v>0</v>
      </c>
      <c r="F677">
        <f t="shared" si="41"/>
        <v>120</v>
      </c>
    </row>
    <row r="678" spans="1:6" x14ac:dyDescent="0.25">
      <c r="A678" s="1">
        <v>45603</v>
      </c>
      <c r="B678">
        <f t="shared" si="40"/>
        <v>4</v>
      </c>
      <c r="C678" t="s">
        <v>11</v>
      </c>
      <c r="D678">
        <f t="shared" si="42"/>
        <v>120</v>
      </c>
      <c r="E678">
        <f t="shared" si="43"/>
        <v>0</v>
      </c>
      <c r="F678">
        <f t="shared" si="41"/>
        <v>120</v>
      </c>
    </row>
    <row r="679" spans="1:6" x14ac:dyDescent="0.25">
      <c r="A679" s="1">
        <v>45604</v>
      </c>
      <c r="B679">
        <f t="shared" si="40"/>
        <v>5</v>
      </c>
      <c r="C679" t="s">
        <v>11</v>
      </c>
      <c r="D679">
        <f t="shared" si="42"/>
        <v>120</v>
      </c>
      <c r="E679">
        <f t="shared" si="43"/>
        <v>0</v>
      </c>
      <c r="F679">
        <f t="shared" si="41"/>
        <v>120</v>
      </c>
    </row>
    <row r="680" spans="1:6" x14ac:dyDescent="0.25">
      <c r="A680" s="1">
        <v>45605</v>
      </c>
      <c r="B680">
        <f t="shared" si="40"/>
        <v>6</v>
      </c>
      <c r="C680" t="s">
        <v>11</v>
      </c>
      <c r="D680">
        <f t="shared" si="42"/>
        <v>0</v>
      </c>
      <c r="E680">
        <f t="shared" si="43"/>
        <v>0</v>
      </c>
      <c r="F680">
        <f t="shared" si="41"/>
        <v>0</v>
      </c>
    </row>
    <row r="681" spans="1:6" x14ac:dyDescent="0.25">
      <c r="A681" s="1">
        <v>45606</v>
      </c>
      <c r="B681">
        <f t="shared" si="40"/>
        <v>7</v>
      </c>
      <c r="C681" t="s">
        <v>11</v>
      </c>
      <c r="D681">
        <f t="shared" si="42"/>
        <v>0</v>
      </c>
      <c r="E681">
        <f t="shared" si="43"/>
        <v>150</v>
      </c>
      <c r="F681">
        <f t="shared" si="41"/>
        <v>-150</v>
      </c>
    </row>
    <row r="682" spans="1:6" x14ac:dyDescent="0.25">
      <c r="A682" s="1">
        <v>45607</v>
      </c>
      <c r="B682">
        <f t="shared" si="40"/>
        <v>1</v>
      </c>
      <c r="C682" t="s">
        <v>11</v>
      </c>
      <c r="D682">
        <f t="shared" si="42"/>
        <v>120</v>
      </c>
      <c r="E682">
        <f t="shared" si="43"/>
        <v>0</v>
      </c>
      <c r="F682">
        <f t="shared" si="41"/>
        <v>120</v>
      </c>
    </row>
    <row r="683" spans="1:6" x14ac:dyDescent="0.25">
      <c r="A683" s="1">
        <v>45608</v>
      </c>
      <c r="B683">
        <f t="shared" si="40"/>
        <v>2</v>
      </c>
      <c r="C683" t="s">
        <v>11</v>
      </c>
      <c r="D683">
        <f t="shared" si="42"/>
        <v>120</v>
      </c>
      <c r="E683">
        <f t="shared" si="43"/>
        <v>0</v>
      </c>
      <c r="F683">
        <f t="shared" si="41"/>
        <v>120</v>
      </c>
    </row>
    <row r="684" spans="1:6" x14ac:dyDescent="0.25">
      <c r="A684" s="1">
        <v>45609</v>
      </c>
      <c r="B684">
        <f t="shared" si="40"/>
        <v>3</v>
      </c>
      <c r="C684" t="s">
        <v>11</v>
      </c>
      <c r="D684">
        <f t="shared" si="42"/>
        <v>120</v>
      </c>
      <c r="E684">
        <f t="shared" si="43"/>
        <v>0</v>
      </c>
      <c r="F684">
        <f t="shared" si="41"/>
        <v>120</v>
      </c>
    </row>
    <row r="685" spans="1:6" x14ac:dyDescent="0.25">
      <c r="A685" s="1">
        <v>45610</v>
      </c>
      <c r="B685">
        <f t="shared" si="40"/>
        <v>4</v>
      </c>
      <c r="C685" t="s">
        <v>11</v>
      </c>
      <c r="D685">
        <f t="shared" si="42"/>
        <v>120</v>
      </c>
      <c r="E685">
        <f t="shared" si="43"/>
        <v>0</v>
      </c>
      <c r="F685">
        <f t="shared" si="41"/>
        <v>120</v>
      </c>
    </row>
    <row r="686" spans="1:6" x14ac:dyDescent="0.25">
      <c r="A686" s="1">
        <v>45611</v>
      </c>
      <c r="B686">
        <f t="shared" si="40"/>
        <v>5</v>
      </c>
      <c r="C686" t="s">
        <v>11</v>
      </c>
      <c r="D686">
        <f t="shared" si="42"/>
        <v>120</v>
      </c>
      <c r="E686">
        <f t="shared" si="43"/>
        <v>0</v>
      </c>
      <c r="F686">
        <f t="shared" si="41"/>
        <v>120</v>
      </c>
    </row>
    <row r="687" spans="1:6" x14ac:dyDescent="0.25">
      <c r="A687" s="1">
        <v>45612</v>
      </c>
      <c r="B687">
        <f t="shared" si="40"/>
        <v>6</v>
      </c>
      <c r="C687" t="s">
        <v>11</v>
      </c>
      <c r="D687">
        <f t="shared" si="42"/>
        <v>0</v>
      </c>
      <c r="E687">
        <f t="shared" si="43"/>
        <v>0</v>
      </c>
      <c r="F687">
        <f t="shared" si="41"/>
        <v>0</v>
      </c>
    </row>
    <row r="688" spans="1:6" x14ac:dyDescent="0.25">
      <c r="A688" s="1">
        <v>45613</v>
      </c>
      <c r="B688">
        <f t="shared" si="40"/>
        <v>7</v>
      </c>
      <c r="C688" t="s">
        <v>11</v>
      </c>
      <c r="D688">
        <f t="shared" si="42"/>
        <v>0</v>
      </c>
      <c r="E688">
        <f t="shared" si="43"/>
        <v>150</v>
      </c>
      <c r="F688">
        <f t="shared" si="41"/>
        <v>-150</v>
      </c>
    </row>
    <row r="689" spans="1:6" x14ac:dyDescent="0.25">
      <c r="A689" s="1">
        <v>45614</v>
      </c>
      <c r="B689">
        <f t="shared" si="40"/>
        <v>1</v>
      </c>
      <c r="C689" t="s">
        <v>11</v>
      </c>
      <c r="D689">
        <f t="shared" si="42"/>
        <v>120</v>
      </c>
      <c r="E689">
        <f t="shared" si="43"/>
        <v>0</v>
      </c>
      <c r="F689">
        <f t="shared" si="41"/>
        <v>120</v>
      </c>
    </row>
    <row r="690" spans="1:6" x14ac:dyDescent="0.25">
      <c r="A690" s="1">
        <v>45615</v>
      </c>
      <c r="B690">
        <f t="shared" si="40"/>
        <v>2</v>
      </c>
      <c r="C690" t="s">
        <v>11</v>
      </c>
      <c r="D690">
        <f t="shared" si="42"/>
        <v>120</v>
      </c>
      <c r="E690">
        <f t="shared" si="43"/>
        <v>0</v>
      </c>
      <c r="F690">
        <f t="shared" si="41"/>
        <v>120</v>
      </c>
    </row>
    <row r="691" spans="1:6" x14ac:dyDescent="0.25">
      <c r="A691" s="1">
        <v>45616</v>
      </c>
      <c r="B691">
        <f t="shared" si="40"/>
        <v>3</v>
      </c>
      <c r="C691" t="s">
        <v>11</v>
      </c>
      <c r="D691">
        <f t="shared" si="42"/>
        <v>120</v>
      </c>
      <c r="E691">
        <f t="shared" si="43"/>
        <v>0</v>
      </c>
      <c r="F691">
        <f t="shared" si="41"/>
        <v>120</v>
      </c>
    </row>
    <row r="692" spans="1:6" x14ac:dyDescent="0.25">
      <c r="A692" s="1">
        <v>45617</v>
      </c>
      <c r="B692">
        <f t="shared" si="40"/>
        <v>4</v>
      </c>
      <c r="C692" t="s">
        <v>11</v>
      </c>
      <c r="D692">
        <f t="shared" si="42"/>
        <v>120</v>
      </c>
      <c r="E692">
        <f t="shared" si="43"/>
        <v>0</v>
      </c>
      <c r="F692">
        <f t="shared" si="41"/>
        <v>120</v>
      </c>
    </row>
    <row r="693" spans="1:6" x14ac:dyDescent="0.25">
      <c r="A693" s="1">
        <v>45618</v>
      </c>
      <c r="B693">
        <f t="shared" si="40"/>
        <v>5</v>
      </c>
      <c r="C693" t="s">
        <v>11</v>
      </c>
      <c r="D693">
        <f t="shared" si="42"/>
        <v>120</v>
      </c>
      <c r="E693">
        <f t="shared" si="43"/>
        <v>0</v>
      </c>
      <c r="F693">
        <f t="shared" si="41"/>
        <v>120</v>
      </c>
    </row>
    <row r="694" spans="1:6" x14ac:dyDescent="0.25">
      <c r="A694" s="1">
        <v>45619</v>
      </c>
      <c r="B694">
        <f t="shared" si="40"/>
        <v>6</v>
      </c>
      <c r="C694" t="s">
        <v>11</v>
      </c>
      <c r="D694">
        <f t="shared" si="42"/>
        <v>0</v>
      </c>
      <c r="E694">
        <f t="shared" si="43"/>
        <v>0</v>
      </c>
      <c r="F694">
        <f t="shared" si="41"/>
        <v>0</v>
      </c>
    </row>
    <row r="695" spans="1:6" x14ac:dyDescent="0.25">
      <c r="A695" s="1">
        <v>45620</v>
      </c>
      <c r="B695">
        <f t="shared" si="40"/>
        <v>7</v>
      </c>
      <c r="C695" t="s">
        <v>11</v>
      </c>
      <c r="D695">
        <f t="shared" si="42"/>
        <v>0</v>
      </c>
      <c r="E695">
        <f t="shared" si="43"/>
        <v>150</v>
      </c>
      <c r="F695">
        <f t="shared" si="41"/>
        <v>-150</v>
      </c>
    </row>
    <row r="696" spans="1:6" x14ac:dyDescent="0.25">
      <c r="A696" s="1">
        <v>45621</v>
      </c>
      <c r="B696">
        <f t="shared" si="40"/>
        <v>1</v>
      </c>
      <c r="C696" t="s">
        <v>11</v>
      </c>
      <c r="D696">
        <f t="shared" si="42"/>
        <v>120</v>
      </c>
      <c r="E696">
        <f t="shared" si="43"/>
        <v>0</v>
      </c>
      <c r="F696">
        <f t="shared" si="41"/>
        <v>120</v>
      </c>
    </row>
    <row r="697" spans="1:6" x14ac:dyDescent="0.25">
      <c r="A697" s="1">
        <v>45622</v>
      </c>
      <c r="B697">
        <f t="shared" si="40"/>
        <v>2</v>
      </c>
      <c r="C697" t="s">
        <v>11</v>
      </c>
      <c r="D697">
        <f t="shared" si="42"/>
        <v>120</v>
      </c>
      <c r="E697">
        <f t="shared" si="43"/>
        <v>0</v>
      </c>
      <c r="F697">
        <f t="shared" si="41"/>
        <v>120</v>
      </c>
    </row>
    <row r="698" spans="1:6" x14ac:dyDescent="0.25">
      <c r="A698" s="1">
        <v>45623</v>
      </c>
      <c r="B698">
        <f t="shared" si="40"/>
        <v>3</v>
      </c>
      <c r="C698" t="s">
        <v>11</v>
      </c>
      <c r="D698">
        <f t="shared" si="42"/>
        <v>120</v>
      </c>
      <c r="E698">
        <f t="shared" si="43"/>
        <v>0</v>
      </c>
      <c r="F698">
        <f t="shared" si="41"/>
        <v>120</v>
      </c>
    </row>
    <row r="699" spans="1:6" x14ac:dyDescent="0.25">
      <c r="A699" s="1">
        <v>45624</v>
      </c>
      <c r="B699">
        <f t="shared" si="40"/>
        <v>4</v>
      </c>
      <c r="C699" t="s">
        <v>11</v>
      </c>
      <c r="D699">
        <f t="shared" si="42"/>
        <v>120</v>
      </c>
      <c r="E699">
        <f t="shared" si="43"/>
        <v>0</v>
      </c>
      <c r="F699">
        <f t="shared" si="41"/>
        <v>120</v>
      </c>
    </row>
    <row r="700" spans="1:6" x14ac:dyDescent="0.25">
      <c r="A700" s="1">
        <v>45625</v>
      </c>
      <c r="B700">
        <f t="shared" si="40"/>
        <v>5</v>
      </c>
      <c r="C700" t="s">
        <v>11</v>
      </c>
      <c r="D700">
        <f t="shared" si="42"/>
        <v>120</v>
      </c>
      <c r="E700">
        <f t="shared" si="43"/>
        <v>0</v>
      </c>
      <c r="F700">
        <f t="shared" si="41"/>
        <v>120</v>
      </c>
    </row>
    <row r="701" spans="1:6" x14ac:dyDescent="0.25">
      <c r="A701" s="1">
        <v>45626</v>
      </c>
      <c r="B701">
        <f t="shared" si="40"/>
        <v>6</v>
      </c>
      <c r="C701" t="s">
        <v>11</v>
      </c>
      <c r="D701">
        <f t="shared" si="42"/>
        <v>0</v>
      </c>
      <c r="E701">
        <f t="shared" si="43"/>
        <v>0</v>
      </c>
      <c r="F701">
        <f t="shared" si="41"/>
        <v>0</v>
      </c>
    </row>
    <row r="702" spans="1:6" x14ac:dyDescent="0.25">
      <c r="A702" s="1">
        <v>45627</v>
      </c>
      <c r="B702">
        <f t="shared" si="40"/>
        <v>7</v>
      </c>
      <c r="C702" t="s">
        <v>11</v>
      </c>
      <c r="D702">
        <f t="shared" si="42"/>
        <v>0</v>
      </c>
      <c r="E702">
        <f t="shared" si="43"/>
        <v>150</v>
      </c>
      <c r="F702">
        <f t="shared" si="41"/>
        <v>-150</v>
      </c>
    </row>
    <row r="703" spans="1:6" x14ac:dyDescent="0.25">
      <c r="A703" s="1">
        <v>45628</v>
      </c>
      <c r="B703">
        <f t="shared" si="40"/>
        <v>1</v>
      </c>
      <c r="C703" t="s">
        <v>11</v>
      </c>
      <c r="D703">
        <f t="shared" si="42"/>
        <v>120</v>
      </c>
      <c r="E703">
        <f t="shared" si="43"/>
        <v>0</v>
      </c>
      <c r="F703">
        <f t="shared" si="41"/>
        <v>120</v>
      </c>
    </row>
    <row r="704" spans="1:6" x14ac:dyDescent="0.25">
      <c r="A704" s="1">
        <v>45629</v>
      </c>
      <c r="B704">
        <f t="shared" si="40"/>
        <v>2</v>
      </c>
      <c r="C704" t="s">
        <v>11</v>
      </c>
      <c r="D704">
        <f t="shared" si="42"/>
        <v>120</v>
      </c>
      <c r="E704">
        <f t="shared" si="43"/>
        <v>0</v>
      </c>
      <c r="F704">
        <f t="shared" si="41"/>
        <v>120</v>
      </c>
    </row>
    <row r="705" spans="1:6" x14ac:dyDescent="0.25">
      <c r="A705" s="1">
        <v>45630</v>
      </c>
      <c r="B705">
        <f t="shared" si="40"/>
        <v>3</v>
      </c>
      <c r="C705" t="s">
        <v>11</v>
      </c>
      <c r="D705">
        <f t="shared" si="42"/>
        <v>120</v>
      </c>
      <c r="E705">
        <f t="shared" si="43"/>
        <v>0</v>
      </c>
      <c r="F705">
        <f t="shared" si="41"/>
        <v>120</v>
      </c>
    </row>
    <row r="706" spans="1:6" x14ac:dyDescent="0.25">
      <c r="A706" s="1">
        <v>45631</v>
      </c>
      <c r="B706">
        <f t="shared" si="40"/>
        <v>4</v>
      </c>
      <c r="C706" t="s">
        <v>11</v>
      </c>
      <c r="D706">
        <f t="shared" si="42"/>
        <v>120</v>
      </c>
      <c r="E706">
        <f t="shared" si="43"/>
        <v>0</v>
      </c>
      <c r="F706">
        <f t="shared" si="41"/>
        <v>120</v>
      </c>
    </row>
    <row r="707" spans="1:6" x14ac:dyDescent="0.25">
      <c r="A707" s="1">
        <v>45632</v>
      </c>
      <c r="B707">
        <f t="shared" ref="B707:B732" si="44">WEEKDAY(A707,2)</f>
        <v>5</v>
      </c>
      <c r="C707" t="s">
        <v>11</v>
      </c>
      <c r="D707">
        <f t="shared" si="42"/>
        <v>120</v>
      </c>
      <c r="E707">
        <f t="shared" si="43"/>
        <v>0</v>
      </c>
      <c r="F707">
        <f t="shared" ref="F707:F732" si="45">D707-E707</f>
        <v>120</v>
      </c>
    </row>
    <row r="708" spans="1:6" x14ac:dyDescent="0.25">
      <c r="A708" s="1">
        <v>45633</v>
      </c>
      <c r="B708">
        <f t="shared" si="44"/>
        <v>6</v>
      </c>
      <c r="C708" t="s">
        <v>11</v>
      </c>
      <c r="D708">
        <f t="shared" ref="D708:D732" si="46">IF(B708&lt;6,$Q$1*VLOOKUP(C708,$S$1:$T$5,2,FALSE)*$Q$3,0)</f>
        <v>0</v>
      </c>
      <c r="E708">
        <f t="shared" ref="E708:E732" si="47">IF(B708=7,$Q$4*$Q$1,0)</f>
        <v>0</v>
      </c>
      <c r="F708">
        <f t="shared" si="45"/>
        <v>0</v>
      </c>
    </row>
    <row r="709" spans="1:6" x14ac:dyDescent="0.25">
      <c r="A709" s="1">
        <v>45634</v>
      </c>
      <c r="B709">
        <f t="shared" si="44"/>
        <v>7</v>
      </c>
      <c r="C709" t="s">
        <v>11</v>
      </c>
      <c r="D709">
        <f t="shared" si="46"/>
        <v>0</v>
      </c>
      <c r="E709">
        <f t="shared" si="47"/>
        <v>150</v>
      </c>
      <c r="F709">
        <f t="shared" si="45"/>
        <v>-150</v>
      </c>
    </row>
    <row r="710" spans="1:6" x14ac:dyDescent="0.25">
      <c r="A710" s="1">
        <v>45635</v>
      </c>
      <c r="B710">
        <f t="shared" si="44"/>
        <v>1</v>
      </c>
      <c r="C710" t="s">
        <v>11</v>
      </c>
      <c r="D710">
        <f t="shared" si="46"/>
        <v>120</v>
      </c>
      <c r="E710">
        <f t="shared" si="47"/>
        <v>0</v>
      </c>
      <c r="F710">
        <f t="shared" si="45"/>
        <v>120</v>
      </c>
    </row>
    <row r="711" spans="1:6" x14ac:dyDescent="0.25">
      <c r="A711" s="1">
        <v>45636</v>
      </c>
      <c r="B711">
        <f t="shared" si="44"/>
        <v>2</v>
      </c>
      <c r="C711" t="s">
        <v>11</v>
      </c>
      <c r="D711">
        <f t="shared" si="46"/>
        <v>120</v>
      </c>
      <c r="E711">
        <f t="shared" si="47"/>
        <v>0</v>
      </c>
      <c r="F711">
        <f t="shared" si="45"/>
        <v>120</v>
      </c>
    </row>
    <row r="712" spans="1:6" x14ac:dyDescent="0.25">
      <c r="A712" s="1">
        <v>45637</v>
      </c>
      <c r="B712">
        <f t="shared" si="44"/>
        <v>3</v>
      </c>
      <c r="C712" t="s">
        <v>11</v>
      </c>
      <c r="D712">
        <f t="shared" si="46"/>
        <v>120</v>
      </c>
      <c r="E712">
        <f t="shared" si="47"/>
        <v>0</v>
      </c>
      <c r="F712">
        <f t="shared" si="45"/>
        <v>120</v>
      </c>
    </row>
    <row r="713" spans="1:6" x14ac:dyDescent="0.25">
      <c r="A713" s="1">
        <v>45638</v>
      </c>
      <c r="B713">
        <f t="shared" si="44"/>
        <v>4</v>
      </c>
      <c r="C713" t="s">
        <v>11</v>
      </c>
      <c r="D713">
        <f t="shared" si="46"/>
        <v>120</v>
      </c>
      <c r="E713">
        <f t="shared" si="47"/>
        <v>0</v>
      </c>
      <c r="F713">
        <f t="shared" si="45"/>
        <v>120</v>
      </c>
    </row>
    <row r="714" spans="1:6" x14ac:dyDescent="0.25">
      <c r="A714" s="1">
        <v>45639</v>
      </c>
      <c r="B714">
        <f t="shared" si="44"/>
        <v>5</v>
      </c>
      <c r="C714" t="s">
        <v>11</v>
      </c>
      <c r="D714">
        <f t="shared" si="46"/>
        <v>120</v>
      </c>
      <c r="E714">
        <f t="shared" si="47"/>
        <v>0</v>
      </c>
      <c r="F714">
        <f t="shared" si="45"/>
        <v>120</v>
      </c>
    </row>
    <row r="715" spans="1:6" x14ac:dyDescent="0.25">
      <c r="A715" s="1">
        <v>45640</v>
      </c>
      <c r="B715">
        <f t="shared" si="44"/>
        <v>6</v>
      </c>
      <c r="C715" t="s">
        <v>11</v>
      </c>
      <c r="D715">
        <f t="shared" si="46"/>
        <v>0</v>
      </c>
      <c r="E715">
        <f t="shared" si="47"/>
        <v>0</v>
      </c>
      <c r="F715">
        <f t="shared" si="45"/>
        <v>0</v>
      </c>
    </row>
    <row r="716" spans="1:6" x14ac:dyDescent="0.25">
      <c r="A716" s="1">
        <v>45641</v>
      </c>
      <c r="B716">
        <f t="shared" si="44"/>
        <v>7</v>
      </c>
      <c r="C716" t="s">
        <v>11</v>
      </c>
      <c r="D716">
        <f t="shared" si="46"/>
        <v>0</v>
      </c>
      <c r="E716">
        <f t="shared" si="47"/>
        <v>150</v>
      </c>
      <c r="F716">
        <f t="shared" si="45"/>
        <v>-150</v>
      </c>
    </row>
    <row r="717" spans="1:6" x14ac:dyDescent="0.25">
      <c r="A717" s="1">
        <v>45642</v>
      </c>
      <c r="B717">
        <f t="shared" si="44"/>
        <v>1</v>
      </c>
      <c r="C717" t="s">
        <v>11</v>
      </c>
      <c r="D717">
        <f t="shared" si="46"/>
        <v>120</v>
      </c>
      <c r="E717">
        <f t="shared" si="47"/>
        <v>0</v>
      </c>
      <c r="F717">
        <f t="shared" si="45"/>
        <v>120</v>
      </c>
    </row>
    <row r="718" spans="1:6" x14ac:dyDescent="0.25">
      <c r="A718" s="1">
        <v>45643</v>
      </c>
      <c r="B718">
        <f t="shared" si="44"/>
        <v>2</v>
      </c>
      <c r="C718" t="s">
        <v>11</v>
      </c>
      <c r="D718">
        <f t="shared" si="46"/>
        <v>120</v>
      </c>
      <c r="E718">
        <f t="shared" si="47"/>
        <v>0</v>
      </c>
      <c r="F718">
        <f t="shared" si="45"/>
        <v>120</v>
      </c>
    </row>
    <row r="719" spans="1:6" x14ac:dyDescent="0.25">
      <c r="A719" s="1">
        <v>45644</v>
      </c>
      <c r="B719">
        <f t="shared" si="44"/>
        <v>3</v>
      </c>
      <c r="C719" t="s">
        <v>11</v>
      </c>
      <c r="D719">
        <f t="shared" si="46"/>
        <v>120</v>
      </c>
      <c r="E719">
        <f t="shared" si="47"/>
        <v>0</v>
      </c>
      <c r="F719">
        <f t="shared" si="45"/>
        <v>120</v>
      </c>
    </row>
    <row r="720" spans="1:6" x14ac:dyDescent="0.25">
      <c r="A720" s="1">
        <v>45645</v>
      </c>
      <c r="B720">
        <f t="shared" si="44"/>
        <v>4</v>
      </c>
      <c r="C720" t="s">
        <v>11</v>
      </c>
      <c r="D720">
        <f t="shared" si="46"/>
        <v>120</v>
      </c>
      <c r="E720">
        <f t="shared" si="47"/>
        <v>0</v>
      </c>
      <c r="F720">
        <f t="shared" si="45"/>
        <v>120</v>
      </c>
    </row>
    <row r="721" spans="1:6" x14ac:dyDescent="0.25">
      <c r="A721" s="1">
        <v>45646</v>
      </c>
      <c r="B721">
        <f t="shared" si="44"/>
        <v>5</v>
      </c>
      <c r="C721" t="s">
        <v>11</v>
      </c>
      <c r="D721">
        <f t="shared" si="46"/>
        <v>120</v>
      </c>
      <c r="E721">
        <f t="shared" si="47"/>
        <v>0</v>
      </c>
      <c r="F721">
        <f t="shared" si="45"/>
        <v>120</v>
      </c>
    </row>
    <row r="722" spans="1:6" x14ac:dyDescent="0.25">
      <c r="A722" s="1">
        <v>45647</v>
      </c>
      <c r="B722">
        <f t="shared" si="44"/>
        <v>6</v>
      </c>
      <c r="C722" t="s">
        <v>8</v>
      </c>
      <c r="D722">
        <f t="shared" si="46"/>
        <v>0</v>
      </c>
      <c r="E722">
        <f t="shared" si="47"/>
        <v>0</v>
      </c>
      <c r="F722">
        <f t="shared" si="45"/>
        <v>0</v>
      </c>
    </row>
    <row r="723" spans="1:6" x14ac:dyDescent="0.25">
      <c r="A723" s="1">
        <v>45648</v>
      </c>
      <c r="B723">
        <f t="shared" si="44"/>
        <v>7</v>
      </c>
      <c r="C723" t="s">
        <v>8</v>
      </c>
      <c r="D723">
        <f t="shared" si="46"/>
        <v>0</v>
      </c>
      <c r="E723">
        <f t="shared" si="47"/>
        <v>150</v>
      </c>
      <c r="F723">
        <f t="shared" si="45"/>
        <v>-150</v>
      </c>
    </row>
    <row r="724" spans="1:6" x14ac:dyDescent="0.25">
      <c r="A724" s="1">
        <v>45649</v>
      </c>
      <c r="B724">
        <f t="shared" si="44"/>
        <v>1</v>
      </c>
      <c r="C724" t="s">
        <v>8</v>
      </c>
      <c r="D724">
        <f t="shared" si="46"/>
        <v>60</v>
      </c>
      <c r="E724">
        <f t="shared" si="47"/>
        <v>0</v>
      </c>
      <c r="F724">
        <f t="shared" si="45"/>
        <v>60</v>
      </c>
    </row>
    <row r="725" spans="1:6" x14ac:dyDescent="0.25">
      <c r="A725" s="1">
        <v>45650</v>
      </c>
      <c r="B725">
        <f t="shared" si="44"/>
        <v>2</v>
      </c>
      <c r="C725" t="s">
        <v>8</v>
      </c>
      <c r="D725">
        <f t="shared" si="46"/>
        <v>60</v>
      </c>
      <c r="E725">
        <f t="shared" si="47"/>
        <v>0</v>
      </c>
      <c r="F725">
        <f t="shared" si="45"/>
        <v>60</v>
      </c>
    </row>
    <row r="726" spans="1:6" x14ac:dyDescent="0.25">
      <c r="A726" s="1">
        <v>45651</v>
      </c>
      <c r="B726">
        <f t="shared" si="44"/>
        <v>3</v>
      </c>
      <c r="C726" t="s">
        <v>8</v>
      </c>
      <c r="D726">
        <f t="shared" si="46"/>
        <v>60</v>
      </c>
      <c r="E726">
        <f t="shared" si="47"/>
        <v>0</v>
      </c>
      <c r="F726">
        <f t="shared" si="45"/>
        <v>60</v>
      </c>
    </row>
    <row r="727" spans="1:6" x14ac:dyDescent="0.25">
      <c r="A727" s="1">
        <v>45652</v>
      </c>
      <c r="B727">
        <f t="shared" si="44"/>
        <v>4</v>
      </c>
      <c r="C727" t="s">
        <v>8</v>
      </c>
      <c r="D727">
        <f t="shared" si="46"/>
        <v>60</v>
      </c>
      <c r="E727">
        <f t="shared" si="47"/>
        <v>0</v>
      </c>
      <c r="F727">
        <f t="shared" si="45"/>
        <v>60</v>
      </c>
    </row>
    <row r="728" spans="1:6" x14ac:dyDescent="0.25">
      <c r="A728" s="1">
        <v>45653</v>
      </c>
      <c r="B728">
        <f t="shared" si="44"/>
        <v>5</v>
      </c>
      <c r="C728" t="s">
        <v>8</v>
      </c>
      <c r="D728">
        <f t="shared" si="46"/>
        <v>60</v>
      </c>
      <c r="E728">
        <f t="shared" si="47"/>
        <v>0</v>
      </c>
      <c r="F728">
        <f t="shared" si="45"/>
        <v>60</v>
      </c>
    </row>
    <row r="729" spans="1:6" x14ac:dyDescent="0.25">
      <c r="A729" s="1">
        <v>45654</v>
      </c>
      <c r="B729">
        <f t="shared" si="44"/>
        <v>6</v>
      </c>
      <c r="C729" t="s">
        <v>8</v>
      </c>
      <c r="D729">
        <f t="shared" si="46"/>
        <v>0</v>
      </c>
      <c r="E729">
        <f t="shared" si="47"/>
        <v>0</v>
      </c>
      <c r="F729">
        <f t="shared" si="45"/>
        <v>0</v>
      </c>
    </row>
    <row r="730" spans="1:6" x14ac:dyDescent="0.25">
      <c r="A730" s="1">
        <v>45655</v>
      </c>
      <c r="B730">
        <f t="shared" si="44"/>
        <v>7</v>
      </c>
      <c r="C730" t="s">
        <v>8</v>
      </c>
      <c r="D730">
        <f t="shared" si="46"/>
        <v>0</v>
      </c>
      <c r="E730">
        <f t="shared" si="47"/>
        <v>150</v>
      </c>
      <c r="F730">
        <f t="shared" si="45"/>
        <v>-150</v>
      </c>
    </row>
    <row r="731" spans="1:6" x14ac:dyDescent="0.25">
      <c r="A731" s="1">
        <v>45656</v>
      </c>
      <c r="B731">
        <f t="shared" si="44"/>
        <v>1</v>
      </c>
      <c r="C731" t="s">
        <v>8</v>
      </c>
      <c r="D731">
        <f t="shared" si="46"/>
        <v>60</v>
      </c>
      <c r="E731">
        <f t="shared" si="47"/>
        <v>0</v>
      </c>
      <c r="F731">
        <f t="shared" si="45"/>
        <v>60</v>
      </c>
    </row>
    <row r="732" spans="1:6" x14ac:dyDescent="0.25">
      <c r="A732" s="1">
        <v>45657</v>
      </c>
      <c r="B732">
        <f t="shared" si="44"/>
        <v>2</v>
      </c>
      <c r="C732" t="s">
        <v>8</v>
      </c>
      <c r="D732">
        <f t="shared" si="46"/>
        <v>60</v>
      </c>
      <c r="E732">
        <f t="shared" si="47"/>
        <v>0</v>
      </c>
      <c r="F732">
        <f t="shared" si="45"/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2025-11-04T16:41:22Z</dcterms:modified>
</cp:coreProperties>
</file>