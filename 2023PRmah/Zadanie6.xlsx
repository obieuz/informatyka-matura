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3PRmah\"/>
    </mc:Choice>
  </mc:AlternateContent>
  <xr:revisionPtr revIDLastSave="0" documentId="13_ncr:1_{E4B3C76A-5BED-499F-88D8-98A31BD68B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3" r:id="rId1"/>
    <sheet name="2" sheetId="4" r:id="rId2"/>
    <sheet name="4" sheetId="6" r:id="rId3"/>
    <sheet name="3" sheetId="5" r:id="rId4"/>
    <sheet name="dane" sheetId="2" r:id="rId5"/>
  </sheets>
  <definedNames>
    <definedName name="ExternalData_1" localSheetId="0" hidden="1">'1'!$A$1:$D$154</definedName>
    <definedName name="ExternalData_1" localSheetId="1" hidden="1">'2'!$A$1:$D$154</definedName>
    <definedName name="ExternalData_1" localSheetId="3" hidden="1">'3'!$A$1:$D$154</definedName>
    <definedName name="ExternalData_1" localSheetId="4" hidden="1">dane!$A$1:$D$154</definedName>
  </definedNames>
  <calcPr calcId="191029"/>
  <pivotCaches>
    <pivotCache cacheId="3" r:id="rId6"/>
    <pivotCache cacheId="22" r:id="rId7"/>
    <pivotCache cacheId="2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 a="1"/>
  <c r="H2" i="5" s="1"/>
  <c r="L2" i="5" s="1"/>
  <c r="E3" i="5" s="1"/>
  <c r="I2" i="5" a="1"/>
  <c r="I2" i="5" s="1"/>
  <c r="K2" i="5"/>
  <c r="H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Q13" i="6"/>
  <c r="Q12" i="6"/>
  <c r="Q11" i="6"/>
  <c r="Q12" i="5"/>
  <c r="Q11" i="5"/>
  <c r="Q10" i="5"/>
  <c r="N2" i="5" l="1"/>
  <c r="G3" i="5" s="1"/>
  <c r="M2" i="5"/>
  <c r="F3" i="5" s="1"/>
  <c r="K3" i="5" s="1"/>
  <c r="J2" i="5"/>
  <c r="H3" i="5" l="1" a="1"/>
  <c r="H3" i="5" s="1"/>
  <c r="M3" i="5" s="1"/>
  <c r="F4" i="5" s="1"/>
  <c r="I3" i="5" a="1"/>
  <c r="I3" i="5" s="1"/>
  <c r="N3" i="5" l="1"/>
  <c r="G4" i="5" s="1"/>
  <c r="L3" i="5"/>
  <c r="E4" i="5" s="1"/>
  <c r="K4" i="5" s="1"/>
  <c r="J3" i="5"/>
  <c r="H4" i="5" a="1"/>
  <c r="H4" i="5" s="1"/>
  <c r="I4" i="5" a="1"/>
  <c r="I4" i="5" s="1"/>
  <c r="J4" i="5" l="1"/>
  <c r="L4" i="5"/>
  <c r="E5" i="5" s="1"/>
  <c r="N4" i="5"/>
  <c r="G5" i="5" s="1"/>
  <c r="M4" i="5"/>
  <c r="F5" i="5" s="1"/>
  <c r="K5" i="5" l="1"/>
  <c r="H5" i="5" a="1"/>
  <c r="H5" i="5" s="1"/>
  <c r="I5" i="5" a="1"/>
  <c r="I5" i="5" s="1"/>
  <c r="J5" i="5" l="1"/>
  <c r="L5" i="5"/>
  <c r="E6" i="5" s="1"/>
  <c r="N5" i="5"/>
  <c r="G6" i="5" s="1"/>
  <c r="M5" i="5"/>
  <c r="F6" i="5" s="1"/>
  <c r="K6" i="5" l="1"/>
  <c r="H6" i="5" a="1"/>
  <c r="H6" i="5" s="1"/>
  <c r="I6" i="5" a="1"/>
  <c r="I6" i="5" s="1"/>
  <c r="J6" i="5" l="1"/>
  <c r="M6" i="5"/>
  <c r="F7" i="5" s="1"/>
  <c r="L6" i="5"/>
  <c r="E7" i="5" s="1"/>
  <c r="K7" i="5" s="1"/>
  <c r="N6" i="5"/>
  <c r="G7" i="5" s="1"/>
  <c r="I7" i="5" l="1" a="1"/>
  <c r="I7" i="5" s="1"/>
  <c r="H7" i="5" a="1"/>
  <c r="H7" i="5" s="1"/>
  <c r="J7" i="5" l="1"/>
  <c r="M7" i="5"/>
  <c r="F8" i="5" s="1"/>
  <c r="L7" i="5"/>
  <c r="E8" i="5" s="1"/>
  <c r="K8" i="5" s="1"/>
  <c r="N7" i="5"/>
  <c r="G8" i="5" s="1"/>
  <c r="H8" i="5" l="1" a="1"/>
  <c r="H8" i="5" s="1"/>
  <c r="I8" i="5" a="1"/>
  <c r="I8" i="5" s="1"/>
  <c r="J8" i="5" l="1"/>
  <c r="M8" i="5"/>
  <c r="F9" i="5" s="1"/>
  <c r="L8" i="5"/>
  <c r="E9" i="5" s="1"/>
  <c r="K9" i="5" s="1"/>
  <c r="N8" i="5"/>
  <c r="G9" i="5" s="1"/>
  <c r="I9" i="5" l="1" a="1"/>
  <c r="I9" i="5" s="1"/>
  <c r="H9" i="5" a="1"/>
  <c r="H9" i="5" s="1"/>
  <c r="L9" i="5" l="1"/>
  <c r="E10" i="5" s="1"/>
  <c r="K10" i="5" s="1"/>
  <c r="J9" i="5"/>
  <c r="M9" i="5"/>
  <c r="F10" i="5" s="1"/>
  <c r="N9" i="5"/>
  <c r="G10" i="5" s="1"/>
  <c r="H10" i="5" l="1" a="1"/>
  <c r="H10" i="5" s="1"/>
  <c r="I10" i="5" a="1"/>
  <c r="I10" i="5" s="1"/>
  <c r="N10" i="5" l="1"/>
  <c r="G11" i="5" s="1"/>
  <c r="M10" i="5"/>
  <c r="F11" i="5" s="1"/>
  <c r="L10" i="5"/>
  <c r="E11" i="5" s="1"/>
  <c r="K11" i="5" s="1"/>
  <c r="J10" i="5"/>
  <c r="H11" i="5" l="1" a="1"/>
  <c r="H11" i="5" s="1"/>
  <c r="I11" i="5" a="1"/>
  <c r="I11" i="5" s="1"/>
  <c r="J11" i="5" l="1"/>
  <c r="N11" i="5"/>
  <c r="G12" i="5" s="1"/>
  <c r="M11" i="5"/>
  <c r="F12" i="5" s="1"/>
  <c r="L11" i="5"/>
  <c r="E12" i="5" s="1"/>
  <c r="K12" i="5" s="1"/>
  <c r="H12" i="5" l="1" a="1"/>
  <c r="H12" i="5" s="1"/>
  <c r="I12" i="5" a="1"/>
  <c r="I12" i="5" s="1"/>
  <c r="M12" i="5" l="1"/>
  <c r="F13" i="5" s="1"/>
  <c r="J12" i="5"/>
  <c r="N12" i="5"/>
  <c r="G13" i="5" s="1"/>
  <c r="L12" i="5"/>
  <c r="E13" i="5" s="1"/>
  <c r="K13" i="5" l="1"/>
  <c r="H13" i="5" a="1"/>
  <c r="H13" i="5" s="1"/>
  <c r="I13" i="5" a="1"/>
  <c r="I13" i="5" s="1"/>
  <c r="J13" i="5" l="1"/>
  <c r="N13" i="5"/>
  <c r="G14" i="5" s="1"/>
  <c r="M13" i="5"/>
  <c r="F14" i="5" s="1"/>
  <c r="L13" i="5"/>
  <c r="E14" i="5" l="1"/>
  <c r="H14" i="5" l="1" a="1"/>
  <c r="H14" i="5" s="1"/>
  <c r="K14" i="5"/>
  <c r="I14" i="5" a="1"/>
  <c r="I14" i="5" s="1"/>
  <c r="J14" i="5" s="1"/>
  <c r="N14" i="5" l="1"/>
  <c r="G15" i="5" s="1"/>
  <c r="L14" i="5"/>
  <c r="E15" i="5" s="1"/>
  <c r="M14" i="5"/>
  <c r="F15" i="5" s="1"/>
  <c r="I15" i="5" l="1" a="1"/>
  <c r="I15" i="5" s="1"/>
  <c r="K15" i="5"/>
  <c r="H15" i="5" a="1"/>
  <c r="H15" i="5" s="1"/>
  <c r="L15" i="5" l="1"/>
  <c r="E16" i="5" s="1"/>
  <c r="J15" i="5"/>
  <c r="M15" i="5"/>
  <c r="F16" i="5" s="1"/>
  <c r="N15" i="5"/>
  <c r="G16" i="5" s="1"/>
  <c r="I16" i="5" s="1" a="1"/>
  <c r="I16" i="5" s="1"/>
  <c r="K16" i="5" l="1"/>
  <c r="H16" i="5" a="1"/>
  <c r="H16" i="5" s="1"/>
  <c r="L16" i="5" s="1"/>
  <c r="J16" i="5" l="1"/>
  <c r="M16" i="5"/>
  <c r="F17" i="5" s="1"/>
  <c r="N16" i="5"/>
  <c r="G17" i="5" s="1"/>
  <c r="I17" i="5" s="1" a="1"/>
  <c r="I17" i="5" s="1"/>
  <c r="E17" i="5"/>
  <c r="K17" i="5" l="1"/>
  <c r="H17" i="5" a="1"/>
  <c r="H17" i="5" s="1"/>
  <c r="J17" i="5" s="1"/>
  <c r="L17" i="5" l="1"/>
  <c r="M17" i="5"/>
  <c r="F18" i="5" s="1"/>
  <c r="N17" i="5"/>
  <c r="G18" i="5" s="1"/>
  <c r="E18" i="5" l="1"/>
  <c r="H18" i="5" l="1" a="1"/>
  <c r="H18" i="5" s="1"/>
  <c r="K18" i="5"/>
  <c r="I18" i="5" a="1"/>
  <c r="I18" i="5" s="1"/>
  <c r="J18" i="5" s="1"/>
  <c r="M18" i="5" l="1"/>
  <c r="F19" i="5" s="1"/>
  <c r="L18" i="5"/>
  <c r="E19" i="5" s="1"/>
  <c r="N18" i="5"/>
  <c r="G19" i="5" s="1"/>
  <c r="K19" i="5" l="1"/>
  <c r="H19" i="5" a="1"/>
  <c r="H19" i="5" s="1"/>
  <c r="I19" i="5" a="1"/>
  <c r="I19" i="5" s="1"/>
  <c r="J19" i="5" l="1"/>
  <c r="M19" i="5"/>
  <c r="F20" i="5" s="1"/>
  <c r="L19" i="5"/>
  <c r="E20" i="5" s="1"/>
  <c r="N19" i="5"/>
  <c r="G20" i="5" s="1"/>
  <c r="K20" i="5" l="1"/>
  <c r="H20" i="5" a="1"/>
  <c r="H20" i="5" s="1"/>
  <c r="I20" i="5" a="1"/>
  <c r="I20" i="5" s="1"/>
  <c r="M20" i="5" l="1"/>
  <c r="F21" i="5" s="1"/>
  <c r="N20" i="5"/>
  <c r="G21" i="5" s="1"/>
  <c r="L20" i="5"/>
  <c r="E21" i="5" s="1"/>
  <c r="J20" i="5"/>
  <c r="K21" i="5" l="1"/>
  <c r="H21" i="5" a="1"/>
  <c r="H21" i="5" s="1"/>
  <c r="I21" i="5" a="1"/>
  <c r="I21" i="5" s="1"/>
  <c r="M21" i="5" l="1"/>
  <c r="F22" i="5" s="1"/>
  <c r="N21" i="5"/>
  <c r="G22" i="5" s="1"/>
  <c r="J21" i="5"/>
  <c r="L21" i="5"/>
  <c r="E22" i="5" s="1"/>
  <c r="K22" i="5" l="1"/>
  <c r="I22" i="5" a="1"/>
  <c r="I22" i="5" s="1"/>
  <c r="H22" i="5" a="1"/>
  <c r="H22" i="5" s="1"/>
  <c r="N22" i="5" l="1"/>
  <c r="G23" i="5" s="1"/>
  <c r="M22" i="5"/>
  <c r="F23" i="5" s="1"/>
  <c r="L22" i="5"/>
  <c r="E23" i="5" s="1"/>
  <c r="K23" i="5" s="1"/>
  <c r="J22" i="5"/>
  <c r="H23" i="5" l="1" a="1"/>
  <c r="H23" i="5" s="1"/>
  <c r="I23" i="5" a="1"/>
  <c r="I23" i="5" s="1"/>
  <c r="N23" i="5" l="1"/>
  <c r="G24" i="5" s="1"/>
  <c r="J23" i="5"/>
  <c r="M23" i="5"/>
  <c r="F24" i="5" s="1"/>
  <c r="L23" i="5"/>
  <c r="E24" i="5" l="1"/>
  <c r="K24" i="5" s="1"/>
  <c r="H24" i="5" l="1" a="1"/>
  <c r="H24" i="5" s="1"/>
  <c r="I24" i="5" a="1"/>
  <c r="I24" i="5" s="1"/>
  <c r="N24" i="5" l="1"/>
  <c r="G25" i="5" s="1"/>
  <c r="J24" i="5"/>
  <c r="M24" i="5"/>
  <c r="F25" i="5" s="1"/>
  <c r="L24" i="5"/>
  <c r="E25" i="5" s="1"/>
  <c r="K25" i="5" l="1"/>
  <c r="I25" i="5" a="1"/>
  <c r="I25" i="5" s="1"/>
  <c r="H25" i="5" a="1"/>
  <c r="H25" i="5" s="1"/>
  <c r="N25" i="5" l="1"/>
  <c r="G26" i="5" s="1"/>
  <c r="M25" i="5"/>
  <c r="F26" i="5" s="1"/>
  <c r="J25" i="5"/>
  <c r="L25" i="5"/>
  <c r="E26" i="5" l="1"/>
  <c r="K26" i="5" s="1"/>
  <c r="H26" i="5" a="1"/>
  <c r="H26" i="5" s="1"/>
  <c r="I26" i="5" a="1"/>
  <c r="I26" i="5" s="1"/>
  <c r="N26" i="5" l="1"/>
  <c r="G27" i="5" s="1"/>
  <c r="J26" i="5"/>
  <c r="L26" i="5"/>
  <c r="E27" i="5" s="1"/>
  <c r="M26" i="5"/>
  <c r="F27" i="5" s="1"/>
  <c r="K27" i="5" l="1"/>
  <c r="I27" i="5" a="1"/>
  <c r="I27" i="5" s="1"/>
  <c r="H27" i="5" a="1"/>
  <c r="H27" i="5" s="1"/>
  <c r="N27" i="5" l="1"/>
  <c r="G28" i="5" s="1"/>
  <c r="L27" i="5"/>
  <c r="E28" i="5" s="1"/>
  <c r="K28" i="5" s="1"/>
  <c r="J27" i="5"/>
  <c r="M27" i="5"/>
  <c r="F28" i="5" s="1"/>
  <c r="I28" i="5" l="1" a="1"/>
  <c r="I28" i="5" s="1"/>
  <c r="H28" i="5" a="1"/>
  <c r="H28" i="5" s="1"/>
  <c r="J28" i="5" l="1"/>
  <c r="L28" i="5"/>
  <c r="E29" i="5" s="1"/>
  <c r="N28" i="5"/>
  <c r="G29" i="5" s="1"/>
  <c r="M28" i="5"/>
  <c r="F29" i="5" s="1"/>
  <c r="K29" i="5" l="1"/>
  <c r="I29" i="5" a="1"/>
  <c r="I29" i="5" s="1"/>
  <c r="H29" i="5" a="1"/>
  <c r="H29" i="5" s="1"/>
  <c r="L29" i="5" l="1"/>
  <c r="E30" i="5" s="1"/>
  <c r="N29" i="5"/>
  <c r="G30" i="5" s="1"/>
  <c r="M29" i="5"/>
  <c r="F30" i="5" s="1"/>
  <c r="J29" i="5"/>
  <c r="K30" i="5" l="1"/>
  <c r="I30" i="5" a="1"/>
  <c r="I30" i="5" s="1"/>
  <c r="H30" i="5" a="1"/>
  <c r="H30" i="5" s="1"/>
  <c r="J30" i="5" l="1"/>
  <c r="L30" i="5"/>
  <c r="E31" i="5" s="1"/>
  <c r="N30" i="5"/>
  <c r="G31" i="5" s="1"/>
  <c r="M30" i="5"/>
  <c r="F31" i="5" s="1"/>
  <c r="K31" i="5" l="1"/>
  <c r="I31" i="5" a="1"/>
  <c r="I31" i="5" s="1"/>
  <c r="H31" i="5" a="1"/>
  <c r="H31" i="5" s="1"/>
  <c r="J31" i="5" l="1"/>
  <c r="M31" i="5"/>
  <c r="F32" i="5" s="1"/>
  <c r="L31" i="5"/>
  <c r="E32" i="5" s="1"/>
  <c r="N31" i="5"/>
  <c r="G32" i="5" s="1"/>
  <c r="K32" i="5" l="1"/>
  <c r="H32" i="5" a="1"/>
  <c r="H32" i="5" s="1"/>
  <c r="I32" i="5" a="1"/>
  <c r="I32" i="5" s="1"/>
  <c r="J32" i="5" l="1"/>
  <c r="M32" i="5"/>
  <c r="F33" i="5" s="1"/>
  <c r="L32" i="5"/>
  <c r="E33" i="5" s="1"/>
  <c r="N32" i="5"/>
  <c r="G33" i="5" s="1"/>
  <c r="K33" i="5" l="1"/>
  <c r="H33" i="5" a="1"/>
  <c r="H33" i="5" s="1"/>
  <c r="I33" i="5" a="1"/>
  <c r="I33" i="5" s="1"/>
  <c r="L33" i="5" l="1"/>
  <c r="J33" i="5"/>
  <c r="N33" i="5"/>
  <c r="G34" i="5" s="1"/>
  <c r="M33" i="5"/>
  <c r="F34" i="5" s="1"/>
  <c r="E34" i="5" l="1"/>
  <c r="H34" i="5" l="1" a="1"/>
  <c r="H34" i="5" s="1"/>
  <c r="N34" i="5" s="1"/>
  <c r="G35" i="5" s="1"/>
  <c r="K34" i="5"/>
  <c r="I34" i="5" a="1"/>
  <c r="I34" i="5" s="1"/>
  <c r="L34" i="5"/>
  <c r="J34" i="5" l="1"/>
  <c r="E35" i="5"/>
  <c r="K35" i="5" s="1"/>
  <c r="M34" i="5"/>
  <c r="F35" i="5" s="1"/>
  <c r="H35" i="5" s="1" a="1"/>
  <c r="H35" i="5" s="1"/>
  <c r="I35" i="5" l="1" a="1"/>
  <c r="I35" i="5" s="1"/>
  <c r="J35" i="5" s="1"/>
  <c r="N35" i="5" l="1"/>
  <c r="G36" i="5" s="1"/>
  <c r="L35" i="5"/>
  <c r="E36" i="5" s="1"/>
  <c r="K36" i="5" s="1"/>
  <c r="M35" i="5"/>
  <c r="F36" i="5" s="1"/>
  <c r="I36" i="5" l="1" a="1"/>
  <c r="I36" i="5" s="1"/>
  <c r="H36" i="5" a="1"/>
  <c r="H36" i="5" s="1"/>
  <c r="J36" i="5" l="1"/>
  <c r="N36" i="5"/>
  <c r="G37" i="5" s="1"/>
  <c r="M36" i="5"/>
  <c r="F37" i="5" s="1"/>
  <c r="L36" i="5"/>
  <c r="E37" i="5" s="1"/>
  <c r="K37" i="5" l="1"/>
  <c r="H37" i="5" a="1"/>
  <c r="H37" i="5" s="1"/>
  <c r="I37" i="5" a="1"/>
  <c r="I37" i="5" s="1"/>
  <c r="N37" i="5" l="1"/>
  <c r="G38" i="5" s="1"/>
  <c r="J37" i="5"/>
  <c r="L37" i="5"/>
  <c r="E38" i="5" s="1"/>
  <c r="M37" i="5"/>
  <c r="F38" i="5" s="1"/>
  <c r="K38" i="5" l="1"/>
  <c r="H38" i="5" a="1"/>
  <c r="H38" i="5" s="1"/>
  <c r="I38" i="5" a="1"/>
  <c r="I38" i="5" s="1"/>
  <c r="N38" i="5" l="1"/>
  <c r="G39" i="5" s="1"/>
  <c r="M38" i="5"/>
  <c r="F39" i="5" s="1"/>
  <c r="J38" i="5"/>
  <c r="L38" i="5"/>
  <c r="E39" i="5" s="1"/>
  <c r="K39" i="5" s="1"/>
  <c r="I39" i="5" l="1" a="1"/>
  <c r="I39" i="5" s="1"/>
  <c r="H39" i="5" a="1"/>
  <c r="H39" i="5" s="1"/>
  <c r="J39" i="5" l="1"/>
  <c r="N39" i="5"/>
  <c r="G40" i="5" s="1"/>
  <c r="M39" i="5"/>
  <c r="F40" i="5" s="1"/>
  <c r="L39" i="5"/>
  <c r="E40" i="5" s="1"/>
  <c r="K40" i="5" l="1"/>
  <c r="H40" i="5" a="1"/>
  <c r="H40" i="5" s="1"/>
  <c r="I40" i="5" a="1"/>
  <c r="I40" i="5" s="1"/>
  <c r="N40" i="5" l="1"/>
  <c r="G41" i="5" s="1"/>
  <c r="M40" i="5"/>
  <c r="F41" i="5" s="1"/>
  <c r="L40" i="5"/>
  <c r="E41" i="5" s="1"/>
  <c r="K41" i="5" s="1"/>
  <c r="J40" i="5"/>
  <c r="I41" i="5" l="1" a="1"/>
  <c r="I41" i="5" s="1"/>
  <c r="H41" i="5" a="1"/>
  <c r="H41" i="5" s="1"/>
  <c r="J41" i="5" l="1"/>
  <c r="L41" i="5"/>
  <c r="E42" i="5" s="1"/>
  <c r="N41" i="5"/>
  <c r="G42" i="5" s="1"/>
  <c r="M41" i="5"/>
  <c r="F42" i="5" s="1"/>
  <c r="K42" i="5" l="1"/>
  <c r="H42" i="5" a="1"/>
  <c r="H42" i="5" s="1"/>
  <c r="I42" i="5" a="1"/>
  <c r="I42" i="5" s="1"/>
  <c r="L42" i="5" l="1"/>
  <c r="E43" i="5" s="1"/>
  <c r="N42" i="5"/>
  <c r="G43" i="5" s="1"/>
  <c r="M42" i="5"/>
  <c r="F43" i="5" s="1"/>
  <c r="J42" i="5"/>
  <c r="K43" i="5" l="1"/>
  <c r="H43" i="5" a="1"/>
  <c r="H43" i="5" s="1"/>
  <c r="I43" i="5" a="1"/>
  <c r="I43" i="5" s="1"/>
  <c r="M43" i="5" l="1"/>
  <c r="F44" i="5" s="1"/>
  <c r="N43" i="5"/>
  <c r="G44" i="5" s="1"/>
  <c r="L43" i="5"/>
  <c r="E44" i="5" s="1"/>
  <c r="K44" i="5" s="1"/>
  <c r="J43" i="5"/>
  <c r="H44" i="5" l="1" a="1"/>
  <c r="H44" i="5" s="1"/>
  <c r="I44" i="5" a="1"/>
  <c r="I44" i="5" s="1"/>
  <c r="J44" i="5" l="1"/>
  <c r="M44" i="5"/>
  <c r="F45" i="5" s="1"/>
  <c r="N44" i="5"/>
  <c r="G45" i="5" s="1"/>
  <c r="L44" i="5"/>
  <c r="E45" i="5" s="1"/>
  <c r="K45" i="5" s="1"/>
  <c r="H45" i="5" l="1" a="1"/>
  <c r="H45" i="5" s="1"/>
  <c r="I45" i="5" a="1"/>
  <c r="I45" i="5" s="1"/>
  <c r="L45" i="5" l="1"/>
  <c r="E46" i="5" s="1"/>
  <c r="M45" i="5"/>
  <c r="F46" i="5" s="1"/>
  <c r="N45" i="5"/>
  <c r="G46" i="5" s="1"/>
  <c r="J45" i="5"/>
  <c r="K46" i="5" l="1"/>
  <c r="H46" i="5" a="1"/>
  <c r="H46" i="5" s="1"/>
  <c r="I46" i="5" a="1"/>
  <c r="I46" i="5" s="1"/>
  <c r="M46" i="5" l="1"/>
  <c r="F47" i="5" s="1"/>
  <c r="L46" i="5"/>
  <c r="E47" i="5" s="1"/>
  <c r="K47" i="5" s="1"/>
  <c r="N46" i="5"/>
  <c r="G47" i="5" s="1"/>
  <c r="J46" i="5"/>
  <c r="I47" i="5" l="1" a="1"/>
  <c r="I47" i="5" s="1"/>
  <c r="H47" i="5" a="1"/>
  <c r="H47" i="5" s="1"/>
  <c r="M47" i="5" l="1"/>
  <c r="F48" i="5" s="1"/>
  <c r="J47" i="5"/>
  <c r="L47" i="5"/>
  <c r="E48" i="5" s="1"/>
  <c r="N47" i="5"/>
  <c r="G48" i="5" s="1"/>
  <c r="K48" i="5" l="1"/>
  <c r="I48" i="5" a="1"/>
  <c r="I48" i="5" s="1"/>
  <c r="H48" i="5" a="1"/>
  <c r="H48" i="5" s="1"/>
  <c r="M48" i="5" l="1"/>
  <c r="F49" i="5" s="1"/>
  <c r="L48" i="5"/>
  <c r="E49" i="5" s="1"/>
  <c r="J48" i="5"/>
  <c r="N48" i="5"/>
  <c r="G49" i="5" s="1"/>
  <c r="K49" i="5" l="1"/>
  <c r="I49" i="5" a="1"/>
  <c r="I49" i="5" s="1"/>
  <c r="H49" i="5" a="1"/>
  <c r="H49" i="5" s="1"/>
  <c r="J49" i="5" l="1"/>
  <c r="N49" i="5"/>
  <c r="G50" i="5" s="1"/>
  <c r="M49" i="5"/>
  <c r="F50" i="5" s="1"/>
  <c r="L49" i="5"/>
  <c r="E50" i="5" s="1"/>
  <c r="K50" i="5" s="1"/>
  <c r="I50" i="5" l="1" a="1"/>
  <c r="I50" i="5" s="1"/>
  <c r="H50" i="5" a="1"/>
  <c r="H50" i="5" s="1"/>
  <c r="N50" i="5" l="1"/>
  <c r="G51" i="5" s="1"/>
  <c r="J50" i="5"/>
  <c r="L50" i="5"/>
  <c r="E51" i="5" s="1"/>
  <c r="M50" i="5"/>
  <c r="F51" i="5" s="1"/>
  <c r="K51" i="5" l="1"/>
  <c r="I51" i="5" a="1"/>
  <c r="I51" i="5" s="1"/>
  <c r="H51" i="5" a="1"/>
  <c r="H51" i="5" s="1"/>
  <c r="M51" i="5" l="1"/>
  <c r="F52" i="5" s="1"/>
  <c r="J51" i="5"/>
  <c r="L51" i="5"/>
  <c r="E52" i="5" s="1"/>
  <c r="N51" i="5"/>
  <c r="G52" i="5" s="1"/>
  <c r="K52" i="5" l="1"/>
  <c r="H52" i="5" a="1"/>
  <c r="H52" i="5" s="1"/>
  <c r="I52" i="5" a="1"/>
  <c r="I52" i="5" s="1"/>
  <c r="J52" i="5" l="1"/>
  <c r="N52" i="5"/>
  <c r="G53" i="5" s="1"/>
  <c r="M52" i="5"/>
  <c r="F53" i="5" s="1"/>
  <c r="L52" i="5"/>
  <c r="E53" i="5" s="1"/>
  <c r="K53" i="5" s="1"/>
  <c r="H53" i="5" l="1" a="1"/>
  <c r="H53" i="5" s="1"/>
  <c r="I53" i="5" a="1"/>
  <c r="I53" i="5" s="1"/>
  <c r="J53" i="5" l="1"/>
  <c r="N53" i="5"/>
  <c r="G54" i="5" s="1"/>
  <c r="M53" i="5"/>
  <c r="F54" i="5" s="1"/>
  <c r="L53" i="5"/>
  <c r="E54" i="5" s="1"/>
  <c r="K54" i="5" s="1"/>
  <c r="I54" i="5" l="1" a="1"/>
  <c r="I54" i="5" s="1"/>
  <c r="H54" i="5" a="1"/>
  <c r="H54" i="5" s="1"/>
  <c r="L54" i="5" l="1"/>
  <c r="E55" i="5" s="1"/>
  <c r="K55" i="5" s="1"/>
  <c r="J54" i="5"/>
  <c r="M54" i="5"/>
  <c r="F55" i="5" s="1"/>
  <c r="N54" i="5"/>
  <c r="G55" i="5" s="1"/>
  <c r="I55" i="5" l="1" a="1"/>
  <c r="I55" i="5" s="1"/>
  <c r="H55" i="5" a="1"/>
  <c r="H55" i="5" s="1"/>
  <c r="J55" i="5" l="1"/>
  <c r="M55" i="5"/>
  <c r="F56" i="5" s="1"/>
  <c r="N55" i="5"/>
  <c r="G56" i="5" s="1"/>
  <c r="L55" i="5"/>
  <c r="E56" i="5" s="1"/>
  <c r="K56" i="5" s="1"/>
  <c r="I56" i="5" l="1" a="1"/>
  <c r="I56" i="5" s="1"/>
  <c r="H56" i="5" a="1"/>
  <c r="H56" i="5" s="1"/>
  <c r="L56" i="5" l="1"/>
  <c r="E57" i="5" s="1"/>
  <c r="J56" i="5"/>
  <c r="N56" i="5"/>
  <c r="G57" i="5" s="1"/>
  <c r="M56" i="5"/>
  <c r="F57" i="5" s="1"/>
  <c r="K57" i="5" l="1"/>
  <c r="I57" i="5" a="1"/>
  <c r="I57" i="5" s="1"/>
  <c r="H57" i="5" a="1"/>
  <c r="H57" i="5" s="1"/>
  <c r="J57" i="5" l="1"/>
  <c r="L57" i="5"/>
  <c r="E58" i="5" s="1"/>
  <c r="M57" i="5"/>
  <c r="F58" i="5" s="1"/>
  <c r="N57" i="5"/>
  <c r="G58" i="5" s="1"/>
  <c r="K58" i="5" l="1"/>
  <c r="H58" i="5" a="1"/>
  <c r="H58" i="5" s="1"/>
  <c r="I58" i="5" a="1"/>
  <c r="I58" i="5" s="1"/>
  <c r="L58" i="5" l="1"/>
  <c r="E59" i="5" s="1"/>
  <c r="K59" i="5" s="1"/>
  <c r="N58" i="5"/>
  <c r="G59" i="5" s="1"/>
  <c r="J58" i="5"/>
  <c r="M58" i="5"/>
  <c r="F59" i="5" s="1"/>
  <c r="H59" i="5" l="1" a="1"/>
  <c r="H59" i="5" s="1"/>
  <c r="I59" i="5" a="1"/>
  <c r="I59" i="5" s="1"/>
  <c r="J59" i="5" l="1"/>
  <c r="N59" i="5"/>
  <c r="G60" i="5" s="1"/>
  <c r="L59" i="5"/>
  <c r="E60" i="5" s="1"/>
  <c r="M59" i="5"/>
  <c r="F60" i="5" s="1"/>
  <c r="K60" i="5" l="1"/>
  <c r="H60" i="5" a="1"/>
  <c r="H60" i="5" s="1"/>
  <c r="I60" i="5" a="1"/>
  <c r="I60" i="5" s="1"/>
  <c r="N60" i="5" l="1"/>
  <c r="G61" i="5" s="1"/>
  <c r="J60" i="5"/>
  <c r="M60" i="5"/>
  <c r="F61" i="5" s="1"/>
  <c r="L60" i="5"/>
  <c r="E61" i="5" s="1"/>
  <c r="K61" i="5" s="1"/>
  <c r="H61" i="5" l="1" a="1"/>
  <c r="H61" i="5" s="1"/>
  <c r="I61" i="5" a="1"/>
  <c r="I61" i="5" s="1"/>
  <c r="N61" i="5" l="1"/>
  <c r="G62" i="5" s="1"/>
  <c r="J61" i="5"/>
  <c r="M61" i="5"/>
  <c r="F62" i="5" s="1"/>
  <c r="L61" i="5"/>
  <c r="E62" i="5" s="1"/>
  <c r="K62" i="5" s="1"/>
  <c r="H62" i="5" l="1" a="1"/>
  <c r="H62" i="5" s="1"/>
  <c r="I62" i="5" a="1"/>
  <c r="I62" i="5" s="1"/>
  <c r="N62" i="5" l="1"/>
  <c r="G63" i="5" s="1"/>
  <c r="J62" i="5"/>
  <c r="M62" i="5"/>
  <c r="F63" i="5" s="1"/>
  <c r="L62" i="5"/>
  <c r="E63" i="5" s="1"/>
  <c r="K63" i="5" l="1"/>
  <c r="H63" i="5" a="1"/>
  <c r="H63" i="5" s="1"/>
  <c r="I63" i="5" a="1"/>
  <c r="I63" i="5" s="1"/>
  <c r="J63" i="5" l="1"/>
  <c r="L63" i="5"/>
  <c r="E64" i="5" s="1"/>
  <c r="K64" i="5" s="1"/>
  <c r="M63" i="5"/>
  <c r="F64" i="5" s="1"/>
  <c r="N63" i="5"/>
  <c r="G64" i="5" s="1"/>
  <c r="H64" i="5" l="1" a="1"/>
  <c r="H64" i="5" s="1"/>
  <c r="I64" i="5" a="1"/>
  <c r="I64" i="5" s="1"/>
  <c r="J64" i="5" l="1"/>
  <c r="L64" i="5"/>
  <c r="E65" i="5" s="1"/>
  <c r="M64" i="5"/>
  <c r="F65" i="5" s="1"/>
  <c r="N64" i="5"/>
  <c r="G65" i="5" s="1"/>
  <c r="K65" i="5" l="1"/>
  <c r="H65" i="5" a="1"/>
  <c r="H65" i="5" s="1"/>
  <c r="I65" i="5" a="1"/>
  <c r="I65" i="5" s="1"/>
  <c r="N65" i="5" l="1"/>
  <c r="G66" i="5" s="1"/>
  <c r="L65" i="5"/>
  <c r="E66" i="5" s="1"/>
  <c r="K66" i="5" s="1"/>
  <c r="M65" i="5"/>
  <c r="F66" i="5" s="1"/>
  <c r="J65" i="5"/>
  <c r="H66" i="5" l="1" a="1"/>
  <c r="H66" i="5" s="1"/>
  <c r="I66" i="5" a="1"/>
  <c r="I66" i="5" s="1"/>
  <c r="N66" i="5" l="1"/>
  <c r="G67" i="5" s="1"/>
  <c r="L66" i="5"/>
  <c r="E67" i="5" s="1"/>
  <c r="K67" i="5" s="1"/>
  <c r="M66" i="5"/>
  <c r="F67" i="5" s="1"/>
  <c r="J66" i="5"/>
  <c r="I67" i="5" l="1" a="1"/>
  <c r="I67" i="5" s="1"/>
  <c r="H67" i="5" a="1"/>
  <c r="H67" i="5" s="1"/>
  <c r="N67" i="5" l="1"/>
  <c r="G68" i="5" s="1"/>
  <c r="M67" i="5"/>
  <c r="F68" i="5" s="1"/>
  <c r="J67" i="5"/>
  <c r="L67" i="5"/>
  <c r="E68" i="5" s="1"/>
  <c r="K68" i="5" l="1"/>
  <c r="I68" i="5" a="1"/>
  <c r="I68" i="5" s="1"/>
  <c r="H68" i="5" a="1"/>
  <c r="H68" i="5" s="1"/>
  <c r="L68" i="5" l="1"/>
  <c r="E69" i="5" s="1"/>
  <c r="M68" i="5"/>
  <c r="F69" i="5" s="1"/>
  <c r="N68" i="5"/>
  <c r="G69" i="5" s="1"/>
  <c r="J68" i="5"/>
  <c r="K69" i="5" l="1"/>
  <c r="I69" i="5" a="1"/>
  <c r="I69" i="5" s="1"/>
  <c r="H69" i="5" a="1"/>
  <c r="H69" i="5" s="1"/>
  <c r="L69" i="5" l="1"/>
  <c r="E70" i="5" s="1"/>
  <c r="J69" i="5"/>
  <c r="M69" i="5"/>
  <c r="F70" i="5" s="1"/>
  <c r="N69" i="5"/>
  <c r="G70" i="5" s="1"/>
  <c r="K70" i="5" l="1"/>
  <c r="H70" i="5" a="1"/>
  <c r="H70" i="5" s="1"/>
  <c r="I70" i="5" a="1"/>
  <c r="I70" i="5" s="1"/>
  <c r="N70" i="5" l="1"/>
  <c r="G71" i="5" s="1"/>
  <c r="L70" i="5"/>
  <c r="E71" i="5" s="1"/>
  <c r="K71" i="5" s="1"/>
  <c r="M70" i="5"/>
  <c r="F71" i="5" s="1"/>
  <c r="J70" i="5"/>
  <c r="H71" i="5" l="1" a="1"/>
  <c r="H71" i="5" s="1"/>
  <c r="I71" i="5" a="1"/>
  <c r="I71" i="5" s="1"/>
  <c r="L71" i="5" l="1"/>
  <c r="E72" i="5" s="1"/>
  <c r="J71" i="5"/>
  <c r="N71" i="5"/>
  <c r="G72" i="5" s="1"/>
  <c r="M71" i="5"/>
  <c r="F72" i="5" s="1"/>
  <c r="K72" i="5" l="1"/>
  <c r="H72" i="5" a="1"/>
  <c r="H72" i="5" s="1"/>
  <c r="I72" i="5" a="1"/>
  <c r="I72" i="5" s="1"/>
  <c r="N72" i="5" l="1"/>
  <c r="G73" i="5" s="1"/>
  <c r="L72" i="5"/>
  <c r="E73" i="5" s="1"/>
  <c r="M72" i="5"/>
  <c r="F73" i="5" s="1"/>
  <c r="J72" i="5"/>
  <c r="K73" i="5" l="1"/>
  <c r="H73" i="5" a="1"/>
  <c r="H73" i="5" s="1"/>
  <c r="I73" i="5" a="1"/>
  <c r="I73" i="5" s="1"/>
  <c r="L73" i="5" l="1"/>
  <c r="E74" i="5" s="1"/>
  <c r="K74" i="5" s="1"/>
  <c r="M73" i="5"/>
  <c r="F74" i="5" s="1"/>
  <c r="J73" i="5"/>
  <c r="N73" i="5"/>
  <c r="G74" i="5" s="1"/>
  <c r="H74" i="5" l="1" a="1"/>
  <c r="H74" i="5" s="1"/>
  <c r="I74" i="5" a="1"/>
  <c r="I74" i="5" s="1"/>
  <c r="J74" i="5" l="1"/>
  <c r="N74" i="5"/>
  <c r="G75" i="5" s="1"/>
  <c r="L74" i="5"/>
  <c r="E75" i="5" s="1"/>
  <c r="M74" i="5"/>
  <c r="F75" i="5" s="1"/>
  <c r="K75" i="5" l="1"/>
  <c r="H75" i="5" a="1"/>
  <c r="H75" i="5" s="1"/>
  <c r="I75" i="5" a="1"/>
  <c r="I75" i="5" s="1"/>
  <c r="M75" i="5" l="1"/>
  <c r="F76" i="5" s="1"/>
  <c r="N75" i="5"/>
  <c r="G76" i="5" s="1"/>
  <c r="L75" i="5"/>
  <c r="E76" i="5" s="1"/>
  <c r="K76" i="5" s="1"/>
  <c r="J75" i="5"/>
  <c r="H76" i="5" l="1" a="1"/>
  <c r="H76" i="5" s="1"/>
  <c r="I76" i="5" a="1"/>
  <c r="I76" i="5" s="1"/>
  <c r="N76" i="5" l="1"/>
  <c r="G77" i="5" s="1"/>
  <c r="M76" i="5"/>
  <c r="F77" i="5" s="1"/>
  <c r="J76" i="5"/>
  <c r="L76" i="5"/>
  <c r="E77" i="5" s="1"/>
  <c r="K77" i="5" s="1"/>
  <c r="I77" i="5" l="1" a="1"/>
  <c r="I77" i="5" s="1"/>
  <c r="H77" i="5" a="1"/>
  <c r="H77" i="5" s="1"/>
  <c r="N77" i="5" l="1"/>
  <c r="G78" i="5" s="1"/>
  <c r="J77" i="5"/>
  <c r="L77" i="5"/>
  <c r="E78" i="5" s="1"/>
  <c r="M77" i="5"/>
  <c r="F78" i="5" s="1"/>
  <c r="K78" i="5" l="1"/>
  <c r="H78" i="5" a="1"/>
  <c r="H78" i="5" s="1"/>
  <c r="I78" i="5" a="1"/>
  <c r="I78" i="5" s="1"/>
  <c r="J78" i="5" l="1"/>
  <c r="N78" i="5"/>
  <c r="G79" i="5" s="1"/>
  <c r="L78" i="5"/>
  <c r="E79" i="5" s="1"/>
  <c r="K79" i="5" s="1"/>
  <c r="M78" i="5"/>
  <c r="F79" i="5" s="1"/>
  <c r="H79" i="5" l="1" a="1"/>
  <c r="H79" i="5" s="1"/>
  <c r="I79" i="5" a="1"/>
  <c r="I79" i="5" s="1"/>
  <c r="J79" i="5" l="1"/>
  <c r="M79" i="5"/>
  <c r="F80" i="5" s="1"/>
  <c r="L79" i="5"/>
  <c r="N79" i="5"/>
  <c r="G80" i="5" s="1"/>
  <c r="E80" i="5" l="1"/>
  <c r="K80" i="5" s="1"/>
  <c r="H80" i="5" l="1" a="1"/>
  <c r="H80" i="5" s="1"/>
  <c r="M80" i="5" s="1"/>
  <c r="F81" i="5" s="1"/>
  <c r="I80" i="5" a="1"/>
  <c r="I80" i="5" s="1"/>
  <c r="J80" i="5" s="1"/>
  <c r="L80" i="5" l="1"/>
  <c r="E81" i="5" s="1"/>
  <c r="K81" i="5" s="1"/>
  <c r="N80" i="5"/>
  <c r="G81" i="5" s="1"/>
  <c r="I81" i="5" a="1"/>
  <c r="I81" i="5" s="1"/>
  <c r="H81" i="5" a="1"/>
  <c r="H81" i="5" s="1"/>
  <c r="M81" i="5" l="1"/>
  <c r="F82" i="5" s="1"/>
  <c r="N81" i="5"/>
  <c r="G82" i="5" s="1"/>
  <c r="L81" i="5"/>
  <c r="E82" i="5" s="1"/>
  <c r="K82" i="5" s="1"/>
  <c r="J81" i="5"/>
  <c r="H82" i="5" l="1" a="1"/>
  <c r="H82" i="5" s="1"/>
  <c r="I82" i="5" a="1"/>
  <c r="I82" i="5" s="1"/>
  <c r="M82" i="5" l="1"/>
  <c r="F83" i="5" s="1"/>
  <c r="N82" i="5"/>
  <c r="G83" i="5" s="1"/>
  <c r="L82" i="5"/>
  <c r="E83" i="5" s="1"/>
  <c r="J82" i="5"/>
  <c r="K83" i="5" l="1"/>
  <c r="H83" i="5" a="1"/>
  <c r="H83" i="5" s="1"/>
  <c r="I83" i="5" a="1"/>
  <c r="I83" i="5" s="1"/>
  <c r="L83" i="5" l="1"/>
  <c r="E84" i="5" s="1"/>
  <c r="J83" i="5"/>
  <c r="N83" i="5"/>
  <c r="G84" i="5" s="1"/>
  <c r="M83" i="5"/>
  <c r="F84" i="5" s="1"/>
  <c r="K84" i="5" l="1"/>
  <c r="H84" i="5" a="1"/>
  <c r="H84" i="5" s="1"/>
  <c r="I84" i="5" a="1"/>
  <c r="I84" i="5" s="1"/>
  <c r="N84" i="5" l="1"/>
  <c r="G85" i="5" s="1"/>
  <c r="J84" i="5"/>
  <c r="L84" i="5"/>
  <c r="E85" i="5" s="1"/>
  <c r="M84" i="5"/>
  <c r="F85" i="5" s="1"/>
  <c r="K85" i="5" l="1"/>
  <c r="H85" i="5" a="1"/>
  <c r="H85" i="5" s="1"/>
  <c r="I85" i="5" a="1"/>
  <c r="I85" i="5" s="1"/>
  <c r="L85" i="5" l="1"/>
  <c r="E86" i="5" s="1"/>
  <c r="J85" i="5"/>
  <c r="N85" i="5"/>
  <c r="G86" i="5" s="1"/>
  <c r="M85" i="5"/>
  <c r="F86" i="5" s="1"/>
  <c r="K86" i="5" l="1"/>
  <c r="I86" i="5" a="1"/>
  <c r="I86" i="5" s="1"/>
  <c r="H86" i="5" a="1"/>
  <c r="H86" i="5" s="1"/>
  <c r="L86" i="5" l="1"/>
  <c r="E87" i="5" s="1"/>
  <c r="K87" i="5" s="1"/>
  <c r="M86" i="5"/>
  <c r="F87" i="5" s="1"/>
  <c r="J86" i="5"/>
  <c r="N86" i="5"/>
  <c r="G87" i="5" s="1"/>
  <c r="H87" i="5" l="1" a="1"/>
  <c r="H87" i="5" s="1"/>
  <c r="I87" i="5" a="1"/>
  <c r="I87" i="5" s="1"/>
  <c r="L87" i="5" l="1"/>
  <c r="E88" i="5" s="1"/>
  <c r="M87" i="5"/>
  <c r="F88" i="5" s="1"/>
  <c r="J87" i="5"/>
  <c r="N87" i="5"/>
  <c r="G88" i="5" s="1"/>
  <c r="K88" i="5" l="1"/>
  <c r="I88" i="5" a="1"/>
  <c r="I88" i="5" s="1"/>
  <c r="H88" i="5" a="1"/>
  <c r="H88" i="5" s="1"/>
  <c r="N88" i="5" l="1"/>
  <c r="G89" i="5" s="1"/>
  <c r="M88" i="5"/>
  <c r="F89" i="5" s="1"/>
  <c r="J88" i="5"/>
  <c r="L88" i="5"/>
  <c r="E89" i="5" s="1"/>
  <c r="K89" i="5" s="1"/>
  <c r="H89" i="5" l="1" a="1"/>
  <c r="H89" i="5" s="1"/>
  <c r="I89" i="5" a="1"/>
  <c r="I89" i="5" s="1"/>
  <c r="J89" i="5" l="1"/>
  <c r="N89" i="5"/>
  <c r="G90" i="5" s="1"/>
  <c r="L89" i="5"/>
  <c r="E90" i="5" s="1"/>
  <c r="M89" i="5"/>
  <c r="F90" i="5" s="1"/>
  <c r="K90" i="5" l="1"/>
  <c r="H90" i="5" a="1"/>
  <c r="H90" i="5" s="1"/>
  <c r="I90" i="5" a="1"/>
  <c r="I90" i="5" s="1"/>
  <c r="L90" i="5" l="1"/>
  <c r="J90" i="5"/>
  <c r="N90" i="5"/>
  <c r="G91" i="5" s="1"/>
  <c r="M90" i="5"/>
  <c r="F91" i="5" s="1"/>
  <c r="E91" i="5" l="1"/>
  <c r="I91" i="5" l="1" a="1"/>
  <c r="I91" i="5" s="1"/>
  <c r="K91" i="5"/>
  <c r="H91" i="5" a="1"/>
  <c r="H91" i="5" s="1"/>
  <c r="J91" i="5" s="1"/>
  <c r="M91" i="5" l="1"/>
  <c r="F92" i="5" s="1"/>
  <c r="L91" i="5"/>
  <c r="E92" i="5" s="1"/>
  <c r="K92" i="5" s="1"/>
  <c r="N91" i="5"/>
  <c r="G92" i="5" s="1"/>
  <c r="H92" i="5" s="1" a="1"/>
  <c r="H92" i="5" s="1"/>
  <c r="I92" i="5" l="1" a="1"/>
  <c r="I92" i="5" s="1"/>
  <c r="J92" i="5" s="1"/>
  <c r="M92" i="5"/>
  <c r="F93" i="5" s="1"/>
  <c r="L92" i="5"/>
  <c r="N92" i="5" l="1"/>
  <c r="G93" i="5" s="1"/>
  <c r="E93" i="5"/>
  <c r="K93" i="5" s="1"/>
  <c r="I93" i="5" l="1" a="1"/>
  <c r="I93" i="5" s="1"/>
  <c r="H93" i="5" a="1"/>
  <c r="H93" i="5" s="1"/>
  <c r="L93" i="5" l="1"/>
  <c r="E94" i="5" s="1"/>
  <c r="J93" i="5"/>
  <c r="M93" i="5"/>
  <c r="F94" i="5" s="1"/>
  <c r="N93" i="5"/>
  <c r="G94" i="5" s="1"/>
  <c r="K94" i="5" l="1"/>
  <c r="H94" i="5" a="1"/>
  <c r="H94" i="5" s="1"/>
  <c r="I94" i="5" a="1"/>
  <c r="I94" i="5" s="1"/>
  <c r="N94" i="5" l="1"/>
  <c r="G95" i="5" s="1"/>
  <c r="L94" i="5"/>
  <c r="E95" i="5" s="1"/>
  <c r="K95" i="5" s="1"/>
  <c r="M94" i="5"/>
  <c r="F95" i="5" s="1"/>
  <c r="J94" i="5"/>
  <c r="H95" i="5" l="1" a="1"/>
  <c r="H95" i="5" s="1"/>
  <c r="I95" i="5" a="1"/>
  <c r="I95" i="5" s="1"/>
  <c r="L95" i="5" l="1"/>
  <c r="E96" i="5" s="1"/>
  <c r="N95" i="5"/>
  <c r="G96" i="5" s="1"/>
  <c r="M95" i="5"/>
  <c r="F96" i="5" s="1"/>
  <c r="J95" i="5"/>
  <c r="K96" i="5" l="1"/>
  <c r="I96" i="5" a="1"/>
  <c r="I96" i="5" s="1"/>
  <c r="H96" i="5" a="1"/>
  <c r="H96" i="5" s="1"/>
  <c r="M96" i="5" l="1"/>
  <c r="F97" i="5" s="1"/>
  <c r="J96" i="5"/>
  <c r="L96" i="5"/>
  <c r="E97" i="5" s="1"/>
  <c r="N96" i="5"/>
  <c r="G97" i="5" s="1"/>
  <c r="K97" i="5" l="1"/>
  <c r="I97" i="5" a="1"/>
  <c r="I97" i="5" s="1"/>
  <c r="H97" i="5" a="1"/>
  <c r="H97" i="5" s="1"/>
  <c r="L97" i="5" l="1"/>
  <c r="E98" i="5" s="1"/>
  <c r="K98" i="5" s="1"/>
  <c r="N97" i="5"/>
  <c r="G98" i="5" s="1"/>
  <c r="M97" i="5"/>
  <c r="F98" i="5" s="1"/>
  <c r="J97" i="5"/>
  <c r="H98" i="5" l="1" a="1"/>
  <c r="H98" i="5" s="1"/>
  <c r="I98" i="5" a="1"/>
  <c r="I98" i="5" s="1"/>
  <c r="N98" i="5" l="1"/>
  <c r="G99" i="5" s="1"/>
  <c r="J98" i="5"/>
  <c r="L98" i="5"/>
  <c r="M98" i="5"/>
  <c r="F99" i="5" s="1"/>
  <c r="E99" i="5" l="1"/>
  <c r="K99" i="5" s="1"/>
  <c r="I99" i="5" a="1"/>
  <c r="I99" i="5" s="1"/>
  <c r="H99" i="5" a="1"/>
  <c r="H99" i="5" s="1"/>
  <c r="L99" i="5" l="1"/>
  <c r="E100" i="5" s="1"/>
  <c r="K100" i="5" s="1"/>
  <c r="N99" i="5"/>
  <c r="G100" i="5" s="1"/>
  <c r="M99" i="5"/>
  <c r="F100" i="5" s="1"/>
  <c r="J99" i="5"/>
  <c r="I100" i="5" l="1" a="1"/>
  <c r="I100" i="5" s="1"/>
  <c r="H100" i="5" a="1"/>
  <c r="H100" i="5" s="1"/>
  <c r="L100" i="5" l="1"/>
  <c r="E101" i="5" s="1"/>
  <c r="K101" i="5" s="1"/>
  <c r="N100" i="5"/>
  <c r="G101" i="5" s="1"/>
  <c r="M100" i="5"/>
  <c r="F101" i="5" s="1"/>
  <c r="J100" i="5"/>
  <c r="H101" i="5" l="1" a="1"/>
  <c r="H101" i="5" s="1"/>
  <c r="I101" i="5" a="1"/>
  <c r="I101" i="5" s="1"/>
  <c r="L101" i="5" l="1"/>
  <c r="E102" i="5" s="1"/>
  <c r="J101" i="5"/>
  <c r="M101" i="5"/>
  <c r="F102" i="5" s="1"/>
  <c r="N101" i="5"/>
  <c r="G102" i="5" s="1"/>
  <c r="K102" i="5" l="1"/>
  <c r="I102" i="5" a="1"/>
  <c r="I102" i="5" s="1"/>
  <c r="H102" i="5" a="1"/>
  <c r="H102" i="5" s="1"/>
  <c r="N102" i="5" l="1"/>
  <c r="G103" i="5" s="1"/>
  <c r="L102" i="5"/>
  <c r="E103" i="5" s="1"/>
  <c r="K103" i="5" s="1"/>
  <c r="J102" i="5"/>
  <c r="M102" i="5"/>
  <c r="F103" i="5" s="1"/>
  <c r="I103" i="5" l="1" a="1"/>
  <c r="I103" i="5" s="1"/>
  <c r="H103" i="5" a="1"/>
  <c r="H103" i="5" s="1"/>
  <c r="J103" i="5" l="1"/>
  <c r="N103" i="5"/>
  <c r="G104" i="5" s="1"/>
  <c r="L103" i="5"/>
  <c r="E104" i="5" s="1"/>
  <c r="M103" i="5"/>
  <c r="F104" i="5" s="1"/>
  <c r="K104" i="5" l="1"/>
  <c r="I104" i="5" a="1"/>
  <c r="I104" i="5" s="1"/>
  <c r="H104" i="5" a="1"/>
  <c r="H104" i="5" s="1"/>
  <c r="L104" i="5" l="1"/>
  <c r="E105" i="5" s="1"/>
  <c r="K105" i="5" s="1"/>
  <c r="N104" i="5"/>
  <c r="G105" i="5" s="1"/>
  <c r="J104" i="5"/>
  <c r="M104" i="5"/>
  <c r="F105" i="5" s="1"/>
  <c r="H105" i="5" l="1" a="1"/>
  <c r="H105" i="5" s="1"/>
  <c r="I105" i="5" a="1"/>
  <c r="I105" i="5" s="1"/>
  <c r="L105" i="5" l="1"/>
  <c r="E106" i="5" s="1"/>
  <c r="K106" i="5" s="1"/>
  <c r="M105" i="5"/>
  <c r="F106" i="5" s="1"/>
  <c r="N105" i="5"/>
  <c r="G106" i="5" s="1"/>
  <c r="J105" i="5"/>
  <c r="H106" i="5" l="1" a="1"/>
  <c r="H106" i="5" s="1"/>
  <c r="I106" i="5" a="1"/>
  <c r="I106" i="5" s="1"/>
  <c r="J106" i="5" l="1"/>
  <c r="M106" i="5"/>
  <c r="F107" i="5" s="1"/>
  <c r="L106" i="5"/>
  <c r="E107" i="5" s="1"/>
  <c r="N106" i="5"/>
  <c r="G107" i="5" s="1"/>
  <c r="K107" i="5" l="1"/>
  <c r="H107" i="5" a="1"/>
  <c r="H107" i="5" s="1"/>
  <c r="I107" i="5" a="1"/>
  <c r="I107" i="5" s="1"/>
  <c r="L107" i="5" l="1"/>
  <c r="E108" i="5" s="1"/>
  <c r="K108" i="5" s="1"/>
  <c r="N107" i="5"/>
  <c r="G108" i="5" s="1"/>
  <c r="J107" i="5"/>
  <c r="M107" i="5"/>
  <c r="F108" i="5" s="1"/>
  <c r="H108" i="5" l="1" a="1"/>
  <c r="H108" i="5" s="1"/>
  <c r="I108" i="5" a="1"/>
  <c r="I108" i="5" s="1"/>
  <c r="N108" i="5" l="1"/>
  <c r="G109" i="5" s="1"/>
  <c r="L108" i="5"/>
  <c r="E109" i="5" s="1"/>
  <c r="J108" i="5"/>
  <c r="M108" i="5"/>
  <c r="F109" i="5" s="1"/>
  <c r="K109" i="5" l="1"/>
  <c r="H109" i="5" a="1"/>
  <c r="H109" i="5" s="1"/>
  <c r="I109" i="5" a="1"/>
  <c r="I109" i="5" s="1"/>
  <c r="N109" i="5" l="1"/>
  <c r="G110" i="5" s="1"/>
  <c r="J109" i="5"/>
  <c r="M109" i="5"/>
  <c r="F110" i="5" s="1"/>
  <c r="L109" i="5"/>
  <c r="E110" i="5" s="1"/>
  <c r="K110" i="5" s="1"/>
  <c r="H110" i="5" l="1" a="1"/>
  <c r="H110" i="5" s="1"/>
  <c r="I110" i="5" a="1"/>
  <c r="I110" i="5" s="1"/>
  <c r="L110" i="5" l="1"/>
  <c r="E111" i="5" s="1"/>
  <c r="J110" i="5"/>
  <c r="N110" i="5"/>
  <c r="G111" i="5" s="1"/>
  <c r="M110" i="5"/>
  <c r="F111" i="5" s="1"/>
  <c r="K111" i="5" l="1"/>
  <c r="H111" i="5" a="1"/>
  <c r="H111" i="5" s="1"/>
  <c r="I111" i="5" a="1"/>
  <c r="I111" i="5" s="1"/>
  <c r="L111" i="5" l="1"/>
  <c r="E112" i="5" s="1"/>
  <c r="N111" i="5"/>
  <c r="G112" i="5" s="1"/>
  <c r="M111" i="5"/>
  <c r="F112" i="5" s="1"/>
  <c r="J111" i="5"/>
  <c r="K112" i="5" l="1"/>
  <c r="I112" i="5" a="1"/>
  <c r="I112" i="5" s="1"/>
  <c r="H112" i="5" a="1"/>
  <c r="H112" i="5" s="1"/>
  <c r="N112" i="5" l="1"/>
  <c r="G113" i="5" s="1"/>
  <c r="L112" i="5"/>
  <c r="E113" i="5" s="1"/>
  <c r="J112" i="5"/>
  <c r="M112" i="5"/>
  <c r="F113" i="5" s="1"/>
  <c r="K113" i="5" l="1"/>
  <c r="H113" i="5" a="1"/>
  <c r="H113" i="5" s="1"/>
  <c r="I113" i="5" a="1"/>
  <c r="I113" i="5" s="1"/>
  <c r="J113" i="5" l="1"/>
  <c r="L113" i="5"/>
  <c r="E114" i="5" s="1"/>
  <c r="N113" i="5"/>
  <c r="G114" i="5" s="1"/>
  <c r="M113" i="5"/>
  <c r="F114" i="5" s="1"/>
  <c r="K114" i="5" l="1"/>
  <c r="H114" i="5" a="1"/>
  <c r="H114" i="5" s="1"/>
  <c r="I114" i="5" a="1"/>
  <c r="I114" i="5" s="1"/>
  <c r="L114" i="5" l="1"/>
  <c r="E115" i="5" s="1"/>
  <c r="J114" i="5"/>
  <c r="M114" i="5"/>
  <c r="F115" i="5" s="1"/>
  <c r="N114" i="5"/>
  <c r="G115" i="5" s="1"/>
  <c r="K115" i="5" l="1"/>
  <c r="I115" i="5" a="1"/>
  <c r="I115" i="5" s="1"/>
  <c r="H115" i="5" a="1"/>
  <c r="H115" i="5" s="1"/>
  <c r="L115" i="5" l="1"/>
  <c r="E116" i="5" s="1"/>
  <c r="N115" i="5"/>
  <c r="G116" i="5" s="1"/>
  <c r="J115" i="5"/>
  <c r="M115" i="5"/>
  <c r="F116" i="5" s="1"/>
  <c r="K116" i="5" l="1"/>
  <c r="H116" i="5" a="1"/>
  <c r="H116" i="5" s="1"/>
  <c r="I116" i="5" a="1"/>
  <c r="I116" i="5" s="1"/>
  <c r="M116" i="5" l="1"/>
  <c r="F117" i="5" s="1"/>
  <c r="N116" i="5"/>
  <c r="G117" i="5" s="1"/>
  <c r="L116" i="5"/>
  <c r="E117" i="5" s="1"/>
  <c r="K117" i="5" s="1"/>
  <c r="J116" i="5"/>
  <c r="H117" i="5" l="1" a="1"/>
  <c r="H117" i="5" s="1"/>
  <c r="I117" i="5" a="1"/>
  <c r="I117" i="5" s="1"/>
  <c r="L117" i="5" l="1"/>
  <c r="E118" i="5" s="1"/>
  <c r="J117" i="5"/>
  <c r="M117" i="5"/>
  <c r="F118" i="5" s="1"/>
  <c r="N117" i="5"/>
  <c r="G118" i="5" s="1"/>
  <c r="K118" i="5" l="1"/>
  <c r="I118" i="5" a="1"/>
  <c r="I118" i="5" s="1"/>
  <c r="H118" i="5" a="1"/>
  <c r="H118" i="5" s="1"/>
  <c r="M118" i="5" l="1"/>
  <c r="F119" i="5" s="1"/>
  <c r="L118" i="5"/>
  <c r="E119" i="5" s="1"/>
  <c r="K119" i="5" s="1"/>
  <c r="N118" i="5"/>
  <c r="G119" i="5" s="1"/>
  <c r="J118" i="5"/>
  <c r="I119" i="5" l="1" a="1"/>
  <c r="I119" i="5" s="1"/>
  <c r="H119" i="5" a="1"/>
  <c r="H119" i="5" s="1"/>
  <c r="L119" i="5" l="1"/>
  <c r="E120" i="5" s="1"/>
  <c r="K120" i="5" s="1"/>
  <c r="N119" i="5"/>
  <c r="G120" i="5" s="1"/>
  <c r="J119" i="5"/>
  <c r="M119" i="5"/>
  <c r="F120" i="5" s="1"/>
  <c r="I120" i="5" l="1" a="1"/>
  <c r="I120" i="5" s="1"/>
  <c r="H120" i="5" a="1"/>
  <c r="H120" i="5" s="1"/>
  <c r="L120" i="5" l="1"/>
  <c r="E121" i="5" s="1"/>
  <c r="K121" i="5" s="1"/>
  <c r="M120" i="5"/>
  <c r="F121" i="5" s="1"/>
  <c r="J120" i="5"/>
  <c r="N120" i="5"/>
  <c r="G121" i="5" s="1"/>
  <c r="I121" i="5" l="1" a="1"/>
  <c r="I121" i="5" s="1"/>
  <c r="H121" i="5" a="1"/>
  <c r="H121" i="5" s="1"/>
  <c r="J121" i="5" l="1"/>
  <c r="N121" i="5"/>
  <c r="G122" i="5" s="1"/>
  <c r="M121" i="5"/>
  <c r="F122" i="5" s="1"/>
  <c r="L121" i="5"/>
  <c r="E122" i="5" s="1"/>
  <c r="K122" i="5" s="1"/>
  <c r="I122" i="5" l="1" a="1"/>
  <c r="I122" i="5" s="1"/>
  <c r="H122" i="5" a="1"/>
  <c r="H122" i="5" s="1"/>
  <c r="J122" i="5" l="1"/>
  <c r="N122" i="5"/>
  <c r="G123" i="5" s="1"/>
  <c r="M122" i="5"/>
  <c r="F123" i="5" s="1"/>
  <c r="L122" i="5"/>
  <c r="E123" i="5" s="1"/>
  <c r="K123" i="5" l="1"/>
  <c r="I123" i="5" a="1"/>
  <c r="I123" i="5" s="1"/>
  <c r="H123" i="5" a="1"/>
  <c r="H123" i="5" s="1"/>
  <c r="L123" i="5" l="1"/>
  <c r="E124" i="5" s="1"/>
  <c r="K124" i="5" s="1"/>
  <c r="N123" i="5"/>
  <c r="G124" i="5" s="1"/>
  <c r="J123" i="5"/>
  <c r="M123" i="5"/>
  <c r="F124" i="5" s="1"/>
  <c r="H124" i="5" l="1" a="1"/>
  <c r="H124" i="5" s="1"/>
  <c r="I124" i="5" a="1"/>
  <c r="I124" i="5" s="1"/>
  <c r="N124" i="5" l="1"/>
  <c r="G125" i="5" s="1"/>
  <c r="M124" i="5"/>
  <c r="F125" i="5" s="1"/>
  <c r="J124" i="5"/>
  <c r="L124" i="5"/>
  <c r="E125" i="5" s="1"/>
  <c r="K125" i="5" l="1"/>
  <c r="I125" i="5" a="1"/>
  <c r="I125" i="5" s="1"/>
  <c r="H125" i="5" a="1"/>
  <c r="H125" i="5" s="1"/>
  <c r="J125" i="5" l="1"/>
  <c r="N125" i="5"/>
  <c r="G126" i="5" s="1"/>
  <c r="L125" i="5"/>
  <c r="E126" i="5" s="1"/>
  <c r="M125" i="5"/>
  <c r="F126" i="5" s="1"/>
  <c r="K126" i="5" l="1"/>
  <c r="I126" i="5" a="1"/>
  <c r="I126" i="5" s="1"/>
  <c r="H126" i="5" a="1"/>
  <c r="H126" i="5" s="1"/>
  <c r="J126" i="5" l="1"/>
  <c r="L126" i="5"/>
  <c r="E127" i="5" s="1"/>
  <c r="N126" i="5"/>
  <c r="G127" i="5" s="1"/>
  <c r="M126" i="5"/>
  <c r="F127" i="5" s="1"/>
  <c r="K127" i="5" l="1"/>
  <c r="H127" i="5" a="1"/>
  <c r="H127" i="5" s="1"/>
  <c r="I127" i="5" a="1"/>
  <c r="I127" i="5" s="1"/>
  <c r="J127" i="5" l="1"/>
  <c r="L127" i="5"/>
  <c r="E128" i="5" s="1"/>
  <c r="K128" i="5" s="1"/>
  <c r="M127" i="5"/>
  <c r="F128" i="5" s="1"/>
  <c r="N127" i="5"/>
  <c r="G128" i="5" s="1"/>
  <c r="H128" i="5" l="1" a="1"/>
  <c r="H128" i="5" s="1"/>
  <c r="I128" i="5" a="1"/>
  <c r="I128" i="5" s="1"/>
  <c r="M128" i="5" l="1"/>
  <c r="F129" i="5" s="1"/>
  <c r="N128" i="5"/>
  <c r="G129" i="5" s="1"/>
  <c r="J128" i="5"/>
  <c r="L128" i="5"/>
  <c r="E129" i="5" l="1"/>
  <c r="H129" i="5" a="1"/>
  <c r="H129" i="5" s="1"/>
  <c r="I129" i="5" l="1" a="1"/>
  <c r="I129" i="5" s="1"/>
  <c r="L129" i="5" s="1"/>
  <c r="E130" i="5" s="1"/>
  <c r="K129" i="5"/>
  <c r="N129" i="5" l="1"/>
  <c r="G130" i="5" s="1"/>
  <c r="M129" i="5"/>
  <c r="F130" i="5" s="1"/>
  <c r="K130" i="5" s="1"/>
  <c r="J129" i="5"/>
  <c r="H130" i="5" a="1"/>
  <c r="H130" i="5" s="1"/>
  <c r="I130" i="5" a="1"/>
  <c r="I130" i="5" s="1"/>
  <c r="N130" i="5" l="1"/>
  <c r="G131" i="5" s="1"/>
  <c r="M130" i="5"/>
  <c r="F131" i="5" s="1"/>
  <c r="J130" i="5"/>
  <c r="L130" i="5"/>
  <c r="E131" i="5" s="1"/>
  <c r="K131" i="5" s="1"/>
  <c r="I131" i="5" l="1" a="1"/>
  <c r="I131" i="5" s="1"/>
  <c r="H131" i="5" a="1"/>
  <c r="H131" i="5" s="1"/>
  <c r="N131" i="5" l="1"/>
  <c r="G132" i="5" s="1"/>
  <c r="M131" i="5"/>
  <c r="F132" i="5" s="1"/>
  <c r="J131" i="5"/>
  <c r="L131" i="5"/>
  <c r="E132" i="5" s="1"/>
  <c r="K132" i="5" s="1"/>
  <c r="I132" i="5" l="1" a="1"/>
  <c r="I132" i="5" s="1"/>
  <c r="H132" i="5" a="1"/>
  <c r="H132" i="5" s="1"/>
  <c r="N132" i="5" l="1"/>
  <c r="G133" i="5" s="1"/>
  <c r="M132" i="5"/>
  <c r="F133" i="5" s="1"/>
  <c r="J132" i="5"/>
  <c r="L132" i="5"/>
  <c r="H133" i="5" l="1" a="1"/>
  <c r="H133" i="5" s="1"/>
  <c r="I133" i="5" a="1"/>
  <c r="I133" i="5" s="1"/>
  <c r="E133" i="5"/>
  <c r="K133" i="5" s="1"/>
  <c r="M133" i="5" l="1"/>
  <c r="F134" i="5" s="1"/>
  <c r="L133" i="5"/>
  <c r="E134" i="5" s="1"/>
  <c r="N133" i="5"/>
  <c r="G134" i="5" s="1"/>
  <c r="J133" i="5"/>
  <c r="K134" i="5" l="1"/>
  <c r="H134" i="5" a="1"/>
  <c r="H134" i="5" s="1"/>
  <c r="I134" i="5" a="1"/>
  <c r="I134" i="5" s="1"/>
  <c r="N134" i="5" l="1"/>
  <c r="G135" i="5" s="1"/>
  <c r="L134" i="5"/>
  <c r="E135" i="5" s="1"/>
  <c r="M134" i="5"/>
  <c r="F135" i="5" s="1"/>
  <c r="J134" i="5"/>
  <c r="K135" i="5" l="1"/>
  <c r="H135" i="5" a="1"/>
  <c r="H135" i="5" s="1"/>
  <c r="I135" i="5" a="1"/>
  <c r="I135" i="5" s="1"/>
  <c r="L135" i="5" l="1"/>
  <c r="E136" i="5" s="1"/>
  <c r="K136" i="5" s="1"/>
  <c r="N135" i="5"/>
  <c r="G136" i="5" s="1"/>
  <c r="M135" i="5"/>
  <c r="F136" i="5" s="1"/>
  <c r="J135" i="5"/>
  <c r="H136" i="5" l="1" a="1"/>
  <c r="H136" i="5" s="1"/>
  <c r="I136" i="5" a="1"/>
  <c r="I136" i="5" s="1"/>
  <c r="N136" i="5" l="1"/>
  <c r="G137" i="5" s="1"/>
  <c r="L136" i="5"/>
  <c r="E137" i="5" s="1"/>
  <c r="M136" i="5"/>
  <c r="F137" i="5" s="1"/>
  <c r="J136" i="5"/>
  <c r="K137" i="5" l="1"/>
  <c r="I137" i="5" a="1"/>
  <c r="I137" i="5" s="1"/>
  <c r="H137" i="5" a="1"/>
  <c r="H137" i="5" s="1"/>
  <c r="N137" i="5" l="1"/>
  <c r="G138" i="5" s="1"/>
  <c r="J137" i="5"/>
  <c r="M137" i="5"/>
  <c r="F138" i="5" s="1"/>
  <c r="L137" i="5"/>
  <c r="E138" i="5" s="1"/>
  <c r="K138" i="5" l="1"/>
  <c r="I138" i="5" a="1"/>
  <c r="I138" i="5" s="1"/>
  <c r="H138" i="5" a="1"/>
  <c r="H138" i="5" s="1"/>
  <c r="N138" i="5" l="1"/>
  <c r="G139" i="5" s="1"/>
  <c r="L138" i="5"/>
  <c r="E139" i="5" s="1"/>
  <c r="M138" i="5"/>
  <c r="F139" i="5" s="1"/>
  <c r="J138" i="5"/>
  <c r="K139" i="5" l="1"/>
  <c r="H139" i="5" a="1"/>
  <c r="H139" i="5" s="1"/>
  <c r="I139" i="5" a="1"/>
  <c r="I139" i="5" s="1"/>
  <c r="M139" i="5" l="1"/>
  <c r="F140" i="5" s="1"/>
  <c r="N139" i="5"/>
  <c r="G140" i="5" s="1"/>
  <c r="J139" i="5"/>
  <c r="L139" i="5"/>
  <c r="E140" i="5" s="1"/>
  <c r="K140" i="5" l="1"/>
  <c r="I140" i="5" a="1"/>
  <c r="I140" i="5" s="1"/>
  <c r="H140" i="5" a="1"/>
  <c r="H140" i="5" s="1"/>
  <c r="J140" i="5" l="1"/>
  <c r="M140" i="5"/>
  <c r="F141" i="5" s="1"/>
  <c r="L140" i="5"/>
  <c r="E141" i="5" s="1"/>
  <c r="K141" i="5" s="1"/>
  <c r="N140" i="5"/>
  <c r="G141" i="5" s="1"/>
  <c r="I141" i="5" l="1" a="1"/>
  <c r="I141" i="5" s="1"/>
  <c r="H141" i="5" a="1"/>
  <c r="H141" i="5" s="1"/>
  <c r="L141" i="5" l="1"/>
  <c r="E142" i="5" s="1"/>
  <c r="K142" i="5" s="1"/>
  <c r="J141" i="5"/>
  <c r="N141" i="5"/>
  <c r="G142" i="5" s="1"/>
  <c r="M141" i="5"/>
  <c r="F142" i="5" s="1"/>
  <c r="I142" i="5" l="1" a="1"/>
  <c r="I142" i="5" s="1"/>
  <c r="H142" i="5" a="1"/>
  <c r="H142" i="5" s="1"/>
  <c r="N142" i="5" l="1"/>
  <c r="G143" i="5" s="1"/>
  <c r="M142" i="5"/>
  <c r="F143" i="5" s="1"/>
  <c r="L142" i="5"/>
  <c r="E143" i="5" s="1"/>
  <c r="K143" i="5" s="1"/>
  <c r="J142" i="5"/>
  <c r="I143" i="5" l="1" a="1"/>
  <c r="I143" i="5" s="1"/>
  <c r="H143" i="5" a="1"/>
  <c r="H143" i="5" s="1"/>
  <c r="N143" i="5" l="1"/>
  <c r="G144" i="5" s="1"/>
  <c r="M143" i="5"/>
  <c r="F144" i="5" s="1"/>
  <c r="L143" i="5"/>
  <c r="E144" i="5" s="1"/>
  <c r="K144" i="5" s="1"/>
  <c r="J143" i="5"/>
  <c r="I144" i="5" l="1" a="1"/>
  <c r="I144" i="5" s="1"/>
  <c r="H144" i="5" a="1"/>
  <c r="H144" i="5" s="1"/>
  <c r="N144" i="5" l="1"/>
  <c r="G145" i="5" s="1"/>
  <c r="J144" i="5"/>
  <c r="L144" i="5"/>
  <c r="E145" i="5" s="1"/>
  <c r="K145" i="5" s="1"/>
  <c r="M144" i="5"/>
  <c r="F145" i="5" s="1"/>
  <c r="H145" i="5" l="1" a="1"/>
  <c r="H145" i="5" s="1"/>
  <c r="I145" i="5" a="1"/>
  <c r="I145" i="5" s="1"/>
  <c r="N145" i="5" l="1"/>
  <c r="G146" i="5" s="1"/>
  <c r="J145" i="5"/>
  <c r="L145" i="5"/>
  <c r="E146" i="5" s="1"/>
  <c r="M145" i="5"/>
  <c r="F146" i="5" s="1"/>
  <c r="K146" i="5" l="1"/>
  <c r="H146" i="5" a="1"/>
  <c r="H146" i="5" s="1"/>
  <c r="I146" i="5" a="1"/>
  <c r="I146" i="5" s="1"/>
  <c r="L146" i="5" l="1"/>
  <c r="N146" i="5"/>
  <c r="G147" i="5" s="1"/>
  <c r="J146" i="5"/>
  <c r="M146" i="5"/>
  <c r="F147" i="5" s="1"/>
  <c r="E147" i="5" l="1"/>
  <c r="I147" i="5" l="1" a="1"/>
  <c r="I147" i="5" s="1"/>
  <c r="K147" i="5"/>
  <c r="H147" i="5" a="1"/>
  <c r="H147" i="5" s="1"/>
  <c r="J147" i="5" l="1"/>
  <c r="M147" i="5"/>
  <c r="F148" i="5" s="1"/>
  <c r="N147" i="5"/>
  <c r="G148" i="5" s="1"/>
  <c r="L147" i="5"/>
  <c r="E148" i="5" s="1"/>
  <c r="K148" i="5" s="1"/>
  <c r="I148" i="5" l="1" a="1"/>
  <c r="I148" i="5" s="1"/>
  <c r="H148" i="5" a="1"/>
  <c r="H148" i="5" s="1"/>
  <c r="L148" i="5" l="1"/>
  <c r="E149" i="5" s="1"/>
  <c r="J148" i="5"/>
  <c r="N148" i="5"/>
  <c r="G149" i="5" s="1"/>
  <c r="M148" i="5"/>
  <c r="F149" i="5" s="1"/>
  <c r="K149" i="5" l="1"/>
  <c r="H149" i="5" a="1"/>
  <c r="H149" i="5" s="1"/>
  <c r="I149" i="5" a="1"/>
  <c r="I149" i="5" s="1"/>
  <c r="L149" i="5" l="1"/>
  <c r="E150" i="5" s="1"/>
  <c r="N149" i="5"/>
  <c r="G150" i="5" s="1"/>
  <c r="M149" i="5"/>
  <c r="F150" i="5" s="1"/>
  <c r="J149" i="5"/>
  <c r="K150" i="5" l="1"/>
  <c r="I150" i="5" a="1"/>
  <c r="I150" i="5" s="1"/>
  <c r="H150" i="5" a="1"/>
  <c r="H150" i="5" s="1"/>
  <c r="N150" i="5" l="1"/>
  <c r="G151" i="5" s="1"/>
  <c r="L150" i="5"/>
  <c r="E151" i="5" s="1"/>
  <c r="J150" i="5"/>
  <c r="M150" i="5"/>
  <c r="F151" i="5" s="1"/>
  <c r="K151" i="5" l="1"/>
  <c r="I151" i="5" a="1"/>
  <c r="I151" i="5" s="1"/>
  <c r="H151" i="5" a="1"/>
  <c r="H151" i="5" s="1"/>
  <c r="M151" i="5" l="1"/>
  <c r="F152" i="5" s="1"/>
  <c r="N151" i="5"/>
  <c r="G152" i="5" s="1"/>
  <c r="L151" i="5"/>
  <c r="J151" i="5"/>
  <c r="E152" i="5" l="1"/>
  <c r="K152" i="5" s="1"/>
  <c r="H152" i="5" a="1"/>
  <c r="H152" i="5" s="1"/>
  <c r="I152" i="5" a="1"/>
  <c r="I152" i="5" s="1"/>
  <c r="L152" i="5" l="1"/>
  <c r="E153" i="5" s="1"/>
  <c r="N152" i="5"/>
  <c r="G153" i="5" s="1"/>
  <c r="J152" i="5"/>
  <c r="M152" i="5"/>
  <c r="F153" i="5" s="1"/>
  <c r="K153" i="5" l="1"/>
  <c r="H153" i="5" a="1"/>
  <c r="H153" i="5" s="1"/>
  <c r="I153" i="5" a="1"/>
  <c r="I153" i="5" s="1"/>
  <c r="L153" i="5" l="1"/>
  <c r="E154" i="5" s="1"/>
  <c r="M153" i="5"/>
  <c r="F154" i="5" s="1"/>
  <c r="J153" i="5"/>
  <c r="N153" i="5"/>
  <c r="G154" i="5" s="1"/>
  <c r="K154" i="5" l="1"/>
  <c r="H154" i="5" a="1"/>
  <c r="H154" i="5" s="1"/>
  <c r="I154" i="5" a="1"/>
  <c r="I154" i="5" s="1"/>
  <c r="N154" i="5" l="1"/>
  <c r="M154" i="5"/>
  <c r="L154" i="5"/>
  <c r="J15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48E35-7B68-4404-9A87-FB80FBD31F53}" keepAlive="1" name="Zapytanie — owoce" description="Połączenie z zapytaniem „owoce” w skoroszycie." type="5" refreshedVersion="8" background="1" saveData="1">
    <dbPr connection="Provider=Microsoft.Mashup.OleDb.1;Data Source=$Workbook$;Location=owoce;Extended Properties=&quot;&quot;" command="SELECT * FROM [owoce]"/>
  </connection>
  <connection id="2" xr16:uid="{8203D1D8-E6BF-4D9D-90B4-C6873FA8991B}" keepAlive="1" name="Zapytanie — owoce (2)" description="Połączenie z zapytaniem „owoce (2)” w skoroszycie." type="5" refreshedVersion="8" background="1" saveData="1">
    <dbPr connection="Provider=Microsoft.Mashup.OleDb.1;Data Source=$Workbook$;Location=&quot;owoce (2)&quot;;Extended Properties=&quot;&quot;" command="SELECT * FROM [owoce (2)]"/>
  </connection>
  <connection id="3" xr16:uid="{D36E97BC-5B23-4421-9933-BA4D883D62B8}" keepAlive="1" name="Zapytanie — owoce (3)" description="Połączenie z zapytaniem „owoce (3)” w skoroszycie." type="5" refreshedVersion="8" background="1" saveData="1">
    <dbPr connection="Provider=Microsoft.Mashup.OleDb.1;Data Source=$Workbook$;Location=&quot;owoce (3)&quot;;Extended Properties=&quot;&quot;" command="SELECT * FROM [owoce (3)]"/>
  </connection>
  <connection id="4" xr16:uid="{F510146F-E0E7-4110-9FD0-BD31FC8BA39B}" keepAlive="1" name="Zapytanie — owoce (4)" description="Połączenie z zapytaniem „owoce (4)” w skoroszycie." type="5" refreshedVersion="8" background="1" saveData="1">
    <dbPr connection="Provider=Microsoft.Mashup.OleDb.1;Data Source=$Workbook$;Location=&quot;owoce (4)&quot;;Extended Properties=&quot;&quot;" command="SELECT * FROM [owoce (4)]"/>
  </connection>
  <connection id="5" xr16:uid="{F92AD7B3-D8EF-46D0-94B7-3C783C67015E}" keepAlive="1" name="Zapytanie — owoce (5)" description="Połączenie z zapytaniem „owoce (5)” w skoroszycie." type="5" refreshedVersion="8" background="1" saveData="1">
    <dbPr connection="Provider=Microsoft.Mashup.OleDb.1;Data Source=$Workbook$;Location=&quot;owoce (5)&quot;;Extended Properties=&quot;&quot;" command="SELECT * FROM [owoce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<sst xmlns="http://schemas.openxmlformats.org/spreadsheetml/2006/main" count="539" uniqueCount="46">
  <si>
    <t>data</t>
  </si>
  <si>
    <t>dostawa_malin</t>
  </si>
  <si>
    <t>dostawa_truskawek</t>
  </si>
  <si>
    <t>dostawa_porzeczek</t>
  </si>
  <si>
    <t>Suma końcowa</t>
  </si>
  <si>
    <t>maj</t>
  </si>
  <si>
    <t>cze</t>
  </si>
  <si>
    <t>lip</t>
  </si>
  <si>
    <t>sie</t>
  </si>
  <si>
    <t>wrz</t>
  </si>
  <si>
    <t>miesiące</t>
  </si>
  <si>
    <t>całkowita dostawa_malin</t>
  </si>
  <si>
    <t>całkowita dostawa_truskawek</t>
  </si>
  <si>
    <t>całkowita dostawa_porzeczek</t>
  </si>
  <si>
    <t>liczba dni w których porzeczki najwiecej</t>
  </si>
  <si>
    <t>czyPorzeczkiNajwiecej</t>
  </si>
  <si>
    <t>rano_dostawa_malin</t>
  </si>
  <si>
    <t>rano_dostawa_truskawek</t>
  </si>
  <si>
    <t>rano_dostawa_porzeczek</t>
  </si>
  <si>
    <t>jaka_konfitura_pierwszy</t>
  </si>
  <si>
    <t>jaka_konfitura_drugi</t>
  </si>
  <si>
    <t>nazwa_konfitury</t>
  </si>
  <si>
    <t>Ile_kilogramów_konfitury</t>
  </si>
  <si>
    <t>stan_malin</t>
  </si>
  <si>
    <t>stan_truskawek</t>
  </si>
  <si>
    <t>stan_porzeczek</t>
  </si>
  <si>
    <t>stan_po_produkcji_malin</t>
  </si>
  <si>
    <t>stan_po_produkcji_truskawek</t>
  </si>
  <si>
    <t>stan_po_produkcji_porzeczek</t>
  </si>
  <si>
    <t>maliny-porzeczki</t>
  </si>
  <si>
    <t>maliny-truskawki</t>
  </si>
  <si>
    <t>porzeczki-maliny</t>
  </si>
  <si>
    <t>porzeczki-truskawki</t>
  </si>
  <si>
    <t>truskawki-maliny</t>
  </si>
  <si>
    <t>truskawki-porzeczki</t>
  </si>
  <si>
    <t>liczba wyprodukowanych konfitur</t>
  </si>
  <si>
    <t>malinowo-truskawkowe</t>
  </si>
  <si>
    <t>malinowo-porzeczkowe</t>
  </si>
  <si>
    <t>truskawkowo-porzeczkowe</t>
  </si>
  <si>
    <t>nazwa_koniftury</t>
  </si>
  <si>
    <t>ile razy wyprodukowana</t>
  </si>
  <si>
    <t>nazwa</t>
  </si>
  <si>
    <t>truskawki</t>
  </si>
  <si>
    <t>maliny</t>
  </si>
  <si>
    <t>porzeczki</t>
  </si>
  <si>
    <t>ile kilogramow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</si>
</sst>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ny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[Zadanie6.xlsx]1!Tabela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Liczby dostarczonych owoców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'1'!$H$1</c:f>
              <c:strCache>
                <c:ptCount val="1"/>
                <c:pt idx="0">
                  <c:v>całkowita dostawa_malin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'1'!$G$2:$G$7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'1'!$H$2:$H$7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FC7-8E95-3033E364B7A6}"/>
            </c:ext>
          </c:extLst>
        </c:ser>
        <c:ser>
          <c:idx val="1"/>
          <c:order val="1"/>
          <c:tx>
            <c:strRef>
              <c:f>'1'!$I$1</c:f>
              <c:strCache>
                <c:ptCount val="1"/>
                <c:pt idx="0">
                  <c:v>całkowita dostawa_truskawek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'1'!$G$2:$G$7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'1'!$I$2:$I$7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1-4FC7-8E95-3033E364B7A6}"/>
            </c:ext>
          </c:extLst>
        </c:ser>
        <c:ser>
          <c:idx val="2"/>
          <c:order val="2"/>
          <c:tx>
            <c:strRef>
              <c:f>'1'!$J$1</c:f>
              <c:strCache>
                <c:ptCount val="1"/>
                <c:pt idx="0">
                  <c:v>całkowita dostawa_porzeczek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'1'!$G$2:$G$7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'1'!$J$2:$J$7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1-4FC7-8E95-3033E364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288944"/>
        <c:axId val="1832286064"/>
      </c:barChart>
      <c:catAx>
        <c:axId val="183228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nazwa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2286064"/>
        <c:crosses val="autoZero"/>
        <c:auto val="1"/>
        <c:lblAlgn val="ctr"/>
        <c:lblOffset val="100"/>
        <c:noMultiLvlLbl val="0"/>
      </c:catAx>
      <c:valAx>
        <c:axId val="18322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kilogramów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228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8</xdr:row>
      <xdr:rowOff>185737</xdr:rowOff>
    </xdr:from>
    <xdr:to>
      <xdr:col>10</xdr:col>
      <xdr:colOff>609599</xdr:colOff>
      <xdr:row>30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4D3A88C-C735-E145-2521-63B46851D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1.379017939813" createdVersion="8" refreshedVersion="8" minRefreshableVersion="3" recordCount="153" xr:uid="{05AE6CDD-FCC8-4E31-B737-1C82D7E2B37B}">
  <cacheSource type="worksheet">
    <worksheetSource name="owoce3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1.403095601854" createdVersion="8" refreshedVersion="8" minRefreshableVersion="3" recordCount="153" xr:uid="{BE591369-F89E-4B3F-9CC4-D4C9E6268090}">
  <cacheSource type="worksheet">
    <worksheetSource name="owoce5"/>
  </cacheSource>
  <cacheFields count="1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15"/>
    </cacheField>
    <cacheField name="rano_dostawa_malin" numFmtId="0">
      <sharedItems containsSemiMixedTypes="0" containsString="0" containsNumber="1" containsInteger="1" minValue="142" maxValue="495"/>
    </cacheField>
    <cacheField name="rano_dostawa_truskawek" numFmtId="0">
      <sharedItems containsSemiMixedTypes="0" containsString="0" containsNumber="1" containsInteger="1" minValue="102" maxValue="490"/>
    </cacheField>
    <cacheField name="rano_dostawa_porzeczek" numFmtId="0">
      <sharedItems containsSemiMixedTypes="0" containsString="0" containsNumber="1" containsInteger="1" minValue="72" maxValue="555"/>
    </cacheField>
    <cacheField name="stan_malin" numFmtId="0">
      <sharedItems containsSemiMixedTypes="0" containsString="0" containsNumber="1" containsInteger="1" minValue="165" maxValue="891"/>
    </cacheField>
    <cacheField name="stan_truskawek" numFmtId="0">
      <sharedItems containsSemiMixedTypes="0" containsString="0" containsNumber="1" containsInteger="1" minValue="102" maxValue="844"/>
    </cacheField>
    <cacheField name="stan_porzeczek" numFmtId="0">
      <sharedItems containsSemiMixedTypes="0" containsString="0" containsNumber="1" containsInteger="1" minValue="74" maxValue="970"/>
    </cacheField>
    <cacheField name="jaka_konfitura_pierwszy" numFmtId="0">
      <sharedItems/>
    </cacheField>
    <cacheField name="jaka_konfitura_drugi" numFmtId="0">
      <sharedItems/>
    </cacheField>
    <cacheField name="nazwa_konfitury" numFmtId="0">
      <sharedItems count="6">
        <s v="truskawki-maliny"/>
        <s v="maliny-truskawki"/>
        <s v="porzeczki-maliny"/>
        <s v="truskawki-porzeczki"/>
        <s v="maliny-porzeczki"/>
        <s v="porzeczki-truskawki"/>
      </sharedItems>
    </cacheField>
    <cacheField name="Ile_kilogramów_konfitury" numFmtId="0">
      <sharedItems containsSemiMixedTypes="0" containsString="0" containsNumber="1" containsInteger="1" minValue="211" maxValue="840"/>
    </cacheField>
    <cacheField name="stan_po_produkcji_malin" numFmtId="0">
      <sharedItems containsSemiMixedTypes="0" containsString="0" containsNumber="1" containsInteger="1" minValue="0" maxValue="450"/>
    </cacheField>
    <cacheField name="stan_po_produkcji_truskawek" numFmtId="0">
      <sharedItems containsSemiMixedTypes="0" containsString="0" containsNumber="1" containsInteger="1" minValue="0" maxValue="490"/>
    </cacheField>
    <cacheField name="stan_po_produkcji_porzeczek" numFmtId="0">
      <sharedItems containsSemiMixedTypes="0" containsString="0" containsNumber="1" containsInteger="1" minValue="0" maxValue="464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1.404247222221" createdVersion="8" refreshedVersion="8" minRefreshableVersion="3" recordCount="153" xr:uid="{2CC464C6-641A-4F8A-A8C2-D4AEADCF6E46}">
  <cacheSource type="worksheet">
    <worksheetSource ref="A1:N154" sheet="4"/>
  </cacheSource>
  <cacheFields count="14">
    <cacheField name="data" numFmtId="14">
      <sharedItems containsSemiMixedTypes="0" containsNonDate="0" containsDate="1" containsString="0" minDate="2020-05-01T00:00:00" maxDate="2020-10-01T00:00:00"/>
    </cacheField>
    <cacheField name="rano_dostawa_malin" numFmtId="0">
      <sharedItems containsSemiMixedTypes="0" containsString="0" containsNumber="1" containsInteger="1" minValue="142" maxValue="495"/>
    </cacheField>
    <cacheField name="rano_dostawa_truskawek" numFmtId="0">
      <sharedItems containsSemiMixedTypes="0" containsString="0" containsNumber="1" containsInteger="1" minValue="102" maxValue="490"/>
    </cacheField>
    <cacheField name="rano_dostawa_porzeczek" numFmtId="0">
      <sharedItems containsSemiMixedTypes="0" containsString="0" containsNumber="1" containsInteger="1" minValue="72" maxValue="555"/>
    </cacheField>
    <cacheField name="stan_malin" numFmtId="0">
      <sharedItems containsSemiMixedTypes="0" containsString="0" containsNumber="1" containsInteger="1" minValue="165" maxValue="891"/>
    </cacheField>
    <cacheField name="stan_truskawek" numFmtId="0">
      <sharedItems containsSemiMixedTypes="0" containsString="0" containsNumber="1" containsInteger="1" minValue="102" maxValue="844"/>
    </cacheField>
    <cacheField name="stan_porzeczek" numFmtId="0">
      <sharedItems containsSemiMixedTypes="0" containsString="0" containsNumber="1" containsInteger="1" minValue="74" maxValue="970"/>
    </cacheField>
    <cacheField name="jaka_konfitura_pierwszy" numFmtId="0">
      <sharedItems/>
    </cacheField>
    <cacheField name="jaka_konfitura_drugi" numFmtId="0">
      <sharedItems/>
    </cacheField>
    <cacheField name="nazwa_konfitury" numFmtId="0">
      <sharedItems count="6">
        <s v="truskawki-maliny"/>
        <s v="maliny-truskawki"/>
        <s v="porzeczki-maliny"/>
        <s v="truskawki-porzeczki"/>
        <s v="maliny-porzeczki"/>
        <s v="porzeczki-truskawki"/>
      </sharedItems>
    </cacheField>
    <cacheField name="Ile_kilogramów_konfitury" numFmtId="0">
      <sharedItems containsSemiMixedTypes="0" containsString="0" containsNumber="1" containsInteger="1" minValue="211" maxValue="840"/>
    </cacheField>
    <cacheField name="stan_po_produkcji_malin" numFmtId="0">
      <sharedItems containsSemiMixedTypes="0" containsString="0" containsNumber="1" containsInteger="1" minValue="0" maxValue="450"/>
    </cacheField>
    <cacheField name="stan_po_produkcji_truskawek" numFmtId="0">
      <sharedItems containsSemiMixedTypes="0" containsString="0" containsNumber="1" containsInteger="1" minValue="0" maxValue="490"/>
    </cacheField>
    <cacheField name="stan_po_produkcji_porzeczek" numFmtId="0">
      <sharedItems containsSemiMixedTypes="0" containsString="0" containsNumber="1" containsInteger="1" minValue="0" maxValue="4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</r>
  <r>
    <x v="1"/>
    <n v="393"/>
    <n v="313"/>
    <n v="83"/>
  </r>
  <r>
    <x v="2"/>
    <n v="389"/>
    <n v="315"/>
    <n v="104"/>
  </r>
  <r>
    <x v="3"/>
    <n v="308"/>
    <n v="221"/>
    <n v="119"/>
  </r>
  <r>
    <x v="4"/>
    <n v="387"/>
    <n v="275"/>
    <n v="72"/>
  </r>
  <r>
    <x v="5"/>
    <n v="294"/>
    <n v="366"/>
    <n v="99"/>
  </r>
  <r>
    <x v="6"/>
    <n v="389"/>
    <n v="288"/>
    <n v="87"/>
  </r>
  <r>
    <x v="7"/>
    <n v="259"/>
    <n v="361"/>
    <n v="112"/>
  </r>
  <r>
    <x v="8"/>
    <n v="369"/>
    <n v="233"/>
    <n v="110"/>
  </r>
  <r>
    <x v="9"/>
    <n v="263"/>
    <n v="393"/>
    <n v="75"/>
  </r>
  <r>
    <x v="10"/>
    <n v="239"/>
    <n v="347"/>
    <n v="94"/>
  </r>
  <r>
    <x v="11"/>
    <n v="282"/>
    <n v="338"/>
    <n v="86"/>
  </r>
  <r>
    <x v="12"/>
    <n v="306"/>
    <n v="273"/>
    <n v="75"/>
  </r>
  <r>
    <x v="13"/>
    <n v="251"/>
    <n v="325"/>
    <n v="89"/>
  </r>
  <r>
    <x v="14"/>
    <n v="224"/>
    <n v="352"/>
    <n v="97"/>
  </r>
  <r>
    <x v="15"/>
    <n v="233"/>
    <n v="270"/>
    <n v="94"/>
  </r>
  <r>
    <x v="16"/>
    <n v="345"/>
    <n v="275"/>
    <n v="90"/>
  </r>
  <r>
    <x v="17"/>
    <n v="232"/>
    <n v="228"/>
    <n v="107"/>
  </r>
  <r>
    <x v="18"/>
    <n v="238"/>
    <n v="394"/>
    <n v="105"/>
  </r>
  <r>
    <x v="19"/>
    <n v="378"/>
    <n v="311"/>
    <n v="110"/>
  </r>
  <r>
    <x v="20"/>
    <n v="281"/>
    <n v="354"/>
    <n v="121"/>
  </r>
  <r>
    <x v="21"/>
    <n v="390"/>
    <n v="267"/>
    <n v="124"/>
  </r>
  <r>
    <x v="22"/>
    <n v="308"/>
    <n v="337"/>
    <n v="105"/>
  </r>
  <r>
    <x v="23"/>
    <n v="391"/>
    <n v="238"/>
    <n v="113"/>
  </r>
  <r>
    <x v="24"/>
    <n v="241"/>
    <n v="283"/>
    <n v="140"/>
  </r>
  <r>
    <x v="25"/>
    <n v="249"/>
    <n v="275"/>
    <n v="118"/>
  </r>
  <r>
    <x v="26"/>
    <n v="298"/>
    <n v="263"/>
    <n v="145"/>
  </r>
  <r>
    <x v="27"/>
    <n v="254"/>
    <n v="241"/>
    <n v="149"/>
  </r>
  <r>
    <x v="28"/>
    <n v="329"/>
    <n v="323"/>
    <n v="134"/>
  </r>
  <r>
    <x v="29"/>
    <n v="213"/>
    <n v="221"/>
    <n v="119"/>
  </r>
  <r>
    <x v="30"/>
    <n v="294"/>
    <n v="326"/>
    <n v="145"/>
  </r>
  <r>
    <x v="31"/>
    <n v="225"/>
    <n v="206"/>
    <n v="122"/>
  </r>
  <r>
    <x v="32"/>
    <n v="264"/>
    <n v="355"/>
    <n v="134"/>
  </r>
  <r>
    <x v="33"/>
    <n v="253"/>
    <n v="271"/>
    <n v="142"/>
  </r>
  <r>
    <x v="34"/>
    <n v="352"/>
    <n v="207"/>
    <n v="125"/>
  </r>
  <r>
    <x v="35"/>
    <n v="269"/>
    <n v="248"/>
    <n v="137"/>
  </r>
  <r>
    <x v="36"/>
    <n v="242"/>
    <n v="247"/>
    <n v="125"/>
  </r>
  <r>
    <x v="37"/>
    <n v="327"/>
    <n v="262"/>
    <n v="103"/>
  </r>
  <r>
    <x v="38"/>
    <n v="316"/>
    <n v="253"/>
    <n v="134"/>
  </r>
  <r>
    <x v="39"/>
    <n v="294"/>
    <n v="249"/>
    <n v="137"/>
  </r>
  <r>
    <x v="40"/>
    <n v="270"/>
    <n v="206"/>
    <n v="146"/>
  </r>
  <r>
    <x v="41"/>
    <n v="349"/>
    <n v="301"/>
    <n v="138"/>
  </r>
  <r>
    <x v="42"/>
    <n v="224"/>
    <n v="385"/>
    <n v="138"/>
  </r>
  <r>
    <x v="43"/>
    <n v="309"/>
    <n v="204"/>
    <n v="140"/>
  </r>
  <r>
    <x v="44"/>
    <n v="246"/>
    <n v="275"/>
    <n v="130"/>
  </r>
  <r>
    <x v="45"/>
    <n v="241"/>
    <n v="247"/>
    <n v="166"/>
  </r>
  <r>
    <x v="46"/>
    <n v="365"/>
    <n v="256"/>
    <n v="132"/>
  </r>
  <r>
    <x v="47"/>
    <n v="225"/>
    <n v="392"/>
    <n v="158"/>
  </r>
  <r>
    <x v="48"/>
    <n v="335"/>
    <n v="254"/>
    <n v="173"/>
  </r>
  <r>
    <x v="49"/>
    <n v="376"/>
    <n v="258"/>
    <n v="151"/>
  </r>
  <r>
    <x v="50"/>
    <n v="310"/>
    <n v="248"/>
    <n v="173"/>
  </r>
  <r>
    <x v="51"/>
    <n v="408"/>
    <n v="250"/>
    <n v="242"/>
  </r>
  <r>
    <x v="52"/>
    <n v="256"/>
    <n v="393"/>
    <n v="219"/>
  </r>
  <r>
    <x v="53"/>
    <n v="322"/>
    <n v="425"/>
    <n v="215"/>
  </r>
  <r>
    <x v="54"/>
    <n v="447"/>
    <n v="385"/>
    <n v="212"/>
  </r>
  <r>
    <x v="55"/>
    <n v="408"/>
    <n v="260"/>
    <n v="225"/>
  </r>
  <r>
    <x v="56"/>
    <n v="283"/>
    <n v="396"/>
    <n v="221"/>
  </r>
  <r>
    <x v="57"/>
    <n v="414"/>
    <n v="314"/>
    <n v="220"/>
  </r>
  <r>
    <x v="58"/>
    <n v="442"/>
    <n v="449"/>
    <n v="245"/>
  </r>
  <r>
    <x v="59"/>
    <n v="269"/>
    <n v="370"/>
    <n v="242"/>
  </r>
  <r>
    <x v="60"/>
    <n v="444"/>
    <n v="350"/>
    <n v="236"/>
  </r>
  <r>
    <x v="61"/>
    <n v="425"/>
    <n v="342"/>
    <n v="237"/>
  </r>
  <r>
    <x v="62"/>
    <n v="377"/>
    <n v="290"/>
    <n v="240"/>
  </r>
  <r>
    <x v="63"/>
    <n v="382"/>
    <n v="360"/>
    <n v="203"/>
  </r>
  <r>
    <x v="64"/>
    <n v="287"/>
    <n v="428"/>
    <n v="204"/>
  </r>
  <r>
    <x v="65"/>
    <n v="429"/>
    <n v="394"/>
    <n v="246"/>
  </r>
  <r>
    <x v="66"/>
    <n v="287"/>
    <n v="356"/>
    <n v="233"/>
  </r>
  <r>
    <x v="67"/>
    <n v="421"/>
    <n v="292"/>
    <n v="226"/>
  </r>
  <r>
    <x v="68"/>
    <n v="334"/>
    <n v="353"/>
    <n v="282"/>
  </r>
  <r>
    <x v="69"/>
    <n v="282"/>
    <n v="329"/>
    <n v="262"/>
  </r>
  <r>
    <x v="70"/>
    <n v="356"/>
    <n v="331"/>
    <n v="290"/>
  </r>
  <r>
    <x v="71"/>
    <n v="307"/>
    <n v="394"/>
    <n v="256"/>
  </r>
  <r>
    <x v="72"/>
    <n v="441"/>
    <n v="271"/>
    <n v="292"/>
  </r>
  <r>
    <x v="73"/>
    <n v="407"/>
    <n v="311"/>
    <n v="280"/>
  </r>
  <r>
    <x v="74"/>
    <n v="480"/>
    <n v="342"/>
    <n v="292"/>
  </r>
  <r>
    <x v="75"/>
    <n v="494"/>
    <n v="310"/>
    <n v="275"/>
  </r>
  <r>
    <x v="76"/>
    <n v="493"/>
    <n v="431"/>
    <n v="283"/>
  </r>
  <r>
    <x v="77"/>
    <n v="302"/>
    <n v="415"/>
    <n v="297"/>
  </r>
  <r>
    <x v="78"/>
    <n v="331"/>
    <n v="353"/>
    <n v="373"/>
  </r>
  <r>
    <x v="79"/>
    <n v="486"/>
    <n v="323"/>
    <n v="359"/>
  </r>
  <r>
    <x v="80"/>
    <n v="360"/>
    <n v="331"/>
    <n v="445"/>
  </r>
  <r>
    <x v="81"/>
    <n v="391"/>
    <n v="455"/>
    <n v="427"/>
  </r>
  <r>
    <x v="82"/>
    <n v="327"/>
    <n v="471"/>
    <n v="423"/>
  </r>
  <r>
    <x v="83"/>
    <n v="355"/>
    <n v="490"/>
    <n v="449"/>
  </r>
  <r>
    <x v="84"/>
    <n v="360"/>
    <n v="339"/>
    <n v="470"/>
  </r>
  <r>
    <x v="85"/>
    <n v="303"/>
    <n v="404"/>
    <n v="434"/>
  </r>
  <r>
    <x v="86"/>
    <n v="310"/>
    <n v="332"/>
    <n v="536"/>
  </r>
  <r>
    <x v="87"/>
    <n v="435"/>
    <n v="406"/>
    <n v="421"/>
  </r>
  <r>
    <x v="88"/>
    <n v="344"/>
    <n v="348"/>
    <n v="555"/>
  </r>
  <r>
    <x v="89"/>
    <n v="303"/>
    <n v="335"/>
    <n v="436"/>
  </r>
  <r>
    <x v="90"/>
    <n v="433"/>
    <n v="425"/>
    <n v="422"/>
  </r>
  <r>
    <x v="91"/>
    <n v="350"/>
    <n v="378"/>
    <n v="419"/>
  </r>
  <r>
    <x v="92"/>
    <n v="396"/>
    <n v="466"/>
    <n v="434"/>
  </r>
  <r>
    <x v="93"/>
    <n v="495"/>
    <n v="410"/>
    <n v="418"/>
  </r>
  <r>
    <x v="94"/>
    <n v="420"/>
    <n v="328"/>
    <n v="422"/>
  </r>
  <r>
    <x v="95"/>
    <n v="411"/>
    <n v="481"/>
    <n v="445"/>
  </r>
  <r>
    <x v="96"/>
    <n v="317"/>
    <n v="434"/>
    <n v="411"/>
  </r>
  <r>
    <x v="97"/>
    <n v="342"/>
    <n v="465"/>
    <n v="417"/>
  </r>
  <r>
    <x v="98"/>
    <n v="450"/>
    <n v="318"/>
    <n v="490"/>
  </r>
  <r>
    <x v="99"/>
    <n v="343"/>
    <n v="329"/>
    <n v="345"/>
  </r>
  <r>
    <x v="100"/>
    <n v="287"/>
    <n v="328"/>
    <n v="377"/>
  </r>
  <r>
    <x v="101"/>
    <n v="298"/>
    <n v="401"/>
    <n v="416"/>
  </r>
  <r>
    <x v="102"/>
    <n v="429"/>
    <n v="348"/>
    <n v="426"/>
  </r>
  <r>
    <x v="103"/>
    <n v="417"/>
    <n v="457"/>
    <n v="438"/>
  </r>
  <r>
    <x v="104"/>
    <n v="384"/>
    <n v="330"/>
    <n v="292"/>
  </r>
  <r>
    <x v="105"/>
    <n v="370"/>
    <n v="388"/>
    <n v="390"/>
  </r>
  <r>
    <x v="106"/>
    <n v="436"/>
    <n v="298"/>
    <n v="420"/>
  </r>
  <r>
    <x v="107"/>
    <n v="303"/>
    <n v="429"/>
    <n v="407"/>
  </r>
  <r>
    <x v="108"/>
    <n v="449"/>
    <n v="444"/>
    <n v="425"/>
  </r>
  <r>
    <x v="109"/>
    <n v="300"/>
    <n v="358"/>
    <n v="377"/>
  </r>
  <r>
    <x v="110"/>
    <n v="307"/>
    <n v="417"/>
    <n v="405"/>
  </r>
  <r>
    <x v="111"/>
    <n v="314"/>
    <n v="340"/>
    <n v="345"/>
  </r>
  <r>
    <x v="112"/>
    <n v="379"/>
    <n v="288"/>
    <n v="353"/>
  </r>
  <r>
    <x v="113"/>
    <n v="405"/>
    <n v="454"/>
    <n v="342"/>
  </r>
  <r>
    <x v="114"/>
    <n v="407"/>
    <n v="300"/>
    <n v="365"/>
  </r>
  <r>
    <x v="115"/>
    <n v="432"/>
    <n v="423"/>
    <n v="221"/>
  </r>
  <r>
    <x v="116"/>
    <n v="405"/>
    <n v="449"/>
    <n v="231"/>
  </r>
  <r>
    <x v="117"/>
    <n v="162"/>
    <n v="294"/>
    <n v="255"/>
  </r>
  <r>
    <x v="118"/>
    <n v="297"/>
    <n v="341"/>
    <n v="223"/>
  </r>
  <r>
    <x v="119"/>
    <n v="226"/>
    <n v="329"/>
    <n v="261"/>
  </r>
  <r>
    <x v="120"/>
    <n v="226"/>
    <n v="256"/>
    <n v="239"/>
  </r>
  <r>
    <x v="121"/>
    <n v="287"/>
    <n v="217"/>
    <n v="262"/>
  </r>
  <r>
    <x v="122"/>
    <n v="351"/>
    <n v="266"/>
    <n v="226"/>
  </r>
  <r>
    <x v="123"/>
    <n v="214"/>
    <n v="260"/>
    <n v="241"/>
  </r>
  <r>
    <x v="124"/>
    <n v="282"/>
    <n v="227"/>
    <n v="258"/>
  </r>
  <r>
    <x v="125"/>
    <n v="257"/>
    <n v="251"/>
    <n v="252"/>
  </r>
  <r>
    <x v="126"/>
    <n v="172"/>
    <n v="171"/>
    <n v="268"/>
  </r>
  <r>
    <x v="127"/>
    <n v="197"/>
    <n v="326"/>
    <n v="224"/>
  </r>
  <r>
    <x v="128"/>
    <n v="292"/>
    <n v="329"/>
    <n v="255"/>
  </r>
  <r>
    <x v="129"/>
    <n v="172"/>
    <n v="216"/>
    <n v="199"/>
  </r>
  <r>
    <x v="130"/>
    <n v="258"/>
    <n v="291"/>
    <n v="220"/>
  </r>
  <r>
    <x v="131"/>
    <n v="276"/>
    <n v="347"/>
    <n v="197"/>
  </r>
  <r>
    <x v="132"/>
    <n v="210"/>
    <n v="333"/>
    <n v="218"/>
  </r>
  <r>
    <x v="133"/>
    <n v="168"/>
    <n v="211"/>
    <n v="180"/>
  </r>
  <r>
    <x v="134"/>
    <n v="196"/>
    <n v="348"/>
    <n v="225"/>
  </r>
  <r>
    <x v="135"/>
    <n v="284"/>
    <n v="226"/>
    <n v="197"/>
  </r>
  <r>
    <x v="136"/>
    <n v="162"/>
    <n v="345"/>
    <n v="194"/>
  </r>
  <r>
    <x v="137"/>
    <n v="212"/>
    <n v="184"/>
    <n v="183"/>
  </r>
  <r>
    <x v="138"/>
    <n v="165"/>
    <n v="232"/>
    <n v="202"/>
  </r>
  <r>
    <x v="139"/>
    <n v="163"/>
    <n v="314"/>
    <n v="213"/>
  </r>
  <r>
    <x v="140"/>
    <n v="200"/>
    <n v="307"/>
    <n v="206"/>
  </r>
  <r>
    <x v="141"/>
    <n v="201"/>
    <n v="274"/>
    <n v="210"/>
  </r>
  <r>
    <x v="142"/>
    <n v="269"/>
    <n v="278"/>
    <n v="228"/>
  </r>
  <r>
    <x v="143"/>
    <n v="188"/>
    <n v="195"/>
    <n v="207"/>
  </r>
  <r>
    <x v="144"/>
    <n v="142"/>
    <n v="249"/>
    <n v="202"/>
  </r>
  <r>
    <x v="145"/>
    <n v="232"/>
    <n v="116"/>
    <n v="195"/>
  </r>
  <r>
    <x v="146"/>
    <n v="296"/>
    <n v="102"/>
    <n v="192"/>
  </r>
  <r>
    <x v="147"/>
    <n v="161"/>
    <n v="151"/>
    <n v="216"/>
  </r>
  <r>
    <x v="148"/>
    <n v="162"/>
    <n v="261"/>
    <n v="184"/>
  </r>
  <r>
    <x v="149"/>
    <n v="216"/>
    <n v="147"/>
    <n v="204"/>
  </r>
  <r>
    <x v="150"/>
    <n v="282"/>
    <n v="297"/>
    <n v="195"/>
  </r>
  <r>
    <x v="151"/>
    <n v="214"/>
    <n v="198"/>
    <n v="200"/>
  </r>
  <r>
    <x v="152"/>
    <n v="289"/>
    <n v="290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  <n v="211"/>
    <n v="281"/>
    <n v="88"/>
    <s v="truskawki"/>
    <s v="maliny"/>
    <x v="0"/>
    <n v="211"/>
    <n v="0"/>
    <n v="70"/>
    <n v="88"/>
  </r>
  <r>
    <x v="1"/>
    <n v="393"/>
    <n v="313"/>
    <n v="83"/>
    <n v="393"/>
    <n v="383"/>
    <n v="171"/>
    <s v="maliny"/>
    <s v="truskawki"/>
    <x v="1"/>
    <n v="383"/>
    <n v="10"/>
    <n v="0"/>
    <n v="171"/>
  </r>
  <r>
    <x v="2"/>
    <n v="389"/>
    <n v="315"/>
    <n v="104"/>
    <n v="399"/>
    <n v="315"/>
    <n v="275"/>
    <s v="maliny"/>
    <s v="truskawki"/>
    <x v="1"/>
    <n v="315"/>
    <n v="84"/>
    <n v="0"/>
    <n v="275"/>
  </r>
  <r>
    <x v="3"/>
    <n v="308"/>
    <n v="221"/>
    <n v="119"/>
    <n v="392"/>
    <n v="221"/>
    <n v="394"/>
    <s v="porzeczki"/>
    <s v="maliny"/>
    <x v="2"/>
    <n v="392"/>
    <n v="0"/>
    <n v="221"/>
    <n v="2"/>
  </r>
  <r>
    <x v="4"/>
    <n v="387"/>
    <n v="275"/>
    <n v="72"/>
    <n v="387"/>
    <n v="496"/>
    <n v="74"/>
    <s v="truskawki"/>
    <s v="maliny"/>
    <x v="0"/>
    <n v="387"/>
    <n v="0"/>
    <n v="109"/>
    <n v="74"/>
  </r>
  <r>
    <x v="5"/>
    <n v="294"/>
    <n v="366"/>
    <n v="99"/>
    <n v="294"/>
    <n v="475"/>
    <n v="173"/>
    <s v="truskawki"/>
    <s v="maliny"/>
    <x v="0"/>
    <n v="294"/>
    <n v="0"/>
    <n v="181"/>
    <n v="173"/>
  </r>
  <r>
    <x v="6"/>
    <n v="389"/>
    <n v="288"/>
    <n v="87"/>
    <n v="389"/>
    <n v="469"/>
    <n v="260"/>
    <s v="truskawki"/>
    <s v="maliny"/>
    <x v="0"/>
    <n v="389"/>
    <n v="0"/>
    <n v="80"/>
    <n v="260"/>
  </r>
  <r>
    <x v="7"/>
    <n v="259"/>
    <n v="361"/>
    <n v="112"/>
    <n v="259"/>
    <n v="441"/>
    <n v="372"/>
    <s v="truskawki"/>
    <s v="porzeczki"/>
    <x v="3"/>
    <n v="372"/>
    <n v="259"/>
    <n v="69"/>
    <n v="0"/>
  </r>
  <r>
    <x v="8"/>
    <n v="369"/>
    <n v="233"/>
    <n v="110"/>
    <n v="628"/>
    <n v="302"/>
    <n v="110"/>
    <s v="maliny"/>
    <s v="truskawki"/>
    <x v="1"/>
    <n v="302"/>
    <n v="326"/>
    <n v="0"/>
    <n v="110"/>
  </r>
  <r>
    <x v="9"/>
    <n v="263"/>
    <n v="393"/>
    <n v="75"/>
    <n v="589"/>
    <n v="393"/>
    <n v="185"/>
    <s v="maliny"/>
    <s v="truskawki"/>
    <x v="1"/>
    <n v="393"/>
    <n v="196"/>
    <n v="0"/>
    <n v="185"/>
  </r>
  <r>
    <x v="10"/>
    <n v="239"/>
    <n v="347"/>
    <n v="94"/>
    <n v="435"/>
    <n v="347"/>
    <n v="279"/>
    <s v="maliny"/>
    <s v="truskawki"/>
    <x v="1"/>
    <n v="347"/>
    <n v="88"/>
    <n v="0"/>
    <n v="279"/>
  </r>
  <r>
    <x v="11"/>
    <n v="282"/>
    <n v="338"/>
    <n v="86"/>
    <n v="370"/>
    <n v="338"/>
    <n v="365"/>
    <s v="maliny"/>
    <s v="porzeczki"/>
    <x v="4"/>
    <n v="365"/>
    <n v="5"/>
    <n v="338"/>
    <n v="0"/>
  </r>
  <r>
    <x v="12"/>
    <n v="306"/>
    <n v="273"/>
    <n v="75"/>
    <n v="311"/>
    <n v="611"/>
    <n v="75"/>
    <s v="truskawki"/>
    <s v="maliny"/>
    <x v="0"/>
    <n v="311"/>
    <n v="0"/>
    <n v="300"/>
    <n v="75"/>
  </r>
  <r>
    <x v="13"/>
    <n v="251"/>
    <n v="325"/>
    <n v="89"/>
    <n v="251"/>
    <n v="625"/>
    <n v="164"/>
    <s v="truskawki"/>
    <s v="maliny"/>
    <x v="0"/>
    <n v="251"/>
    <n v="0"/>
    <n v="374"/>
    <n v="164"/>
  </r>
  <r>
    <x v="14"/>
    <n v="224"/>
    <n v="352"/>
    <n v="97"/>
    <n v="224"/>
    <n v="726"/>
    <n v="261"/>
    <s v="truskawki"/>
    <s v="porzeczki"/>
    <x v="3"/>
    <n v="261"/>
    <n v="224"/>
    <n v="465"/>
    <n v="0"/>
  </r>
  <r>
    <x v="15"/>
    <n v="233"/>
    <n v="270"/>
    <n v="94"/>
    <n v="457"/>
    <n v="735"/>
    <n v="94"/>
    <s v="truskawki"/>
    <s v="maliny"/>
    <x v="0"/>
    <n v="457"/>
    <n v="0"/>
    <n v="278"/>
    <n v="94"/>
  </r>
  <r>
    <x v="16"/>
    <n v="345"/>
    <n v="275"/>
    <n v="90"/>
    <n v="345"/>
    <n v="553"/>
    <n v="184"/>
    <s v="truskawki"/>
    <s v="maliny"/>
    <x v="0"/>
    <n v="345"/>
    <n v="0"/>
    <n v="208"/>
    <n v="184"/>
  </r>
  <r>
    <x v="17"/>
    <n v="232"/>
    <n v="228"/>
    <n v="107"/>
    <n v="232"/>
    <n v="436"/>
    <n v="291"/>
    <s v="truskawki"/>
    <s v="porzeczki"/>
    <x v="3"/>
    <n v="291"/>
    <n v="232"/>
    <n v="145"/>
    <n v="0"/>
  </r>
  <r>
    <x v="18"/>
    <n v="238"/>
    <n v="394"/>
    <n v="105"/>
    <n v="470"/>
    <n v="539"/>
    <n v="105"/>
    <s v="truskawki"/>
    <s v="maliny"/>
    <x v="0"/>
    <n v="470"/>
    <n v="0"/>
    <n v="69"/>
    <n v="105"/>
  </r>
  <r>
    <x v="19"/>
    <n v="378"/>
    <n v="311"/>
    <n v="110"/>
    <n v="378"/>
    <n v="380"/>
    <n v="215"/>
    <s v="truskawki"/>
    <s v="maliny"/>
    <x v="0"/>
    <n v="378"/>
    <n v="0"/>
    <n v="2"/>
    <n v="215"/>
  </r>
  <r>
    <x v="20"/>
    <n v="281"/>
    <n v="354"/>
    <n v="121"/>
    <n v="281"/>
    <n v="356"/>
    <n v="336"/>
    <s v="truskawki"/>
    <s v="porzeczki"/>
    <x v="3"/>
    <n v="336"/>
    <n v="281"/>
    <n v="20"/>
    <n v="0"/>
  </r>
  <r>
    <x v="21"/>
    <n v="390"/>
    <n v="267"/>
    <n v="124"/>
    <n v="671"/>
    <n v="287"/>
    <n v="124"/>
    <s v="maliny"/>
    <s v="truskawki"/>
    <x v="1"/>
    <n v="287"/>
    <n v="384"/>
    <n v="0"/>
    <n v="124"/>
  </r>
  <r>
    <x v="22"/>
    <n v="308"/>
    <n v="337"/>
    <n v="105"/>
    <n v="692"/>
    <n v="337"/>
    <n v="229"/>
    <s v="maliny"/>
    <s v="truskawki"/>
    <x v="1"/>
    <n v="337"/>
    <n v="355"/>
    <n v="0"/>
    <n v="229"/>
  </r>
  <r>
    <x v="23"/>
    <n v="391"/>
    <n v="238"/>
    <n v="113"/>
    <n v="746"/>
    <n v="238"/>
    <n v="342"/>
    <s v="maliny"/>
    <s v="porzeczki"/>
    <x v="4"/>
    <n v="342"/>
    <n v="404"/>
    <n v="238"/>
    <n v="0"/>
  </r>
  <r>
    <x v="24"/>
    <n v="241"/>
    <n v="283"/>
    <n v="140"/>
    <n v="645"/>
    <n v="521"/>
    <n v="140"/>
    <s v="maliny"/>
    <s v="truskawki"/>
    <x v="1"/>
    <n v="521"/>
    <n v="124"/>
    <n v="0"/>
    <n v="140"/>
  </r>
  <r>
    <x v="25"/>
    <n v="249"/>
    <n v="275"/>
    <n v="118"/>
    <n v="373"/>
    <n v="275"/>
    <n v="258"/>
    <s v="maliny"/>
    <s v="truskawki"/>
    <x v="1"/>
    <n v="275"/>
    <n v="98"/>
    <n v="0"/>
    <n v="258"/>
  </r>
  <r>
    <x v="26"/>
    <n v="298"/>
    <n v="263"/>
    <n v="145"/>
    <n v="396"/>
    <n v="263"/>
    <n v="403"/>
    <s v="porzeczki"/>
    <s v="maliny"/>
    <x v="2"/>
    <n v="396"/>
    <n v="0"/>
    <n v="263"/>
    <n v="7"/>
  </r>
  <r>
    <x v="27"/>
    <n v="254"/>
    <n v="241"/>
    <n v="149"/>
    <n v="254"/>
    <n v="504"/>
    <n v="156"/>
    <s v="truskawki"/>
    <s v="maliny"/>
    <x v="0"/>
    <n v="254"/>
    <n v="0"/>
    <n v="250"/>
    <n v="156"/>
  </r>
  <r>
    <x v="28"/>
    <n v="329"/>
    <n v="323"/>
    <n v="134"/>
    <n v="329"/>
    <n v="573"/>
    <n v="290"/>
    <s v="truskawki"/>
    <s v="maliny"/>
    <x v="0"/>
    <n v="329"/>
    <n v="0"/>
    <n v="244"/>
    <n v="290"/>
  </r>
  <r>
    <x v="29"/>
    <n v="213"/>
    <n v="221"/>
    <n v="119"/>
    <n v="213"/>
    <n v="465"/>
    <n v="409"/>
    <s v="truskawki"/>
    <s v="porzeczki"/>
    <x v="3"/>
    <n v="409"/>
    <n v="213"/>
    <n v="56"/>
    <n v="0"/>
  </r>
  <r>
    <x v="30"/>
    <n v="294"/>
    <n v="326"/>
    <n v="145"/>
    <n v="507"/>
    <n v="382"/>
    <n v="145"/>
    <s v="maliny"/>
    <s v="truskawki"/>
    <x v="1"/>
    <n v="382"/>
    <n v="125"/>
    <n v="0"/>
    <n v="145"/>
  </r>
  <r>
    <x v="31"/>
    <n v="225"/>
    <n v="206"/>
    <n v="122"/>
    <n v="350"/>
    <n v="206"/>
    <n v="267"/>
    <s v="maliny"/>
    <s v="porzeczki"/>
    <x v="4"/>
    <n v="267"/>
    <n v="83"/>
    <n v="206"/>
    <n v="0"/>
  </r>
  <r>
    <x v="32"/>
    <n v="264"/>
    <n v="355"/>
    <n v="134"/>
    <n v="347"/>
    <n v="561"/>
    <n v="134"/>
    <s v="truskawki"/>
    <s v="maliny"/>
    <x v="0"/>
    <n v="347"/>
    <n v="0"/>
    <n v="214"/>
    <n v="134"/>
  </r>
  <r>
    <x v="33"/>
    <n v="253"/>
    <n v="271"/>
    <n v="142"/>
    <n v="253"/>
    <n v="485"/>
    <n v="276"/>
    <s v="truskawki"/>
    <s v="porzeczki"/>
    <x v="3"/>
    <n v="276"/>
    <n v="253"/>
    <n v="209"/>
    <n v="0"/>
  </r>
  <r>
    <x v="34"/>
    <n v="352"/>
    <n v="207"/>
    <n v="125"/>
    <n v="605"/>
    <n v="416"/>
    <n v="125"/>
    <s v="maliny"/>
    <s v="truskawki"/>
    <x v="1"/>
    <n v="416"/>
    <n v="189"/>
    <n v="0"/>
    <n v="125"/>
  </r>
  <r>
    <x v="35"/>
    <n v="269"/>
    <n v="248"/>
    <n v="137"/>
    <n v="458"/>
    <n v="248"/>
    <n v="262"/>
    <s v="maliny"/>
    <s v="porzeczki"/>
    <x v="4"/>
    <n v="262"/>
    <n v="196"/>
    <n v="248"/>
    <n v="0"/>
  </r>
  <r>
    <x v="36"/>
    <n v="242"/>
    <n v="247"/>
    <n v="125"/>
    <n v="438"/>
    <n v="495"/>
    <n v="125"/>
    <s v="truskawki"/>
    <s v="maliny"/>
    <x v="0"/>
    <n v="438"/>
    <n v="0"/>
    <n v="57"/>
    <n v="125"/>
  </r>
  <r>
    <x v="37"/>
    <n v="327"/>
    <n v="262"/>
    <n v="103"/>
    <n v="327"/>
    <n v="319"/>
    <n v="228"/>
    <s v="maliny"/>
    <s v="truskawki"/>
    <x v="1"/>
    <n v="319"/>
    <n v="8"/>
    <n v="0"/>
    <n v="228"/>
  </r>
  <r>
    <x v="38"/>
    <n v="316"/>
    <n v="253"/>
    <n v="134"/>
    <n v="324"/>
    <n v="253"/>
    <n v="362"/>
    <s v="porzeczki"/>
    <s v="maliny"/>
    <x v="2"/>
    <n v="324"/>
    <n v="0"/>
    <n v="253"/>
    <n v="38"/>
  </r>
  <r>
    <x v="39"/>
    <n v="294"/>
    <n v="249"/>
    <n v="137"/>
    <n v="294"/>
    <n v="502"/>
    <n v="175"/>
    <s v="truskawki"/>
    <s v="maliny"/>
    <x v="0"/>
    <n v="294"/>
    <n v="0"/>
    <n v="208"/>
    <n v="175"/>
  </r>
  <r>
    <x v="40"/>
    <n v="270"/>
    <n v="206"/>
    <n v="146"/>
    <n v="270"/>
    <n v="414"/>
    <n v="321"/>
    <s v="truskawki"/>
    <s v="porzeczki"/>
    <x v="3"/>
    <n v="321"/>
    <n v="270"/>
    <n v="93"/>
    <n v="0"/>
  </r>
  <r>
    <x v="41"/>
    <n v="349"/>
    <n v="301"/>
    <n v="138"/>
    <n v="619"/>
    <n v="394"/>
    <n v="138"/>
    <s v="maliny"/>
    <s v="truskawki"/>
    <x v="1"/>
    <n v="394"/>
    <n v="225"/>
    <n v="0"/>
    <n v="138"/>
  </r>
  <r>
    <x v="42"/>
    <n v="224"/>
    <n v="385"/>
    <n v="138"/>
    <n v="449"/>
    <n v="385"/>
    <n v="276"/>
    <s v="maliny"/>
    <s v="truskawki"/>
    <x v="1"/>
    <n v="385"/>
    <n v="64"/>
    <n v="0"/>
    <n v="276"/>
  </r>
  <r>
    <x v="43"/>
    <n v="309"/>
    <n v="204"/>
    <n v="140"/>
    <n v="373"/>
    <n v="204"/>
    <n v="416"/>
    <s v="porzeczki"/>
    <s v="maliny"/>
    <x v="2"/>
    <n v="373"/>
    <n v="0"/>
    <n v="204"/>
    <n v="43"/>
  </r>
  <r>
    <x v="44"/>
    <n v="246"/>
    <n v="275"/>
    <n v="130"/>
    <n v="246"/>
    <n v="479"/>
    <n v="173"/>
    <s v="truskawki"/>
    <s v="maliny"/>
    <x v="0"/>
    <n v="246"/>
    <n v="0"/>
    <n v="233"/>
    <n v="173"/>
  </r>
  <r>
    <x v="45"/>
    <n v="241"/>
    <n v="247"/>
    <n v="166"/>
    <n v="241"/>
    <n v="480"/>
    <n v="339"/>
    <s v="truskawki"/>
    <s v="porzeczki"/>
    <x v="3"/>
    <n v="339"/>
    <n v="241"/>
    <n v="141"/>
    <n v="0"/>
  </r>
  <r>
    <x v="46"/>
    <n v="365"/>
    <n v="256"/>
    <n v="132"/>
    <n v="606"/>
    <n v="397"/>
    <n v="132"/>
    <s v="maliny"/>
    <s v="truskawki"/>
    <x v="1"/>
    <n v="397"/>
    <n v="209"/>
    <n v="0"/>
    <n v="132"/>
  </r>
  <r>
    <x v="47"/>
    <n v="225"/>
    <n v="392"/>
    <n v="158"/>
    <n v="434"/>
    <n v="392"/>
    <n v="290"/>
    <s v="maliny"/>
    <s v="truskawki"/>
    <x v="1"/>
    <n v="392"/>
    <n v="42"/>
    <n v="0"/>
    <n v="290"/>
  </r>
  <r>
    <x v="48"/>
    <n v="335"/>
    <n v="254"/>
    <n v="173"/>
    <n v="377"/>
    <n v="254"/>
    <n v="463"/>
    <s v="porzeczki"/>
    <s v="maliny"/>
    <x v="2"/>
    <n v="377"/>
    <n v="0"/>
    <n v="254"/>
    <n v="86"/>
  </r>
  <r>
    <x v="49"/>
    <n v="376"/>
    <n v="258"/>
    <n v="151"/>
    <n v="376"/>
    <n v="512"/>
    <n v="237"/>
    <s v="truskawki"/>
    <s v="maliny"/>
    <x v="0"/>
    <n v="376"/>
    <n v="0"/>
    <n v="136"/>
    <n v="237"/>
  </r>
  <r>
    <x v="50"/>
    <n v="310"/>
    <n v="248"/>
    <n v="173"/>
    <n v="310"/>
    <n v="384"/>
    <n v="410"/>
    <s v="porzeczki"/>
    <s v="truskawki"/>
    <x v="5"/>
    <n v="384"/>
    <n v="310"/>
    <n v="0"/>
    <n v="26"/>
  </r>
  <r>
    <x v="51"/>
    <n v="408"/>
    <n v="250"/>
    <n v="242"/>
    <n v="718"/>
    <n v="250"/>
    <n v="268"/>
    <s v="maliny"/>
    <s v="porzeczki"/>
    <x v="4"/>
    <n v="268"/>
    <n v="450"/>
    <n v="250"/>
    <n v="0"/>
  </r>
  <r>
    <x v="52"/>
    <n v="256"/>
    <n v="393"/>
    <n v="219"/>
    <n v="706"/>
    <n v="643"/>
    <n v="219"/>
    <s v="maliny"/>
    <s v="truskawki"/>
    <x v="1"/>
    <n v="643"/>
    <n v="63"/>
    <n v="0"/>
    <n v="219"/>
  </r>
  <r>
    <x v="53"/>
    <n v="322"/>
    <n v="425"/>
    <n v="215"/>
    <n v="385"/>
    <n v="425"/>
    <n v="434"/>
    <s v="porzeczki"/>
    <s v="truskawki"/>
    <x v="5"/>
    <n v="425"/>
    <n v="385"/>
    <n v="0"/>
    <n v="9"/>
  </r>
  <r>
    <x v="54"/>
    <n v="447"/>
    <n v="385"/>
    <n v="212"/>
    <n v="832"/>
    <n v="385"/>
    <n v="221"/>
    <s v="maliny"/>
    <s v="truskawki"/>
    <x v="1"/>
    <n v="385"/>
    <n v="447"/>
    <n v="0"/>
    <n v="221"/>
  </r>
  <r>
    <x v="55"/>
    <n v="408"/>
    <n v="260"/>
    <n v="225"/>
    <n v="855"/>
    <n v="260"/>
    <n v="446"/>
    <s v="maliny"/>
    <s v="porzeczki"/>
    <x v="4"/>
    <n v="446"/>
    <n v="409"/>
    <n v="260"/>
    <n v="0"/>
  </r>
  <r>
    <x v="56"/>
    <n v="283"/>
    <n v="396"/>
    <n v="221"/>
    <n v="692"/>
    <n v="656"/>
    <n v="221"/>
    <s v="maliny"/>
    <s v="truskawki"/>
    <x v="1"/>
    <n v="656"/>
    <n v="36"/>
    <n v="0"/>
    <n v="221"/>
  </r>
  <r>
    <x v="57"/>
    <n v="414"/>
    <n v="314"/>
    <n v="220"/>
    <n v="450"/>
    <n v="314"/>
    <n v="441"/>
    <s v="maliny"/>
    <s v="porzeczki"/>
    <x v="4"/>
    <n v="441"/>
    <n v="9"/>
    <n v="314"/>
    <n v="0"/>
  </r>
  <r>
    <x v="58"/>
    <n v="442"/>
    <n v="449"/>
    <n v="245"/>
    <n v="451"/>
    <n v="763"/>
    <n v="245"/>
    <s v="truskawki"/>
    <s v="maliny"/>
    <x v="0"/>
    <n v="451"/>
    <n v="0"/>
    <n v="312"/>
    <n v="245"/>
  </r>
  <r>
    <x v="59"/>
    <n v="269"/>
    <n v="370"/>
    <n v="242"/>
    <n v="269"/>
    <n v="682"/>
    <n v="487"/>
    <s v="truskawki"/>
    <s v="porzeczki"/>
    <x v="3"/>
    <n v="487"/>
    <n v="269"/>
    <n v="195"/>
    <n v="0"/>
  </r>
  <r>
    <x v="60"/>
    <n v="444"/>
    <n v="350"/>
    <n v="236"/>
    <n v="713"/>
    <n v="545"/>
    <n v="236"/>
    <s v="maliny"/>
    <s v="truskawki"/>
    <x v="1"/>
    <n v="545"/>
    <n v="168"/>
    <n v="0"/>
    <n v="236"/>
  </r>
  <r>
    <x v="61"/>
    <n v="425"/>
    <n v="342"/>
    <n v="237"/>
    <n v="593"/>
    <n v="342"/>
    <n v="473"/>
    <s v="maliny"/>
    <s v="porzeczki"/>
    <x v="4"/>
    <n v="473"/>
    <n v="120"/>
    <n v="342"/>
    <n v="0"/>
  </r>
  <r>
    <x v="62"/>
    <n v="377"/>
    <n v="290"/>
    <n v="240"/>
    <n v="497"/>
    <n v="632"/>
    <n v="240"/>
    <s v="truskawki"/>
    <s v="maliny"/>
    <x v="0"/>
    <n v="497"/>
    <n v="0"/>
    <n v="135"/>
    <n v="240"/>
  </r>
  <r>
    <x v="63"/>
    <n v="382"/>
    <n v="360"/>
    <n v="203"/>
    <n v="382"/>
    <n v="495"/>
    <n v="443"/>
    <s v="truskawki"/>
    <s v="porzeczki"/>
    <x v="3"/>
    <n v="443"/>
    <n v="382"/>
    <n v="52"/>
    <n v="0"/>
  </r>
  <r>
    <x v="64"/>
    <n v="287"/>
    <n v="428"/>
    <n v="204"/>
    <n v="669"/>
    <n v="480"/>
    <n v="204"/>
    <s v="maliny"/>
    <s v="truskawki"/>
    <x v="1"/>
    <n v="480"/>
    <n v="189"/>
    <n v="0"/>
    <n v="204"/>
  </r>
  <r>
    <x v="65"/>
    <n v="429"/>
    <n v="394"/>
    <n v="246"/>
    <n v="618"/>
    <n v="394"/>
    <n v="450"/>
    <s v="maliny"/>
    <s v="porzeczki"/>
    <x v="4"/>
    <n v="450"/>
    <n v="168"/>
    <n v="394"/>
    <n v="0"/>
  </r>
  <r>
    <x v="66"/>
    <n v="287"/>
    <n v="356"/>
    <n v="233"/>
    <n v="455"/>
    <n v="750"/>
    <n v="233"/>
    <s v="truskawki"/>
    <s v="maliny"/>
    <x v="0"/>
    <n v="455"/>
    <n v="0"/>
    <n v="295"/>
    <n v="233"/>
  </r>
  <r>
    <x v="67"/>
    <n v="421"/>
    <n v="292"/>
    <n v="226"/>
    <n v="421"/>
    <n v="587"/>
    <n v="459"/>
    <s v="truskawki"/>
    <s v="porzeczki"/>
    <x v="3"/>
    <n v="459"/>
    <n v="421"/>
    <n v="128"/>
    <n v="0"/>
  </r>
  <r>
    <x v="68"/>
    <n v="334"/>
    <n v="353"/>
    <n v="282"/>
    <n v="755"/>
    <n v="481"/>
    <n v="282"/>
    <s v="maliny"/>
    <s v="truskawki"/>
    <x v="1"/>
    <n v="481"/>
    <n v="274"/>
    <n v="0"/>
    <n v="282"/>
  </r>
  <r>
    <x v="69"/>
    <n v="282"/>
    <n v="329"/>
    <n v="262"/>
    <n v="556"/>
    <n v="329"/>
    <n v="544"/>
    <s v="maliny"/>
    <s v="porzeczki"/>
    <x v="4"/>
    <n v="544"/>
    <n v="12"/>
    <n v="329"/>
    <n v="0"/>
  </r>
  <r>
    <x v="70"/>
    <n v="356"/>
    <n v="331"/>
    <n v="290"/>
    <n v="368"/>
    <n v="660"/>
    <n v="290"/>
    <s v="truskawki"/>
    <s v="maliny"/>
    <x v="0"/>
    <n v="368"/>
    <n v="0"/>
    <n v="292"/>
    <n v="290"/>
  </r>
  <r>
    <x v="71"/>
    <n v="307"/>
    <n v="394"/>
    <n v="256"/>
    <n v="307"/>
    <n v="686"/>
    <n v="546"/>
    <s v="truskawki"/>
    <s v="porzeczki"/>
    <x v="3"/>
    <n v="546"/>
    <n v="307"/>
    <n v="140"/>
    <n v="0"/>
  </r>
  <r>
    <x v="72"/>
    <n v="441"/>
    <n v="271"/>
    <n v="292"/>
    <n v="748"/>
    <n v="411"/>
    <n v="292"/>
    <s v="maliny"/>
    <s v="truskawki"/>
    <x v="1"/>
    <n v="411"/>
    <n v="337"/>
    <n v="0"/>
    <n v="292"/>
  </r>
  <r>
    <x v="73"/>
    <n v="407"/>
    <n v="311"/>
    <n v="280"/>
    <n v="744"/>
    <n v="311"/>
    <n v="572"/>
    <s v="maliny"/>
    <s v="porzeczki"/>
    <x v="4"/>
    <n v="572"/>
    <n v="172"/>
    <n v="311"/>
    <n v="0"/>
  </r>
  <r>
    <x v="74"/>
    <n v="480"/>
    <n v="342"/>
    <n v="292"/>
    <n v="652"/>
    <n v="653"/>
    <n v="292"/>
    <s v="truskawki"/>
    <s v="maliny"/>
    <x v="0"/>
    <n v="652"/>
    <n v="0"/>
    <n v="1"/>
    <n v="292"/>
  </r>
  <r>
    <x v="75"/>
    <n v="494"/>
    <n v="310"/>
    <n v="275"/>
    <n v="494"/>
    <n v="311"/>
    <n v="567"/>
    <s v="porzeczki"/>
    <s v="maliny"/>
    <x v="2"/>
    <n v="494"/>
    <n v="0"/>
    <n v="311"/>
    <n v="73"/>
  </r>
  <r>
    <x v="76"/>
    <n v="493"/>
    <n v="431"/>
    <n v="283"/>
    <n v="493"/>
    <n v="742"/>
    <n v="356"/>
    <s v="truskawki"/>
    <s v="maliny"/>
    <x v="0"/>
    <n v="493"/>
    <n v="0"/>
    <n v="249"/>
    <n v="356"/>
  </r>
  <r>
    <x v="77"/>
    <n v="302"/>
    <n v="415"/>
    <n v="297"/>
    <n v="302"/>
    <n v="664"/>
    <n v="653"/>
    <s v="truskawki"/>
    <s v="porzeczki"/>
    <x v="3"/>
    <n v="653"/>
    <n v="302"/>
    <n v="11"/>
    <n v="0"/>
  </r>
  <r>
    <x v="78"/>
    <n v="331"/>
    <n v="353"/>
    <n v="373"/>
    <n v="633"/>
    <n v="364"/>
    <n v="373"/>
    <s v="maliny"/>
    <s v="porzeczki"/>
    <x v="4"/>
    <n v="373"/>
    <n v="260"/>
    <n v="364"/>
    <n v="0"/>
  </r>
  <r>
    <x v="79"/>
    <n v="486"/>
    <n v="323"/>
    <n v="359"/>
    <n v="746"/>
    <n v="687"/>
    <n v="359"/>
    <s v="maliny"/>
    <s v="truskawki"/>
    <x v="1"/>
    <n v="687"/>
    <n v="59"/>
    <n v="0"/>
    <n v="359"/>
  </r>
  <r>
    <x v="80"/>
    <n v="360"/>
    <n v="331"/>
    <n v="445"/>
    <n v="419"/>
    <n v="331"/>
    <n v="804"/>
    <s v="porzeczki"/>
    <s v="maliny"/>
    <x v="2"/>
    <n v="419"/>
    <n v="0"/>
    <n v="331"/>
    <n v="385"/>
  </r>
  <r>
    <x v="81"/>
    <n v="391"/>
    <n v="455"/>
    <n v="427"/>
    <n v="391"/>
    <n v="786"/>
    <n v="812"/>
    <s v="porzeczki"/>
    <s v="truskawki"/>
    <x v="5"/>
    <n v="786"/>
    <n v="391"/>
    <n v="0"/>
    <n v="26"/>
  </r>
  <r>
    <x v="82"/>
    <n v="327"/>
    <n v="471"/>
    <n v="423"/>
    <n v="718"/>
    <n v="471"/>
    <n v="449"/>
    <s v="maliny"/>
    <s v="truskawki"/>
    <x v="1"/>
    <n v="471"/>
    <n v="247"/>
    <n v="0"/>
    <n v="449"/>
  </r>
  <r>
    <x v="83"/>
    <n v="355"/>
    <n v="490"/>
    <n v="449"/>
    <n v="602"/>
    <n v="490"/>
    <n v="898"/>
    <s v="porzeczki"/>
    <s v="maliny"/>
    <x v="2"/>
    <n v="602"/>
    <n v="0"/>
    <n v="490"/>
    <n v="296"/>
  </r>
  <r>
    <x v="84"/>
    <n v="360"/>
    <n v="339"/>
    <n v="470"/>
    <n v="360"/>
    <n v="829"/>
    <n v="766"/>
    <s v="truskawki"/>
    <s v="porzeczki"/>
    <x v="3"/>
    <n v="766"/>
    <n v="360"/>
    <n v="63"/>
    <n v="0"/>
  </r>
  <r>
    <x v="85"/>
    <n v="303"/>
    <n v="404"/>
    <n v="434"/>
    <n v="663"/>
    <n v="467"/>
    <n v="434"/>
    <s v="maliny"/>
    <s v="truskawki"/>
    <x v="1"/>
    <n v="467"/>
    <n v="196"/>
    <n v="0"/>
    <n v="434"/>
  </r>
  <r>
    <x v="86"/>
    <n v="310"/>
    <n v="332"/>
    <n v="536"/>
    <n v="506"/>
    <n v="332"/>
    <n v="970"/>
    <s v="porzeczki"/>
    <s v="maliny"/>
    <x v="2"/>
    <n v="506"/>
    <n v="0"/>
    <n v="332"/>
    <n v="464"/>
  </r>
  <r>
    <x v="87"/>
    <n v="435"/>
    <n v="406"/>
    <n v="421"/>
    <n v="435"/>
    <n v="738"/>
    <n v="885"/>
    <s v="porzeczki"/>
    <s v="truskawki"/>
    <x v="5"/>
    <n v="738"/>
    <n v="435"/>
    <n v="0"/>
    <n v="147"/>
  </r>
  <r>
    <x v="88"/>
    <n v="344"/>
    <n v="348"/>
    <n v="555"/>
    <n v="779"/>
    <n v="348"/>
    <n v="702"/>
    <s v="maliny"/>
    <s v="porzeczki"/>
    <x v="4"/>
    <n v="702"/>
    <n v="77"/>
    <n v="348"/>
    <n v="0"/>
  </r>
  <r>
    <x v="89"/>
    <n v="303"/>
    <n v="335"/>
    <n v="436"/>
    <n v="380"/>
    <n v="683"/>
    <n v="436"/>
    <s v="truskawki"/>
    <s v="porzeczki"/>
    <x v="3"/>
    <n v="436"/>
    <n v="380"/>
    <n v="247"/>
    <n v="0"/>
  </r>
  <r>
    <x v="90"/>
    <n v="433"/>
    <n v="425"/>
    <n v="422"/>
    <n v="813"/>
    <n v="672"/>
    <n v="422"/>
    <s v="maliny"/>
    <s v="truskawki"/>
    <x v="1"/>
    <n v="672"/>
    <n v="141"/>
    <n v="0"/>
    <n v="422"/>
  </r>
  <r>
    <x v="91"/>
    <n v="350"/>
    <n v="378"/>
    <n v="419"/>
    <n v="491"/>
    <n v="378"/>
    <n v="841"/>
    <s v="porzeczki"/>
    <s v="maliny"/>
    <x v="2"/>
    <n v="491"/>
    <n v="0"/>
    <n v="378"/>
    <n v="350"/>
  </r>
  <r>
    <x v="92"/>
    <n v="396"/>
    <n v="466"/>
    <n v="434"/>
    <n v="396"/>
    <n v="844"/>
    <n v="784"/>
    <s v="truskawki"/>
    <s v="porzeczki"/>
    <x v="3"/>
    <n v="784"/>
    <n v="396"/>
    <n v="60"/>
    <n v="0"/>
  </r>
  <r>
    <x v="93"/>
    <n v="495"/>
    <n v="410"/>
    <n v="418"/>
    <n v="891"/>
    <n v="470"/>
    <n v="418"/>
    <s v="maliny"/>
    <s v="truskawki"/>
    <x v="1"/>
    <n v="470"/>
    <n v="421"/>
    <n v="0"/>
    <n v="418"/>
  </r>
  <r>
    <x v="94"/>
    <n v="420"/>
    <n v="328"/>
    <n v="422"/>
    <n v="841"/>
    <n v="328"/>
    <n v="840"/>
    <s v="maliny"/>
    <s v="porzeczki"/>
    <x v="4"/>
    <n v="840"/>
    <n v="1"/>
    <n v="328"/>
    <n v="0"/>
  </r>
  <r>
    <x v="95"/>
    <n v="411"/>
    <n v="481"/>
    <n v="445"/>
    <n v="412"/>
    <n v="809"/>
    <n v="445"/>
    <s v="truskawki"/>
    <s v="porzeczki"/>
    <x v="3"/>
    <n v="445"/>
    <n v="412"/>
    <n v="364"/>
    <n v="0"/>
  </r>
  <r>
    <x v="96"/>
    <n v="317"/>
    <n v="434"/>
    <n v="411"/>
    <n v="729"/>
    <n v="798"/>
    <n v="411"/>
    <s v="truskawki"/>
    <s v="maliny"/>
    <x v="0"/>
    <n v="729"/>
    <n v="0"/>
    <n v="69"/>
    <n v="411"/>
  </r>
  <r>
    <x v="97"/>
    <n v="342"/>
    <n v="465"/>
    <n v="417"/>
    <n v="342"/>
    <n v="534"/>
    <n v="828"/>
    <s v="porzeczki"/>
    <s v="truskawki"/>
    <x v="5"/>
    <n v="534"/>
    <n v="342"/>
    <n v="0"/>
    <n v="294"/>
  </r>
  <r>
    <x v="98"/>
    <n v="450"/>
    <n v="318"/>
    <n v="490"/>
    <n v="792"/>
    <n v="318"/>
    <n v="784"/>
    <s v="maliny"/>
    <s v="porzeczki"/>
    <x v="4"/>
    <n v="784"/>
    <n v="8"/>
    <n v="318"/>
    <n v="0"/>
  </r>
  <r>
    <x v="99"/>
    <n v="343"/>
    <n v="329"/>
    <n v="345"/>
    <n v="351"/>
    <n v="647"/>
    <n v="345"/>
    <s v="truskawki"/>
    <s v="maliny"/>
    <x v="0"/>
    <n v="351"/>
    <n v="0"/>
    <n v="296"/>
    <n v="345"/>
  </r>
  <r>
    <x v="100"/>
    <n v="287"/>
    <n v="328"/>
    <n v="377"/>
    <n v="287"/>
    <n v="624"/>
    <n v="722"/>
    <s v="porzeczki"/>
    <s v="truskawki"/>
    <x v="5"/>
    <n v="624"/>
    <n v="287"/>
    <n v="0"/>
    <n v="98"/>
  </r>
  <r>
    <x v="101"/>
    <n v="298"/>
    <n v="401"/>
    <n v="416"/>
    <n v="585"/>
    <n v="401"/>
    <n v="514"/>
    <s v="maliny"/>
    <s v="porzeczki"/>
    <x v="4"/>
    <n v="514"/>
    <n v="71"/>
    <n v="401"/>
    <n v="0"/>
  </r>
  <r>
    <x v="102"/>
    <n v="429"/>
    <n v="348"/>
    <n v="426"/>
    <n v="500"/>
    <n v="749"/>
    <n v="426"/>
    <s v="truskawki"/>
    <s v="maliny"/>
    <x v="0"/>
    <n v="500"/>
    <n v="0"/>
    <n v="249"/>
    <n v="426"/>
  </r>
  <r>
    <x v="103"/>
    <n v="417"/>
    <n v="457"/>
    <n v="438"/>
    <n v="417"/>
    <n v="706"/>
    <n v="864"/>
    <s v="porzeczki"/>
    <s v="truskawki"/>
    <x v="5"/>
    <n v="706"/>
    <n v="417"/>
    <n v="0"/>
    <n v="158"/>
  </r>
  <r>
    <x v="104"/>
    <n v="384"/>
    <n v="330"/>
    <n v="292"/>
    <n v="801"/>
    <n v="330"/>
    <n v="450"/>
    <s v="maliny"/>
    <s v="porzeczki"/>
    <x v="4"/>
    <n v="450"/>
    <n v="351"/>
    <n v="330"/>
    <n v="0"/>
  </r>
  <r>
    <x v="105"/>
    <n v="370"/>
    <n v="388"/>
    <n v="390"/>
    <n v="721"/>
    <n v="718"/>
    <n v="390"/>
    <s v="maliny"/>
    <s v="truskawki"/>
    <x v="1"/>
    <n v="718"/>
    <n v="3"/>
    <n v="0"/>
    <n v="390"/>
  </r>
  <r>
    <x v="106"/>
    <n v="436"/>
    <n v="298"/>
    <n v="420"/>
    <n v="439"/>
    <n v="298"/>
    <n v="810"/>
    <s v="porzeczki"/>
    <s v="maliny"/>
    <x v="2"/>
    <n v="439"/>
    <n v="0"/>
    <n v="298"/>
    <n v="371"/>
  </r>
  <r>
    <x v="107"/>
    <n v="303"/>
    <n v="429"/>
    <n v="407"/>
    <n v="303"/>
    <n v="727"/>
    <n v="778"/>
    <s v="porzeczki"/>
    <s v="truskawki"/>
    <x v="5"/>
    <n v="727"/>
    <n v="303"/>
    <n v="0"/>
    <n v="51"/>
  </r>
  <r>
    <x v="108"/>
    <n v="449"/>
    <n v="444"/>
    <n v="425"/>
    <n v="752"/>
    <n v="444"/>
    <n v="476"/>
    <s v="maliny"/>
    <s v="porzeczki"/>
    <x v="4"/>
    <n v="476"/>
    <n v="276"/>
    <n v="444"/>
    <n v="0"/>
  </r>
  <r>
    <x v="109"/>
    <n v="300"/>
    <n v="358"/>
    <n v="377"/>
    <n v="576"/>
    <n v="802"/>
    <n v="377"/>
    <s v="truskawki"/>
    <s v="maliny"/>
    <x v="0"/>
    <n v="576"/>
    <n v="0"/>
    <n v="226"/>
    <n v="377"/>
  </r>
  <r>
    <x v="110"/>
    <n v="307"/>
    <n v="417"/>
    <n v="405"/>
    <n v="307"/>
    <n v="643"/>
    <n v="782"/>
    <s v="porzeczki"/>
    <s v="truskawki"/>
    <x v="5"/>
    <n v="643"/>
    <n v="307"/>
    <n v="0"/>
    <n v="139"/>
  </r>
  <r>
    <x v="111"/>
    <n v="314"/>
    <n v="340"/>
    <n v="345"/>
    <n v="621"/>
    <n v="340"/>
    <n v="484"/>
    <s v="maliny"/>
    <s v="porzeczki"/>
    <x v="4"/>
    <n v="484"/>
    <n v="137"/>
    <n v="340"/>
    <n v="0"/>
  </r>
  <r>
    <x v="112"/>
    <n v="379"/>
    <n v="288"/>
    <n v="353"/>
    <n v="516"/>
    <n v="628"/>
    <n v="353"/>
    <s v="truskawki"/>
    <s v="maliny"/>
    <x v="0"/>
    <n v="516"/>
    <n v="0"/>
    <n v="112"/>
    <n v="353"/>
  </r>
  <r>
    <x v="113"/>
    <n v="405"/>
    <n v="454"/>
    <n v="342"/>
    <n v="405"/>
    <n v="566"/>
    <n v="695"/>
    <s v="porzeczki"/>
    <s v="truskawki"/>
    <x v="5"/>
    <n v="566"/>
    <n v="405"/>
    <n v="0"/>
    <n v="129"/>
  </r>
  <r>
    <x v="114"/>
    <n v="407"/>
    <n v="300"/>
    <n v="365"/>
    <n v="812"/>
    <n v="300"/>
    <n v="494"/>
    <s v="maliny"/>
    <s v="porzeczki"/>
    <x v="4"/>
    <n v="494"/>
    <n v="318"/>
    <n v="300"/>
    <n v="0"/>
  </r>
  <r>
    <x v="115"/>
    <n v="432"/>
    <n v="423"/>
    <n v="221"/>
    <n v="750"/>
    <n v="723"/>
    <n v="221"/>
    <s v="maliny"/>
    <s v="truskawki"/>
    <x v="1"/>
    <n v="723"/>
    <n v="27"/>
    <n v="0"/>
    <n v="221"/>
  </r>
  <r>
    <x v="116"/>
    <n v="405"/>
    <n v="449"/>
    <n v="231"/>
    <n v="432"/>
    <n v="449"/>
    <n v="452"/>
    <s v="porzeczki"/>
    <s v="truskawki"/>
    <x v="5"/>
    <n v="449"/>
    <n v="432"/>
    <n v="0"/>
    <n v="3"/>
  </r>
  <r>
    <x v="117"/>
    <n v="162"/>
    <n v="294"/>
    <n v="255"/>
    <n v="594"/>
    <n v="294"/>
    <n v="258"/>
    <s v="maliny"/>
    <s v="truskawki"/>
    <x v="1"/>
    <n v="294"/>
    <n v="300"/>
    <n v="0"/>
    <n v="258"/>
  </r>
  <r>
    <x v="118"/>
    <n v="297"/>
    <n v="341"/>
    <n v="223"/>
    <n v="597"/>
    <n v="341"/>
    <n v="481"/>
    <s v="maliny"/>
    <s v="porzeczki"/>
    <x v="4"/>
    <n v="481"/>
    <n v="116"/>
    <n v="341"/>
    <n v="0"/>
  </r>
  <r>
    <x v="119"/>
    <n v="226"/>
    <n v="329"/>
    <n v="261"/>
    <n v="342"/>
    <n v="670"/>
    <n v="261"/>
    <s v="truskawki"/>
    <s v="maliny"/>
    <x v="0"/>
    <n v="342"/>
    <n v="0"/>
    <n v="328"/>
    <n v="261"/>
  </r>
  <r>
    <x v="120"/>
    <n v="226"/>
    <n v="256"/>
    <n v="239"/>
    <n v="226"/>
    <n v="584"/>
    <n v="500"/>
    <s v="truskawki"/>
    <s v="porzeczki"/>
    <x v="3"/>
    <n v="500"/>
    <n v="226"/>
    <n v="84"/>
    <n v="0"/>
  </r>
  <r>
    <x v="121"/>
    <n v="287"/>
    <n v="217"/>
    <n v="262"/>
    <n v="513"/>
    <n v="301"/>
    <n v="262"/>
    <s v="maliny"/>
    <s v="truskawki"/>
    <x v="1"/>
    <n v="301"/>
    <n v="212"/>
    <n v="0"/>
    <n v="262"/>
  </r>
  <r>
    <x v="122"/>
    <n v="351"/>
    <n v="266"/>
    <n v="226"/>
    <n v="563"/>
    <n v="266"/>
    <n v="488"/>
    <s v="maliny"/>
    <s v="porzeczki"/>
    <x v="4"/>
    <n v="488"/>
    <n v="75"/>
    <n v="266"/>
    <n v="0"/>
  </r>
  <r>
    <x v="123"/>
    <n v="214"/>
    <n v="260"/>
    <n v="241"/>
    <n v="289"/>
    <n v="526"/>
    <n v="241"/>
    <s v="truskawki"/>
    <s v="maliny"/>
    <x v="0"/>
    <n v="289"/>
    <n v="0"/>
    <n v="237"/>
    <n v="241"/>
  </r>
  <r>
    <x v="124"/>
    <n v="282"/>
    <n v="227"/>
    <n v="258"/>
    <n v="282"/>
    <n v="464"/>
    <n v="499"/>
    <s v="porzeczki"/>
    <s v="truskawki"/>
    <x v="5"/>
    <n v="464"/>
    <n v="282"/>
    <n v="0"/>
    <n v="35"/>
  </r>
  <r>
    <x v="125"/>
    <n v="257"/>
    <n v="251"/>
    <n v="252"/>
    <n v="539"/>
    <n v="251"/>
    <n v="287"/>
    <s v="maliny"/>
    <s v="porzeczki"/>
    <x v="4"/>
    <n v="287"/>
    <n v="252"/>
    <n v="251"/>
    <n v="0"/>
  </r>
  <r>
    <x v="126"/>
    <n v="172"/>
    <n v="171"/>
    <n v="268"/>
    <n v="424"/>
    <n v="422"/>
    <n v="268"/>
    <s v="maliny"/>
    <s v="truskawki"/>
    <x v="1"/>
    <n v="422"/>
    <n v="2"/>
    <n v="0"/>
    <n v="268"/>
  </r>
  <r>
    <x v="127"/>
    <n v="197"/>
    <n v="326"/>
    <n v="224"/>
    <n v="199"/>
    <n v="326"/>
    <n v="492"/>
    <s v="porzeczki"/>
    <s v="truskawki"/>
    <x v="5"/>
    <n v="326"/>
    <n v="199"/>
    <n v="0"/>
    <n v="166"/>
  </r>
  <r>
    <x v="128"/>
    <n v="292"/>
    <n v="329"/>
    <n v="255"/>
    <n v="491"/>
    <n v="329"/>
    <n v="421"/>
    <s v="maliny"/>
    <s v="porzeczki"/>
    <x v="4"/>
    <n v="421"/>
    <n v="70"/>
    <n v="329"/>
    <n v="0"/>
  </r>
  <r>
    <x v="129"/>
    <n v="172"/>
    <n v="216"/>
    <n v="199"/>
    <n v="242"/>
    <n v="545"/>
    <n v="199"/>
    <s v="truskawki"/>
    <s v="maliny"/>
    <x v="0"/>
    <n v="242"/>
    <n v="0"/>
    <n v="303"/>
    <n v="199"/>
  </r>
  <r>
    <x v="130"/>
    <n v="258"/>
    <n v="291"/>
    <n v="220"/>
    <n v="258"/>
    <n v="594"/>
    <n v="419"/>
    <s v="truskawki"/>
    <s v="porzeczki"/>
    <x v="3"/>
    <n v="419"/>
    <n v="258"/>
    <n v="175"/>
    <n v="0"/>
  </r>
  <r>
    <x v="131"/>
    <n v="276"/>
    <n v="347"/>
    <n v="197"/>
    <n v="534"/>
    <n v="522"/>
    <n v="197"/>
    <s v="maliny"/>
    <s v="truskawki"/>
    <x v="1"/>
    <n v="522"/>
    <n v="12"/>
    <n v="0"/>
    <n v="197"/>
  </r>
  <r>
    <x v="132"/>
    <n v="210"/>
    <n v="333"/>
    <n v="218"/>
    <n v="222"/>
    <n v="333"/>
    <n v="415"/>
    <s v="porzeczki"/>
    <s v="truskawki"/>
    <x v="5"/>
    <n v="333"/>
    <n v="222"/>
    <n v="0"/>
    <n v="82"/>
  </r>
  <r>
    <x v="133"/>
    <n v="168"/>
    <n v="211"/>
    <n v="180"/>
    <n v="390"/>
    <n v="211"/>
    <n v="262"/>
    <s v="maliny"/>
    <s v="porzeczki"/>
    <x v="4"/>
    <n v="262"/>
    <n v="128"/>
    <n v="211"/>
    <n v="0"/>
  </r>
  <r>
    <x v="134"/>
    <n v="196"/>
    <n v="348"/>
    <n v="225"/>
    <n v="324"/>
    <n v="559"/>
    <n v="225"/>
    <s v="truskawki"/>
    <s v="maliny"/>
    <x v="0"/>
    <n v="324"/>
    <n v="0"/>
    <n v="235"/>
    <n v="225"/>
  </r>
  <r>
    <x v="135"/>
    <n v="284"/>
    <n v="226"/>
    <n v="197"/>
    <n v="284"/>
    <n v="461"/>
    <n v="422"/>
    <s v="truskawki"/>
    <s v="porzeczki"/>
    <x v="3"/>
    <n v="422"/>
    <n v="284"/>
    <n v="39"/>
    <n v="0"/>
  </r>
  <r>
    <x v="136"/>
    <n v="162"/>
    <n v="345"/>
    <n v="194"/>
    <n v="446"/>
    <n v="384"/>
    <n v="194"/>
    <s v="maliny"/>
    <s v="truskawki"/>
    <x v="1"/>
    <n v="384"/>
    <n v="62"/>
    <n v="0"/>
    <n v="194"/>
  </r>
  <r>
    <x v="137"/>
    <n v="212"/>
    <n v="184"/>
    <n v="183"/>
    <n v="274"/>
    <n v="184"/>
    <n v="377"/>
    <s v="porzeczki"/>
    <s v="maliny"/>
    <x v="2"/>
    <n v="274"/>
    <n v="0"/>
    <n v="184"/>
    <n v="103"/>
  </r>
  <r>
    <x v="138"/>
    <n v="165"/>
    <n v="232"/>
    <n v="202"/>
    <n v="165"/>
    <n v="416"/>
    <n v="305"/>
    <s v="truskawki"/>
    <s v="porzeczki"/>
    <x v="3"/>
    <n v="305"/>
    <n v="165"/>
    <n v="111"/>
    <n v="0"/>
  </r>
  <r>
    <x v="139"/>
    <n v="163"/>
    <n v="314"/>
    <n v="213"/>
    <n v="328"/>
    <n v="425"/>
    <n v="213"/>
    <s v="truskawki"/>
    <s v="maliny"/>
    <x v="0"/>
    <n v="328"/>
    <n v="0"/>
    <n v="97"/>
    <n v="213"/>
  </r>
  <r>
    <x v="140"/>
    <n v="200"/>
    <n v="307"/>
    <n v="206"/>
    <n v="200"/>
    <n v="404"/>
    <n v="419"/>
    <s v="porzeczki"/>
    <s v="truskawki"/>
    <x v="5"/>
    <n v="404"/>
    <n v="200"/>
    <n v="0"/>
    <n v="15"/>
  </r>
  <r>
    <x v="141"/>
    <n v="201"/>
    <n v="274"/>
    <n v="210"/>
    <n v="401"/>
    <n v="274"/>
    <n v="225"/>
    <s v="maliny"/>
    <s v="truskawki"/>
    <x v="1"/>
    <n v="274"/>
    <n v="127"/>
    <n v="0"/>
    <n v="225"/>
  </r>
  <r>
    <x v="142"/>
    <n v="269"/>
    <n v="278"/>
    <n v="228"/>
    <n v="396"/>
    <n v="278"/>
    <n v="453"/>
    <s v="porzeczki"/>
    <s v="maliny"/>
    <x v="2"/>
    <n v="396"/>
    <n v="0"/>
    <n v="278"/>
    <n v="57"/>
  </r>
  <r>
    <x v="143"/>
    <n v="188"/>
    <n v="195"/>
    <n v="207"/>
    <n v="188"/>
    <n v="473"/>
    <n v="264"/>
    <s v="truskawki"/>
    <s v="porzeczki"/>
    <x v="3"/>
    <n v="264"/>
    <n v="188"/>
    <n v="209"/>
    <n v="0"/>
  </r>
  <r>
    <x v="144"/>
    <n v="142"/>
    <n v="249"/>
    <n v="202"/>
    <n v="330"/>
    <n v="458"/>
    <n v="202"/>
    <s v="truskawki"/>
    <s v="maliny"/>
    <x v="0"/>
    <n v="330"/>
    <n v="0"/>
    <n v="128"/>
    <n v="202"/>
  </r>
  <r>
    <x v="145"/>
    <n v="232"/>
    <n v="116"/>
    <n v="195"/>
    <n v="232"/>
    <n v="244"/>
    <n v="397"/>
    <s v="porzeczki"/>
    <s v="truskawki"/>
    <x v="5"/>
    <n v="244"/>
    <n v="232"/>
    <n v="0"/>
    <n v="153"/>
  </r>
  <r>
    <x v="146"/>
    <n v="296"/>
    <n v="102"/>
    <n v="192"/>
    <n v="528"/>
    <n v="102"/>
    <n v="345"/>
    <s v="maliny"/>
    <s v="porzeczki"/>
    <x v="4"/>
    <n v="345"/>
    <n v="183"/>
    <n v="102"/>
    <n v="0"/>
  </r>
  <r>
    <x v="147"/>
    <n v="161"/>
    <n v="151"/>
    <n v="216"/>
    <n v="344"/>
    <n v="253"/>
    <n v="216"/>
    <s v="maliny"/>
    <s v="truskawki"/>
    <x v="1"/>
    <n v="253"/>
    <n v="91"/>
    <n v="0"/>
    <n v="216"/>
  </r>
  <r>
    <x v="148"/>
    <n v="162"/>
    <n v="261"/>
    <n v="184"/>
    <n v="253"/>
    <n v="261"/>
    <n v="400"/>
    <s v="porzeczki"/>
    <s v="truskawki"/>
    <x v="5"/>
    <n v="261"/>
    <n v="253"/>
    <n v="0"/>
    <n v="139"/>
  </r>
  <r>
    <x v="149"/>
    <n v="216"/>
    <n v="147"/>
    <n v="204"/>
    <n v="469"/>
    <n v="147"/>
    <n v="343"/>
    <s v="maliny"/>
    <s v="porzeczki"/>
    <x v="4"/>
    <n v="343"/>
    <n v="126"/>
    <n v="147"/>
    <n v="0"/>
  </r>
  <r>
    <x v="150"/>
    <n v="282"/>
    <n v="297"/>
    <n v="195"/>
    <n v="408"/>
    <n v="444"/>
    <n v="195"/>
    <s v="truskawki"/>
    <s v="maliny"/>
    <x v="0"/>
    <n v="408"/>
    <n v="0"/>
    <n v="36"/>
    <n v="195"/>
  </r>
  <r>
    <x v="151"/>
    <n v="214"/>
    <n v="198"/>
    <n v="200"/>
    <n v="214"/>
    <n v="234"/>
    <n v="395"/>
    <s v="porzeczki"/>
    <s v="truskawki"/>
    <x v="5"/>
    <n v="234"/>
    <n v="214"/>
    <n v="0"/>
    <n v="161"/>
  </r>
  <r>
    <x v="152"/>
    <n v="289"/>
    <n v="290"/>
    <n v="190"/>
    <n v="503"/>
    <n v="290"/>
    <n v="351"/>
    <s v="maliny"/>
    <s v="porzeczki"/>
    <x v="4"/>
    <n v="351"/>
    <n v="152"/>
    <n v="29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0-05-01T00:00:00"/>
    <n v="211"/>
    <n v="281"/>
    <n v="88"/>
    <n v="211"/>
    <n v="281"/>
    <n v="88"/>
    <s v="truskawki"/>
    <s v="maliny"/>
    <x v="0"/>
    <n v="211"/>
    <n v="0"/>
    <n v="70"/>
    <n v="88"/>
  </r>
  <r>
    <d v="2020-05-02T00:00:00"/>
    <n v="393"/>
    <n v="313"/>
    <n v="83"/>
    <n v="393"/>
    <n v="383"/>
    <n v="171"/>
    <s v="maliny"/>
    <s v="truskawki"/>
    <x v="1"/>
    <n v="383"/>
    <n v="10"/>
    <n v="0"/>
    <n v="171"/>
  </r>
  <r>
    <d v="2020-05-03T00:00:00"/>
    <n v="389"/>
    <n v="315"/>
    <n v="104"/>
    <n v="399"/>
    <n v="315"/>
    <n v="275"/>
    <s v="maliny"/>
    <s v="truskawki"/>
    <x v="1"/>
    <n v="315"/>
    <n v="84"/>
    <n v="0"/>
    <n v="275"/>
  </r>
  <r>
    <d v="2020-05-04T00:00:00"/>
    <n v="308"/>
    <n v="221"/>
    <n v="119"/>
    <n v="392"/>
    <n v="221"/>
    <n v="394"/>
    <s v="porzeczki"/>
    <s v="maliny"/>
    <x v="2"/>
    <n v="392"/>
    <n v="0"/>
    <n v="221"/>
    <n v="2"/>
  </r>
  <r>
    <d v="2020-05-05T00:00:00"/>
    <n v="387"/>
    <n v="275"/>
    <n v="72"/>
    <n v="387"/>
    <n v="496"/>
    <n v="74"/>
    <s v="truskawki"/>
    <s v="maliny"/>
    <x v="0"/>
    <n v="387"/>
    <n v="0"/>
    <n v="109"/>
    <n v="74"/>
  </r>
  <r>
    <d v="2020-05-06T00:00:00"/>
    <n v="294"/>
    <n v="366"/>
    <n v="99"/>
    <n v="294"/>
    <n v="475"/>
    <n v="173"/>
    <s v="truskawki"/>
    <s v="maliny"/>
    <x v="0"/>
    <n v="294"/>
    <n v="0"/>
    <n v="181"/>
    <n v="173"/>
  </r>
  <r>
    <d v="2020-05-07T00:00:00"/>
    <n v="389"/>
    <n v="288"/>
    <n v="87"/>
    <n v="389"/>
    <n v="469"/>
    <n v="260"/>
    <s v="truskawki"/>
    <s v="maliny"/>
    <x v="0"/>
    <n v="389"/>
    <n v="0"/>
    <n v="80"/>
    <n v="260"/>
  </r>
  <r>
    <d v="2020-05-08T00:00:00"/>
    <n v="259"/>
    <n v="361"/>
    <n v="112"/>
    <n v="259"/>
    <n v="441"/>
    <n v="372"/>
    <s v="truskawki"/>
    <s v="porzeczki"/>
    <x v="3"/>
    <n v="372"/>
    <n v="259"/>
    <n v="69"/>
    <n v="0"/>
  </r>
  <r>
    <d v="2020-05-09T00:00:00"/>
    <n v="369"/>
    <n v="233"/>
    <n v="110"/>
    <n v="628"/>
    <n v="302"/>
    <n v="110"/>
    <s v="maliny"/>
    <s v="truskawki"/>
    <x v="1"/>
    <n v="302"/>
    <n v="326"/>
    <n v="0"/>
    <n v="110"/>
  </r>
  <r>
    <d v="2020-05-10T00:00:00"/>
    <n v="263"/>
    <n v="393"/>
    <n v="75"/>
    <n v="589"/>
    <n v="393"/>
    <n v="185"/>
    <s v="maliny"/>
    <s v="truskawki"/>
    <x v="1"/>
    <n v="393"/>
    <n v="196"/>
    <n v="0"/>
    <n v="185"/>
  </r>
  <r>
    <d v="2020-05-11T00:00:00"/>
    <n v="239"/>
    <n v="347"/>
    <n v="94"/>
    <n v="435"/>
    <n v="347"/>
    <n v="279"/>
    <s v="maliny"/>
    <s v="truskawki"/>
    <x v="1"/>
    <n v="347"/>
    <n v="88"/>
    <n v="0"/>
    <n v="279"/>
  </r>
  <r>
    <d v="2020-05-12T00:00:00"/>
    <n v="282"/>
    <n v="338"/>
    <n v="86"/>
    <n v="370"/>
    <n v="338"/>
    <n v="365"/>
    <s v="maliny"/>
    <s v="porzeczki"/>
    <x v="4"/>
    <n v="365"/>
    <n v="5"/>
    <n v="338"/>
    <n v="0"/>
  </r>
  <r>
    <d v="2020-05-13T00:00:00"/>
    <n v="306"/>
    <n v="273"/>
    <n v="75"/>
    <n v="311"/>
    <n v="611"/>
    <n v="75"/>
    <s v="truskawki"/>
    <s v="maliny"/>
    <x v="0"/>
    <n v="311"/>
    <n v="0"/>
    <n v="300"/>
    <n v="75"/>
  </r>
  <r>
    <d v="2020-05-14T00:00:00"/>
    <n v="251"/>
    <n v="325"/>
    <n v="89"/>
    <n v="251"/>
    <n v="625"/>
    <n v="164"/>
    <s v="truskawki"/>
    <s v="maliny"/>
    <x v="0"/>
    <n v="251"/>
    <n v="0"/>
    <n v="374"/>
    <n v="164"/>
  </r>
  <r>
    <d v="2020-05-15T00:00:00"/>
    <n v="224"/>
    <n v="352"/>
    <n v="97"/>
    <n v="224"/>
    <n v="726"/>
    <n v="261"/>
    <s v="truskawki"/>
    <s v="porzeczki"/>
    <x v="3"/>
    <n v="261"/>
    <n v="224"/>
    <n v="465"/>
    <n v="0"/>
  </r>
  <r>
    <d v="2020-05-16T00:00:00"/>
    <n v="233"/>
    <n v="270"/>
    <n v="94"/>
    <n v="457"/>
    <n v="735"/>
    <n v="94"/>
    <s v="truskawki"/>
    <s v="maliny"/>
    <x v="0"/>
    <n v="457"/>
    <n v="0"/>
    <n v="278"/>
    <n v="94"/>
  </r>
  <r>
    <d v="2020-05-17T00:00:00"/>
    <n v="345"/>
    <n v="275"/>
    <n v="90"/>
    <n v="345"/>
    <n v="553"/>
    <n v="184"/>
    <s v="truskawki"/>
    <s v="maliny"/>
    <x v="0"/>
    <n v="345"/>
    <n v="0"/>
    <n v="208"/>
    <n v="184"/>
  </r>
  <r>
    <d v="2020-05-18T00:00:00"/>
    <n v="232"/>
    <n v="228"/>
    <n v="107"/>
    <n v="232"/>
    <n v="436"/>
    <n v="291"/>
    <s v="truskawki"/>
    <s v="porzeczki"/>
    <x v="3"/>
    <n v="291"/>
    <n v="232"/>
    <n v="145"/>
    <n v="0"/>
  </r>
  <r>
    <d v="2020-05-19T00:00:00"/>
    <n v="238"/>
    <n v="394"/>
    <n v="105"/>
    <n v="470"/>
    <n v="539"/>
    <n v="105"/>
    <s v="truskawki"/>
    <s v="maliny"/>
    <x v="0"/>
    <n v="470"/>
    <n v="0"/>
    <n v="69"/>
    <n v="105"/>
  </r>
  <r>
    <d v="2020-05-20T00:00:00"/>
    <n v="378"/>
    <n v="311"/>
    <n v="110"/>
    <n v="378"/>
    <n v="380"/>
    <n v="215"/>
    <s v="truskawki"/>
    <s v="maliny"/>
    <x v="0"/>
    <n v="378"/>
    <n v="0"/>
    <n v="2"/>
    <n v="215"/>
  </r>
  <r>
    <d v="2020-05-21T00:00:00"/>
    <n v="281"/>
    <n v="354"/>
    <n v="121"/>
    <n v="281"/>
    <n v="356"/>
    <n v="336"/>
    <s v="truskawki"/>
    <s v="porzeczki"/>
    <x v="3"/>
    <n v="336"/>
    <n v="281"/>
    <n v="20"/>
    <n v="0"/>
  </r>
  <r>
    <d v="2020-05-22T00:00:00"/>
    <n v="390"/>
    <n v="267"/>
    <n v="124"/>
    <n v="671"/>
    <n v="287"/>
    <n v="124"/>
    <s v="maliny"/>
    <s v="truskawki"/>
    <x v="1"/>
    <n v="287"/>
    <n v="384"/>
    <n v="0"/>
    <n v="124"/>
  </r>
  <r>
    <d v="2020-05-23T00:00:00"/>
    <n v="308"/>
    <n v="337"/>
    <n v="105"/>
    <n v="692"/>
    <n v="337"/>
    <n v="229"/>
    <s v="maliny"/>
    <s v="truskawki"/>
    <x v="1"/>
    <n v="337"/>
    <n v="355"/>
    <n v="0"/>
    <n v="229"/>
  </r>
  <r>
    <d v="2020-05-24T00:00:00"/>
    <n v="391"/>
    <n v="238"/>
    <n v="113"/>
    <n v="746"/>
    <n v="238"/>
    <n v="342"/>
    <s v="maliny"/>
    <s v="porzeczki"/>
    <x v="4"/>
    <n v="342"/>
    <n v="404"/>
    <n v="238"/>
    <n v="0"/>
  </r>
  <r>
    <d v="2020-05-25T00:00:00"/>
    <n v="241"/>
    <n v="283"/>
    <n v="140"/>
    <n v="645"/>
    <n v="521"/>
    <n v="140"/>
    <s v="maliny"/>
    <s v="truskawki"/>
    <x v="1"/>
    <n v="521"/>
    <n v="124"/>
    <n v="0"/>
    <n v="140"/>
  </r>
  <r>
    <d v="2020-05-26T00:00:00"/>
    <n v="249"/>
    <n v="275"/>
    <n v="118"/>
    <n v="373"/>
    <n v="275"/>
    <n v="258"/>
    <s v="maliny"/>
    <s v="truskawki"/>
    <x v="1"/>
    <n v="275"/>
    <n v="98"/>
    <n v="0"/>
    <n v="258"/>
  </r>
  <r>
    <d v="2020-05-27T00:00:00"/>
    <n v="298"/>
    <n v="263"/>
    <n v="145"/>
    <n v="396"/>
    <n v="263"/>
    <n v="403"/>
    <s v="porzeczki"/>
    <s v="maliny"/>
    <x v="2"/>
    <n v="396"/>
    <n v="0"/>
    <n v="263"/>
    <n v="7"/>
  </r>
  <r>
    <d v="2020-05-28T00:00:00"/>
    <n v="254"/>
    <n v="241"/>
    <n v="149"/>
    <n v="254"/>
    <n v="504"/>
    <n v="156"/>
    <s v="truskawki"/>
    <s v="maliny"/>
    <x v="0"/>
    <n v="254"/>
    <n v="0"/>
    <n v="250"/>
    <n v="156"/>
  </r>
  <r>
    <d v="2020-05-29T00:00:00"/>
    <n v="329"/>
    <n v="323"/>
    <n v="134"/>
    <n v="329"/>
    <n v="573"/>
    <n v="290"/>
    <s v="truskawki"/>
    <s v="maliny"/>
    <x v="0"/>
    <n v="329"/>
    <n v="0"/>
    <n v="244"/>
    <n v="290"/>
  </r>
  <r>
    <d v="2020-05-30T00:00:00"/>
    <n v="213"/>
    <n v="221"/>
    <n v="119"/>
    <n v="213"/>
    <n v="465"/>
    <n v="409"/>
    <s v="truskawki"/>
    <s v="porzeczki"/>
    <x v="3"/>
    <n v="409"/>
    <n v="213"/>
    <n v="56"/>
    <n v="0"/>
  </r>
  <r>
    <d v="2020-05-31T00:00:00"/>
    <n v="294"/>
    <n v="326"/>
    <n v="145"/>
    <n v="507"/>
    <n v="382"/>
    <n v="145"/>
    <s v="maliny"/>
    <s v="truskawki"/>
    <x v="1"/>
    <n v="382"/>
    <n v="125"/>
    <n v="0"/>
    <n v="145"/>
  </r>
  <r>
    <d v="2020-06-01T00:00:00"/>
    <n v="225"/>
    <n v="206"/>
    <n v="122"/>
    <n v="350"/>
    <n v="206"/>
    <n v="267"/>
    <s v="maliny"/>
    <s v="porzeczki"/>
    <x v="4"/>
    <n v="267"/>
    <n v="83"/>
    <n v="206"/>
    <n v="0"/>
  </r>
  <r>
    <d v="2020-06-02T00:00:00"/>
    <n v="264"/>
    <n v="355"/>
    <n v="134"/>
    <n v="347"/>
    <n v="561"/>
    <n v="134"/>
    <s v="truskawki"/>
    <s v="maliny"/>
    <x v="0"/>
    <n v="347"/>
    <n v="0"/>
    <n v="214"/>
    <n v="134"/>
  </r>
  <r>
    <d v="2020-06-03T00:00:00"/>
    <n v="253"/>
    <n v="271"/>
    <n v="142"/>
    <n v="253"/>
    <n v="485"/>
    <n v="276"/>
    <s v="truskawki"/>
    <s v="porzeczki"/>
    <x v="3"/>
    <n v="276"/>
    <n v="253"/>
    <n v="209"/>
    <n v="0"/>
  </r>
  <r>
    <d v="2020-06-04T00:00:00"/>
    <n v="352"/>
    <n v="207"/>
    <n v="125"/>
    <n v="605"/>
    <n v="416"/>
    <n v="125"/>
    <s v="maliny"/>
    <s v="truskawki"/>
    <x v="1"/>
    <n v="416"/>
    <n v="189"/>
    <n v="0"/>
    <n v="125"/>
  </r>
  <r>
    <d v="2020-06-05T00:00:00"/>
    <n v="269"/>
    <n v="248"/>
    <n v="137"/>
    <n v="458"/>
    <n v="248"/>
    <n v="262"/>
    <s v="maliny"/>
    <s v="porzeczki"/>
    <x v="4"/>
    <n v="262"/>
    <n v="196"/>
    <n v="248"/>
    <n v="0"/>
  </r>
  <r>
    <d v="2020-06-06T00:00:00"/>
    <n v="242"/>
    <n v="247"/>
    <n v="125"/>
    <n v="438"/>
    <n v="495"/>
    <n v="125"/>
    <s v="truskawki"/>
    <s v="maliny"/>
    <x v="0"/>
    <n v="438"/>
    <n v="0"/>
    <n v="57"/>
    <n v="125"/>
  </r>
  <r>
    <d v="2020-06-07T00:00:00"/>
    <n v="327"/>
    <n v="262"/>
    <n v="103"/>
    <n v="327"/>
    <n v="319"/>
    <n v="228"/>
    <s v="maliny"/>
    <s v="truskawki"/>
    <x v="1"/>
    <n v="319"/>
    <n v="8"/>
    <n v="0"/>
    <n v="228"/>
  </r>
  <r>
    <d v="2020-06-08T00:00:00"/>
    <n v="316"/>
    <n v="253"/>
    <n v="134"/>
    <n v="324"/>
    <n v="253"/>
    <n v="362"/>
    <s v="porzeczki"/>
    <s v="maliny"/>
    <x v="2"/>
    <n v="324"/>
    <n v="0"/>
    <n v="253"/>
    <n v="38"/>
  </r>
  <r>
    <d v="2020-06-09T00:00:00"/>
    <n v="294"/>
    <n v="249"/>
    <n v="137"/>
    <n v="294"/>
    <n v="502"/>
    <n v="175"/>
    <s v="truskawki"/>
    <s v="maliny"/>
    <x v="0"/>
    <n v="294"/>
    <n v="0"/>
    <n v="208"/>
    <n v="175"/>
  </r>
  <r>
    <d v="2020-06-10T00:00:00"/>
    <n v="270"/>
    <n v="206"/>
    <n v="146"/>
    <n v="270"/>
    <n v="414"/>
    <n v="321"/>
    <s v="truskawki"/>
    <s v="porzeczki"/>
    <x v="3"/>
    <n v="321"/>
    <n v="270"/>
    <n v="93"/>
    <n v="0"/>
  </r>
  <r>
    <d v="2020-06-11T00:00:00"/>
    <n v="349"/>
    <n v="301"/>
    <n v="138"/>
    <n v="619"/>
    <n v="394"/>
    <n v="138"/>
    <s v="maliny"/>
    <s v="truskawki"/>
    <x v="1"/>
    <n v="394"/>
    <n v="225"/>
    <n v="0"/>
    <n v="138"/>
  </r>
  <r>
    <d v="2020-06-12T00:00:00"/>
    <n v="224"/>
    <n v="385"/>
    <n v="138"/>
    <n v="449"/>
    <n v="385"/>
    <n v="276"/>
    <s v="maliny"/>
    <s v="truskawki"/>
    <x v="1"/>
    <n v="385"/>
    <n v="64"/>
    <n v="0"/>
    <n v="276"/>
  </r>
  <r>
    <d v="2020-06-13T00:00:00"/>
    <n v="309"/>
    <n v="204"/>
    <n v="140"/>
    <n v="373"/>
    <n v="204"/>
    <n v="416"/>
    <s v="porzeczki"/>
    <s v="maliny"/>
    <x v="2"/>
    <n v="373"/>
    <n v="0"/>
    <n v="204"/>
    <n v="43"/>
  </r>
  <r>
    <d v="2020-06-14T00:00:00"/>
    <n v="246"/>
    <n v="275"/>
    <n v="130"/>
    <n v="246"/>
    <n v="479"/>
    <n v="173"/>
    <s v="truskawki"/>
    <s v="maliny"/>
    <x v="0"/>
    <n v="246"/>
    <n v="0"/>
    <n v="233"/>
    <n v="173"/>
  </r>
  <r>
    <d v="2020-06-15T00:00:00"/>
    <n v="241"/>
    <n v="247"/>
    <n v="166"/>
    <n v="241"/>
    <n v="480"/>
    <n v="339"/>
    <s v="truskawki"/>
    <s v="porzeczki"/>
    <x v="3"/>
    <n v="339"/>
    <n v="241"/>
    <n v="141"/>
    <n v="0"/>
  </r>
  <r>
    <d v="2020-06-16T00:00:00"/>
    <n v="365"/>
    <n v="256"/>
    <n v="132"/>
    <n v="606"/>
    <n v="397"/>
    <n v="132"/>
    <s v="maliny"/>
    <s v="truskawki"/>
    <x v="1"/>
    <n v="397"/>
    <n v="209"/>
    <n v="0"/>
    <n v="132"/>
  </r>
  <r>
    <d v="2020-06-17T00:00:00"/>
    <n v="225"/>
    <n v="392"/>
    <n v="158"/>
    <n v="434"/>
    <n v="392"/>
    <n v="290"/>
    <s v="maliny"/>
    <s v="truskawki"/>
    <x v="1"/>
    <n v="392"/>
    <n v="42"/>
    <n v="0"/>
    <n v="290"/>
  </r>
  <r>
    <d v="2020-06-18T00:00:00"/>
    <n v="335"/>
    <n v="254"/>
    <n v="173"/>
    <n v="377"/>
    <n v="254"/>
    <n v="463"/>
    <s v="porzeczki"/>
    <s v="maliny"/>
    <x v="2"/>
    <n v="377"/>
    <n v="0"/>
    <n v="254"/>
    <n v="86"/>
  </r>
  <r>
    <d v="2020-06-19T00:00:00"/>
    <n v="376"/>
    <n v="258"/>
    <n v="151"/>
    <n v="376"/>
    <n v="512"/>
    <n v="237"/>
    <s v="truskawki"/>
    <s v="maliny"/>
    <x v="0"/>
    <n v="376"/>
    <n v="0"/>
    <n v="136"/>
    <n v="237"/>
  </r>
  <r>
    <d v="2020-06-20T00:00:00"/>
    <n v="310"/>
    <n v="248"/>
    <n v="173"/>
    <n v="310"/>
    <n v="384"/>
    <n v="410"/>
    <s v="porzeczki"/>
    <s v="truskawki"/>
    <x v="5"/>
    <n v="384"/>
    <n v="310"/>
    <n v="0"/>
    <n v="26"/>
  </r>
  <r>
    <d v="2020-06-21T00:00:00"/>
    <n v="408"/>
    <n v="250"/>
    <n v="242"/>
    <n v="718"/>
    <n v="250"/>
    <n v="268"/>
    <s v="maliny"/>
    <s v="porzeczki"/>
    <x v="4"/>
    <n v="268"/>
    <n v="450"/>
    <n v="250"/>
    <n v="0"/>
  </r>
  <r>
    <d v="2020-06-22T00:00:00"/>
    <n v="256"/>
    <n v="393"/>
    <n v="219"/>
    <n v="706"/>
    <n v="643"/>
    <n v="219"/>
    <s v="maliny"/>
    <s v="truskawki"/>
    <x v="1"/>
    <n v="643"/>
    <n v="63"/>
    <n v="0"/>
    <n v="219"/>
  </r>
  <r>
    <d v="2020-06-23T00:00:00"/>
    <n v="322"/>
    <n v="425"/>
    <n v="215"/>
    <n v="385"/>
    <n v="425"/>
    <n v="434"/>
    <s v="porzeczki"/>
    <s v="truskawki"/>
    <x v="5"/>
    <n v="425"/>
    <n v="385"/>
    <n v="0"/>
    <n v="9"/>
  </r>
  <r>
    <d v="2020-06-24T00:00:00"/>
    <n v="447"/>
    <n v="385"/>
    <n v="212"/>
    <n v="832"/>
    <n v="385"/>
    <n v="221"/>
    <s v="maliny"/>
    <s v="truskawki"/>
    <x v="1"/>
    <n v="385"/>
    <n v="447"/>
    <n v="0"/>
    <n v="221"/>
  </r>
  <r>
    <d v="2020-06-25T00:00:00"/>
    <n v="408"/>
    <n v="260"/>
    <n v="225"/>
    <n v="855"/>
    <n v="260"/>
    <n v="446"/>
    <s v="maliny"/>
    <s v="porzeczki"/>
    <x v="4"/>
    <n v="446"/>
    <n v="409"/>
    <n v="260"/>
    <n v="0"/>
  </r>
  <r>
    <d v="2020-06-26T00:00:00"/>
    <n v="283"/>
    <n v="396"/>
    <n v="221"/>
    <n v="692"/>
    <n v="656"/>
    <n v="221"/>
    <s v="maliny"/>
    <s v="truskawki"/>
    <x v="1"/>
    <n v="656"/>
    <n v="36"/>
    <n v="0"/>
    <n v="221"/>
  </r>
  <r>
    <d v="2020-06-27T00:00:00"/>
    <n v="414"/>
    <n v="314"/>
    <n v="220"/>
    <n v="450"/>
    <n v="314"/>
    <n v="441"/>
    <s v="maliny"/>
    <s v="porzeczki"/>
    <x v="4"/>
    <n v="441"/>
    <n v="9"/>
    <n v="314"/>
    <n v="0"/>
  </r>
  <r>
    <d v="2020-06-28T00:00:00"/>
    <n v="442"/>
    <n v="449"/>
    <n v="245"/>
    <n v="451"/>
    <n v="763"/>
    <n v="245"/>
    <s v="truskawki"/>
    <s v="maliny"/>
    <x v="0"/>
    <n v="451"/>
    <n v="0"/>
    <n v="312"/>
    <n v="245"/>
  </r>
  <r>
    <d v="2020-06-29T00:00:00"/>
    <n v="269"/>
    <n v="370"/>
    <n v="242"/>
    <n v="269"/>
    <n v="682"/>
    <n v="487"/>
    <s v="truskawki"/>
    <s v="porzeczki"/>
    <x v="3"/>
    <n v="487"/>
    <n v="269"/>
    <n v="195"/>
    <n v="0"/>
  </r>
  <r>
    <d v="2020-06-30T00:00:00"/>
    <n v="444"/>
    <n v="350"/>
    <n v="236"/>
    <n v="713"/>
    <n v="545"/>
    <n v="236"/>
    <s v="maliny"/>
    <s v="truskawki"/>
    <x v="1"/>
    <n v="545"/>
    <n v="168"/>
    <n v="0"/>
    <n v="236"/>
  </r>
  <r>
    <d v="2020-07-01T00:00:00"/>
    <n v="425"/>
    <n v="342"/>
    <n v="237"/>
    <n v="593"/>
    <n v="342"/>
    <n v="473"/>
    <s v="maliny"/>
    <s v="porzeczki"/>
    <x v="4"/>
    <n v="473"/>
    <n v="120"/>
    <n v="342"/>
    <n v="0"/>
  </r>
  <r>
    <d v="2020-07-02T00:00:00"/>
    <n v="377"/>
    <n v="290"/>
    <n v="240"/>
    <n v="497"/>
    <n v="632"/>
    <n v="240"/>
    <s v="truskawki"/>
    <s v="maliny"/>
    <x v="0"/>
    <n v="497"/>
    <n v="0"/>
    <n v="135"/>
    <n v="240"/>
  </r>
  <r>
    <d v="2020-07-03T00:00:00"/>
    <n v="382"/>
    <n v="360"/>
    <n v="203"/>
    <n v="382"/>
    <n v="495"/>
    <n v="443"/>
    <s v="truskawki"/>
    <s v="porzeczki"/>
    <x v="3"/>
    <n v="443"/>
    <n v="382"/>
    <n v="52"/>
    <n v="0"/>
  </r>
  <r>
    <d v="2020-07-04T00:00:00"/>
    <n v="287"/>
    <n v="428"/>
    <n v="204"/>
    <n v="669"/>
    <n v="480"/>
    <n v="204"/>
    <s v="maliny"/>
    <s v="truskawki"/>
    <x v="1"/>
    <n v="480"/>
    <n v="189"/>
    <n v="0"/>
    <n v="204"/>
  </r>
  <r>
    <d v="2020-07-05T00:00:00"/>
    <n v="429"/>
    <n v="394"/>
    <n v="246"/>
    <n v="618"/>
    <n v="394"/>
    <n v="450"/>
    <s v="maliny"/>
    <s v="porzeczki"/>
    <x v="4"/>
    <n v="450"/>
    <n v="168"/>
    <n v="394"/>
    <n v="0"/>
  </r>
  <r>
    <d v="2020-07-06T00:00:00"/>
    <n v="287"/>
    <n v="356"/>
    <n v="233"/>
    <n v="455"/>
    <n v="750"/>
    <n v="233"/>
    <s v="truskawki"/>
    <s v="maliny"/>
    <x v="0"/>
    <n v="455"/>
    <n v="0"/>
    <n v="295"/>
    <n v="233"/>
  </r>
  <r>
    <d v="2020-07-07T00:00:00"/>
    <n v="421"/>
    <n v="292"/>
    <n v="226"/>
    <n v="421"/>
    <n v="587"/>
    <n v="459"/>
    <s v="truskawki"/>
    <s v="porzeczki"/>
    <x v="3"/>
    <n v="459"/>
    <n v="421"/>
    <n v="128"/>
    <n v="0"/>
  </r>
  <r>
    <d v="2020-07-08T00:00:00"/>
    <n v="334"/>
    <n v="353"/>
    <n v="282"/>
    <n v="755"/>
    <n v="481"/>
    <n v="282"/>
    <s v="maliny"/>
    <s v="truskawki"/>
    <x v="1"/>
    <n v="481"/>
    <n v="274"/>
    <n v="0"/>
    <n v="282"/>
  </r>
  <r>
    <d v="2020-07-09T00:00:00"/>
    <n v="282"/>
    <n v="329"/>
    <n v="262"/>
    <n v="556"/>
    <n v="329"/>
    <n v="544"/>
    <s v="maliny"/>
    <s v="porzeczki"/>
    <x v="4"/>
    <n v="544"/>
    <n v="12"/>
    <n v="329"/>
    <n v="0"/>
  </r>
  <r>
    <d v="2020-07-10T00:00:00"/>
    <n v="356"/>
    <n v="331"/>
    <n v="290"/>
    <n v="368"/>
    <n v="660"/>
    <n v="290"/>
    <s v="truskawki"/>
    <s v="maliny"/>
    <x v="0"/>
    <n v="368"/>
    <n v="0"/>
    <n v="292"/>
    <n v="290"/>
  </r>
  <r>
    <d v="2020-07-11T00:00:00"/>
    <n v="307"/>
    <n v="394"/>
    <n v="256"/>
    <n v="307"/>
    <n v="686"/>
    <n v="546"/>
    <s v="truskawki"/>
    <s v="porzeczki"/>
    <x v="3"/>
    <n v="546"/>
    <n v="307"/>
    <n v="140"/>
    <n v="0"/>
  </r>
  <r>
    <d v="2020-07-12T00:00:00"/>
    <n v="441"/>
    <n v="271"/>
    <n v="292"/>
    <n v="748"/>
    <n v="411"/>
    <n v="292"/>
    <s v="maliny"/>
    <s v="truskawki"/>
    <x v="1"/>
    <n v="411"/>
    <n v="337"/>
    <n v="0"/>
    <n v="292"/>
  </r>
  <r>
    <d v="2020-07-13T00:00:00"/>
    <n v="407"/>
    <n v="311"/>
    <n v="280"/>
    <n v="744"/>
    <n v="311"/>
    <n v="572"/>
    <s v="maliny"/>
    <s v="porzeczki"/>
    <x v="4"/>
    <n v="572"/>
    <n v="172"/>
    <n v="311"/>
    <n v="0"/>
  </r>
  <r>
    <d v="2020-07-14T00:00:00"/>
    <n v="480"/>
    <n v="342"/>
    <n v="292"/>
    <n v="652"/>
    <n v="653"/>
    <n v="292"/>
    <s v="truskawki"/>
    <s v="maliny"/>
    <x v="0"/>
    <n v="652"/>
    <n v="0"/>
    <n v="1"/>
    <n v="292"/>
  </r>
  <r>
    <d v="2020-07-15T00:00:00"/>
    <n v="494"/>
    <n v="310"/>
    <n v="275"/>
    <n v="494"/>
    <n v="311"/>
    <n v="567"/>
    <s v="porzeczki"/>
    <s v="maliny"/>
    <x v="2"/>
    <n v="494"/>
    <n v="0"/>
    <n v="311"/>
    <n v="73"/>
  </r>
  <r>
    <d v="2020-07-16T00:00:00"/>
    <n v="493"/>
    <n v="431"/>
    <n v="283"/>
    <n v="493"/>
    <n v="742"/>
    <n v="356"/>
    <s v="truskawki"/>
    <s v="maliny"/>
    <x v="0"/>
    <n v="493"/>
    <n v="0"/>
    <n v="249"/>
    <n v="356"/>
  </r>
  <r>
    <d v="2020-07-17T00:00:00"/>
    <n v="302"/>
    <n v="415"/>
    <n v="297"/>
    <n v="302"/>
    <n v="664"/>
    <n v="653"/>
    <s v="truskawki"/>
    <s v="porzeczki"/>
    <x v="3"/>
    <n v="653"/>
    <n v="302"/>
    <n v="11"/>
    <n v="0"/>
  </r>
  <r>
    <d v="2020-07-18T00:00:00"/>
    <n v="331"/>
    <n v="353"/>
    <n v="373"/>
    <n v="633"/>
    <n v="364"/>
    <n v="373"/>
    <s v="maliny"/>
    <s v="porzeczki"/>
    <x v="4"/>
    <n v="373"/>
    <n v="260"/>
    <n v="364"/>
    <n v="0"/>
  </r>
  <r>
    <d v="2020-07-19T00:00:00"/>
    <n v="486"/>
    <n v="323"/>
    <n v="359"/>
    <n v="746"/>
    <n v="687"/>
    <n v="359"/>
    <s v="maliny"/>
    <s v="truskawki"/>
    <x v="1"/>
    <n v="687"/>
    <n v="59"/>
    <n v="0"/>
    <n v="359"/>
  </r>
  <r>
    <d v="2020-07-20T00:00:00"/>
    <n v="360"/>
    <n v="331"/>
    <n v="445"/>
    <n v="419"/>
    <n v="331"/>
    <n v="804"/>
    <s v="porzeczki"/>
    <s v="maliny"/>
    <x v="2"/>
    <n v="419"/>
    <n v="0"/>
    <n v="331"/>
    <n v="385"/>
  </r>
  <r>
    <d v="2020-07-21T00:00:00"/>
    <n v="391"/>
    <n v="455"/>
    <n v="427"/>
    <n v="391"/>
    <n v="786"/>
    <n v="812"/>
    <s v="porzeczki"/>
    <s v="truskawki"/>
    <x v="5"/>
    <n v="786"/>
    <n v="391"/>
    <n v="0"/>
    <n v="26"/>
  </r>
  <r>
    <d v="2020-07-22T00:00:00"/>
    <n v="327"/>
    <n v="471"/>
    <n v="423"/>
    <n v="718"/>
    <n v="471"/>
    <n v="449"/>
    <s v="maliny"/>
    <s v="truskawki"/>
    <x v="1"/>
    <n v="471"/>
    <n v="247"/>
    <n v="0"/>
    <n v="449"/>
  </r>
  <r>
    <d v="2020-07-23T00:00:00"/>
    <n v="355"/>
    <n v="490"/>
    <n v="449"/>
    <n v="602"/>
    <n v="490"/>
    <n v="898"/>
    <s v="porzeczki"/>
    <s v="maliny"/>
    <x v="2"/>
    <n v="602"/>
    <n v="0"/>
    <n v="490"/>
    <n v="296"/>
  </r>
  <r>
    <d v="2020-07-24T00:00:00"/>
    <n v="360"/>
    <n v="339"/>
    <n v="470"/>
    <n v="360"/>
    <n v="829"/>
    <n v="766"/>
    <s v="truskawki"/>
    <s v="porzeczki"/>
    <x v="3"/>
    <n v="766"/>
    <n v="360"/>
    <n v="63"/>
    <n v="0"/>
  </r>
  <r>
    <d v="2020-07-25T00:00:00"/>
    <n v="303"/>
    <n v="404"/>
    <n v="434"/>
    <n v="663"/>
    <n v="467"/>
    <n v="434"/>
    <s v="maliny"/>
    <s v="truskawki"/>
    <x v="1"/>
    <n v="467"/>
    <n v="196"/>
    <n v="0"/>
    <n v="434"/>
  </r>
  <r>
    <d v="2020-07-26T00:00:00"/>
    <n v="310"/>
    <n v="332"/>
    <n v="536"/>
    <n v="506"/>
    <n v="332"/>
    <n v="970"/>
    <s v="porzeczki"/>
    <s v="maliny"/>
    <x v="2"/>
    <n v="506"/>
    <n v="0"/>
    <n v="332"/>
    <n v="464"/>
  </r>
  <r>
    <d v="2020-07-27T00:00:00"/>
    <n v="435"/>
    <n v="406"/>
    <n v="421"/>
    <n v="435"/>
    <n v="738"/>
    <n v="885"/>
    <s v="porzeczki"/>
    <s v="truskawki"/>
    <x v="5"/>
    <n v="738"/>
    <n v="435"/>
    <n v="0"/>
    <n v="147"/>
  </r>
  <r>
    <d v="2020-07-28T00:00:00"/>
    <n v="344"/>
    <n v="348"/>
    <n v="555"/>
    <n v="779"/>
    <n v="348"/>
    <n v="702"/>
    <s v="maliny"/>
    <s v="porzeczki"/>
    <x v="4"/>
    <n v="702"/>
    <n v="77"/>
    <n v="348"/>
    <n v="0"/>
  </r>
  <r>
    <d v="2020-07-29T00:00:00"/>
    <n v="303"/>
    <n v="335"/>
    <n v="436"/>
    <n v="380"/>
    <n v="683"/>
    <n v="436"/>
    <s v="truskawki"/>
    <s v="porzeczki"/>
    <x v="3"/>
    <n v="436"/>
    <n v="380"/>
    <n v="247"/>
    <n v="0"/>
  </r>
  <r>
    <d v="2020-07-30T00:00:00"/>
    <n v="433"/>
    <n v="425"/>
    <n v="422"/>
    <n v="813"/>
    <n v="672"/>
    <n v="422"/>
    <s v="maliny"/>
    <s v="truskawki"/>
    <x v="1"/>
    <n v="672"/>
    <n v="141"/>
    <n v="0"/>
    <n v="422"/>
  </r>
  <r>
    <d v="2020-07-31T00:00:00"/>
    <n v="350"/>
    <n v="378"/>
    <n v="419"/>
    <n v="491"/>
    <n v="378"/>
    <n v="841"/>
    <s v="porzeczki"/>
    <s v="maliny"/>
    <x v="2"/>
    <n v="491"/>
    <n v="0"/>
    <n v="378"/>
    <n v="350"/>
  </r>
  <r>
    <d v="2020-08-01T00:00:00"/>
    <n v="396"/>
    <n v="466"/>
    <n v="434"/>
    <n v="396"/>
    <n v="844"/>
    <n v="784"/>
    <s v="truskawki"/>
    <s v="porzeczki"/>
    <x v="3"/>
    <n v="784"/>
    <n v="396"/>
    <n v="60"/>
    <n v="0"/>
  </r>
  <r>
    <d v="2020-08-02T00:00:00"/>
    <n v="495"/>
    <n v="410"/>
    <n v="418"/>
    <n v="891"/>
    <n v="470"/>
    <n v="418"/>
    <s v="maliny"/>
    <s v="truskawki"/>
    <x v="1"/>
    <n v="470"/>
    <n v="421"/>
    <n v="0"/>
    <n v="418"/>
  </r>
  <r>
    <d v="2020-08-03T00:00:00"/>
    <n v="420"/>
    <n v="328"/>
    <n v="422"/>
    <n v="841"/>
    <n v="328"/>
    <n v="840"/>
    <s v="maliny"/>
    <s v="porzeczki"/>
    <x v="4"/>
    <n v="840"/>
    <n v="1"/>
    <n v="328"/>
    <n v="0"/>
  </r>
  <r>
    <d v="2020-08-04T00:00:00"/>
    <n v="411"/>
    <n v="481"/>
    <n v="445"/>
    <n v="412"/>
    <n v="809"/>
    <n v="445"/>
    <s v="truskawki"/>
    <s v="porzeczki"/>
    <x v="3"/>
    <n v="445"/>
    <n v="412"/>
    <n v="364"/>
    <n v="0"/>
  </r>
  <r>
    <d v="2020-08-05T00:00:00"/>
    <n v="317"/>
    <n v="434"/>
    <n v="411"/>
    <n v="729"/>
    <n v="798"/>
    <n v="411"/>
    <s v="truskawki"/>
    <s v="maliny"/>
    <x v="0"/>
    <n v="729"/>
    <n v="0"/>
    <n v="69"/>
    <n v="411"/>
  </r>
  <r>
    <d v="2020-08-06T00:00:00"/>
    <n v="342"/>
    <n v="465"/>
    <n v="417"/>
    <n v="342"/>
    <n v="534"/>
    <n v="828"/>
    <s v="porzeczki"/>
    <s v="truskawki"/>
    <x v="5"/>
    <n v="534"/>
    <n v="342"/>
    <n v="0"/>
    <n v="294"/>
  </r>
  <r>
    <d v="2020-08-07T00:00:00"/>
    <n v="450"/>
    <n v="318"/>
    <n v="490"/>
    <n v="792"/>
    <n v="318"/>
    <n v="784"/>
    <s v="maliny"/>
    <s v="porzeczki"/>
    <x v="4"/>
    <n v="784"/>
    <n v="8"/>
    <n v="318"/>
    <n v="0"/>
  </r>
  <r>
    <d v="2020-08-08T00:00:00"/>
    <n v="343"/>
    <n v="329"/>
    <n v="345"/>
    <n v="351"/>
    <n v="647"/>
    <n v="345"/>
    <s v="truskawki"/>
    <s v="maliny"/>
    <x v="0"/>
    <n v="351"/>
    <n v="0"/>
    <n v="296"/>
    <n v="345"/>
  </r>
  <r>
    <d v="2020-08-09T00:00:00"/>
    <n v="287"/>
    <n v="328"/>
    <n v="377"/>
    <n v="287"/>
    <n v="624"/>
    <n v="722"/>
    <s v="porzeczki"/>
    <s v="truskawki"/>
    <x v="5"/>
    <n v="624"/>
    <n v="287"/>
    <n v="0"/>
    <n v="98"/>
  </r>
  <r>
    <d v="2020-08-10T00:00:00"/>
    <n v="298"/>
    <n v="401"/>
    <n v="416"/>
    <n v="585"/>
    <n v="401"/>
    <n v="514"/>
    <s v="maliny"/>
    <s v="porzeczki"/>
    <x v="4"/>
    <n v="514"/>
    <n v="71"/>
    <n v="401"/>
    <n v="0"/>
  </r>
  <r>
    <d v="2020-08-11T00:00:00"/>
    <n v="429"/>
    <n v="348"/>
    <n v="426"/>
    <n v="500"/>
    <n v="749"/>
    <n v="426"/>
    <s v="truskawki"/>
    <s v="maliny"/>
    <x v="0"/>
    <n v="500"/>
    <n v="0"/>
    <n v="249"/>
    <n v="426"/>
  </r>
  <r>
    <d v="2020-08-12T00:00:00"/>
    <n v="417"/>
    <n v="457"/>
    <n v="438"/>
    <n v="417"/>
    <n v="706"/>
    <n v="864"/>
    <s v="porzeczki"/>
    <s v="truskawki"/>
    <x v="5"/>
    <n v="706"/>
    <n v="417"/>
    <n v="0"/>
    <n v="158"/>
  </r>
  <r>
    <d v="2020-08-13T00:00:00"/>
    <n v="384"/>
    <n v="330"/>
    <n v="292"/>
    <n v="801"/>
    <n v="330"/>
    <n v="450"/>
    <s v="maliny"/>
    <s v="porzeczki"/>
    <x v="4"/>
    <n v="450"/>
    <n v="351"/>
    <n v="330"/>
    <n v="0"/>
  </r>
  <r>
    <d v="2020-08-14T00:00:00"/>
    <n v="370"/>
    <n v="388"/>
    <n v="390"/>
    <n v="721"/>
    <n v="718"/>
    <n v="390"/>
    <s v="maliny"/>
    <s v="truskawki"/>
    <x v="1"/>
    <n v="718"/>
    <n v="3"/>
    <n v="0"/>
    <n v="390"/>
  </r>
  <r>
    <d v="2020-08-15T00:00:00"/>
    <n v="436"/>
    <n v="298"/>
    <n v="420"/>
    <n v="439"/>
    <n v="298"/>
    <n v="810"/>
    <s v="porzeczki"/>
    <s v="maliny"/>
    <x v="2"/>
    <n v="439"/>
    <n v="0"/>
    <n v="298"/>
    <n v="371"/>
  </r>
  <r>
    <d v="2020-08-16T00:00:00"/>
    <n v="303"/>
    <n v="429"/>
    <n v="407"/>
    <n v="303"/>
    <n v="727"/>
    <n v="778"/>
    <s v="porzeczki"/>
    <s v="truskawki"/>
    <x v="5"/>
    <n v="727"/>
    <n v="303"/>
    <n v="0"/>
    <n v="51"/>
  </r>
  <r>
    <d v="2020-08-17T00:00:00"/>
    <n v="449"/>
    <n v="444"/>
    <n v="425"/>
    <n v="752"/>
    <n v="444"/>
    <n v="476"/>
    <s v="maliny"/>
    <s v="porzeczki"/>
    <x v="4"/>
    <n v="476"/>
    <n v="276"/>
    <n v="444"/>
    <n v="0"/>
  </r>
  <r>
    <d v="2020-08-18T00:00:00"/>
    <n v="300"/>
    <n v="358"/>
    <n v="377"/>
    <n v="576"/>
    <n v="802"/>
    <n v="377"/>
    <s v="truskawki"/>
    <s v="maliny"/>
    <x v="0"/>
    <n v="576"/>
    <n v="0"/>
    <n v="226"/>
    <n v="377"/>
  </r>
  <r>
    <d v="2020-08-19T00:00:00"/>
    <n v="307"/>
    <n v="417"/>
    <n v="405"/>
    <n v="307"/>
    <n v="643"/>
    <n v="782"/>
    <s v="porzeczki"/>
    <s v="truskawki"/>
    <x v="5"/>
    <n v="643"/>
    <n v="307"/>
    <n v="0"/>
    <n v="139"/>
  </r>
  <r>
    <d v="2020-08-20T00:00:00"/>
    <n v="314"/>
    <n v="340"/>
    <n v="345"/>
    <n v="621"/>
    <n v="340"/>
    <n v="484"/>
    <s v="maliny"/>
    <s v="porzeczki"/>
    <x v="4"/>
    <n v="484"/>
    <n v="137"/>
    <n v="340"/>
    <n v="0"/>
  </r>
  <r>
    <d v="2020-08-21T00:00:00"/>
    <n v="379"/>
    <n v="288"/>
    <n v="353"/>
    <n v="516"/>
    <n v="628"/>
    <n v="353"/>
    <s v="truskawki"/>
    <s v="maliny"/>
    <x v="0"/>
    <n v="516"/>
    <n v="0"/>
    <n v="112"/>
    <n v="353"/>
  </r>
  <r>
    <d v="2020-08-22T00:00:00"/>
    <n v="405"/>
    <n v="454"/>
    <n v="342"/>
    <n v="405"/>
    <n v="566"/>
    <n v="695"/>
    <s v="porzeczki"/>
    <s v="truskawki"/>
    <x v="5"/>
    <n v="566"/>
    <n v="405"/>
    <n v="0"/>
    <n v="129"/>
  </r>
  <r>
    <d v="2020-08-23T00:00:00"/>
    <n v="407"/>
    <n v="300"/>
    <n v="365"/>
    <n v="812"/>
    <n v="300"/>
    <n v="494"/>
    <s v="maliny"/>
    <s v="porzeczki"/>
    <x v="4"/>
    <n v="494"/>
    <n v="318"/>
    <n v="300"/>
    <n v="0"/>
  </r>
  <r>
    <d v="2020-08-24T00:00:00"/>
    <n v="432"/>
    <n v="423"/>
    <n v="221"/>
    <n v="750"/>
    <n v="723"/>
    <n v="221"/>
    <s v="maliny"/>
    <s v="truskawki"/>
    <x v="1"/>
    <n v="723"/>
    <n v="27"/>
    <n v="0"/>
    <n v="221"/>
  </r>
  <r>
    <d v="2020-08-25T00:00:00"/>
    <n v="405"/>
    <n v="449"/>
    <n v="231"/>
    <n v="432"/>
    <n v="449"/>
    <n v="452"/>
    <s v="porzeczki"/>
    <s v="truskawki"/>
    <x v="5"/>
    <n v="449"/>
    <n v="432"/>
    <n v="0"/>
    <n v="3"/>
  </r>
  <r>
    <d v="2020-08-26T00:00:00"/>
    <n v="162"/>
    <n v="294"/>
    <n v="255"/>
    <n v="594"/>
    <n v="294"/>
    <n v="258"/>
    <s v="maliny"/>
    <s v="truskawki"/>
    <x v="1"/>
    <n v="294"/>
    <n v="300"/>
    <n v="0"/>
    <n v="258"/>
  </r>
  <r>
    <d v="2020-08-27T00:00:00"/>
    <n v="297"/>
    <n v="341"/>
    <n v="223"/>
    <n v="597"/>
    <n v="341"/>
    <n v="481"/>
    <s v="maliny"/>
    <s v="porzeczki"/>
    <x v="4"/>
    <n v="481"/>
    <n v="116"/>
    <n v="341"/>
    <n v="0"/>
  </r>
  <r>
    <d v="2020-08-28T00:00:00"/>
    <n v="226"/>
    <n v="329"/>
    <n v="261"/>
    <n v="342"/>
    <n v="670"/>
    <n v="261"/>
    <s v="truskawki"/>
    <s v="maliny"/>
    <x v="0"/>
    <n v="342"/>
    <n v="0"/>
    <n v="328"/>
    <n v="261"/>
  </r>
  <r>
    <d v="2020-08-29T00:00:00"/>
    <n v="226"/>
    <n v="256"/>
    <n v="239"/>
    <n v="226"/>
    <n v="584"/>
    <n v="500"/>
    <s v="truskawki"/>
    <s v="porzeczki"/>
    <x v="3"/>
    <n v="500"/>
    <n v="226"/>
    <n v="84"/>
    <n v="0"/>
  </r>
  <r>
    <d v="2020-08-30T00:00:00"/>
    <n v="287"/>
    <n v="217"/>
    <n v="262"/>
    <n v="513"/>
    <n v="301"/>
    <n v="262"/>
    <s v="maliny"/>
    <s v="truskawki"/>
    <x v="1"/>
    <n v="301"/>
    <n v="212"/>
    <n v="0"/>
    <n v="262"/>
  </r>
  <r>
    <d v="2020-08-31T00:00:00"/>
    <n v="351"/>
    <n v="266"/>
    <n v="226"/>
    <n v="563"/>
    <n v="266"/>
    <n v="488"/>
    <s v="maliny"/>
    <s v="porzeczki"/>
    <x v="4"/>
    <n v="488"/>
    <n v="75"/>
    <n v="266"/>
    <n v="0"/>
  </r>
  <r>
    <d v="2020-09-01T00:00:00"/>
    <n v="214"/>
    <n v="260"/>
    <n v="241"/>
    <n v="289"/>
    <n v="526"/>
    <n v="241"/>
    <s v="truskawki"/>
    <s v="maliny"/>
    <x v="0"/>
    <n v="289"/>
    <n v="0"/>
    <n v="237"/>
    <n v="241"/>
  </r>
  <r>
    <d v="2020-09-02T00:00:00"/>
    <n v="282"/>
    <n v="227"/>
    <n v="258"/>
    <n v="282"/>
    <n v="464"/>
    <n v="499"/>
    <s v="porzeczki"/>
    <s v="truskawki"/>
    <x v="5"/>
    <n v="464"/>
    <n v="282"/>
    <n v="0"/>
    <n v="35"/>
  </r>
  <r>
    <d v="2020-09-03T00:00:00"/>
    <n v="257"/>
    <n v="251"/>
    <n v="252"/>
    <n v="539"/>
    <n v="251"/>
    <n v="287"/>
    <s v="maliny"/>
    <s v="porzeczki"/>
    <x v="4"/>
    <n v="287"/>
    <n v="252"/>
    <n v="251"/>
    <n v="0"/>
  </r>
  <r>
    <d v="2020-09-04T00:00:00"/>
    <n v="172"/>
    <n v="171"/>
    <n v="268"/>
    <n v="424"/>
    <n v="422"/>
    <n v="268"/>
    <s v="maliny"/>
    <s v="truskawki"/>
    <x v="1"/>
    <n v="422"/>
    <n v="2"/>
    <n v="0"/>
    <n v="268"/>
  </r>
  <r>
    <d v="2020-09-05T00:00:00"/>
    <n v="197"/>
    <n v="326"/>
    <n v="224"/>
    <n v="199"/>
    <n v="326"/>
    <n v="492"/>
    <s v="porzeczki"/>
    <s v="truskawki"/>
    <x v="5"/>
    <n v="326"/>
    <n v="199"/>
    <n v="0"/>
    <n v="166"/>
  </r>
  <r>
    <d v="2020-09-06T00:00:00"/>
    <n v="292"/>
    <n v="329"/>
    <n v="255"/>
    <n v="491"/>
    <n v="329"/>
    <n v="421"/>
    <s v="maliny"/>
    <s v="porzeczki"/>
    <x v="4"/>
    <n v="421"/>
    <n v="70"/>
    <n v="329"/>
    <n v="0"/>
  </r>
  <r>
    <d v="2020-09-07T00:00:00"/>
    <n v="172"/>
    <n v="216"/>
    <n v="199"/>
    <n v="242"/>
    <n v="545"/>
    <n v="199"/>
    <s v="truskawki"/>
    <s v="maliny"/>
    <x v="0"/>
    <n v="242"/>
    <n v="0"/>
    <n v="303"/>
    <n v="199"/>
  </r>
  <r>
    <d v="2020-09-08T00:00:00"/>
    <n v="258"/>
    <n v="291"/>
    <n v="220"/>
    <n v="258"/>
    <n v="594"/>
    <n v="419"/>
    <s v="truskawki"/>
    <s v="porzeczki"/>
    <x v="3"/>
    <n v="419"/>
    <n v="258"/>
    <n v="175"/>
    <n v="0"/>
  </r>
  <r>
    <d v="2020-09-09T00:00:00"/>
    <n v="276"/>
    <n v="347"/>
    <n v="197"/>
    <n v="534"/>
    <n v="522"/>
    <n v="197"/>
    <s v="maliny"/>
    <s v="truskawki"/>
    <x v="1"/>
    <n v="522"/>
    <n v="12"/>
    <n v="0"/>
    <n v="197"/>
  </r>
  <r>
    <d v="2020-09-10T00:00:00"/>
    <n v="210"/>
    <n v="333"/>
    <n v="218"/>
    <n v="222"/>
    <n v="333"/>
    <n v="415"/>
    <s v="porzeczki"/>
    <s v="truskawki"/>
    <x v="5"/>
    <n v="333"/>
    <n v="222"/>
    <n v="0"/>
    <n v="82"/>
  </r>
  <r>
    <d v="2020-09-11T00:00:00"/>
    <n v="168"/>
    <n v="211"/>
    <n v="180"/>
    <n v="390"/>
    <n v="211"/>
    <n v="262"/>
    <s v="maliny"/>
    <s v="porzeczki"/>
    <x v="4"/>
    <n v="262"/>
    <n v="128"/>
    <n v="211"/>
    <n v="0"/>
  </r>
  <r>
    <d v="2020-09-12T00:00:00"/>
    <n v="196"/>
    <n v="348"/>
    <n v="225"/>
    <n v="324"/>
    <n v="559"/>
    <n v="225"/>
    <s v="truskawki"/>
    <s v="maliny"/>
    <x v="0"/>
    <n v="324"/>
    <n v="0"/>
    <n v="235"/>
    <n v="225"/>
  </r>
  <r>
    <d v="2020-09-13T00:00:00"/>
    <n v="284"/>
    <n v="226"/>
    <n v="197"/>
    <n v="284"/>
    <n v="461"/>
    <n v="422"/>
    <s v="truskawki"/>
    <s v="porzeczki"/>
    <x v="3"/>
    <n v="422"/>
    <n v="284"/>
    <n v="39"/>
    <n v="0"/>
  </r>
  <r>
    <d v="2020-09-14T00:00:00"/>
    <n v="162"/>
    <n v="345"/>
    <n v="194"/>
    <n v="446"/>
    <n v="384"/>
    <n v="194"/>
    <s v="maliny"/>
    <s v="truskawki"/>
    <x v="1"/>
    <n v="384"/>
    <n v="62"/>
    <n v="0"/>
    <n v="194"/>
  </r>
  <r>
    <d v="2020-09-15T00:00:00"/>
    <n v="212"/>
    <n v="184"/>
    <n v="183"/>
    <n v="274"/>
    <n v="184"/>
    <n v="377"/>
    <s v="porzeczki"/>
    <s v="maliny"/>
    <x v="2"/>
    <n v="274"/>
    <n v="0"/>
    <n v="184"/>
    <n v="103"/>
  </r>
  <r>
    <d v="2020-09-16T00:00:00"/>
    <n v="165"/>
    <n v="232"/>
    <n v="202"/>
    <n v="165"/>
    <n v="416"/>
    <n v="305"/>
    <s v="truskawki"/>
    <s v="porzeczki"/>
    <x v="3"/>
    <n v="305"/>
    <n v="165"/>
    <n v="111"/>
    <n v="0"/>
  </r>
  <r>
    <d v="2020-09-17T00:00:00"/>
    <n v="163"/>
    <n v="314"/>
    <n v="213"/>
    <n v="328"/>
    <n v="425"/>
    <n v="213"/>
    <s v="truskawki"/>
    <s v="maliny"/>
    <x v="0"/>
    <n v="328"/>
    <n v="0"/>
    <n v="97"/>
    <n v="213"/>
  </r>
  <r>
    <d v="2020-09-18T00:00:00"/>
    <n v="200"/>
    <n v="307"/>
    <n v="206"/>
    <n v="200"/>
    <n v="404"/>
    <n v="419"/>
    <s v="porzeczki"/>
    <s v="truskawki"/>
    <x v="5"/>
    <n v="404"/>
    <n v="200"/>
    <n v="0"/>
    <n v="15"/>
  </r>
  <r>
    <d v="2020-09-19T00:00:00"/>
    <n v="201"/>
    <n v="274"/>
    <n v="210"/>
    <n v="401"/>
    <n v="274"/>
    <n v="225"/>
    <s v="maliny"/>
    <s v="truskawki"/>
    <x v="1"/>
    <n v="274"/>
    <n v="127"/>
    <n v="0"/>
    <n v="225"/>
  </r>
  <r>
    <d v="2020-09-20T00:00:00"/>
    <n v="269"/>
    <n v="278"/>
    <n v="228"/>
    <n v="396"/>
    <n v="278"/>
    <n v="453"/>
    <s v="porzeczki"/>
    <s v="maliny"/>
    <x v="2"/>
    <n v="396"/>
    <n v="0"/>
    <n v="278"/>
    <n v="57"/>
  </r>
  <r>
    <d v="2020-09-21T00:00:00"/>
    <n v="188"/>
    <n v="195"/>
    <n v="207"/>
    <n v="188"/>
    <n v="473"/>
    <n v="264"/>
    <s v="truskawki"/>
    <s v="porzeczki"/>
    <x v="3"/>
    <n v="264"/>
    <n v="188"/>
    <n v="209"/>
    <n v="0"/>
  </r>
  <r>
    <d v="2020-09-22T00:00:00"/>
    <n v="142"/>
    <n v="249"/>
    <n v="202"/>
    <n v="330"/>
    <n v="458"/>
    <n v="202"/>
    <s v="truskawki"/>
    <s v="maliny"/>
    <x v="0"/>
    <n v="330"/>
    <n v="0"/>
    <n v="128"/>
    <n v="202"/>
  </r>
  <r>
    <d v="2020-09-23T00:00:00"/>
    <n v="232"/>
    <n v="116"/>
    <n v="195"/>
    <n v="232"/>
    <n v="244"/>
    <n v="397"/>
    <s v="porzeczki"/>
    <s v="truskawki"/>
    <x v="5"/>
    <n v="244"/>
    <n v="232"/>
    <n v="0"/>
    <n v="153"/>
  </r>
  <r>
    <d v="2020-09-24T00:00:00"/>
    <n v="296"/>
    <n v="102"/>
    <n v="192"/>
    <n v="528"/>
    <n v="102"/>
    <n v="345"/>
    <s v="maliny"/>
    <s v="porzeczki"/>
    <x v="4"/>
    <n v="345"/>
    <n v="183"/>
    <n v="102"/>
    <n v="0"/>
  </r>
  <r>
    <d v="2020-09-25T00:00:00"/>
    <n v="161"/>
    <n v="151"/>
    <n v="216"/>
    <n v="344"/>
    <n v="253"/>
    <n v="216"/>
    <s v="maliny"/>
    <s v="truskawki"/>
    <x v="1"/>
    <n v="253"/>
    <n v="91"/>
    <n v="0"/>
    <n v="216"/>
  </r>
  <r>
    <d v="2020-09-26T00:00:00"/>
    <n v="162"/>
    <n v="261"/>
    <n v="184"/>
    <n v="253"/>
    <n v="261"/>
    <n v="400"/>
    <s v="porzeczki"/>
    <s v="truskawki"/>
    <x v="5"/>
    <n v="261"/>
    <n v="253"/>
    <n v="0"/>
    <n v="139"/>
  </r>
  <r>
    <d v="2020-09-27T00:00:00"/>
    <n v="216"/>
    <n v="147"/>
    <n v="204"/>
    <n v="469"/>
    <n v="147"/>
    <n v="343"/>
    <s v="maliny"/>
    <s v="porzeczki"/>
    <x v="4"/>
    <n v="343"/>
    <n v="126"/>
    <n v="147"/>
    <n v="0"/>
  </r>
  <r>
    <d v="2020-09-28T00:00:00"/>
    <n v="282"/>
    <n v="297"/>
    <n v="195"/>
    <n v="408"/>
    <n v="444"/>
    <n v="195"/>
    <s v="truskawki"/>
    <s v="maliny"/>
    <x v="0"/>
    <n v="408"/>
    <n v="0"/>
    <n v="36"/>
    <n v="195"/>
  </r>
  <r>
    <d v="2020-09-29T00:00:00"/>
    <n v="214"/>
    <n v="198"/>
    <n v="200"/>
    <n v="214"/>
    <n v="234"/>
    <n v="395"/>
    <s v="porzeczki"/>
    <s v="truskawki"/>
    <x v="5"/>
    <n v="234"/>
    <n v="214"/>
    <n v="0"/>
    <n v="161"/>
  </r>
  <r>
    <d v="2020-09-30T00:00:00"/>
    <n v="289"/>
    <n v="290"/>
    <n v="190"/>
    <n v="503"/>
    <n v="290"/>
    <n v="351"/>
    <s v="maliny"/>
    <s v="porzeczki"/>
    <x v="4"/>
    <n v="351"/>
    <n v="152"/>
    <n v="29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2558-7270-47F4-8985-6E29A27C55F1}" name="Tabela przestawna1" cacheId="3" dataPosition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rowHeaderCaption="miesiące">
  <location ref="G1:J7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łkowita dostawa_malin" fld="1" baseField="0" baseItem="0"/>
    <dataField name="całkowita dostawa_truskawek" fld="2" baseField="0" baseItem="0"/>
    <dataField name="całkowita dostawa_porzeczek" fld="3" baseField="0" baseItem="0"/>
  </dataFields>
  <formats count="4">
    <format dxfId="16">
      <pivotArea collapsedLevelsAreSubtotals="1" fieldPosition="0">
        <references count="1">
          <reference field="5" count="5">
            <x v="5"/>
            <x v="6"/>
            <x v="7"/>
            <x v="8"/>
            <x v="9"/>
          </reference>
        </references>
      </pivotArea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5">
            <x v="5"/>
            <x v="6"/>
            <x v="7"/>
            <x v="8"/>
            <x v="9"/>
          </reference>
        </references>
      </pivotArea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776F9-29C1-44C6-93D2-0F370F8FDF0A}" name="Tabela przestawna5" cacheId="2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">
  <location ref="P1:Q8" firstHeaderRow="1" firstDataRow="1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5"/>
        <item x="0"/>
        <item x="3"/>
        <item t="default"/>
      </items>
    </pivotField>
    <pivotField dataField="1"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ile kilogramow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C12F3-5C89-4524-A6A7-CBD7A0228EC4}" name="Tabela przestawna2" cacheId="2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_konfitury">
  <location ref="P1:Q8" firstHeaderRow="1" firstDataRow="1" firstDataCol="1"/>
  <pivotFields count="1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1"/>
        <item x="2"/>
        <item x="5"/>
        <item x="0"/>
        <item x="3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wyprodukowanych konfitu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FE21E9-51E7-4B96-8083-F005BE631854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7F5F83D-8CBD-4E06-BC1E-DFB7927C0542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5DC200-30E5-426F-B023-8B1FD4923438}" autoFormatId="16" applyNumberFormats="0" applyBorderFormats="0" applyFontFormats="0" applyPatternFormats="0" applyAlignmentFormats="0" applyWidthHeightFormats="0">
  <queryTableRefresh nextId="15" unboundColumnsRight="10">
    <queryTableFields count="1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  <queryTableField id="11" dataBound="0" tableColumnId="11"/>
      <queryTableField id="10" dataBound="0" tableColumnId="10"/>
      <queryTableField id="9" dataBound="0" tableColumnId="9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9C2C46-0814-4D6A-8B47-89A7BC63C29A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85575-B8C4-42CB-BBED-65324F23EE38}" name="owoce3" displayName="owoce3" ref="A1:D154" tableType="queryTable" totalsRowShown="0">
  <autoFilter ref="A1:D154" xr:uid="{1ECE85D2-A6CB-4737-AB70-262676F1BF52}"/>
  <tableColumns count="4">
    <tableColumn id="1" xr3:uid="{8B183EFC-9275-43FF-8DD2-7B9DE2EA3524}" uniqueName="1" name="data" queryTableFieldId="1" dataDxfId="17"/>
    <tableColumn id="2" xr3:uid="{CDA99B11-02A4-4BE0-A05B-6B1E67DF0A73}" uniqueName="2" name="dostawa_malin" queryTableFieldId="2"/>
    <tableColumn id="3" xr3:uid="{DAEC66C7-814D-4B0C-81F1-A1FC42CD9450}" uniqueName="3" name="dostawa_truskawek" queryTableFieldId="3"/>
    <tableColumn id="4" xr3:uid="{40DC5E1D-7B3F-4A4C-960E-835307CD75F2}" uniqueName="4" name="dostawa_porzecze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9E185E-7690-4DB6-9AC1-9CA9289C939B}" name="owoce4" displayName="owoce4" ref="A1:E154" tableType="queryTable" totalsRowShown="0">
  <autoFilter ref="A1:E154" xr:uid="{1ECE85D2-A6CB-4737-AB70-262676F1BF52}"/>
  <tableColumns count="5">
    <tableColumn id="1" xr3:uid="{E201786B-2B82-4ED1-A5A4-73056461780B}" uniqueName="1" name="data" queryTableFieldId="1" dataDxfId="12"/>
    <tableColumn id="2" xr3:uid="{BA9E62BA-25B4-4182-B900-E3D1A7D3AE8E}" uniqueName="2" name="dostawa_malin" queryTableFieldId="2"/>
    <tableColumn id="3" xr3:uid="{E54B760F-304E-4E60-BCD0-9843B40058E6}" uniqueName="3" name="dostawa_truskawek" queryTableFieldId="3"/>
    <tableColumn id="4" xr3:uid="{BFE055EA-EB57-4E4A-A103-0F869E85EFE8}" uniqueName="4" name="dostawa_porzeczek" queryTableFieldId="4"/>
    <tableColumn id="5" xr3:uid="{742B4197-995E-4669-A016-A89AE329B9F2}" uniqueName="5" name="czyPorzeczkiNajwiecej" queryTableFieldId="5" dataDxfId="11">
      <calculatedColumnFormula>IF(AND(D2&gt;C2,D2&gt;B2),1,0)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BDE238-126D-4195-B565-87C9A994C430}" name="owoce5" displayName="owoce5" ref="A1:N154" tableType="queryTable" totalsRowShown="0">
  <autoFilter ref="A1:N154" xr:uid="{1ECE85D2-A6CB-4737-AB70-262676F1BF52}"/>
  <tableColumns count="14">
    <tableColumn id="1" xr3:uid="{ED6E8119-05A0-4DC0-8B93-2D88EB598F99}" uniqueName="1" name="data" queryTableFieldId="1" dataDxfId="10"/>
    <tableColumn id="2" xr3:uid="{03733F6B-D992-466D-B559-00DB8763F2D2}" uniqueName="2" name="rano_dostawa_malin" queryTableFieldId="2"/>
    <tableColumn id="3" xr3:uid="{07C070C7-0B78-4CFC-9FB2-68C537276DF8}" uniqueName="3" name="rano_dostawa_truskawek" queryTableFieldId="3"/>
    <tableColumn id="4" xr3:uid="{ABB419AD-6D7D-49AB-8251-933A97EE0F55}" uniqueName="4" name="rano_dostawa_porzeczek" queryTableFieldId="4"/>
    <tableColumn id="11" xr3:uid="{4B386778-6CD2-487E-A949-F1DAF078433B}" uniqueName="11" name="stan_malin" queryTableFieldId="11" dataDxfId="9">
      <calculatedColumnFormula>L1+owoce5[[#This Row],[rano_dostawa_malin]]</calculatedColumnFormula>
    </tableColumn>
    <tableColumn id="10" xr3:uid="{086E7BB6-F25A-43EB-ABA2-AEBADE0D2CCB}" uniqueName="10" name="stan_truskawek" queryTableFieldId="10" dataDxfId="8">
      <calculatedColumnFormula>owoce5[[#This Row],[rano_dostawa_truskawek]]</calculatedColumnFormula>
    </tableColumn>
    <tableColumn id="9" xr3:uid="{1D493967-6033-43C6-844E-3D86D577DFF6}" uniqueName="9" name="stan_porzeczek" queryTableFieldId="9" dataDxfId="7">
      <calculatedColumnFormula>owoce5[[#This Row],[rano_dostawa_porzeczek]]</calculatedColumnFormula>
    </tableColumn>
    <tableColumn id="5" xr3:uid="{CA2DA6E9-CAE7-4849-9E57-4CB3282D72EB}" uniqueName="5" name="jaka_konfitura_pierwszy" queryTableFieldId="5" dataDxfId="6">
      <calculatedColumnFormula array="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calculatedColumnFormula>
    </tableColumn>
    <tableColumn id="6" xr3:uid="{00B43B08-06D2-4D2D-96C6-A1BBCED27974}" uniqueName="6" name="jaka_konfitura_drugi" queryTableFieldId="6" dataDxfId="5">
      <calculatedColumnFormula array="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calculatedColumnFormula>
    </tableColumn>
    <tableColumn id="7" xr3:uid="{5A93481E-8FC0-4324-865A-7A1B481FB9EF}" uniqueName="7" name="nazwa_konfitury" queryTableFieldId="7" dataDxfId="4">
      <calculatedColumnFormula>_xlfn.CONCAT(owoce5[[#This Row],[jaka_konfitura_pierwszy]],"-",owoce5[[#This Row],[jaka_konfitura_drugi]])</calculatedColumnFormula>
    </tableColumn>
    <tableColumn id="8" xr3:uid="{B65D4193-D2E8-461B-B27E-FF0111D270B4}" uniqueName="8" name="Ile_kilogramów_konfitury" queryTableFieldId="8" dataDxfId="3">
      <calculatedColumnFormula>LARGE(owoce5[[#This Row],[stan_malin]:[stan_porzeczek]],2)</calculatedColumnFormula>
    </tableColumn>
    <tableColumn id="12" xr3:uid="{26FCA693-973B-4BAF-88BD-CE85A11E14BB}" uniqueName="12" name="stan_po_produkcji_malin" queryTableFieldId="12" dataDxfId="2">
      <calculatedColumnFormula>IF(OR(owoce5[[#This Row],[jaka_konfitura_pierwszy]]="maliny",owoce5[[#This Row],[jaka_konfitura_drugi]]="maliny"),owoce5[[#This Row],[stan_malin]]-owoce5[[#This Row],[Ile_kilogramów_konfitury]],owoce5[[#This Row],[stan_malin]])</calculatedColumnFormula>
    </tableColumn>
    <tableColumn id="13" xr3:uid="{6D3F422B-8C47-4F5B-9D68-846A6A53AD8E}" uniqueName="13" name="stan_po_produkcji_truskawek" queryTableFieldId="13" dataDxfId="1">
      <calculatedColumnFormula>IF(OR(owoce5[[#This Row],[jaka_konfitura_pierwszy]]="truskawki",owoce5[[#This Row],[jaka_konfitura_drugi]]="truskawki"),owoce5[[#This Row],[stan_truskawek]]-owoce5[[#This Row],[Ile_kilogramów_konfitury]],owoce5[[#This Row],[stan_truskawek]])</calculatedColumnFormula>
    </tableColumn>
    <tableColumn id="14" xr3:uid="{DE480CE9-5768-4FC9-AEA8-1EFB6A435089}" uniqueName="14" name="stan_po_produkcji_porzeczek" queryTableFieldId="14" dataDxfId="0">
      <calculatedColumnFormula>IF(OR(owoce5[[#This Row],[jaka_konfitura_pierwszy]]="porzeczki",owoce5[[#This Row],[jaka_konfitura_drugi]]="porzeczki"),owoce5[[#This Row],[stan_porzeczek]]-owoce5[[#This Row],[Ile_kilogramów_konfitury]],owoce5[[#This Row],[stan_porzeczek]])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E85D2-A6CB-4737-AB70-262676F1BF52}" name="owoce" displayName="owoce" ref="A1:D154" tableType="queryTable" totalsRowShown="0">
  <autoFilter ref="A1:D154" xr:uid="{1ECE85D2-A6CB-4737-AB70-262676F1BF52}"/>
  <tableColumns count="4">
    <tableColumn id="1" xr3:uid="{AF044F14-60F6-4BC8-B809-2C4B9C58D256}" uniqueName="1" name="data" queryTableFieldId="1" dataDxfId="18"/>
    <tableColumn id="2" xr3:uid="{C91BB2BB-A307-4DD8-87BC-F9E3475AA205}" uniqueName="2" name="dostawa_malin" queryTableFieldId="2"/>
    <tableColumn id="3" xr3:uid="{56849218-FCC3-4F0B-B332-D0FA4AA6CD7E}" uniqueName="3" name="dostawa_truskawek" queryTableFieldId="3"/>
    <tableColumn id="4" xr3:uid="{D8F634AC-5C45-4294-AC80-7E17C002ECB1}" uniqueName="4" name="dostawa_porzecze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5EC5-179D-4C02-AB91-1F77101C20AE}">
  <dimension ref="A1:J154"/>
  <sheetViews>
    <sheetView tabSelected="1" workbookViewId="0">
      <selection activeCell="G33" sqref="G33"/>
    </sheetView>
  </sheetViews>
  <sheetFormatPr defaultRowHeight="15" x14ac:dyDescent="0.25"/>
  <cols>
    <col min="1" max="1" width="10.140625" bestFit="1" customWidth="1"/>
    <col min="2" max="2" width="16.85546875" bestFit="1" customWidth="1"/>
    <col min="3" max="3" width="21.140625" bestFit="1" customWidth="1"/>
    <col min="4" max="4" width="20.85546875" bestFit="1" customWidth="1"/>
    <col min="7" max="7" width="14.28515625" bestFit="1" customWidth="1"/>
    <col min="8" max="8" width="23.7109375" bestFit="1" customWidth="1"/>
    <col min="9" max="9" width="28" bestFit="1" customWidth="1"/>
    <col min="10" max="10" width="27.7109375" bestFit="1" customWidth="1"/>
    <col min="11" max="11" width="6" bestFit="1" customWidth="1"/>
    <col min="12" max="12" width="5" bestFit="1" customWidth="1"/>
    <col min="13" max="13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s="5" t="s">
        <v>10</v>
      </c>
      <c r="H1" s="5" t="s">
        <v>11</v>
      </c>
      <c r="I1" s="5" t="s">
        <v>12</v>
      </c>
      <c r="J1" s="5" t="s">
        <v>13</v>
      </c>
    </row>
    <row r="2" spans="1:10" x14ac:dyDescent="0.25">
      <c r="A2" s="1">
        <v>43952</v>
      </c>
      <c r="B2">
        <v>211</v>
      </c>
      <c r="C2">
        <v>281</v>
      </c>
      <c r="D2">
        <v>88</v>
      </c>
      <c r="G2" s="6" t="s">
        <v>5</v>
      </c>
      <c r="H2" s="7">
        <v>9238</v>
      </c>
      <c r="I2" s="7">
        <v>9287</v>
      </c>
      <c r="J2" s="7">
        <v>3309</v>
      </c>
    </row>
    <row r="3" spans="1:10" x14ac:dyDescent="0.25">
      <c r="A3" s="1">
        <v>43953</v>
      </c>
      <c r="B3">
        <v>393</v>
      </c>
      <c r="C3">
        <v>313</v>
      </c>
      <c r="D3">
        <v>83</v>
      </c>
      <c r="G3" s="6" t="s">
        <v>6</v>
      </c>
      <c r="H3" s="7">
        <v>9485</v>
      </c>
      <c r="I3" s="7">
        <v>8916</v>
      </c>
      <c r="J3" s="7">
        <v>5081</v>
      </c>
    </row>
    <row r="4" spans="1:10" x14ac:dyDescent="0.25">
      <c r="A4" s="1">
        <v>43954</v>
      </c>
      <c r="B4">
        <v>389</v>
      </c>
      <c r="C4">
        <v>315</v>
      </c>
      <c r="D4">
        <v>104</v>
      </c>
      <c r="G4" s="6" t="s">
        <v>7</v>
      </c>
      <c r="H4" s="7">
        <v>11592</v>
      </c>
      <c r="I4" s="7">
        <v>11339</v>
      </c>
      <c r="J4" s="7">
        <v>10567</v>
      </c>
    </row>
    <row r="5" spans="1:10" x14ac:dyDescent="0.25">
      <c r="A5" s="1">
        <v>43955</v>
      </c>
      <c r="B5">
        <v>308</v>
      </c>
      <c r="C5">
        <v>221</v>
      </c>
      <c r="D5">
        <v>119</v>
      </c>
      <c r="G5" s="6" t="s">
        <v>8</v>
      </c>
      <c r="H5" s="7">
        <v>11045</v>
      </c>
      <c r="I5" s="7">
        <v>11386</v>
      </c>
      <c r="J5" s="7">
        <v>11078</v>
      </c>
    </row>
    <row r="6" spans="1:10" x14ac:dyDescent="0.25">
      <c r="A6" s="1">
        <v>43956</v>
      </c>
      <c r="B6">
        <v>387</v>
      </c>
      <c r="C6">
        <v>275</v>
      </c>
      <c r="D6">
        <v>72</v>
      </c>
      <c r="G6" s="6" t="s">
        <v>9</v>
      </c>
      <c r="H6" s="7">
        <v>6532</v>
      </c>
      <c r="I6" s="7">
        <v>7476</v>
      </c>
      <c r="J6" s="7">
        <v>6355</v>
      </c>
    </row>
    <row r="7" spans="1:10" x14ac:dyDescent="0.25">
      <c r="A7" s="1">
        <v>43957</v>
      </c>
      <c r="B7">
        <v>294</v>
      </c>
      <c r="C7">
        <v>366</v>
      </c>
      <c r="D7">
        <v>99</v>
      </c>
      <c r="G7" s="3" t="s">
        <v>4</v>
      </c>
      <c r="H7" s="4">
        <v>47892</v>
      </c>
      <c r="I7" s="4">
        <v>48404</v>
      </c>
      <c r="J7" s="4">
        <v>36390</v>
      </c>
    </row>
    <row r="8" spans="1:10" x14ac:dyDescent="0.25">
      <c r="A8" s="1">
        <v>43958</v>
      </c>
      <c r="B8">
        <v>389</v>
      </c>
      <c r="C8">
        <v>288</v>
      </c>
      <c r="D8">
        <v>87</v>
      </c>
    </row>
    <row r="9" spans="1:10" x14ac:dyDescent="0.25">
      <c r="A9" s="1">
        <v>43959</v>
      </c>
      <c r="B9">
        <v>259</v>
      </c>
      <c r="C9">
        <v>361</v>
      </c>
      <c r="D9">
        <v>112</v>
      </c>
    </row>
    <row r="10" spans="1:10" x14ac:dyDescent="0.25">
      <c r="A10" s="1">
        <v>43960</v>
      </c>
      <c r="B10">
        <v>369</v>
      </c>
      <c r="C10">
        <v>233</v>
      </c>
      <c r="D10">
        <v>110</v>
      </c>
    </row>
    <row r="11" spans="1:10" x14ac:dyDescent="0.25">
      <c r="A11" s="1">
        <v>43961</v>
      </c>
      <c r="B11">
        <v>263</v>
      </c>
      <c r="C11">
        <v>393</v>
      </c>
      <c r="D11">
        <v>75</v>
      </c>
    </row>
    <row r="12" spans="1:10" x14ac:dyDescent="0.25">
      <c r="A12" s="1">
        <v>43962</v>
      </c>
      <c r="B12">
        <v>239</v>
      </c>
      <c r="C12">
        <v>347</v>
      </c>
      <c r="D12">
        <v>94</v>
      </c>
    </row>
    <row r="13" spans="1:10" x14ac:dyDescent="0.25">
      <c r="A13" s="1">
        <v>43963</v>
      </c>
      <c r="B13">
        <v>282</v>
      </c>
      <c r="C13">
        <v>338</v>
      </c>
      <c r="D13">
        <v>86</v>
      </c>
    </row>
    <row r="14" spans="1:10" x14ac:dyDescent="0.25">
      <c r="A14" s="1">
        <v>43964</v>
      </c>
      <c r="B14">
        <v>306</v>
      </c>
      <c r="C14">
        <v>273</v>
      </c>
      <c r="D14">
        <v>75</v>
      </c>
    </row>
    <row r="15" spans="1:10" x14ac:dyDescent="0.25">
      <c r="A15" s="1">
        <v>43965</v>
      </c>
      <c r="B15">
        <v>251</v>
      </c>
      <c r="C15">
        <v>325</v>
      </c>
      <c r="D15">
        <v>89</v>
      </c>
    </row>
    <row r="16" spans="1:10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3D20-CF46-4E48-B3E8-7A14116F614E}">
  <dimension ref="A1:H154"/>
  <sheetViews>
    <sheetView workbookViewId="0">
      <selection activeCell="H1" sqref="H1"/>
    </sheetView>
  </sheetViews>
  <sheetFormatPr defaultRowHeight="15" x14ac:dyDescent="0.25"/>
  <cols>
    <col min="1" max="1" width="10.140625" bestFit="1" customWidth="1"/>
    <col min="2" max="2" width="16.85546875" bestFit="1" customWidth="1"/>
    <col min="3" max="3" width="21.140625" bestFit="1" customWidth="1"/>
    <col min="4" max="4" width="20.85546875" bestFit="1" customWidth="1"/>
    <col min="7" max="7" width="3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G1" s="5" t="s">
        <v>14</v>
      </c>
      <c r="H1" s="5">
        <f>SUM(owoce4[czyPorzeczkiNajwiecej])</f>
        <v>19</v>
      </c>
    </row>
    <row r="2" spans="1:8" x14ac:dyDescent="0.25">
      <c r="A2" s="1">
        <v>43952</v>
      </c>
      <c r="B2">
        <v>211</v>
      </c>
      <c r="C2">
        <v>281</v>
      </c>
      <c r="D2">
        <v>88</v>
      </c>
      <c r="E2">
        <f t="shared" ref="E2:E33" si="0">IF(AND(D2&gt;C2,D2&gt;B2),1,0)</f>
        <v>0</v>
      </c>
    </row>
    <row r="3" spans="1:8" x14ac:dyDescent="0.25">
      <c r="A3" s="1">
        <v>43953</v>
      </c>
      <c r="B3">
        <v>393</v>
      </c>
      <c r="C3">
        <v>313</v>
      </c>
      <c r="D3">
        <v>83</v>
      </c>
      <c r="E3">
        <f t="shared" si="0"/>
        <v>0</v>
      </c>
    </row>
    <row r="4" spans="1:8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8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</row>
    <row r="6" spans="1:8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8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8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8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8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8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8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8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8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8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8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ref="E34:E65" si="1">IF(AND(D34&gt;C34,D34&gt;B34),1,0)</f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1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1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1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1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1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1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1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1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1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1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1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1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1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1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1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1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1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1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1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1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1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1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1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1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1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1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1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1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1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1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1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ref="E66:E97" si="2">IF(AND(D66&gt;C66,D66&gt;B66),1,0)</f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si="2"/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2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2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2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2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2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2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2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 t="shared" si="2"/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2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2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2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2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2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2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2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2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2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2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2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2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2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2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2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2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2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2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2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2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2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2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ref="E98:E129" si="3">IF(AND(D98&gt;C98,D98&gt;B98),1,0)</f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3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3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3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3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3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3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3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3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3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3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3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3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3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3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3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3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3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3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3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3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3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3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3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3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3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3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3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3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3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3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3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ref="E130:E161" si="4">IF(AND(D130&gt;C130,D130&gt;B130),1,0)</f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si="4"/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4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4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4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4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4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4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4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4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4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4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4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4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4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4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4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4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4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4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4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4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4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4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4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090F-8A7D-4332-8060-CA3FB6816013}">
  <dimension ref="A1:Q154"/>
  <sheetViews>
    <sheetView topLeftCell="H1" zoomScale="85" zoomScaleNormal="85" workbookViewId="0">
      <selection activeCell="Q13" sqref="P10:Q13"/>
    </sheetView>
  </sheetViews>
  <sheetFormatPr defaultRowHeight="15" x14ac:dyDescent="0.25"/>
  <cols>
    <col min="1" max="1" width="10.140625" bestFit="1" customWidth="1"/>
    <col min="2" max="2" width="22" bestFit="1" customWidth="1"/>
    <col min="3" max="3" width="26.28515625" bestFit="1" customWidth="1"/>
    <col min="4" max="4" width="26" bestFit="1" customWidth="1"/>
    <col min="5" max="7" width="26" customWidth="1"/>
    <col min="8" max="8" width="25.28515625" bestFit="1" customWidth="1"/>
    <col min="9" max="9" width="21.85546875" bestFit="1" customWidth="1"/>
    <col min="10" max="10" width="18.85546875" bestFit="1" customWidth="1"/>
    <col min="11" max="11" width="26.5703125" bestFit="1" customWidth="1"/>
    <col min="12" max="12" width="19.85546875" bestFit="1" customWidth="1"/>
    <col min="13" max="13" width="30.28515625" bestFit="1" customWidth="1"/>
    <col min="14" max="14" width="30" bestFit="1" customWidth="1"/>
    <col min="16" max="16" width="26.140625" bestFit="1" customWidth="1"/>
    <col min="17" max="17" width="31.140625" bestFit="1" customWidth="1"/>
  </cols>
  <sheetData>
    <row r="1" spans="1:17" x14ac:dyDescent="0.25">
      <c r="A1" t="s">
        <v>0</v>
      </c>
      <c r="B1" t="s">
        <v>16</v>
      </c>
      <c r="C1" t="s">
        <v>17</v>
      </c>
      <c r="D1" t="s">
        <v>18</v>
      </c>
      <c r="E1" t="s">
        <v>23</v>
      </c>
      <c r="F1" t="s">
        <v>24</v>
      </c>
      <c r="G1" t="s">
        <v>25</v>
      </c>
      <c r="H1" t="s">
        <v>19</v>
      </c>
      <c r="I1" t="s">
        <v>20</v>
      </c>
      <c r="J1" t="s">
        <v>21</v>
      </c>
      <c r="K1" t="s">
        <v>22</v>
      </c>
      <c r="L1" t="s">
        <v>26</v>
      </c>
      <c r="M1" t="s">
        <v>27</v>
      </c>
      <c r="N1" t="s">
        <v>28</v>
      </c>
      <c r="P1" s="2" t="s">
        <v>41</v>
      </c>
      <c r="Q1" t="s">
        <v>45</v>
      </c>
    </row>
    <row r="2" spans="1:17" x14ac:dyDescent="0.25">
      <c r="A2" s="1">
        <v>43952</v>
      </c>
      <c r="B2">
        <v>211</v>
      </c>
      <c r="C2">
        <v>281</v>
      </c>
      <c r="D2">
        <v>88</v>
      </c>
      <c r="E2">
        <v>211</v>
      </c>
      <c r="F2">
        <v>281</v>
      </c>
      <c r="G2">
        <v>88</v>
      </c>
      <c r="H2" t="s">
        <v>42</v>
      </c>
      <c r="I2" t="s">
        <v>43</v>
      </c>
      <c r="J2" t="s">
        <v>33</v>
      </c>
      <c r="K2" s="4">
        <v>211</v>
      </c>
      <c r="L2" s="4">
        <v>0</v>
      </c>
      <c r="M2" s="4">
        <v>70</v>
      </c>
      <c r="N2" s="4">
        <v>88</v>
      </c>
      <c r="P2" s="3" t="s">
        <v>29</v>
      </c>
      <c r="Q2" s="4">
        <v>12525</v>
      </c>
    </row>
    <row r="3" spans="1:17" x14ac:dyDescent="0.25">
      <c r="A3" s="1">
        <v>43953</v>
      </c>
      <c r="B3">
        <v>393</v>
      </c>
      <c r="C3">
        <v>313</v>
      </c>
      <c r="D3">
        <v>83</v>
      </c>
      <c r="E3">
        <v>393</v>
      </c>
      <c r="F3">
        <v>383</v>
      </c>
      <c r="G3">
        <v>171</v>
      </c>
      <c r="H3" t="s">
        <v>43</v>
      </c>
      <c r="I3" t="s">
        <v>42</v>
      </c>
      <c r="J3" t="s">
        <v>30</v>
      </c>
      <c r="K3" s="4">
        <v>383</v>
      </c>
      <c r="L3" s="4">
        <v>10</v>
      </c>
      <c r="M3" s="4">
        <v>0</v>
      </c>
      <c r="N3" s="4">
        <v>171</v>
      </c>
      <c r="P3" s="3" t="s">
        <v>30</v>
      </c>
      <c r="Q3" s="4">
        <v>16104</v>
      </c>
    </row>
    <row r="4" spans="1:17" x14ac:dyDescent="0.25">
      <c r="A4" s="1">
        <v>43954</v>
      </c>
      <c r="B4">
        <v>389</v>
      </c>
      <c r="C4">
        <v>315</v>
      </c>
      <c r="D4">
        <v>104</v>
      </c>
      <c r="E4">
        <v>399</v>
      </c>
      <c r="F4">
        <v>315</v>
      </c>
      <c r="G4">
        <v>275</v>
      </c>
      <c r="H4" t="s">
        <v>43</v>
      </c>
      <c r="I4" t="s">
        <v>42</v>
      </c>
      <c r="J4" t="s">
        <v>30</v>
      </c>
      <c r="K4" s="4">
        <v>315</v>
      </c>
      <c r="L4" s="4">
        <v>84</v>
      </c>
      <c r="M4" s="4">
        <v>0</v>
      </c>
      <c r="N4" s="4">
        <v>275</v>
      </c>
      <c r="P4" s="3" t="s">
        <v>31</v>
      </c>
      <c r="Q4" s="4">
        <v>5483</v>
      </c>
    </row>
    <row r="5" spans="1:17" x14ac:dyDescent="0.25">
      <c r="A5" s="1">
        <v>43955</v>
      </c>
      <c r="B5">
        <v>308</v>
      </c>
      <c r="C5">
        <v>221</v>
      </c>
      <c r="D5">
        <v>119</v>
      </c>
      <c r="E5">
        <v>392</v>
      </c>
      <c r="F5">
        <v>221</v>
      </c>
      <c r="G5">
        <v>394</v>
      </c>
      <c r="H5" t="s">
        <v>44</v>
      </c>
      <c r="I5" t="s">
        <v>43</v>
      </c>
      <c r="J5" t="s">
        <v>31</v>
      </c>
      <c r="K5" s="4">
        <v>392</v>
      </c>
      <c r="L5" s="4">
        <v>0</v>
      </c>
      <c r="M5" s="4">
        <v>221</v>
      </c>
      <c r="N5" s="4">
        <v>2</v>
      </c>
      <c r="P5" s="3" t="s">
        <v>32</v>
      </c>
      <c r="Q5" s="4">
        <v>8848</v>
      </c>
    </row>
    <row r="6" spans="1:17" x14ac:dyDescent="0.25">
      <c r="A6" s="1">
        <v>43956</v>
      </c>
      <c r="B6">
        <v>387</v>
      </c>
      <c r="C6">
        <v>275</v>
      </c>
      <c r="D6">
        <v>72</v>
      </c>
      <c r="E6">
        <v>387</v>
      </c>
      <c r="F6">
        <v>496</v>
      </c>
      <c r="G6">
        <v>74</v>
      </c>
      <c r="H6" t="s">
        <v>42</v>
      </c>
      <c r="I6" t="s">
        <v>43</v>
      </c>
      <c r="J6" t="s">
        <v>33</v>
      </c>
      <c r="K6" s="4">
        <v>387</v>
      </c>
      <c r="L6" s="4">
        <v>0</v>
      </c>
      <c r="M6" s="4">
        <v>109</v>
      </c>
      <c r="N6" s="4">
        <v>74</v>
      </c>
      <c r="P6" s="3" t="s">
        <v>33</v>
      </c>
      <c r="Q6" s="4">
        <v>13628</v>
      </c>
    </row>
    <row r="7" spans="1:17" x14ac:dyDescent="0.25">
      <c r="A7" s="1">
        <v>43957</v>
      </c>
      <c r="B7">
        <v>294</v>
      </c>
      <c r="C7">
        <v>366</v>
      </c>
      <c r="D7">
        <v>99</v>
      </c>
      <c r="E7">
        <v>294</v>
      </c>
      <c r="F7">
        <v>475</v>
      </c>
      <c r="G7">
        <v>173</v>
      </c>
      <c r="H7" t="s">
        <v>42</v>
      </c>
      <c r="I7" t="s">
        <v>43</v>
      </c>
      <c r="J7" t="s">
        <v>33</v>
      </c>
      <c r="K7" s="4">
        <v>294</v>
      </c>
      <c r="L7" s="4">
        <v>0</v>
      </c>
      <c r="M7" s="4">
        <v>181</v>
      </c>
      <c r="N7" s="4">
        <v>173</v>
      </c>
      <c r="P7" s="3" t="s">
        <v>34</v>
      </c>
      <c r="Q7" s="4">
        <v>9534</v>
      </c>
    </row>
    <row r="8" spans="1:17" x14ac:dyDescent="0.25">
      <c r="A8" s="1">
        <v>43958</v>
      </c>
      <c r="B8">
        <v>389</v>
      </c>
      <c r="C8">
        <v>288</v>
      </c>
      <c r="D8">
        <v>87</v>
      </c>
      <c r="E8">
        <v>389</v>
      </c>
      <c r="F8">
        <v>469</v>
      </c>
      <c r="G8">
        <v>260</v>
      </c>
      <c r="H8" t="s">
        <v>42</v>
      </c>
      <c r="I8" t="s">
        <v>43</v>
      </c>
      <c r="J8" t="s">
        <v>33</v>
      </c>
      <c r="K8" s="4">
        <v>389</v>
      </c>
      <c r="L8" s="4">
        <v>0</v>
      </c>
      <c r="M8" s="4">
        <v>80</v>
      </c>
      <c r="N8" s="4">
        <v>260</v>
      </c>
      <c r="P8" s="3" t="s">
        <v>4</v>
      </c>
      <c r="Q8" s="4">
        <v>66122</v>
      </c>
    </row>
    <row r="9" spans="1:17" x14ac:dyDescent="0.25">
      <c r="A9" s="1">
        <v>43959</v>
      </c>
      <c r="B9">
        <v>259</v>
      </c>
      <c r="C9">
        <v>361</v>
      </c>
      <c r="D9">
        <v>112</v>
      </c>
      <c r="E9">
        <v>259</v>
      </c>
      <c r="F9">
        <v>441</v>
      </c>
      <c r="G9">
        <v>372</v>
      </c>
      <c r="H9" t="s">
        <v>42</v>
      </c>
      <c r="I9" t="s">
        <v>44</v>
      </c>
      <c r="J9" t="s">
        <v>34</v>
      </c>
      <c r="K9" s="4">
        <v>372</v>
      </c>
      <c r="L9" s="4">
        <v>259</v>
      </c>
      <c r="M9" s="4">
        <v>69</v>
      </c>
      <c r="N9" s="4">
        <v>0</v>
      </c>
    </row>
    <row r="10" spans="1:17" x14ac:dyDescent="0.25">
      <c r="A10" s="1">
        <v>43960</v>
      </c>
      <c r="B10">
        <v>369</v>
      </c>
      <c r="C10">
        <v>233</v>
      </c>
      <c r="D10">
        <v>110</v>
      </c>
      <c r="E10">
        <v>628</v>
      </c>
      <c r="F10">
        <v>302</v>
      </c>
      <c r="G10">
        <v>110</v>
      </c>
      <c r="H10" t="s">
        <v>43</v>
      </c>
      <c r="I10" t="s">
        <v>42</v>
      </c>
      <c r="J10" t="s">
        <v>30</v>
      </c>
      <c r="K10" s="4">
        <v>302</v>
      </c>
      <c r="L10" s="4">
        <v>326</v>
      </c>
      <c r="M10" s="4">
        <v>0</v>
      </c>
      <c r="N10" s="4">
        <v>110</v>
      </c>
      <c r="P10" s="5" t="s">
        <v>39</v>
      </c>
      <c r="Q10" s="5" t="s">
        <v>45</v>
      </c>
    </row>
    <row r="11" spans="1:17" x14ac:dyDescent="0.25">
      <c r="A11" s="1">
        <v>43961</v>
      </c>
      <c r="B11">
        <v>263</v>
      </c>
      <c r="C11">
        <v>393</v>
      </c>
      <c r="D11">
        <v>75</v>
      </c>
      <c r="E11">
        <v>589</v>
      </c>
      <c r="F11">
        <v>393</v>
      </c>
      <c r="G11">
        <v>185</v>
      </c>
      <c r="H11" t="s">
        <v>43</v>
      </c>
      <c r="I11" t="s">
        <v>42</v>
      </c>
      <c r="J11" t="s">
        <v>30</v>
      </c>
      <c r="K11" s="4">
        <v>393</v>
      </c>
      <c r="L11" s="4">
        <v>196</v>
      </c>
      <c r="M11" s="4">
        <v>0</v>
      </c>
      <c r="N11" s="4">
        <v>185</v>
      </c>
      <c r="P11" s="5" t="s">
        <v>36</v>
      </c>
      <c r="Q11" s="5">
        <f>SUM(GETPIVOTDATA("Ile_kilogramów_konfitury",$P$1,"nazwa_konfitury","maliny-truskawki"),GETPIVOTDATA("Ile_kilogramów_konfitury",$P$1,"nazwa_konfitury","truskawki-maliny"))</f>
        <v>29732</v>
      </c>
    </row>
    <row r="12" spans="1:17" x14ac:dyDescent="0.25">
      <c r="A12" s="1">
        <v>43962</v>
      </c>
      <c r="B12">
        <v>239</v>
      </c>
      <c r="C12">
        <v>347</v>
      </c>
      <c r="D12">
        <v>94</v>
      </c>
      <c r="E12">
        <v>435</v>
      </c>
      <c r="F12">
        <v>347</v>
      </c>
      <c r="G12">
        <v>279</v>
      </c>
      <c r="H12" t="s">
        <v>43</v>
      </c>
      <c r="I12" t="s">
        <v>42</v>
      </c>
      <c r="J12" t="s">
        <v>30</v>
      </c>
      <c r="K12" s="4">
        <v>347</v>
      </c>
      <c r="L12" s="4">
        <v>88</v>
      </c>
      <c r="M12" s="4">
        <v>0</v>
      </c>
      <c r="N12" s="4">
        <v>279</v>
      </c>
      <c r="P12" s="5" t="s">
        <v>37</v>
      </c>
      <c r="Q12" s="5">
        <f>SUM(GETPIVOTDATA("Ile_kilogramów_konfitury",$P$1,"nazwa_konfitury","maliny-porzeczki"),GETPIVOTDATA("Ile_kilogramów_konfitury",$P$1,"nazwa_konfitury","porzeczki-maliny"))</f>
        <v>18008</v>
      </c>
    </row>
    <row r="13" spans="1:17" x14ac:dyDescent="0.25">
      <c r="A13" s="1">
        <v>43963</v>
      </c>
      <c r="B13">
        <v>282</v>
      </c>
      <c r="C13">
        <v>338</v>
      </c>
      <c r="D13">
        <v>86</v>
      </c>
      <c r="E13">
        <v>370</v>
      </c>
      <c r="F13">
        <v>338</v>
      </c>
      <c r="G13">
        <v>365</v>
      </c>
      <c r="H13" t="s">
        <v>43</v>
      </c>
      <c r="I13" t="s">
        <v>44</v>
      </c>
      <c r="J13" t="s">
        <v>29</v>
      </c>
      <c r="K13" s="4">
        <v>365</v>
      </c>
      <c r="L13" s="4">
        <v>5</v>
      </c>
      <c r="M13" s="4">
        <v>338</v>
      </c>
      <c r="N13" s="4">
        <v>0</v>
      </c>
      <c r="P13" s="5" t="s">
        <v>38</v>
      </c>
      <c r="Q13" s="5">
        <f>SUM(GETPIVOTDATA("Ile_kilogramów_konfitury",$P$1,"nazwa_konfitury","truskawki-porzeczki"),GETPIVOTDATA("Ile_kilogramów_konfitury",$P$1,"nazwa_konfitury","porzeczki-truskawki"))</f>
        <v>18382</v>
      </c>
    </row>
    <row r="14" spans="1:17" x14ac:dyDescent="0.25">
      <c r="A14" s="1">
        <v>43964</v>
      </c>
      <c r="B14">
        <v>306</v>
      </c>
      <c r="C14">
        <v>273</v>
      </c>
      <c r="D14">
        <v>75</v>
      </c>
      <c r="E14">
        <v>311</v>
      </c>
      <c r="F14">
        <v>611</v>
      </c>
      <c r="G14">
        <v>75</v>
      </c>
      <c r="H14" t="s">
        <v>42</v>
      </c>
      <c r="I14" t="s">
        <v>43</v>
      </c>
      <c r="J14" t="s">
        <v>33</v>
      </c>
      <c r="K14" s="4">
        <v>311</v>
      </c>
      <c r="L14" s="4">
        <v>0</v>
      </c>
      <c r="M14" s="4">
        <v>300</v>
      </c>
      <c r="N14" s="4">
        <v>75</v>
      </c>
    </row>
    <row r="15" spans="1:17" x14ac:dyDescent="0.25">
      <c r="A15" s="1">
        <v>43965</v>
      </c>
      <c r="B15">
        <v>251</v>
      </c>
      <c r="C15">
        <v>325</v>
      </c>
      <c r="D15">
        <v>89</v>
      </c>
      <c r="E15">
        <v>251</v>
      </c>
      <c r="F15">
        <v>625</v>
      </c>
      <c r="G15">
        <v>164</v>
      </c>
      <c r="H15" t="s">
        <v>42</v>
      </c>
      <c r="I15" t="s">
        <v>43</v>
      </c>
      <c r="J15" t="s">
        <v>33</v>
      </c>
      <c r="K15" s="4">
        <v>251</v>
      </c>
      <c r="L15" s="4">
        <v>0</v>
      </c>
      <c r="M15" s="4">
        <v>374</v>
      </c>
      <c r="N15" s="4">
        <v>164</v>
      </c>
    </row>
    <row r="16" spans="1:17" x14ac:dyDescent="0.25">
      <c r="A16" s="1">
        <v>43966</v>
      </c>
      <c r="B16">
        <v>224</v>
      </c>
      <c r="C16">
        <v>352</v>
      </c>
      <c r="D16">
        <v>97</v>
      </c>
      <c r="E16">
        <v>224</v>
      </c>
      <c r="F16">
        <v>726</v>
      </c>
      <c r="G16">
        <v>261</v>
      </c>
      <c r="H16" t="s">
        <v>42</v>
      </c>
      <c r="I16" t="s">
        <v>44</v>
      </c>
      <c r="J16" t="s">
        <v>34</v>
      </c>
      <c r="K16" s="4">
        <v>261</v>
      </c>
      <c r="L16" s="4">
        <v>224</v>
      </c>
      <c r="M16" s="4">
        <v>465</v>
      </c>
      <c r="N16" s="4">
        <v>0</v>
      </c>
    </row>
    <row r="17" spans="1:14" x14ac:dyDescent="0.25">
      <c r="A17" s="1">
        <v>43967</v>
      </c>
      <c r="B17">
        <v>233</v>
      </c>
      <c r="C17">
        <v>270</v>
      </c>
      <c r="D17">
        <v>94</v>
      </c>
      <c r="E17">
        <v>457</v>
      </c>
      <c r="F17">
        <v>735</v>
      </c>
      <c r="G17">
        <v>94</v>
      </c>
      <c r="H17" t="s">
        <v>42</v>
      </c>
      <c r="I17" t="s">
        <v>43</v>
      </c>
      <c r="J17" t="s">
        <v>33</v>
      </c>
      <c r="K17" s="4">
        <v>457</v>
      </c>
      <c r="L17" s="4">
        <v>0</v>
      </c>
      <c r="M17" s="4">
        <v>278</v>
      </c>
      <c r="N17" s="4">
        <v>94</v>
      </c>
    </row>
    <row r="18" spans="1:14" x14ac:dyDescent="0.25">
      <c r="A18" s="1">
        <v>43968</v>
      </c>
      <c r="B18">
        <v>345</v>
      </c>
      <c r="C18">
        <v>275</v>
      </c>
      <c r="D18">
        <v>90</v>
      </c>
      <c r="E18">
        <v>345</v>
      </c>
      <c r="F18">
        <v>553</v>
      </c>
      <c r="G18">
        <v>184</v>
      </c>
      <c r="H18" t="s">
        <v>42</v>
      </c>
      <c r="I18" t="s">
        <v>43</v>
      </c>
      <c r="J18" t="s">
        <v>33</v>
      </c>
      <c r="K18" s="4">
        <v>345</v>
      </c>
      <c r="L18" s="4">
        <v>0</v>
      </c>
      <c r="M18" s="4">
        <v>208</v>
      </c>
      <c r="N18" s="4">
        <v>184</v>
      </c>
    </row>
    <row r="19" spans="1:14" x14ac:dyDescent="0.25">
      <c r="A19" s="1">
        <v>43969</v>
      </c>
      <c r="B19">
        <v>232</v>
      </c>
      <c r="C19">
        <v>228</v>
      </c>
      <c r="D19">
        <v>107</v>
      </c>
      <c r="E19">
        <v>232</v>
      </c>
      <c r="F19">
        <v>436</v>
      </c>
      <c r="G19">
        <v>291</v>
      </c>
      <c r="H19" t="s">
        <v>42</v>
      </c>
      <c r="I19" t="s">
        <v>44</v>
      </c>
      <c r="J19" t="s">
        <v>34</v>
      </c>
      <c r="K19" s="4">
        <v>291</v>
      </c>
      <c r="L19" s="4">
        <v>232</v>
      </c>
      <c r="M19" s="4">
        <v>145</v>
      </c>
      <c r="N19" s="4">
        <v>0</v>
      </c>
    </row>
    <row r="20" spans="1:14" x14ac:dyDescent="0.25">
      <c r="A20" s="1">
        <v>43970</v>
      </c>
      <c r="B20">
        <v>238</v>
      </c>
      <c r="C20">
        <v>394</v>
      </c>
      <c r="D20">
        <v>105</v>
      </c>
      <c r="E20">
        <v>470</v>
      </c>
      <c r="F20">
        <v>539</v>
      </c>
      <c r="G20">
        <v>105</v>
      </c>
      <c r="H20" t="s">
        <v>42</v>
      </c>
      <c r="I20" t="s">
        <v>43</v>
      </c>
      <c r="J20" t="s">
        <v>33</v>
      </c>
      <c r="K20" s="4">
        <v>470</v>
      </c>
      <c r="L20" s="4">
        <v>0</v>
      </c>
      <c r="M20" s="4">
        <v>69</v>
      </c>
      <c r="N20" s="4">
        <v>105</v>
      </c>
    </row>
    <row r="21" spans="1:14" x14ac:dyDescent="0.25">
      <c r="A21" s="1">
        <v>43971</v>
      </c>
      <c r="B21">
        <v>378</v>
      </c>
      <c r="C21">
        <v>311</v>
      </c>
      <c r="D21">
        <v>110</v>
      </c>
      <c r="E21">
        <v>378</v>
      </c>
      <c r="F21">
        <v>380</v>
      </c>
      <c r="G21">
        <v>215</v>
      </c>
      <c r="H21" t="s">
        <v>42</v>
      </c>
      <c r="I21" t="s">
        <v>43</v>
      </c>
      <c r="J21" t="s">
        <v>33</v>
      </c>
      <c r="K21" s="4">
        <v>378</v>
      </c>
      <c r="L21" s="4">
        <v>0</v>
      </c>
      <c r="M21" s="4">
        <v>2</v>
      </c>
      <c r="N21" s="4">
        <v>215</v>
      </c>
    </row>
    <row r="22" spans="1:14" x14ac:dyDescent="0.25">
      <c r="A22" s="1">
        <v>43972</v>
      </c>
      <c r="B22">
        <v>281</v>
      </c>
      <c r="C22">
        <v>354</v>
      </c>
      <c r="D22">
        <v>121</v>
      </c>
      <c r="E22">
        <v>281</v>
      </c>
      <c r="F22">
        <v>356</v>
      </c>
      <c r="G22">
        <v>336</v>
      </c>
      <c r="H22" t="s">
        <v>42</v>
      </c>
      <c r="I22" t="s">
        <v>44</v>
      </c>
      <c r="J22" t="s">
        <v>34</v>
      </c>
      <c r="K22" s="4">
        <v>336</v>
      </c>
      <c r="L22" s="4">
        <v>281</v>
      </c>
      <c r="M22" s="4">
        <v>20</v>
      </c>
      <c r="N22" s="4">
        <v>0</v>
      </c>
    </row>
    <row r="23" spans="1:14" x14ac:dyDescent="0.25">
      <c r="A23" s="1">
        <v>43973</v>
      </c>
      <c r="B23">
        <v>390</v>
      </c>
      <c r="C23">
        <v>267</v>
      </c>
      <c r="D23">
        <v>124</v>
      </c>
      <c r="E23">
        <v>671</v>
      </c>
      <c r="F23">
        <v>287</v>
      </c>
      <c r="G23">
        <v>124</v>
      </c>
      <c r="H23" t="s">
        <v>43</v>
      </c>
      <c r="I23" t="s">
        <v>42</v>
      </c>
      <c r="J23" t="s">
        <v>30</v>
      </c>
      <c r="K23" s="4">
        <v>287</v>
      </c>
      <c r="L23" s="4">
        <v>384</v>
      </c>
      <c r="M23" s="4">
        <v>0</v>
      </c>
      <c r="N23" s="4">
        <v>124</v>
      </c>
    </row>
    <row r="24" spans="1:14" x14ac:dyDescent="0.25">
      <c r="A24" s="1">
        <v>43974</v>
      </c>
      <c r="B24">
        <v>308</v>
      </c>
      <c r="C24">
        <v>337</v>
      </c>
      <c r="D24">
        <v>105</v>
      </c>
      <c r="E24">
        <v>692</v>
      </c>
      <c r="F24">
        <v>337</v>
      </c>
      <c r="G24">
        <v>229</v>
      </c>
      <c r="H24" t="s">
        <v>43</v>
      </c>
      <c r="I24" t="s">
        <v>42</v>
      </c>
      <c r="J24" t="s">
        <v>30</v>
      </c>
      <c r="K24" s="4">
        <v>337</v>
      </c>
      <c r="L24" s="4">
        <v>355</v>
      </c>
      <c r="M24" s="4">
        <v>0</v>
      </c>
      <c r="N24" s="4">
        <v>229</v>
      </c>
    </row>
    <row r="25" spans="1:14" x14ac:dyDescent="0.25">
      <c r="A25" s="1">
        <v>43975</v>
      </c>
      <c r="B25">
        <v>391</v>
      </c>
      <c r="C25">
        <v>238</v>
      </c>
      <c r="D25">
        <v>113</v>
      </c>
      <c r="E25">
        <v>746</v>
      </c>
      <c r="F25">
        <v>238</v>
      </c>
      <c r="G25">
        <v>342</v>
      </c>
      <c r="H25" t="s">
        <v>43</v>
      </c>
      <c r="I25" t="s">
        <v>44</v>
      </c>
      <c r="J25" t="s">
        <v>29</v>
      </c>
      <c r="K25" s="4">
        <v>342</v>
      </c>
      <c r="L25" s="4">
        <v>404</v>
      </c>
      <c r="M25" s="4">
        <v>238</v>
      </c>
      <c r="N25" s="4">
        <v>0</v>
      </c>
    </row>
    <row r="26" spans="1:14" x14ac:dyDescent="0.25">
      <c r="A26" s="1">
        <v>43976</v>
      </c>
      <c r="B26">
        <v>241</v>
      </c>
      <c r="C26">
        <v>283</v>
      </c>
      <c r="D26">
        <v>140</v>
      </c>
      <c r="E26">
        <v>645</v>
      </c>
      <c r="F26">
        <v>521</v>
      </c>
      <c r="G26">
        <v>140</v>
      </c>
      <c r="H26" t="s">
        <v>43</v>
      </c>
      <c r="I26" t="s">
        <v>42</v>
      </c>
      <c r="J26" t="s">
        <v>30</v>
      </c>
      <c r="K26" s="4">
        <v>521</v>
      </c>
      <c r="L26" s="4">
        <v>124</v>
      </c>
      <c r="M26" s="4">
        <v>0</v>
      </c>
      <c r="N26" s="4">
        <v>140</v>
      </c>
    </row>
    <row r="27" spans="1:14" x14ac:dyDescent="0.25">
      <c r="A27" s="1">
        <v>43977</v>
      </c>
      <c r="B27">
        <v>249</v>
      </c>
      <c r="C27">
        <v>275</v>
      </c>
      <c r="D27">
        <v>118</v>
      </c>
      <c r="E27">
        <v>373</v>
      </c>
      <c r="F27">
        <v>275</v>
      </c>
      <c r="G27">
        <v>258</v>
      </c>
      <c r="H27" t="s">
        <v>43</v>
      </c>
      <c r="I27" t="s">
        <v>42</v>
      </c>
      <c r="J27" t="s">
        <v>30</v>
      </c>
      <c r="K27" s="4">
        <v>275</v>
      </c>
      <c r="L27" s="4">
        <v>98</v>
      </c>
      <c r="M27" s="4">
        <v>0</v>
      </c>
      <c r="N27" s="4">
        <v>258</v>
      </c>
    </row>
    <row r="28" spans="1:14" x14ac:dyDescent="0.25">
      <c r="A28" s="1">
        <v>43978</v>
      </c>
      <c r="B28">
        <v>298</v>
      </c>
      <c r="C28">
        <v>263</v>
      </c>
      <c r="D28">
        <v>145</v>
      </c>
      <c r="E28">
        <v>396</v>
      </c>
      <c r="F28">
        <v>263</v>
      </c>
      <c r="G28">
        <v>403</v>
      </c>
      <c r="H28" t="s">
        <v>44</v>
      </c>
      <c r="I28" t="s">
        <v>43</v>
      </c>
      <c r="J28" t="s">
        <v>31</v>
      </c>
      <c r="K28" s="4">
        <v>396</v>
      </c>
      <c r="L28" s="4">
        <v>0</v>
      </c>
      <c r="M28" s="4">
        <v>263</v>
      </c>
      <c r="N28" s="4">
        <v>7</v>
      </c>
    </row>
    <row r="29" spans="1:14" x14ac:dyDescent="0.25">
      <c r="A29" s="1">
        <v>43979</v>
      </c>
      <c r="B29">
        <v>254</v>
      </c>
      <c r="C29">
        <v>241</v>
      </c>
      <c r="D29">
        <v>149</v>
      </c>
      <c r="E29">
        <v>254</v>
      </c>
      <c r="F29">
        <v>504</v>
      </c>
      <c r="G29">
        <v>156</v>
      </c>
      <c r="H29" t="s">
        <v>42</v>
      </c>
      <c r="I29" t="s">
        <v>43</v>
      </c>
      <c r="J29" t="s">
        <v>33</v>
      </c>
      <c r="K29" s="4">
        <v>254</v>
      </c>
      <c r="L29" s="4">
        <v>0</v>
      </c>
      <c r="M29" s="4">
        <v>250</v>
      </c>
      <c r="N29" s="4">
        <v>156</v>
      </c>
    </row>
    <row r="30" spans="1:14" x14ac:dyDescent="0.25">
      <c r="A30" s="1">
        <v>43980</v>
      </c>
      <c r="B30">
        <v>329</v>
      </c>
      <c r="C30">
        <v>323</v>
      </c>
      <c r="D30">
        <v>134</v>
      </c>
      <c r="E30">
        <v>329</v>
      </c>
      <c r="F30">
        <v>573</v>
      </c>
      <c r="G30">
        <v>290</v>
      </c>
      <c r="H30" t="s">
        <v>42</v>
      </c>
      <c r="I30" t="s">
        <v>43</v>
      </c>
      <c r="J30" t="s">
        <v>33</v>
      </c>
      <c r="K30" s="4">
        <v>329</v>
      </c>
      <c r="L30" s="4">
        <v>0</v>
      </c>
      <c r="M30" s="4">
        <v>244</v>
      </c>
      <c r="N30" s="4">
        <v>290</v>
      </c>
    </row>
    <row r="31" spans="1:14" x14ac:dyDescent="0.25">
      <c r="A31" s="1">
        <v>43981</v>
      </c>
      <c r="B31">
        <v>213</v>
      </c>
      <c r="C31">
        <v>221</v>
      </c>
      <c r="D31">
        <v>119</v>
      </c>
      <c r="E31">
        <v>213</v>
      </c>
      <c r="F31">
        <v>465</v>
      </c>
      <c r="G31">
        <v>409</v>
      </c>
      <c r="H31" t="s">
        <v>42</v>
      </c>
      <c r="I31" t="s">
        <v>44</v>
      </c>
      <c r="J31" t="s">
        <v>34</v>
      </c>
      <c r="K31" s="4">
        <v>409</v>
      </c>
      <c r="L31" s="4">
        <v>213</v>
      </c>
      <c r="M31" s="4">
        <v>56</v>
      </c>
      <c r="N31" s="4">
        <v>0</v>
      </c>
    </row>
    <row r="32" spans="1:14" x14ac:dyDescent="0.25">
      <c r="A32" s="1">
        <v>43982</v>
      </c>
      <c r="B32">
        <v>294</v>
      </c>
      <c r="C32">
        <v>326</v>
      </c>
      <c r="D32">
        <v>145</v>
      </c>
      <c r="E32">
        <v>507</v>
      </c>
      <c r="F32">
        <v>382</v>
      </c>
      <c r="G32">
        <v>145</v>
      </c>
      <c r="H32" t="s">
        <v>43</v>
      </c>
      <c r="I32" t="s">
        <v>42</v>
      </c>
      <c r="J32" t="s">
        <v>30</v>
      </c>
      <c r="K32" s="4">
        <v>382</v>
      </c>
      <c r="L32" s="4">
        <v>125</v>
      </c>
      <c r="M32" s="4">
        <v>0</v>
      </c>
      <c r="N32" s="4">
        <v>145</v>
      </c>
    </row>
    <row r="33" spans="1:14" x14ac:dyDescent="0.25">
      <c r="A33" s="1">
        <v>43983</v>
      </c>
      <c r="B33">
        <v>225</v>
      </c>
      <c r="C33">
        <v>206</v>
      </c>
      <c r="D33">
        <v>122</v>
      </c>
      <c r="E33">
        <v>350</v>
      </c>
      <c r="F33">
        <v>206</v>
      </c>
      <c r="G33">
        <v>267</v>
      </c>
      <c r="H33" t="s">
        <v>43</v>
      </c>
      <c r="I33" t="s">
        <v>44</v>
      </c>
      <c r="J33" t="s">
        <v>29</v>
      </c>
      <c r="K33" s="4">
        <v>267</v>
      </c>
      <c r="L33" s="4">
        <v>83</v>
      </c>
      <c r="M33" s="4">
        <v>206</v>
      </c>
      <c r="N33" s="4">
        <v>0</v>
      </c>
    </row>
    <row r="34" spans="1:14" x14ac:dyDescent="0.25">
      <c r="A34" s="1">
        <v>43984</v>
      </c>
      <c r="B34">
        <v>264</v>
      </c>
      <c r="C34">
        <v>355</v>
      </c>
      <c r="D34">
        <v>134</v>
      </c>
      <c r="E34">
        <v>347</v>
      </c>
      <c r="F34">
        <v>561</v>
      </c>
      <c r="G34">
        <v>134</v>
      </c>
      <c r="H34" t="s">
        <v>42</v>
      </c>
      <c r="I34" t="s">
        <v>43</v>
      </c>
      <c r="J34" t="s">
        <v>33</v>
      </c>
      <c r="K34" s="4">
        <v>347</v>
      </c>
      <c r="L34" s="4">
        <v>0</v>
      </c>
      <c r="M34" s="4">
        <v>214</v>
      </c>
      <c r="N34" s="4">
        <v>134</v>
      </c>
    </row>
    <row r="35" spans="1:14" x14ac:dyDescent="0.25">
      <c r="A35" s="1">
        <v>43985</v>
      </c>
      <c r="B35">
        <v>253</v>
      </c>
      <c r="C35">
        <v>271</v>
      </c>
      <c r="D35">
        <v>142</v>
      </c>
      <c r="E35">
        <v>253</v>
      </c>
      <c r="F35">
        <v>485</v>
      </c>
      <c r="G35">
        <v>276</v>
      </c>
      <c r="H35" t="s">
        <v>42</v>
      </c>
      <c r="I35" t="s">
        <v>44</v>
      </c>
      <c r="J35" t="s">
        <v>34</v>
      </c>
      <c r="K35" s="4">
        <v>276</v>
      </c>
      <c r="L35" s="4">
        <v>253</v>
      </c>
      <c r="M35" s="4">
        <v>209</v>
      </c>
      <c r="N35" s="4">
        <v>0</v>
      </c>
    </row>
    <row r="36" spans="1:14" x14ac:dyDescent="0.25">
      <c r="A36" s="1">
        <v>43986</v>
      </c>
      <c r="B36">
        <v>352</v>
      </c>
      <c r="C36">
        <v>207</v>
      </c>
      <c r="D36">
        <v>125</v>
      </c>
      <c r="E36">
        <v>605</v>
      </c>
      <c r="F36">
        <v>416</v>
      </c>
      <c r="G36">
        <v>125</v>
      </c>
      <c r="H36" t="s">
        <v>43</v>
      </c>
      <c r="I36" t="s">
        <v>42</v>
      </c>
      <c r="J36" t="s">
        <v>30</v>
      </c>
      <c r="K36" s="4">
        <v>416</v>
      </c>
      <c r="L36" s="4">
        <v>189</v>
      </c>
      <c r="M36" s="4">
        <v>0</v>
      </c>
      <c r="N36" s="4">
        <v>125</v>
      </c>
    </row>
    <row r="37" spans="1:14" x14ac:dyDescent="0.25">
      <c r="A37" s="1">
        <v>43987</v>
      </c>
      <c r="B37">
        <v>269</v>
      </c>
      <c r="C37">
        <v>248</v>
      </c>
      <c r="D37">
        <v>137</v>
      </c>
      <c r="E37">
        <v>458</v>
      </c>
      <c r="F37">
        <v>248</v>
      </c>
      <c r="G37">
        <v>262</v>
      </c>
      <c r="H37" t="s">
        <v>43</v>
      </c>
      <c r="I37" t="s">
        <v>44</v>
      </c>
      <c r="J37" t="s">
        <v>29</v>
      </c>
      <c r="K37" s="4">
        <v>262</v>
      </c>
      <c r="L37" s="4">
        <v>196</v>
      </c>
      <c r="M37" s="4">
        <v>248</v>
      </c>
      <c r="N37" s="4">
        <v>0</v>
      </c>
    </row>
    <row r="38" spans="1:14" x14ac:dyDescent="0.25">
      <c r="A38" s="1">
        <v>43988</v>
      </c>
      <c r="B38">
        <v>242</v>
      </c>
      <c r="C38">
        <v>247</v>
      </c>
      <c r="D38">
        <v>125</v>
      </c>
      <c r="E38">
        <v>438</v>
      </c>
      <c r="F38">
        <v>495</v>
      </c>
      <c r="G38">
        <v>125</v>
      </c>
      <c r="H38" t="s">
        <v>42</v>
      </c>
      <c r="I38" t="s">
        <v>43</v>
      </c>
      <c r="J38" t="s">
        <v>33</v>
      </c>
      <c r="K38" s="4">
        <v>438</v>
      </c>
      <c r="L38" s="4">
        <v>0</v>
      </c>
      <c r="M38" s="4">
        <v>57</v>
      </c>
      <c r="N38" s="4">
        <v>125</v>
      </c>
    </row>
    <row r="39" spans="1:14" x14ac:dyDescent="0.25">
      <c r="A39" s="1">
        <v>43989</v>
      </c>
      <c r="B39">
        <v>327</v>
      </c>
      <c r="C39">
        <v>262</v>
      </c>
      <c r="D39">
        <v>103</v>
      </c>
      <c r="E39">
        <v>327</v>
      </c>
      <c r="F39">
        <v>319</v>
      </c>
      <c r="G39">
        <v>228</v>
      </c>
      <c r="H39" t="s">
        <v>43</v>
      </c>
      <c r="I39" t="s">
        <v>42</v>
      </c>
      <c r="J39" t="s">
        <v>30</v>
      </c>
      <c r="K39" s="4">
        <v>319</v>
      </c>
      <c r="L39" s="4">
        <v>8</v>
      </c>
      <c r="M39" s="4">
        <v>0</v>
      </c>
      <c r="N39" s="4">
        <v>228</v>
      </c>
    </row>
    <row r="40" spans="1:14" x14ac:dyDescent="0.25">
      <c r="A40" s="1">
        <v>43990</v>
      </c>
      <c r="B40">
        <v>316</v>
      </c>
      <c r="C40">
        <v>253</v>
      </c>
      <c r="D40">
        <v>134</v>
      </c>
      <c r="E40">
        <v>324</v>
      </c>
      <c r="F40">
        <v>253</v>
      </c>
      <c r="G40">
        <v>362</v>
      </c>
      <c r="H40" t="s">
        <v>44</v>
      </c>
      <c r="I40" t="s">
        <v>43</v>
      </c>
      <c r="J40" t="s">
        <v>31</v>
      </c>
      <c r="K40" s="4">
        <v>324</v>
      </c>
      <c r="L40" s="4">
        <v>0</v>
      </c>
      <c r="M40" s="4">
        <v>253</v>
      </c>
      <c r="N40" s="4">
        <v>38</v>
      </c>
    </row>
    <row r="41" spans="1:14" x14ac:dyDescent="0.25">
      <c r="A41" s="1">
        <v>43991</v>
      </c>
      <c r="B41">
        <v>294</v>
      </c>
      <c r="C41">
        <v>249</v>
      </c>
      <c r="D41">
        <v>137</v>
      </c>
      <c r="E41">
        <v>294</v>
      </c>
      <c r="F41">
        <v>502</v>
      </c>
      <c r="G41">
        <v>175</v>
      </c>
      <c r="H41" t="s">
        <v>42</v>
      </c>
      <c r="I41" t="s">
        <v>43</v>
      </c>
      <c r="J41" t="s">
        <v>33</v>
      </c>
      <c r="K41" s="4">
        <v>294</v>
      </c>
      <c r="L41" s="4">
        <v>0</v>
      </c>
      <c r="M41" s="4">
        <v>208</v>
      </c>
      <c r="N41" s="4">
        <v>175</v>
      </c>
    </row>
    <row r="42" spans="1:14" x14ac:dyDescent="0.25">
      <c r="A42" s="1">
        <v>43992</v>
      </c>
      <c r="B42">
        <v>270</v>
      </c>
      <c r="C42">
        <v>206</v>
      </c>
      <c r="D42">
        <v>146</v>
      </c>
      <c r="E42">
        <v>270</v>
      </c>
      <c r="F42">
        <v>414</v>
      </c>
      <c r="G42">
        <v>321</v>
      </c>
      <c r="H42" t="s">
        <v>42</v>
      </c>
      <c r="I42" t="s">
        <v>44</v>
      </c>
      <c r="J42" t="s">
        <v>34</v>
      </c>
      <c r="K42" s="4">
        <v>321</v>
      </c>
      <c r="L42" s="4">
        <v>270</v>
      </c>
      <c r="M42" s="4">
        <v>93</v>
      </c>
      <c r="N42" s="4">
        <v>0</v>
      </c>
    </row>
    <row r="43" spans="1:14" x14ac:dyDescent="0.25">
      <c r="A43" s="1">
        <v>43993</v>
      </c>
      <c r="B43">
        <v>349</v>
      </c>
      <c r="C43">
        <v>301</v>
      </c>
      <c r="D43">
        <v>138</v>
      </c>
      <c r="E43">
        <v>619</v>
      </c>
      <c r="F43">
        <v>394</v>
      </c>
      <c r="G43">
        <v>138</v>
      </c>
      <c r="H43" t="s">
        <v>43</v>
      </c>
      <c r="I43" t="s">
        <v>42</v>
      </c>
      <c r="J43" t="s">
        <v>30</v>
      </c>
      <c r="K43" s="4">
        <v>394</v>
      </c>
      <c r="L43" s="4">
        <v>225</v>
      </c>
      <c r="M43" s="4">
        <v>0</v>
      </c>
      <c r="N43" s="4">
        <v>138</v>
      </c>
    </row>
    <row r="44" spans="1:14" x14ac:dyDescent="0.25">
      <c r="A44" s="1">
        <v>43994</v>
      </c>
      <c r="B44">
        <v>224</v>
      </c>
      <c r="C44">
        <v>385</v>
      </c>
      <c r="D44">
        <v>138</v>
      </c>
      <c r="E44">
        <v>449</v>
      </c>
      <c r="F44">
        <v>385</v>
      </c>
      <c r="G44">
        <v>276</v>
      </c>
      <c r="H44" t="s">
        <v>43</v>
      </c>
      <c r="I44" t="s">
        <v>42</v>
      </c>
      <c r="J44" t="s">
        <v>30</v>
      </c>
      <c r="K44" s="4">
        <v>385</v>
      </c>
      <c r="L44" s="4">
        <v>64</v>
      </c>
      <c r="M44" s="4">
        <v>0</v>
      </c>
      <c r="N44" s="4">
        <v>276</v>
      </c>
    </row>
    <row r="45" spans="1:14" x14ac:dyDescent="0.25">
      <c r="A45" s="1">
        <v>43995</v>
      </c>
      <c r="B45">
        <v>309</v>
      </c>
      <c r="C45">
        <v>204</v>
      </c>
      <c r="D45">
        <v>140</v>
      </c>
      <c r="E45">
        <v>373</v>
      </c>
      <c r="F45">
        <v>204</v>
      </c>
      <c r="G45">
        <v>416</v>
      </c>
      <c r="H45" t="s">
        <v>44</v>
      </c>
      <c r="I45" t="s">
        <v>43</v>
      </c>
      <c r="J45" t="s">
        <v>31</v>
      </c>
      <c r="K45" s="4">
        <v>373</v>
      </c>
      <c r="L45" s="4">
        <v>0</v>
      </c>
      <c r="M45" s="4">
        <v>204</v>
      </c>
      <c r="N45" s="4">
        <v>43</v>
      </c>
    </row>
    <row r="46" spans="1:14" x14ac:dyDescent="0.25">
      <c r="A46" s="1">
        <v>43996</v>
      </c>
      <c r="B46">
        <v>246</v>
      </c>
      <c r="C46">
        <v>275</v>
      </c>
      <c r="D46">
        <v>130</v>
      </c>
      <c r="E46">
        <v>246</v>
      </c>
      <c r="F46">
        <v>479</v>
      </c>
      <c r="G46">
        <v>173</v>
      </c>
      <c r="H46" t="s">
        <v>42</v>
      </c>
      <c r="I46" t="s">
        <v>43</v>
      </c>
      <c r="J46" t="s">
        <v>33</v>
      </c>
      <c r="K46" s="4">
        <v>246</v>
      </c>
      <c r="L46" s="4">
        <v>0</v>
      </c>
      <c r="M46" s="4">
        <v>233</v>
      </c>
      <c r="N46" s="4">
        <v>173</v>
      </c>
    </row>
    <row r="47" spans="1:14" x14ac:dyDescent="0.25">
      <c r="A47" s="1">
        <v>43997</v>
      </c>
      <c r="B47">
        <v>241</v>
      </c>
      <c r="C47">
        <v>247</v>
      </c>
      <c r="D47">
        <v>166</v>
      </c>
      <c r="E47">
        <v>241</v>
      </c>
      <c r="F47">
        <v>480</v>
      </c>
      <c r="G47">
        <v>339</v>
      </c>
      <c r="H47" t="s">
        <v>42</v>
      </c>
      <c r="I47" t="s">
        <v>44</v>
      </c>
      <c r="J47" t="s">
        <v>34</v>
      </c>
      <c r="K47" s="4">
        <v>339</v>
      </c>
      <c r="L47" s="4">
        <v>241</v>
      </c>
      <c r="M47" s="4">
        <v>141</v>
      </c>
      <c r="N47" s="4">
        <v>0</v>
      </c>
    </row>
    <row r="48" spans="1:14" x14ac:dyDescent="0.25">
      <c r="A48" s="1">
        <v>43998</v>
      </c>
      <c r="B48">
        <v>365</v>
      </c>
      <c r="C48">
        <v>256</v>
      </c>
      <c r="D48">
        <v>132</v>
      </c>
      <c r="E48">
        <v>606</v>
      </c>
      <c r="F48">
        <v>397</v>
      </c>
      <c r="G48">
        <v>132</v>
      </c>
      <c r="H48" t="s">
        <v>43</v>
      </c>
      <c r="I48" t="s">
        <v>42</v>
      </c>
      <c r="J48" t="s">
        <v>30</v>
      </c>
      <c r="K48" s="4">
        <v>397</v>
      </c>
      <c r="L48" s="4">
        <v>209</v>
      </c>
      <c r="M48" s="4">
        <v>0</v>
      </c>
      <c r="N48" s="4">
        <v>132</v>
      </c>
    </row>
    <row r="49" spans="1:14" x14ac:dyDescent="0.25">
      <c r="A49" s="1">
        <v>43999</v>
      </c>
      <c r="B49">
        <v>225</v>
      </c>
      <c r="C49">
        <v>392</v>
      </c>
      <c r="D49">
        <v>158</v>
      </c>
      <c r="E49">
        <v>434</v>
      </c>
      <c r="F49">
        <v>392</v>
      </c>
      <c r="G49">
        <v>290</v>
      </c>
      <c r="H49" t="s">
        <v>43</v>
      </c>
      <c r="I49" t="s">
        <v>42</v>
      </c>
      <c r="J49" t="s">
        <v>30</v>
      </c>
      <c r="K49" s="4">
        <v>392</v>
      </c>
      <c r="L49" s="4">
        <v>42</v>
      </c>
      <c r="M49" s="4">
        <v>0</v>
      </c>
      <c r="N49" s="4">
        <v>290</v>
      </c>
    </row>
    <row r="50" spans="1:14" x14ac:dyDescent="0.25">
      <c r="A50" s="1">
        <v>44000</v>
      </c>
      <c r="B50">
        <v>335</v>
      </c>
      <c r="C50">
        <v>254</v>
      </c>
      <c r="D50">
        <v>173</v>
      </c>
      <c r="E50">
        <v>377</v>
      </c>
      <c r="F50">
        <v>254</v>
      </c>
      <c r="G50">
        <v>463</v>
      </c>
      <c r="H50" t="s">
        <v>44</v>
      </c>
      <c r="I50" t="s">
        <v>43</v>
      </c>
      <c r="J50" t="s">
        <v>31</v>
      </c>
      <c r="K50" s="4">
        <v>377</v>
      </c>
      <c r="L50" s="4">
        <v>0</v>
      </c>
      <c r="M50" s="4">
        <v>254</v>
      </c>
      <c r="N50" s="4">
        <v>86</v>
      </c>
    </row>
    <row r="51" spans="1:14" x14ac:dyDescent="0.25">
      <c r="A51" s="1">
        <v>44001</v>
      </c>
      <c r="B51">
        <v>376</v>
      </c>
      <c r="C51">
        <v>258</v>
      </c>
      <c r="D51">
        <v>151</v>
      </c>
      <c r="E51">
        <v>376</v>
      </c>
      <c r="F51">
        <v>512</v>
      </c>
      <c r="G51">
        <v>237</v>
      </c>
      <c r="H51" t="s">
        <v>42</v>
      </c>
      <c r="I51" t="s">
        <v>43</v>
      </c>
      <c r="J51" t="s">
        <v>33</v>
      </c>
      <c r="K51" s="4">
        <v>376</v>
      </c>
      <c r="L51" s="4">
        <v>0</v>
      </c>
      <c r="M51" s="4">
        <v>136</v>
      </c>
      <c r="N51" s="4">
        <v>237</v>
      </c>
    </row>
    <row r="52" spans="1:14" x14ac:dyDescent="0.25">
      <c r="A52" s="1">
        <v>44002</v>
      </c>
      <c r="B52">
        <v>310</v>
      </c>
      <c r="C52">
        <v>248</v>
      </c>
      <c r="D52">
        <v>173</v>
      </c>
      <c r="E52">
        <v>310</v>
      </c>
      <c r="F52">
        <v>384</v>
      </c>
      <c r="G52">
        <v>410</v>
      </c>
      <c r="H52" t="s">
        <v>44</v>
      </c>
      <c r="I52" t="s">
        <v>42</v>
      </c>
      <c r="J52" t="s">
        <v>32</v>
      </c>
      <c r="K52" s="4">
        <v>384</v>
      </c>
      <c r="L52" s="4">
        <v>310</v>
      </c>
      <c r="M52" s="4">
        <v>0</v>
      </c>
      <c r="N52" s="4">
        <v>26</v>
      </c>
    </row>
    <row r="53" spans="1:14" x14ac:dyDescent="0.25">
      <c r="A53" s="1">
        <v>44003</v>
      </c>
      <c r="B53">
        <v>408</v>
      </c>
      <c r="C53">
        <v>250</v>
      </c>
      <c r="D53">
        <v>242</v>
      </c>
      <c r="E53">
        <v>718</v>
      </c>
      <c r="F53">
        <v>250</v>
      </c>
      <c r="G53">
        <v>268</v>
      </c>
      <c r="H53" t="s">
        <v>43</v>
      </c>
      <c r="I53" t="s">
        <v>44</v>
      </c>
      <c r="J53" t="s">
        <v>29</v>
      </c>
      <c r="K53" s="4">
        <v>268</v>
      </c>
      <c r="L53" s="4">
        <v>450</v>
      </c>
      <c r="M53" s="4">
        <v>250</v>
      </c>
      <c r="N53" s="4">
        <v>0</v>
      </c>
    </row>
    <row r="54" spans="1:14" x14ac:dyDescent="0.25">
      <c r="A54" s="1">
        <v>44004</v>
      </c>
      <c r="B54">
        <v>256</v>
      </c>
      <c r="C54">
        <v>393</v>
      </c>
      <c r="D54">
        <v>219</v>
      </c>
      <c r="E54">
        <v>706</v>
      </c>
      <c r="F54">
        <v>643</v>
      </c>
      <c r="G54">
        <v>219</v>
      </c>
      <c r="H54" t="s">
        <v>43</v>
      </c>
      <c r="I54" t="s">
        <v>42</v>
      </c>
      <c r="J54" t="s">
        <v>30</v>
      </c>
      <c r="K54" s="4">
        <v>643</v>
      </c>
      <c r="L54" s="4">
        <v>63</v>
      </c>
      <c r="M54" s="4">
        <v>0</v>
      </c>
      <c r="N54" s="4">
        <v>219</v>
      </c>
    </row>
    <row r="55" spans="1:14" x14ac:dyDescent="0.25">
      <c r="A55" s="1">
        <v>44005</v>
      </c>
      <c r="B55">
        <v>322</v>
      </c>
      <c r="C55">
        <v>425</v>
      </c>
      <c r="D55">
        <v>215</v>
      </c>
      <c r="E55">
        <v>385</v>
      </c>
      <c r="F55">
        <v>425</v>
      </c>
      <c r="G55">
        <v>434</v>
      </c>
      <c r="H55" t="s">
        <v>44</v>
      </c>
      <c r="I55" t="s">
        <v>42</v>
      </c>
      <c r="J55" t="s">
        <v>32</v>
      </c>
      <c r="K55" s="4">
        <v>425</v>
      </c>
      <c r="L55" s="4">
        <v>385</v>
      </c>
      <c r="M55" s="4">
        <v>0</v>
      </c>
      <c r="N55" s="4">
        <v>9</v>
      </c>
    </row>
    <row r="56" spans="1:14" x14ac:dyDescent="0.25">
      <c r="A56" s="1">
        <v>44006</v>
      </c>
      <c r="B56">
        <v>447</v>
      </c>
      <c r="C56">
        <v>385</v>
      </c>
      <c r="D56">
        <v>212</v>
      </c>
      <c r="E56">
        <v>832</v>
      </c>
      <c r="F56">
        <v>385</v>
      </c>
      <c r="G56">
        <v>221</v>
      </c>
      <c r="H56" t="s">
        <v>43</v>
      </c>
      <c r="I56" t="s">
        <v>42</v>
      </c>
      <c r="J56" t="s">
        <v>30</v>
      </c>
      <c r="K56" s="4">
        <v>385</v>
      </c>
      <c r="L56" s="4">
        <v>447</v>
      </c>
      <c r="M56" s="4">
        <v>0</v>
      </c>
      <c r="N56" s="4">
        <v>221</v>
      </c>
    </row>
    <row r="57" spans="1:14" x14ac:dyDescent="0.25">
      <c r="A57" s="1">
        <v>44007</v>
      </c>
      <c r="B57">
        <v>408</v>
      </c>
      <c r="C57">
        <v>260</v>
      </c>
      <c r="D57">
        <v>225</v>
      </c>
      <c r="E57">
        <v>855</v>
      </c>
      <c r="F57">
        <v>260</v>
      </c>
      <c r="G57">
        <v>446</v>
      </c>
      <c r="H57" t="s">
        <v>43</v>
      </c>
      <c r="I57" t="s">
        <v>44</v>
      </c>
      <c r="J57" t="s">
        <v>29</v>
      </c>
      <c r="K57" s="4">
        <v>446</v>
      </c>
      <c r="L57" s="4">
        <v>409</v>
      </c>
      <c r="M57" s="4">
        <v>260</v>
      </c>
      <c r="N57" s="4">
        <v>0</v>
      </c>
    </row>
    <row r="58" spans="1:14" x14ac:dyDescent="0.25">
      <c r="A58" s="1">
        <v>44008</v>
      </c>
      <c r="B58">
        <v>283</v>
      </c>
      <c r="C58">
        <v>396</v>
      </c>
      <c r="D58">
        <v>221</v>
      </c>
      <c r="E58">
        <v>692</v>
      </c>
      <c r="F58">
        <v>656</v>
      </c>
      <c r="G58">
        <v>221</v>
      </c>
      <c r="H58" t="s">
        <v>43</v>
      </c>
      <c r="I58" t="s">
        <v>42</v>
      </c>
      <c r="J58" t="s">
        <v>30</v>
      </c>
      <c r="K58" s="4">
        <v>656</v>
      </c>
      <c r="L58" s="4">
        <v>36</v>
      </c>
      <c r="M58" s="4">
        <v>0</v>
      </c>
      <c r="N58" s="4">
        <v>221</v>
      </c>
    </row>
    <row r="59" spans="1:14" x14ac:dyDescent="0.25">
      <c r="A59" s="1">
        <v>44009</v>
      </c>
      <c r="B59">
        <v>414</v>
      </c>
      <c r="C59">
        <v>314</v>
      </c>
      <c r="D59">
        <v>220</v>
      </c>
      <c r="E59">
        <v>450</v>
      </c>
      <c r="F59">
        <v>314</v>
      </c>
      <c r="G59">
        <v>441</v>
      </c>
      <c r="H59" t="s">
        <v>43</v>
      </c>
      <c r="I59" t="s">
        <v>44</v>
      </c>
      <c r="J59" t="s">
        <v>29</v>
      </c>
      <c r="K59" s="4">
        <v>441</v>
      </c>
      <c r="L59" s="4">
        <v>9</v>
      </c>
      <c r="M59" s="4">
        <v>314</v>
      </c>
      <c r="N59" s="4">
        <v>0</v>
      </c>
    </row>
    <row r="60" spans="1:14" x14ac:dyDescent="0.25">
      <c r="A60" s="1">
        <v>44010</v>
      </c>
      <c r="B60">
        <v>442</v>
      </c>
      <c r="C60">
        <v>449</v>
      </c>
      <c r="D60">
        <v>245</v>
      </c>
      <c r="E60">
        <v>451</v>
      </c>
      <c r="F60">
        <v>763</v>
      </c>
      <c r="G60">
        <v>245</v>
      </c>
      <c r="H60" t="s">
        <v>42</v>
      </c>
      <c r="I60" t="s">
        <v>43</v>
      </c>
      <c r="J60" t="s">
        <v>33</v>
      </c>
      <c r="K60" s="4">
        <v>451</v>
      </c>
      <c r="L60" s="4">
        <v>0</v>
      </c>
      <c r="M60" s="4">
        <v>312</v>
      </c>
      <c r="N60" s="4">
        <v>245</v>
      </c>
    </row>
    <row r="61" spans="1:14" x14ac:dyDescent="0.25">
      <c r="A61" s="1">
        <v>44011</v>
      </c>
      <c r="B61">
        <v>269</v>
      </c>
      <c r="C61">
        <v>370</v>
      </c>
      <c r="D61">
        <v>242</v>
      </c>
      <c r="E61">
        <v>269</v>
      </c>
      <c r="F61">
        <v>682</v>
      </c>
      <c r="G61">
        <v>487</v>
      </c>
      <c r="H61" t="s">
        <v>42</v>
      </c>
      <c r="I61" t="s">
        <v>44</v>
      </c>
      <c r="J61" t="s">
        <v>34</v>
      </c>
      <c r="K61" s="4">
        <v>487</v>
      </c>
      <c r="L61" s="4">
        <v>269</v>
      </c>
      <c r="M61" s="4">
        <v>195</v>
      </c>
      <c r="N61" s="4">
        <v>0</v>
      </c>
    </row>
    <row r="62" spans="1:14" x14ac:dyDescent="0.25">
      <c r="A62" s="1">
        <v>44012</v>
      </c>
      <c r="B62">
        <v>444</v>
      </c>
      <c r="C62">
        <v>350</v>
      </c>
      <c r="D62">
        <v>236</v>
      </c>
      <c r="E62">
        <v>713</v>
      </c>
      <c r="F62">
        <v>545</v>
      </c>
      <c r="G62">
        <v>236</v>
      </c>
      <c r="H62" t="s">
        <v>43</v>
      </c>
      <c r="I62" t="s">
        <v>42</v>
      </c>
      <c r="J62" t="s">
        <v>30</v>
      </c>
      <c r="K62" s="4">
        <v>545</v>
      </c>
      <c r="L62" s="4">
        <v>168</v>
      </c>
      <c r="M62" s="4">
        <v>0</v>
      </c>
      <c r="N62" s="4">
        <v>236</v>
      </c>
    </row>
    <row r="63" spans="1:14" x14ac:dyDescent="0.25">
      <c r="A63" s="1">
        <v>44013</v>
      </c>
      <c r="B63">
        <v>425</v>
      </c>
      <c r="C63">
        <v>342</v>
      </c>
      <c r="D63">
        <v>237</v>
      </c>
      <c r="E63">
        <v>593</v>
      </c>
      <c r="F63">
        <v>342</v>
      </c>
      <c r="G63">
        <v>473</v>
      </c>
      <c r="H63" t="s">
        <v>43</v>
      </c>
      <c r="I63" t="s">
        <v>44</v>
      </c>
      <c r="J63" t="s">
        <v>29</v>
      </c>
      <c r="K63" s="4">
        <v>473</v>
      </c>
      <c r="L63" s="4">
        <v>120</v>
      </c>
      <c r="M63" s="4">
        <v>342</v>
      </c>
      <c r="N63" s="4">
        <v>0</v>
      </c>
    </row>
    <row r="64" spans="1:14" x14ac:dyDescent="0.25">
      <c r="A64" s="1">
        <v>44014</v>
      </c>
      <c r="B64">
        <v>377</v>
      </c>
      <c r="C64">
        <v>290</v>
      </c>
      <c r="D64">
        <v>240</v>
      </c>
      <c r="E64">
        <v>497</v>
      </c>
      <c r="F64">
        <v>632</v>
      </c>
      <c r="G64">
        <v>240</v>
      </c>
      <c r="H64" t="s">
        <v>42</v>
      </c>
      <c r="I64" t="s">
        <v>43</v>
      </c>
      <c r="J64" t="s">
        <v>33</v>
      </c>
      <c r="K64" s="4">
        <v>497</v>
      </c>
      <c r="L64" s="4">
        <v>0</v>
      </c>
      <c r="M64" s="4">
        <v>135</v>
      </c>
      <c r="N64" s="4">
        <v>240</v>
      </c>
    </row>
    <row r="65" spans="1:14" x14ac:dyDescent="0.25">
      <c r="A65" s="1">
        <v>44015</v>
      </c>
      <c r="B65">
        <v>382</v>
      </c>
      <c r="C65">
        <v>360</v>
      </c>
      <c r="D65">
        <v>203</v>
      </c>
      <c r="E65">
        <v>382</v>
      </c>
      <c r="F65">
        <v>495</v>
      </c>
      <c r="G65">
        <v>443</v>
      </c>
      <c r="H65" t="s">
        <v>42</v>
      </c>
      <c r="I65" t="s">
        <v>44</v>
      </c>
      <c r="J65" t="s">
        <v>34</v>
      </c>
      <c r="K65" s="4">
        <v>443</v>
      </c>
      <c r="L65" s="4">
        <v>382</v>
      </c>
      <c r="M65" s="4">
        <v>52</v>
      </c>
      <c r="N65" s="4">
        <v>0</v>
      </c>
    </row>
    <row r="66" spans="1:14" x14ac:dyDescent="0.25">
      <c r="A66" s="1">
        <v>44016</v>
      </c>
      <c r="B66">
        <v>287</v>
      </c>
      <c r="C66">
        <v>428</v>
      </c>
      <c r="D66">
        <v>204</v>
      </c>
      <c r="E66">
        <v>669</v>
      </c>
      <c r="F66">
        <v>480</v>
      </c>
      <c r="G66">
        <v>204</v>
      </c>
      <c r="H66" t="s">
        <v>43</v>
      </c>
      <c r="I66" t="s">
        <v>42</v>
      </c>
      <c r="J66" t="s">
        <v>30</v>
      </c>
      <c r="K66" s="4">
        <v>480</v>
      </c>
      <c r="L66" s="4">
        <v>189</v>
      </c>
      <c r="M66" s="4">
        <v>0</v>
      </c>
      <c r="N66" s="4">
        <v>204</v>
      </c>
    </row>
    <row r="67" spans="1:14" x14ac:dyDescent="0.25">
      <c r="A67" s="1">
        <v>44017</v>
      </c>
      <c r="B67">
        <v>429</v>
      </c>
      <c r="C67">
        <v>394</v>
      </c>
      <c r="D67">
        <v>246</v>
      </c>
      <c r="E67">
        <v>618</v>
      </c>
      <c r="F67">
        <v>394</v>
      </c>
      <c r="G67">
        <v>450</v>
      </c>
      <c r="H67" t="s">
        <v>43</v>
      </c>
      <c r="I67" t="s">
        <v>44</v>
      </c>
      <c r="J67" t="s">
        <v>29</v>
      </c>
      <c r="K67" s="4">
        <v>450</v>
      </c>
      <c r="L67" s="4">
        <v>168</v>
      </c>
      <c r="M67" s="4">
        <v>394</v>
      </c>
      <c r="N67" s="4">
        <v>0</v>
      </c>
    </row>
    <row r="68" spans="1:14" x14ac:dyDescent="0.25">
      <c r="A68" s="1">
        <v>44018</v>
      </c>
      <c r="B68">
        <v>287</v>
      </c>
      <c r="C68">
        <v>356</v>
      </c>
      <c r="D68">
        <v>233</v>
      </c>
      <c r="E68">
        <v>455</v>
      </c>
      <c r="F68">
        <v>750</v>
      </c>
      <c r="G68">
        <v>233</v>
      </c>
      <c r="H68" t="s">
        <v>42</v>
      </c>
      <c r="I68" t="s">
        <v>43</v>
      </c>
      <c r="J68" t="s">
        <v>33</v>
      </c>
      <c r="K68" s="4">
        <v>455</v>
      </c>
      <c r="L68" s="4">
        <v>0</v>
      </c>
      <c r="M68" s="4">
        <v>295</v>
      </c>
      <c r="N68" s="4">
        <v>233</v>
      </c>
    </row>
    <row r="69" spans="1:14" x14ac:dyDescent="0.25">
      <c r="A69" s="1">
        <v>44019</v>
      </c>
      <c r="B69">
        <v>421</v>
      </c>
      <c r="C69">
        <v>292</v>
      </c>
      <c r="D69">
        <v>226</v>
      </c>
      <c r="E69">
        <v>421</v>
      </c>
      <c r="F69">
        <v>587</v>
      </c>
      <c r="G69">
        <v>459</v>
      </c>
      <c r="H69" t="s">
        <v>42</v>
      </c>
      <c r="I69" t="s">
        <v>44</v>
      </c>
      <c r="J69" t="s">
        <v>34</v>
      </c>
      <c r="K69" s="4">
        <v>459</v>
      </c>
      <c r="L69" s="4">
        <v>421</v>
      </c>
      <c r="M69" s="4">
        <v>128</v>
      </c>
      <c r="N69" s="4">
        <v>0</v>
      </c>
    </row>
    <row r="70" spans="1:14" x14ac:dyDescent="0.25">
      <c r="A70" s="1">
        <v>44020</v>
      </c>
      <c r="B70">
        <v>334</v>
      </c>
      <c r="C70">
        <v>353</v>
      </c>
      <c r="D70">
        <v>282</v>
      </c>
      <c r="E70">
        <v>755</v>
      </c>
      <c r="F70">
        <v>481</v>
      </c>
      <c r="G70">
        <v>282</v>
      </c>
      <c r="H70" t="s">
        <v>43</v>
      </c>
      <c r="I70" t="s">
        <v>42</v>
      </c>
      <c r="J70" t="s">
        <v>30</v>
      </c>
      <c r="K70" s="4">
        <v>481</v>
      </c>
      <c r="L70" s="4">
        <v>274</v>
      </c>
      <c r="M70" s="4">
        <v>0</v>
      </c>
      <c r="N70" s="4">
        <v>282</v>
      </c>
    </row>
    <row r="71" spans="1:14" x14ac:dyDescent="0.25">
      <c r="A71" s="1">
        <v>44021</v>
      </c>
      <c r="B71">
        <v>282</v>
      </c>
      <c r="C71">
        <v>329</v>
      </c>
      <c r="D71">
        <v>262</v>
      </c>
      <c r="E71">
        <v>556</v>
      </c>
      <c r="F71">
        <v>329</v>
      </c>
      <c r="G71">
        <v>544</v>
      </c>
      <c r="H71" t="s">
        <v>43</v>
      </c>
      <c r="I71" t="s">
        <v>44</v>
      </c>
      <c r="J71" t="s">
        <v>29</v>
      </c>
      <c r="K71" s="4">
        <v>544</v>
      </c>
      <c r="L71" s="4">
        <v>12</v>
      </c>
      <c r="M71" s="4">
        <v>329</v>
      </c>
      <c r="N71" s="4">
        <v>0</v>
      </c>
    </row>
    <row r="72" spans="1:14" x14ac:dyDescent="0.25">
      <c r="A72" s="1">
        <v>44022</v>
      </c>
      <c r="B72">
        <v>356</v>
      </c>
      <c r="C72">
        <v>331</v>
      </c>
      <c r="D72">
        <v>290</v>
      </c>
      <c r="E72">
        <v>368</v>
      </c>
      <c r="F72">
        <v>660</v>
      </c>
      <c r="G72">
        <v>290</v>
      </c>
      <c r="H72" t="s">
        <v>42</v>
      </c>
      <c r="I72" t="s">
        <v>43</v>
      </c>
      <c r="J72" t="s">
        <v>33</v>
      </c>
      <c r="K72" s="4">
        <v>368</v>
      </c>
      <c r="L72" s="4">
        <v>0</v>
      </c>
      <c r="M72" s="4">
        <v>292</v>
      </c>
      <c r="N72" s="4">
        <v>290</v>
      </c>
    </row>
    <row r="73" spans="1:14" x14ac:dyDescent="0.25">
      <c r="A73" s="1">
        <v>44023</v>
      </c>
      <c r="B73">
        <v>307</v>
      </c>
      <c r="C73">
        <v>394</v>
      </c>
      <c r="D73">
        <v>256</v>
      </c>
      <c r="E73">
        <v>307</v>
      </c>
      <c r="F73">
        <v>686</v>
      </c>
      <c r="G73">
        <v>546</v>
      </c>
      <c r="H73" t="s">
        <v>42</v>
      </c>
      <c r="I73" t="s">
        <v>44</v>
      </c>
      <c r="J73" t="s">
        <v>34</v>
      </c>
      <c r="K73" s="4">
        <v>546</v>
      </c>
      <c r="L73" s="4">
        <v>307</v>
      </c>
      <c r="M73" s="4">
        <v>140</v>
      </c>
      <c r="N73" s="4">
        <v>0</v>
      </c>
    </row>
    <row r="74" spans="1:14" x14ac:dyDescent="0.25">
      <c r="A74" s="1">
        <v>44024</v>
      </c>
      <c r="B74">
        <v>441</v>
      </c>
      <c r="C74">
        <v>271</v>
      </c>
      <c r="D74">
        <v>292</v>
      </c>
      <c r="E74">
        <v>748</v>
      </c>
      <c r="F74">
        <v>411</v>
      </c>
      <c r="G74">
        <v>292</v>
      </c>
      <c r="H74" t="s">
        <v>43</v>
      </c>
      <c r="I74" t="s">
        <v>42</v>
      </c>
      <c r="J74" t="s">
        <v>30</v>
      </c>
      <c r="K74" s="4">
        <v>411</v>
      </c>
      <c r="L74" s="4">
        <v>337</v>
      </c>
      <c r="M74" s="4">
        <v>0</v>
      </c>
      <c r="N74" s="4">
        <v>292</v>
      </c>
    </row>
    <row r="75" spans="1:14" x14ac:dyDescent="0.25">
      <c r="A75" s="1">
        <v>44025</v>
      </c>
      <c r="B75">
        <v>407</v>
      </c>
      <c r="C75">
        <v>311</v>
      </c>
      <c r="D75">
        <v>280</v>
      </c>
      <c r="E75">
        <v>744</v>
      </c>
      <c r="F75">
        <v>311</v>
      </c>
      <c r="G75">
        <v>572</v>
      </c>
      <c r="H75" t="s">
        <v>43</v>
      </c>
      <c r="I75" t="s">
        <v>44</v>
      </c>
      <c r="J75" t="s">
        <v>29</v>
      </c>
      <c r="K75" s="4">
        <v>572</v>
      </c>
      <c r="L75" s="4">
        <v>172</v>
      </c>
      <c r="M75" s="4">
        <v>311</v>
      </c>
      <c r="N75" s="4">
        <v>0</v>
      </c>
    </row>
    <row r="76" spans="1:14" x14ac:dyDescent="0.25">
      <c r="A76" s="1">
        <v>44026</v>
      </c>
      <c r="B76">
        <v>480</v>
      </c>
      <c r="C76">
        <v>342</v>
      </c>
      <c r="D76">
        <v>292</v>
      </c>
      <c r="E76">
        <v>652</v>
      </c>
      <c r="F76">
        <v>653</v>
      </c>
      <c r="G76">
        <v>292</v>
      </c>
      <c r="H76" t="s">
        <v>42</v>
      </c>
      <c r="I76" t="s">
        <v>43</v>
      </c>
      <c r="J76" t="s">
        <v>33</v>
      </c>
      <c r="K76" s="4">
        <v>652</v>
      </c>
      <c r="L76" s="4">
        <v>0</v>
      </c>
      <c r="M76" s="4">
        <v>1</v>
      </c>
      <c r="N76" s="4">
        <v>292</v>
      </c>
    </row>
    <row r="77" spans="1:14" x14ac:dyDescent="0.25">
      <c r="A77" s="1">
        <v>44027</v>
      </c>
      <c r="B77">
        <v>494</v>
      </c>
      <c r="C77">
        <v>310</v>
      </c>
      <c r="D77">
        <v>275</v>
      </c>
      <c r="E77">
        <v>494</v>
      </c>
      <c r="F77">
        <v>311</v>
      </c>
      <c r="G77">
        <v>567</v>
      </c>
      <c r="H77" t="s">
        <v>44</v>
      </c>
      <c r="I77" t="s">
        <v>43</v>
      </c>
      <c r="J77" t="s">
        <v>31</v>
      </c>
      <c r="K77" s="4">
        <v>494</v>
      </c>
      <c r="L77" s="4">
        <v>0</v>
      </c>
      <c r="M77" s="4">
        <v>311</v>
      </c>
      <c r="N77" s="4">
        <v>73</v>
      </c>
    </row>
    <row r="78" spans="1:14" x14ac:dyDescent="0.25">
      <c r="A78" s="1">
        <v>44028</v>
      </c>
      <c r="B78">
        <v>493</v>
      </c>
      <c r="C78">
        <v>431</v>
      </c>
      <c r="D78">
        <v>283</v>
      </c>
      <c r="E78">
        <v>493</v>
      </c>
      <c r="F78">
        <v>742</v>
      </c>
      <c r="G78">
        <v>356</v>
      </c>
      <c r="H78" t="s">
        <v>42</v>
      </c>
      <c r="I78" t="s">
        <v>43</v>
      </c>
      <c r="J78" t="s">
        <v>33</v>
      </c>
      <c r="K78" s="4">
        <v>493</v>
      </c>
      <c r="L78" s="4">
        <v>0</v>
      </c>
      <c r="M78" s="4">
        <v>249</v>
      </c>
      <c r="N78" s="4">
        <v>356</v>
      </c>
    </row>
    <row r="79" spans="1:14" x14ac:dyDescent="0.25">
      <c r="A79" s="1">
        <v>44029</v>
      </c>
      <c r="B79">
        <v>302</v>
      </c>
      <c r="C79">
        <v>415</v>
      </c>
      <c r="D79">
        <v>297</v>
      </c>
      <c r="E79">
        <v>302</v>
      </c>
      <c r="F79">
        <v>664</v>
      </c>
      <c r="G79">
        <v>653</v>
      </c>
      <c r="H79" t="s">
        <v>42</v>
      </c>
      <c r="I79" t="s">
        <v>44</v>
      </c>
      <c r="J79" t="s">
        <v>34</v>
      </c>
      <c r="K79" s="4">
        <v>653</v>
      </c>
      <c r="L79" s="4">
        <v>302</v>
      </c>
      <c r="M79" s="4">
        <v>11</v>
      </c>
      <c r="N79" s="4">
        <v>0</v>
      </c>
    </row>
    <row r="80" spans="1:14" x14ac:dyDescent="0.25">
      <c r="A80" s="1">
        <v>44030</v>
      </c>
      <c r="B80">
        <v>331</v>
      </c>
      <c r="C80">
        <v>353</v>
      </c>
      <c r="D80">
        <v>373</v>
      </c>
      <c r="E80">
        <v>633</v>
      </c>
      <c r="F80">
        <v>364</v>
      </c>
      <c r="G80">
        <v>373</v>
      </c>
      <c r="H80" t="s">
        <v>43</v>
      </c>
      <c r="I80" t="s">
        <v>44</v>
      </c>
      <c r="J80" t="s">
        <v>29</v>
      </c>
      <c r="K80" s="4">
        <v>373</v>
      </c>
      <c r="L80" s="4">
        <v>260</v>
      </c>
      <c r="M80" s="4">
        <v>364</v>
      </c>
      <c r="N80" s="4">
        <v>0</v>
      </c>
    </row>
    <row r="81" spans="1:14" x14ac:dyDescent="0.25">
      <c r="A81" s="1">
        <v>44031</v>
      </c>
      <c r="B81">
        <v>486</v>
      </c>
      <c r="C81">
        <v>323</v>
      </c>
      <c r="D81">
        <v>359</v>
      </c>
      <c r="E81">
        <v>746</v>
      </c>
      <c r="F81">
        <v>687</v>
      </c>
      <c r="G81">
        <v>359</v>
      </c>
      <c r="H81" t="s">
        <v>43</v>
      </c>
      <c r="I81" t="s">
        <v>42</v>
      </c>
      <c r="J81" t="s">
        <v>30</v>
      </c>
      <c r="K81" s="4">
        <v>687</v>
      </c>
      <c r="L81" s="4">
        <v>59</v>
      </c>
      <c r="M81" s="4">
        <v>0</v>
      </c>
      <c r="N81" s="4">
        <v>359</v>
      </c>
    </row>
    <row r="82" spans="1:14" x14ac:dyDescent="0.25">
      <c r="A82" s="1">
        <v>44032</v>
      </c>
      <c r="B82">
        <v>360</v>
      </c>
      <c r="C82">
        <v>331</v>
      </c>
      <c r="D82">
        <v>445</v>
      </c>
      <c r="E82">
        <v>419</v>
      </c>
      <c r="F82">
        <v>331</v>
      </c>
      <c r="G82">
        <v>804</v>
      </c>
      <c r="H82" t="s">
        <v>44</v>
      </c>
      <c r="I82" t="s">
        <v>43</v>
      </c>
      <c r="J82" t="s">
        <v>31</v>
      </c>
      <c r="K82" s="4">
        <v>419</v>
      </c>
      <c r="L82" s="4">
        <v>0</v>
      </c>
      <c r="M82" s="4">
        <v>331</v>
      </c>
      <c r="N82" s="4">
        <v>385</v>
      </c>
    </row>
    <row r="83" spans="1:14" x14ac:dyDescent="0.25">
      <c r="A83" s="1">
        <v>44033</v>
      </c>
      <c r="B83">
        <v>391</v>
      </c>
      <c r="C83">
        <v>455</v>
      </c>
      <c r="D83">
        <v>427</v>
      </c>
      <c r="E83">
        <v>391</v>
      </c>
      <c r="F83">
        <v>786</v>
      </c>
      <c r="G83">
        <v>812</v>
      </c>
      <c r="H83" t="s">
        <v>44</v>
      </c>
      <c r="I83" t="s">
        <v>42</v>
      </c>
      <c r="J83" t="s">
        <v>32</v>
      </c>
      <c r="K83" s="4">
        <v>786</v>
      </c>
      <c r="L83" s="4">
        <v>391</v>
      </c>
      <c r="M83" s="4">
        <v>0</v>
      </c>
      <c r="N83" s="4">
        <v>26</v>
      </c>
    </row>
    <row r="84" spans="1:14" x14ac:dyDescent="0.25">
      <c r="A84" s="1">
        <v>44034</v>
      </c>
      <c r="B84">
        <v>327</v>
      </c>
      <c r="C84">
        <v>471</v>
      </c>
      <c r="D84">
        <v>423</v>
      </c>
      <c r="E84">
        <v>718</v>
      </c>
      <c r="F84">
        <v>471</v>
      </c>
      <c r="G84">
        <v>449</v>
      </c>
      <c r="H84" t="s">
        <v>43</v>
      </c>
      <c r="I84" t="s">
        <v>42</v>
      </c>
      <c r="J84" t="s">
        <v>30</v>
      </c>
      <c r="K84" s="4">
        <v>471</v>
      </c>
      <c r="L84" s="4">
        <v>247</v>
      </c>
      <c r="M84" s="4">
        <v>0</v>
      </c>
      <c r="N84" s="4">
        <v>449</v>
      </c>
    </row>
    <row r="85" spans="1:14" x14ac:dyDescent="0.25">
      <c r="A85" s="1">
        <v>44035</v>
      </c>
      <c r="B85">
        <v>355</v>
      </c>
      <c r="C85">
        <v>490</v>
      </c>
      <c r="D85">
        <v>449</v>
      </c>
      <c r="E85">
        <v>602</v>
      </c>
      <c r="F85">
        <v>490</v>
      </c>
      <c r="G85">
        <v>898</v>
      </c>
      <c r="H85" t="s">
        <v>44</v>
      </c>
      <c r="I85" t="s">
        <v>43</v>
      </c>
      <c r="J85" t="s">
        <v>31</v>
      </c>
      <c r="K85" s="4">
        <v>602</v>
      </c>
      <c r="L85" s="4">
        <v>0</v>
      </c>
      <c r="M85" s="4">
        <v>490</v>
      </c>
      <c r="N85" s="4">
        <v>296</v>
      </c>
    </row>
    <row r="86" spans="1:14" x14ac:dyDescent="0.25">
      <c r="A86" s="1">
        <v>44036</v>
      </c>
      <c r="B86">
        <v>360</v>
      </c>
      <c r="C86">
        <v>339</v>
      </c>
      <c r="D86">
        <v>470</v>
      </c>
      <c r="E86">
        <v>360</v>
      </c>
      <c r="F86">
        <v>829</v>
      </c>
      <c r="G86">
        <v>766</v>
      </c>
      <c r="H86" t="s">
        <v>42</v>
      </c>
      <c r="I86" t="s">
        <v>44</v>
      </c>
      <c r="J86" t="s">
        <v>34</v>
      </c>
      <c r="K86" s="4">
        <v>766</v>
      </c>
      <c r="L86" s="4">
        <v>360</v>
      </c>
      <c r="M86" s="4">
        <v>63</v>
      </c>
      <c r="N86" s="4">
        <v>0</v>
      </c>
    </row>
    <row r="87" spans="1:14" x14ac:dyDescent="0.25">
      <c r="A87" s="1">
        <v>44037</v>
      </c>
      <c r="B87">
        <v>303</v>
      </c>
      <c r="C87">
        <v>404</v>
      </c>
      <c r="D87">
        <v>434</v>
      </c>
      <c r="E87">
        <v>663</v>
      </c>
      <c r="F87">
        <v>467</v>
      </c>
      <c r="G87">
        <v>434</v>
      </c>
      <c r="H87" t="s">
        <v>43</v>
      </c>
      <c r="I87" t="s">
        <v>42</v>
      </c>
      <c r="J87" t="s">
        <v>30</v>
      </c>
      <c r="K87" s="4">
        <v>467</v>
      </c>
      <c r="L87" s="4">
        <v>196</v>
      </c>
      <c r="M87" s="4">
        <v>0</v>
      </c>
      <c r="N87" s="4">
        <v>434</v>
      </c>
    </row>
    <row r="88" spans="1:14" x14ac:dyDescent="0.25">
      <c r="A88" s="1">
        <v>44038</v>
      </c>
      <c r="B88">
        <v>310</v>
      </c>
      <c r="C88">
        <v>332</v>
      </c>
      <c r="D88">
        <v>536</v>
      </c>
      <c r="E88">
        <v>506</v>
      </c>
      <c r="F88">
        <v>332</v>
      </c>
      <c r="G88">
        <v>970</v>
      </c>
      <c r="H88" t="s">
        <v>44</v>
      </c>
      <c r="I88" t="s">
        <v>43</v>
      </c>
      <c r="J88" t="s">
        <v>31</v>
      </c>
      <c r="K88" s="4">
        <v>506</v>
      </c>
      <c r="L88" s="4">
        <v>0</v>
      </c>
      <c r="M88" s="4">
        <v>332</v>
      </c>
      <c r="N88" s="4">
        <v>464</v>
      </c>
    </row>
    <row r="89" spans="1:14" x14ac:dyDescent="0.25">
      <c r="A89" s="1">
        <v>44039</v>
      </c>
      <c r="B89">
        <v>435</v>
      </c>
      <c r="C89">
        <v>406</v>
      </c>
      <c r="D89">
        <v>421</v>
      </c>
      <c r="E89">
        <v>435</v>
      </c>
      <c r="F89">
        <v>738</v>
      </c>
      <c r="G89">
        <v>885</v>
      </c>
      <c r="H89" t="s">
        <v>44</v>
      </c>
      <c r="I89" t="s">
        <v>42</v>
      </c>
      <c r="J89" t="s">
        <v>32</v>
      </c>
      <c r="K89" s="4">
        <v>738</v>
      </c>
      <c r="L89" s="4">
        <v>435</v>
      </c>
      <c r="M89" s="4">
        <v>0</v>
      </c>
      <c r="N89" s="4">
        <v>147</v>
      </c>
    </row>
    <row r="90" spans="1:14" x14ac:dyDescent="0.25">
      <c r="A90" s="1">
        <v>44040</v>
      </c>
      <c r="B90">
        <v>344</v>
      </c>
      <c r="C90">
        <v>348</v>
      </c>
      <c r="D90">
        <v>555</v>
      </c>
      <c r="E90">
        <v>779</v>
      </c>
      <c r="F90">
        <v>348</v>
      </c>
      <c r="G90">
        <v>702</v>
      </c>
      <c r="H90" t="s">
        <v>43</v>
      </c>
      <c r="I90" t="s">
        <v>44</v>
      </c>
      <c r="J90" t="s">
        <v>29</v>
      </c>
      <c r="K90" s="4">
        <v>702</v>
      </c>
      <c r="L90" s="4">
        <v>77</v>
      </c>
      <c r="M90" s="4">
        <v>348</v>
      </c>
      <c r="N90" s="4">
        <v>0</v>
      </c>
    </row>
    <row r="91" spans="1:14" x14ac:dyDescent="0.25">
      <c r="A91" s="1">
        <v>44041</v>
      </c>
      <c r="B91">
        <v>303</v>
      </c>
      <c r="C91">
        <v>335</v>
      </c>
      <c r="D91">
        <v>436</v>
      </c>
      <c r="E91">
        <v>380</v>
      </c>
      <c r="F91">
        <v>683</v>
      </c>
      <c r="G91">
        <v>436</v>
      </c>
      <c r="H91" t="s">
        <v>42</v>
      </c>
      <c r="I91" t="s">
        <v>44</v>
      </c>
      <c r="J91" t="s">
        <v>34</v>
      </c>
      <c r="K91" s="4">
        <v>436</v>
      </c>
      <c r="L91" s="4">
        <v>380</v>
      </c>
      <c r="M91" s="4">
        <v>247</v>
      </c>
      <c r="N91" s="4">
        <v>0</v>
      </c>
    </row>
    <row r="92" spans="1:14" x14ac:dyDescent="0.25">
      <c r="A92" s="1">
        <v>44042</v>
      </c>
      <c r="B92">
        <v>433</v>
      </c>
      <c r="C92">
        <v>425</v>
      </c>
      <c r="D92">
        <v>422</v>
      </c>
      <c r="E92">
        <v>813</v>
      </c>
      <c r="F92">
        <v>672</v>
      </c>
      <c r="G92">
        <v>422</v>
      </c>
      <c r="H92" t="s">
        <v>43</v>
      </c>
      <c r="I92" t="s">
        <v>42</v>
      </c>
      <c r="J92" t="s">
        <v>30</v>
      </c>
      <c r="K92" s="4">
        <v>672</v>
      </c>
      <c r="L92" s="4">
        <v>141</v>
      </c>
      <c r="M92" s="4">
        <v>0</v>
      </c>
      <c r="N92" s="4">
        <v>422</v>
      </c>
    </row>
    <row r="93" spans="1:14" x14ac:dyDescent="0.25">
      <c r="A93" s="1">
        <v>44043</v>
      </c>
      <c r="B93">
        <v>350</v>
      </c>
      <c r="C93">
        <v>378</v>
      </c>
      <c r="D93">
        <v>419</v>
      </c>
      <c r="E93">
        <v>491</v>
      </c>
      <c r="F93">
        <v>378</v>
      </c>
      <c r="G93">
        <v>841</v>
      </c>
      <c r="H93" t="s">
        <v>44</v>
      </c>
      <c r="I93" t="s">
        <v>43</v>
      </c>
      <c r="J93" t="s">
        <v>31</v>
      </c>
      <c r="K93" s="4">
        <v>491</v>
      </c>
      <c r="L93" s="4">
        <v>0</v>
      </c>
      <c r="M93" s="4">
        <v>378</v>
      </c>
      <c r="N93" s="4">
        <v>350</v>
      </c>
    </row>
    <row r="94" spans="1:14" x14ac:dyDescent="0.25">
      <c r="A94" s="1">
        <v>44044</v>
      </c>
      <c r="B94">
        <v>396</v>
      </c>
      <c r="C94">
        <v>466</v>
      </c>
      <c r="D94">
        <v>434</v>
      </c>
      <c r="E94">
        <v>396</v>
      </c>
      <c r="F94">
        <v>844</v>
      </c>
      <c r="G94">
        <v>784</v>
      </c>
      <c r="H94" t="s">
        <v>42</v>
      </c>
      <c r="I94" t="s">
        <v>44</v>
      </c>
      <c r="J94" t="s">
        <v>34</v>
      </c>
      <c r="K94" s="4">
        <v>784</v>
      </c>
      <c r="L94" s="4">
        <v>396</v>
      </c>
      <c r="M94" s="4">
        <v>60</v>
      </c>
      <c r="N94" s="4">
        <v>0</v>
      </c>
    </row>
    <row r="95" spans="1:14" x14ac:dyDescent="0.25">
      <c r="A95" s="1">
        <v>44045</v>
      </c>
      <c r="B95">
        <v>495</v>
      </c>
      <c r="C95">
        <v>410</v>
      </c>
      <c r="D95">
        <v>418</v>
      </c>
      <c r="E95">
        <v>891</v>
      </c>
      <c r="F95">
        <v>470</v>
      </c>
      <c r="G95">
        <v>418</v>
      </c>
      <c r="H95" t="s">
        <v>43</v>
      </c>
      <c r="I95" t="s">
        <v>42</v>
      </c>
      <c r="J95" t="s">
        <v>30</v>
      </c>
      <c r="K95" s="4">
        <v>470</v>
      </c>
      <c r="L95" s="4">
        <v>421</v>
      </c>
      <c r="M95" s="4">
        <v>0</v>
      </c>
      <c r="N95" s="4">
        <v>418</v>
      </c>
    </row>
    <row r="96" spans="1:14" x14ac:dyDescent="0.25">
      <c r="A96" s="1">
        <v>44046</v>
      </c>
      <c r="B96">
        <v>420</v>
      </c>
      <c r="C96">
        <v>328</v>
      </c>
      <c r="D96">
        <v>422</v>
      </c>
      <c r="E96">
        <v>841</v>
      </c>
      <c r="F96">
        <v>328</v>
      </c>
      <c r="G96">
        <v>840</v>
      </c>
      <c r="H96" t="s">
        <v>43</v>
      </c>
      <c r="I96" t="s">
        <v>44</v>
      </c>
      <c r="J96" t="s">
        <v>29</v>
      </c>
      <c r="K96" s="4">
        <v>840</v>
      </c>
      <c r="L96" s="4">
        <v>1</v>
      </c>
      <c r="M96" s="4">
        <v>328</v>
      </c>
      <c r="N96" s="4">
        <v>0</v>
      </c>
    </row>
    <row r="97" spans="1:14" x14ac:dyDescent="0.25">
      <c r="A97" s="1">
        <v>44047</v>
      </c>
      <c r="B97">
        <v>411</v>
      </c>
      <c r="C97">
        <v>481</v>
      </c>
      <c r="D97">
        <v>445</v>
      </c>
      <c r="E97">
        <v>412</v>
      </c>
      <c r="F97">
        <v>809</v>
      </c>
      <c r="G97">
        <v>445</v>
      </c>
      <c r="H97" t="s">
        <v>42</v>
      </c>
      <c r="I97" t="s">
        <v>44</v>
      </c>
      <c r="J97" t="s">
        <v>34</v>
      </c>
      <c r="K97" s="4">
        <v>445</v>
      </c>
      <c r="L97" s="4">
        <v>412</v>
      </c>
      <c r="M97" s="4">
        <v>364</v>
      </c>
      <c r="N97" s="4">
        <v>0</v>
      </c>
    </row>
    <row r="98" spans="1:14" x14ac:dyDescent="0.25">
      <c r="A98" s="1">
        <v>44048</v>
      </c>
      <c r="B98">
        <v>317</v>
      </c>
      <c r="C98">
        <v>434</v>
      </c>
      <c r="D98">
        <v>411</v>
      </c>
      <c r="E98">
        <v>729</v>
      </c>
      <c r="F98">
        <v>798</v>
      </c>
      <c r="G98">
        <v>411</v>
      </c>
      <c r="H98" t="s">
        <v>42</v>
      </c>
      <c r="I98" t="s">
        <v>43</v>
      </c>
      <c r="J98" t="s">
        <v>33</v>
      </c>
      <c r="K98" s="4">
        <v>729</v>
      </c>
      <c r="L98" s="4">
        <v>0</v>
      </c>
      <c r="M98" s="4">
        <v>69</v>
      </c>
      <c r="N98" s="4">
        <v>411</v>
      </c>
    </row>
    <row r="99" spans="1:14" x14ac:dyDescent="0.25">
      <c r="A99" s="1">
        <v>44049</v>
      </c>
      <c r="B99">
        <v>342</v>
      </c>
      <c r="C99">
        <v>465</v>
      </c>
      <c r="D99">
        <v>417</v>
      </c>
      <c r="E99">
        <v>342</v>
      </c>
      <c r="F99">
        <v>534</v>
      </c>
      <c r="G99">
        <v>828</v>
      </c>
      <c r="H99" t="s">
        <v>44</v>
      </c>
      <c r="I99" t="s">
        <v>42</v>
      </c>
      <c r="J99" t="s">
        <v>32</v>
      </c>
      <c r="K99" s="4">
        <v>534</v>
      </c>
      <c r="L99" s="4">
        <v>342</v>
      </c>
      <c r="M99" s="4">
        <v>0</v>
      </c>
      <c r="N99" s="4">
        <v>294</v>
      </c>
    </row>
    <row r="100" spans="1:14" x14ac:dyDescent="0.25">
      <c r="A100" s="1">
        <v>44050</v>
      </c>
      <c r="B100">
        <v>450</v>
      </c>
      <c r="C100">
        <v>318</v>
      </c>
      <c r="D100">
        <v>490</v>
      </c>
      <c r="E100">
        <v>792</v>
      </c>
      <c r="F100">
        <v>318</v>
      </c>
      <c r="G100">
        <v>784</v>
      </c>
      <c r="H100" t="s">
        <v>43</v>
      </c>
      <c r="I100" t="s">
        <v>44</v>
      </c>
      <c r="J100" t="s">
        <v>29</v>
      </c>
      <c r="K100" s="4">
        <v>784</v>
      </c>
      <c r="L100" s="4">
        <v>8</v>
      </c>
      <c r="M100" s="4">
        <v>318</v>
      </c>
      <c r="N100" s="4">
        <v>0</v>
      </c>
    </row>
    <row r="101" spans="1:14" x14ac:dyDescent="0.25">
      <c r="A101" s="1">
        <v>44051</v>
      </c>
      <c r="B101">
        <v>343</v>
      </c>
      <c r="C101">
        <v>329</v>
      </c>
      <c r="D101">
        <v>345</v>
      </c>
      <c r="E101">
        <v>351</v>
      </c>
      <c r="F101">
        <v>647</v>
      </c>
      <c r="G101">
        <v>345</v>
      </c>
      <c r="H101" t="s">
        <v>42</v>
      </c>
      <c r="I101" t="s">
        <v>43</v>
      </c>
      <c r="J101" t="s">
        <v>33</v>
      </c>
      <c r="K101" s="4">
        <v>351</v>
      </c>
      <c r="L101" s="4">
        <v>0</v>
      </c>
      <c r="M101" s="4">
        <v>296</v>
      </c>
      <c r="N101" s="4">
        <v>345</v>
      </c>
    </row>
    <row r="102" spans="1:14" x14ac:dyDescent="0.25">
      <c r="A102" s="1">
        <v>44052</v>
      </c>
      <c r="B102">
        <v>287</v>
      </c>
      <c r="C102">
        <v>328</v>
      </c>
      <c r="D102">
        <v>377</v>
      </c>
      <c r="E102">
        <v>287</v>
      </c>
      <c r="F102">
        <v>624</v>
      </c>
      <c r="G102">
        <v>722</v>
      </c>
      <c r="H102" t="s">
        <v>44</v>
      </c>
      <c r="I102" t="s">
        <v>42</v>
      </c>
      <c r="J102" t="s">
        <v>32</v>
      </c>
      <c r="K102" s="4">
        <v>624</v>
      </c>
      <c r="L102" s="4">
        <v>287</v>
      </c>
      <c r="M102" s="4">
        <v>0</v>
      </c>
      <c r="N102" s="4">
        <v>98</v>
      </c>
    </row>
    <row r="103" spans="1:14" x14ac:dyDescent="0.25">
      <c r="A103" s="1">
        <v>44053</v>
      </c>
      <c r="B103">
        <v>298</v>
      </c>
      <c r="C103">
        <v>401</v>
      </c>
      <c r="D103">
        <v>416</v>
      </c>
      <c r="E103">
        <v>585</v>
      </c>
      <c r="F103">
        <v>401</v>
      </c>
      <c r="G103">
        <v>514</v>
      </c>
      <c r="H103" t="s">
        <v>43</v>
      </c>
      <c r="I103" t="s">
        <v>44</v>
      </c>
      <c r="J103" t="s">
        <v>29</v>
      </c>
      <c r="K103" s="4">
        <v>514</v>
      </c>
      <c r="L103" s="4">
        <v>71</v>
      </c>
      <c r="M103" s="4">
        <v>401</v>
      </c>
      <c r="N103" s="4">
        <v>0</v>
      </c>
    </row>
    <row r="104" spans="1:14" x14ac:dyDescent="0.25">
      <c r="A104" s="1">
        <v>44054</v>
      </c>
      <c r="B104">
        <v>429</v>
      </c>
      <c r="C104">
        <v>348</v>
      </c>
      <c r="D104">
        <v>426</v>
      </c>
      <c r="E104">
        <v>500</v>
      </c>
      <c r="F104">
        <v>749</v>
      </c>
      <c r="G104">
        <v>426</v>
      </c>
      <c r="H104" t="s">
        <v>42</v>
      </c>
      <c r="I104" t="s">
        <v>43</v>
      </c>
      <c r="J104" t="s">
        <v>33</v>
      </c>
      <c r="K104" s="4">
        <v>500</v>
      </c>
      <c r="L104" s="4">
        <v>0</v>
      </c>
      <c r="M104" s="4">
        <v>249</v>
      </c>
      <c r="N104" s="4">
        <v>426</v>
      </c>
    </row>
    <row r="105" spans="1:14" x14ac:dyDescent="0.25">
      <c r="A105" s="1">
        <v>44055</v>
      </c>
      <c r="B105">
        <v>417</v>
      </c>
      <c r="C105">
        <v>457</v>
      </c>
      <c r="D105">
        <v>438</v>
      </c>
      <c r="E105">
        <v>417</v>
      </c>
      <c r="F105">
        <v>706</v>
      </c>
      <c r="G105">
        <v>864</v>
      </c>
      <c r="H105" t="s">
        <v>44</v>
      </c>
      <c r="I105" t="s">
        <v>42</v>
      </c>
      <c r="J105" t="s">
        <v>32</v>
      </c>
      <c r="K105" s="4">
        <v>706</v>
      </c>
      <c r="L105" s="4">
        <v>417</v>
      </c>
      <c r="M105" s="4">
        <v>0</v>
      </c>
      <c r="N105" s="4">
        <v>158</v>
      </c>
    </row>
    <row r="106" spans="1:14" x14ac:dyDescent="0.25">
      <c r="A106" s="1">
        <v>44056</v>
      </c>
      <c r="B106">
        <v>384</v>
      </c>
      <c r="C106">
        <v>330</v>
      </c>
      <c r="D106">
        <v>292</v>
      </c>
      <c r="E106">
        <v>801</v>
      </c>
      <c r="F106">
        <v>330</v>
      </c>
      <c r="G106">
        <v>450</v>
      </c>
      <c r="H106" t="s">
        <v>43</v>
      </c>
      <c r="I106" t="s">
        <v>44</v>
      </c>
      <c r="J106" t="s">
        <v>29</v>
      </c>
      <c r="K106" s="4">
        <v>450</v>
      </c>
      <c r="L106" s="4">
        <v>351</v>
      </c>
      <c r="M106" s="4">
        <v>330</v>
      </c>
      <c r="N106" s="4">
        <v>0</v>
      </c>
    </row>
    <row r="107" spans="1:14" x14ac:dyDescent="0.25">
      <c r="A107" s="1">
        <v>44057</v>
      </c>
      <c r="B107">
        <v>370</v>
      </c>
      <c r="C107">
        <v>388</v>
      </c>
      <c r="D107">
        <v>390</v>
      </c>
      <c r="E107">
        <v>721</v>
      </c>
      <c r="F107">
        <v>718</v>
      </c>
      <c r="G107">
        <v>390</v>
      </c>
      <c r="H107" t="s">
        <v>43</v>
      </c>
      <c r="I107" t="s">
        <v>42</v>
      </c>
      <c r="J107" t="s">
        <v>30</v>
      </c>
      <c r="K107" s="4">
        <v>718</v>
      </c>
      <c r="L107" s="4">
        <v>3</v>
      </c>
      <c r="M107" s="4">
        <v>0</v>
      </c>
      <c r="N107" s="4">
        <v>390</v>
      </c>
    </row>
    <row r="108" spans="1:14" x14ac:dyDescent="0.25">
      <c r="A108" s="1">
        <v>44058</v>
      </c>
      <c r="B108">
        <v>436</v>
      </c>
      <c r="C108">
        <v>298</v>
      </c>
      <c r="D108">
        <v>420</v>
      </c>
      <c r="E108">
        <v>439</v>
      </c>
      <c r="F108">
        <v>298</v>
      </c>
      <c r="G108">
        <v>810</v>
      </c>
      <c r="H108" t="s">
        <v>44</v>
      </c>
      <c r="I108" t="s">
        <v>43</v>
      </c>
      <c r="J108" t="s">
        <v>31</v>
      </c>
      <c r="K108" s="4">
        <v>439</v>
      </c>
      <c r="L108" s="4">
        <v>0</v>
      </c>
      <c r="M108" s="4">
        <v>298</v>
      </c>
      <c r="N108" s="4">
        <v>371</v>
      </c>
    </row>
    <row r="109" spans="1:14" x14ac:dyDescent="0.25">
      <c r="A109" s="1">
        <v>44059</v>
      </c>
      <c r="B109">
        <v>303</v>
      </c>
      <c r="C109">
        <v>429</v>
      </c>
      <c r="D109">
        <v>407</v>
      </c>
      <c r="E109">
        <v>303</v>
      </c>
      <c r="F109">
        <v>727</v>
      </c>
      <c r="G109">
        <v>778</v>
      </c>
      <c r="H109" t="s">
        <v>44</v>
      </c>
      <c r="I109" t="s">
        <v>42</v>
      </c>
      <c r="J109" t="s">
        <v>32</v>
      </c>
      <c r="K109" s="4">
        <v>727</v>
      </c>
      <c r="L109" s="4">
        <v>303</v>
      </c>
      <c r="M109" s="4">
        <v>0</v>
      </c>
      <c r="N109" s="4">
        <v>51</v>
      </c>
    </row>
    <row r="110" spans="1:14" x14ac:dyDescent="0.25">
      <c r="A110" s="1">
        <v>44060</v>
      </c>
      <c r="B110">
        <v>449</v>
      </c>
      <c r="C110">
        <v>444</v>
      </c>
      <c r="D110">
        <v>425</v>
      </c>
      <c r="E110">
        <v>752</v>
      </c>
      <c r="F110">
        <v>444</v>
      </c>
      <c r="G110">
        <v>476</v>
      </c>
      <c r="H110" t="s">
        <v>43</v>
      </c>
      <c r="I110" t="s">
        <v>44</v>
      </c>
      <c r="J110" t="s">
        <v>29</v>
      </c>
      <c r="K110" s="4">
        <v>476</v>
      </c>
      <c r="L110" s="4">
        <v>276</v>
      </c>
      <c r="M110" s="4">
        <v>444</v>
      </c>
      <c r="N110" s="4">
        <v>0</v>
      </c>
    </row>
    <row r="111" spans="1:14" x14ac:dyDescent="0.25">
      <c r="A111" s="1">
        <v>44061</v>
      </c>
      <c r="B111">
        <v>300</v>
      </c>
      <c r="C111">
        <v>358</v>
      </c>
      <c r="D111">
        <v>377</v>
      </c>
      <c r="E111">
        <v>576</v>
      </c>
      <c r="F111">
        <v>802</v>
      </c>
      <c r="G111">
        <v>377</v>
      </c>
      <c r="H111" t="s">
        <v>42</v>
      </c>
      <c r="I111" t="s">
        <v>43</v>
      </c>
      <c r="J111" t="s">
        <v>33</v>
      </c>
      <c r="K111" s="4">
        <v>576</v>
      </c>
      <c r="L111" s="4">
        <v>0</v>
      </c>
      <c r="M111" s="4">
        <v>226</v>
      </c>
      <c r="N111" s="4">
        <v>377</v>
      </c>
    </row>
    <row r="112" spans="1:14" x14ac:dyDescent="0.25">
      <c r="A112" s="1">
        <v>44062</v>
      </c>
      <c r="B112">
        <v>307</v>
      </c>
      <c r="C112">
        <v>417</v>
      </c>
      <c r="D112">
        <v>405</v>
      </c>
      <c r="E112">
        <v>307</v>
      </c>
      <c r="F112">
        <v>643</v>
      </c>
      <c r="G112">
        <v>782</v>
      </c>
      <c r="H112" t="s">
        <v>44</v>
      </c>
      <c r="I112" t="s">
        <v>42</v>
      </c>
      <c r="J112" t="s">
        <v>32</v>
      </c>
      <c r="K112" s="4">
        <v>643</v>
      </c>
      <c r="L112" s="4">
        <v>307</v>
      </c>
      <c r="M112" s="4">
        <v>0</v>
      </c>
      <c r="N112" s="4">
        <v>139</v>
      </c>
    </row>
    <row r="113" spans="1:14" x14ac:dyDescent="0.25">
      <c r="A113" s="1">
        <v>44063</v>
      </c>
      <c r="B113">
        <v>314</v>
      </c>
      <c r="C113">
        <v>340</v>
      </c>
      <c r="D113">
        <v>345</v>
      </c>
      <c r="E113">
        <v>621</v>
      </c>
      <c r="F113">
        <v>340</v>
      </c>
      <c r="G113">
        <v>484</v>
      </c>
      <c r="H113" t="s">
        <v>43</v>
      </c>
      <c r="I113" t="s">
        <v>44</v>
      </c>
      <c r="J113" t="s">
        <v>29</v>
      </c>
      <c r="K113" s="4">
        <v>484</v>
      </c>
      <c r="L113" s="4">
        <v>137</v>
      </c>
      <c r="M113" s="4">
        <v>340</v>
      </c>
      <c r="N113" s="4">
        <v>0</v>
      </c>
    </row>
    <row r="114" spans="1:14" x14ac:dyDescent="0.25">
      <c r="A114" s="1">
        <v>44064</v>
      </c>
      <c r="B114">
        <v>379</v>
      </c>
      <c r="C114">
        <v>288</v>
      </c>
      <c r="D114">
        <v>353</v>
      </c>
      <c r="E114">
        <v>516</v>
      </c>
      <c r="F114">
        <v>628</v>
      </c>
      <c r="G114">
        <v>353</v>
      </c>
      <c r="H114" t="s">
        <v>42</v>
      </c>
      <c r="I114" t="s">
        <v>43</v>
      </c>
      <c r="J114" t="s">
        <v>33</v>
      </c>
      <c r="K114" s="4">
        <v>516</v>
      </c>
      <c r="L114" s="4">
        <v>0</v>
      </c>
      <c r="M114" s="4">
        <v>112</v>
      </c>
      <c r="N114" s="4">
        <v>353</v>
      </c>
    </row>
    <row r="115" spans="1:14" x14ac:dyDescent="0.25">
      <c r="A115" s="1">
        <v>44065</v>
      </c>
      <c r="B115">
        <v>405</v>
      </c>
      <c r="C115">
        <v>454</v>
      </c>
      <c r="D115">
        <v>342</v>
      </c>
      <c r="E115">
        <v>405</v>
      </c>
      <c r="F115">
        <v>566</v>
      </c>
      <c r="G115">
        <v>695</v>
      </c>
      <c r="H115" t="s">
        <v>44</v>
      </c>
      <c r="I115" t="s">
        <v>42</v>
      </c>
      <c r="J115" t="s">
        <v>32</v>
      </c>
      <c r="K115" s="4">
        <v>566</v>
      </c>
      <c r="L115" s="4">
        <v>405</v>
      </c>
      <c r="M115" s="4">
        <v>0</v>
      </c>
      <c r="N115" s="4">
        <v>129</v>
      </c>
    </row>
    <row r="116" spans="1:14" x14ac:dyDescent="0.25">
      <c r="A116" s="1">
        <v>44066</v>
      </c>
      <c r="B116">
        <v>407</v>
      </c>
      <c r="C116">
        <v>300</v>
      </c>
      <c r="D116">
        <v>365</v>
      </c>
      <c r="E116">
        <v>812</v>
      </c>
      <c r="F116">
        <v>300</v>
      </c>
      <c r="G116">
        <v>494</v>
      </c>
      <c r="H116" t="s">
        <v>43</v>
      </c>
      <c r="I116" t="s">
        <v>44</v>
      </c>
      <c r="J116" t="s">
        <v>29</v>
      </c>
      <c r="K116" s="4">
        <v>494</v>
      </c>
      <c r="L116" s="4">
        <v>318</v>
      </c>
      <c r="M116" s="4">
        <v>300</v>
      </c>
      <c r="N116" s="4">
        <v>0</v>
      </c>
    </row>
    <row r="117" spans="1:14" x14ac:dyDescent="0.25">
      <c r="A117" s="1">
        <v>44067</v>
      </c>
      <c r="B117">
        <v>432</v>
      </c>
      <c r="C117">
        <v>423</v>
      </c>
      <c r="D117">
        <v>221</v>
      </c>
      <c r="E117">
        <v>750</v>
      </c>
      <c r="F117">
        <v>723</v>
      </c>
      <c r="G117">
        <v>221</v>
      </c>
      <c r="H117" t="s">
        <v>43</v>
      </c>
      <c r="I117" t="s">
        <v>42</v>
      </c>
      <c r="J117" t="s">
        <v>30</v>
      </c>
      <c r="K117" s="4">
        <v>723</v>
      </c>
      <c r="L117" s="4">
        <v>27</v>
      </c>
      <c r="M117" s="4">
        <v>0</v>
      </c>
      <c r="N117" s="4">
        <v>221</v>
      </c>
    </row>
    <row r="118" spans="1:14" x14ac:dyDescent="0.25">
      <c r="A118" s="1">
        <v>44068</v>
      </c>
      <c r="B118">
        <v>405</v>
      </c>
      <c r="C118">
        <v>449</v>
      </c>
      <c r="D118">
        <v>231</v>
      </c>
      <c r="E118">
        <v>432</v>
      </c>
      <c r="F118">
        <v>449</v>
      </c>
      <c r="G118">
        <v>452</v>
      </c>
      <c r="H118" t="s">
        <v>44</v>
      </c>
      <c r="I118" t="s">
        <v>42</v>
      </c>
      <c r="J118" t="s">
        <v>32</v>
      </c>
      <c r="K118" s="4">
        <v>449</v>
      </c>
      <c r="L118" s="4">
        <v>432</v>
      </c>
      <c r="M118" s="4">
        <v>0</v>
      </c>
      <c r="N118" s="4">
        <v>3</v>
      </c>
    </row>
    <row r="119" spans="1:14" x14ac:dyDescent="0.25">
      <c r="A119" s="1">
        <v>44069</v>
      </c>
      <c r="B119">
        <v>162</v>
      </c>
      <c r="C119">
        <v>294</v>
      </c>
      <c r="D119">
        <v>255</v>
      </c>
      <c r="E119">
        <v>594</v>
      </c>
      <c r="F119">
        <v>294</v>
      </c>
      <c r="G119">
        <v>258</v>
      </c>
      <c r="H119" t="s">
        <v>43</v>
      </c>
      <c r="I119" t="s">
        <v>42</v>
      </c>
      <c r="J119" t="s">
        <v>30</v>
      </c>
      <c r="K119" s="4">
        <v>294</v>
      </c>
      <c r="L119" s="4">
        <v>300</v>
      </c>
      <c r="M119" s="4">
        <v>0</v>
      </c>
      <c r="N119" s="4">
        <v>258</v>
      </c>
    </row>
    <row r="120" spans="1:14" x14ac:dyDescent="0.25">
      <c r="A120" s="1">
        <v>44070</v>
      </c>
      <c r="B120">
        <v>297</v>
      </c>
      <c r="C120">
        <v>341</v>
      </c>
      <c r="D120">
        <v>223</v>
      </c>
      <c r="E120">
        <v>597</v>
      </c>
      <c r="F120">
        <v>341</v>
      </c>
      <c r="G120">
        <v>481</v>
      </c>
      <c r="H120" t="s">
        <v>43</v>
      </c>
      <c r="I120" t="s">
        <v>44</v>
      </c>
      <c r="J120" t="s">
        <v>29</v>
      </c>
      <c r="K120" s="4">
        <v>481</v>
      </c>
      <c r="L120" s="4">
        <v>116</v>
      </c>
      <c r="M120" s="4">
        <v>341</v>
      </c>
      <c r="N120" s="4">
        <v>0</v>
      </c>
    </row>
    <row r="121" spans="1:14" x14ac:dyDescent="0.25">
      <c r="A121" s="1">
        <v>44071</v>
      </c>
      <c r="B121">
        <v>226</v>
      </c>
      <c r="C121">
        <v>329</v>
      </c>
      <c r="D121">
        <v>261</v>
      </c>
      <c r="E121">
        <v>342</v>
      </c>
      <c r="F121">
        <v>670</v>
      </c>
      <c r="G121">
        <v>261</v>
      </c>
      <c r="H121" t="s">
        <v>42</v>
      </c>
      <c r="I121" t="s">
        <v>43</v>
      </c>
      <c r="J121" t="s">
        <v>33</v>
      </c>
      <c r="K121" s="4">
        <v>342</v>
      </c>
      <c r="L121" s="4">
        <v>0</v>
      </c>
      <c r="M121" s="4">
        <v>328</v>
      </c>
      <c r="N121" s="4">
        <v>261</v>
      </c>
    </row>
    <row r="122" spans="1:14" x14ac:dyDescent="0.25">
      <c r="A122" s="1">
        <v>44072</v>
      </c>
      <c r="B122">
        <v>226</v>
      </c>
      <c r="C122">
        <v>256</v>
      </c>
      <c r="D122">
        <v>239</v>
      </c>
      <c r="E122">
        <v>226</v>
      </c>
      <c r="F122">
        <v>584</v>
      </c>
      <c r="G122">
        <v>500</v>
      </c>
      <c r="H122" t="s">
        <v>42</v>
      </c>
      <c r="I122" t="s">
        <v>44</v>
      </c>
      <c r="J122" t="s">
        <v>34</v>
      </c>
      <c r="K122" s="4">
        <v>500</v>
      </c>
      <c r="L122" s="4">
        <v>226</v>
      </c>
      <c r="M122" s="4">
        <v>84</v>
      </c>
      <c r="N122" s="4">
        <v>0</v>
      </c>
    </row>
    <row r="123" spans="1:14" x14ac:dyDescent="0.25">
      <c r="A123" s="1">
        <v>44073</v>
      </c>
      <c r="B123">
        <v>287</v>
      </c>
      <c r="C123">
        <v>217</v>
      </c>
      <c r="D123">
        <v>262</v>
      </c>
      <c r="E123">
        <v>513</v>
      </c>
      <c r="F123">
        <v>301</v>
      </c>
      <c r="G123">
        <v>262</v>
      </c>
      <c r="H123" t="s">
        <v>43</v>
      </c>
      <c r="I123" t="s">
        <v>42</v>
      </c>
      <c r="J123" t="s">
        <v>30</v>
      </c>
      <c r="K123" s="4">
        <v>301</v>
      </c>
      <c r="L123" s="4">
        <v>212</v>
      </c>
      <c r="M123" s="4">
        <v>0</v>
      </c>
      <c r="N123" s="4">
        <v>262</v>
      </c>
    </row>
    <row r="124" spans="1:14" x14ac:dyDescent="0.25">
      <c r="A124" s="1">
        <v>44074</v>
      </c>
      <c r="B124">
        <v>351</v>
      </c>
      <c r="C124">
        <v>266</v>
      </c>
      <c r="D124">
        <v>226</v>
      </c>
      <c r="E124">
        <v>563</v>
      </c>
      <c r="F124">
        <v>266</v>
      </c>
      <c r="G124">
        <v>488</v>
      </c>
      <c r="H124" t="s">
        <v>43</v>
      </c>
      <c r="I124" t="s">
        <v>44</v>
      </c>
      <c r="J124" t="s">
        <v>29</v>
      </c>
      <c r="K124" s="4">
        <v>488</v>
      </c>
      <c r="L124" s="4">
        <v>75</v>
      </c>
      <c r="M124" s="4">
        <v>266</v>
      </c>
      <c r="N124" s="4">
        <v>0</v>
      </c>
    </row>
    <row r="125" spans="1:14" x14ac:dyDescent="0.25">
      <c r="A125" s="1">
        <v>44075</v>
      </c>
      <c r="B125">
        <v>214</v>
      </c>
      <c r="C125">
        <v>260</v>
      </c>
      <c r="D125">
        <v>241</v>
      </c>
      <c r="E125">
        <v>289</v>
      </c>
      <c r="F125">
        <v>526</v>
      </c>
      <c r="G125">
        <v>241</v>
      </c>
      <c r="H125" t="s">
        <v>42</v>
      </c>
      <c r="I125" t="s">
        <v>43</v>
      </c>
      <c r="J125" t="s">
        <v>33</v>
      </c>
      <c r="K125" s="4">
        <v>289</v>
      </c>
      <c r="L125" s="4">
        <v>0</v>
      </c>
      <c r="M125" s="4">
        <v>237</v>
      </c>
      <c r="N125" s="4">
        <v>241</v>
      </c>
    </row>
    <row r="126" spans="1:14" x14ac:dyDescent="0.25">
      <c r="A126" s="1">
        <v>44076</v>
      </c>
      <c r="B126">
        <v>282</v>
      </c>
      <c r="C126">
        <v>227</v>
      </c>
      <c r="D126">
        <v>258</v>
      </c>
      <c r="E126">
        <v>282</v>
      </c>
      <c r="F126">
        <v>464</v>
      </c>
      <c r="G126">
        <v>499</v>
      </c>
      <c r="H126" t="s">
        <v>44</v>
      </c>
      <c r="I126" t="s">
        <v>42</v>
      </c>
      <c r="J126" t="s">
        <v>32</v>
      </c>
      <c r="K126" s="4">
        <v>464</v>
      </c>
      <c r="L126" s="4">
        <v>282</v>
      </c>
      <c r="M126" s="4">
        <v>0</v>
      </c>
      <c r="N126" s="4">
        <v>35</v>
      </c>
    </row>
    <row r="127" spans="1:14" x14ac:dyDescent="0.25">
      <c r="A127" s="1">
        <v>44077</v>
      </c>
      <c r="B127">
        <v>257</v>
      </c>
      <c r="C127">
        <v>251</v>
      </c>
      <c r="D127">
        <v>252</v>
      </c>
      <c r="E127">
        <v>539</v>
      </c>
      <c r="F127">
        <v>251</v>
      </c>
      <c r="G127">
        <v>287</v>
      </c>
      <c r="H127" t="s">
        <v>43</v>
      </c>
      <c r="I127" t="s">
        <v>44</v>
      </c>
      <c r="J127" t="s">
        <v>29</v>
      </c>
      <c r="K127" s="4">
        <v>287</v>
      </c>
      <c r="L127" s="4">
        <v>252</v>
      </c>
      <c r="M127" s="4">
        <v>251</v>
      </c>
      <c r="N127" s="4">
        <v>0</v>
      </c>
    </row>
    <row r="128" spans="1:14" x14ac:dyDescent="0.25">
      <c r="A128" s="1">
        <v>44078</v>
      </c>
      <c r="B128">
        <v>172</v>
      </c>
      <c r="C128">
        <v>171</v>
      </c>
      <c r="D128">
        <v>268</v>
      </c>
      <c r="E128">
        <v>424</v>
      </c>
      <c r="F128">
        <v>422</v>
      </c>
      <c r="G128">
        <v>268</v>
      </c>
      <c r="H128" t="s">
        <v>43</v>
      </c>
      <c r="I128" t="s">
        <v>42</v>
      </c>
      <c r="J128" t="s">
        <v>30</v>
      </c>
      <c r="K128" s="4">
        <v>422</v>
      </c>
      <c r="L128" s="4">
        <v>2</v>
      </c>
      <c r="M128" s="4">
        <v>0</v>
      </c>
      <c r="N128" s="4">
        <v>268</v>
      </c>
    </row>
    <row r="129" spans="1:14" x14ac:dyDescent="0.25">
      <c r="A129" s="1">
        <v>44079</v>
      </c>
      <c r="B129">
        <v>197</v>
      </c>
      <c r="C129">
        <v>326</v>
      </c>
      <c r="D129">
        <v>224</v>
      </c>
      <c r="E129">
        <v>199</v>
      </c>
      <c r="F129">
        <v>326</v>
      </c>
      <c r="G129">
        <v>492</v>
      </c>
      <c r="H129" t="s">
        <v>44</v>
      </c>
      <c r="I129" t="s">
        <v>42</v>
      </c>
      <c r="J129" t="s">
        <v>32</v>
      </c>
      <c r="K129" s="4">
        <v>326</v>
      </c>
      <c r="L129" s="4">
        <v>199</v>
      </c>
      <c r="M129" s="4">
        <v>0</v>
      </c>
      <c r="N129" s="4">
        <v>166</v>
      </c>
    </row>
    <row r="130" spans="1:14" x14ac:dyDescent="0.25">
      <c r="A130" s="1">
        <v>44080</v>
      </c>
      <c r="B130">
        <v>292</v>
      </c>
      <c r="C130">
        <v>329</v>
      </c>
      <c r="D130">
        <v>255</v>
      </c>
      <c r="E130">
        <v>491</v>
      </c>
      <c r="F130">
        <v>329</v>
      </c>
      <c r="G130">
        <v>421</v>
      </c>
      <c r="H130" t="s">
        <v>43</v>
      </c>
      <c r="I130" t="s">
        <v>44</v>
      </c>
      <c r="J130" t="s">
        <v>29</v>
      </c>
      <c r="K130" s="4">
        <v>421</v>
      </c>
      <c r="L130" s="4">
        <v>70</v>
      </c>
      <c r="M130" s="4">
        <v>329</v>
      </c>
      <c r="N130" s="4">
        <v>0</v>
      </c>
    </row>
    <row r="131" spans="1:14" x14ac:dyDescent="0.25">
      <c r="A131" s="1">
        <v>44081</v>
      </c>
      <c r="B131">
        <v>172</v>
      </c>
      <c r="C131">
        <v>216</v>
      </c>
      <c r="D131">
        <v>199</v>
      </c>
      <c r="E131">
        <v>242</v>
      </c>
      <c r="F131">
        <v>545</v>
      </c>
      <c r="G131">
        <v>199</v>
      </c>
      <c r="H131" t="s">
        <v>42</v>
      </c>
      <c r="I131" t="s">
        <v>43</v>
      </c>
      <c r="J131" t="s">
        <v>33</v>
      </c>
      <c r="K131" s="4">
        <v>242</v>
      </c>
      <c r="L131" s="4">
        <v>0</v>
      </c>
      <c r="M131" s="4">
        <v>303</v>
      </c>
      <c r="N131" s="4">
        <v>199</v>
      </c>
    </row>
    <row r="132" spans="1:14" x14ac:dyDescent="0.25">
      <c r="A132" s="1">
        <v>44082</v>
      </c>
      <c r="B132">
        <v>258</v>
      </c>
      <c r="C132">
        <v>291</v>
      </c>
      <c r="D132">
        <v>220</v>
      </c>
      <c r="E132">
        <v>258</v>
      </c>
      <c r="F132">
        <v>594</v>
      </c>
      <c r="G132">
        <v>419</v>
      </c>
      <c r="H132" t="s">
        <v>42</v>
      </c>
      <c r="I132" t="s">
        <v>44</v>
      </c>
      <c r="J132" t="s">
        <v>34</v>
      </c>
      <c r="K132" s="4">
        <v>419</v>
      </c>
      <c r="L132" s="4">
        <v>258</v>
      </c>
      <c r="M132" s="4">
        <v>175</v>
      </c>
      <c r="N132" s="4">
        <v>0</v>
      </c>
    </row>
    <row r="133" spans="1:14" x14ac:dyDescent="0.25">
      <c r="A133" s="1">
        <v>44083</v>
      </c>
      <c r="B133">
        <v>276</v>
      </c>
      <c r="C133">
        <v>347</v>
      </c>
      <c r="D133">
        <v>197</v>
      </c>
      <c r="E133">
        <v>534</v>
      </c>
      <c r="F133">
        <v>522</v>
      </c>
      <c r="G133">
        <v>197</v>
      </c>
      <c r="H133" t="s">
        <v>43</v>
      </c>
      <c r="I133" t="s">
        <v>42</v>
      </c>
      <c r="J133" t="s">
        <v>30</v>
      </c>
      <c r="K133" s="4">
        <v>522</v>
      </c>
      <c r="L133" s="4">
        <v>12</v>
      </c>
      <c r="M133" s="4">
        <v>0</v>
      </c>
      <c r="N133" s="4">
        <v>197</v>
      </c>
    </row>
    <row r="134" spans="1:14" x14ac:dyDescent="0.25">
      <c r="A134" s="1">
        <v>44084</v>
      </c>
      <c r="B134">
        <v>210</v>
      </c>
      <c r="C134">
        <v>333</v>
      </c>
      <c r="D134">
        <v>218</v>
      </c>
      <c r="E134">
        <v>222</v>
      </c>
      <c r="F134">
        <v>333</v>
      </c>
      <c r="G134">
        <v>415</v>
      </c>
      <c r="H134" t="s">
        <v>44</v>
      </c>
      <c r="I134" t="s">
        <v>42</v>
      </c>
      <c r="J134" t="s">
        <v>32</v>
      </c>
      <c r="K134" s="4">
        <v>333</v>
      </c>
      <c r="L134" s="4">
        <v>222</v>
      </c>
      <c r="M134" s="4">
        <v>0</v>
      </c>
      <c r="N134" s="4">
        <v>82</v>
      </c>
    </row>
    <row r="135" spans="1:14" x14ac:dyDescent="0.25">
      <c r="A135" s="1">
        <v>44085</v>
      </c>
      <c r="B135">
        <v>168</v>
      </c>
      <c r="C135">
        <v>211</v>
      </c>
      <c r="D135">
        <v>180</v>
      </c>
      <c r="E135">
        <v>390</v>
      </c>
      <c r="F135">
        <v>211</v>
      </c>
      <c r="G135">
        <v>262</v>
      </c>
      <c r="H135" t="s">
        <v>43</v>
      </c>
      <c r="I135" t="s">
        <v>44</v>
      </c>
      <c r="J135" t="s">
        <v>29</v>
      </c>
      <c r="K135" s="4">
        <v>262</v>
      </c>
      <c r="L135" s="4">
        <v>128</v>
      </c>
      <c r="M135" s="4">
        <v>211</v>
      </c>
      <c r="N135" s="4">
        <v>0</v>
      </c>
    </row>
    <row r="136" spans="1:14" x14ac:dyDescent="0.25">
      <c r="A136" s="1">
        <v>44086</v>
      </c>
      <c r="B136">
        <v>196</v>
      </c>
      <c r="C136">
        <v>348</v>
      </c>
      <c r="D136">
        <v>225</v>
      </c>
      <c r="E136">
        <v>324</v>
      </c>
      <c r="F136">
        <v>559</v>
      </c>
      <c r="G136">
        <v>225</v>
      </c>
      <c r="H136" t="s">
        <v>42</v>
      </c>
      <c r="I136" t="s">
        <v>43</v>
      </c>
      <c r="J136" t="s">
        <v>33</v>
      </c>
      <c r="K136" s="4">
        <v>324</v>
      </c>
      <c r="L136" s="4">
        <v>0</v>
      </c>
      <c r="M136" s="4">
        <v>235</v>
      </c>
      <c r="N136" s="4">
        <v>225</v>
      </c>
    </row>
    <row r="137" spans="1:14" x14ac:dyDescent="0.25">
      <c r="A137" s="1">
        <v>44087</v>
      </c>
      <c r="B137">
        <v>284</v>
      </c>
      <c r="C137">
        <v>226</v>
      </c>
      <c r="D137">
        <v>197</v>
      </c>
      <c r="E137">
        <v>284</v>
      </c>
      <c r="F137">
        <v>461</v>
      </c>
      <c r="G137">
        <v>422</v>
      </c>
      <c r="H137" t="s">
        <v>42</v>
      </c>
      <c r="I137" t="s">
        <v>44</v>
      </c>
      <c r="J137" t="s">
        <v>34</v>
      </c>
      <c r="K137" s="4">
        <v>422</v>
      </c>
      <c r="L137" s="4">
        <v>284</v>
      </c>
      <c r="M137" s="4">
        <v>39</v>
      </c>
      <c r="N137" s="4">
        <v>0</v>
      </c>
    </row>
    <row r="138" spans="1:14" x14ac:dyDescent="0.25">
      <c r="A138" s="1">
        <v>44088</v>
      </c>
      <c r="B138">
        <v>162</v>
      </c>
      <c r="C138">
        <v>345</v>
      </c>
      <c r="D138">
        <v>194</v>
      </c>
      <c r="E138">
        <v>446</v>
      </c>
      <c r="F138">
        <v>384</v>
      </c>
      <c r="G138">
        <v>194</v>
      </c>
      <c r="H138" t="s">
        <v>43</v>
      </c>
      <c r="I138" t="s">
        <v>42</v>
      </c>
      <c r="J138" t="s">
        <v>30</v>
      </c>
      <c r="K138" s="4">
        <v>384</v>
      </c>
      <c r="L138" s="4">
        <v>62</v>
      </c>
      <c r="M138" s="4">
        <v>0</v>
      </c>
      <c r="N138" s="4">
        <v>194</v>
      </c>
    </row>
    <row r="139" spans="1:14" x14ac:dyDescent="0.25">
      <c r="A139" s="1">
        <v>44089</v>
      </c>
      <c r="B139">
        <v>212</v>
      </c>
      <c r="C139">
        <v>184</v>
      </c>
      <c r="D139">
        <v>183</v>
      </c>
      <c r="E139">
        <v>274</v>
      </c>
      <c r="F139">
        <v>184</v>
      </c>
      <c r="G139">
        <v>377</v>
      </c>
      <c r="H139" t="s">
        <v>44</v>
      </c>
      <c r="I139" t="s">
        <v>43</v>
      </c>
      <c r="J139" t="s">
        <v>31</v>
      </c>
      <c r="K139" s="4">
        <v>274</v>
      </c>
      <c r="L139" s="4">
        <v>0</v>
      </c>
      <c r="M139" s="4">
        <v>184</v>
      </c>
      <c r="N139" s="4">
        <v>103</v>
      </c>
    </row>
    <row r="140" spans="1:14" x14ac:dyDescent="0.25">
      <c r="A140" s="1">
        <v>44090</v>
      </c>
      <c r="B140">
        <v>165</v>
      </c>
      <c r="C140">
        <v>232</v>
      </c>
      <c r="D140">
        <v>202</v>
      </c>
      <c r="E140">
        <v>165</v>
      </c>
      <c r="F140">
        <v>416</v>
      </c>
      <c r="G140">
        <v>305</v>
      </c>
      <c r="H140" t="s">
        <v>42</v>
      </c>
      <c r="I140" t="s">
        <v>44</v>
      </c>
      <c r="J140" t="s">
        <v>34</v>
      </c>
      <c r="K140" s="4">
        <v>305</v>
      </c>
      <c r="L140" s="4">
        <v>165</v>
      </c>
      <c r="M140" s="4">
        <v>111</v>
      </c>
      <c r="N140" s="4">
        <v>0</v>
      </c>
    </row>
    <row r="141" spans="1:14" x14ac:dyDescent="0.25">
      <c r="A141" s="1">
        <v>44091</v>
      </c>
      <c r="B141">
        <v>163</v>
      </c>
      <c r="C141">
        <v>314</v>
      </c>
      <c r="D141">
        <v>213</v>
      </c>
      <c r="E141">
        <v>328</v>
      </c>
      <c r="F141">
        <v>425</v>
      </c>
      <c r="G141">
        <v>213</v>
      </c>
      <c r="H141" t="s">
        <v>42</v>
      </c>
      <c r="I141" t="s">
        <v>43</v>
      </c>
      <c r="J141" t="s">
        <v>33</v>
      </c>
      <c r="K141" s="4">
        <v>328</v>
      </c>
      <c r="L141" s="4">
        <v>0</v>
      </c>
      <c r="M141" s="4">
        <v>97</v>
      </c>
      <c r="N141" s="4">
        <v>213</v>
      </c>
    </row>
    <row r="142" spans="1:14" x14ac:dyDescent="0.25">
      <c r="A142" s="1">
        <v>44092</v>
      </c>
      <c r="B142">
        <v>200</v>
      </c>
      <c r="C142">
        <v>307</v>
      </c>
      <c r="D142">
        <v>206</v>
      </c>
      <c r="E142">
        <v>200</v>
      </c>
      <c r="F142">
        <v>404</v>
      </c>
      <c r="G142">
        <v>419</v>
      </c>
      <c r="H142" t="s">
        <v>44</v>
      </c>
      <c r="I142" t="s">
        <v>42</v>
      </c>
      <c r="J142" t="s">
        <v>32</v>
      </c>
      <c r="K142" s="4">
        <v>404</v>
      </c>
      <c r="L142" s="4">
        <v>200</v>
      </c>
      <c r="M142" s="4">
        <v>0</v>
      </c>
      <c r="N142" s="4">
        <v>15</v>
      </c>
    </row>
    <row r="143" spans="1:14" x14ac:dyDescent="0.25">
      <c r="A143" s="1">
        <v>44093</v>
      </c>
      <c r="B143">
        <v>201</v>
      </c>
      <c r="C143">
        <v>274</v>
      </c>
      <c r="D143">
        <v>210</v>
      </c>
      <c r="E143">
        <v>401</v>
      </c>
      <c r="F143">
        <v>274</v>
      </c>
      <c r="G143">
        <v>225</v>
      </c>
      <c r="H143" t="s">
        <v>43</v>
      </c>
      <c r="I143" t="s">
        <v>42</v>
      </c>
      <c r="J143" t="s">
        <v>30</v>
      </c>
      <c r="K143" s="4">
        <v>274</v>
      </c>
      <c r="L143" s="4">
        <v>127</v>
      </c>
      <c r="M143" s="4">
        <v>0</v>
      </c>
      <c r="N143" s="4">
        <v>225</v>
      </c>
    </row>
    <row r="144" spans="1:14" x14ac:dyDescent="0.25">
      <c r="A144" s="1">
        <v>44094</v>
      </c>
      <c r="B144">
        <v>269</v>
      </c>
      <c r="C144">
        <v>278</v>
      </c>
      <c r="D144">
        <v>228</v>
      </c>
      <c r="E144">
        <v>396</v>
      </c>
      <c r="F144">
        <v>278</v>
      </c>
      <c r="G144">
        <v>453</v>
      </c>
      <c r="H144" t="s">
        <v>44</v>
      </c>
      <c r="I144" t="s">
        <v>43</v>
      </c>
      <c r="J144" t="s">
        <v>31</v>
      </c>
      <c r="K144" s="4">
        <v>396</v>
      </c>
      <c r="L144" s="4">
        <v>0</v>
      </c>
      <c r="M144" s="4">
        <v>278</v>
      </c>
      <c r="N144" s="4">
        <v>57</v>
      </c>
    </row>
    <row r="145" spans="1:14" x14ac:dyDescent="0.25">
      <c r="A145" s="1">
        <v>44095</v>
      </c>
      <c r="B145">
        <v>188</v>
      </c>
      <c r="C145">
        <v>195</v>
      </c>
      <c r="D145">
        <v>207</v>
      </c>
      <c r="E145">
        <v>188</v>
      </c>
      <c r="F145">
        <v>473</v>
      </c>
      <c r="G145">
        <v>264</v>
      </c>
      <c r="H145" t="s">
        <v>42</v>
      </c>
      <c r="I145" t="s">
        <v>44</v>
      </c>
      <c r="J145" t="s">
        <v>34</v>
      </c>
      <c r="K145" s="4">
        <v>264</v>
      </c>
      <c r="L145" s="4">
        <v>188</v>
      </c>
      <c r="M145" s="4">
        <v>209</v>
      </c>
      <c r="N145" s="4">
        <v>0</v>
      </c>
    </row>
    <row r="146" spans="1:14" x14ac:dyDescent="0.25">
      <c r="A146" s="1">
        <v>44096</v>
      </c>
      <c r="B146">
        <v>142</v>
      </c>
      <c r="C146">
        <v>249</v>
      </c>
      <c r="D146">
        <v>202</v>
      </c>
      <c r="E146">
        <v>330</v>
      </c>
      <c r="F146">
        <v>458</v>
      </c>
      <c r="G146">
        <v>202</v>
      </c>
      <c r="H146" t="s">
        <v>42</v>
      </c>
      <c r="I146" t="s">
        <v>43</v>
      </c>
      <c r="J146" t="s">
        <v>33</v>
      </c>
      <c r="K146" s="4">
        <v>330</v>
      </c>
      <c r="L146" s="4">
        <v>0</v>
      </c>
      <c r="M146" s="4">
        <v>128</v>
      </c>
      <c r="N146" s="4">
        <v>202</v>
      </c>
    </row>
    <row r="147" spans="1:14" x14ac:dyDescent="0.25">
      <c r="A147" s="1">
        <v>44097</v>
      </c>
      <c r="B147">
        <v>232</v>
      </c>
      <c r="C147">
        <v>116</v>
      </c>
      <c r="D147">
        <v>195</v>
      </c>
      <c r="E147">
        <v>232</v>
      </c>
      <c r="F147">
        <v>244</v>
      </c>
      <c r="G147">
        <v>397</v>
      </c>
      <c r="H147" t="s">
        <v>44</v>
      </c>
      <c r="I147" t="s">
        <v>42</v>
      </c>
      <c r="J147" t="s">
        <v>32</v>
      </c>
      <c r="K147" s="4">
        <v>244</v>
      </c>
      <c r="L147" s="4">
        <v>232</v>
      </c>
      <c r="M147" s="4">
        <v>0</v>
      </c>
      <c r="N147" s="4">
        <v>153</v>
      </c>
    </row>
    <row r="148" spans="1:14" x14ac:dyDescent="0.25">
      <c r="A148" s="1">
        <v>44098</v>
      </c>
      <c r="B148">
        <v>296</v>
      </c>
      <c r="C148">
        <v>102</v>
      </c>
      <c r="D148">
        <v>192</v>
      </c>
      <c r="E148">
        <v>528</v>
      </c>
      <c r="F148">
        <v>102</v>
      </c>
      <c r="G148">
        <v>345</v>
      </c>
      <c r="H148" t="s">
        <v>43</v>
      </c>
      <c r="I148" t="s">
        <v>44</v>
      </c>
      <c r="J148" t="s">
        <v>29</v>
      </c>
      <c r="K148" s="4">
        <v>345</v>
      </c>
      <c r="L148" s="4">
        <v>183</v>
      </c>
      <c r="M148" s="4">
        <v>102</v>
      </c>
      <c r="N148" s="4">
        <v>0</v>
      </c>
    </row>
    <row r="149" spans="1:14" x14ac:dyDescent="0.25">
      <c r="A149" s="1">
        <v>44099</v>
      </c>
      <c r="B149">
        <v>161</v>
      </c>
      <c r="C149">
        <v>151</v>
      </c>
      <c r="D149">
        <v>216</v>
      </c>
      <c r="E149">
        <v>344</v>
      </c>
      <c r="F149">
        <v>253</v>
      </c>
      <c r="G149">
        <v>216</v>
      </c>
      <c r="H149" t="s">
        <v>43</v>
      </c>
      <c r="I149" t="s">
        <v>42</v>
      </c>
      <c r="J149" t="s">
        <v>30</v>
      </c>
      <c r="K149" s="4">
        <v>253</v>
      </c>
      <c r="L149" s="4">
        <v>91</v>
      </c>
      <c r="M149" s="4">
        <v>0</v>
      </c>
      <c r="N149" s="4">
        <v>216</v>
      </c>
    </row>
    <row r="150" spans="1:14" x14ac:dyDescent="0.25">
      <c r="A150" s="1">
        <v>44100</v>
      </c>
      <c r="B150">
        <v>162</v>
      </c>
      <c r="C150">
        <v>261</v>
      </c>
      <c r="D150">
        <v>184</v>
      </c>
      <c r="E150">
        <v>253</v>
      </c>
      <c r="F150">
        <v>261</v>
      </c>
      <c r="G150">
        <v>400</v>
      </c>
      <c r="H150" t="s">
        <v>44</v>
      </c>
      <c r="I150" t="s">
        <v>42</v>
      </c>
      <c r="J150" t="s">
        <v>32</v>
      </c>
      <c r="K150" s="4">
        <v>261</v>
      </c>
      <c r="L150" s="4">
        <v>253</v>
      </c>
      <c r="M150" s="4">
        <v>0</v>
      </c>
      <c r="N150" s="4">
        <v>139</v>
      </c>
    </row>
    <row r="151" spans="1:14" x14ac:dyDescent="0.25">
      <c r="A151" s="1">
        <v>44101</v>
      </c>
      <c r="B151">
        <v>216</v>
      </c>
      <c r="C151">
        <v>147</v>
      </c>
      <c r="D151">
        <v>204</v>
      </c>
      <c r="E151">
        <v>469</v>
      </c>
      <c r="F151">
        <v>147</v>
      </c>
      <c r="G151">
        <v>343</v>
      </c>
      <c r="H151" t="s">
        <v>43</v>
      </c>
      <c r="I151" t="s">
        <v>44</v>
      </c>
      <c r="J151" t="s">
        <v>29</v>
      </c>
      <c r="K151" s="4">
        <v>343</v>
      </c>
      <c r="L151" s="4">
        <v>126</v>
      </c>
      <c r="M151" s="4">
        <v>147</v>
      </c>
      <c r="N151" s="4">
        <v>0</v>
      </c>
    </row>
    <row r="152" spans="1:14" x14ac:dyDescent="0.25">
      <c r="A152" s="1">
        <v>44102</v>
      </c>
      <c r="B152">
        <v>282</v>
      </c>
      <c r="C152">
        <v>297</v>
      </c>
      <c r="D152">
        <v>195</v>
      </c>
      <c r="E152">
        <v>408</v>
      </c>
      <c r="F152">
        <v>444</v>
      </c>
      <c r="G152">
        <v>195</v>
      </c>
      <c r="H152" t="s">
        <v>42</v>
      </c>
      <c r="I152" t="s">
        <v>43</v>
      </c>
      <c r="J152" t="s">
        <v>33</v>
      </c>
      <c r="K152" s="4">
        <v>408</v>
      </c>
      <c r="L152" s="4">
        <v>0</v>
      </c>
      <c r="M152" s="4">
        <v>36</v>
      </c>
      <c r="N152" s="4">
        <v>195</v>
      </c>
    </row>
    <row r="153" spans="1:14" x14ac:dyDescent="0.25">
      <c r="A153" s="1">
        <v>44103</v>
      </c>
      <c r="B153">
        <v>214</v>
      </c>
      <c r="C153">
        <v>198</v>
      </c>
      <c r="D153">
        <v>200</v>
      </c>
      <c r="E153">
        <v>214</v>
      </c>
      <c r="F153">
        <v>234</v>
      </c>
      <c r="G153">
        <v>395</v>
      </c>
      <c r="H153" t="s">
        <v>44</v>
      </c>
      <c r="I153" t="s">
        <v>42</v>
      </c>
      <c r="J153" t="s">
        <v>32</v>
      </c>
      <c r="K153" s="4">
        <v>234</v>
      </c>
      <c r="L153" s="4">
        <v>214</v>
      </c>
      <c r="M153" s="4">
        <v>0</v>
      </c>
      <c r="N153" s="4">
        <v>161</v>
      </c>
    </row>
    <row r="154" spans="1:14" x14ac:dyDescent="0.25">
      <c r="A154" s="1">
        <v>44104</v>
      </c>
      <c r="B154">
        <v>289</v>
      </c>
      <c r="C154">
        <v>290</v>
      </c>
      <c r="D154">
        <v>190</v>
      </c>
      <c r="E154">
        <v>503</v>
      </c>
      <c r="F154">
        <v>290</v>
      </c>
      <c r="G154">
        <v>351</v>
      </c>
      <c r="H154" t="s">
        <v>43</v>
      </c>
      <c r="I154" t="s">
        <v>44</v>
      </c>
      <c r="J154" t="s">
        <v>29</v>
      </c>
      <c r="K154" s="4">
        <v>351</v>
      </c>
      <c r="L154" s="4">
        <v>152</v>
      </c>
      <c r="M154" s="4">
        <v>290</v>
      </c>
      <c r="N15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1461-798D-4724-B979-39D9A67337C0}">
  <dimension ref="A1:Q154"/>
  <sheetViews>
    <sheetView topLeftCell="E1" zoomScale="85" zoomScaleNormal="85" workbookViewId="0">
      <selection activeCell="P9" sqref="P9:Q12"/>
    </sheetView>
  </sheetViews>
  <sheetFormatPr defaultRowHeight="15" x14ac:dyDescent="0.25"/>
  <cols>
    <col min="1" max="1" width="10.140625" bestFit="1" customWidth="1"/>
    <col min="2" max="2" width="22" bestFit="1" customWidth="1"/>
    <col min="3" max="3" width="26.28515625" bestFit="1" customWidth="1"/>
    <col min="4" max="4" width="26" bestFit="1" customWidth="1"/>
    <col min="5" max="7" width="26" customWidth="1"/>
    <col min="8" max="8" width="25.28515625" bestFit="1" customWidth="1"/>
    <col min="9" max="9" width="21.85546875" bestFit="1" customWidth="1"/>
    <col min="10" max="10" width="18.85546875" bestFit="1" customWidth="1"/>
    <col min="11" max="11" width="26.5703125" bestFit="1" customWidth="1"/>
    <col min="12" max="12" width="19.85546875" bestFit="1" customWidth="1"/>
    <col min="13" max="13" width="30.28515625" bestFit="1" customWidth="1"/>
    <col min="14" max="14" width="30" bestFit="1" customWidth="1"/>
    <col min="16" max="16" width="19.42578125" bestFit="1" customWidth="1"/>
    <col min="17" max="17" width="31.42578125" bestFit="1" customWidth="1"/>
  </cols>
  <sheetData>
    <row r="1" spans="1:17" x14ac:dyDescent="0.25">
      <c r="A1" t="s">
        <v>0</v>
      </c>
      <c r="B1" t="s">
        <v>16</v>
      </c>
      <c r="C1" t="s">
        <v>17</v>
      </c>
      <c r="D1" t="s">
        <v>18</v>
      </c>
      <c r="E1" t="s">
        <v>23</v>
      </c>
      <c r="F1" t="s">
        <v>24</v>
      </c>
      <c r="G1" t="s">
        <v>25</v>
      </c>
      <c r="H1" t="s">
        <v>19</v>
      </c>
      <c r="I1" t="s">
        <v>20</v>
      </c>
      <c r="J1" t="s">
        <v>21</v>
      </c>
      <c r="K1" t="s">
        <v>22</v>
      </c>
      <c r="L1" t="s">
        <v>26</v>
      </c>
      <c r="M1" t="s">
        <v>27</v>
      </c>
      <c r="N1" t="s">
        <v>28</v>
      </c>
      <c r="P1" s="2" t="s">
        <v>21</v>
      </c>
      <c r="Q1" t="s">
        <v>35</v>
      </c>
    </row>
    <row r="2" spans="1:17" x14ac:dyDescent="0.25">
      <c r="A2" s="1">
        <v>43952</v>
      </c>
      <c r="B2">
        <v>211</v>
      </c>
      <c r="C2">
        <v>281</v>
      </c>
      <c r="D2">
        <v>88</v>
      </c>
      <c r="E2">
        <v>211</v>
      </c>
      <c r="F2">
        <v>281</v>
      </c>
      <c r="G2">
        <v>88</v>
      </c>
      <c r="H2" t="str" cm="1">
        <f t="array" ref="H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2" t="str" cm="1">
        <f t="array" ref="I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2" t="str">
        <f>_xlfn.CONCAT(owoce5[[#This Row],[jaka_konfitura_pierwszy]],"-",owoce5[[#This Row],[jaka_konfitura_drugi]])</f>
        <v>truskawki-maliny</v>
      </c>
      <c r="K2" s="4">
        <f>LARGE(owoce5[[#This Row],[stan_malin]:[stan_porzeczek]],2)</f>
        <v>211</v>
      </c>
      <c r="L2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2" s="4">
        <f>IF(OR(owoce5[[#This Row],[jaka_konfitura_pierwszy]]="truskawki",owoce5[[#This Row],[jaka_konfitura_drugi]]="truskawki"),owoce5[[#This Row],[stan_truskawek]]-owoce5[[#This Row],[Ile_kilogramów_konfitury]],owoce5[[#This Row],[stan_truskawek]])</f>
        <v>70</v>
      </c>
      <c r="N2" s="4">
        <f>IF(OR(owoce5[[#This Row],[jaka_konfitura_pierwszy]]="porzeczki",owoce5[[#This Row],[jaka_konfitura_drugi]]="porzeczki"),owoce5[[#This Row],[stan_porzeczek]]-owoce5[[#This Row],[Ile_kilogramów_konfitury]],owoce5[[#This Row],[stan_porzeczek]])</f>
        <v>88</v>
      </c>
      <c r="P2" s="3" t="s">
        <v>29</v>
      </c>
      <c r="Q2" s="4">
        <v>28</v>
      </c>
    </row>
    <row r="3" spans="1:17" x14ac:dyDescent="0.25">
      <c r="A3" s="1">
        <v>43953</v>
      </c>
      <c r="B3">
        <v>393</v>
      </c>
      <c r="C3">
        <v>313</v>
      </c>
      <c r="D3">
        <v>83</v>
      </c>
      <c r="E3">
        <f>L2+owoce5[[#This Row],[rano_dostawa_malin]]</f>
        <v>393</v>
      </c>
      <c r="F3">
        <f>owoce5[[#This Row],[rano_dostawa_truskawek]]+M2</f>
        <v>383</v>
      </c>
      <c r="G3">
        <f>owoce5[[#This Row],[rano_dostawa_porzeczek]]+N2</f>
        <v>171</v>
      </c>
      <c r="H3" t="str" cm="1">
        <f t="array" ref="H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" t="str" cm="1">
        <f t="array" ref="I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3" t="str">
        <f>_xlfn.CONCAT(owoce5[[#This Row],[jaka_konfitura_pierwszy]],"-",owoce5[[#This Row],[jaka_konfitura_drugi]])</f>
        <v>maliny-truskawki</v>
      </c>
      <c r="K3" s="4">
        <f>LARGE(owoce5[[#This Row],[stan_malin]:[stan_porzeczek]],2)</f>
        <v>383</v>
      </c>
      <c r="L3" s="4">
        <f>IF(OR(owoce5[[#This Row],[jaka_konfitura_pierwszy]]="maliny",owoce5[[#This Row],[jaka_konfitura_drugi]]="maliny"),owoce5[[#This Row],[stan_malin]]-owoce5[[#This Row],[Ile_kilogramów_konfitury]],owoce5[[#This Row],[stan_malin]])</f>
        <v>10</v>
      </c>
      <c r="M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3" s="4">
        <f>IF(OR(owoce5[[#This Row],[jaka_konfitura_pierwszy]]="porzeczki",owoce5[[#This Row],[jaka_konfitura_drugi]]="porzeczki"),owoce5[[#This Row],[stan_porzeczek]]-owoce5[[#This Row],[Ile_kilogramów_konfitury]],owoce5[[#This Row],[stan_porzeczek]])</f>
        <v>171</v>
      </c>
      <c r="P3" s="3" t="s">
        <v>30</v>
      </c>
      <c r="Q3" s="4">
        <v>37</v>
      </c>
    </row>
    <row r="4" spans="1:17" x14ac:dyDescent="0.25">
      <c r="A4" s="1">
        <v>43954</v>
      </c>
      <c r="B4">
        <v>389</v>
      </c>
      <c r="C4">
        <v>315</v>
      </c>
      <c r="D4">
        <v>104</v>
      </c>
      <c r="E4">
        <f>L3+owoce5[[#This Row],[rano_dostawa_malin]]</f>
        <v>399</v>
      </c>
      <c r="F4">
        <f>owoce5[[#This Row],[rano_dostawa_truskawek]]+M3</f>
        <v>315</v>
      </c>
      <c r="G4">
        <f>owoce5[[#This Row],[rano_dostawa_porzeczek]]+N3</f>
        <v>275</v>
      </c>
      <c r="H4" t="str" cm="1">
        <f t="array" ref="H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4" t="str" cm="1">
        <f t="array" ref="I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4" t="str">
        <f>_xlfn.CONCAT(owoce5[[#This Row],[jaka_konfitura_pierwszy]],"-",owoce5[[#This Row],[jaka_konfitura_drugi]])</f>
        <v>maliny-truskawki</v>
      </c>
      <c r="K4" s="4">
        <f>LARGE(owoce5[[#This Row],[stan_malin]:[stan_porzeczek]],2)</f>
        <v>315</v>
      </c>
      <c r="L4" s="4">
        <f>IF(OR(owoce5[[#This Row],[jaka_konfitura_pierwszy]]="maliny",owoce5[[#This Row],[jaka_konfitura_drugi]]="maliny"),owoce5[[#This Row],[stan_malin]]-owoce5[[#This Row],[Ile_kilogramów_konfitury]],owoce5[[#This Row],[stan_malin]])</f>
        <v>84</v>
      </c>
      <c r="M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275</v>
      </c>
      <c r="P4" s="3" t="s">
        <v>31</v>
      </c>
      <c r="Q4" s="4">
        <v>13</v>
      </c>
    </row>
    <row r="5" spans="1:17" x14ac:dyDescent="0.25">
      <c r="A5" s="1">
        <v>43955</v>
      </c>
      <c r="B5">
        <v>308</v>
      </c>
      <c r="C5">
        <v>221</v>
      </c>
      <c r="D5">
        <v>119</v>
      </c>
      <c r="E5">
        <f>L4+owoce5[[#This Row],[rano_dostawa_malin]]</f>
        <v>392</v>
      </c>
      <c r="F5">
        <f>owoce5[[#This Row],[rano_dostawa_truskawek]]+M4</f>
        <v>221</v>
      </c>
      <c r="G5">
        <f>owoce5[[#This Row],[rano_dostawa_porzeczek]]+N4</f>
        <v>394</v>
      </c>
      <c r="H5" t="str" cm="1">
        <f t="array" ref="H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5" t="str" cm="1">
        <f t="array" ref="I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5" t="str">
        <f>_xlfn.CONCAT(owoce5[[#This Row],[jaka_konfitura_pierwszy]],"-",owoce5[[#This Row],[jaka_konfitura_drugi]])</f>
        <v>porzeczki-maliny</v>
      </c>
      <c r="K5" s="4">
        <f>LARGE(owoce5[[#This Row],[stan_malin]:[stan_porzeczek]],2)</f>
        <v>392</v>
      </c>
      <c r="L5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221</v>
      </c>
      <c r="N5" s="4">
        <f>IF(OR(owoce5[[#This Row],[jaka_konfitura_pierwszy]]="porzeczki",owoce5[[#This Row],[jaka_konfitura_drugi]]="porzeczki"),owoce5[[#This Row],[stan_porzeczek]]-owoce5[[#This Row],[Ile_kilogramów_konfitury]],owoce5[[#This Row],[stan_porzeczek]])</f>
        <v>2</v>
      </c>
      <c r="P5" s="3" t="s">
        <v>32</v>
      </c>
      <c r="Q5" s="4">
        <v>18</v>
      </c>
    </row>
    <row r="6" spans="1:17" x14ac:dyDescent="0.25">
      <c r="A6" s="1">
        <v>43956</v>
      </c>
      <c r="B6">
        <v>387</v>
      </c>
      <c r="C6">
        <v>275</v>
      </c>
      <c r="D6">
        <v>72</v>
      </c>
      <c r="E6">
        <f>L5+owoce5[[#This Row],[rano_dostawa_malin]]</f>
        <v>387</v>
      </c>
      <c r="F6">
        <f>owoce5[[#This Row],[rano_dostawa_truskawek]]+M5</f>
        <v>496</v>
      </c>
      <c r="G6">
        <f>owoce5[[#This Row],[rano_dostawa_porzeczek]]+N5</f>
        <v>74</v>
      </c>
      <c r="H6" t="str" cm="1">
        <f t="array" ref="H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" t="str" cm="1">
        <f t="array" ref="I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6" t="str">
        <f>_xlfn.CONCAT(owoce5[[#This Row],[jaka_konfitura_pierwszy]],"-",owoce5[[#This Row],[jaka_konfitura_drugi]])</f>
        <v>truskawki-maliny</v>
      </c>
      <c r="K6" s="4">
        <f>LARGE(owoce5[[#This Row],[stan_malin]:[stan_porzeczek]],2)</f>
        <v>387</v>
      </c>
      <c r="L6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6" s="4">
        <f>IF(OR(owoce5[[#This Row],[jaka_konfitura_pierwszy]]="truskawki",owoce5[[#This Row],[jaka_konfitura_drugi]]="truskawki"),owoce5[[#This Row],[stan_truskawek]]-owoce5[[#This Row],[Ile_kilogramów_konfitury]],owoce5[[#This Row],[stan_truskawek]])</f>
        <v>109</v>
      </c>
      <c r="N6" s="4">
        <f>IF(OR(owoce5[[#This Row],[jaka_konfitura_pierwszy]]="porzeczki",owoce5[[#This Row],[jaka_konfitura_drugi]]="porzeczki"),owoce5[[#This Row],[stan_porzeczek]]-owoce5[[#This Row],[Ile_kilogramów_konfitury]],owoce5[[#This Row],[stan_porzeczek]])</f>
        <v>74</v>
      </c>
      <c r="P6" s="3" t="s">
        <v>33</v>
      </c>
      <c r="Q6" s="4">
        <v>35</v>
      </c>
    </row>
    <row r="7" spans="1:17" x14ac:dyDescent="0.25">
      <c r="A7" s="1">
        <v>43957</v>
      </c>
      <c r="B7">
        <v>294</v>
      </c>
      <c r="C7">
        <v>366</v>
      </c>
      <c r="D7">
        <v>99</v>
      </c>
      <c r="E7">
        <f>L6+owoce5[[#This Row],[rano_dostawa_malin]]</f>
        <v>294</v>
      </c>
      <c r="F7">
        <f>owoce5[[#This Row],[rano_dostawa_truskawek]]+M6</f>
        <v>475</v>
      </c>
      <c r="G7">
        <f>owoce5[[#This Row],[rano_dostawa_porzeczek]]+N6</f>
        <v>173</v>
      </c>
      <c r="H7" t="str" cm="1">
        <f t="array" ref="H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" t="str" cm="1">
        <f t="array" ref="I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7" t="str">
        <f>_xlfn.CONCAT(owoce5[[#This Row],[jaka_konfitura_pierwszy]],"-",owoce5[[#This Row],[jaka_konfitura_drugi]])</f>
        <v>truskawki-maliny</v>
      </c>
      <c r="K7" s="4">
        <f>LARGE(owoce5[[#This Row],[stan_malin]:[stan_porzeczek]],2)</f>
        <v>294</v>
      </c>
      <c r="L7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7" s="4">
        <f>IF(OR(owoce5[[#This Row],[jaka_konfitura_pierwszy]]="truskawki",owoce5[[#This Row],[jaka_konfitura_drugi]]="truskawki"),owoce5[[#This Row],[stan_truskawek]]-owoce5[[#This Row],[Ile_kilogramów_konfitury]],owoce5[[#This Row],[stan_truskawek]])</f>
        <v>181</v>
      </c>
      <c r="N7" s="4">
        <f>IF(OR(owoce5[[#This Row],[jaka_konfitura_pierwszy]]="porzeczki",owoce5[[#This Row],[jaka_konfitura_drugi]]="porzeczki"),owoce5[[#This Row],[stan_porzeczek]]-owoce5[[#This Row],[Ile_kilogramów_konfitury]],owoce5[[#This Row],[stan_porzeczek]])</f>
        <v>173</v>
      </c>
      <c r="P7" s="3" t="s">
        <v>34</v>
      </c>
      <c r="Q7" s="4">
        <v>22</v>
      </c>
    </row>
    <row r="8" spans="1:17" x14ac:dyDescent="0.25">
      <c r="A8" s="1">
        <v>43958</v>
      </c>
      <c r="B8">
        <v>389</v>
      </c>
      <c r="C8">
        <v>288</v>
      </c>
      <c r="D8">
        <v>87</v>
      </c>
      <c r="E8">
        <f>L7+owoce5[[#This Row],[rano_dostawa_malin]]</f>
        <v>389</v>
      </c>
      <c r="F8">
        <f>owoce5[[#This Row],[rano_dostawa_truskawek]]+M7</f>
        <v>469</v>
      </c>
      <c r="G8">
        <f>owoce5[[#This Row],[rano_dostawa_porzeczek]]+N7</f>
        <v>260</v>
      </c>
      <c r="H8" t="str" cm="1">
        <f t="array" ref="H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8" t="str" cm="1">
        <f t="array" ref="I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8" t="str">
        <f>_xlfn.CONCAT(owoce5[[#This Row],[jaka_konfitura_pierwszy]],"-",owoce5[[#This Row],[jaka_konfitura_drugi]])</f>
        <v>truskawki-maliny</v>
      </c>
      <c r="K8" s="4">
        <f>LARGE(owoce5[[#This Row],[stan_malin]:[stan_porzeczek]],2)</f>
        <v>389</v>
      </c>
      <c r="L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8" s="4">
        <f>IF(OR(owoce5[[#This Row],[jaka_konfitura_pierwszy]]="truskawki",owoce5[[#This Row],[jaka_konfitura_drugi]]="truskawki"),owoce5[[#This Row],[stan_truskawek]]-owoce5[[#This Row],[Ile_kilogramów_konfitury]],owoce5[[#This Row],[stan_truskawek]])</f>
        <v>80</v>
      </c>
      <c r="N8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260</v>
      </c>
      <c r="P8" s="3" t="s">
        <v>4</v>
      </c>
      <c r="Q8" s="4">
        <v>153</v>
      </c>
    </row>
    <row r="9" spans="1:17" x14ac:dyDescent="0.25">
      <c r="A9" s="1">
        <v>43959</v>
      </c>
      <c r="B9">
        <v>259</v>
      </c>
      <c r="C9">
        <v>361</v>
      </c>
      <c r="D9">
        <v>112</v>
      </c>
      <c r="E9">
        <f>L8+owoce5[[#This Row],[rano_dostawa_malin]]</f>
        <v>259</v>
      </c>
      <c r="F9">
        <f>owoce5[[#This Row],[rano_dostawa_truskawek]]+M8</f>
        <v>441</v>
      </c>
      <c r="G9">
        <f>owoce5[[#This Row],[rano_dostawa_porzeczek]]+N8</f>
        <v>372</v>
      </c>
      <c r="H9" t="str" cm="1">
        <f t="array" ref="H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9" t="str" cm="1">
        <f t="array" ref="I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" t="str">
        <f>_xlfn.CONCAT(owoce5[[#This Row],[jaka_konfitura_pierwszy]],"-",owoce5[[#This Row],[jaka_konfitura_drugi]])</f>
        <v>truskawki-porzeczki</v>
      </c>
      <c r="K9" s="4">
        <f>LARGE(owoce5[[#This Row],[stan_malin]:[stan_porzeczek]],2)</f>
        <v>372</v>
      </c>
      <c r="L9" s="4">
        <f>IF(OR(owoce5[[#This Row],[jaka_konfitura_pierwszy]]="maliny",owoce5[[#This Row],[jaka_konfitura_drugi]]="maliny"),owoce5[[#This Row],[stan_malin]]-owoce5[[#This Row],[Ile_kilogramów_konfitury]],owoce5[[#This Row],[stan_malin]])</f>
        <v>259</v>
      </c>
      <c r="M9" s="4">
        <f>IF(OR(owoce5[[#This Row],[jaka_konfitura_pierwszy]]="truskawki",owoce5[[#This Row],[jaka_konfitura_drugi]]="truskawki"),owoce5[[#This Row],[stan_truskawek]]-owoce5[[#This Row],[Ile_kilogramów_konfitury]],owoce5[[#This Row],[stan_truskawek]])</f>
        <v>69</v>
      </c>
      <c r="N9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  <c r="P9" s="6" t="s">
        <v>39</v>
      </c>
      <c r="Q9" s="5" t="s">
        <v>40</v>
      </c>
    </row>
    <row r="10" spans="1:17" x14ac:dyDescent="0.25">
      <c r="A10" s="1">
        <v>43960</v>
      </c>
      <c r="B10">
        <v>369</v>
      </c>
      <c r="C10">
        <v>233</v>
      </c>
      <c r="D10">
        <v>110</v>
      </c>
      <c r="E10">
        <f>L9+owoce5[[#This Row],[rano_dostawa_malin]]</f>
        <v>628</v>
      </c>
      <c r="F10">
        <f>owoce5[[#This Row],[rano_dostawa_truskawek]]+M9</f>
        <v>302</v>
      </c>
      <c r="G10">
        <f>owoce5[[#This Row],[rano_dostawa_porzeczek]]+N9</f>
        <v>110</v>
      </c>
      <c r="H10" t="str" cm="1">
        <f t="array" ref="H1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0" t="str" cm="1">
        <f t="array" ref="I1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0" t="str">
        <f>_xlfn.CONCAT(owoce5[[#This Row],[jaka_konfitura_pierwszy]],"-",owoce5[[#This Row],[jaka_konfitura_drugi]])</f>
        <v>maliny-truskawki</v>
      </c>
      <c r="K10" s="4">
        <f>LARGE(owoce5[[#This Row],[stan_malin]:[stan_porzeczek]],2)</f>
        <v>302</v>
      </c>
      <c r="L10" s="4">
        <f>IF(OR(owoce5[[#This Row],[jaka_konfitura_pierwszy]]="maliny",owoce5[[#This Row],[jaka_konfitura_drugi]]="maliny"),owoce5[[#This Row],[stan_malin]]-owoce5[[#This Row],[Ile_kilogramów_konfitury]],owoce5[[#This Row],[stan_malin]])</f>
        <v>326</v>
      </c>
      <c r="M10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0" s="4">
        <f>IF(OR(owoce5[[#This Row],[jaka_konfitura_pierwszy]]="porzeczki",owoce5[[#This Row],[jaka_konfitura_drugi]]="porzeczki"),owoce5[[#This Row],[stan_porzeczek]]-owoce5[[#This Row],[Ile_kilogramów_konfitury]],owoce5[[#This Row],[stan_porzeczek]])</f>
        <v>110</v>
      </c>
      <c r="P10" s="6" t="s">
        <v>36</v>
      </c>
      <c r="Q10" s="5">
        <f>SUM(GETPIVOTDATA("nazwa_konfitury",$P$1,"nazwa_konfitury","maliny-truskawki"),GETPIVOTDATA("nazwa_konfitury",$P$1,"nazwa_konfitury","truskawki-maliny"))</f>
        <v>72</v>
      </c>
    </row>
    <row r="11" spans="1:17" x14ac:dyDescent="0.25">
      <c r="A11" s="1">
        <v>43961</v>
      </c>
      <c r="B11">
        <v>263</v>
      </c>
      <c r="C11">
        <v>393</v>
      </c>
      <c r="D11">
        <v>75</v>
      </c>
      <c r="E11">
        <f>L10+owoce5[[#This Row],[rano_dostawa_malin]]</f>
        <v>589</v>
      </c>
      <c r="F11">
        <f>owoce5[[#This Row],[rano_dostawa_truskawek]]+M10</f>
        <v>393</v>
      </c>
      <c r="G11">
        <f>owoce5[[#This Row],[rano_dostawa_porzeczek]]+N10</f>
        <v>185</v>
      </c>
      <c r="H11" t="str" cm="1">
        <f t="array" ref="H1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" t="str" cm="1">
        <f t="array" ref="I1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" t="str">
        <f>_xlfn.CONCAT(owoce5[[#This Row],[jaka_konfitura_pierwszy]],"-",owoce5[[#This Row],[jaka_konfitura_drugi]])</f>
        <v>maliny-truskawki</v>
      </c>
      <c r="K11" s="4">
        <f>LARGE(owoce5[[#This Row],[stan_malin]:[stan_porzeczek]],2)</f>
        <v>393</v>
      </c>
      <c r="L11" s="4">
        <f>IF(OR(owoce5[[#This Row],[jaka_konfitura_pierwszy]]="maliny",owoce5[[#This Row],[jaka_konfitura_drugi]]="maliny"),owoce5[[#This Row],[stan_malin]]-owoce5[[#This Row],[Ile_kilogramów_konfitury]],owoce5[[#This Row],[stan_malin]])</f>
        <v>196</v>
      </c>
      <c r="M11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" s="4">
        <f>IF(OR(owoce5[[#This Row],[jaka_konfitura_pierwszy]]="porzeczki",owoce5[[#This Row],[jaka_konfitura_drugi]]="porzeczki"),owoce5[[#This Row],[stan_porzeczek]]-owoce5[[#This Row],[Ile_kilogramów_konfitury]],owoce5[[#This Row],[stan_porzeczek]])</f>
        <v>185</v>
      </c>
      <c r="P11" s="5" t="s">
        <v>37</v>
      </c>
      <c r="Q11" s="5">
        <f>SUM(GETPIVOTDATA("nazwa_konfitury",$P$1,"nazwa_konfitury","maliny-porzeczki"),GETPIVOTDATA("nazwa_konfitury",$P$1,"nazwa_konfitury","porzeczki-maliny"))</f>
        <v>41</v>
      </c>
    </row>
    <row r="12" spans="1:17" x14ac:dyDescent="0.25">
      <c r="A12" s="1">
        <v>43962</v>
      </c>
      <c r="B12">
        <v>239</v>
      </c>
      <c r="C12">
        <v>347</v>
      </c>
      <c r="D12">
        <v>94</v>
      </c>
      <c r="E12">
        <f>L11+owoce5[[#This Row],[rano_dostawa_malin]]</f>
        <v>435</v>
      </c>
      <c r="F12">
        <f>owoce5[[#This Row],[rano_dostawa_truskawek]]+M11</f>
        <v>347</v>
      </c>
      <c r="G12">
        <f>owoce5[[#This Row],[rano_dostawa_porzeczek]]+N11</f>
        <v>279</v>
      </c>
      <c r="H12" t="str" cm="1">
        <f t="array" ref="H1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" t="str" cm="1">
        <f t="array" ref="I1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2" t="str">
        <f>_xlfn.CONCAT(owoce5[[#This Row],[jaka_konfitura_pierwszy]],"-",owoce5[[#This Row],[jaka_konfitura_drugi]])</f>
        <v>maliny-truskawki</v>
      </c>
      <c r="K12" s="4">
        <f>LARGE(owoce5[[#This Row],[stan_malin]:[stan_porzeczek]],2)</f>
        <v>347</v>
      </c>
      <c r="L12" s="4">
        <f>IF(OR(owoce5[[#This Row],[jaka_konfitura_pierwszy]]="maliny",owoce5[[#This Row],[jaka_konfitura_drugi]]="maliny"),owoce5[[#This Row],[stan_malin]]-owoce5[[#This Row],[Ile_kilogramów_konfitury]],owoce5[[#This Row],[stan_malin]])</f>
        <v>88</v>
      </c>
      <c r="M1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2" s="4">
        <f>IF(OR(owoce5[[#This Row],[jaka_konfitura_pierwszy]]="porzeczki",owoce5[[#This Row],[jaka_konfitura_drugi]]="porzeczki"),owoce5[[#This Row],[stan_porzeczek]]-owoce5[[#This Row],[Ile_kilogramów_konfitury]],owoce5[[#This Row],[stan_porzeczek]])</f>
        <v>279</v>
      </c>
      <c r="P12" s="5" t="s">
        <v>38</v>
      </c>
      <c r="Q12" s="5">
        <f>SUM(GETPIVOTDATA("nazwa_konfitury",$P$1,"nazwa_konfitury","truskawki-porzeczki"),GETPIVOTDATA("nazwa_konfitury",$P$1,"nazwa_konfitury","porzeczki-truskawki"))</f>
        <v>40</v>
      </c>
    </row>
    <row r="13" spans="1:17" x14ac:dyDescent="0.25">
      <c r="A13" s="1">
        <v>43963</v>
      </c>
      <c r="B13">
        <v>282</v>
      </c>
      <c r="C13">
        <v>338</v>
      </c>
      <c r="D13">
        <v>86</v>
      </c>
      <c r="E13">
        <f>L12+owoce5[[#This Row],[rano_dostawa_malin]]</f>
        <v>370</v>
      </c>
      <c r="F13">
        <f>owoce5[[#This Row],[rano_dostawa_truskawek]]+M12</f>
        <v>338</v>
      </c>
      <c r="G13">
        <f>owoce5[[#This Row],[rano_dostawa_porzeczek]]+N12</f>
        <v>365</v>
      </c>
      <c r="H13" t="str" cm="1">
        <f t="array" ref="H1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3" t="str" cm="1">
        <f t="array" ref="I1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3" t="str">
        <f>_xlfn.CONCAT(owoce5[[#This Row],[jaka_konfitura_pierwszy]],"-",owoce5[[#This Row],[jaka_konfitura_drugi]])</f>
        <v>maliny-porzeczki</v>
      </c>
      <c r="K13" s="4">
        <f>LARGE(owoce5[[#This Row],[stan_malin]:[stan_porzeczek]],2)</f>
        <v>365</v>
      </c>
      <c r="L13" s="4">
        <f>IF(OR(owoce5[[#This Row],[jaka_konfitura_pierwszy]]="maliny",owoce5[[#This Row],[jaka_konfitura_drugi]]="maliny"),owoce5[[#This Row],[stan_malin]]-owoce5[[#This Row],[Ile_kilogramów_konfitury]],owoce5[[#This Row],[stan_malin]])</f>
        <v>5</v>
      </c>
      <c r="M13" s="4">
        <f>IF(OR(owoce5[[#This Row],[jaka_konfitura_pierwszy]]="truskawki",owoce5[[#This Row],[jaka_konfitura_drugi]]="truskawki"),owoce5[[#This Row],[stan_truskawek]]-owoce5[[#This Row],[Ile_kilogramów_konfitury]],owoce5[[#This Row],[stan_truskawek]])</f>
        <v>338</v>
      </c>
      <c r="N1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4" spans="1:17" x14ac:dyDescent="0.25">
      <c r="A14" s="1">
        <v>43964</v>
      </c>
      <c r="B14">
        <v>306</v>
      </c>
      <c r="C14">
        <v>273</v>
      </c>
      <c r="D14">
        <v>75</v>
      </c>
      <c r="E14">
        <f>L13+owoce5[[#This Row],[rano_dostawa_malin]]</f>
        <v>311</v>
      </c>
      <c r="F14">
        <f>owoce5[[#This Row],[rano_dostawa_truskawek]]+M13</f>
        <v>611</v>
      </c>
      <c r="G14">
        <f>owoce5[[#This Row],[rano_dostawa_porzeczek]]+N13</f>
        <v>75</v>
      </c>
      <c r="H14" t="str" cm="1">
        <f t="array" ref="H1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4" t="str" cm="1">
        <f t="array" ref="I1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4" t="str">
        <f>_xlfn.CONCAT(owoce5[[#This Row],[jaka_konfitura_pierwszy]],"-",owoce5[[#This Row],[jaka_konfitura_drugi]])</f>
        <v>truskawki-maliny</v>
      </c>
      <c r="K14" s="4">
        <f>LARGE(owoce5[[#This Row],[stan_malin]:[stan_porzeczek]],2)</f>
        <v>311</v>
      </c>
      <c r="L1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4" s="4">
        <f>IF(OR(owoce5[[#This Row],[jaka_konfitura_pierwszy]]="truskawki",owoce5[[#This Row],[jaka_konfitura_drugi]]="truskawki"),owoce5[[#This Row],[stan_truskawek]]-owoce5[[#This Row],[Ile_kilogramów_konfitury]],owoce5[[#This Row],[stan_truskawek]])</f>
        <v>300</v>
      </c>
      <c r="N14" s="4">
        <f>IF(OR(owoce5[[#This Row],[jaka_konfitura_pierwszy]]="porzeczki",owoce5[[#This Row],[jaka_konfitura_drugi]]="porzeczki"),owoce5[[#This Row],[stan_porzeczek]]-owoce5[[#This Row],[Ile_kilogramów_konfitury]],owoce5[[#This Row],[stan_porzeczek]])</f>
        <v>75</v>
      </c>
    </row>
    <row r="15" spans="1:17" x14ac:dyDescent="0.25">
      <c r="A15" s="1">
        <v>43965</v>
      </c>
      <c r="B15">
        <v>251</v>
      </c>
      <c r="C15">
        <v>325</v>
      </c>
      <c r="D15">
        <v>89</v>
      </c>
      <c r="E15">
        <f>L14+owoce5[[#This Row],[rano_dostawa_malin]]</f>
        <v>251</v>
      </c>
      <c r="F15">
        <f>owoce5[[#This Row],[rano_dostawa_truskawek]]+M14</f>
        <v>625</v>
      </c>
      <c r="G15">
        <f>owoce5[[#This Row],[rano_dostawa_porzeczek]]+N14</f>
        <v>164</v>
      </c>
      <c r="H15" t="str" cm="1">
        <f t="array" ref="H1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5" t="str" cm="1">
        <f t="array" ref="I1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5" t="str">
        <f>_xlfn.CONCAT(owoce5[[#This Row],[jaka_konfitura_pierwszy]],"-",owoce5[[#This Row],[jaka_konfitura_drugi]])</f>
        <v>truskawki-maliny</v>
      </c>
      <c r="K15" s="4">
        <f>LARGE(owoce5[[#This Row],[stan_malin]:[stan_porzeczek]],2)</f>
        <v>251</v>
      </c>
      <c r="L15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5" s="4">
        <f>IF(OR(owoce5[[#This Row],[jaka_konfitura_pierwszy]]="truskawki",owoce5[[#This Row],[jaka_konfitura_drugi]]="truskawki"),owoce5[[#This Row],[stan_truskawek]]-owoce5[[#This Row],[Ile_kilogramów_konfitury]],owoce5[[#This Row],[stan_truskawek]])</f>
        <v>374</v>
      </c>
      <c r="N15" s="4">
        <f>IF(OR(owoce5[[#This Row],[jaka_konfitura_pierwszy]]="porzeczki",owoce5[[#This Row],[jaka_konfitura_drugi]]="porzeczki"),owoce5[[#This Row],[stan_porzeczek]]-owoce5[[#This Row],[Ile_kilogramów_konfitury]],owoce5[[#This Row],[stan_porzeczek]])</f>
        <v>164</v>
      </c>
    </row>
    <row r="16" spans="1:17" x14ac:dyDescent="0.25">
      <c r="A16" s="1">
        <v>43966</v>
      </c>
      <c r="B16">
        <v>224</v>
      </c>
      <c r="C16">
        <v>352</v>
      </c>
      <c r="D16">
        <v>97</v>
      </c>
      <c r="E16">
        <f>L15+owoce5[[#This Row],[rano_dostawa_malin]]</f>
        <v>224</v>
      </c>
      <c r="F16">
        <f>owoce5[[#This Row],[rano_dostawa_truskawek]]+M15</f>
        <v>726</v>
      </c>
      <c r="G16">
        <f>owoce5[[#This Row],[rano_dostawa_porzeczek]]+N15</f>
        <v>261</v>
      </c>
      <c r="H16" t="str" cm="1">
        <f t="array" ref="H1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6" t="str" cm="1">
        <f t="array" ref="I1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6" t="str">
        <f>_xlfn.CONCAT(owoce5[[#This Row],[jaka_konfitura_pierwszy]],"-",owoce5[[#This Row],[jaka_konfitura_drugi]])</f>
        <v>truskawki-porzeczki</v>
      </c>
      <c r="K16" s="4">
        <f>LARGE(owoce5[[#This Row],[stan_malin]:[stan_porzeczek]],2)</f>
        <v>261</v>
      </c>
      <c r="L16" s="4">
        <f>IF(OR(owoce5[[#This Row],[jaka_konfitura_pierwszy]]="maliny",owoce5[[#This Row],[jaka_konfitura_drugi]]="maliny"),owoce5[[#This Row],[stan_malin]]-owoce5[[#This Row],[Ile_kilogramów_konfitury]],owoce5[[#This Row],[stan_malin]])</f>
        <v>224</v>
      </c>
      <c r="M16" s="4">
        <f>IF(OR(owoce5[[#This Row],[jaka_konfitura_pierwszy]]="truskawki",owoce5[[#This Row],[jaka_konfitura_drugi]]="truskawki"),owoce5[[#This Row],[stan_truskawek]]-owoce5[[#This Row],[Ile_kilogramów_konfitury]],owoce5[[#This Row],[stan_truskawek]])</f>
        <v>465</v>
      </c>
      <c r="N16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7" spans="1:14" x14ac:dyDescent="0.25">
      <c r="A17" s="1">
        <v>43967</v>
      </c>
      <c r="B17">
        <v>233</v>
      </c>
      <c r="C17">
        <v>270</v>
      </c>
      <c r="D17">
        <v>94</v>
      </c>
      <c r="E17">
        <f>L16+owoce5[[#This Row],[rano_dostawa_malin]]</f>
        <v>457</v>
      </c>
      <c r="F17">
        <f>owoce5[[#This Row],[rano_dostawa_truskawek]]+M16</f>
        <v>735</v>
      </c>
      <c r="G17">
        <f>owoce5[[#This Row],[rano_dostawa_porzeczek]]+N16</f>
        <v>94</v>
      </c>
      <c r="H17" t="str" cm="1">
        <f t="array" ref="H1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7" t="str" cm="1">
        <f t="array" ref="I1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7" t="str">
        <f>_xlfn.CONCAT(owoce5[[#This Row],[jaka_konfitura_pierwszy]],"-",owoce5[[#This Row],[jaka_konfitura_drugi]])</f>
        <v>truskawki-maliny</v>
      </c>
      <c r="K17" s="4">
        <f>LARGE(owoce5[[#This Row],[stan_malin]:[stan_porzeczek]],2)</f>
        <v>457</v>
      </c>
      <c r="L17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7" s="4">
        <f>IF(OR(owoce5[[#This Row],[jaka_konfitura_pierwszy]]="truskawki",owoce5[[#This Row],[jaka_konfitura_drugi]]="truskawki"),owoce5[[#This Row],[stan_truskawek]]-owoce5[[#This Row],[Ile_kilogramów_konfitury]],owoce5[[#This Row],[stan_truskawek]])</f>
        <v>278</v>
      </c>
      <c r="N17" s="4">
        <f>IF(OR(owoce5[[#This Row],[jaka_konfitura_pierwszy]]="porzeczki",owoce5[[#This Row],[jaka_konfitura_drugi]]="porzeczki"),owoce5[[#This Row],[stan_porzeczek]]-owoce5[[#This Row],[Ile_kilogramów_konfitury]],owoce5[[#This Row],[stan_porzeczek]])</f>
        <v>94</v>
      </c>
    </row>
    <row r="18" spans="1:14" x14ac:dyDescent="0.25">
      <c r="A18" s="1">
        <v>43968</v>
      </c>
      <c r="B18">
        <v>345</v>
      </c>
      <c r="C18">
        <v>275</v>
      </c>
      <c r="D18">
        <v>90</v>
      </c>
      <c r="E18">
        <f>L17+owoce5[[#This Row],[rano_dostawa_malin]]</f>
        <v>345</v>
      </c>
      <c r="F18">
        <f>owoce5[[#This Row],[rano_dostawa_truskawek]]+M17</f>
        <v>553</v>
      </c>
      <c r="G18">
        <f>owoce5[[#This Row],[rano_dostawa_porzeczek]]+N17</f>
        <v>184</v>
      </c>
      <c r="H18" t="str" cm="1">
        <f t="array" ref="H1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8" t="str" cm="1">
        <f t="array" ref="I1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8" t="str">
        <f>_xlfn.CONCAT(owoce5[[#This Row],[jaka_konfitura_pierwszy]],"-",owoce5[[#This Row],[jaka_konfitura_drugi]])</f>
        <v>truskawki-maliny</v>
      </c>
      <c r="K18" s="4">
        <f>LARGE(owoce5[[#This Row],[stan_malin]:[stan_porzeczek]],2)</f>
        <v>345</v>
      </c>
      <c r="L1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8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208</v>
      </c>
      <c r="N18" s="4">
        <f>IF(OR(owoce5[[#This Row],[jaka_konfitura_pierwszy]]="porzeczki",owoce5[[#This Row],[jaka_konfitura_drugi]]="porzeczki"),owoce5[[#This Row],[stan_porzeczek]]-owoce5[[#This Row],[Ile_kilogramów_konfitury]],owoce5[[#This Row],[stan_porzeczek]])</f>
        <v>184</v>
      </c>
    </row>
    <row r="19" spans="1:14" x14ac:dyDescent="0.25">
      <c r="A19" s="1">
        <v>43969</v>
      </c>
      <c r="B19">
        <v>232</v>
      </c>
      <c r="C19">
        <v>228</v>
      </c>
      <c r="D19">
        <v>107</v>
      </c>
      <c r="E19">
        <f>L18+owoce5[[#This Row],[rano_dostawa_malin]]</f>
        <v>232</v>
      </c>
      <c r="F19">
        <f>owoce5[[#This Row],[rano_dostawa_truskawek]]+M18</f>
        <v>436</v>
      </c>
      <c r="G19">
        <f>owoce5[[#This Row],[rano_dostawa_porzeczek]]+N18</f>
        <v>291</v>
      </c>
      <c r="H19" t="str" cm="1">
        <f t="array" ref="H1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9" t="str" cm="1">
        <f t="array" ref="I1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9" t="str">
        <f>_xlfn.CONCAT(owoce5[[#This Row],[jaka_konfitura_pierwszy]],"-",owoce5[[#This Row],[jaka_konfitura_drugi]])</f>
        <v>truskawki-porzeczki</v>
      </c>
      <c r="K19" s="4">
        <f>LARGE(owoce5[[#This Row],[stan_malin]:[stan_porzeczek]],2)</f>
        <v>291</v>
      </c>
      <c r="L19" s="4">
        <f>IF(OR(owoce5[[#This Row],[jaka_konfitura_pierwszy]]="maliny",owoce5[[#This Row],[jaka_konfitura_drugi]]="maliny"),owoce5[[#This Row],[stan_malin]]-owoce5[[#This Row],[Ile_kilogramów_konfitury]],owoce5[[#This Row],[stan_malin]])</f>
        <v>232</v>
      </c>
      <c r="M19" s="4">
        <f>IF(OR(owoce5[[#This Row],[jaka_konfitura_pierwszy]]="truskawki",owoce5[[#This Row],[jaka_konfitura_drugi]]="truskawki"),owoce5[[#This Row],[stan_truskawek]]-owoce5[[#This Row],[Ile_kilogramów_konfitury]],owoce5[[#This Row],[stan_truskawek]])</f>
        <v>145</v>
      </c>
      <c r="N19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20" spans="1:14" x14ac:dyDescent="0.25">
      <c r="A20" s="1">
        <v>43970</v>
      </c>
      <c r="B20">
        <v>238</v>
      </c>
      <c r="C20">
        <v>394</v>
      </c>
      <c r="D20">
        <v>105</v>
      </c>
      <c r="E20">
        <f>L19+owoce5[[#This Row],[rano_dostawa_malin]]</f>
        <v>470</v>
      </c>
      <c r="F20">
        <f>owoce5[[#This Row],[rano_dostawa_truskawek]]+M19</f>
        <v>539</v>
      </c>
      <c r="G20">
        <f>owoce5[[#This Row],[rano_dostawa_porzeczek]]+N19</f>
        <v>105</v>
      </c>
      <c r="H20" t="str" cm="1">
        <f t="array" ref="H2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20" t="str" cm="1">
        <f t="array" ref="I2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20" t="str">
        <f>_xlfn.CONCAT(owoce5[[#This Row],[jaka_konfitura_pierwszy]],"-",owoce5[[#This Row],[jaka_konfitura_drugi]])</f>
        <v>truskawki-maliny</v>
      </c>
      <c r="K20" s="4">
        <f>LARGE(owoce5[[#This Row],[stan_malin]:[stan_porzeczek]],2)</f>
        <v>470</v>
      </c>
      <c r="L20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20" s="4">
        <f>IF(OR(owoce5[[#This Row],[jaka_konfitura_pierwszy]]="truskawki",owoce5[[#This Row],[jaka_konfitura_drugi]]="truskawki"),owoce5[[#This Row],[stan_truskawek]]-owoce5[[#This Row],[Ile_kilogramów_konfitury]],owoce5[[#This Row],[stan_truskawek]])</f>
        <v>69</v>
      </c>
      <c r="N20" s="4">
        <f>IF(OR(owoce5[[#This Row],[jaka_konfitura_pierwszy]]="porzeczki",owoce5[[#This Row],[jaka_konfitura_drugi]]="porzeczki"),owoce5[[#This Row],[stan_porzeczek]]-owoce5[[#This Row],[Ile_kilogramów_konfitury]],owoce5[[#This Row],[stan_porzeczek]])</f>
        <v>105</v>
      </c>
    </row>
    <row r="21" spans="1:14" x14ac:dyDescent="0.25">
      <c r="A21" s="1">
        <v>43971</v>
      </c>
      <c r="B21">
        <v>378</v>
      </c>
      <c r="C21">
        <v>311</v>
      </c>
      <c r="D21">
        <v>110</v>
      </c>
      <c r="E21">
        <f>L20+owoce5[[#This Row],[rano_dostawa_malin]]</f>
        <v>378</v>
      </c>
      <c r="F21">
        <f>owoce5[[#This Row],[rano_dostawa_truskawek]]+M20</f>
        <v>380</v>
      </c>
      <c r="G21">
        <f>owoce5[[#This Row],[rano_dostawa_porzeczek]]+N20</f>
        <v>215</v>
      </c>
      <c r="H21" t="str" cm="1">
        <f t="array" ref="H2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21" t="str" cm="1">
        <f t="array" ref="I2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21" t="str">
        <f>_xlfn.CONCAT(owoce5[[#This Row],[jaka_konfitura_pierwszy]],"-",owoce5[[#This Row],[jaka_konfitura_drugi]])</f>
        <v>truskawki-maliny</v>
      </c>
      <c r="K21" s="4">
        <f>LARGE(owoce5[[#This Row],[stan_malin]:[stan_porzeczek]],2)</f>
        <v>378</v>
      </c>
      <c r="L2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21" s="4">
        <f>IF(OR(owoce5[[#This Row],[jaka_konfitura_pierwszy]]="truskawki",owoce5[[#This Row],[jaka_konfitura_drugi]]="truskawki"),owoce5[[#This Row],[stan_truskawek]]-owoce5[[#This Row],[Ile_kilogramów_konfitury]],owoce5[[#This Row],[stan_truskawek]])</f>
        <v>2</v>
      </c>
      <c r="N21" s="4">
        <f>IF(OR(owoce5[[#This Row],[jaka_konfitura_pierwszy]]="porzeczki",owoce5[[#This Row],[jaka_konfitura_drugi]]="porzeczki"),owoce5[[#This Row],[stan_porzeczek]]-owoce5[[#This Row],[Ile_kilogramów_konfitury]],owoce5[[#This Row],[stan_porzeczek]])</f>
        <v>215</v>
      </c>
    </row>
    <row r="22" spans="1:14" x14ac:dyDescent="0.25">
      <c r="A22" s="1">
        <v>43972</v>
      </c>
      <c r="B22">
        <v>281</v>
      </c>
      <c r="C22">
        <v>354</v>
      </c>
      <c r="D22">
        <v>121</v>
      </c>
      <c r="E22">
        <f>L21+owoce5[[#This Row],[rano_dostawa_malin]]</f>
        <v>281</v>
      </c>
      <c r="F22">
        <f>owoce5[[#This Row],[rano_dostawa_truskawek]]+M21</f>
        <v>356</v>
      </c>
      <c r="G22">
        <f>owoce5[[#This Row],[rano_dostawa_porzeczek]]+N21</f>
        <v>336</v>
      </c>
      <c r="H22" t="str" cm="1">
        <f t="array" ref="H2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22" t="str" cm="1">
        <f t="array" ref="I2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22" t="str">
        <f>_xlfn.CONCAT(owoce5[[#This Row],[jaka_konfitura_pierwszy]],"-",owoce5[[#This Row],[jaka_konfitura_drugi]])</f>
        <v>truskawki-porzeczki</v>
      </c>
      <c r="K22" s="4">
        <f>LARGE(owoce5[[#This Row],[stan_malin]:[stan_porzeczek]],2)</f>
        <v>336</v>
      </c>
      <c r="L22" s="4">
        <f>IF(OR(owoce5[[#This Row],[jaka_konfitura_pierwszy]]="maliny",owoce5[[#This Row],[jaka_konfitura_drugi]]="maliny"),owoce5[[#This Row],[stan_malin]]-owoce5[[#This Row],[Ile_kilogramów_konfitury]],owoce5[[#This Row],[stan_malin]])</f>
        <v>281</v>
      </c>
      <c r="M22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</v>
      </c>
      <c r="N22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23" spans="1:14" x14ac:dyDescent="0.25">
      <c r="A23" s="1">
        <v>43973</v>
      </c>
      <c r="B23">
        <v>390</v>
      </c>
      <c r="C23">
        <v>267</v>
      </c>
      <c r="D23">
        <v>124</v>
      </c>
      <c r="E23">
        <f>L22+owoce5[[#This Row],[rano_dostawa_malin]]</f>
        <v>671</v>
      </c>
      <c r="F23">
        <f>owoce5[[#This Row],[rano_dostawa_truskawek]]+M22</f>
        <v>287</v>
      </c>
      <c r="G23">
        <f>owoce5[[#This Row],[rano_dostawa_porzeczek]]+N22</f>
        <v>124</v>
      </c>
      <c r="H23" t="str" cm="1">
        <f t="array" ref="H2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23" t="str" cm="1">
        <f t="array" ref="I2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23" t="str">
        <f>_xlfn.CONCAT(owoce5[[#This Row],[jaka_konfitura_pierwszy]],"-",owoce5[[#This Row],[jaka_konfitura_drugi]])</f>
        <v>maliny-truskawki</v>
      </c>
      <c r="K23" s="4">
        <f>LARGE(owoce5[[#This Row],[stan_malin]:[stan_porzeczek]],2)</f>
        <v>287</v>
      </c>
      <c r="L23" s="4">
        <f>IF(OR(owoce5[[#This Row],[jaka_konfitura_pierwszy]]="maliny",owoce5[[#This Row],[jaka_konfitura_drugi]]="maliny"),owoce5[[#This Row],[stan_malin]]-owoce5[[#This Row],[Ile_kilogramów_konfitury]],owoce5[[#This Row],[stan_malin]])</f>
        <v>384</v>
      </c>
      <c r="M2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23" s="4">
        <f>IF(OR(owoce5[[#This Row],[jaka_konfitura_pierwszy]]="porzeczki",owoce5[[#This Row],[jaka_konfitura_drugi]]="porzeczki"),owoce5[[#This Row],[stan_porzeczek]]-owoce5[[#This Row],[Ile_kilogramów_konfitury]],owoce5[[#This Row],[stan_porzeczek]])</f>
        <v>124</v>
      </c>
    </row>
    <row r="24" spans="1:14" x14ac:dyDescent="0.25">
      <c r="A24" s="1">
        <v>43974</v>
      </c>
      <c r="B24">
        <v>308</v>
      </c>
      <c r="C24">
        <v>337</v>
      </c>
      <c r="D24">
        <v>105</v>
      </c>
      <c r="E24">
        <f>L23+owoce5[[#This Row],[rano_dostawa_malin]]</f>
        <v>692</v>
      </c>
      <c r="F24">
        <f>owoce5[[#This Row],[rano_dostawa_truskawek]]+M23</f>
        <v>337</v>
      </c>
      <c r="G24">
        <f>owoce5[[#This Row],[rano_dostawa_porzeczek]]+N23</f>
        <v>229</v>
      </c>
      <c r="H24" t="str" cm="1">
        <f t="array" ref="H2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24" t="str" cm="1">
        <f t="array" ref="I2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24" t="str">
        <f>_xlfn.CONCAT(owoce5[[#This Row],[jaka_konfitura_pierwszy]],"-",owoce5[[#This Row],[jaka_konfitura_drugi]])</f>
        <v>maliny-truskawki</v>
      </c>
      <c r="K24" s="4">
        <f>LARGE(owoce5[[#This Row],[stan_malin]:[stan_porzeczek]],2)</f>
        <v>337</v>
      </c>
      <c r="L24" s="4">
        <f>IF(OR(owoce5[[#This Row],[jaka_konfitura_pierwszy]]="maliny",owoce5[[#This Row],[jaka_konfitura_drugi]]="maliny"),owoce5[[#This Row],[stan_malin]]-owoce5[[#This Row],[Ile_kilogramów_konfitury]],owoce5[[#This Row],[stan_malin]])</f>
        <v>355</v>
      </c>
      <c r="M2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2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229</v>
      </c>
    </row>
    <row r="25" spans="1:14" x14ac:dyDescent="0.25">
      <c r="A25" s="1">
        <v>43975</v>
      </c>
      <c r="B25">
        <v>391</v>
      </c>
      <c r="C25">
        <v>238</v>
      </c>
      <c r="D25">
        <v>113</v>
      </c>
      <c r="E25">
        <f>L24+owoce5[[#This Row],[rano_dostawa_malin]]</f>
        <v>746</v>
      </c>
      <c r="F25">
        <f>owoce5[[#This Row],[rano_dostawa_truskawek]]+M24</f>
        <v>238</v>
      </c>
      <c r="G25">
        <f>owoce5[[#This Row],[rano_dostawa_porzeczek]]+N24</f>
        <v>342</v>
      </c>
      <c r="H25" t="str" cm="1">
        <f t="array" ref="H2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25" t="str" cm="1">
        <f t="array" ref="I2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25" t="str">
        <f>_xlfn.CONCAT(owoce5[[#This Row],[jaka_konfitura_pierwszy]],"-",owoce5[[#This Row],[jaka_konfitura_drugi]])</f>
        <v>maliny-porzeczki</v>
      </c>
      <c r="K25" s="4">
        <f>LARGE(owoce5[[#This Row],[stan_malin]:[stan_porzeczek]],2)</f>
        <v>342</v>
      </c>
      <c r="L25" s="4">
        <f>IF(OR(owoce5[[#This Row],[jaka_konfitura_pierwszy]]="maliny",owoce5[[#This Row],[jaka_konfitura_drugi]]="maliny"),owoce5[[#This Row],[stan_malin]]-owoce5[[#This Row],[Ile_kilogramów_konfitury]],owoce5[[#This Row],[stan_malin]])</f>
        <v>404</v>
      </c>
      <c r="M2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238</v>
      </c>
      <c r="N2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26" spans="1:14" x14ac:dyDescent="0.25">
      <c r="A26" s="1">
        <v>43976</v>
      </c>
      <c r="B26">
        <v>241</v>
      </c>
      <c r="C26">
        <v>283</v>
      </c>
      <c r="D26">
        <v>140</v>
      </c>
      <c r="E26">
        <f>L25+owoce5[[#This Row],[rano_dostawa_malin]]</f>
        <v>645</v>
      </c>
      <c r="F26">
        <f>owoce5[[#This Row],[rano_dostawa_truskawek]]+M25</f>
        <v>521</v>
      </c>
      <c r="G26">
        <f>owoce5[[#This Row],[rano_dostawa_porzeczek]]+N25</f>
        <v>140</v>
      </c>
      <c r="H26" t="str" cm="1">
        <f t="array" ref="H2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26" t="str" cm="1">
        <f t="array" ref="I2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26" t="str">
        <f>_xlfn.CONCAT(owoce5[[#This Row],[jaka_konfitura_pierwszy]],"-",owoce5[[#This Row],[jaka_konfitura_drugi]])</f>
        <v>maliny-truskawki</v>
      </c>
      <c r="K26" s="4">
        <f>LARGE(owoce5[[#This Row],[stan_malin]:[stan_porzeczek]],2)</f>
        <v>521</v>
      </c>
      <c r="L26" s="4">
        <f>IF(OR(owoce5[[#This Row],[jaka_konfitura_pierwszy]]="maliny",owoce5[[#This Row],[jaka_konfitura_drugi]]="maliny"),owoce5[[#This Row],[stan_malin]]-owoce5[[#This Row],[Ile_kilogramów_konfitury]],owoce5[[#This Row],[stan_malin]])</f>
        <v>124</v>
      </c>
      <c r="M26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26" s="4">
        <f>IF(OR(owoce5[[#This Row],[jaka_konfitura_pierwszy]]="porzeczki",owoce5[[#This Row],[jaka_konfitura_drugi]]="porzeczki"),owoce5[[#This Row],[stan_porzeczek]]-owoce5[[#This Row],[Ile_kilogramów_konfitury]],owoce5[[#This Row],[stan_porzeczek]])</f>
        <v>140</v>
      </c>
    </row>
    <row r="27" spans="1:14" x14ac:dyDescent="0.25">
      <c r="A27" s="1">
        <v>43977</v>
      </c>
      <c r="B27">
        <v>249</v>
      </c>
      <c r="C27">
        <v>275</v>
      </c>
      <c r="D27">
        <v>118</v>
      </c>
      <c r="E27">
        <f>L26+owoce5[[#This Row],[rano_dostawa_malin]]</f>
        <v>373</v>
      </c>
      <c r="F27">
        <f>owoce5[[#This Row],[rano_dostawa_truskawek]]+M26</f>
        <v>275</v>
      </c>
      <c r="G27">
        <f>owoce5[[#This Row],[rano_dostawa_porzeczek]]+N26</f>
        <v>258</v>
      </c>
      <c r="H27" t="str" cm="1">
        <f t="array" ref="H2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27" t="str" cm="1">
        <f t="array" ref="I2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27" t="str">
        <f>_xlfn.CONCAT(owoce5[[#This Row],[jaka_konfitura_pierwszy]],"-",owoce5[[#This Row],[jaka_konfitura_drugi]])</f>
        <v>maliny-truskawki</v>
      </c>
      <c r="K27" s="4">
        <f>LARGE(owoce5[[#This Row],[stan_malin]:[stan_porzeczek]],2)</f>
        <v>275</v>
      </c>
      <c r="L27" s="4">
        <f>IF(OR(owoce5[[#This Row],[jaka_konfitura_pierwszy]]="maliny",owoce5[[#This Row],[jaka_konfitura_drugi]]="maliny"),owoce5[[#This Row],[stan_malin]]-owoce5[[#This Row],[Ile_kilogramów_konfitury]],owoce5[[#This Row],[stan_malin]])</f>
        <v>98</v>
      </c>
      <c r="M27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27" s="4">
        <f>IF(OR(owoce5[[#This Row],[jaka_konfitura_pierwszy]]="porzeczki",owoce5[[#This Row],[jaka_konfitura_drugi]]="porzeczki"),owoce5[[#This Row],[stan_porzeczek]]-owoce5[[#This Row],[Ile_kilogramów_konfitury]],owoce5[[#This Row],[stan_porzeczek]])</f>
        <v>258</v>
      </c>
    </row>
    <row r="28" spans="1:14" x14ac:dyDescent="0.25">
      <c r="A28" s="1">
        <v>43978</v>
      </c>
      <c r="B28">
        <v>298</v>
      </c>
      <c r="C28">
        <v>263</v>
      </c>
      <c r="D28">
        <v>145</v>
      </c>
      <c r="E28">
        <f>L27+owoce5[[#This Row],[rano_dostawa_malin]]</f>
        <v>396</v>
      </c>
      <c r="F28">
        <f>owoce5[[#This Row],[rano_dostawa_truskawek]]+M27</f>
        <v>263</v>
      </c>
      <c r="G28">
        <f>owoce5[[#This Row],[rano_dostawa_porzeczek]]+N27</f>
        <v>403</v>
      </c>
      <c r="H28" t="str" cm="1">
        <f t="array" ref="H2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28" t="str" cm="1">
        <f t="array" ref="I2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28" t="str">
        <f>_xlfn.CONCAT(owoce5[[#This Row],[jaka_konfitura_pierwszy]],"-",owoce5[[#This Row],[jaka_konfitura_drugi]])</f>
        <v>porzeczki-maliny</v>
      </c>
      <c r="K28" s="4">
        <f>LARGE(owoce5[[#This Row],[stan_malin]:[stan_porzeczek]],2)</f>
        <v>396</v>
      </c>
      <c r="L2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28" s="4">
        <f>IF(OR(owoce5[[#This Row],[jaka_konfitura_pierwszy]]="truskawki",owoce5[[#This Row],[jaka_konfitura_drugi]]="truskawki"),owoce5[[#This Row],[stan_truskawek]]-owoce5[[#This Row],[Ile_kilogramów_konfitury]],owoce5[[#This Row],[stan_truskawek]])</f>
        <v>263</v>
      </c>
      <c r="N28" s="4">
        <f>IF(OR(owoce5[[#This Row],[jaka_konfitura_pierwszy]]="porzeczki",owoce5[[#This Row],[jaka_konfitura_drugi]]="porzeczki"),owoce5[[#This Row],[stan_porzeczek]]-owoce5[[#This Row],[Ile_kilogramów_konfitury]],owoce5[[#This Row],[stan_porzeczek]])</f>
        <v>7</v>
      </c>
    </row>
    <row r="29" spans="1:14" x14ac:dyDescent="0.25">
      <c r="A29" s="1">
        <v>43979</v>
      </c>
      <c r="B29">
        <v>254</v>
      </c>
      <c r="C29">
        <v>241</v>
      </c>
      <c r="D29">
        <v>149</v>
      </c>
      <c r="E29">
        <f>L28+owoce5[[#This Row],[rano_dostawa_malin]]</f>
        <v>254</v>
      </c>
      <c r="F29">
        <f>owoce5[[#This Row],[rano_dostawa_truskawek]]+M28</f>
        <v>504</v>
      </c>
      <c r="G29">
        <f>owoce5[[#This Row],[rano_dostawa_porzeczek]]+N28</f>
        <v>156</v>
      </c>
      <c r="H29" t="str" cm="1">
        <f t="array" ref="H2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29" t="str" cm="1">
        <f t="array" ref="I2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29" t="str">
        <f>_xlfn.CONCAT(owoce5[[#This Row],[jaka_konfitura_pierwszy]],"-",owoce5[[#This Row],[jaka_konfitura_drugi]])</f>
        <v>truskawki-maliny</v>
      </c>
      <c r="K29" s="4">
        <f>LARGE(owoce5[[#This Row],[stan_malin]:[stan_porzeczek]],2)</f>
        <v>254</v>
      </c>
      <c r="L29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29" s="4">
        <f>IF(OR(owoce5[[#This Row],[jaka_konfitura_pierwszy]]="truskawki",owoce5[[#This Row],[jaka_konfitura_drugi]]="truskawki"),owoce5[[#This Row],[stan_truskawek]]-owoce5[[#This Row],[Ile_kilogramów_konfitury]],owoce5[[#This Row],[stan_truskawek]])</f>
        <v>250</v>
      </c>
      <c r="N29" s="4">
        <f>IF(OR(owoce5[[#This Row],[jaka_konfitura_pierwszy]]="porzeczki",owoce5[[#This Row],[jaka_konfitura_drugi]]="porzeczki"),owoce5[[#This Row],[stan_porzeczek]]-owoce5[[#This Row],[Ile_kilogramów_konfitury]],owoce5[[#This Row],[stan_porzeczek]])</f>
        <v>156</v>
      </c>
    </row>
    <row r="30" spans="1:14" x14ac:dyDescent="0.25">
      <c r="A30" s="1">
        <v>43980</v>
      </c>
      <c r="B30">
        <v>329</v>
      </c>
      <c r="C30">
        <v>323</v>
      </c>
      <c r="D30">
        <v>134</v>
      </c>
      <c r="E30">
        <f>L29+owoce5[[#This Row],[rano_dostawa_malin]]</f>
        <v>329</v>
      </c>
      <c r="F30">
        <f>owoce5[[#This Row],[rano_dostawa_truskawek]]+M29</f>
        <v>573</v>
      </c>
      <c r="G30">
        <f>owoce5[[#This Row],[rano_dostawa_porzeczek]]+N29</f>
        <v>290</v>
      </c>
      <c r="H30" t="str" cm="1">
        <f t="array" ref="H3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30" t="str" cm="1">
        <f t="array" ref="I3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30" t="str">
        <f>_xlfn.CONCAT(owoce5[[#This Row],[jaka_konfitura_pierwszy]],"-",owoce5[[#This Row],[jaka_konfitura_drugi]])</f>
        <v>truskawki-maliny</v>
      </c>
      <c r="K30" s="4">
        <f>LARGE(owoce5[[#This Row],[stan_malin]:[stan_porzeczek]],2)</f>
        <v>329</v>
      </c>
      <c r="L30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30" s="4">
        <f>IF(OR(owoce5[[#This Row],[jaka_konfitura_pierwszy]]="truskawki",owoce5[[#This Row],[jaka_konfitura_drugi]]="truskawki"),owoce5[[#This Row],[stan_truskawek]]-owoce5[[#This Row],[Ile_kilogramów_konfitury]],owoce5[[#This Row],[stan_truskawek]])</f>
        <v>244</v>
      </c>
      <c r="N30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290</v>
      </c>
    </row>
    <row r="31" spans="1:14" x14ac:dyDescent="0.25">
      <c r="A31" s="1">
        <v>43981</v>
      </c>
      <c r="B31">
        <v>213</v>
      </c>
      <c r="C31">
        <v>221</v>
      </c>
      <c r="D31">
        <v>119</v>
      </c>
      <c r="E31">
        <f>L30+owoce5[[#This Row],[rano_dostawa_malin]]</f>
        <v>213</v>
      </c>
      <c r="F31">
        <f>owoce5[[#This Row],[rano_dostawa_truskawek]]+M30</f>
        <v>465</v>
      </c>
      <c r="G31">
        <f>owoce5[[#This Row],[rano_dostawa_porzeczek]]+N30</f>
        <v>409</v>
      </c>
      <c r="H31" t="str" cm="1">
        <f t="array" ref="H3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31" t="str" cm="1">
        <f t="array" ref="I3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31" t="str">
        <f>_xlfn.CONCAT(owoce5[[#This Row],[jaka_konfitura_pierwszy]],"-",owoce5[[#This Row],[jaka_konfitura_drugi]])</f>
        <v>truskawki-porzeczki</v>
      </c>
      <c r="K31" s="4">
        <f>LARGE(owoce5[[#This Row],[stan_malin]:[stan_porzeczek]],2)</f>
        <v>409</v>
      </c>
      <c r="L31" s="4">
        <f>IF(OR(owoce5[[#This Row],[jaka_konfitura_pierwszy]]="maliny",owoce5[[#This Row],[jaka_konfitura_drugi]]="maliny"),owoce5[[#This Row],[stan_malin]]-owoce5[[#This Row],[Ile_kilogramów_konfitury]],owoce5[[#This Row],[stan_malin]])</f>
        <v>213</v>
      </c>
      <c r="M31" s="4">
        <f>IF(OR(owoce5[[#This Row],[jaka_konfitura_pierwszy]]="truskawki",owoce5[[#This Row],[jaka_konfitura_drugi]]="truskawki"),owoce5[[#This Row],[stan_truskawek]]-owoce5[[#This Row],[Ile_kilogramów_konfitury]],owoce5[[#This Row],[stan_truskawek]])</f>
        <v>56</v>
      </c>
      <c r="N31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32" spans="1:14" x14ac:dyDescent="0.25">
      <c r="A32" s="1">
        <v>43982</v>
      </c>
      <c r="B32">
        <v>294</v>
      </c>
      <c r="C32">
        <v>326</v>
      </c>
      <c r="D32">
        <v>145</v>
      </c>
      <c r="E32">
        <f>L31+owoce5[[#This Row],[rano_dostawa_malin]]</f>
        <v>507</v>
      </c>
      <c r="F32">
        <f>owoce5[[#This Row],[rano_dostawa_truskawek]]+M31</f>
        <v>382</v>
      </c>
      <c r="G32">
        <f>owoce5[[#This Row],[rano_dostawa_porzeczek]]+N31</f>
        <v>145</v>
      </c>
      <c r="H32" t="str" cm="1">
        <f t="array" ref="H3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2" t="str" cm="1">
        <f t="array" ref="I3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32" t="str">
        <f>_xlfn.CONCAT(owoce5[[#This Row],[jaka_konfitura_pierwszy]],"-",owoce5[[#This Row],[jaka_konfitura_drugi]])</f>
        <v>maliny-truskawki</v>
      </c>
      <c r="K32" s="4">
        <f>LARGE(owoce5[[#This Row],[stan_malin]:[stan_porzeczek]],2)</f>
        <v>382</v>
      </c>
      <c r="L32" s="4">
        <f>IF(OR(owoce5[[#This Row],[jaka_konfitura_pierwszy]]="maliny",owoce5[[#This Row],[jaka_konfitura_drugi]]="maliny"),owoce5[[#This Row],[stan_malin]]-owoce5[[#This Row],[Ile_kilogramów_konfitury]],owoce5[[#This Row],[stan_malin]])</f>
        <v>125</v>
      </c>
      <c r="M3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32" s="4">
        <f>IF(OR(owoce5[[#This Row],[jaka_konfitura_pierwszy]]="porzeczki",owoce5[[#This Row],[jaka_konfitura_drugi]]="porzeczki"),owoce5[[#This Row],[stan_porzeczek]]-owoce5[[#This Row],[Ile_kilogramów_konfitury]],owoce5[[#This Row],[stan_porzeczek]])</f>
        <v>145</v>
      </c>
    </row>
    <row r="33" spans="1:14" x14ac:dyDescent="0.25">
      <c r="A33" s="1">
        <v>43983</v>
      </c>
      <c r="B33">
        <v>225</v>
      </c>
      <c r="C33">
        <v>206</v>
      </c>
      <c r="D33">
        <v>122</v>
      </c>
      <c r="E33">
        <f>L32+owoce5[[#This Row],[rano_dostawa_malin]]</f>
        <v>350</v>
      </c>
      <c r="F33">
        <f>owoce5[[#This Row],[rano_dostawa_truskawek]]+M32</f>
        <v>206</v>
      </c>
      <c r="G33">
        <f>owoce5[[#This Row],[rano_dostawa_porzeczek]]+N32</f>
        <v>267</v>
      </c>
      <c r="H33" t="str" cm="1">
        <f t="array" ref="H3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3" t="str" cm="1">
        <f t="array" ref="I3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33" t="str">
        <f>_xlfn.CONCAT(owoce5[[#This Row],[jaka_konfitura_pierwszy]],"-",owoce5[[#This Row],[jaka_konfitura_drugi]])</f>
        <v>maliny-porzeczki</v>
      </c>
      <c r="K33" s="4">
        <f>LARGE(owoce5[[#This Row],[stan_malin]:[stan_porzeczek]],2)</f>
        <v>267</v>
      </c>
      <c r="L33" s="4">
        <f>IF(OR(owoce5[[#This Row],[jaka_konfitura_pierwszy]]="maliny",owoce5[[#This Row],[jaka_konfitura_drugi]]="maliny"),owoce5[[#This Row],[stan_malin]]-owoce5[[#This Row],[Ile_kilogramów_konfitury]],owoce5[[#This Row],[stan_malin]])</f>
        <v>83</v>
      </c>
      <c r="M33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206</v>
      </c>
      <c r="N3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34" spans="1:14" x14ac:dyDescent="0.25">
      <c r="A34" s="1">
        <v>43984</v>
      </c>
      <c r="B34">
        <v>264</v>
      </c>
      <c r="C34">
        <v>355</v>
      </c>
      <c r="D34">
        <v>134</v>
      </c>
      <c r="E34">
        <f>L33+owoce5[[#This Row],[rano_dostawa_malin]]</f>
        <v>347</v>
      </c>
      <c r="F34">
        <f>owoce5[[#This Row],[rano_dostawa_truskawek]]+M33</f>
        <v>561</v>
      </c>
      <c r="G34">
        <f>owoce5[[#This Row],[rano_dostawa_porzeczek]]+N33</f>
        <v>134</v>
      </c>
      <c r="H34" t="str" cm="1">
        <f t="array" ref="H3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34" t="str" cm="1">
        <f t="array" ref="I3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34" t="str">
        <f>_xlfn.CONCAT(owoce5[[#This Row],[jaka_konfitura_pierwszy]],"-",owoce5[[#This Row],[jaka_konfitura_drugi]])</f>
        <v>truskawki-maliny</v>
      </c>
      <c r="K34" s="4">
        <f>LARGE(owoce5[[#This Row],[stan_malin]:[stan_porzeczek]],2)</f>
        <v>347</v>
      </c>
      <c r="L3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34" s="4">
        <f>IF(OR(owoce5[[#This Row],[jaka_konfitura_pierwszy]]="truskawki",owoce5[[#This Row],[jaka_konfitura_drugi]]="truskawki"),owoce5[[#This Row],[stan_truskawek]]-owoce5[[#This Row],[Ile_kilogramów_konfitury]],owoce5[[#This Row],[stan_truskawek]])</f>
        <v>214</v>
      </c>
      <c r="N34" s="4">
        <f>IF(OR(owoce5[[#This Row],[jaka_konfitura_pierwszy]]="porzeczki",owoce5[[#This Row],[jaka_konfitura_drugi]]="porzeczki"),owoce5[[#This Row],[stan_porzeczek]]-owoce5[[#This Row],[Ile_kilogramów_konfitury]],owoce5[[#This Row],[stan_porzeczek]])</f>
        <v>134</v>
      </c>
    </row>
    <row r="35" spans="1:14" x14ac:dyDescent="0.25">
      <c r="A35" s="1">
        <v>43985</v>
      </c>
      <c r="B35">
        <v>253</v>
      </c>
      <c r="C35">
        <v>271</v>
      </c>
      <c r="D35">
        <v>142</v>
      </c>
      <c r="E35">
        <f>L34+owoce5[[#This Row],[rano_dostawa_malin]]</f>
        <v>253</v>
      </c>
      <c r="F35">
        <f>owoce5[[#This Row],[rano_dostawa_truskawek]]+M34</f>
        <v>485</v>
      </c>
      <c r="G35">
        <f>owoce5[[#This Row],[rano_dostawa_porzeczek]]+N34</f>
        <v>276</v>
      </c>
      <c r="H35" t="str" cm="1">
        <f t="array" ref="H3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35" t="str" cm="1">
        <f t="array" ref="I3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35" t="str">
        <f>_xlfn.CONCAT(owoce5[[#This Row],[jaka_konfitura_pierwszy]],"-",owoce5[[#This Row],[jaka_konfitura_drugi]])</f>
        <v>truskawki-porzeczki</v>
      </c>
      <c r="K35" s="4">
        <f>LARGE(owoce5[[#This Row],[stan_malin]:[stan_porzeczek]],2)</f>
        <v>276</v>
      </c>
      <c r="L35" s="4">
        <f>IF(OR(owoce5[[#This Row],[jaka_konfitura_pierwszy]]="maliny",owoce5[[#This Row],[jaka_konfitura_drugi]]="maliny"),owoce5[[#This Row],[stan_malin]]-owoce5[[#This Row],[Ile_kilogramów_konfitury]],owoce5[[#This Row],[stan_malin]])</f>
        <v>253</v>
      </c>
      <c r="M3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209</v>
      </c>
      <c r="N3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36" spans="1:14" x14ac:dyDescent="0.25">
      <c r="A36" s="1">
        <v>43986</v>
      </c>
      <c r="B36">
        <v>352</v>
      </c>
      <c r="C36">
        <v>207</v>
      </c>
      <c r="D36">
        <v>125</v>
      </c>
      <c r="E36">
        <f>L35+owoce5[[#This Row],[rano_dostawa_malin]]</f>
        <v>605</v>
      </c>
      <c r="F36">
        <f>owoce5[[#This Row],[rano_dostawa_truskawek]]+M35</f>
        <v>416</v>
      </c>
      <c r="G36">
        <f>owoce5[[#This Row],[rano_dostawa_porzeczek]]+N35</f>
        <v>125</v>
      </c>
      <c r="H36" t="str" cm="1">
        <f t="array" ref="H3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6" t="str" cm="1">
        <f t="array" ref="I3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36" t="str">
        <f>_xlfn.CONCAT(owoce5[[#This Row],[jaka_konfitura_pierwszy]],"-",owoce5[[#This Row],[jaka_konfitura_drugi]])</f>
        <v>maliny-truskawki</v>
      </c>
      <c r="K36" s="4">
        <f>LARGE(owoce5[[#This Row],[stan_malin]:[stan_porzeczek]],2)</f>
        <v>416</v>
      </c>
      <c r="L36" s="4">
        <f>IF(OR(owoce5[[#This Row],[jaka_konfitura_pierwszy]]="maliny",owoce5[[#This Row],[jaka_konfitura_drugi]]="maliny"),owoce5[[#This Row],[stan_malin]]-owoce5[[#This Row],[Ile_kilogramów_konfitury]],owoce5[[#This Row],[stan_malin]])</f>
        <v>189</v>
      </c>
      <c r="M36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36" s="4">
        <f>IF(OR(owoce5[[#This Row],[jaka_konfitura_pierwszy]]="porzeczki",owoce5[[#This Row],[jaka_konfitura_drugi]]="porzeczki"),owoce5[[#This Row],[stan_porzeczek]]-owoce5[[#This Row],[Ile_kilogramów_konfitury]],owoce5[[#This Row],[stan_porzeczek]])</f>
        <v>125</v>
      </c>
    </row>
    <row r="37" spans="1:14" x14ac:dyDescent="0.25">
      <c r="A37" s="1">
        <v>43987</v>
      </c>
      <c r="B37">
        <v>269</v>
      </c>
      <c r="C37">
        <v>248</v>
      </c>
      <c r="D37">
        <v>137</v>
      </c>
      <c r="E37">
        <f>L36+owoce5[[#This Row],[rano_dostawa_malin]]</f>
        <v>458</v>
      </c>
      <c r="F37">
        <f>owoce5[[#This Row],[rano_dostawa_truskawek]]+M36</f>
        <v>248</v>
      </c>
      <c r="G37">
        <f>owoce5[[#This Row],[rano_dostawa_porzeczek]]+N36</f>
        <v>262</v>
      </c>
      <c r="H37" t="str" cm="1">
        <f t="array" ref="H3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7" t="str" cm="1">
        <f t="array" ref="I3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37" t="str">
        <f>_xlfn.CONCAT(owoce5[[#This Row],[jaka_konfitura_pierwszy]],"-",owoce5[[#This Row],[jaka_konfitura_drugi]])</f>
        <v>maliny-porzeczki</v>
      </c>
      <c r="K37" s="4">
        <f>LARGE(owoce5[[#This Row],[stan_malin]:[stan_porzeczek]],2)</f>
        <v>262</v>
      </c>
      <c r="L37" s="4">
        <f>IF(OR(owoce5[[#This Row],[jaka_konfitura_pierwszy]]="maliny",owoce5[[#This Row],[jaka_konfitura_drugi]]="maliny"),owoce5[[#This Row],[stan_malin]]-owoce5[[#This Row],[Ile_kilogramów_konfitury]],owoce5[[#This Row],[stan_malin]])</f>
        <v>196</v>
      </c>
      <c r="M37" s="4">
        <f>IF(OR(owoce5[[#This Row],[jaka_konfitura_pierwszy]]="truskawki",owoce5[[#This Row],[jaka_konfitura_drugi]]="truskawki"),owoce5[[#This Row],[stan_truskawek]]-owoce5[[#This Row],[Ile_kilogramów_konfitury]],owoce5[[#This Row],[stan_truskawek]])</f>
        <v>248</v>
      </c>
      <c r="N3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38" spans="1:14" x14ac:dyDescent="0.25">
      <c r="A38" s="1">
        <v>43988</v>
      </c>
      <c r="B38">
        <v>242</v>
      </c>
      <c r="C38">
        <v>247</v>
      </c>
      <c r="D38">
        <v>125</v>
      </c>
      <c r="E38">
        <f>L37+owoce5[[#This Row],[rano_dostawa_malin]]</f>
        <v>438</v>
      </c>
      <c r="F38">
        <f>owoce5[[#This Row],[rano_dostawa_truskawek]]+M37</f>
        <v>495</v>
      </c>
      <c r="G38">
        <f>owoce5[[#This Row],[rano_dostawa_porzeczek]]+N37</f>
        <v>125</v>
      </c>
      <c r="H38" t="str" cm="1">
        <f t="array" ref="H3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38" t="str" cm="1">
        <f t="array" ref="I3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38" t="str">
        <f>_xlfn.CONCAT(owoce5[[#This Row],[jaka_konfitura_pierwszy]],"-",owoce5[[#This Row],[jaka_konfitura_drugi]])</f>
        <v>truskawki-maliny</v>
      </c>
      <c r="K38" s="4">
        <f>LARGE(owoce5[[#This Row],[stan_malin]:[stan_porzeczek]],2)</f>
        <v>438</v>
      </c>
      <c r="L3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38" s="4">
        <f>IF(OR(owoce5[[#This Row],[jaka_konfitura_pierwszy]]="truskawki",owoce5[[#This Row],[jaka_konfitura_drugi]]="truskawki"),owoce5[[#This Row],[stan_truskawek]]-owoce5[[#This Row],[Ile_kilogramów_konfitury]],owoce5[[#This Row],[stan_truskawek]])</f>
        <v>57</v>
      </c>
      <c r="N38" s="4">
        <f>IF(OR(owoce5[[#This Row],[jaka_konfitura_pierwszy]]="porzeczki",owoce5[[#This Row],[jaka_konfitura_drugi]]="porzeczki"),owoce5[[#This Row],[stan_porzeczek]]-owoce5[[#This Row],[Ile_kilogramów_konfitury]],owoce5[[#This Row],[stan_porzeczek]])</f>
        <v>125</v>
      </c>
    </row>
    <row r="39" spans="1:14" x14ac:dyDescent="0.25">
      <c r="A39" s="1">
        <v>43989</v>
      </c>
      <c r="B39">
        <v>327</v>
      </c>
      <c r="C39">
        <v>262</v>
      </c>
      <c r="D39">
        <v>103</v>
      </c>
      <c r="E39">
        <f>L38+owoce5[[#This Row],[rano_dostawa_malin]]</f>
        <v>327</v>
      </c>
      <c r="F39">
        <f>owoce5[[#This Row],[rano_dostawa_truskawek]]+M38</f>
        <v>319</v>
      </c>
      <c r="G39">
        <f>owoce5[[#This Row],[rano_dostawa_porzeczek]]+N38</f>
        <v>228</v>
      </c>
      <c r="H39" t="str" cm="1">
        <f t="array" ref="H3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39" t="str" cm="1">
        <f t="array" ref="I3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39" t="str">
        <f>_xlfn.CONCAT(owoce5[[#This Row],[jaka_konfitura_pierwszy]],"-",owoce5[[#This Row],[jaka_konfitura_drugi]])</f>
        <v>maliny-truskawki</v>
      </c>
      <c r="K39" s="4">
        <f>LARGE(owoce5[[#This Row],[stan_malin]:[stan_porzeczek]],2)</f>
        <v>319</v>
      </c>
      <c r="L39" s="4">
        <f>IF(OR(owoce5[[#This Row],[jaka_konfitura_pierwszy]]="maliny",owoce5[[#This Row],[jaka_konfitura_drugi]]="maliny"),owoce5[[#This Row],[stan_malin]]-owoce5[[#This Row],[Ile_kilogramów_konfitury]],owoce5[[#This Row],[stan_malin]])</f>
        <v>8</v>
      </c>
      <c r="M3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39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228</v>
      </c>
    </row>
    <row r="40" spans="1:14" x14ac:dyDescent="0.25">
      <c r="A40" s="1">
        <v>43990</v>
      </c>
      <c r="B40">
        <v>316</v>
      </c>
      <c r="C40">
        <v>253</v>
      </c>
      <c r="D40">
        <v>134</v>
      </c>
      <c r="E40">
        <f>L39+owoce5[[#This Row],[rano_dostawa_malin]]</f>
        <v>324</v>
      </c>
      <c r="F40">
        <f>owoce5[[#This Row],[rano_dostawa_truskawek]]+M39</f>
        <v>253</v>
      </c>
      <c r="G40">
        <f>owoce5[[#This Row],[rano_dostawa_porzeczek]]+N39</f>
        <v>362</v>
      </c>
      <c r="H40" t="str" cm="1">
        <f t="array" ref="H4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40" t="str" cm="1">
        <f t="array" ref="I4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40" t="str">
        <f>_xlfn.CONCAT(owoce5[[#This Row],[jaka_konfitura_pierwszy]],"-",owoce5[[#This Row],[jaka_konfitura_drugi]])</f>
        <v>porzeczki-maliny</v>
      </c>
      <c r="K40" s="4">
        <f>LARGE(owoce5[[#This Row],[stan_malin]:[stan_porzeczek]],2)</f>
        <v>324</v>
      </c>
      <c r="L40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40" s="4">
        <f>IF(OR(owoce5[[#This Row],[jaka_konfitura_pierwszy]]="truskawki",owoce5[[#This Row],[jaka_konfitura_drugi]]="truskawki"),owoce5[[#This Row],[stan_truskawek]]-owoce5[[#This Row],[Ile_kilogramów_konfitury]],owoce5[[#This Row],[stan_truskawek]])</f>
        <v>253</v>
      </c>
      <c r="N40" s="4">
        <f>IF(OR(owoce5[[#This Row],[jaka_konfitura_pierwszy]]="porzeczki",owoce5[[#This Row],[jaka_konfitura_drugi]]="porzeczki"),owoce5[[#This Row],[stan_porzeczek]]-owoce5[[#This Row],[Ile_kilogramów_konfitury]],owoce5[[#This Row],[stan_porzeczek]])</f>
        <v>38</v>
      </c>
    </row>
    <row r="41" spans="1:14" x14ac:dyDescent="0.25">
      <c r="A41" s="1">
        <v>43991</v>
      </c>
      <c r="B41">
        <v>294</v>
      </c>
      <c r="C41">
        <v>249</v>
      </c>
      <c r="D41">
        <v>137</v>
      </c>
      <c r="E41">
        <f>L40+owoce5[[#This Row],[rano_dostawa_malin]]</f>
        <v>294</v>
      </c>
      <c r="F41">
        <f>owoce5[[#This Row],[rano_dostawa_truskawek]]+M40</f>
        <v>502</v>
      </c>
      <c r="G41">
        <f>owoce5[[#This Row],[rano_dostawa_porzeczek]]+N40</f>
        <v>175</v>
      </c>
      <c r="H41" t="str" cm="1">
        <f t="array" ref="H4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41" t="str" cm="1">
        <f t="array" ref="I4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41" t="str">
        <f>_xlfn.CONCAT(owoce5[[#This Row],[jaka_konfitura_pierwszy]],"-",owoce5[[#This Row],[jaka_konfitura_drugi]])</f>
        <v>truskawki-maliny</v>
      </c>
      <c r="K41" s="4">
        <f>LARGE(owoce5[[#This Row],[stan_malin]:[stan_porzeczek]],2)</f>
        <v>294</v>
      </c>
      <c r="L4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41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208</v>
      </c>
      <c r="N41" s="4">
        <f>IF(OR(owoce5[[#This Row],[jaka_konfitura_pierwszy]]="porzeczki",owoce5[[#This Row],[jaka_konfitura_drugi]]="porzeczki"),owoce5[[#This Row],[stan_porzeczek]]-owoce5[[#This Row],[Ile_kilogramów_konfitury]],owoce5[[#This Row],[stan_porzeczek]])</f>
        <v>175</v>
      </c>
    </row>
    <row r="42" spans="1:14" x14ac:dyDescent="0.25">
      <c r="A42" s="1">
        <v>43992</v>
      </c>
      <c r="B42">
        <v>270</v>
      </c>
      <c r="C42">
        <v>206</v>
      </c>
      <c r="D42">
        <v>146</v>
      </c>
      <c r="E42">
        <f>L41+owoce5[[#This Row],[rano_dostawa_malin]]</f>
        <v>270</v>
      </c>
      <c r="F42">
        <f>owoce5[[#This Row],[rano_dostawa_truskawek]]+M41</f>
        <v>414</v>
      </c>
      <c r="G42">
        <f>owoce5[[#This Row],[rano_dostawa_porzeczek]]+N41</f>
        <v>321</v>
      </c>
      <c r="H42" t="str" cm="1">
        <f t="array" ref="H4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42" t="str" cm="1">
        <f t="array" ref="I4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42" t="str">
        <f>_xlfn.CONCAT(owoce5[[#This Row],[jaka_konfitura_pierwszy]],"-",owoce5[[#This Row],[jaka_konfitura_drugi]])</f>
        <v>truskawki-porzeczki</v>
      </c>
      <c r="K42" s="4">
        <f>LARGE(owoce5[[#This Row],[stan_malin]:[stan_porzeczek]],2)</f>
        <v>321</v>
      </c>
      <c r="L42" s="4">
        <f>IF(OR(owoce5[[#This Row],[jaka_konfitura_pierwszy]]="maliny",owoce5[[#This Row],[jaka_konfitura_drugi]]="maliny"),owoce5[[#This Row],[stan_malin]]-owoce5[[#This Row],[Ile_kilogramów_konfitury]],owoce5[[#This Row],[stan_malin]])</f>
        <v>270</v>
      </c>
      <c r="M42" s="4">
        <f>IF(OR(owoce5[[#This Row],[jaka_konfitura_pierwszy]]="truskawki",owoce5[[#This Row],[jaka_konfitura_drugi]]="truskawki"),owoce5[[#This Row],[stan_truskawek]]-owoce5[[#This Row],[Ile_kilogramów_konfitury]],owoce5[[#This Row],[stan_truskawek]])</f>
        <v>93</v>
      </c>
      <c r="N42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43" spans="1:14" x14ac:dyDescent="0.25">
      <c r="A43" s="1">
        <v>43993</v>
      </c>
      <c r="B43">
        <v>349</v>
      </c>
      <c r="C43">
        <v>301</v>
      </c>
      <c r="D43">
        <v>138</v>
      </c>
      <c r="E43">
        <f>L42+owoce5[[#This Row],[rano_dostawa_malin]]</f>
        <v>619</v>
      </c>
      <c r="F43">
        <f>owoce5[[#This Row],[rano_dostawa_truskawek]]+M42</f>
        <v>394</v>
      </c>
      <c r="G43">
        <f>owoce5[[#This Row],[rano_dostawa_porzeczek]]+N42</f>
        <v>138</v>
      </c>
      <c r="H43" t="str" cm="1">
        <f t="array" ref="H4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43" t="str" cm="1">
        <f t="array" ref="I4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43" t="str">
        <f>_xlfn.CONCAT(owoce5[[#This Row],[jaka_konfitura_pierwszy]],"-",owoce5[[#This Row],[jaka_konfitura_drugi]])</f>
        <v>maliny-truskawki</v>
      </c>
      <c r="K43" s="4">
        <f>LARGE(owoce5[[#This Row],[stan_malin]:[stan_porzeczek]],2)</f>
        <v>394</v>
      </c>
      <c r="L43" s="4">
        <f>IF(OR(owoce5[[#This Row],[jaka_konfitura_pierwszy]]="maliny",owoce5[[#This Row],[jaka_konfitura_drugi]]="maliny"),owoce5[[#This Row],[stan_malin]]-owoce5[[#This Row],[Ile_kilogramów_konfitury]],owoce5[[#This Row],[stan_malin]])</f>
        <v>225</v>
      </c>
      <c r="M4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43" s="4">
        <f>IF(OR(owoce5[[#This Row],[jaka_konfitura_pierwszy]]="porzeczki",owoce5[[#This Row],[jaka_konfitura_drugi]]="porzeczki"),owoce5[[#This Row],[stan_porzeczek]]-owoce5[[#This Row],[Ile_kilogramów_konfitury]],owoce5[[#This Row],[stan_porzeczek]])</f>
        <v>138</v>
      </c>
    </row>
    <row r="44" spans="1:14" x14ac:dyDescent="0.25">
      <c r="A44" s="1">
        <v>43994</v>
      </c>
      <c r="B44">
        <v>224</v>
      </c>
      <c r="C44">
        <v>385</v>
      </c>
      <c r="D44">
        <v>138</v>
      </c>
      <c r="E44">
        <f>L43+owoce5[[#This Row],[rano_dostawa_malin]]</f>
        <v>449</v>
      </c>
      <c r="F44">
        <f>owoce5[[#This Row],[rano_dostawa_truskawek]]+M43</f>
        <v>385</v>
      </c>
      <c r="G44">
        <f>owoce5[[#This Row],[rano_dostawa_porzeczek]]+N43</f>
        <v>276</v>
      </c>
      <c r="H44" t="str" cm="1">
        <f t="array" ref="H4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44" t="str" cm="1">
        <f t="array" ref="I4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44" t="str">
        <f>_xlfn.CONCAT(owoce5[[#This Row],[jaka_konfitura_pierwszy]],"-",owoce5[[#This Row],[jaka_konfitura_drugi]])</f>
        <v>maliny-truskawki</v>
      </c>
      <c r="K44" s="4">
        <f>LARGE(owoce5[[#This Row],[stan_malin]:[stan_porzeczek]],2)</f>
        <v>385</v>
      </c>
      <c r="L44" s="4">
        <f>IF(OR(owoce5[[#This Row],[jaka_konfitura_pierwszy]]="maliny",owoce5[[#This Row],[jaka_konfitura_drugi]]="maliny"),owoce5[[#This Row],[stan_malin]]-owoce5[[#This Row],[Ile_kilogramów_konfitury]],owoce5[[#This Row],[stan_malin]])</f>
        <v>64</v>
      </c>
      <c r="M4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4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276</v>
      </c>
    </row>
    <row r="45" spans="1:14" x14ac:dyDescent="0.25">
      <c r="A45" s="1">
        <v>43995</v>
      </c>
      <c r="B45">
        <v>309</v>
      </c>
      <c r="C45">
        <v>204</v>
      </c>
      <c r="D45">
        <v>140</v>
      </c>
      <c r="E45">
        <f>L44+owoce5[[#This Row],[rano_dostawa_malin]]</f>
        <v>373</v>
      </c>
      <c r="F45">
        <f>owoce5[[#This Row],[rano_dostawa_truskawek]]+M44</f>
        <v>204</v>
      </c>
      <c r="G45">
        <f>owoce5[[#This Row],[rano_dostawa_porzeczek]]+N44</f>
        <v>416</v>
      </c>
      <c r="H45" t="str" cm="1">
        <f t="array" ref="H4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45" t="str" cm="1">
        <f t="array" ref="I4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45" t="str">
        <f>_xlfn.CONCAT(owoce5[[#This Row],[jaka_konfitura_pierwszy]],"-",owoce5[[#This Row],[jaka_konfitura_drugi]])</f>
        <v>porzeczki-maliny</v>
      </c>
      <c r="K45" s="4">
        <f>LARGE(owoce5[[#This Row],[stan_malin]:[stan_porzeczek]],2)</f>
        <v>373</v>
      </c>
      <c r="L45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4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204</v>
      </c>
      <c r="N45" s="4">
        <f>IF(OR(owoce5[[#This Row],[jaka_konfitura_pierwszy]]="porzeczki",owoce5[[#This Row],[jaka_konfitura_drugi]]="porzeczki"),owoce5[[#This Row],[stan_porzeczek]]-owoce5[[#This Row],[Ile_kilogramów_konfitury]],owoce5[[#This Row],[stan_porzeczek]])</f>
        <v>43</v>
      </c>
    </row>
    <row r="46" spans="1:14" x14ac:dyDescent="0.25">
      <c r="A46" s="1">
        <v>43996</v>
      </c>
      <c r="B46">
        <v>246</v>
      </c>
      <c r="C46">
        <v>275</v>
      </c>
      <c r="D46">
        <v>130</v>
      </c>
      <c r="E46">
        <f>L45+owoce5[[#This Row],[rano_dostawa_malin]]</f>
        <v>246</v>
      </c>
      <c r="F46">
        <f>owoce5[[#This Row],[rano_dostawa_truskawek]]+M45</f>
        <v>479</v>
      </c>
      <c r="G46">
        <f>owoce5[[#This Row],[rano_dostawa_porzeczek]]+N45</f>
        <v>173</v>
      </c>
      <c r="H46" t="str" cm="1">
        <f t="array" ref="H4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46" t="str" cm="1">
        <f t="array" ref="I4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46" t="str">
        <f>_xlfn.CONCAT(owoce5[[#This Row],[jaka_konfitura_pierwszy]],"-",owoce5[[#This Row],[jaka_konfitura_drugi]])</f>
        <v>truskawki-maliny</v>
      </c>
      <c r="K46" s="4">
        <f>LARGE(owoce5[[#This Row],[stan_malin]:[stan_porzeczek]],2)</f>
        <v>246</v>
      </c>
      <c r="L46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46" s="4">
        <f>IF(OR(owoce5[[#This Row],[jaka_konfitura_pierwszy]]="truskawki",owoce5[[#This Row],[jaka_konfitura_drugi]]="truskawki"),owoce5[[#This Row],[stan_truskawek]]-owoce5[[#This Row],[Ile_kilogramów_konfitury]],owoce5[[#This Row],[stan_truskawek]])</f>
        <v>233</v>
      </c>
      <c r="N46" s="4">
        <f>IF(OR(owoce5[[#This Row],[jaka_konfitura_pierwszy]]="porzeczki",owoce5[[#This Row],[jaka_konfitura_drugi]]="porzeczki"),owoce5[[#This Row],[stan_porzeczek]]-owoce5[[#This Row],[Ile_kilogramów_konfitury]],owoce5[[#This Row],[stan_porzeczek]])</f>
        <v>173</v>
      </c>
    </row>
    <row r="47" spans="1:14" x14ac:dyDescent="0.25">
      <c r="A47" s="1">
        <v>43997</v>
      </c>
      <c r="B47">
        <v>241</v>
      </c>
      <c r="C47">
        <v>247</v>
      </c>
      <c r="D47">
        <v>166</v>
      </c>
      <c r="E47">
        <f>L46+owoce5[[#This Row],[rano_dostawa_malin]]</f>
        <v>241</v>
      </c>
      <c r="F47">
        <f>owoce5[[#This Row],[rano_dostawa_truskawek]]+M46</f>
        <v>480</v>
      </c>
      <c r="G47">
        <f>owoce5[[#This Row],[rano_dostawa_porzeczek]]+N46</f>
        <v>339</v>
      </c>
      <c r="H47" t="str" cm="1">
        <f t="array" ref="H4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47" t="str" cm="1">
        <f t="array" ref="I4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47" t="str">
        <f>_xlfn.CONCAT(owoce5[[#This Row],[jaka_konfitura_pierwszy]],"-",owoce5[[#This Row],[jaka_konfitura_drugi]])</f>
        <v>truskawki-porzeczki</v>
      </c>
      <c r="K47" s="4">
        <f>LARGE(owoce5[[#This Row],[stan_malin]:[stan_porzeczek]],2)</f>
        <v>339</v>
      </c>
      <c r="L47" s="4">
        <f>IF(OR(owoce5[[#This Row],[jaka_konfitura_pierwszy]]="maliny",owoce5[[#This Row],[jaka_konfitura_drugi]]="maliny"),owoce5[[#This Row],[stan_malin]]-owoce5[[#This Row],[Ile_kilogramów_konfitury]],owoce5[[#This Row],[stan_malin]])</f>
        <v>241</v>
      </c>
      <c r="M47" s="4">
        <f>IF(OR(owoce5[[#This Row],[jaka_konfitura_pierwszy]]="truskawki",owoce5[[#This Row],[jaka_konfitura_drugi]]="truskawki"),owoce5[[#This Row],[stan_truskawek]]-owoce5[[#This Row],[Ile_kilogramów_konfitury]],owoce5[[#This Row],[stan_truskawek]])</f>
        <v>141</v>
      </c>
      <c r="N4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48" spans="1:14" x14ac:dyDescent="0.25">
      <c r="A48" s="1">
        <v>43998</v>
      </c>
      <c r="B48">
        <v>365</v>
      </c>
      <c r="C48">
        <v>256</v>
      </c>
      <c r="D48">
        <v>132</v>
      </c>
      <c r="E48">
        <f>L47+owoce5[[#This Row],[rano_dostawa_malin]]</f>
        <v>606</v>
      </c>
      <c r="F48">
        <f>owoce5[[#This Row],[rano_dostawa_truskawek]]+M47</f>
        <v>397</v>
      </c>
      <c r="G48">
        <f>owoce5[[#This Row],[rano_dostawa_porzeczek]]+N47</f>
        <v>132</v>
      </c>
      <c r="H48" t="str" cm="1">
        <f t="array" ref="H4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48" t="str" cm="1">
        <f t="array" ref="I4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48" t="str">
        <f>_xlfn.CONCAT(owoce5[[#This Row],[jaka_konfitura_pierwszy]],"-",owoce5[[#This Row],[jaka_konfitura_drugi]])</f>
        <v>maliny-truskawki</v>
      </c>
      <c r="K48" s="4">
        <f>LARGE(owoce5[[#This Row],[stan_malin]:[stan_porzeczek]],2)</f>
        <v>397</v>
      </c>
      <c r="L48" s="4">
        <f>IF(OR(owoce5[[#This Row],[jaka_konfitura_pierwszy]]="maliny",owoce5[[#This Row],[jaka_konfitura_drugi]]="maliny"),owoce5[[#This Row],[stan_malin]]-owoce5[[#This Row],[Ile_kilogramów_konfitury]],owoce5[[#This Row],[stan_malin]])</f>
        <v>209</v>
      </c>
      <c r="M48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48" s="4">
        <f>IF(OR(owoce5[[#This Row],[jaka_konfitura_pierwszy]]="porzeczki",owoce5[[#This Row],[jaka_konfitura_drugi]]="porzeczki"),owoce5[[#This Row],[stan_porzeczek]]-owoce5[[#This Row],[Ile_kilogramów_konfitury]],owoce5[[#This Row],[stan_porzeczek]])</f>
        <v>132</v>
      </c>
    </row>
    <row r="49" spans="1:14" x14ac:dyDescent="0.25">
      <c r="A49" s="1">
        <v>43999</v>
      </c>
      <c r="B49">
        <v>225</v>
      </c>
      <c r="C49">
        <v>392</v>
      </c>
      <c r="D49">
        <v>158</v>
      </c>
      <c r="E49">
        <f>L48+owoce5[[#This Row],[rano_dostawa_malin]]</f>
        <v>434</v>
      </c>
      <c r="F49">
        <f>owoce5[[#This Row],[rano_dostawa_truskawek]]+M48</f>
        <v>392</v>
      </c>
      <c r="G49">
        <f>owoce5[[#This Row],[rano_dostawa_porzeczek]]+N48</f>
        <v>290</v>
      </c>
      <c r="H49" t="str" cm="1">
        <f t="array" ref="H4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49" t="str" cm="1">
        <f t="array" ref="I4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49" t="str">
        <f>_xlfn.CONCAT(owoce5[[#This Row],[jaka_konfitura_pierwszy]],"-",owoce5[[#This Row],[jaka_konfitura_drugi]])</f>
        <v>maliny-truskawki</v>
      </c>
      <c r="K49" s="4">
        <f>LARGE(owoce5[[#This Row],[stan_malin]:[stan_porzeczek]],2)</f>
        <v>392</v>
      </c>
      <c r="L49" s="4">
        <f>IF(OR(owoce5[[#This Row],[jaka_konfitura_pierwszy]]="maliny",owoce5[[#This Row],[jaka_konfitura_drugi]]="maliny"),owoce5[[#This Row],[stan_malin]]-owoce5[[#This Row],[Ile_kilogramów_konfitury]],owoce5[[#This Row],[stan_malin]])</f>
        <v>42</v>
      </c>
      <c r="M4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49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290</v>
      </c>
    </row>
    <row r="50" spans="1:14" x14ac:dyDescent="0.25">
      <c r="A50" s="1">
        <v>44000</v>
      </c>
      <c r="B50">
        <v>335</v>
      </c>
      <c r="C50">
        <v>254</v>
      </c>
      <c r="D50">
        <v>173</v>
      </c>
      <c r="E50">
        <f>L49+owoce5[[#This Row],[rano_dostawa_malin]]</f>
        <v>377</v>
      </c>
      <c r="F50">
        <f>owoce5[[#This Row],[rano_dostawa_truskawek]]+M49</f>
        <v>254</v>
      </c>
      <c r="G50">
        <f>owoce5[[#This Row],[rano_dostawa_porzeczek]]+N49</f>
        <v>463</v>
      </c>
      <c r="H50" t="str" cm="1">
        <f t="array" ref="H5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50" t="str" cm="1">
        <f t="array" ref="I5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50" t="str">
        <f>_xlfn.CONCAT(owoce5[[#This Row],[jaka_konfitura_pierwszy]],"-",owoce5[[#This Row],[jaka_konfitura_drugi]])</f>
        <v>porzeczki-maliny</v>
      </c>
      <c r="K50" s="4">
        <f>LARGE(owoce5[[#This Row],[stan_malin]:[stan_porzeczek]],2)</f>
        <v>377</v>
      </c>
      <c r="L50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50" s="4">
        <f>IF(OR(owoce5[[#This Row],[jaka_konfitura_pierwszy]]="truskawki",owoce5[[#This Row],[jaka_konfitura_drugi]]="truskawki"),owoce5[[#This Row],[stan_truskawek]]-owoce5[[#This Row],[Ile_kilogramów_konfitury]],owoce5[[#This Row],[stan_truskawek]])</f>
        <v>254</v>
      </c>
      <c r="N50" s="4">
        <f>IF(OR(owoce5[[#This Row],[jaka_konfitura_pierwszy]]="porzeczki",owoce5[[#This Row],[jaka_konfitura_drugi]]="porzeczki"),owoce5[[#This Row],[stan_porzeczek]]-owoce5[[#This Row],[Ile_kilogramów_konfitury]],owoce5[[#This Row],[stan_porzeczek]])</f>
        <v>86</v>
      </c>
    </row>
    <row r="51" spans="1:14" x14ac:dyDescent="0.25">
      <c r="A51" s="1">
        <v>44001</v>
      </c>
      <c r="B51">
        <v>376</v>
      </c>
      <c r="C51">
        <v>258</v>
      </c>
      <c r="D51">
        <v>151</v>
      </c>
      <c r="E51">
        <f>L50+owoce5[[#This Row],[rano_dostawa_malin]]</f>
        <v>376</v>
      </c>
      <c r="F51">
        <f>owoce5[[#This Row],[rano_dostawa_truskawek]]+M50</f>
        <v>512</v>
      </c>
      <c r="G51">
        <f>owoce5[[#This Row],[rano_dostawa_porzeczek]]+N50</f>
        <v>237</v>
      </c>
      <c r="H51" t="str" cm="1">
        <f t="array" ref="H5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51" t="str" cm="1">
        <f t="array" ref="I5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51" t="str">
        <f>_xlfn.CONCAT(owoce5[[#This Row],[jaka_konfitura_pierwszy]],"-",owoce5[[#This Row],[jaka_konfitura_drugi]])</f>
        <v>truskawki-maliny</v>
      </c>
      <c r="K51" s="4">
        <f>LARGE(owoce5[[#This Row],[stan_malin]:[stan_porzeczek]],2)</f>
        <v>376</v>
      </c>
      <c r="L5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51" s="4">
        <f>IF(OR(owoce5[[#This Row],[jaka_konfitura_pierwszy]]="truskawki",owoce5[[#This Row],[jaka_konfitura_drugi]]="truskawki"),owoce5[[#This Row],[stan_truskawek]]-owoce5[[#This Row],[Ile_kilogramów_konfitury]],owoce5[[#This Row],[stan_truskawek]])</f>
        <v>136</v>
      </c>
      <c r="N51" s="4">
        <f>IF(OR(owoce5[[#This Row],[jaka_konfitura_pierwszy]]="porzeczki",owoce5[[#This Row],[jaka_konfitura_drugi]]="porzeczki"),owoce5[[#This Row],[stan_porzeczek]]-owoce5[[#This Row],[Ile_kilogramów_konfitury]],owoce5[[#This Row],[stan_porzeczek]])</f>
        <v>237</v>
      </c>
    </row>
    <row r="52" spans="1:14" x14ac:dyDescent="0.25">
      <c r="A52" s="1">
        <v>44002</v>
      </c>
      <c r="B52">
        <v>310</v>
      </c>
      <c r="C52">
        <v>248</v>
      </c>
      <c r="D52">
        <v>173</v>
      </c>
      <c r="E52">
        <f>L51+owoce5[[#This Row],[rano_dostawa_malin]]</f>
        <v>310</v>
      </c>
      <c r="F52">
        <f>owoce5[[#This Row],[rano_dostawa_truskawek]]+M51</f>
        <v>384</v>
      </c>
      <c r="G52">
        <f>owoce5[[#This Row],[rano_dostawa_porzeczek]]+N51</f>
        <v>410</v>
      </c>
      <c r="H52" t="str" cm="1">
        <f t="array" ref="H5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52" t="str" cm="1">
        <f t="array" ref="I5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52" t="str">
        <f>_xlfn.CONCAT(owoce5[[#This Row],[jaka_konfitura_pierwszy]],"-",owoce5[[#This Row],[jaka_konfitura_drugi]])</f>
        <v>porzeczki-truskawki</v>
      </c>
      <c r="K52" s="4">
        <f>LARGE(owoce5[[#This Row],[stan_malin]:[stan_porzeczek]],2)</f>
        <v>384</v>
      </c>
      <c r="L52" s="4">
        <f>IF(OR(owoce5[[#This Row],[jaka_konfitura_pierwszy]]="maliny",owoce5[[#This Row],[jaka_konfitura_drugi]]="maliny"),owoce5[[#This Row],[stan_malin]]-owoce5[[#This Row],[Ile_kilogramów_konfitury]],owoce5[[#This Row],[stan_malin]])</f>
        <v>310</v>
      </c>
      <c r="M5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52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</v>
      </c>
    </row>
    <row r="53" spans="1:14" x14ac:dyDescent="0.25">
      <c r="A53" s="1">
        <v>44003</v>
      </c>
      <c r="B53">
        <v>408</v>
      </c>
      <c r="C53">
        <v>250</v>
      </c>
      <c r="D53">
        <v>242</v>
      </c>
      <c r="E53">
        <f>L52+owoce5[[#This Row],[rano_dostawa_malin]]</f>
        <v>718</v>
      </c>
      <c r="F53">
        <f>owoce5[[#This Row],[rano_dostawa_truskawek]]+M52</f>
        <v>250</v>
      </c>
      <c r="G53">
        <f>owoce5[[#This Row],[rano_dostawa_porzeczek]]+N52</f>
        <v>268</v>
      </c>
      <c r="H53" t="str" cm="1">
        <f t="array" ref="H5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3" t="str" cm="1">
        <f t="array" ref="I5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53" t="str">
        <f>_xlfn.CONCAT(owoce5[[#This Row],[jaka_konfitura_pierwszy]],"-",owoce5[[#This Row],[jaka_konfitura_drugi]])</f>
        <v>maliny-porzeczki</v>
      </c>
      <c r="K53" s="4">
        <f>LARGE(owoce5[[#This Row],[stan_malin]:[stan_porzeczek]],2)</f>
        <v>268</v>
      </c>
      <c r="L53" s="4">
        <f>IF(OR(owoce5[[#This Row],[jaka_konfitura_pierwszy]]="maliny",owoce5[[#This Row],[jaka_konfitura_drugi]]="maliny"),owoce5[[#This Row],[stan_malin]]-owoce5[[#This Row],[Ile_kilogramów_konfitury]],owoce5[[#This Row],[stan_malin]])</f>
        <v>450</v>
      </c>
      <c r="M53" s="4">
        <f>IF(OR(owoce5[[#This Row],[jaka_konfitura_pierwszy]]="truskawki",owoce5[[#This Row],[jaka_konfitura_drugi]]="truskawki"),owoce5[[#This Row],[stan_truskawek]]-owoce5[[#This Row],[Ile_kilogramów_konfitury]],owoce5[[#This Row],[stan_truskawek]])</f>
        <v>250</v>
      </c>
      <c r="N5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54" spans="1:14" x14ac:dyDescent="0.25">
      <c r="A54" s="1">
        <v>44004</v>
      </c>
      <c r="B54">
        <v>256</v>
      </c>
      <c r="C54">
        <v>393</v>
      </c>
      <c r="D54">
        <v>219</v>
      </c>
      <c r="E54">
        <f>L53+owoce5[[#This Row],[rano_dostawa_malin]]</f>
        <v>706</v>
      </c>
      <c r="F54">
        <f>owoce5[[#This Row],[rano_dostawa_truskawek]]+M53</f>
        <v>643</v>
      </c>
      <c r="G54">
        <f>owoce5[[#This Row],[rano_dostawa_porzeczek]]+N53</f>
        <v>219</v>
      </c>
      <c r="H54" t="str" cm="1">
        <f t="array" ref="H5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4" t="str" cm="1">
        <f t="array" ref="I5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54" t="str">
        <f>_xlfn.CONCAT(owoce5[[#This Row],[jaka_konfitura_pierwszy]],"-",owoce5[[#This Row],[jaka_konfitura_drugi]])</f>
        <v>maliny-truskawki</v>
      </c>
      <c r="K54" s="4">
        <f>LARGE(owoce5[[#This Row],[stan_malin]:[stan_porzeczek]],2)</f>
        <v>643</v>
      </c>
      <c r="L54" s="4">
        <f>IF(OR(owoce5[[#This Row],[jaka_konfitura_pierwszy]]="maliny",owoce5[[#This Row],[jaka_konfitura_drugi]]="maliny"),owoce5[[#This Row],[stan_malin]]-owoce5[[#This Row],[Ile_kilogramów_konfitury]],owoce5[[#This Row],[stan_malin]])</f>
        <v>63</v>
      </c>
      <c r="M5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5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219</v>
      </c>
    </row>
    <row r="55" spans="1:14" x14ac:dyDescent="0.25">
      <c r="A55" s="1">
        <v>44005</v>
      </c>
      <c r="B55">
        <v>322</v>
      </c>
      <c r="C55">
        <v>425</v>
      </c>
      <c r="D55">
        <v>215</v>
      </c>
      <c r="E55">
        <f>L54+owoce5[[#This Row],[rano_dostawa_malin]]</f>
        <v>385</v>
      </c>
      <c r="F55">
        <f>owoce5[[#This Row],[rano_dostawa_truskawek]]+M54</f>
        <v>425</v>
      </c>
      <c r="G55">
        <f>owoce5[[#This Row],[rano_dostawa_porzeczek]]+N54</f>
        <v>434</v>
      </c>
      <c r="H55" t="str" cm="1">
        <f t="array" ref="H5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55" t="str" cm="1">
        <f t="array" ref="I5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55" t="str">
        <f>_xlfn.CONCAT(owoce5[[#This Row],[jaka_konfitura_pierwszy]],"-",owoce5[[#This Row],[jaka_konfitura_drugi]])</f>
        <v>porzeczki-truskawki</v>
      </c>
      <c r="K55" s="4">
        <f>LARGE(owoce5[[#This Row],[stan_malin]:[stan_porzeczek]],2)</f>
        <v>425</v>
      </c>
      <c r="L55" s="4">
        <f>IF(OR(owoce5[[#This Row],[jaka_konfitura_pierwszy]]="maliny",owoce5[[#This Row],[jaka_konfitura_drugi]]="maliny"),owoce5[[#This Row],[stan_malin]]-owoce5[[#This Row],[Ile_kilogramów_konfitury]],owoce5[[#This Row],[stan_malin]])</f>
        <v>385</v>
      </c>
      <c r="M55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55" s="4">
        <f>IF(OR(owoce5[[#This Row],[jaka_konfitura_pierwszy]]="porzeczki",owoce5[[#This Row],[jaka_konfitura_drugi]]="porzeczki"),owoce5[[#This Row],[stan_porzeczek]]-owoce5[[#This Row],[Ile_kilogramów_konfitury]],owoce5[[#This Row],[stan_porzeczek]])</f>
        <v>9</v>
      </c>
    </row>
    <row r="56" spans="1:14" x14ac:dyDescent="0.25">
      <c r="A56" s="1">
        <v>44006</v>
      </c>
      <c r="B56">
        <v>447</v>
      </c>
      <c r="C56">
        <v>385</v>
      </c>
      <c r="D56">
        <v>212</v>
      </c>
      <c r="E56">
        <f>L55+owoce5[[#This Row],[rano_dostawa_malin]]</f>
        <v>832</v>
      </c>
      <c r="F56">
        <f>owoce5[[#This Row],[rano_dostawa_truskawek]]+M55</f>
        <v>385</v>
      </c>
      <c r="G56">
        <f>owoce5[[#This Row],[rano_dostawa_porzeczek]]+N55</f>
        <v>221</v>
      </c>
      <c r="H56" t="str" cm="1">
        <f t="array" ref="H5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6" t="str" cm="1">
        <f t="array" ref="I5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56" t="str">
        <f>_xlfn.CONCAT(owoce5[[#This Row],[jaka_konfitura_pierwszy]],"-",owoce5[[#This Row],[jaka_konfitura_drugi]])</f>
        <v>maliny-truskawki</v>
      </c>
      <c r="K56" s="4">
        <f>LARGE(owoce5[[#This Row],[stan_malin]:[stan_porzeczek]],2)</f>
        <v>385</v>
      </c>
      <c r="L56" s="4">
        <f>IF(OR(owoce5[[#This Row],[jaka_konfitura_pierwszy]]="maliny",owoce5[[#This Row],[jaka_konfitura_drugi]]="maliny"),owoce5[[#This Row],[stan_malin]]-owoce5[[#This Row],[Ile_kilogramów_konfitury]],owoce5[[#This Row],[stan_malin]])</f>
        <v>447</v>
      </c>
      <c r="M56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56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221</v>
      </c>
    </row>
    <row r="57" spans="1:14" x14ac:dyDescent="0.25">
      <c r="A57" s="1">
        <v>44007</v>
      </c>
      <c r="B57">
        <v>408</v>
      </c>
      <c r="C57">
        <v>260</v>
      </c>
      <c r="D57">
        <v>225</v>
      </c>
      <c r="E57">
        <f>L56+owoce5[[#This Row],[rano_dostawa_malin]]</f>
        <v>855</v>
      </c>
      <c r="F57">
        <f>owoce5[[#This Row],[rano_dostawa_truskawek]]+M56</f>
        <v>260</v>
      </c>
      <c r="G57">
        <f>owoce5[[#This Row],[rano_dostawa_porzeczek]]+N56</f>
        <v>446</v>
      </c>
      <c r="H57" t="str" cm="1">
        <f t="array" ref="H5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7" t="str" cm="1">
        <f t="array" ref="I5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57" t="str">
        <f>_xlfn.CONCAT(owoce5[[#This Row],[jaka_konfitura_pierwszy]],"-",owoce5[[#This Row],[jaka_konfitura_drugi]])</f>
        <v>maliny-porzeczki</v>
      </c>
      <c r="K57" s="4">
        <f>LARGE(owoce5[[#This Row],[stan_malin]:[stan_porzeczek]],2)</f>
        <v>446</v>
      </c>
      <c r="L57" s="4">
        <f>IF(OR(owoce5[[#This Row],[jaka_konfitura_pierwszy]]="maliny",owoce5[[#This Row],[jaka_konfitura_drugi]]="maliny"),owoce5[[#This Row],[stan_malin]]-owoce5[[#This Row],[Ile_kilogramów_konfitury]],owoce5[[#This Row],[stan_malin]])</f>
        <v>409</v>
      </c>
      <c r="M57" s="4">
        <f>IF(OR(owoce5[[#This Row],[jaka_konfitura_pierwszy]]="truskawki",owoce5[[#This Row],[jaka_konfitura_drugi]]="truskawki"),owoce5[[#This Row],[stan_truskawek]]-owoce5[[#This Row],[Ile_kilogramów_konfitury]],owoce5[[#This Row],[stan_truskawek]])</f>
        <v>260</v>
      </c>
      <c r="N5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58" spans="1:14" x14ac:dyDescent="0.25">
      <c r="A58" s="1">
        <v>44008</v>
      </c>
      <c r="B58">
        <v>283</v>
      </c>
      <c r="C58">
        <v>396</v>
      </c>
      <c r="D58">
        <v>221</v>
      </c>
      <c r="E58">
        <f>L57+owoce5[[#This Row],[rano_dostawa_malin]]</f>
        <v>692</v>
      </c>
      <c r="F58">
        <f>owoce5[[#This Row],[rano_dostawa_truskawek]]+M57</f>
        <v>656</v>
      </c>
      <c r="G58">
        <f>owoce5[[#This Row],[rano_dostawa_porzeczek]]+N57</f>
        <v>221</v>
      </c>
      <c r="H58" t="str" cm="1">
        <f t="array" ref="H5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8" t="str" cm="1">
        <f t="array" ref="I5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58" t="str">
        <f>_xlfn.CONCAT(owoce5[[#This Row],[jaka_konfitura_pierwszy]],"-",owoce5[[#This Row],[jaka_konfitura_drugi]])</f>
        <v>maliny-truskawki</v>
      </c>
      <c r="K58" s="4">
        <f>LARGE(owoce5[[#This Row],[stan_malin]:[stan_porzeczek]],2)</f>
        <v>656</v>
      </c>
      <c r="L58" s="4">
        <f>IF(OR(owoce5[[#This Row],[jaka_konfitura_pierwszy]]="maliny",owoce5[[#This Row],[jaka_konfitura_drugi]]="maliny"),owoce5[[#This Row],[stan_malin]]-owoce5[[#This Row],[Ile_kilogramów_konfitury]],owoce5[[#This Row],[stan_malin]])</f>
        <v>36</v>
      </c>
      <c r="M58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58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221</v>
      </c>
    </row>
    <row r="59" spans="1:14" x14ac:dyDescent="0.25">
      <c r="A59" s="1">
        <v>44009</v>
      </c>
      <c r="B59">
        <v>414</v>
      </c>
      <c r="C59">
        <v>314</v>
      </c>
      <c r="D59">
        <v>220</v>
      </c>
      <c r="E59">
        <f>L58+owoce5[[#This Row],[rano_dostawa_malin]]</f>
        <v>450</v>
      </c>
      <c r="F59">
        <f>owoce5[[#This Row],[rano_dostawa_truskawek]]+M58</f>
        <v>314</v>
      </c>
      <c r="G59">
        <f>owoce5[[#This Row],[rano_dostawa_porzeczek]]+N58</f>
        <v>441</v>
      </c>
      <c r="H59" t="str" cm="1">
        <f t="array" ref="H5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59" t="str" cm="1">
        <f t="array" ref="I5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59" t="str">
        <f>_xlfn.CONCAT(owoce5[[#This Row],[jaka_konfitura_pierwszy]],"-",owoce5[[#This Row],[jaka_konfitura_drugi]])</f>
        <v>maliny-porzeczki</v>
      </c>
      <c r="K59" s="4">
        <f>LARGE(owoce5[[#This Row],[stan_malin]:[stan_porzeczek]],2)</f>
        <v>441</v>
      </c>
      <c r="L59" s="4">
        <f>IF(OR(owoce5[[#This Row],[jaka_konfitura_pierwszy]]="maliny",owoce5[[#This Row],[jaka_konfitura_drugi]]="maliny"),owoce5[[#This Row],[stan_malin]]-owoce5[[#This Row],[Ile_kilogramów_konfitury]],owoce5[[#This Row],[stan_malin]])</f>
        <v>9</v>
      </c>
      <c r="M59" s="4">
        <f>IF(OR(owoce5[[#This Row],[jaka_konfitura_pierwszy]]="truskawki",owoce5[[#This Row],[jaka_konfitura_drugi]]="truskawki"),owoce5[[#This Row],[stan_truskawek]]-owoce5[[#This Row],[Ile_kilogramów_konfitury]],owoce5[[#This Row],[stan_truskawek]])</f>
        <v>314</v>
      </c>
      <c r="N59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60" spans="1:14" x14ac:dyDescent="0.25">
      <c r="A60" s="1">
        <v>44010</v>
      </c>
      <c r="B60">
        <v>442</v>
      </c>
      <c r="C60">
        <v>449</v>
      </c>
      <c r="D60">
        <v>245</v>
      </c>
      <c r="E60">
        <f>L59+owoce5[[#This Row],[rano_dostawa_malin]]</f>
        <v>451</v>
      </c>
      <c r="F60">
        <f>owoce5[[#This Row],[rano_dostawa_truskawek]]+M59</f>
        <v>763</v>
      </c>
      <c r="G60">
        <f>owoce5[[#This Row],[rano_dostawa_porzeczek]]+N59</f>
        <v>245</v>
      </c>
      <c r="H60" t="str" cm="1">
        <f t="array" ref="H6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0" t="str" cm="1">
        <f t="array" ref="I6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60" t="str">
        <f>_xlfn.CONCAT(owoce5[[#This Row],[jaka_konfitura_pierwszy]],"-",owoce5[[#This Row],[jaka_konfitura_drugi]])</f>
        <v>truskawki-maliny</v>
      </c>
      <c r="K60" s="4">
        <f>LARGE(owoce5[[#This Row],[stan_malin]:[stan_porzeczek]],2)</f>
        <v>451</v>
      </c>
      <c r="L60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6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312</v>
      </c>
      <c r="N60" s="4">
        <f>IF(OR(owoce5[[#This Row],[jaka_konfitura_pierwszy]]="porzeczki",owoce5[[#This Row],[jaka_konfitura_drugi]]="porzeczki"),owoce5[[#This Row],[stan_porzeczek]]-owoce5[[#This Row],[Ile_kilogramów_konfitury]],owoce5[[#This Row],[stan_porzeczek]])</f>
        <v>245</v>
      </c>
    </row>
    <row r="61" spans="1:14" x14ac:dyDescent="0.25">
      <c r="A61" s="1">
        <v>44011</v>
      </c>
      <c r="B61">
        <v>269</v>
      </c>
      <c r="C61">
        <v>370</v>
      </c>
      <c r="D61">
        <v>242</v>
      </c>
      <c r="E61">
        <f>L60+owoce5[[#This Row],[rano_dostawa_malin]]</f>
        <v>269</v>
      </c>
      <c r="F61">
        <f>owoce5[[#This Row],[rano_dostawa_truskawek]]+M60</f>
        <v>682</v>
      </c>
      <c r="G61">
        <f>owoce5[[#This Row],[rano_dostawa_porzeczek]]+N60</f>
        <v>487</v>
      </c>
      <c r="H61" t="str" cm="1">
        <f t="array" ref="H6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1" t="str" cm="1">
        <f t="array" ref="I6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61" t="str">
        <f>_xlfn.CONCAT(owoce5[[#This Row],[jaka_konfitura_pierwszy]],"-",owoce5[[#This Row],[jaka_konfitura_drugi]])</f>
        <v>truskawki-porzeczki</v>
      </c>
      <c r="K61" s="4">
        <f>LARGE(owoce5[[#This Row],[stan_malin]:[stan_porzeczek]],2)</f>
        <v>487</v>
      </c>
      <c r="L61" s="4">
        <f>IF(OR(owoce5[[#This Row],[jaka_konfitura_pierwszy]]="maliny",owoce5[[#This Row],[jaka_konfitura_drugi]]="maliny"),owoce5[[#This Row],[stan_malin]]-owoce5[[#This Row],[Ile_kilogramów_konfitury]],owoce5[[#This Row],[stan_malin]])</f>
        <v>269</v>
      </c>
      <c r="M61" s="4">
        <f>IF(OR(owoce5[[#This Row],[jaka_konfitura_pierwszy]]="truskawki",owoce5[[#This Row],[jaka_konfitura_drugi]]="truskawki"),owoce5[[#This Row],[stan_truskawek]]-owoce5[[#This Row],[Ile_kilogramów_konfitury]],owoce5[[#This Row],[stan_truskawek]])</f>
        <v>195</v>
      </c>
      <c r="N61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62" spans="1:14" x14ac:dyDescent="0.25">
      <c r="A62" s="1">
        <v>44012</v>
      </c>
      <c r="B62">
        <v>444</v>
      </c>
      <c r="C62">
        <v>350</v>
      </c>
      <c r="D62">
        <v>236</v>
      </c>
      <c r="E62">
        <f>L61+owoce5[[#This Row],[rano_dostawa_malin]]</f>
        <v>713</v>
      </c>
      <c r="F62">
        <f>owoce5[[#This Row],[rano_dostawa_truskawek]]+M61</f>
        <v>545</v>
      </c>
      <c r="G62">
        <f>owoce5[[#This Row],[rano_dostawa_porzeczek]]+N61</f>
        <v>236</v>
      </c>
      <c r="H62" t="str" cm="1">
        <f t="array" ref="H6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62" t="str" cm="1">
        <f t="array" ref="I6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62" t="str">
        <f>_xlfn.CONCAT(owoce5[[#This Row],[jaka_konfitura_pierwszy]],"-",owoce5[[#This Row],[jaka_konfitura_drugi]])</f>
        <v>maliny-truskawki</v>
      </c>
      <c r="K62" s="4">
        <f>LARGE(owoce5[[#This Row],[stan_malin]:[stan_porzeczek]],2)</f>
        <v>545</v>
      </c>
      <c r="L62" s="4">
        <f>IF(OR(owoce5[[#This Row],[jaka_konfitura_pierwszy]]="maliny",owoce5[[#This Row],[jaka_konfitura_drugi]]="maliny"),owoce5[[#This Row],[stan_malin]]-owoce5[[#This Row],[Ile_kilogramów_konfitury]],owoce5[[#This Row],[stan_malin]])</f>
        <v>168</v>
      </c>
      <c r="M6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62" s="4">
        <f>IF(OR(owoce5[[#This Row],[jaka_konfitura_pierwszy]]="porzeczki",owoce5[[#This Row],[jaka_konfitura_drugi]]="porzeczki"),owoce5[[#This Row],[stan_porzeczek]]-owoce5[[#This Row],[Ile_kilogramów_konfitury]],owoce5[[#This Row],[stan_porzeczek]])</f>
        <v>236</v>
      </c>
    </row>
    <row r="63" spans="1:14" x14ac:dyDescent="0.25">
      <c r="A63" s="1">
        <v>44013</v>
      </c>
      <c r="B63">
        <v>425</v>
      </c>
      <c r="C63">
        <v>342</v>
      </c>
      <c r="D63">
        <v>237</v>
      </c>
      <c r="E63">
        <f>L62+owoce5[[#This Row],[rano_dostawa_malin]]</f>
        <v>593</v>
      </c>
      <c r="F63">
        <f>owoce5[[#This Row],[rano_dostawa_truskawek]]+M62</f>
        <v>342</v>
      </c>
      <c r="G63">
        <f>owoce5[[#This Row],[rano_dostawa_porzeczek]]+N62</f>
        <v>473</v>
      </c>
      <c r="H63" t="str" cm="1">
        <f t="array" ref="H6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63" t="str" cm="1">
        <f t="array" ref="I6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63" t="str">
        <f>_xlfn.CONCAT(owoce5[[#This Row],[jaka_konfitura_pierwszy]],"-",owoce5[[#This Row],[jaka_konfitura_drugi]])</f>
        <v>maliny-porzeczki</v>
      </c>
      <c r="K63" s="4">
        <f>LARGE(owoce5[[#This Row],[stan_malin]:[stan_porzeczek]],2)</f>
        <v>473</v>
      </c>
      <c r="L63" s="4">
        <f>IF(OR(owoce5[[#This Row],[jaka_konfitura_pierwszy]]="maliny",owoce5[[#This Row],[jaka_konfitura_drugi]]="maliny"),owoce5[[#This Row],[stan_malin]]-owoce5[[#This Row],[Ile_kilogramów_konfitury]],owoce5[[#This Row],[stan_malin]])</f>
        <v>120</v>
      </c>
      <c r="M63" s="4">
        <f>IF(OR(owoce5[[#This Row],[jaka_konfitura_pierwszy]]="truskawki",owoce5[[#This Row],[jaka_konfitura_drugi]]="truskawki"),owoce5[[#This Row],[stan_truskawek]]-owoce5[[#This Row],[Ile_kilogramów_konfitury]],owoce5[[#This Row],[stan_truskawek]])</f>
        <v>342</v>
      </c>
      <c r="N6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64" spans="1:14" x14ac:dyDescent="0.25">
      <c r="A64" s="1">
        <v>44014</v>
      </c>
      <c r="B64">
        <v>377</v>
      </c>
      <c r="C64">
        <v>290</v>
      </c>
      <c r="D64">
        <v>240</v>
      </c>
      <c r="E64">
        <f>L63+owoce5[[#This Row],[rano_dostawa_malin]]</f>
        <v>497</v>
      </c>
      <c r="F64">
        <f>owoce5[[#This Row],[rano_dostawa_truskawek]]+M63</f>
        <v>632</v>
      </c>
      <c r="G64">
        <f>owoce5[[#This Row],[rano_dostawa_porzeczek]]+N63</f>
        <v>240</v>
      </c>
      <c r="H64" t="str" cm="1">
        <f t="array" ref="H6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4" t="str" cm="1">
        <f t="array" ref="I6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64" t="str">
        <f>_xlfn.CONCAT(owoce5[[#This Row],[jaka_konfitura_pierwszy]],"-",owoce5[[#This Row],[jaka_konfitura_drugi]])</f>
        <v>truskawki-maliny</v>
      </c>
      <c r="K64" s="4">
        <f>LARGE(owoce5[[#This Row],[stan_malin]:[stan_porzeczek]],2)</f>
        <v>497</v>
      </c>
      <c r="L6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64" s="4">
        <f>IF(OR(owoce5[[#This Row],[jaka_konfitura_pierwszy]]="truskawki",owoce5[[#This Row],[jaka_konfitura_drugi]]="truskawki"),owoce5[[#This Row],[stan_truskawek]]-owoce5[[#This Row],[Ile_kilogramów_konfitury]],owoce5[[#This Row],[stan_truskawek]])</f>
        <v>135</v>
      </c>
      <c r="N6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240</v>
      </c>
    </row>
    <row r="65" spans="1:14" x14ac:dyDescent="0.25">
      <c r="A65" s="1">
        <v>44015</v>
      </c>
      <c r="B65">
        <v>382</v>
      </c>
      <c r="C65">
        <v>360</v>
      </c>
      <c r="D65">
        <v>203</v>
      </c>
      <c r="E65">
        <f>L64+owoce5[[#This Row],[rano_dostawa_malin]]</f>
        <v>382</v>
      </c>
      <c r="F65">
        <f>owoce5[[#This Row],[rano_dostawa_truskawek]]+M64</f>
        <v>495</v>
      </c>
      <c r="G65">
        <f>owoce5[[#This Row],[rano_dostawa_porzeczek]]+N64</f>
        <v>443</v>
      </c>
      <c r="H65" t="str" cm="1">
        <f t="array" ref="H6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5" t="str" cm="1">
        <f t="array" ref="I6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65" t="str">
        <f>_xlfn.CONCAT(owoce5[[#This Row],[jaka_konfitura_pierwszy]],"-",owoce5[[#This Row],[jaka_konfitura_drugi]])</f>
        <v>truskawki-porzeczki</v>
      </c>
      <c r="K65" s="4">
        <f>LARGE(owoce5[[#This Row],[stan_malin]:[stan_porzeczek]],2)</f>
        <v>443</v>
      </c>
      <c r="L65" s="4">
        <f>IF(OR(owoce5[[#This Row],[jaka_konfitura_pierwszy]]="maliny",owoce5[[#This Row],[jaka_konfitura_drugi]]="maliny"),owoce5[[#This Row],[stan_malin]]-owoce5[[#This Row],[Ile_kilogramów_konfitury]],owoce5[[#This Row],[stan_malin]])</f>
        <v>382</v>
      </c>
      <c r="M65" s="4">
        <f>IF(OR(owoce5[[#This Row],[jaka_konfitura_pierwszy]]="truskawki",owoce5[[#This Row],[jaka_konfitura_drugi]]="truskawki"),owoce5[[#This Row],[stan_truskawek]]-owoce5[[#This Row],[Ile_kilogramów_konfitury]],owoce5[[#This Row],[stan_truskawek]])</f>
        <v>52</v>
      </c>
      <c r="N6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66" spans="1:14" x14ac:dyDescent="0.25">
      <c r="A66" s="1">
        <v>44016</v>
      </c>
      <c r="B66">
        <v>287</v>
      </c>
      <c r="C66">
        <v>428</v>
      </c>
      <c r="D66">
        <v>204</v>
      </c>
      <c r="E66">
        <f>L65+owoce5[[#This Row],[rano_dostawa_malin]]</f>
        <v>669</v>
      </c>
      <c r="F66">
        <f>owoce5[[#This Row],[rano_dostawa_truskawek]]+M65</f>
        <v>480</v>
      </c>
      <c r="G66">
        <f>owoce5[[#This Row],[rano_dostawa_porzeczek]]+N65</f>
        <v>204</v>
      </c>
      <c r="H66" t="str" cm="1">
        <f t="array" ref="H6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66" t="str" cm="1">
        <f t="array" ref="I6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66" t="str">
        <f>_xlfn.CONCAT(owoce5[[#This Row],[jaka_konfitura_pierwszy]],"-",owoce5[[#This Row],[jaka_konfitura_drugi]])</f>
        <v>maliny-truskawki</v>
      </c>
      <c r="K66" s="4">
        <f>LARGE(owoce5[[#This Row],[stan_malin]:[stan_porzeczek]],2)</f>
        <v>480</v>
      </c>
      <c r="L66" s="4">
        <f>IF(OR(owoce5[[#This Row],[jaka_konfitura_pierwszy]]="maliny",owoce5[[#This Row],[jaka_konfitura_drugi]]="maliny"),owoce5[[#This Row],[stan_malin]]-owoce5[[#This Row],[Ile_kilogramów_konfitury]],owoce5[[#This Row],[stan_malin]])</f>
        <v>189</v>
      </c>
      <c r="M66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66" s="4">
        <f>IF(OR(owoce5[[#This Row],[jaka_konfitura_pierwszy]]="porzeczki",owoce5[[#This Row],[jaka_konfitura_drugi]]="porzeczki"),owoce5[[#This Row],[stan_porzeczek]]-owoce5[[#This Row],[Ile_kilogramów_konfitury]],owoce5[[#This Row],[stan_porzeczek]])</f>
        <v>204</v>
      </c>
    </row>
    <row r="67" spans="1:14" x14ac:dyDescent="0.25">
      <c r="A67" s="1">
        <v>44017</v>
      </c>
      <c r="B67">
        <v>429</v>
      </c>
      <c r="C67">
        <v>394</v>
      </c>
      <c r="D67">
        <v>246</v>
      </c>
      <c r="E67">
        <f>L66+owoce5[[#This Row],[rano_dostawa_malin]]</f>
        <v>618</v>
      </c>
      <c r="F67">
        <f>owoce5[[#This Row],[rano_dostawa_truskawek]]+M66</f>
        <v>394</v>
      </c>
      <c r="G67">
        <f>owoce5[[#This Row],[rano_dostawa_porzeczek]]+N66</f>
        <v>450</v>
      </c>
      <c r="H67" t="str" cm="1">
        <f t="array" ref="H6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67" t="str" cm="1">
        <f t="array" ref="I6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67" t="str">
        <f>_xlfn.CONCAT(owoce5[[#This Row],[jaka_konfitura_pierwszy]],"-",owoce5[[#This Row],[jaka_konfitura_drugi]])</f>
        <v>maliny-porzeczki</v>
      </c>
      <c r="K67" s="4">
        <f>LARGE(owoce5[[#This Row],[stan_malin]:[stan_porzeczek]],2)</f>
        <v>450</v>
      </c>
      <c r="L67" s="4">
        <f>IF(OR(owoce5[[#This Row],[jaka_konfitura_pierwszy]]="maliny",owoce5[[#This Row],[jaka_konfitura_drugi]]="maliny"),owoce5[[#This Row],[stan_malin]]-owoce5[[#This Row],[Ile_kilogramów_konfitury]],owoce5[[#This Row],[stan_malin]])</f>
        <v>168</v>
      </c>
      <c r="M67" s="4">
        <f>IF(OR(owoce5[[#This Row],[jaka_konfitura_pierwszy]]="truskawki",owoce5[[#This Row],[jaka_konfitura_drugi]]="truskawki"),owoce5[[#This Row],[stan_truskawek]]-owoce5[[#This Row],[Ile_kilogramów_konfitury]],owoce5[[#This Row],[stan_truskawek]])</f>
        <v>394</v>
      </c>
      <c r="N6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68" spans="1:14" x14ac:dyDescent="0.25">
      <c r="A68" s="1">
        <v>44018</v>
      </c>
      <c r="B68">
        <v>287</v>
      </c>
      <c r="C68">
        <v>356</v>
      </c>
      <c r="D68">
        <v>233</v>
      </c>
      <c r="E68">
        <f>L67+owoce5[[#This Row],[rano_dostawa_malin]]</f>
        <v>455</v>
      </c>
      <c r="F68">
        <f>owoce5[[#This Row],[rano_dostawa_truskawek]]+M67</f>
        <v>750</v>
      </c>
      <c r="G68">
        <f>owoce5[[#This Row],[rano_dostawa_porzeczek]]+N67</f>
        <v>233</v>
      </c>
      <c r="H68" t="str" cm="1">
        <f t="array" ref="H6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8" t="str" cm="1">
        <f t="array" ref="I6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68" t="str">
        <f>_xlfn.CONCAT(owoce5[[#This Row],[jaka_konfitura_pierwszy]],"-",owoce5[[#This Row],[jaka_konfitura_drugi]])</f>
        <v>truskawki-maliny</v>
      </c>
      <c r="K68" s="4">
        <f>LARGE(owoce5[[#This Row],[stan_malin]:[stan_porzeczek]],2)</f>
        <v>455</v>
      </c>
      <c r="L6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68" s="4">
        <f>IF(OR(owoce5[[#This Row],[jaka_konfitura_pierwszy]]="truskawki",owoce5[[#This Row],[jaka_konfitura_drugi]]="truskawki"),owoce5[[#This Row],[stan_truskawek]]-owoce5[[#This Row],[Ile_kilogramów_konfitury]],owoce5[[#This Row],[stan_truskawek]])</f>
        <v>295</v>
      </c>
      <c r="N68" s="4">
        <f>IF(OR(owoce5[[#This Row],[jaka_konfitura_pierwszy]]="porzeczki",owoce5[[#This Row],[jaka_konfitura_drugi]]="porzeczki"),owoce5[[#This Row],[stan_porzeczek]]-owoce5[[#This Row],[Ile_kilogramów_konfitury]],owoce5[[#This Row],[stan_porzeczek]])</f>
        <v>233</v>
      </c>
    </row>
    <row r="69" spans="1:14" x14ac:dyDescent="0.25">
      <c r="A69" s="1">
        <v>44019</v>
      </c>
      <c r="B69">
        <v>421</v>
      </c>
      <c r="C69">
        <v>292</v>
      </c>
      <c r="D69">
        <v>226</v>
      </c>
      <c r="E69">
        <f>L68+owoce5[[#This Row],[rano_dostawa_malin]]</f>
        <v>421</v>
      </c>
      <c r="F69">
        <f>owoce5[[#This Row],[rano_dostawa_truskawek]]+M68</f>
        <v>587</v>
      </c>
      <c r="G69">
        <f>owoce5[[#This Row],[rano_dostawa_porzeczek]]+N68</f>
        <v>459</v>
      </c>
      <c r="H69" t="str" cm="1">
        <f t="array" ref="H6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69" t="str" cm="1">
        <f t="array" ref="I6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69" t="str">
        <f>_xlfn.CONCAT(owoce5[[#This Row],[jaka_konfitura_pierwszy]],"-",owoce5[[#This Row],[jaka_konfitura_drugi]])</f>
        <v>truskawki-porzeczki</v>
      </c>
      <c r="K69" s="4">
        <f>LARGE(owoce5[[#This Row],[stan_malin]:[stan_porzeczek]],2)</f>
        <v>459</v>
      </c>
      <c r="L69" s="4">
        <f>IF(OR(owoce5[[#This Row],[jaka_konfitura_pierwszy]]="maliny",owoce5[[#This Row],[jaka_konfitura_drugi]]="maliny"),owoce5[[#This Row],[stan_malin]]-owoce5[[#This Row],[Ile_kilogramów_konfitury]],owoce5[[#This Row],[stan_malin]])</f>
        <v>421</v>
      </c>
      <c r="M69" s="4">
        <f>IF(OR(owoce5[[#This Row],[jaka_konfitura_pierwszy]]="truskawki",owoce5[[#This Row],[jaka_konfitura_drugi]]="truskawki"),owoce5[[#This Row],[stan_truskawek]]-owoce5[[#This Row],[Ile_kilogramów_konfitury]],owoce5[[#This Row],[stan_truskawek]])</f>
        <v>128</v>
      </c>
      <c r="N69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70" spans="1:14" x14ac:dyDescent="0.25">
      <c r="A70" s="1">
        <v>44020</v>
      </c>
      <c r="B70">
        <v>334</v>
      </c>
      <c r="C70">
        <v>353</v>
      </c>
      <c r="D70">
        <v>282</v>
      </c>
      <c r="E70">
        <f>L69+owoce5[[#This Row],[rano_dostawa_malin]]</f>
        <v>755</v>
      </c>
      <c r="F70">
        <f>owoce5[[#This Row],[rano_dostawa_truskawek]]+M69</f>
        <v>481</v>
      </c>
      <c r="G70">
        <f>owoce5[[#This Row],[rano_dostawa_porzeczek]]+N69</f>
        <v>282</v>
      </c>
      <c r="H70" t="str" cm="1">
        <f t="array" ref="H7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70" t="str" cm="1">
        <f t="array" ref="I7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70" t="str">
        <f>_xlfn.CONCAT(owoce5[[#This Row],[jaka_konfitura_pierwszy]],"-",owoce5[[#This Row],[jaka_konfitura_drugi]])</f>
        <v>maliny-truskawki</v>
      </c>
      <c r="K70" s="4">
        <f>LARGE(owoce5[[#This Row],[stan_malin]:[stan_porzeczek]],2)</f>
        <v>481</v>
      </c>
      <c r="L70" s="4">
        <f>IF(OR(owoce5[[#This Row],[jaka_konfitura_pierwszy]]="maliny",owoce5[[#This Row],[jaka_konfitura_drugi]]="maliny"),owoce5[[#This Row],[stan_malin]]-owoce5[[#This Row],[Ile_kilogramów_konfitury]],owoce5[[#This Row],[stan_malin]])</f>
        <v>274</v>
      </c>
      <c r="M70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70" s="4">
        <f>IF(OR(owoce5[[#This Row],[jaka_konfitura_pierwszy]]="porzeczki",owoce5[[#This Row],[jaka_konfitura_drugi]]="porzeczki"),owoce5[[#This Row],[stan_porzeczek]]-owoce5[[#This Row],[Ile_kilogramów_konfitury]],owoce5[[#This Row],[stan_porzeczek]])</f>
        <v>282</v>
      </c>
    </row>
    <row r="71" spans="1:14" x14ac:dyDescent="0.25">
      <c r="A71" s="1">
        <v>44021</v>
      </c>
      <c r="B71">
        <v>282</v>
      </c>
      <c r="C71">
        <v>329</v>
      </c>
      <c r="D71">
        <v>262</v>
      </c>
      <c r="E71">
        <f>L70+owoce5[[#This Row],[rano_dostawa_malin]]</f>
        <v>556</v>
      </c>
      <c r="F71">
        <f>owoce5[[#This Row],[rano_dostawa_truskawek]]+M70</f>
        <v>329</v>
      </c>
      <c r="G71">
        <f>owoce5[[#This Row],[rano_dostawa_porzeczek]]+N70</f>
        <v>544</v>
      </c>
      <c r="H71" t="str" cm="1">
        <f t="array" ref="H7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71" t="str" cm="1">
        <f t="array" ref="I7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71" t="str">
        <f>_xlfn.CONCAT(owoce5[[#This Row],[jaka_konfitura_pierwszy]],"-",owoce5[[#This Row],[jaka_konfitura_drugi]])</f>
        <v>maliny-porzeczki</v>
      </c>
      <c r="K71" s="4">
        <f>LARGE(owoce5[[#This Row],[stan_malin]:[stan_porzeczek]],2)</f>
        <v>544</v>
      </c>
      <c r="L71" s="4">
        <f>IF(OR(owoce5[[#This Row],[jaka_konfitura_pierwszy]]="maliny",owoce5[[#This Row],[jaka_konfitura_drugi]]="maliny"),owoce5[[#This Row],[stan_malin]]-owoce5[[#This Row],[Ile_kilogramów_konfitury]],owoce5[[#This Row],[stan_malin]])</f>
        <v>12</v>
      </c>
      <c r="M71" s="4">
        <f>IF(OR(owoce5[[#This Row],[jaka_konfitura_pierwszy]]="truskawki",owoce5[[#This Row],[jaka_konfitura_drugi]]="truskawki"),owoce5[[#This Row],[stan_truskawek]]-owoce5[[#This Row],[Ile_kilogramów_konfitury]],owoce5[[#This Row],[stan_truskawek]])</f>
        <v>329</v>
      </c>
      <c r="N71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72" spans="1:14" x14ac:dyDescent="0.25">
      <c r="A72" s="1">
        <v>44022</v>
      </c>
      <c r="B72">
        <v>356</v>
      </c>
      <c r="C72">
        <v>331</v>
      </c>
      <c r="D72">
        <v>290</v>
      </c>
      <c r="E72">
        <f>L71+owoce5[[#This Row],[rano_dostawa_malin]]</f>
        <v>368</v>
      </c>
      <c r="F72">
        <f>owoce5[[#This Row],[rano_dostawa_truskawek]]+M71</f>
        <v>660</v>
      </c>
      <c r="G72">
        <f>owoce5[[#This Row],[rano_dostawa_porzeczek]]+N71</f>
        <v>290</v>
      </c>
      <c r="H72" t="str" cm="1">
        <f t="array" ref="H7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2" t="str" cm="1">
        <f t="array" ref="I7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72" t="str">
        <f>_xlfn.CONCAT(owoce5[[#This Row],[jaka_konfitura_pierwszy]],"-",owoce5[[#This Row],[jaka_konfitura_drugi]])</f>
        <v>truskawki-maliny</v>
      </c>
      <c r="K72" s="4">
        <f>LARGE(owoce5[[#This Row],[stan_malin]:[stan_porzeczek]],2)</f>
        <v>368</v>
      </c>
      <c r="L72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72" s="4">
        <f>IF(OR(owoce5[[#This Row],[jaka_konfitura_pierwszy]]="truskawki",owoce5[[#This Row],[jaka_konfitura_drugi]]="truskawki"),owoce5[[#This Row],[stan_truskawek]]-owoce5[[#This Row],[Ile_kilogramów_konfitury]],owoce5[[#This Row],[stan_truskawek]])</f>
        <v>292</v>
      </c>
      <c r="N72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290</v>
      </c>
    </row>
    <row r="73" spans="1:14" x14ac:dyDescent="0.25">
      <c r="A73" s="1">
        <v>44023</v>
      </c>
      <c r="B73">
        <v>307</v>
      </c>
      <c r="C73">
        <v>394</v>
      </c>
      <c r="D73">
        <v>256</v>
      </c>
      <c r="E73">
        <f>L72+owoce5[[#This Row],[rano_dostawa_malin]]</f>
        <v>307</v>
      </c>
      <c r="F73">
        <f>owoce5[[#This Row],[rano_dostawa_truskawek]]+M72</f>
        <v>686</v>
      </c>
      <c r="G73">
        <f>owoce5[[#This Row],[rano_dostawa_porzeczek]]+N72</f>
        <v>546</v>
      </c>
      <c r="H73" t="str" cm="1">
        <f t="array" ref="H7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3" t="str" cm="1">
        <f t="array" ref="I7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73" t="str">
        <f>_xlfn.CONCAT(owoce5[[#This Row],[jaka_konfitura_pierwszy]],"-",owoce5[[#This Row],[jaka_konfitura_drugi]])</f>
        <v>truskawki-porzeczki</v>
      </c>
      <c r="K73" s="4">
        <f>LARGE(owoce5[[#This Row],[stan_malin]:[stan_porzeczek]],2)</f>
        <v>546</v>
      </c>
      <c r="L73" s="4">
        <f>IF(OR(owoce5[[#This Row],[jaka_konfitura_pierwszy]]="maliny",owoce5[[#This Row],[jaka_konfitura_drugi]]="maliny"),owoce5[[#This Row],[stan_malin]]-owoce5[[#This Row],[Ile_kilogramów_konfitury]],owoce5[[#This Row],[stan_malin]])</f>
        <v>307</v>
      </c>
      <c r="M73" s="4">
        <f>IF(OR(owoce5[[#This Row],[jaka_konfitura_pierwszy]]="truskawki",owoce5[[#This Row],[jaka_konfitura_drugi]]="truskawki"),owoce5[[#This Row],[stan_truskawek]]-owoce5[[#This Row],[Ile_kilogramów_konfitury]],owoce5[[#This Row],[stan_truskawek]])</f>
        <v>140</v>
      </c>
      <c r="N7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74" spans="1:14" x14ac:dyDescent="0.25">
      <c r="A74" s="1">
        <v>44024</v>
      </c>
      <c r="B74">
        <v>441</v>
      </c>
      <c r="C74">
        <v>271</v>
      </c>
      <c r="D74">
        <v>292</v>
      </c>
      <c r="E74">
        <f>L73+owoce5[[#This Row],[rano_dostawa_malin]]</f>
        <v>748</v>
      </c>
      <c r="F74">
        <f>owoce5[[#This Row],[rano_dostawa_truskawek]]+M73</f>
        <v>411</v>
      </c>
      <c r="G74">
        <f>owoce5[[#This Row],[rano_dostawa_porzeczek]]+N73</f>
        <v>292</v>
      </c>
      <c r="H74" t="str" cm="1">
        <f t="array" ref="H7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74" t="str" cm="1">
        <f t="array" ref="I7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74" t="str">
        <f>_xlfn.CONCAT(owoce5[[#This Row],[jaka_konfitura_pierwszy]],"-",owoce5[[#This Row],[jaka_konfitura_drugi]])</f>
        <v>maliny-truskawki</v>
      </c>
      <c r="K74" s="4">
        <f>LARGE(owoce5[[#This Row],[stan_malin]:[stan_porzeczek]],2)</f>
        <v>411</v>
      </c>
      <c r="L74" s="4">
        <f>IF(OR(owoce5[[#This Row],[jaka_konfitura_pierwszy]]="maliny",owoce5[[#This Row],[jaka_konfitura_drugi]]="maliny"),owoce5[[#This Row],[stan_malin]]-owoce5[[#This Row],[Ile_kilogramów_konfitury]],owoce5[[#This Row],[stan_malin]])</f>
        <v>337</v>
      </c>
      <c r="M7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74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292</v>
      </c>
    </row>
    <row r="75" spans="1:14" x14ac:dyDescent="0.25">
      <c r="A75" s="1">
        <v>44025</v>
      </c>
      <c r="B75">
        <v>407</v>
      </c>
      <c r="C75">
        <v>311</v>
      </c>
      <c r="D75">
        <v>280</v>
      </c>
      <c r="E75">
        <f>L74+owoce5[[#This Row],[rano_dostawa_malin]]</f>
        <v>744</v>
      </c>
      <c r="F75">
        <f>owoce5[[#This Row],[rano_dostawa_truskawek]]+M74</f>
        <v>311</v>
      </c>
      <c r="G75">
        <f>owoce5[[#This Row],[rano_dostawa_porzeczek]]+N74</f>
        <v>572</v>
      </c>
      <c r="H75" t="str" cm="1">
        <f t="array" ref="H7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75" t="str" cm="1">
        <f t="array" ref="I7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75" t="str">
        <f>_xlfn.CONCAT(owoce5[[#This Row],[jaka_konfitura_pierwszy]],"-",owoce5[[#This Row],[jaka_konfitura_drugi]])</f>
        <v>maliny-porzeczki</v>
      </c>
      <c r="K75" s="4">
        <f>LARGE(owoce5[[#This Row],[stan_malin]:[stan_porzeczek]],2)</f>
        <v>572</v>
      </c>
      <c r="L75" s="4">
        <f>IF(OR(owoce5[[#This Row],[jaka_konfitura_pierwszy]]="maliny",owoce5[[#This Row],[jaka_konfitura_drugi]]="maliny"),owoce5[[#This Row],[stan_malin]]-owoce5[[#This Row],[Ile_kilogramów_konfitury]],owoce5[[#This Row],[stan_malin]])</f>
        <v>172</v>
      </c>
      <c r="M75" s="4">
        <f>IF(OR(owoce5[[#This Row],[jaka_konfitura_pierwszy]]="truskawki",owoce5[[#This Row],[jaka_konfitura_drugi]]="truskawki"),owoce5[[#This Row],[stan_truskawek]]-owoce5[[#This Row],[Ile_kilogramów_konfitury]],owoce5[[#This Row],[stan_truskawek]])</f>
        <v>311</v>
      </c>
      <c r="N7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76" spans="1:14" x14ac:dyDescent="0.25">
      <c r="A76" s="1">
        <v>44026</v>
      </c>
      <c r="B76">
        <v>480</v>
      </c>
      <c r="C76">
        <v>342</v>
      </c>
      <c r="D76">
        <v>292</v>
      </c>
      <c r="E76">
        <f>L75+owoce5[[#This Row],[rano_dostawa_malin]]</f>
        <v>652</v>
      </c>
      <c r="F76">
        <f>owoce5[[#This Row],[rano_dostawa_truskawek]]+M75</f>
        <v>653</v>
      </c>
      <c r="G76">
        <f>owoce5[[#This Row],[rano_dostawa_porzeczek]]+N75</f>
        <v>292</v>
      </c>
      <c r="H76" t="str" cm="1">
        <f t="array" ref="H7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6" t="str" cm="1">
        <f t="array" ref="I7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76" t="str">
        <f>_xlfn.CONCAT(owoce5[[#This Row],[jaka_konfitura_pierwszy]],"-",owoce5[[#This Row],[jaka_konfitura_drugi]])</f>
        <v>truskawki-maliny</v>
      </c>
      <c r="K76" s="4">
        <f>LARGE(owoce5[[#This Row],[stan_malin]:[stan_porzeczek]],2)</f>
        <v>652</v>
      </c>
      <c r="L76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76" s="4">
        <f>IF(OR(owoce5[[#This Row],[jaka_konfitura_pierwszy]]="truskawki",owoce5[[#This Row],[jaka_konfitura_drugi]]="truskawki"),owoce5[[#This Row],[stan_truskawek]]-owoce5[[#This Row],[Ile_kilogramów_konfitury]],owoce5[[#This Row],[stan_truskawek]])</f>
        <v>1</v>
      </c>
      <c r="N76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292</v>
      </c>
    </row>
    <row r="77" spans="1:14" x14ac:dyDescent="0.25">
      <c r="A77" s="1">
        <v>44027</v>
      </c>
      <c r="B77">
        <v>494</v>
      </c>
      <c r="C77">
        <v>310</v>
      </c>
      <c r="D77">
        <v>275</v>
      </c>
      <c r="E77">
        <f>L76+owoce5[[#This Row],[rano_dostawa_malin]]</f>
        <v>494</v>
      </c>
      <c r="F77">
        <f>owoce5[[#This Row],[rano_dostawa_truskawek]]+M76</f>
        <v>311</v>
      </c>
      <c r="G77">
        <f>owoce5[[#This Row],[rano_dostawa_porzeczek]]+N76</f>
        <v>567</v>
      </c>
      <c r="H77" t="str" cm="1">
        <f t="array" ref="H7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77" t="str" cm="1">
        <f t="array" ref="I7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77" t="str">
        <f>_xlfn.CONCAT(owoce5[[#This Row],[jaka_konfitura_pierwszy]],"-",owoce5[[#This Row],[jaka_konfitura_drugi]])</f>
        <v>porzeczki-maliny</v>
      </c>
      <c r="K77" s="4">
        <f>LARGE(owoce5[[#This Row],[stan_malin]:[stan_porzeczek]],2)</f>
        <v>494</v>
      </c>
      <c r="L77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77" s="4">
        <f>IF(OR(owoce5[[#This Row],[jaka_konfitura_pierwszy]]="truskawki",owoce5[[#This Row],[jaka_konfitura_drugi]]="truskawki"),owoce5[[#This Row],[stan_truskawek]]-owoce5[[#This Row],[Ile_kilogramów_konfitury]],owoce5[[#This Row],[stan_truskawek]])</f>
        <v>311</v>
      </c>
      <c r="N77" s="4">
        <f>IF(OR(owoce5[[#This Row],[jaka_konfitura_pierwszy]]="porzeczki",owoce5[[#This Row],[jaka_konfitura_drugi]]="porzeczki"),owoce5[[#This Row],[stan_porzeczek]]-owoce5[[#This Row],[Ile_kilogramów_konfitury]],owoce5[[#This Row],[stan_porzeczek]])</f>
        <v>73</v>
      </c>
    </row>
    <row r="78" spans="1:14" x14ac:dyDescent="0.25">
      <c r="A78" s="1">
        <v>44028</v>
      </c>
      <c r="B78">
        <v>493</v>
      </c>
      <c r="C78">
        <v>431</v>
      </c>
      <c r="D78">
        <v>283</v>
      </c>
      <c r="E78">
        <f>L77+owoce5[[#This Row],[rano_dostawa_malin]]</f>
        <v>493</v>
      </c>
      <c r="F78">
        <f>owoce5[[#This Row],[rano_dostawa_truskawek]]+M77</f>
        <v>742</v>
      </c>
      <c r="G78">
        <f>owoce5[[#This Row],[rano_dostawa_porzeczek]]+N77</f>
        <v>356</v>
      </c>
      <c r="H78" t="str" cm="1">
        <f t="array" ref="H7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8" t="str" cm="1">
        <f t="array" ref="I7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78" t="str">
        <f>_xlfn.CONCAT(owoce5[[#This Row],[jaka_konfitura_pierwszy]],"-",owoce5[[#This Row],[jaka_konfitura_drugi]])</f>
        <v>truskawki-maliny</v>
      </c>
      <c r="K78" s="4">
        <f>LARGE(owoce5[[#This Row],[stan_malin]:[stan_porzeczek]],2)</f>
        <v>493</v>
      </c>
      <c r="L7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78" s="4">
        <f>IF(OR(owoce5[[#This Row],[jaka_konfitura_pierwszy]]="truskawki",owoce5[[#This Row],[jaka_konfitura_drugi]]="truskawki"),owoce5[[#This Row],[stan_truskawek]]-owoce5[[#This Row],[Ile_kilogramów_konfitury]],owoce5[[#This Row],[stan_truskawek]])</f>
        <v>249</v>
      </c>
      <c r="N78" s="4">
        <f>IF(OR(owoce5[[#This Row],[jaka_konfitura_pierwszy]]="porzeczki",owoce5[[#This Row],[jaka_konfitura_drugi]]="porzeczki"),owoce5[[#This Row],[stan_porzeczek]]-owoce5[[#This Row],[Ile_kilogramów_konfitury]],owoce5[[#This Row],[stan_porzeczek]])</f>
        <v>356</v>
      </c>
    </row>
    <row r="79" spans="1:14" x14ac:dyDescent="0.25">
      <c r="A79" s="1">
        <v>44029</v>
      </c>
      <c r="B79">
        <v>302</v>
      </c>
      <c r="C79">
        <v>415</v>
      </c>
      <c r="D79">
        <v>297</v>
      </c>
      <c r="E79">
        <f>L78+owoce5[[#This Row],[rano_dostawa_malin]]</f>
        <v>302</v>
      </c>
      <c r="F79">
        <f>owoce5[[#This Row],[rano_dostawa_truskawek]]+M78</f>
        <v>664</v>
      </c>
      <c r="G79">
        <f>owoce5[[#This Row],[rano_dostawa_porzeczek]]+N78</f>
        <v>653</v>
      </c>
      <c r="H79" t="str" cm="1">
        <f t="array" ref="H7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79" t="str" cm="1">
        <f t="array" ref="I7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79" t="str">
        <f>_xlfn.CONCAT(owoce5[[#This Row],[jaka_konfitura_pierwszy]],"-",owoce5[[#This Row],[jaka_konfitura_drugi]])</f>
        <v>truskawki-porzeczki</v>
      </c>
      <c r="K79" s="4">
        <f>LARGE(owoce5[[#This Row],[stan_malin]:[stan_porzeczek]],2)</f>
        <v>653</v>
      </c>
      <c r="L79" s="4">
        <f>IF(OR(owoce5[[#This Row],[jaka_konfitura_pierwszy]]="maliny",owoce5[[#This Row],[jaka_konfitura_drugi]]="maliny"),owoce5[[#This Row],[stan_malin]]-owoce5[[#This Row],[Ile_kilogramów_konfitury]],owoce5[[#This Row],[stan_malin]])</f>
        <v>302</v>
      </c>
      <c r="M79" s="4">
        <f>IF(OR(owoce5[[#This Row],[jaka_konfitura_pierwszy]]="truskawki",owoce5[[#This Row],[jaka_konfitura_drugi]]="truskawki"),owoce5[[#This Row],[stan_truskawek]]-owoce5[[#This Row],[Ile_kilogramów_konfitury]],owoce5[[#This Row],[stan_truskawek]])</f>
        <v>11</v>
      </c>
      <c r="N79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80" spans="1:14" x14ac:dyDescent="0.25">
      <c r="A80" s="1">
        <v>44030</v>
      </c>
      <c r="B80">
        <v>331</v>
      </c>
      <c r="C80">
        <v>353</v>
      </c>
      <c r="D80">
        <v>373</v>
      </c>
      <c r="E80">
        <f>L79+owoce5[[#This Row],[rano_dostawa_malin]]</f>
        <v>633</v>
      </c>
      <c r="F80">
        <f>owoce5[[#This Row],[rano_dostawa_truskawek]]+M79</f>
        <v>364</v>
      </c>
      <c r="G80">
        <f>owoce5[[#This Row],[rano_dostawa_porzeczek]]+N79</f>
        <v>373</v>
      </c>
      <c r="H80" t="str" cm="1">
        <f t="array" ref="H8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80" t="str" cm="1">
        <f t="array" ref="I8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80" t="str">
        <f>_xlfn.CONCAT(owoce5[[#This Row],[jaka_konfitura_pierwszy]],"-",owoce5[[#This Row],[jaka_konfitura_drugi]])</f>
        <v>maliny-porzeczki</v>
      </c>
      <c r="K80" s="4">
        <f>LARGE(owoce5[[#This Row],[stan_malin]:[stan_porzeczek]],2)</f>
        <v>373</v>
      </c>
      <c r="L80" s="4">
        <f>IF(OR(owoce5[[#This Row],[jaka_konfitura_pierwszy]]="maliny",owoce5[[#This Row],[jaka_konfitura_drugi]]="maliny"),owoce5[[#This Row],[stan_malin]]-owoce5[[#This Row],[Ile_kilogramów_konfitury]],owoce5[[#This Row],[stan_malin]])</f>
        <v>260</v>
      </c>
      <c r="M8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364</v>
      </c>
      <c r="N8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81" spans="1:14" x14ac:dyDescent="0.25">
      <c r="A81" s="1">
        <v>44031</v>
      </c>
      <c r="B81">
        <v>486</v>
      </c>
      <c r="C81">
        <v>323</v>
      </c>
      <c r="D81">
        <v>359</v>
      </c>
      <c r="E81">
        <f>L80+owoce5[[#This Row],[rano_dostawa_malin]]</f>
        <v>746</v>
      </c>
      <c r="F81">
        <f>owoce5[[#This Row],[rano_dostawa_truskawek]]+M80</f>
        <v>687</v>
      </c>
      <c r="G81">
        <f>owoce5[[#This Row],[rano_dostawa_porzeczek]]+N80</f>
        <v>359</v>
      </c>
      <c r="H81" t="str" cm="1">
        <f t="array" ref="H8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81" t="str" cm="1">
        <f t="array" ref="I8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81" t="str">
        <f>_xlfn.CONCAT(owoce5[[#This Row],[jaka_konfitura_pierwszy]],"-",owoce5[[#This Row],[jaka_konfitura_drugi]])</f>
        <v>maliny-truskawki</v>
      </c>
      <c r="K81" s="4">
        <f>LARGE(owoce5[[#This Row],[stan_malin]:[stan_porzeczek]],2)</f>
        <v>687</v>
      </c>
      <c r="L81" s="4">
        <f>IF(OR(owoce5[[#This Row],[jaka_konfitura_pierwszy]]="maliny",owoce5[[#This Row],[jaka_konfitura_drugi]]="maliny"),owoce5[[#This Row],[stan_malin]]-owoce5[[#This Row],[Ile_kilogramów_konfitury]],owoce5[[#This Row],[stan_malin]])</f>
        <v>59</v>
      </c>
      <c r="M81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81" s="4">
        <f>IF(OR(owoce5[[#This Row],[jaka_konfitura_pierwszy]]="porzeczki",owoce5[[#This Row],[jaka_konfitura_drugi]]="porzeczki"),owoce5[[#This Row],[stan_porzeczek]]-owoce5[[#This Row],[Ile_kilogramów_konfitury]],owoce5[[#This Row],[stan_porzeczek]])</f>
        <v>359</v>
      </c>
    </row>
    <row r="82" spans="1:14" x14ac:dyDescent="0.25">
      <c r="A82" s="1">
        <v>44032</v>
      </c>
      <c r="B82">
        <v>360</v>
      </c>
      <c r="C82">
        <v>331</v>
      </c>
      <c r="D82">
        <v>445</v>
      </c>
      <c r="E82">
        <f>L81+owoce5[[#This Row],[rano_dostawa_malin]]</f>
        <v>419</v>
      </c>
      <c r="F82">
        <f>owoce5[[#This Row],[rano_dostawa_truskawek]]+M81</f>
        <v>331</v>
      </c>
      <c r="G82">
        <f>owoce5[[#This Row],[rano_dostawa_porzeczek]]+N81</f>
        <v>804</v>
      </c>
      <c r="H82" t="str" cm="1">
        <f t="array" ref="H8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82" t="str" cm="1">
        <f t="array" ref="I8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82" t="str">
        <f>_xlfn.CONCAT(owoce5[[#This Row],[jaka_konfitura_pierwszy]],"-",owoce5[[#This Row],[jaka_konfitura_drugi]])</f>
        <v>porzeczki-maliny</v>
      </c>
      <c r="K82" s="4">
        <f>LARGE(owoce5[[#This Row],[stan_malin]:[stan_porzeczek]],2)</f>
        <v>419</v>
      </c>
      <c r="L82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82" s="4">
        <f>IF(OR(owoce5[[#This Row],[jaka_konfitura_pierwszy]]="truskawki",owoce5[[#This Row],[jaka_konfitura_drugi]]="truskawki"),owoce5[[#This Row],[stan_truskawek]]-owoce5[[#This Row],[Ile_kilogramów_konfitury]],owoce5[[#This Row],[stan_truskawek]])</f>
        <v>331</v>
      </c>
      <c r="N82" s="4">
        <f>IF(OR(owoce5[[#This Row],[jaka_konfitura_pierwszy]]="porzeczki",owoce5[[#This Row],[jaka_konfitura_drugi]]="porzeczki"),owoce5[[#This Row],[stan_porzeczek]]-owoce5[[#This Row],[Ile_kilogramów_konfitury]],owoce5[[#This Row],[stan_porzeczek]])</f>
        <v>385</v>
      </c>
    </row>
    <row r="83" spans="1:14" x14ac:dyDescent="0.25">
      <c r="A83" s="1">
        <v>44033</v>
      </c>
      <c r="B83">
        <v>391</v>
      </c>
      <c r="C83">
        <v>455</v>
      </c>
      <c r="D83">
        <v>427</v>
      </c>
      <c r="E83">
        <f>L82+owoce5[[#This Row],[rano_dostawa_malin]]</f>
        <v>391</v>
      </c>
      <c r="F83">
        <f>owoce5[[#This Row],[rano_dostawa_truskawek]]+M82</f>
        <v>786</v>
      </c>
      <c r="G83">
        <f>owoce5[[#This Row],[rano_dostawa_porzeczek]]+N82</f>
        <v>812</v>
      </c>
      <c r="H83" t="str" cm="1">
        <f t="array" ref="H8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83" t="str" cm="1">
        <f t="array" ref="I8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83" t="str">
        <f>_xlfn.CONCAT(owoce5[[#This Row],[jaka_konfitura_pierwszy]],"-",owoce5[[#This Row],[jaka_konfitura_drugi]])</f>
        <v>porzeczki-truskawki</v>
      </c>
      <c r="K83" s="4">
        <f>LARGE(owoce5[[#This Row],[stan_malin]:[stan_porzeczek]],2)</f>
        <v>786</v>
      </c>
      <c r="L83" s="4">
        <f>IF(OR(owoce5[[#This Row],[jaka_konfitura_pierwszy]]="maliny",owoce5[[#This Row],[jaka_konfitura_drugi]]="maliny"),owoce5[[#This Row],[stan_malin]]-owoce5[[#This Row],[Ile_kilogramów_konfitury]],owoce5[[#This Row],[stan_malin]])</f>
        <v>391</v>
      </c>
      <c r="M8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83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</v>
      </c>
    </row>
    <row r="84" spans="1:14" x14ac:dyDescent="0.25">
      <c r="A84" s="1">
        <v>44034</v>
      </c>
      <c r="B84">
        <v>327</v>
      </c>
      <c r="C84">
        <v>471</v>
      </c>
      <c r="D84">
        <v>423</v>
      </c>
      <c r="E84">
        <f>L83+owoce5[[#This Row],[rano_dostawa_malin]]</f>
        <v>718</v>
      </c>
      <c r="F84">
        <f>owoce5[[#This Row],[rano_dostawa_truskawek]]+M83</f>
        <v>471</v>
      </c>
      <c r="G84">
        <f>owoce5[[#This Row],[rano_dostawa_porzeczek]]+N83</f>
        <v>449</v>
      </c>
      <c r="H84" t="str" cm="1">
        <f t="array" ref="H8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84" t="str" cm="1">
        <f t="array" ref="I8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84" t="str">
        <f>_xlfn.CONCAT(owoce5[[#This Row],[jaka_konfitura_pierwszy]],"-",owoce5[[#This Row],[jaka_konfitura_drugi]])</f>
        <v>maliny-truskawki</v>
      </c>
      <c r="K84" s="4">
        <f>LARGE(owoce5[[#This Row],[stan_malin]:[stan_porzeczek]],2)</f>
        <v>471</v>
      </c>
      <c r="L84" s="4">
        <f>IF(OR(owoce5[[#This Row],[jaka_konfitura_pierwszy]]="maliny",owoce5[[#This Row],[jaka_konfitura_drugi]]="maliny"),owoce5[[#This Row],[stan_malin]]-owoce5[[#This Row],[Ile_kilogramów_konfitury]],owoce5[[#This Row],[stan_malin]])</f>
        <v>247</v>
      </c>
      <c r="M8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84" s="4">
        <f>IF(OR(owoce5[[#This Row],[jaka_konfitura_pierwszy]]="porzeczki",owoce5[[#This Row],[jaka_konfitura_drugi]]="porzeczki"),owoce5[[#This Row],[stan_porzeczek]]-owoce5[[#This Row],[Ile_kilogramów_konfitury]],owoce5[[#This Row],[stan_porzeczek]])</f>
        <v>449</v>
      </c>
    </row>
    <row r="85" spans="1:14" x14ac:dyDescent="0.25">
      <c r="A85" s="1">
        <v>44035</v>
      </c>
      <c r="B85">
        <v>355</v>
      </c>
      <c r="C85">
        <v>490</v>
      </c>
      <c r="D85">
        <v>449</v>
      </c>
      <c r="E85">
        <f>L84+owoce5[[#This Row],[rano_dostawa_malin]]</f>
        <v>602</v>
      </c>
      <c r="F85">
        <f>owoce5[[#This Row],[rano_dostawa_truskawek]]+M84</f>
        <v>490</v>
      </c>
      <c r="G85">
        <f>owoce5[[#This Row],[rano_dostawa_porzeczek]]+N84</f>
        <v>898</v>
      </c>
      <c r="H85" t="str" cm="1">
        <f t="array" ref="H8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85" t="str" cm="1">
        <f t="array" ref="I8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85" t="str">
        <f>_xlfn.CONCAT(owoce5[[#This Row],[jaka_konfitura_pierwszy]],"-",owoce5[[#This Row],[jaka_konfitura_drugi]])</f>
        <v>porzeczki-maliny</v>
      </c>
      <c r="K85" s="4">
        <f>LARGE(owoce5[[#This Row],[stan_malin]:[stan_porzeczek]],2)</f>
        <v>602</v>
      </c>
      <c r="L85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85" s="4">
        <f>IF(OR(owoce5[[#This Row],[jaka_konfitura_pierwszy]]="truskawki",owoce5[[#This Row],[jaka_konfitura_drugi]]="truskawki"),owoce5[[#This Row],[stan_truskawek]]-owoce5[[#This Row],[Ile_kilogramów_konfitury]],owoce5[[#This Row],[stan_truskawek]])</f>
        <v>490</v>
      </c>
      <c r="N85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296</v>
      </c>
    </row>
    <row r="86" spans="1:14" x14ac:dyDescent="0.25">
      <c r="A86" s="1">
        <v>44036</v>
      </c>
      <c r="B86">
        <v>360</v>
      </c>
      <c r="C86">
        <v>339</v>
      </c>
      <c r="D86">
        <v>470</v>
      </c>
      <c r="E86">
        <f>L85+owoce5[[#This Row],[rano_dostawa_malin]]</f>
        <v>360</v>
      </c>
      <c r="F86">
        <f>owoce5[[#This Row],[rano_dostawa_truskawek]]+M85</f>
        <v>829</v>
      </c>
      <c r="G86">
        <f>owoce5[[#This Row],[rano_dostawa_porzeczek]]+N85</f>
        <v>766</v>
      </c>
      <c r="H86" t="str" cm="1">
        <f t="array" ref="H8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86" t="str" cm="1">
        <f t="array" ref="I8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86" t="str">
        <f>_xlfn.CONCAT(owoce5[[#This Row],[jaka_konfitura_pierwszy]],"-",owoce5[[#This Row],[jaka_konfitura_drugi]])</f>
        <v>truskawki-porzeczki</v>
      </c>
      <c r="K86" s="4">
        <f>LARGE(owoce5[[#This Row],[stan_malin]:[stan_porzeczek]],2)</f>
        <v>766</v>
      </c>
      <c r="L86" s="4">
        <f>IF(OR(owoce5[[#This Row],[jaka_konfitura_pierwszy]]="maliny",owoce5[[#This Row],[jaka_konfitura_drugi]]="maliny"),owoce5[[#This Row],[stan_malin]]-owoce5[[#This Row],[Ile_kilogramów_konfitury]],owoce5[[#This Row],[stan_malin]])</f>
        <v>360</v>
      </c>
      <c r="M86" s="4">
        <f>IF(OR(owoce5[[#This Row],[jaka_konfitura_pierwszy]]="truskawki",owoce5[[#This Row],[jaka_konfitura_drugi]]="truskawki"),owoce5[[#This Row],[stan_truskawek]]-owoce5[[#This Row],[Ile_kilogramów_konfitury]],owoce5[[#This Row],[stan_truskawek]])</f>
        <v>63</v>
      </c>
      <c r="N86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87" spans="1:14" x14ac:dyDescent="0.25">
      <c r="A87" s="1">
        <v>44037</v>
      </c>
      <c r="B87">
        <v>303</v>
      </c>
      <c r="C87">
        <v>404</v>
      </c>
      <c r="D87">
        <v>434</v>
      </c>
      <c r="E87">
        <f>L86+owoce5[[#This Row],[rano_dostawa_malin]]</f>
        <v>663</v>
      </c>
      <c r="F87">
        <f>owoce5[[#This Row],[rano_dostawa_truskawek]]+M86</f>
        <v>467</v>
      </c>
      <c r="G87">
        <f>owoce5[[#This Row],[rano_dostawa_porzeczek]]+N86</f>
        <v>434</v>
      </c>
      <c r="H87" t="str" cm="1">
        <f t="array" ref="H8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87" t="str" cm="1">
        <f t="array" ref="I8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87" t="str">
        <f>_xlfn.CONCAT(owoce5[[#This Row],[jaka_konfitura_pierwszy]],"-",owoce5[[#This Row],[jaka_konfitura_drugi]])</f>
        <v>maliny-truskawki</v>
      </c>
      <c r="K87" s="4">
        <f>LARGE(owoce5[[#This Row],[stan_malin]:[stan_porzeczek]],2)</f>
        <v>467</v>
      </c>
      <c r="L87" s="4">
        <f>IF(OR(owoce5[[#This Row],[jaka_konfitura_pierwszy]]="maliny",owoce5[[#This Row],[jaka_konfitura_drugi]]="maliny"),owoce5[[#This Row],[stan_malin]]-owoce5[[#This Row],[Ile_kilogramów_konfitury]],owoce5[[#This Row],[stan_malin]])</f>
        <v>196</v>
      </c>
      <c r="M87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87" s="4">
        <f>IF(OR(owoce5[[#This Row],[jaka_konfitura_pierwszy]]="porzeczki",owoce5[[#This Row],[jaka_konfitura_drugi]]="porzeczki"),owoce5[[#This Row],[stan_porzeczek]]-owoce5[[#This Row],[Ile_kilogramów_konfitury]],owoce5[[#This Row],[stan_porzeczek]])</f>
        <v>434</v>
      </c>
    </row>
    <row r="88" spans="1:14" x14ac:dyDescent="0.25">
      <c r="A88" s="1">
        <v>44038</v>
      </c>
      <c r="B88">
        <v>310</v>
      </c>
      <c r="C88">
        <v>332</v>
      </c>
      <c r="D88">
        <v>536</v>
      </c>
      <c r="E88">
        <f>L87+owoce5[[#This Row],[rano_dostawa_malin]]</f>
        <v>506</v>
      </c>
      <c r="F88">
        <f>owoce5[[#This Row],[rano_dostawa_truskawek]]+M87</f>
        <v>332</v>
      </c>
      <c r="G88">
        <f>owoce5[[#This Row],[rano_dostawa_porzeczek]]+N87</f>
        <v>970</v>
      </c>
      <c r="H88" t="str" cm="1">
        <f t="array" ref="H8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88" t="str" cm="1">
        <f t="array" ref="I8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88" t="str">
        <f>_xlfn.CONCAT(owoce5[[#This Row],[jaka_konfitura_pierwszy]],"-",owoce5[[#This Row],[jaka_konfitura_drugi]])</f>
        <v>porzeczki-maliny</v>
      </c>
      <c r="K88" s="4">
        <f>LARGE(owoce5[[#This Row],[stan_malin]:[stan_porzeczek]],2)</f>
        <v>506</v>
      </c>
      <c r="L8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88" s="4">
        <f>IF(OR(owoce5[[#This Row],[jaka_konfitura_pierwszy]]="truskawki",owoce5[[#This Row],[jaka_konfitura_drugi]]="truskawki"),owoce5[[#This Row],[stan_truskawek]]-owoce5[[#This Row],[Ile_kilogramów_konfitury]],owoce5[[#This Row],[stan_truskawek]])</f>
        <v>332</v>
      </c>
      <c r="N88" s="4">
        <f>IF(OR(owoce5[[#This Row],[jaka_konfitura_pierwszy]]="porzeczki",owoce5[[#This Row],[jaka_konfitura_drugi]]="porzeczki"),owoce5[[#This Row],[stan_porzeczek]]-owoce5[[#This Row],[Ile_kilogramów_konfitury]],owoce5[[#This Row],[stan_porzeczek]])</f>
        <v>464</v>
      </c>
    </row>
    <row r="89" spans="1:14" x14ac:dyDescent="0.25">
      <c r="A89" s="1">
        <v>44039</v>
      </c>
      <c r="B89">
        <v>435</v>
      </c>
      <c r="C89">
        <v>406</v>
      </c>
      <c r="D89">
        <v>421</v>
      </c>
      <c r="E89">
        <f>L88+owoce5[[#This Row],[rano_dostawa_malin]]</f>
        <v>435</v>
      </c>
      <c r="F89">
        <f>owoce5[[#This Row],[rano_dostawa_truskawek]]+M88</f>
        <v>738</v>
      </c>
      <c r="G89">
        <f>owoce5[[#This Row],[rano_dostawa_porzeczek]]+N88</f>
        <v>885</v>
      </c>
      <c r="H89" t="str" cm="1">
        <f t="array" ref="H8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89" t="str" cm="1">
        <f t="array" ref="I8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89" t="str">
        <f>_xlfn.CONCAT(owoce5[[#This Row],[jaka_konfitura_pierwszy]],"-",owoce5[[#This Row],[jaka_konfitura_drugi]])</f>
        <v>porzeczki-truskawki</v>
      </c>
      <c r="K89" s="4">
        <f>LARGE(owoce5[[#This Row],[stan_malin]:[stan_porzeczek]],2)</f>
        <v>738</v>
      </c>
      <c r="L89" s="4">
        <f>IF(OR(owoce5[[#This Row],[jaka_konfitura_pierwszy]]="maliny",owoce5[[#This Row],[jaka_konfitura_drugi]]="maliny"),owoce5[[#This Row],[stan_malin]]-owoce5[[#This Row],[Ile_kilogramów_konfitury]],owoce5[[#This Row],[stan_malin]])</f>
        <v>435</v>
      </c>
      <c r="M8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89" s="4">
        <f>IF(OR(owoce5[[#This Row],[jaka_konfitura_pierwszy]]="porzeczki",owoce5[[#This Row],[jaka_konfitura_drugi]]="porzeczki"),owoce5[[#This Row],[stan_porzeczek]]-owoce5[[#This Row],[Ile_kilogramów_konfitury]],owoce5[[#This Row],[stan_porzeczek]])</f>
        <v>147</v>
      </c>
    </row>
    <row r="90" spans="1:14" x14ac:dyDescent="0.25">
      <c r="A90" s="1">
        <v>44040</v>
      </c>
      <c r="B90">
        <v>344</v>
      </c>
      <c r="C90">
        <v>348</v>
      </c>
      <c r="D90">
        <v>555</v>
      </c>
      <c r="E90">
        <f>L89+owoce5[[#This Row],[rano_dostawa_malin]]</f>
        <v>779</v>
      </c>
      <c r="F90">
        <f>owoce5[[#This Row],[rano_dostawa_truskawek]]+M89</f>
        <v>348</v>
      </c>
      <c r="G90">
        <f>owoce5[[#This Row],[rano_dostawa_porzeczek]]+N89</f>
        <v>702</v>
      </c>
      <c r="H90" t="str" cm="1">
        <f t="array" ref="H9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90" t="str" cm="1">
        <f t="array" ref="I9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0" t="str">
        <f>_xlfn.CONCAT(owoce5[[#This Row],[jaka_konfitura_pierwszy]],"-",owoce5[[#This Row],[jaka_konfitura_drugi]])</f>
        <v>maliny-porzeczki</v>
      </c>
      <c r="K90" s="4">
        <f>LARGE(owoce5[[#This Row],[stan_malin]:[stan_porzeczek]],2)</f>
        <v>702</v>
      </c>
      <c r="L90" s="4">
        <f>IF(OR(owoce5[[#This Row],[jaka_konfitura_pierwszy]]="maliny",owoce5[[#This Row],[jaka_konfitura_drugi]]="maliny"),owoce5[[#This Row],[stan_malin]]-owoce5[[#This Row],[Ile_kilogramów_konfitury]],owoce5[[#This Row],[stan_malin]])</f>
        <v>77</v>
      </c>
      <c r="M9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348</v>
      </c>
      <c r="N9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91" spans="1:14" x14ac:dyDescent="0.25">
      <c r="A91" s="1">
        <v>44041</v>
      </c>
      <c r="B91">
        <v>303</v>
      </c>
      <c r="C91">
        <v>335</v>
      </c>
      <c r="D91">
        <v>436</v>
      </c>
      <c r="E91">
        <f>L90+owoce5[[#This Row],[rano_dostawa_malin]]</f>
        <v>380</v>
      </c>
      <c r="F91">
        <f>owoce5[[#This Row],[rano_dostawa_truskawek]]+M90</f>
        <v>683</v>
      </c>
      <c r="G91">
        <f>owoce5[[#This Row],[rano_dostawa_porzeczek]]+N90</f>
        <v>436</v>
      </c>
      <c r="H91" t="str" cm="1">
        <f t="array" ref="H9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91" t="str" cm="1">
        <f t="array" ref="I9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1" t="str">
        <f>_xlfn.CONCAT(owoce5[[#This Row],[jaka_konfitura_pierwszy]],"-",owoce5[[#This Row],[jaka_konfitura_drugi]])</f>
        <v>truskawki-porzeczki</v>
      </c>
      <c r="K91" s="4">
        <f>LARGE(owoce5[[#This Row],[stan_malin]:[stan_porzeczek]],2)</f>
        <v>436</v>
      </c>
      <c r="L91" s="4">
        <f>IF(OR(owoce5[[#This Row],[jaka_konfitura_pierwszy]]="maliny",owoce5[[#This Row],[jaka_konfitura_drugi]]="maliny"),owoce5[[#This Row],[stan_malin]]-owoce5[[#This Row],[Ile_kilogramów_konfitury]],owoce5[[#This Row],[stan_malin]])</f>
        <v>380</v>
      </c>
      <c r="M91" s="4">
        <f>IF(OR(owoce5[[#This Row],[jaka_konfitura_pierwszy]]="truskawki",owoce5[[#This Row],[jaka_konfitura_drugi]]="truskawki"),owoce5[[#This Row],[stan_truskawek]]-owoce5[[#This Row],[Ile_kilogramów_konfitury]],owoce5[[#This Row],[stan_truskawek]])</f>
        <v>247</v>
      </c>
      <c r="N91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92" spans="1:14" x14ac:dyDescent="0.25">
      <c r="A92" s="1">
        <v>44042</v>
      </c>
      <c r="B92">
        <v>433</v>
      </c>
      <c r="C92">
        <v>425</v>
      </c>
      <c r="D92">
        <v>422</v>
      </c>
      <c r="E92">
        <f>L91+owoce5[[#This Row],[rano_dostawa_malin]]</f>
        <v>813</v>
      </c>
      <c r="F92">
        <f>owoce5[[#This Row],[rano_dostawa_truskawek]]+M91</f>
        <v>672</v>
      </c>
      <c r="G92">
        <f>owoce5[[#This Row],[rano_dostawa_porzeczek]]+N91</f>
        <v>422</v>
      </c>
      <c r="H92" t="str" cm="1">
        <f t="array" ref="H9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92" t="str" cm="1">
        <f t="array" ref="I9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92" t="str">
        <f>_xlfn.CONCAT(owoce5[[#This Row],[jaka_konfitura_pierwszy]],"-",owoce5[[#This Row],[jaka_konfitura_drugi]])</f>
        <v>maliny-truskawki</v>
      </c>
      <c r="K92" s="4">
        <f>LARGE(owoce5[[#This Row],[stan_malin]:[stan_porzeczek]],2)</f>
        <v>672</v>
      </c>
      <c r="L92" s="4">
        <f>IF(OR(owoce5[[#This Row],[jaka_konfitura_pierwszy]]="maliny",owoce5[[#This Row],[jaka_konfitura_drugi]]="maliny"),owoce5[[#This Row],[stan_malin]]-owoce5[[#This Row],[Ile_kilogramów_konfitury]],owoce5[[#This Row],[stan_malin]])</f>
        <v>141</v>
      </c>
      <c r="M9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92" s="4">
        <f>IF(OR(owoce5[[#This Row],[jaka_konfitura_pierwszy]]="porzeczki",owoce5[[#This Row],[jaka_konfitura_drugi]]="porzeczki"),owoce5[[#This Row],[stan_porzeczek]]-owoce5[[#This Row],[Ile_kilogramów_konfitury]],owoce5[[#This Row],[stan_porzeczek]])</f>
        <v>422</v>
      </c>
    </row>
    <row r="93" spans="1:14" x14ac:dyDescent="0.25">
      <c r="A93" s="1">
        <v>44043</v>
      </c>
      <c r="B93">
        <v>350</v>
      </c>
      <c r="C93">
        <v>378</v>
      </c>
      <c r="D93">
        <v>419</v>
      </c>
      <c r="E93">
        <f>L92+owoce5[[#This Row],[rano_dostawa_malin]]</f>
        <v>491</v>
      </c>
      <c r="F93">
        <f>owoce5[[#This Row],[rano_dostawa_truskawek]]+M92</f>
        <v>378</v>
      </c>
      <c r="G93">
        <f>owoce5[[#This Row],[rano_dostawa_porzeczek]]+N92</f>
        <v>841</v>
      </c>
      <c r="H93" t="str" cm="1">
        <f t="array" ref="H9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93" t="str" cm="1">
        <f t="array" ref="I9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93" t="str">
        <f>_xlfn.CONCAT(owoce5[[#This Row],[jaka_konfitura_pierwszy]],"-",owoce5[[#This Row],[jaka_konfitura_drugi]])</f>
        <v>porzeczki-maliny</v>
      </c>
      <c r="K93" s="4">
        <f>LARGE(owoce5[[#This Row],[stan_malin]:[stan_porzeczek]],2)</f>
        <v>491</v>
      </c>
      <c r="L93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93" s="4">
        <f>IF(OR(owoce5[[#This Row],[jaka_konfitura_pierwszy]]="truskawki",owoce5[[#This Row],[jaka_konfitura_drugi]]="truskawki"),owoce5[[#This Row],[stan_truskawek]]-owoce5[[#This Row],[Ile_kilogramów_konfitury]],owoce5[[#This Row],[stan_truskawek]])</f>
        <v>378</v>
      </c>
      <c r="N93" s="4">
        <f>IF(OR(owoce5[[#This Row],[jaka_konfitura_pierwszy]]="porzeczki",owoce5[[#This Row],[jaka_konfitura_drugi]]="porzeczki"),owoce5[[#This Row],[stan_porzeczek]]-owoce5[[#This Row],[Ile_kilogramów_konfitury]],owoce5[[#This Row],[stan_porzeczek]])</f>
        <v>350</v>
      </c>
    </row>
    <row r="94" spans="1:14" x14ac:dyDescent="0.25">
      <c r="A94" s="1">
        <v>44044</v>
      </c>
      <c r="B94">
        <v>396</v>
      </c>
      <c r="C94">
        <v>466</v>
      </c>
      <c r="D94">
        <v>434</v>
      </c>
      <c r="E94">
        <f>L93+owoce5[[#This Row],[rano_dostawa_malin]]</f>
        <v>396</v>
      </c>
      <c r="F94">
        <f>owoce5[[#This Row],[rano_dostawa_truskawek]]+M93</f>
        <v>844</v>
      </c>
      <c r="G94">
        <f>owoce5[[#This Row],[rano_dostawa_porzeczek]]+N93</f>
        <v>784</v>
      </c>
      <c r="H94" t="str" cm="1">
        <f t="array" ref="H9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94" t="str" cm="1">
        <f t="array" ref="I9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4" t="str">
        <f>_xlfn.CONCAT(owoce5[[#This Row],[jaka_konfitura_pierwszy]],"-",owoce5[[#This Row],[jaka_konfitura_drugi]])</f>
        <v>truskawki-porzeczki</v>
      </c>
      <c r="K94" s="4">
        <f>LARGE(owoce5[[#This Row],[stan_malin]:[stan_porzeczek]],2)</f>
        <v>784</v>
      </c>
      <c r="L94" s="4">
        <f>IF(OR(owoce5[[#This Row],[jaka_konfitura_pierwszy]]="maliny",owoce5[[#This Row],[jaka_konfitura_drugi]]="maliny"),owoce5[[#This Row],[stan_malin]]-owoce5[[#This Row],[Ile_kilogramów_konfitury]],owoce5[[#This Row],[stan_malin]])</f>
        <v>396</v>
      </c>
      <c r="M94" s="4">
        <f>IF(OR(owoce5[[#This Row],[jaka_konfitura_pierwszy]]="truskawki",owoce5[[#This Row],[jaka_konfitura_drugi]]="truskawki"),owoce5[[#This Row],[stan_truskawek]]-owoce5[[#This Row],[Ile_kilogramów_konfitury]],owoce5[[#This Row],[stan_truskawek]])</f>
        <v>60</v>
      </c>
      <c r="N94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95" spans="1:14" x14ac:dyDescent="0.25">
      <c r="A95" s="1">
        <v>44045</v>
      </c>
      <c r="B95">
        <v>495</v>
      </c>
      <c r="C95">
        <v>410</v>
      </c>
      <c r="D95">
        <v>418</v>
      </c>
      <c r="E95">
        <f>L94+owoce5[[#This Row],[rano_dostawa_malin]]</f>
        <v>891</v>
      </c>
      <c r="F95">
        <f>owoce5[[#This Row],[rano_dostawa_truskawek]]+M94</f>
        <v>470</v>
      </c>
      <c r="G95">
        <f>owoce5[[#This Row],[rano_dostawa_porzeczek]]+N94</f>
        <v>418</v>
      </c>
      <c r="H95" t="str" cm="1">
        <f t="array" ref="H9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95" t="str" cm="1">
        <f t="array" ref="I9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95" t="str">
        <f>_xlfn.CONCAT(owoce5[[#This Row],[jaka_konfitura_pierwszy]],"-",owoce5[[#This Row],[jaka_konfitura_drugi]])</f>
        <v>maliny-truskawki</v>
      </c>
      <c r="K95" s="4">
        <f>LARGE(owoce5[[#This Row],[stan_malin]:[stan_porzeczek]],2)</f>
        <v>470</v>
      </c>
      <c r="L95" s="4">
        <f>IF(OR(owoce5[[#This Row],[jaka_konfitura_pierwszy]]="maliny",owoce5[[#This Row],[jaka_konfitura_drugi]]="maliny"),owoce5[[#This Row],[stan_malin]]-owoce5[[#This Row],[Ile_kilogramów_konfitury]],owoce5[[#This Row],[stan_malin]])</f>
        <v>421</v>
      </c>
      <c r="M95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95" s="4">
        <f>IF(OR(owoce5[[#This Row],[jaka_konfitura_pierwszy]]="porzeczki",owoce5[[#This Row],[jaka_konfitura_drugi]]="porzeczki"),owoce5[[#This Row],[stan_porzeczek]]-owoce5[[#This Row],[Ile_kilogramów_konfitury]],owoce5[[#This Row],[stan_porzeczek]])</f>
        <v>418</v>
      </c>
    </row>
    <row r="96" spans="1:14" x14ac:dyDescent="0.25">
      <c r="A96" s="1">
        <v>44046</v>
      </c>
      <c r="B96">
        <v>420</v>
      </c>
      <c r="C96">
        <v>328</v>
      </c>
      <c r="D96">
        <v>422</v>
      </c>
      <c r="E96">
        <f>L95+owoce5[[#This Row],[rano_dostawa_malin]]</f>
        <v>841</v>
      </c>
      <c r="F96">
        <f>owoce5[[#This Row],[rano_dostawa_truskawek]]+M95</f>
        <v>328</v>
      </c>
      <c r="G96">
        <f>owoce5[[#This Row],[rano_dostawa_porzeczek]]+N95</f>
        <v>840</v>
      </c>
      <c r="H96" t="str" cm="1">
        <f t="array" ref="H9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96" t="str" cm="1">
        <f t="array" ref="I9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6" t="str">
        <f>_xlfn.CONCAT(owoce5[[#This Row],[jaka_konfitura_pierwszy]],"-",owoce5[[#This Row],[jaka_konfitura_drugi]])</f>
        <v>maliny-porzeczki</v>
      </c>
      <c r="K96" s="4">
        <f>LARGE(owoce5[[#This Row],[stan_malin]:[stan_porzeczek]],2)</f>
        <v>840</v>
      </c>
      <c r="L96" s="4">
        <f>IF(OR(owoce5[[#This Row],[jaka_konfitura_pierwszy]]="maliny",owoce5[[#This Row],[jaka_konfitura_drugi]]="maliny"),owoce5[[#This Row],[stan_malin]]-owoce5[[#This Row],[Ile_kilogramów_konfitury]],owoce5[[#This Row],[stan_malin]])</f>
        <v>1</v>
      </c>
      <c r="M96" s="4">
        <f>IF(OR(owoce5[[#This Row],[jaka_konfitura_pierwszy]]="truskawki",owoce5[[#This Row],[jaka_konfitura_drugi]]="truskawki"),owoce5[[#This Row],[stan_truskawek]]-owoce5[[#This Row],[Ile_kilogramów_konfitury]],owoce5[[#This Row],[stan_truskawek]])</f>
        <v>328</v>
      </c>
      <c r="N96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97" spans="1:14" x14ac:dyDescent="0.25">
      <c r="A97" s="1">
        <v>44047</v>
      </c>
      <c r="B97">
        <v>411</v>
      </c>
      <c r="C97">
        <v>481</v>
      </c>
      <c r="D97">
        <v>445</v>
      </c>
      <c r="E97">
        <f>L96+owoce5[[#This Row],[rano_dostawa_malin]]</f>
        <v>412</v>
      </c>
      <c r="F97">
        <f>owoce5[[#This Row],[rano_dostawa_truskawek]]+M96</f>
        <v>809</v>
      </c>
      <c r="G97">
        <f>owoce5[[#This Row],[rano_dostawa_porzeczek]]+N96</f>
        <v>445</v>
      </c>
      <c r="H97" t="str" cm="1">
        <f t="array" ref="H9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97" t="str" cm="1">
        <f t="array" ref="I9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97" t="str">
        <f>_xlfn.CONCAT(owoce5[[#This Row],[jaka_konfitura_pierwszy]],"-",owoce5[[#This Row],[jaka_konfitura_drugi]])</f>
        <v>truskawki-porzeczki</v>
      </c>
      <c r="K97" s="4">
        <f>LARGE(owoce5[[#This Row],[stan_malin]:[stan_porzeczek]],2)</f>
        <v>445</v>
      </c>
      <c r="L97" s="4">
        <f>IF(OR(owoce5[[#This Row],[jaka_konfitura_pierwszy]]="maliny",owoce5[[#This Row],[jaka_konfitura_drugi]]="maliny"),owoce5[[#This Row],[stan_malin]]-owoce5[[#This Row],[Ile_kilogramów_konfitury]],owoce5[[#This Row],[stan_malin]])</f>
        <v>412</v>
      </c>
      <c r="M97" s="4">
        <f>IF(OR(owoce5[[#This Row],[jaka_konfitura_pierwszy]]="truskawki",owoce5[[#This Row],[jaka_konfitura_drugi]]="truskawki"),owoce5[[#This Row],[stan_truskawek]]-owoce5[[#This Row],[Ile_kilogramów_konfitury]],owoce5[[#This Row],[stan_truskawek]])</f>
        <v>364</v>
      </c>
      <c r="N9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98" spans="1:14" x14ac:dyDescent="0.25">
      <c r="A98" s="1">
        <v>44048</v>
      </c>
      <c r="B98">
        <v>317</v>
      </c>
      <c r="C98">
        <v>434</v>
      </c>
      <c r="D98">
        <v>411</v>
      </c>
      <c r="E98">
        <f>L97+owoce5[[#This Row],[rano_dostawa_malin]]</f>
        <v>729</v>
      </c>
      <c r="F98">
        <f>owoce5[[#This Row],[rano_dostawa_truskawek]]+M97</f>
        <v>798</v>
      </c>
      <c r="G98">
        <f>owoce5[[#This Row],[rano_dostawa_porzeczek]]+N97</f>
        <v>411</v>
      </c>
      <c r="H98" t="str" cm="1">
        <f t="array" ref="H9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98" t="str" cm="1">
        <f t="array" ref="I9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98" t="str">
        <f>_xlfn.CONCAT(owoce5[[#This Row],[jaka_konfitura_pierwszy]],"-",owoce5[[#This Row],[jaka_konfitura_drugi]])</f>
        <v>truskawki-maliny</v>
      </c>
      <c r="K98" s="4">
        <f>LARGE(owoce5[[#This Row],[stan_malin]:[stan_porzeczek]],2)</f>
        <v>729</v>
      </c>
      <c r="L9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98" s="4">
        <f>IF(OR(owoce5[[#This Row],[jaka_konfitura_pierwszy]]="truskawki",owoce5[[#This Row],[jaka_konfitura_drugi]]="truskawki"),owoce5[[#This Row],[stan_truskawek]]-owoce5[[#This Row],[Ile_kilogramów_konfitury]],owoce5[[#This Row],[stan_truskawek]])</f>
        <v>69</v>
      </c>
      <c r="N98" s="4">
        <f>IF(OR(owoce5[[#This Row],[jaka_konfitura_pierwszy]]="porzeczki",owoce5[[#This Row],[jaka_konfitura_drugi]]="porzeczki"),owoce5[[#This Row],[stan_porzeczek]]-owoce5[[#This Row],[Ile_kilogramów_konfitury]],owoce5[[#This Row],[stan_porzeczek]])</f>
        <v>411</v>
      </c>
    </row>
    <row r="99" spans="1:14" x14ac:dyDescent="0.25">
      <c r="A99" s="1">
        <v>44049</v>
      </c>
      <c r="B99">
        <v>342</v>
      </c>
      <c r="C99">
        <v>465</v>
      </c>
      <c r="D99">
        <v>417</v>
      </c>
      <c r="E99">
        <f>L98+owoce5[[#This Row],[rano_dostawa_malin]]</f>
        <v>342</v>
      </c>
      <c r="F99">
        <f>owoce5[[#This Row],[rano_dostawa_truskawek]]+M98</f>
        <v>534</v>
      </c>
      <c r="G99">
        <f>owoce5[[#This Row],[rano_dostawa_porzeczek]]+N98</f>
        <v>828</v>
      </c>
      <c r="H99" t="str" cm="1">
        <f t="array" ref="H9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99" t="str" cm="1">
        <f t="array" ref="I9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99" t="str">
        <f>_xlfn.CONCAT(owoce5[[#This Row],[jaka_konfitura_pierwszy]],"-",owoce5[[#This Row],[jaka_konfitura_drugi]])</f>
        <v>porzeczki-truskawki</v>
      </c>
      <c r="K99" s="4">
        <f>LARGE(owoce5[[#This Row],[stan_malin]:[stan_porzeczek]],2)</f>
        <v>534</v>
      </c>
      <c r="L99" s="4">
        <f>IF(OR(owoce5[[#This Row],[jaka_konfitura_pierwszy]]="maliny",owoce5[[#This Row],[jaka_konfitura_drugi]]="maliny"),owoce5[[#This Row],[stan_malin]]-owoce5[[#This Row],[Ile_kilogramów_konfitury]],owoce5[[#This Row],[stan_malin]])</f>
        <v>342</v>
      </c>
      <c r="M9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99" s="4">
        <f>IF(OR(owoce5[[#This Row],[jaka_konfitura_pierwszy]]="porzeczki",owoce5[[#This Row],[jaka_konfitura_drugi]]="porzeczki"),owoce5[[#This Row],[stan_porzeczek]]-owoce5[[#This Row],[Ile_kilogramów_konfitury]],owoce5[[#This Row],[stan_porzeczek]])</f>
        <v>294</v>
      </c>
    </row>
    <row r="100" spans="1:14" x14ac:dyDescent="0.25">
      <c r="A100" s="1">
        <v>44050</v>
      </c>
      <c r="B100">
        <v>450</v>
      </c>
      <c r="C100">
        <v>318</v>
      </c>
      <c r="D100">
        <v>490</v>
      </c>
      <c r="E100">
        <f>L99+owoce5[[#This Row],[rano_dostawa_malin]]</f>
        <v>792</v>
      </c>
      <c r="F100">
        <f>owoce5[[#This Row],[rano_dostawa_truskawek]]+M99</f>
        <v>318</v>
      </c>
      <c r="G100">
        <f>owoce5[[#This Row],[rano_dostawa_porzeczek]]+N99</f>
        <v>784</v>
      </c>
      <c r="H100" t="str" cm="1">
        <f t="array" ref="H10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00" t="str" cm="1">
        <f t="array" ref="I10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00" t="str">
        <f>_xlfn.CONCAT(owoce5[[#This Row],[jaka_konfitura_pierwszy]],"-",owoce5[[#This Row],[jaka_konfitura_drugi]])</f>
        <v>maliny-porzeczki</v>
      </c>
      <c r="K100" s="4">
        <f>LARGE(owoce5[[#This Row],[stan_malin]:[stan_porzeczek]],2)</f>
        <v>784</v>
      </c>
      <c r="L100" s="4">
        <f>IF(OR(owoce5[[#This Row],[jaka_konfitura_pierwszy]]="maliny",owoce5[[#This Row],[jaka_konfitura_drugi]]="maliny"),owoce5[[#This Row],[stan_malin]]-owoce5[[#This Row],[Ile_kilogramów_konfitury]],owoce5[[#This Row],[stan_malin]])</f>
        <v>8</v>
      </c>
      <c r="M10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318</v>
      </c>
      <c r="N10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01" spans="1:14" x14ac:dyDescent="0.25">
      <c r="A101" s="1">
        <v>44051</v>
      </c>
      <c r="B101">
        <v>343</v>
      </c>
      <c r="C101">
        <v>329</v>
      </c>
      <c r="D101">
        <v>345</v>
      </c>
      <c r="E101">
        <f>L100+owoce5[[#This Row],[rano_dostawa_malin]]</f>
        <v>351</v>
      </c>
      <c r="F101">
        <f>owoce5[[#This Row],[rano_dostawa_truskawek]]+M100</f>
        <v>647</v>
      </c>
      <c r="G101">
        <f>owoce5[[#This Row],[rano_dostawa_porzeczek]]+N100</f>
        <v>345</v>
      </c>
      <c r="H101" t="str" cm="1">
        <f t="array" ref="H10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01" t="str" cm="1">
        <f t="array" ref="I10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01" t="str">
        <f>_xlfn.CONCAT(owoce5[[#This Row],[jaka_konfitura_pierwszy]],"-",owoce5[[#This Row],[jaka_konfitura_drugi]])</f>
        <v>truskawki-maliny</v>
      </c>
      <c r="K101" s="4">
        <f>LARGE(owoce5[[#This Row],[stan_malin]:[stan_porzeczek]],2)</f>
        <v>351</v>
      </c>
      <c r="L10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01" s="4">
        <f>IF(OR(owoce5[[#This Row],[jaka_konfitura_pierwszy]]="truskawki",owoce5[[#This Row],[jaka_konfitura_drugi]]="truskawki"),owoce5[[#This Row],[stan_truskawek]]-owoce5[[#This Row],[Ile_kilogramów_konfitury]],owoce5[[#This Row],[stan_truskawek]])</f>
        <v>296</v>
      </c>
      <c r="N101" s="4">
        <f>IF(OR(owoce5[[#This Row],[jaka_konfitura_pierwszy]]="porzeczki",owoce5[[#This Row],[jaka_konfitura_drugi]]="porzeczki"),owoce5[[#This Row],[stan_porzeczek]]-owoce5[[#This Row],[Ile_kilogramów_konfitury]],owoce5[[#This Row],[stan_porzeczek]])</f>
        <v>345</v>
      </c>
    </row>
    <row r="102" spans="1:14" x14ac:dyDescent="0.25">
      <c r="A102" s="1">
        <v>44052</v>
      </c>
      <c r="B102">
        <v>287</v>
      </c>
      <c r="C102">
        <v>328</v>
      </c>
      <c r="D102">
        <v>377</v>
      </c>
      <c r="E102">
        <f>L101+owoce5[[#This Row],[rano_dostawa_malin]]</f>
        <v>287</v>
      </c>
      <c r="F102">
        <f>owoce5[[#This Row],[rano_dostawa_truskawek]]+M101</f>
        <v>624</v>
      </c>
      <c r="G102">
        <f>owoce5[[#This Row],[rano_dostawa_porzeczek]]+N101</f>
        <v>722</v>
      </c>
      <c r="H102" t="str" cm="1">
        <f t="array" ref="H10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02" t="str" cm="1">
        <f t="array" ref="I10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02" t="str">
        <f>_xlfn.CONCAT(owoce5[[#This Row],[jaka_konfitura_pierwszy]],"-",owoce5[[#This Row],[jaka_konfitura_drugi]])</f>
        <v>porzeczki-truskawki</v>
      </c>
      <c r="K102" s="4">
        <f>LARGE(owoce5[[#This Row],[stan_malin]:[stan_porzeczek]],2)</f>
        <v>624</v>
      </c>
      <c r="L102" s="4">
        <f>IF(OR(owoce5[[#This Row],[jaka_konfitura_pierwszy]]="maliny",owoce5[[#This Row],[jaka_konfitura_drugi]]="maliny"),owoce5[[#This Row],[stan_malin]]-owoce5[[#This Row],[Ile_kilogramów_konfitury]],owoce5[[#This Row],[stan_malin]])</f>
        <v>287</v>
      </c>
      <c r="M10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02" s="4">
        <f>IF(OR(owoce5[[#This Row],[jaka_konfitura_pierwszy]]="porzeczki",owoce5[[#This Row],[jaka_konfitura_drugi]]="porzeczki"),owoce5[[#This Row],[stan_porzeczek]]-owoce5[[#This Row],[Ile_kilogramów_konfitury]],owoce5[[#This Row],[stan_porzeczek]])</f>
        <v>98</v>
      </c>
    </row>
    <row r="103" spans="1:14" x14ac:dyDescent="0.25">
      <c r="A103" s="1">
        <v>44053</v>
      </c>
      <c r="B103">
        <v>298</v>
      </c>
      <c r="C103">
        <v>401</v>
      </c>
      <c r="D103">
        <v>416</v>
      </c>
      <c r="E103">
        <f>L102+owoce5[[#This Row],[rano_dostawa_malin]]</f>
        <v>585</v>
      </c>
      <c r="F103">
        <f>owoce5[[#This Row],[rano_dostawa_truskawek]]+M102</f>
        <v>401</v>
      </c>
      <c r="G103">
        <f>owoce5[[#This Row],[rano_dostawa_porzeczek]]+N102</f>
        <v>514</v>
      </c>
      <c r="H103" t="str" cm="1">
        <f t="array" ref="H10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03" t="str" cm="1">
        <f t="array" ref="I10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03" t="str">
        <f>_xlfn.CONCAT(owoce5[[#This Row],[jaka_konfitura_pierwszy]],"-",owoce5[[#This Row],[jaka_konfitura_drugi]])</f>
        <v>maliny-porzeczki</v>
      </c>
      <c r="K103" s="4">
        <f>LARGE(owoce5[[#This Row],[stan_malin]:[stan_porzeczek]],2)</f>
        <v>514</v>
      </c>
      <c r="L103" s="4">
        <f>IF(OR(owoce5[[#This Row],[jaka_konfitura_pierwszy]]="maliny",owoce5[[#This Row],[jaka_konfitura_drugi]]="maliny"),owoce5[[#This Row],[stan_malin]]-owoce5[[#This Row],[Ile_kilogramów_konfitury]],owoce5[[#This Row],[stan_malin]])</f>
        <v>71</v>
      </c>
      <c r="M103" s="4">
        <f>IF(OR(owoce5[[#This Row],[jaka_konfitura_pierwszy]]="truskawki",owoce5[[#This Row],[jaka_konfitura_drugi]]="truskawki"),owoce5[[#This Row],[stan_truskawek]]-owoce5[[#This Row],[Ile_kilogramów_konfitury]],owoce5[[#This Row],[stan_truskawek]])</f>
        <v>401</v>
      </c>
      <c r="N10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04" spans="1:14" x14ac:dyDescent="0.25">
      <c r="A104" s="1">
        <v>44054</v>
      </c>
      <c r="B104">
        <v>429</v>
      </c>
      <c r="C104">
        <v>348</v>
      </c>
      <c r="D104">
        <v>426</v>
      </c>
      <c r="E104">
        <f>L103+owoce5[[#This Row],[rano_dostawa_malin]]</f>
        <v>500</v>
      </c>
      <c r="F104">
        <f>owoce5[[#This Row],[rano_dostawa_truskawek]]+M103</f>
        <v>749</v>
      </c>
      <c r="G104">
        <f>owoce5[[#This Row],[rano_dostawa_porzeczek]]+N103</f>
        <v>426</v>
      </c>
      <c r="H104" t="str" cm="1">
        <f t="array" ref="H10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04" t="str" cm="1">
        <f t="array" ref="I10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04" t="str">
        <f>_xlfn.CONCAT(owoce5[[#This Row],[jaka_konfitura_pierwszy]],"-",owoce5[[#This Row],[jaka_konfitura_drugi]])</f>
        <v>truskawki-maliny</v>
      </c>
      <c r="K104" s="4">
        <f>LARGE(owoce5[[#This Row],[stan_malin]:[stan_porzeczek]],2)</f>
        <v>500</v>
      </c>
      <c r="L10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04" s="4">
        <f>IF(OR(owoce5[[#This Row],[jaka_konfitura_pierwszy]]="truskawki",owoce5[[#This Row],[jaka_konfitura_drugi]]="truskawki"),owoce5[[#This Row],[stan_truskawek]]-owoce5[[#This Row],[Ile_kilogramów_konfitury]],owoce5[[#This Row],[stan_truskawek]])</f>
        <v>249</v>
      </c>
      <c r="N104" s="4">
        <f>IF(OR(owoce5[[#This Row],[jaka_konfitura_pierwszy]]="porzeczki",owoce5[[#This Row],[jaka_konfitura_drugi]]="porzeczki"),owoce5[[#This Row],[stan_porzeczek]]-owoce5[[#This Row],[Ile_kilogramów_konfitury]],owoce5[[#This Row],[stan_porzeczek]])</f>
        <v>426</v>
      </c>
    </row>
    <row r="105" spans="1:14" x14ac:dyDescent="0.25">
      <c r="A105" s="1">
        <v>44055</v>
      </c>
      <c r="B105">
        <v>417</v>
      </c>
      <c r="C105">
        <v>457</v>
      </c>
      <c r="D105">
        <v>438</v>
      </c>
      <c r="E105">
        <f>L104+owoce5[[#This Row],[rano_dostawa_malin]]</f>
        <v>417</v>
      </c>
      <c r="F105">
        <f>owoce5[[#This Row],[rano_dostawa_truskawek]]+M104</f>
        <v>706</v>
      </c>
      <c r="G105">
        <f>owoce5[[#This Row],[rano_dostawa_porzeczek]]+N104</f>
        <v>864</v>
      </c>
      <c r="H105" t="str" cm="1">
        <f t="array" ref="H10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05" t="str" cm="1">
        <f t="array" ref="I10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05" t="str">
        <f>_xlfn.CONCAT(owoce5[[#This Row],[jaka_konfitura_pierwszy]],"-",owoce5[[#This Row],[jaka_konfitura_drugi]])</f>
        <v>porzeczki-truskawki</v>
      </c>
      <c r="K105" s="4">
        <f>LARGE(owoce5[[#This Row],[stan_malin]:[stan_porzeczek]],2)</f>
        <v>706</v>
      </c>
      <c r="L105" s="4">
        <f>IF(OR(owoce5[[#This Row],[jaka_konfitura_pierwszy]]="maliny",owoce5[[#This Row],[jaka_konfitura_drugi]]="maliny"),owoce5[[#This Row],[stan_malin]]-owoce5[[#This Row],[Ile_kilogramów_konfitury]],owoce5[[#This Row],[stan_malin]])</f>
        <v>417</v>
      </c>
      <c r="M105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05" s="4">
        <f>IF(OR(owoce5[[#This Row],[jaka_konfitura_pierwszy]]="porzeczki",owoce5[[#This Row],[jaka_konfitura_drugi]]="porzeczki"),owoce5[[#This Row],[stan_porzeczek]]-owoce5[[#This Row],[Ile_kilogramów_konfitury]],owoce5[[#This Row],[stan_porzeczek]])</f>
        <v>158</v>
      </c>
    </row>
    <row r="106" spans="1:14" x14ac:dyDescent="0.25">
      <c r="A106" s="1">
        <v>44056</v>
      </c>
      <c r="B106">
        <v>384</v>
      </c>
      <c r="C106">
        <v>330</v>
      </c>
      <c r="D106">
        <v>292</v>
      </c>
      <c r="E106">
        <f>L105+owoce5[[#This Row],[rano_dostawa_malin]]</f>
        <v>801</v>
      </c>
      <c r="F106">
        <f>owoce5[[#This Row],[rano_dostawa_truskawek]]+M105</f>
        <v>330</v>
      </c>
      <c r="G106">
        <f>owoce5[[#This Row],[rano_dostawa_porzeczek]]+N105</f>
        <v>450</v>
      </c>
      <c r="H106" t="str" cm="1">
        <f t="array" ref="H10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06" t="str" cm="1">
        <f t="array" ref="I10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06" t="str">
        <f>_xlfn.CONCAT(owoce5[[#This Row],[jaka_konfitura_pierwszy]],"-",owoce5[[#This Row],[jaka_konfitura_drugi]])</f>
        <v>maliny-porzeczki</v>
      </c>
      <c r="K106" s="4">
        <f>LARGE(owoce5[[#This Row],[stan_malin]:[stan_porzeczek]],2)</f>
        <v>450</v>
      </c>
      <c r="L106" s="4">
        <f>IF(OR(owoce5[[#This Row],[jaka_konfitura_pierwszy]]="maliny",owoce5[[#This Row],[jaka_konfitura_drugi]]="maliny"),owoce5[[#This Row],[stan_malin]]-owoce5[[#This Row],[Ile_kilogramów_konfitury]],owoce5[[#This Row],[stan_malin]])</f>
        <v>351</v>
      </c>
      <c r="M106" s="4">
        <f>IF(OR(owoce5[[#This Row],[jaka_konfitura_pierwszy]]="truskawki",owoce5[[#This Row],[jaka_konfitura_drugi]]="truskawki"),owoce5[[#This Row],[stan_truskawek]]-owoce5[[#This Row],[Ile_kilogramów_konfitury]],owoce5[[#This Row],[stan_truskawek]])</f>
        <v>330</v>
      </c>
      <c r="N106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07" spans="1:14" x14ac:dyDescent="0.25">
      <c r="A107" s="1">
        <v>44057</v>
      </c>
      <c r="B107">
        <v>370</v>
      </c>
      <c r="C107">
        <v>388</v>
      </c>
      <c r="D107">
        <v>390</v>
      </c>
      <c r="E107">
        <f>L106+owoce5[[#This Row],[rano_dostawa_malin]]</f>
        <v>721</v>
      </c>
      <c r="F107">
        <f>owoce5[[#This Row],[rano_dostawa_truskawek]]+M106</f>
        <v>718</v>
      </c>
      <c r="G107">
        <f>owoce5[[#This Row],[rano_dostawa_porzeczek]]+N106</f>
        <v>390</v>
      </c>
      <c r="H107" t="str" cm="1">
        <f t="array" ref="H10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07" t="str" cm="1">
        <f t="array" ref="I10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07" t="str">
        <f>_xlfn.CONCAT(owoce5[[#This Row],[jaka_konfitura_pierwszy]],"-",owoce5[[#This Row],[jaka_konfitura_drugi]])</f>
        <v>maliny-truskawki</v>
      </c>
      <c r="K107" s="4">
        <f>LARGE(owoce5[[#This Row],[stan_malin]:[stan_porzeczek]],2)</f>
        <v>718</v>
      </c>
      <c r="L107" s="4">
        <f>IF(OR(owoce5[[#This Row],[jaka_konfitura_pierwszy]]="maliny",owoce5[[#This Row],[jaka_konfitura_drugi]]="maliny"),owoce5[[#This Row],[stan_malin]]-owoce5[[#This Row],[Ile_kilogramów_konfitury]],owoce5[[#This Row],[stan_malin]])</f>
        <v>3</v>
      </c>
      <c r="M107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07" s="4">
        <f>IF(OR(owoce5[[#This Row],[jaka_konfitura_pierwszy]]="porzeczki",owoce5[[#This Row],[jaka_konfitura_drugi]]="porzeczki"),owoce5[[#This Row],[stan_porzeczek]]-owoce5[[#This Row],[Ile_kilogramów_konfitury]],owoce5[[#This Row],[stan_porzeczek]])</f>
        <v>390</v>
      </c>
    </row>
    <row r="108" spans="1:14" x14ac:dyDescent="0.25">
      <c r="A108" s="1">
        <v>44058</v>
      </c>
      <c r="B108">
        <v>436</v>
      </c>
      <c r="C108">
        <v>298</v>
      </c>
      <c r="D108">
        <v>420</v>
      </c>
      <c r="E108">
        <f>L107+owoce5[[#This Row],[rano_dostawa_malin]]</f>
        <v>439</v>
      </c>
      <c r="F108">
        <f>owoce5[[#This Row],[rano_dostawa_truskawek]]+M107</f>
        <v>298</v>
      </c>
      <c r="G108">
        <f>owoce5[[#This Row],[rano_dostawa_porzeczek]]+N107</f>
        <v>810</v>
      </c>
      <c r="H108" t="str" cm="1">
        <f t="array" ref="H10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08" t="str" cm="1">
        <f t="array" ref="I10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08" t="str">
        <f>_xlfn.CONCAT(owoce5[[#This Row],[jaka_konfitura_pierwszy]],"-",owoce5[[#This Row],[jaka_konfitura_drugi]])</f>
        <v>porzeczki-maliny</v>
      </c>
      <c r="K108" s="4">
        <f>LARGE(owoce5[[#This Row],[stan_malin]:[stan_porzeczek]],2)</f>
        <v>439</v>
      </c>
      <c r="L108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08" s="4">
        <f>IF(OR(owoce5[[#This Row],[jaka_konfitura_pierwszy]]="truskawki",owoce5[[#This Row],[jaka_konfitura_drugi]]="truskawki"),owoce5[[#This Row],[stan_truskawek]]-owoce5[[#This Row],[Ile_kilogramów_konfitury]],owoce5[[#This Row],[stan_truskawek]])</f>
        <v>298</v>
      </c>
      <c r="N108" s="4">
        <f>IF(OR(owoce5[[#This Row],[jaka_konfitura_pierwszy]]="porzeczki",owoce5[[#This Row],[jaka_konfitura_drugi]]="porzeczki"),owoce5[[#This Row],[stan_porzeczek]]-owoce5[[#This Row],[Ile_kilogramów_konfitury]],owoce5[[#This Row],[stan_porzeczek]])</f>
        <v>371</v>
      </c>
    </row>
    <row r="109" spans="1:14" x14ac:dyDescent="0.25">
      <c r="A109" s="1">
        <v>44059</v>
      </c>
      <c r="B109">
        <v>303</v>
      </c>
      <c r="C109">
        <v>429</v>
      </c>
      <c r="D109">
        <v>407</v>
      </c>
      <c r="E109">
        <f>L108+owoce5[[#This Row],[rano_dostawa_malin]]</f>
        <v>303</v>
      </c>
      <c r="F109">
        <f>owoce5[[#This Row],[rano_dostawa_truskawek]]+M108</f>
        <v>727</v>
      </c>
      <c r="G109">
        <f>owoce5[[#This Row],[rano_dostawa_porzeczek]]+N108</f>
        <v>778</v>
      </c>
      <c r="H109" t="str" cm="1">
        <f t="array" ref="H10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09" t="str" cm="1">
        <f t="array" ref="I10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09" t="str">
        <f>_xlfn.CONCAT(owoce5[[#This Row],[jaka_konfitura_pierwszy]],"-",owoce5[[#This Row],[jaka_konfitura_drugi]])</f>
        <v>porzeczki-truskawki</v>
      </c>
      <c r="K109" s="4">
        <f>LARGE(owoce5[[#This Row],[stan_malin]:[stan_porzeczek]],2)</f>
        <v>727</v>
      </c>
      <c r="L109" s="4">
        <f>IF(OR(owoce5[[#This Row],[jaka_konfitura_pierwszy]]="maliny",owoce5[[#This Row],[jaka_konfitura_drugi]]="maliny"),owoce5[[#This Row],[stan_malin]]-owoce5[[#This Row],[Ile_kilogramów_konfitury]],owoce5[[#This Row],[stan_malin]])</f>
        <v>303</v>
      </c>
      <c r="M10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09" s="4">
        <f>IF(OR(owoce5[[#This Row],[jaka_konfitura_pierwszy]]="porzeczki",owoce5[[#This Row],[jaka_konfitura_drugi]]="porzeczki"),owoce5[[#This Row],[stan_porzeczek]]-owoce5[[#This Row],[Ile_kilogramów_konfitury]],owoce5[[#This Row],[stan_porzeczek]])</f>
        <v>51</v>
      </c>
    </row>
    <row r="110" spans="1:14" x14ac:dyDescent="0.25">
      <c r="A110" s="1">
        <v>44060</v>
      </c>
      <c r="B110">
        <v>449</v>
      </c>
      <c r="C110">
        <v>444</v>
      </c>
      <c r="D110">
        <v>425</v>
      </c>
      <c r="E110">
        <f>L109+owoce5[[#This Row],[rano_dostawa_malin]]</f>
        <v>752</v>
      </c>
      <c r="F110">
        <f>owoce5[[#This Row],[rano_dostawa_truskawek]]+M109</f>
        <v>444</v>
      </c>
      <c r="G110">
        <f>owoce5[[#This Row],[rano_dostawa_porzeczek]]+N109</f>
        <v>476</v>
      </c>
      <c r="H110" t="str" cm="1">
        <f t="array" ref="H11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0" t="str" cm="1">
        <f t="array" ref="I11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10" t="str">
        <f>_xlfn.CONCAT(owoce5[[#This Row],[jaka_konfitura_pierwszy]],"-",owoce5[[#This Row],[jaka_konfitura_drugi]])</f>
        <v>maliny-porzeczki</v>
      </c>
      <c r="K110" s="4">
        <f>LARGE(owoce5[[#This Row],[stan_malin]:[stan_porzeczek]],2)</f>
        <v>476</v>
      </c>
      <c r="L110" s="4">
        <f>IF(OR(owoce5[[#This Row],[jaka_konfitura_pierwszy]]="maliny",owoce5[[#This Row],[jaka_konfitura_drugi]]="maliny"),owoce5[[#This Row],[stan_malin]]-owoce5[[#This Row],[Ile_kilogramów_konfitury]],owoce5[[#This Row],[stan_malin]])</f>
        <v>276</v>
      </c>
      <c r="M110" s="4">
        <f>IF(OR(owoce5[[#This Row],[jaka_konfitura_pierwszy]]="truskawki",owoce5[[#This Row],[jaka_konfitura_drugi]]="truskawki"),owoce5[[#This Row],[stan_truskawek]]-owoce5[[#This Row],[Ile_kilogramów_konfitury]],owoce5[[#This Row],[stan_truskawek]])</f>
        <v>444</v>
      </c>
      <c r="N11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11" spans="1:14" x14ac:dyDescent="0.25">
      <c r="A111" s="1">
        <v>44061</v>
      </c>
      <c r="B111">
        <v>300</v>
      </c>
      <c r="C111">
        <v>358</v>
      </c>
      <c r="D111">
        <v>377</v>
      </c>
      <c r="E111">
        <f>L110+owoce5[[#This Row],[rano_dostawa_malin]]</f>
        <v>576</v>
      </c>
      <c r="F111">
        <f>owoce5[[#This Row],[rano_dostawa_truskawek]]+M110</f>
        <v>802</v>
      </c>
      <c r="G111">
        <f>owoce5[[#This Row],[rano_dostawa_porzeczek]]+N110</f>
        <v>377</v>
      </c>
      <c r="H111" t="str" cm="1">
        <f t="array" ref="H11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11" t="str" cm="1">
        <f t="array" ref="I11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11" t="str">
        <f>_xlfn.CONCAT(owoce5[[#This Row],[jaka_konfitura_pierwszy]],"-",owoce5[[#This Row],[jaka_konfitura_drugi]])</f>
        <v>truskawki-maliny</v>
      </c>
      <c r="K111" s="4">
        <f>LARGE(owoce5[[#This Row],[stan_malin]:[stan_porzeczek]],2)</f>
        <v>576</v>
      </c>
      <c r="L11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11" s="4">
        <f>IF(OR(owoce5[[#This Row],[jaka_konfitura_pierwszy]]="truskawki",owoce5[[#This Row],[jaka_konfitura_drugi]]="truskawki"),owoce5[[#This Row],[stan_truskawek]]-owoce5[[#This Row],[Ile_kilogramów_konfitury]],owoce5[[#This Row],[stan_truskawek]])</f>
        <v>226</v>
      </c>
      <c r="N111" s="4">
        <f>IF(OR(owoce5[[#This Row],[jaka_konfitura_pierwszy]]="porzeczki",owoce5[[#This Row],[jaka_konfitura_drugi]]="porzeczki"),owoce5[[#This Row],[stan_porzeczek]]-owoce5[[#This Row],[Ile_kilogramów_konfitury]],owoce5[[#This Row],[stan_porzeczek]])</f>
        <v>377</v>
      </c>
    </row>
    <row r="112" spans="1:14" x14ac:dyDescent="0.25">
      <c r="A112" s="1">
        <v>44062</v>
      </c>
      <c r="B112">
        <v>307</v>
      </c>
      <c r="C112">
        <v>417</v>
      </c>
      <c r="D112">
        <v>405</v>
      </c>
      <c r="E112">
        <f>L111+owoce5[[#This Row],[rano_dostawa_malin]]</f>
        <v>307</v>
      </c>
      <c r="F112">
        <f>owoce5[[#This Row],[rano_dostawa_truskawek]]+M111</f>
        <v>643</v>
      </c>
      <c r="G112">
        <f>owoce5[[#This Row],[rano_dostawa_porzeczek]]+N111</f>
        <v>782</v>
      </c>
      <c r="H112" t="str" cm="1">
        <f t="array" ref="H11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12" t="str" cm="1">
        <f t="array" ref="I11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2" t="str">
        <f>_xlfn.CONCAT(owoce5[[#This Row],[jaka_konfitura_pierwszy]],"-",owoce5[[#This Row],[jaka_konfitura_drugi]])</f>
        <v>porzeczki-truskawki</v>
      </c>
      <c r="K112" s="4">
        <f>LARGE(owoce5[[#This Row],[stan_malin]:[stan_porzeczek]],2)</f>
        <v>643</v>
      </c>
      <c r="L112" s="4">
        <f>IF(OR(owoce5[[#This Row],[jaka_konfitura_pierwszy]]="maliny",owoce5[[#This Row],[jaka_konfitura_drugi]]="maliny"),owoce5[[#This Row],[stan_malin]]-owoce5[[#This Row],[Ile_kilogramów_konfitury]],owoce5[[#This Row],[stan_malin]])</f>
        <v>307</v>
      </c>
      <c r="M11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2" s="4">
        <f>IF(OR(owoce5[[#This Row],[jaka_konfitura_pierwszy]]="porzeczki",owoce5[[#This Row],[jaka_konfitura_drugi]]="porzeczki"),owoce5[[#This Row],[stan_porzeczek]]-owoce5[[#This Row],[Ile_kilogramów_konfitury]],owoce5[[#This Row],[stan_porzeczek]])</f>
        <v>139</v>
      </c>
    </row>
    <row r="113" spans="1:14" x14ac:dyDescent="0.25">
      <c r="A113" s="1">
        <v>44063</v>
      </c>
      <c r="B113">
        <v>314</v>
      </c>
      <c r="C113">
        <v>340</v>
      </c>
      <c r="D113">
        <v>345</v>
      </c>
      <c r="E113">
        <f>L112+owoce5[[#This Row],[rano_dostawa_malin]]</f>
        <v>621</v>
      </c>
      <c r="F113">
        <f>owoce5[[#This Row],[rano_dostawa_truskawek]]+M112</f>
        <v>340</v>
      </c>
      <c r="G113">
        <f>owoce5[[#This Row],[rano_dostawa_porzeczek]]+N112</f>
        <v>484</v>
      </c>
      <c r="H113" t="str" cm="1">
        <f t="array" ref="H11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3" t="str" cm="1">
        <f t="array" ref="I11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13" t="str">
        <f>_xlfn.CONCAT(owoce5[[#This Row],[jaka_konfitura_pierwszy]],"-",owoce5[[#This Row],[jaka_konfitura_drugi]])</f>
        <v>maliny-porzeczki</v>
      </c>
      <c r="K113" s="4">
        <f>LARGE(owoce5[[#This Row],[stan_malin]:[stan_porzeczek]],2)</f>
        <v>484</v>
      </c>
      <c r="L113" s="4">
        <f>IF(OR(owoce5[[#This Row],[jaka_konfitura_pierwszy]]="maliny",owoce5[[#This Row],[jaka_konfitura_drugi]]="maliny"),owoce5[[#This Row],[stan_malin]]-owoce5[[#This Row],[Ile_kilogramów_konfitury]],owoce5[[#This Row],[stan_malin]])</f>
        <v>137</v>
      </c>
      <c r="M113" s="4">
        <f>IF(OR(owoce5[[#This Row],[jaka_konfitura_pierwszy]]="truskawki",owoce5[[#This Row],[jaka_konfitura_drugi]]="truskawki"),owoce5[[#This Row],[stan_truskawek]]-owoce5[[#This Row],[Ile_kilogramów_konfitury]],owoce5[[#This Row],[stan_truskawek]])</f>
        <v>340</v>
      </c>
      <c r="N113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14" spans="1:14" x14ac:dyDescent="0.25">
      <c r="A114" s="1">
        <v>44064</v>
      </c>
      <c r="B114">
        <v>379</v>
      </c>
      <c r="C114">
        <v>288</v>
      </c>
      <c r="D114">
        <v>353</v>
      </c>
      <c r="E114">
        <f>L113+owoce5[[#This Row],[rano_dostawa_malin]]</f>
        <v>516</v>
      </c>
      <c r="F114">
        <f>owoce5[[#This Row],[rano_dostawa_truskawek]]+M113</f>
        <v>628</v>
      </c>
      <c r="G114">
        <f>owoce5[[#This Row],[rano_dostawa_porzeczek]]+N113</f>
        <v>353</v>
      </c>
      <c r="H114" t="str" cm="1">
        <f t="array" ref="H11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14" t="str" cm="1">
        <f t="array" ref="I11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14" t="str">
        <f>_xlfn.CONCAT(owoce5[[#This Row],[jaka_konfitura_pierwszy]],"-",owoce5[[#This Row],[jaka_konfitura_drugi]])</f>
        <v>truskawki-maliny</v>
      </c>
      <c r="K114" s="4">
        <f>LARGE(owoce5[[#This Row],[stan_malin]:[stan_porzeczek]],2)</f>
        <v>516</v>
      </c>
      <c r="L11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14" s="4">
        <f>IF(OR(owoce5[[#This Row],[jaka_konfitura_pierwszy]]="truskawki",owoce5[[#This Row],[jaka_konfitura_drugi]]="truskawki"),owoce5[[#This Row],[stan_truskawek]]-owoce5[[#This Row],[Ile_kilogramów_konfitury]],owoce5[[#This Row],[stan_truskawek]])</f>
        <v>112</v>
      </c>
      <c r="N114" s="4">
        <f>IF(OR(owoce5[[#This Row],[jaka_konfitura_pierwszy]]="porzeczki",owoce5[[#This Row],[jaka_konfitura_drugi]]="porzeczki"),owoce5[[#This Row],[stan_porzeczek]]-owoce5[[#This Row],[Ile_kilogramów_konfitury]],owoce5[[#This Row],[stan_porzeczek]])</f>
        <v>353</v>
      </c>
    </row>
    <row r="115" spans="1:14" x14ac:dyDescent="0.25">
      <c r="A115" s="1">
        <v>44065</v>
      </c>
      <c r="B115">
        <v>405</v>
      </c>
      <c r="C115">
        <v>454</v>
      </c>
      <c r="D115">
        <v>342</v>
      </c>
      <c r="E115">
        <f>L114+owoce5[[#This Row],[rano_dostawa_malin]]</f>
        <v>405</v>
      </c>
      <c r="F115">
        <f>owoce5[[#This Row],[rano_dostawa_truskawek]]+M114</f>
        <v>566</v>
      </c>
      <c r="G115">
        <f>owoce5[[#This Row],[rano_dostawa_porzeczek]]+N114</f>
        <v>695</v>
      </c>
      <c r="H115" t="str" cm="1">
        <f t="array" ref="H11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15" t="str" cm="1">
        <f t="array" ref="I11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5" t="str">
        <f>_xlfn.CONCAT(owoce5[[#This Row],[jaka_konfitura_pierwszy]],"-",owoce5[[#This Row],[jaka_konfitura_drugi]])</f>
        <v>porzeczki-truskawki</v>
      </c>
      <c r="K115" s="4">
        <f>LARGE(owoce5[[#This Row],[stan_malin]:[stan_porzeczek]],2)</f>
        <v>566</v>
      </c>
      <c r="L115" s="4">
        <f>IF(OR(owoce5[[#This Row],[jaka_konfitura_pierwszy]]="maliny",owoce5[[#This Row],[jaka_konfitura_drugi]]="maliny"),owoce5[[#This Row],[stan_malin]]-owoce5[[#This Row],[Ile_kilogramów_konfitury]],owoce5[[#This Row],[stan_malin]])</f>
        <v>405</v>
      </c>
      <c r="M115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5" s="4">
        <f>IF(OR(owoce5[[#This Row],[jaka_konfitura_pierwszy]]="porzeczki",owoce5[[#This Row],[jaka_konfitura_drugi]]="porzeczki"),owoce5[[#This Row],[stan_porzeczek]]-owoce5[[#This Row],[Ile_kilogramów_konfitury]],owoce5[[#This Row],[stan_porzeczek]])</f>
        <v>129</v>
      </c>
    </row>
    <row r="116" spans="1:14" x14ac:dyDescent="0.25">
      <c r="A116" s="1">
        <v>44066</v>
      </c>
      <c r="B116">
        <v>407</v>
      </c>
      <c r="C116">
        <v>300</v>
      </c>
      <c r="D116">
        <v>365</v>
      </c>
      <c r="E116">
        <f>L115+owoce5[[#This Row],[rano_dostawa_malin]]</f>
        <v>812</v>
      </c>
      <c r="F116">
        <f>owoce5[[#This Row],[rano_dostawa_truskawek]]+M115</f>
        <v>300</v>
      </c>
      <c r="G116">
        <f>owoce5[[#This Row],[rano_dostawa_porzeczek]]+N115</f>
        <v>494</v>
      </c>
      <c r="H116" t="str" cm="1">
        <f t="array" ref="H11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6" t="str" cm="1">
        <f t="array" ref="I11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16" t="str">
        <f>_xlfn.CONCAT(owoce5[[#This Row],[jaka_konfitura_pierwszy]],"-",owoce5[[#This Row],[jaka_konfitura_drugi]])</f>
        <v>maliny-porzeczki</v>
      </c>
      <c r="K116" s="4">
        <f>LARGE(owoce5[[#This Row],[stan_malin]:[stan_porzeczek]],2)</f>
        <v>494</v>
      </c>
      <c r="L116" s="4">
        <f>IF(OR(owoce5[[#This Row],[jaka_konfitura_pierwszy]]="maliny",owoce5[[#This Row],[jaka_konfitura_drugi]]="maliny"),owoce5[[#This Row],[stan_malin]]-owoce5[[#This Row],[Ile_kilogramów_konfitury]],owoce5[[#This Row],[stan_malin]])</f>
        <v>318</v>
      </c>
      <c r="M116" s="4">
        <f>IF(OR(owoce5[[#This Row],[jaka_konfitura_pierwszy]]="truskawki",owoce5[[#This Row],[jaka_konfitura_drugi]]="truskawki"),owoce5[[#This Row],[stan_truskawek]]-owoce5[[#This Row],[Ile_kilogramów_konfitury]],owoce5[[#This Row],[stan_truskawek]])</f>
        <v>300</v>
      </c>
      <c r="N116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17" spans="1:14" x14ac:dyDescent="0.25">
      <c r="A117" s="1">
        <v>44067</v>
      </c>
      <c r="B117">
        <v>432</v>
      </c>
      <c r="C117">
        <v>423</v>
      </c>
      <c r="D117">
        <v>221</v>
      </c>
      <c r="E117">
        <f>L116+owoce5[[#This Row],[rano_dostawa_malin]]</f>
        <v>750</v>
      </c>
      <c r="F117">
        <f>owoce5[[#This Row],[rano_dostawa_truskawek]]+M116</f>
        <v>723</v>
      </c>
      <c r="G117">
        <f>owoce5[[#This Row],[rano_dostawa_porzeczek]]+N116</f>
        <v>221</v>
      </c>
      <c r="H117" t="str" cm="1">
        <f t="array" ref="H11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7" t="str" cm="1">
        <f t="array" ref="I11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7" t="str">
        <f>_xlfn.CONCAT(owoce5[[#This Row],[jaka_konfitura_pierwszy]],"-",owoce5[[#This Row],[jaka_konfitura_drugi]])</f>
        <v>maliny-truskawki</v>
      </c>
      <c r="K117" s="4">
        <f>LARGE(owoce5[[#This Row],[stan_malin]:[stan_porzeczek]],2)</f>
        <v>723</v>
      </c>
      <c r="L117" s="4">
        <f>IF(OR(owoce5[[#This Row],[jaka_konfitura_pierwszy]]="maliny",owoce5[[#This Row],[jaka_konfitura_drugi]]="maliny"),owoce5[[#This Row],[stan_malin]]-owoce5[[#This Row],[Ile_kilogramów_konfitury]],owoce5[[#This Row],[stan_malin]])</f>
        <v>27</v>
      </c>
      <c r="M117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7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221</v>
      </c>
    </row>
    <row r="118" spans="1:14" x14ac:dyDescent="0.25">
      <c r="A118" s="1">
        <v>44068</v>
      </c>
      <c r="B118">
        <v>405</v>
      </c>
      <c r="C118">
        <v>449</v>
      </c>
      <c r="D118">
        <v>231</v>
      </c>
      <c r="E118">
        <f>L117+owoce5[[#This Row],[rano_dostawa_malin]]</f>
        <v>432</v>
      </c>
      <c r="F118">
        <f>owoce5[[#This Row],[rano_dostawa_truskawek]]+M117</f>
        <v>449</v>
      </c>
      <c r="G118">
        <f>owoce5[[#This Row],[rano_dostawa_porzeczek]]+N117</f>
        <v>452</v>
      </c>
      <c r="H118" t="str" cm="1">
        <f t="array" ref="H11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18" t="str" cm="1">
        <f t="array" ref="I11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8" t="str">
        <f>_xlfn.CONCAT(owoce5[[#This Row],[jaka_konfitura_pierwszy]],"-",owoce5[[#This Row],[jaka_konfitura_drugi]])</f>
        <v>porzeczki-truskawki</v>
      </c>
      <c r="K118" s="4">
        <f>LARGE(owoce5[[#This Row],[stan_malin]:[stan_porzeczek]],2)</f>
        <v>449</v>
      </c>
      <c r="L118" s="4">
        <f>IF(OR(owoce5[[#This Row],[jaka_konfitura_pierwszy]]="maliny",owoce5[[#This Row],[jaka_konfitura_drugi]]="maliny"),owoce5[[#This Row],[stan_malin]]-owoce5[[#This Row],[Ile_kilogramów_konfitury]],owoce5[[#This Row],[stan_malin]])</f>
        <v>432</v>
      </c>
      <c r="M118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8" s="4">
        <f>IF(OR(owoce5[[#This Row],[jaka_konfitura_pierwszy]]="porzeczki",owoce5[[#This Row],[jaka_konfitura_drugi]]="porzeczki"),owoce5[[#This Row],[stan_porzeczek]]-owoce5[[#This Row],[Ile_kilogramów_konfitury]],owoce5[[#This Row],[stan_porzeczek]])</f>
        <v>3</v>
      </c>
    </row>
    <row r="119" spans="1:14" x14ac:dyDescent="0.25">
      <c r="A119" s="1">
        <v>44069</v>
      </c>
      <c r="B119">
        <v>162</v>
      </c>
      <c r="C119">
        <v>294</v>
      </c>
      <c r="D119">
        <v>255</v>
      </c>
      <c r="E119">
        <f>L118+owoce5[[#This Row],[rano_dostawa_malin]]</f>
        <v>594</v>
      </c>
      <c r="F119">
        <f>owoce5[[#This Row],[rano_dostawa_truskawek]]+M118</f>
        <v>294</v>
      </c>
      <c r="G119">
        <f>owoce5[[#This Row],[rano_dostawa_porzeczek]]+N118</f>
        <v>258</v>
      </c>
      <c r="H119" t="str" cm="1">
        <f t="array" ref="H11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19" t="str" cm="1">
        <f t="array" ref="I11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19" t="str">
        <f>_xlfn.CONCAT(owoce5[[#This Row],[jaka_konfitura_pierwszy]],"-",owoce5[[#This Row],[jaka_konfitura_drugi]])</f>
        <v>maliny-truskawki</v>
      </c>
      <c r="K119" s="4">
        <f>LARGE(owoce5[[#This Row],[stan_malin]:[stan_porzeczek]],2)</f>
        <v>294</v>
      </c>
      <c r="L119" s="4">
        <f>IF(OR(owoce5[[#This Row],[jaka_konfitura_pierwszy]]="maliny",owoce5[[#This Row],[jaka_konfitura_drugi]]="maliny"),owoce5[[#This Row],[stan_malin]]-owoce5[[#This Row],[Ile_kilogramów_konfitury]],owoce5[[#This Row],[stan_malin]])</f>
        <v>300</v>
      </c>
      <c r="M11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19" s="4">
        <f>IF(OR(owoce5[[#This Row],[jaka_konfitura_pierwszy]]="porzeczki",owoce5[[#This Row],[jaka_konfitura_drugi]]="porzeczki"),owoce5[[#This Row],[stan_porzeczek]]-owoce5[[#This Row],[Ile_kilogramów_konfitury]],owoce5[[#This Row],[stan_porzeczek]])</f>
        <v>258</v>
      </c>
    </row>
    <row r="120" spans="1:14" x14ac:dyDescent="0.25">
      <c r="A120" s="1">
        <v>44070</v>
      </c>
      <c r="B120">
        <v>297</v>
      </c>
      <c r="C120">
        <v>341</v>
      </c>
      <c r="D120">
        <v>223</v>
      </c>
      <c r="E120">
        <f>L119+owoce5[[#This Row],[rano_dostawa_malin]]</f>
        <v>597</v>
      </c>
      <c r="F120">
        <f>owoce5[[#This Row],[rano_dostawa_truskawek]]+M119</f>
        <v>341</v>
      </c>
      <c r="G120">
        <f>owoce5[[#This Row],[rano_dostawa_porzeczek]]+N119</f>
        <v>481</v>
      </c>
      <c r="H120" t="str" cm="1">
        <f t="array" ref="H12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0" t="str" cm="1">
        <f t="array" ref="I12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20" t="str">
        <f>_xlfn.CONCAT(owoce5[[#This Row],[jaka_konfitura_pierwszy]],"-",owoce5[[#This Row],[jaka_konfitura_drugi]])</f>
        <v>maliny-porzeczki</v>
      </c>
      <c r="K120" s="4">
        <f>LARGE(owoce5[[#This Row],[stan_malin]:[stan_porzeczek]],2)</f>
        <v>481</v>
      </c>
      <c r="L120" s="4">
        <f>IF(OR(owoce5[[#This Row],[jaka_konfitura_pierwszy]]="maliny",owoce5[[#This Row],[jaka_konfitura_drugi]]="maliny"),owoce5[[#This Row],[stan_malin]]-owoce5[[#This Row],[Ile_kilogramów_konfitury]],owoce5[[#This Row],[stan_malin]])</f>
        <v>116</v>
      </c>
      <c r="M12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341</v>
      </c>
      <c r="N12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21" spans="1:14" x14ac:dyDescent="0.25">
      <c r="A121" s="1">
        <v>44071</v>
      </c>
      <c r="B121">
        <v>226</v>
      </c>
      <c r="C121">
        <v>329</v>
      </c>
      <c r="D121">
        <v>261</v>
      </c>
      <c r="E121">
        <f>L120+owoce5[[#This Row],[rano_dostawa_malin]]</f>
        <v>342</v>
      </c>
      <c r="F121">
        <f>owoce5[[#This Row],[rano_dostawa_truskawek]]+M120</f>
        <v>670</v>
      </c>
      <c r="G121">
        <f>owoce5[[#This Row],[rano_dostawa_porzeczek]]+N120</f>
        <v>261</v>
      </c>
      <c r="H121" t="str" cm="1">
        <f t="array" ref="H12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21" t="str" cm="1">
        <f t="array" ref="I12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21" t="str">
        <f>_xlfn.CONCAT(owoce5[[#This Row],[jaka_konfitura_pierwszy]],"-",owoce5[[#This Row],[jaka_konfitura_drugi]])</f>
        <v>truskawki-maliny</v>
      </c>
      <c r="K121" s="4">
        <f>LARGE(owoce5[[#This Row],[stan_malin]:[stan_porzeczek]],2)</f>
        <v>342</v>
      </c>
      <c r="L12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21" s="4">
        <f>IF(OR(owoce5[[#This Row],[jaka_konfitura_pierwszy]]="truskawki",owoce5[[#This Row],[jaka_konfitura_drugi]]="truskawki"),owoce5[[#This Row],[stan_truskawek]]-owoce5[[#This Row],[Ile_kilogramów_konfitury]],owoce5[[#This Row],[stan_truskawek]])</f>
        <v>328</v>
      </c>
      <c r="N121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261</v>
      </c>
    </row>
    <row r="122" spans="1:14" x14ac:dyDescent="0.25">
      <c r="A122" s="1">
        <v>44072</v>
      </c>
      <c r="B122">
        <v>226</v>
      </c>
      <c r="C122">
        <v>256</v>
      </c>
      <c r="D122">
        <v>239</v>
      </c>
      <c r="E122">
        <f>L121+owoce5[[#This Row],[rano_dostawa_malin]]</f>
        <v>226</v>
      </c>
      <c r="F122">
        <f>owoce5[[#This Row],[rano_dostawa_truskawek]]+M121</f>
        <v>584</v>
      </c>
      <c r="G122">
        <f>owoce5[[#This Row],[rano_dostawa_porzeczek]]+N121</f>
        <v>500</v>
      </c>
      <c r="H122" t="str" cm="1">
        <f t="array" ref="H12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22" t="str" cm="1">
        <f t="array" ref="I12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22" t="str">
        <f>_xlfn.CONCAT(owoce5[[#This Row],[jaka_konfitura_pierwszy]],"-",owoce5[[#This Row],[jaka_konfitura_drugi]])</f>
        <v>truskawki-porzeczki</v>
      </c>
      <c r="K122" s="4">
        <f>LARGE(owoce5[[#This Row],[stan_malin]:[stan_porzeczek]],2)</f>
        <v>500</v>
      </c>
      <c r="L122" s="4">
        <f>IF(OR(owoce5[[#This Row],[jaka_konfitura_pierwszy]]="maliny",owoce5[[#This Row],[jaka_konfitura_drugi]]="maliny"),owoce5[[#This Row],[stan_malin]]-owoce5[[#This Row],[Ile_kilogramów_konfitury]],owoce5[[#This Row],[stan_malin]])</f>
        <v>226</v>
      </c>
      <c r="M122" s="4">
        <f>IF(OR(owoce5[[#This Row],[jaka_konfitura_pierwszy]]="truskawki",owoce5[[#This Row],[jaka_konfitura_drugi]]="truskawki"),owoce5[[#This Row],[stan_truskawek]]-owoce5[[#This Row],[Ile_kilogramów_konfitury]],owoce5[[#This Row],[stan_truskawek]])</f>
        <v>84</v>
      </c>
      <c r="N122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23" spans="1:14" x14ac:dyDescent="0.25">
      <c r="A123" s="1">
        <v>44073</v>
      </c>
      <c r="B123">
        <v>287</v>
      </c>
      <c r="C123">
        <v>217</v>
      </c>
      <c r="D123">
        <v>262</v>
      </c>
      <c r="E123">
        <f>L122+owoce5[[#This Row],[rano_dostawa_malin]]</f>
        <v>513</v>
      </c>
      <c r="F123">
        <f>owoce5[[#This Row],[rano_dostawa_truskawek]]+M122</f>
        <v>301</v>
      </c>
      <c r="G123">
        <f>owoce5[[#This Row],[rano_dostawa_porzeczek]]+N122</f>
        <v>262</v>
      </c>
      <c r="H123" t="str" cm="1">
        <f t="array" ref="H12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3" t="str" cm="1">
        <f t="array" ref="I12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23" t="str">
        <f>_xlfn.CONCAT(owoce5[[#This Row],[jaka_konfitura_pierwszy]],"-",owoce5[[#This Row],[jaka_konfitura_drugi]])</f>
        <v>maliny-truskawki</v>
      </c>
      <c r="K123" s="4">
        <f>LARGE(owoce5[[#This Row],[stan_malin]:[stan_porzeczek]],2)</f>
        <v>301</v>
      </c>
      <c r="L123" s="4">
        <f>IF(OR(owoce5[[#This Row],[jaka_konfitura_pierwszy]]="maliny",owoce5[[#This Row],[jaka_konfitura_drugi]]="maliny"),owoce5[[#This Row],[stan_malin]]-owoce5[[#This Row],[Ile_kilogramów_konfitury]],owoce5[[#This Row],[stan_malin]])</f>
        <v>212</v>
      </c>
      <c r="M12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23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262</v>
      </c>
    </row>
    <row r="124" spans="1:14" x14ac:dyDescent="0.25">
      <c r="A124" s="1">
        <v>44074</v>
      </c>
      <c r="B124">
        <v>351</v>
      </c>
      <c r="C124">
        <v>266</v>
      </c>
      <c r="D124">
        <v>226</v>
      </c>
      <c r="E124">
        <f>L123+owoce5[[#This Row],[rano_dostawa_malin]]</f>
        <v>563</v>
      </c>
      <c r="F124">
        <f>owoce5[[#This Row],[rano_dostawa_truskawek]]+M123</f>
        <v>266</v>
      </c>
      <c r="G124">
        <f>owoce5[[#This Row],[rano_dostawa_porzeczek]]+N123</f>
        <v>488</v>
      </c>
      <c r="H124" t="str" cm="1">
        <f t="array" ref="H12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4" t="str" cm="1">
        <f t="array" ref="I12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24" t="str">
        <f>_xlfn.CONCAT(owoce5[[#This Row],[jaka_konfitura_pierwszy]],"-",owoce5[[#This Row],[jaka_konfitura_drugi]])</f>
        <v>maliny-porzeczki</v>
      </c>
      <c r="K124" s="4">
        <f>LARGE(owoce5[[#This Row],[stan_malin]:[stan_porzeczek]],2)</f>
        <v>488</v>
      </c>
      <c r="L124" s="4">
        <f>IF(OR(owoce5[[#This Row],[jaka_konfitura_pierwszy]]="maliny",owoce5[[#This Row],[jaka_konfitura_drugi]]="maliny"),owoce5[[#This Row],[stan_malin]]-owoce5[[#This Row],[Ile_kilogramów_konfitury]],owoce5[[#This Row],[stan_malin]])</f>
        <v>75</v>
      </c>
      <c r="M124" s="4">
        <f>IF(OR(owoce5[[#This Row],[jaka_konfitura_pierwszy]]="truskawki",owoce5[[#This Row],[jaka_konfitura_drugi]]="truskawki"),owoce5[[#This Row],[stan_truskawek]]-owoce5[[#This Row],[Ile_kilogramów_konfitury]],owoce5[[#This Row],[stan_truskawek]])</f>
        <v>266</v>
      </c>
      <c r="N124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25" spans="1:14" x14ac:dyDescent="0.25">
      <c r="A125" s="1">
        <v>44075</v>
      </c>
      <c r="B125">
        <v>214</v>
      </c>
      <c r="C125">
        <v>260</v>
      </c>
      <c r="D125">
        <v>241</v>
      </c>
      <c r="E125">
        <f>L124+owoce5[[#This Row],[rano_dostawa_malin]]</f>
        <v>289</v>
      </c>
      <c r="F125">
        <f>owoce5[[#This Row],[rano_dostawa_truskawek]]+M124</f>
        <v>526</v>
      </c>
      <c r="G125">
        <f>owoce5[[#This Row],[rano_dostawa_porzeczek]]+N124</f>
        <v>241</v>
      </c>
      <c r="H125" t="str" cm="1">
        <f t="array" ref="H12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25" t="str" cm="1">
        <f t="array" ref="I12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25" t="str">
        <f>_xlfn.CONCAT(owoce5[[#This Row],[jaka_konfitura_pierwszy]],"-",owoce5[[#This Row],[jaka_konfitura_drugi]])</f>
        <v>truskawki-maliny</v>
      </c>
      <c r="K125" s="4">
        <f>LARGE(owoce5[[#This Row],[stan_malin]:[stan_porzeczek]],2)</f>
        <v>289</v>
      </c>
      <c r="L125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2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237</v>
      </c>
      <c r="N125" s="4">
        <f>IF(OR(owoce5[[#This Row],[jaka_konfitura_pierwszy]]="porzeczki",owoce5[[#This Row],[jaka_konfitura_drugi]]="porzeczki"),owoce5[[#This Row],[stan_porzeczek]]-owoce5[[#This Row],[Ile_kilogramów_konfitury]],owoce5[[#This Row],[stan_porzeczek]])</f>
        <v>241</v>
      </c>
    </row>
    <row r="126" spans="1:14" x14ac:dyDescent="0.25">
      <c r="A126" s="1">
        <v>44076</v>
      </c>
      <c r="B126">
        <v>282</v>
      </c>
      <c r="C126">
        <v>227</v>
      </c>
      <c r="D126">
        <v>258</v>
      </c>
      <c r="E126">
        <f>L125+owoce5[[#This Row],[rano_dostawa_malin]]</f>
        <v>282</v>
      </c>
      <c r="F126">
        <f>owoce5[[#This Row],[rano_dostawa_truskawek]]+M125</f>
        <v>464</v>
      </c>
      <c r="G126">
        <f>owoce5[[#This Row],[rano_dostawa_porzeczek]]+N125</f>
        <v>499</v>
      </c>
      <c r="H126" t="str" cm="1">
        <f t="array" ref="H12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26" t="str" cm="1">
        <f t="array" ref="I12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26" t="str">
        <f>_xlfn.CONCAT(owoce5[[#This Row],[jaka_konfitura_pierwszy]],"-",owoce5[[#This Row],[jaka_konfitura_drugi]])</f>
        <v>porzeczki-truskawki</v>
      </c>
      <c r="K126" s="4">
        <f>LARGE(owoce5[[#This Row],[stan_malin]:[stan_porzeczek]],2)</f>
        <v>464</v>
      </c>
      <c r="L126" s="4">
        <f>IF(OR(owoce5[[#This Row],[jaka_konfitura_pierwszy]]="maliny",owoce5[[#This Row],[jaka_konfitura_drugi]]="maliny"),owoce5[[#This Row],[stan_malin]]-owoce5[[#This Row],[Ile_kilogramów_konfitury]],owoce5[[#This Row],[stan_malin]])</f>
        <v>282</v>
      </c>
      <c r="M126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26" s="4">
        <f>IF(OR(owoce5[[#This Row],[jaka_konfitura_pierwszy]]="porzeczki",owoce5[[#This Row],[jaka_konfitura_drugi]]="porzeczki"),owoce5[[#This Row],[stan_porzeczek]]-owoce5[[#This Row],[Ile_kilogramów_konfitury]],owoce5[[#This Row],[stan_porzeczek]])</f>
        <v>35</v>
      </c>
    </row>
    <row r="127" spans="1:14" x14ac:dyDescent="0.25">
      <c r="A127" s="1">
        <v>44077</v>
      </c>
      <c r="B127">
        <v>257</v>
      </c>
      <c r="C127">
        <v>251</v>
      </c>
      <c r="D127">
        <v>252</v>
      </c>
      <c r="E127">
        <f>L126+owoce5[[#This Row],[rano_dostawa_malin]]</f>
        <v>539</v>
      </c>
      <c r="F127">
        <f>owoce5[[#This Row],[rano_dostawa_truskawek]]+M126</f>
        <v>251</v>
      </c>
      <c r="G127">
        <f>owoce5[[#This Row],[rano_dostawa_porzeczek]]+N126</f>
        <v>287</v>
      </c>
      <c r="H127" t="str" cm="1">
        <f t="array" ref="H12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7" t="str" cm="1">
        <f t="array" ref="I12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27" t="str">
        <f>_xlfn.CONCAT(owoce5[[#This Row],[jaka_konfitura_pierwszy]],"-",owoce5[[#This Row],[jaka_konfitura_drugi]])</f>
        <v>maliny-porzeczki</v>
      </c>
      <c r="K127" s="4">
        <f>LARGE(owoce5[[#This Row],[stan_malin]:[stan_porzeczek]],2)</f>
        <v>287</v>
      </c>
      <c r="L127" s="4">
        <f>IF(OR(owoce5[[#This Row],[jaka_konfitura_pierwszy]]="maliny",owoce5[[#This Row],[jaka_konfitura_drugi]]="maliny"),owoce5[[#This Row],[stan_malin]]-owoce5[[#This Row],[Ile_kilogramów_konfitury]],owoce5[[#This Row],[stan_malin]])</f>
        <v>252</v>
      </c>
      <c r="M127" s="4">
        <f>IF(OR(owoce5[[#This Row],[jaka_konfitura_pierwszy]]="truskawki",owoce5[[#This Row],[jaka_konfitura_drugi]]="truskawki"),owoce5[[#This Row],[stan_truskawek]]-owoce5[[#This Row],[Ile_kilogramów_konfitury]],owoce5[[#This Row],[stan_truskawek]])</f>
        <v>251</v>
      </c>
      <c r="N12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28" spans="1:14" x14ac:dyDescent="0.25">
      <c r="A128" s="1">
        <v>44078</v>
      </c>
      <c r="B128">
        <v>172</v>
      </c>
      <c r="C128">
        <v>171</v>
      </c>
      <c r="D128">
        <v>268</v>
      </c>
      <c r="E128">
        <f>L127+owoce5[[#This Row],[rano_dostawa_malin]]</f>
        <v>424</v>
      </c>
      <c r="F128">
        <f>owoce5[[#This Row],[rano_dostawa_truskawek]]+M127</f>
        <v>422</v>
      </c>
      <c r="G128">
        <f>owoce5[[#This Row],[rano_dostawa_porzeczek]]+N127</f>
        <v>268</v>
      </c>
      <c r="H128" t="str" cm="1">
        <f t="array" ref="H12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28" t="str" cm="1">
        <f t="array" ref="I12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28" t="str">
        <f>_xlfn.CONCAT(owoce5[[#This Row],[jaka_konfitura_pierwszy]],"-",owoce5[[#This Row],[jaka_konfitura_drugi]])</f>
        <v>maliny-truskawki</v>
      </c>
      <c r="K128" s="4">
        <f>LARGE(owoce5[[#This Row],[stan_malin]:[stan_porzeczek]],2)</f>
        <v>422</v>
      </c>
      <c r="L128" s="4">
        <f>IF(OR(owoce5[[#This Row],[jaka_konfitura_pierwszy]]="maliny",owoce5[[#This Row],[jaka_konfitura_drugi]]="maliny"),owoce5[[#This Row],[stan_malin]]-owoce5[[#This Row],[Ile_kilogramów_konfitury]],owoce5[[#This Row],[stan_malin]])</f>
        <v>2</v>
      </c>
      <c r="M128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28" s="4">
        <f>IF(OR(owoce5[[#This Row],[jaka_konfitura_pierwszy]]="porzeczki",owoce5[[#This Row],[jaka_konfitura_drugi]]="porzeczki"),owoce5[[#This Row],[stan_porzeczek]]-owoce5[[#This Row],[Ile_kilogramów_konfitury]],owoce5[[#This Row],[stan_porzeczek]])</f>
        <v>268</v>
      </c>
    </row>
    <row r="129" spans="1:14" x14ac:dyDescent="0.25">
      <c r="A129" s="1">
        <v>44079</v>
      </c>
      <c r="B129">
        <v>197</v>
      </c>
      <c r="C129">
        <v>326</v>
      </c>
      <c r="D129">
        <v>224</v>
      </c>
      <c r="E129">
        <f>L128+owoce5[[#This Row],[rano_dostawa_malin]]</f>
        <v>199</v>
      </c>
      <c r="F129">
        <f>owoce5[[#This Row],[rano_dostawa_truskawek]]+M128</f>
        <v>326</v>
      </c>
      <c r="G129">
        <f>owoce5[[#This Row],[rano_dostawa_porzeczek]]+N128</f>
        <v>492</v>
      </c>
      <c r="H129" t="str" cm="1">
        <f t="array" ref="H12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29" t="str" cm="1">
        <f t="array" ref="I12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29" t="str">
        <f>_xlfn.CONCAT(owoce5[[#This Row],[jaka_konfitura_pierwszy]],"-",owoce5[[#This Row],[jaka_konfitura_drugi]])</f>
        <v>porzeczki-truskawki</v>
      </c>
      <c r="K129" s="4">
        <f>LARGE(owoce5[[#This Row],[stan_malin]:[stan_porzeczek]],2)</f>
        <v>326</v>
      </c>
      <c r="L129" s="4">
        <f>IF(OR(owoce5[[#This Row],[jaka_konfitura_pierwszy]]="maliny",owoce5[[#This Row],[jaka_konfitura_drugi]]="maliny"),owoce5[[#This Row],[stan_malin]]-owoce5[[#This Row],[Ile_kilogramów_konfitury]],owoce5[[#This Row],[stan_malin]])</f>
        <v>199</v>
      </c>
      <c r="M12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29" s="4">
        <f>IF(OR(owoce5[[#This Row],[jaka_konfitura_pierwszy]]="porzeczki",owoce5[[#This Row],[jaka_konfitura_drugi]]="porzeczki"),owoce5[[#This Row],[stan_porzeczek]]-owoce5[[#This Row],[Ile_kilogramów_konfitury]],owoce5[[#This Row],[stan_porzeczek]])</f>
        <v>166</v>
      </c>
    </row>
    <row r="130" spans="1:14" x14ac:dyDescent="0.25">
      <c r="A130" s="1">
        <v>44080</v>
      </c>
      <c r="B130">
        <v>292</v>
      </c>
      <c r="C130">
        <v>329</v>
      </c>
      <c r="D130">
        <v>255</v>
      </c>
      <c r="E130">
        <f>L129+owoce5[[#This Row],[rano_dostawa_malin]]</f>
        <v>491</v>
      </c>
      <c r="F130">
        <f>owoce5[[#This Row],[rano_dostawa_truskawek]]+M129</f>
        <v>329</v>
      </c>
      <c r="G130">
        <f>owoce5[[#This Row],[rano_dostawa_porzeczek]]+N129</f>
        <v>421</v>
      </c>
      <c r="H130" t="str" cm="1">
        <f t="array" ref="H13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30" t="str" cm="1">
        <f t="array" ref="I13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30" t="str">
        <f>_xlfn.CONCAT(owoce5[[#This Row],[jaka_konfitura_pierwszy]],"-",owoce5[[#This Row],[jaka_konfitura_drugi]])</f>
        <v>maliny-porzeczki</v>
      </c>
      <c r="K130" s="4">
        <f>LARGE(owoce5[[#This Row],[stan_malin]:[stan_porzeczek]],2)</f>
        <v>421</v>
      </c>
      <c r="L130" s="4">
        <f>IF(OR(owoce5[[#This Row],[jaka_konfitura_pierwszy]]="maliny",owoce5[[#This Row],[jaka_konfitura_drugi]]="maliny"),owoce5[[#This Row],[stan_malin]]-owoce5[[#This Row],[Ile_kilogramów_konfitury]],owoce5[[#This Row],[stan_malin]])</f>
        <v>70</v>
      </c>
      <c r="M130" s="4">
        <f>IF(OR(owoce5[[#This Row],[jaka_konfitura_pierwszy]]="truskawki",owoce5[[#This Row],[jaka_konfitura_drugi]]="truskawki"),owoce5[[#This Row],[stan_truskawek]]-owoce5[[#This Row],[Ile_kilogramów_konfitury]],owoce5[[#This Row],[stan_truskawek]])</f>
        <v>329</v>
      </c>
      <c r="N13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31" spans="1:14" x14ac:dyDescent="0.25">
      <c r="A131" s="1">
        <v>44081</v>
      </c>
      <c r="B131">
        <v>172</v>
      </c>
      <c r="C131">
        <v>216</v>
      </c>
      <c r="D131">
        <v>199</v>
      </c>
      <c r="E131">
        <f>L130+owoce5[[#This Row],[rano_dostawa_malin]]</f>
        <v>242</v>
      </c>
      <c r="F131">
        <f>owoce5[[#This Row],[rano_dostawa_truskawek]]+M130</f>
        <v>545</v>
      </c>
      <c r="G131">
        <f>owoce5[[#This Row],[rano_dostawa_porzeczek]]+N130</f>
        <v>199</v>
      </c>
      <c r="H131" t="str" cm="1">
        <f t="array" ref="H13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31" t="str" cm="1">
        <f t="array" ref="I13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31" t="str">
        <f>_xlfn.CONCAT(owoce5[[#This Row],[jaka_konfitura_pierwszy]],"-",owoce5[[#This Row],[jaka_konfitura_drugi]])</f>
        <v>truskawki-maliny</v>
      </c>
      <c r="K131" s="4">
        <f>LARGE(owoce5[[#This Row],[stan_malin]:[stan_porzeczek]],2)</f>
        <v>242</v>
      </c>
      <c r="L13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31" s="4">
        <f>IF(OR(owoce5[[#This Row],[jaka_konfitura_pierwszy]]="truskawki",owoce5[[#This Row],[jaka_konfitura_drugi]]="truskawki"),owoce5[[#This Row],[stan_truskawek]]-owoce5[[#This Row],[Ile_kilogramów_konfitury]],owoce5[[#This Row],[stan_truskawek]])</f>
        <v>303</v>
      </c>
      <c r="N131" s="4">
        <f>IF(OR(owoce5[[#This Row],[jaka_konfitura_pierwszy]]="porzeczki",owoce5[[#This Row],[jaka_konfitura_drugi]]="porzeczki"),owoce5[[#This Row],[stan_porzeczek]]-owoce5[[#This Row],[Ile_kilogramów_konfitury]],owoce5[[#This Row],[stan_porzeczek]])</f>
        <v>199</v>
      </c>
    </row>
    <row r="132" spans="1:14" x14ac:dyDescent="0.25">
      <c r="A132" s="1">
        <v>44082</v>
      </c>
      <c r="B132">
        <v>258</v>
      </c>
      <c r="C132">
        <v>291</v>
      </c>
      <c r="D132">
        <v>220</v>
      </c>
      <c r="E132">
        <f>L131+owoce5[[#This Row],[rano_dostawa_malin]]</f>
        <v>258</v>
      </c>
      <c r="F132">
        <f>owoce5[[#This Row],[rano_dostawa_truskawek]]+M131</f>
        <v>594</v>
      </c>
      <c r="G132">
        <f>owoce5[[#This Row],[rano_dostawa_porzeczek]]+N131</f>
        <v>419</v>
      </c>
      <c r="H132" t="str" cm="1">
        <f t="array" ref="H13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32" t="str" cm="1">
        <f t="array" ref="I13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32" t="str">
        <f>_xlfn.CONCAT(owoce5[[#This Row],[jaka_konfitura_pierwszy]],"-",owoce5[[#This Row],[jaka_konfitura_drugi]])</f>
        <v>truskawki-porzeczki</v>
      </c>
      <c r="K132" s="4">
        <f>LARGE(owoce5[[#This Row],[stan_malin]:[stan_porzeczek]],2)</f>
        <v>419</v>
      </c>
      <c r="L132" s="4">
        <f>IF(OR(owoce5[[#This Row],[jaka_konfitura_pierwszy]]="maliny",owoce5[[#This Row],[jaka_konfitura_drugi]]="maliny"),owoce5[[#This Row],[stan_malin]]-owoce5[[#This Row],[Ile_kilogramów_konfitury]],owoce5[[#This Row],[stan_malin]])</f>
        <v>258</v>
      </c>
      <c r="M132" s="4">
        <f>IF(OR(owoce5[[#This Row],[jaka_konfitura_pierwszy]]="truskawki",owoce5[[#This Row],[jaka_konfitura_drugi]]="truskawki"),owoce5[[#This Row],[stan_truskawek]]-owoce5[[#This Row],[Ile_kilogramów_konfitury]],owoce5[[#This Row],[stan_truskawek]])</f>
        <v>175</v>
      </c>
      <c r="N132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33" spans="1:14" x14ac:dyDescent="0.25">
      <c r="A133" s="1">
        <v>44083</v>
      </c>
      <c r="B133">
        <v>276</v>
      </c>
      <c r="C133">
        <v>347</v>
      </c>
      <c r="D133">
        <v>197</v>
      </c>
      <c r="E133">
        <f>L132+owoce5[[#This Row],[rano_dostawa_malin]]</f>
        <v>534</v>
      </c>
      <c r="F133">
        <f>owoce5[[#This Row],[rano_dostawa_truskawek]]+M132</f>
        <v>522</v>
      </c>
      <c r="G133">
        <f>owoce5[[#This Row],[rano_dostawa_porzeczek]]+N132</f>
        <v>197</v>
      </c>
      <c r="H133" t="str" cm="1">
        <f t="array" ref="H13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33" t="str" cm="1">
        <f t="array" ref="I13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33" t="str">
        <f>_xlfn.CONCAT(owoce5[[#This Row],[jaka_konfitura_pierwszy]],"-",owoce5[[#This Row],[jaka_konfitura_drugi]])</f>
        <v>maliny-truskawki</v>
      </c>
      <c r="K133" s="4">
        <f>LARGE(owoce5[[#This Row],[stan_malin]:[stan_porzeczek]],2)</f>
        <v>522</v>
      </c>
      <c r="L133" s="4">
        <f>IF(OR(owoce5[[#This Row],[jaka_konfitura_pierwszy]]="maliny",owoce5[[#This Row],[jaka_konfitura_drugi]]="maliny"),owoce5[[#This Row],[stan_malin]]-owoce5[[#This Row],[Ile_kilogramów_konfitury]],owoce5[[#This Row],[stan_malin]])</f>
        <v>12</v>
      </c>
      <c r="M13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33" s="4">
        <f>IF(OR(owoce5[[#This Row],[jaka_konfitura_pierwszy]]="porzeczki",owoce5[[#This Row],[jaka_konfitura_drugi]]="porzeczki"),owoce5[[#This Row],[stan_porzeczek]]-owoce5[[#This Row],[Ile_kilogramów_konfitury]],owoce5[[#This Row],[stan_porzeczek]])</f>
        <v>197</v>
      </c>
    </row>
    <row r="134" spans="1:14" x14ac:dyDescent="0.25">
      <c r="A134" s="1">
        <v>44084</v>
      </c>
      <c r="B134">
        <v>210</v>
      </c>
      <c r="C134">
        <v>333</v>
      </c>
      <c r="D134">
        <v>218</v>
      </c>
      <c r="E134">
        <f>L133+owoce5[[#This Row],[rano_dostawa_malin]]</f>
        <v>222</v>
      </c>
      <c r="F134">
        <f>owoce5[[#This Row],[rano_dostawa_truskawek]]+M133</f>
        <v>333</v>
      </c>
      <c r="G134">
        <f>owoce5[[#This Row],[rano_dostawa_porzeczek]]+N133</f>
        <v>415</v>
      </c>
      <c r="H134" t="str" cm="1">
        <f t="array" ref="H13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34" t="str" cm="1">
        <f t="array" ref="I13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34" t="str">
        <f>_xlfn.CONCAT(owoce5[[#This Row],[jaka_konfitura_pierwszy]],"-",owoce5[[#This Row],[jaka_konfitura_drugi]])</f>
        <v>porzeczki-truskawki</v>
      </c>
      <c r="K134" s="4">
        <f>LARGE(owoce5[[#This Row],[stan_malin]:[stan_porzeczek]],2)</f>
        <v>333</v>
      </c>
      <c r="L134" s="4">
        <f>IF(OR(owoce5[[#This Row],[jaka_konfitura_pierwszy]]="maliny",owoce5[[#This Row],[jaka_konfitura_drugi]]="maliny"),owoce5[[#This Row],[stan_malin]]-owoce5[[#This Row],[Ile_kilogramów_konfitury]],owoce5[[#This Row],[stan_malin]])</f>
        <v>222</v>
      </c>
      <c r="M134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34" s="4">
        <f>IF(OR(owoce5[[#This Row],[jaka_konfitura_pierwszy]]="porzeczki",owoce5[[#This Row],[jaka_konfitura_drugi]]="porzeczki"),owoce5[[#This Row],[stan_porzeczek]]-owoce5[[#This Row],[Ile_kilogramów_konfitury]],owoce5[[#This Row],[stan_porzeczek]])</f>
        <v>82</v>
      </c>
    </row>
    <row r="135" spans="1:14" x14ac:dyDescent="0.25">
      <c r="A135" s="1">
        <v>44085</v>
      </c>
      <c r="B135">
        <v>168</v>
      </c>
      <c r="C135">
        <v>211</v>
      </c>
      <c r="D135">
        <v>180</v>
      </c>
      <c r="E135">
        <f>L134+owoce5[[#This Row],[rano_dostawa_malin]]</f>
        <v>390</v>
      </c>
      <c r="F135">
        <f>owoce5[[#This Row],[rano_dostawa_truskawek]]+M134</f>
        <v>211</v>
      </c>
      <c r="G135">
        <f>owoce5[[#This Row],[rano_dostawa_porzeczek]]+N134</f>
        <v>262</v>
      </c>
      <c r="H135" t="str" cm="1">
        <f t="array" ref="H13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35" t="str" cm="1">
        <f t="array" ref="I13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35" t="str">
        <f>_xlfn.CONCAT(owoce5[[#This Row],[jaka_konfitura_pierwszy]],"-",owoce5[[#This Row],[jaka_konfitura_drugi]])</f>
        <v>maliny-porzeczki</v>
      </c>
      <c r="K135" s="4">
        <f>LARGE(owoce5[[#This Row],[stan_malin]:[stan_porzeczek]],2)</f>
        <v>262</v>
      </c>
      <c r="L135" s="4">
        <f>IF(OR(owoce5[[#This Row],[jaka_konfitura_pierwszy]]="maliny",owoce5[[#This Row],[jaka_konfitura_drugi]]="maliny"),owoce5[[#This Row],[stan_malin]]-owoce5[[#This Row],[Ile_kilogramów_konfitury]],owoce5[[#This Row],[stan_malin]])</f>
        <v>128</v>
      </c>
      <c r="M13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211</v>
      </c>
      <c r="N13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36" spans="1:14" x14ac:dyDescent="0.25">
      <c r="A136" s="1">
        <v>44086</v>
      </c>
      <c r="B136">
        <v>196</v>
      </c>
      <c r="C136">
        <v>348</v>
      </c>
      <c r="D136">
        <v>225</v>
      </c>
      <c r="E136">
        <f>L135+owoce5[[#This Row],[rano_dostawa_malin]]</f>
        <v>324</v>
      </c>
      <c r="F136">
        <f>owoce5[[#This Row],[rano_dostawa_truskawek]]+M135</f>
        <v>559</v>
      </c>
      <c r="G136">
        <f>owoce5[[#This Row],[rano_dostawa_porzeczek]]+N135</f>
        <v>225</v>
      </c>
      <c r="H136" t="str" cm="1">
        <f t="array" ref="H13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36" t="str" cm="1">
        <f t="array" ref="I13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36" t="str">
        <f>_xlfn.CONCAT(owoce5[[#This Row],[jaka_konfitura_pierwszy]],"-",owoce5[[#This Row],[jaka_konfitura_drugi]])</f>
        <v>truskawki-maliny</v>
      </c>
      <c r="K136" s="4">
        <f>LARGE(owoce5[[#This Row],[stan_malin]:[stan_porzeczek]],2)</f>
        <v>324</v>
      </c>
      <c r="L136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36" s="4">
        <f>IF(OR(owoce5[[#This Row],[jaka_konfitura_pierwszy]]="truskawki",owoce5[[#This Row],[jaka_konfitura_drugi]]="truskawki"),owoce5[[#This Row],[stan_truskawek]]-owoce5[[#This Row],[Ile_kilogramów_konfitury]],owoce5[[#This Row],[stan_truskawek]])</f>
        <v>235</v>
      </c>
      <c r="N136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225</v>
      </c>
    </row>
    <row r="137" spans="1:14" x14ac:dyDescent="0.25">
      <c r="A137" s="1">
        <v>44087</v>
      </c>
      <c r="B137">
        <v>284</v>
      </c>
      <c r="C137">
        <v>226</v>
      </c>
      <c r="D137">
        <v>197</v>
      </c>
      <c r="E137">
        <f>L136+owoce5[[#This Row],[rano_dostawa_malin]]</f>
        <v>284</v>
      </c>
      <c r="F137">
        <f>owoce5[[#This Row],[rano_dostawa_truskawek]]+M136</f>
        <v>461</v>
      </c>
      <c r="G137">
        <f>owoce5[[#This Row],[rano_dostawa_porzeczek]]+N136</f>
        <v>422</v>
      </c>
      <c r="H137" t="str" cm="1">
        <f t="array" ref="H13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37" t="str" cm="1">
        <f t="array" ref="I13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37" t="str">
        <f>_xlfn.CONCAT(owoce5[[#This Row],[jaka_konfitura_pierwszy]],"-",owoce5[[#This Row],[jaka_konfitura_drugi]])</f>
        <v>truskawki-porzeczki</v>
      </c>
      <c r="K137" s="4">
        <f>LARGE(owoce5[[#This Row],[stan_malin]:[stan_porzeczek]],2)</f>
        <v>422</v>
      </c>
      <c r="L137" s="4">
        <f>IF(OR(owoce5[[#This Row],[jaka_konfitura_pierwszy]]="maliny",owoce5[[#This Row],[jaka_konfitura_drugi]]="maliny"),owoce5[[#This Row],[stan_malin]]-owoce5[[#This Row],[Ile_kilogramów_konfitury]],owoce5[[#This Row],[stan_malin]])</f>
        <v>284</v>
      </c>
      <c r="M137" s="4">
        <f>IF(OR(owoce5[[#This Row],[jaka_konfitura_pierwszy]]="truskawki",owoce5[[#This Row],[jaka_konfitura_drugi]]="truskawki"),owoce5[[#This Row],[stan_truskawek]]-owoce5[[#This Row],[Ile_kilogramów_konfitury]],owoce5[[#This Row],[stan_truskawek]])</f>
        <v>39</v>
      </c>
      <c r="N137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38" spans="1:14" x14ac:dyDescent="0.25">
      <c r="A138" s="1">
        <v>44088</v>
      </c>
      <c r="B138">
        <v>162</v>
      </c>
      <c r="C138">
        <v>345</v>
      </c>
      <c r="D138">
        <v>194</v>
      </c>
      <c r="E138">
        <f>L137+owoce5[[#This Row],[rano_dostawa_malin]]</f>
        <v>446</v>
      </c>
      <c r="F138">
        <f>owoce5[[#This Row],[rano_dostawa_truskawek]]+M137</f>
        <v>384</v>
      </c>
      <c r="G138">
        <f>owoce5[[#This Row],[rano_dostawa_porzeczek]]+N137</f>
        <v>194</v>
      </c>
      <c r="H138" t="str" cm="1">
        <f t="array" ref="H13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38" t="str" cm="1">
        <f t="array" ref="I13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38" t="str">
        <f>_xlfn.CONCAT(owoce5[[#This Row],[jaka_konfitura_pierwszy]],"-",owoce5[[#This Row],[jaka_konfitura_drugi]])</f>
        <v>maliny-truskawki</v>
      </c>
      <c r="K138" s="4">
        <f>LARGE(owoce5[[#This Row],[stan_malin]:[stan_porzeczek]],2)</f>
        <v>384</v>
      </c>
      <c r="L138" s="4">
        <f>IF(OR(owoce5[[#This Row],[jaka_konfitura_pierwszy]]="maliny",owoce5[[#This Row],[jaka_konfitura_drugi]]="maliny"),owoce5[[#This Row],[stan_malin]]-owoce5[[#This Row],[Ile_kilogramów_konfitury]],owoce5[[#This Row],[stan_malin]])</f>
        <v>62</v>
      </c>
      <c r="M138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38" s="4">
        <f>IF(OR(owoce5[[#This Row],[jaka_konfitura_pierwszy]]="porzeczki",owoce5[[#This Row],[jaka_konfitura_drugi]]="porzeczki"),owoce5[[#This Row],[stan_porzeczek]]-owoce5[[#This Row],[Ile_kilogramów_konfitury]],owoce5[[#This Row],[stan_porzeczek]])</f>
        <v>194</v>
      </c>
    </row>
    <row r="139" spans="1:14" x14ac:dyDescent="0.25">
      <c r="A139" s="1">
        <v>44089</v>
      </c>
      <c r="B139">
        <v>212</v>
      </c>
      <c r="C139">
        <v>184</v>
      </c>
      <c r="D139">
        <v>183</v>
      </c>
      <c r="E139">
        <f>L138+owoce5[[#This Row],[rano_dostawa_malin]]</f>
        <v>274</v>
      </c>
      <c r="F139">
        <f>owoce5[[#This Row],[rano_dostawa_truskawek]]+M138</f>
        <v>184</v>
      </c>
      <c r="G139">
        <f>owoce5[[#This Row],[rano_dostawa_porzeczek]]+N138</f>
        <v>377</v>
      </c>
      <c r="H139" t="str" cm="1">
        <f t="array" ref="H13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39" t="str" cm="1">
        <f t="array" ref="I13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39" t="str">
        <f>_xlfn.CONCAT(owoce5[[#This Row],[jaka_konfitura_pierwszy]],"-",owoce5[[#This Row],[jaka_konfitura_drugi]])</f>
        <v>porzeczki-maliny</v>
      </c>
      <c r="K139" s="4">
        <f>LARGE(owoce5[[#This Row],[stan_malin]:[stan_porzeczek]],2)</f>
        <v>274</v>
      </c>
      <c r="L139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39" s="4">
        <f>IF(OR(owoce5[[#This Row],[jaka_konfitura_pierwszy]]="truskawki",owoce5[[#This Row],[jaka_konfitura_drugi]]="truskawki"),owoce5[[#This Row],[stan_truskawek]]-owoce5[[#This Row],[Ile_kilogramów_konfitury]],owoce5[[#This Row],[stan_truskawek]])</f>
        <v>184</v>
      </c>
      <c r="N139" s="4">
        <f>IF(OR(owoce5[[#This Row],[jaka_konfitura_pierwszy]]="porzeczki",owoce5[[#This Row],[jaka_konfitura_drugi]]="porzeczki"),owoce5[[#This Row],[stan_porzeczek]]-owoce5[[#This Row],[Ile_kilogramów_konfitury]],owoce5[[#This Row],[stan_porzeczek]])</f>
        <v>103</v>
      </c>
    </row>
    <row r="140" spans="1:14" x14ac:dyDescent="0.25">
      <c r="A140" s="1">
        <v>44090</v>
      </c>
      <c r="B140">
        <v>165</v>
      </c>
      <c r="C140">
        <v>232</v>
      </c>
      <c r="D140">
        <v>202</v>
      </c>
      <c r="E140">
        <f>L139+owoce5[[#This Row],[rano_dostawa_malin]]</f>
        <v>165</v>
      </c>
      <c r="F140">
        <f>owoce5[[#This Row],[rano_dostawa_truskawek]]+M139</f>
        <v>416</v>
      </c>
      <c r="G140">
        <f>owoce5[[#This Row],[rano_dostawa_porzeczek]]+N139</f>
        <v>305</v>
      </c>
      <c r="H140" t="str" cm="1">
        <f t="array" ref="H14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40" t="str" cm="1">
        <f t="array" ref="I14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40" t="str">
        <f>_xlfn.CONCAT(owoce5[[#This Row],[jaka_konfitura_pierwszy]],"-",owoce5[[#This Row],[jaka_konfitura_drugi]])</f>
        <v>truskawki-porzeczki</v>
      </c>
      <c r="K140" s="4">
        <f>LARGE(owoce5[[#This Row],[stan_malin]:[stan_porzeczek]],2)</f>
        <v>305</v>
      </c>
      <c r="L140" s="4">
        <f>IF(OR(owoce5[[#This Row],[jaka_konfitura_pierwszy]]="maliny",owoce5[[#This Row],[jaka_konfitura_drugi]]="maliny"),owoce5[[#This Row],[stan_malin]]-owoce5[[#This Row],[Ile_kilogramów_konfitury]],owoce5[[#This Row],[stan_malin]])</f>
        <v>165</v>
      </c>
      <c r="M140" s="4">
        <f>IF(OR(owoce5[[#This Row],[jaka_konfitura_pierwszy]]="truskawki",owoce5[[#This Row],[jaka_konfitura_drugi]]="truskawki"),owoce5[[#This Row],[stan_truskawek]]-owoce5[[#This Row],[Ile_kilogramów_konfitury]],owoce5[[#This Row],[stan_truskawek]])</f>
        <v>111</v>
      </c>
      <c r="N140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41" spans="1:14" x14ac:dyDescent="0.25">
      <c r="A141" s="1">
        <v>44091</v>
      </c>
      <c r="B141">
        <v>163</v>
      </c>
      <c r="C141">
        <v>314</v>
      </c>
      <c r="D141">
        <v>213</v>
      </c>
      <c r="E141">
        <f>L140+owoce5[[#This Row],[rano_dostawa_malin]]</f>
        <v>328</v>
      </c>
      <c r="F141">
        <f>owoce5[[#This Row],[rano_dostawa_truskawek]]+M140</f>
        <v>425</v>
      </c>
      <c r="G141">
        <f>owoce5[[#This Row],[rano_dostawa_porzeczek]]+N140</f>
        <v>213</v>
      </c>
      <c r="H141" t="str" cm="1">
        <f t="array" ref="H14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41" t="str" cm="1">
        <f t="array" ref="I14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41" t="str">
        <f>_xlfn.CONCAT(owoce5[[#This Row],[jaka_konfitura_pierwszy]],"-",owoce5[[#This Row],[jaka_konfitura_drugi]])</f>
        <v>truskawki-maliny</v>
      </c>
      <c r="K141" s="4">
        <f>LARGE(owoce5[[#This Row],[stan_malin]:[stan_porzeczek]],2)</f>
        <v>328</v>
      </c>
      <c r="L141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41" s="4">
        <f>IF(OR(owoce5[[#This Row],[jaka_konfitura_pierwszy]]="truskawki",owoce5[[#This Row],[jaka_konfitura_drugi]]="truskawki"),owoce5[[#This Row],[stan_truskawek]]-owoce5[[#This Row],[Ile_kilogramów_konfitury]],owoce5[[#This Row],[stan_truskawek]])</f>
        <v>97</v>
      </c>
      <c r="N141" s="4">
        <f>IF(OR(owoce5[[#This Row],[jaka_konfitura_pierwszy]]="porzeczki",owoce5[[#This Row],[jaka_konfitura_drugi]]="porzeczki"),owoce5[[#This Row],[stan_porzeczek]]-owoce5[[#This Row],[Ile_kilogramów_konfitury]],owoce5[[#This Row],[stan_porzeczek]])</f>
        <v>213</v>
      </c>
    </row>
    <row r="142" spans="1:14" x14ac:dyDescent="0.25">
      <c r="A142" s="1">
        <v>44092</v>
      </c>
      <c r="B142">
        <v>200</v>
      </c>
      <c r="C142">
        <v>307</v>
      </c>
      <c r="D142">
        <v>206</v>
      </c>
      <c r="E142">
        <f>L141+owoce5[[#This Row],[rano_dostawa_malin]]</f>
        <v>200</v>
      </c>
      <c r="F142">
        <f>owoce5[[#This Row],[rano_dostawa_truskawek]]+M141</f>
        <v>404</v>
      </c>
      <c r="G142">
        <f>owoce5[[#This Row],[rano_dostawa_porzeczek]]+N141</f>
        <v>419</v>
      </c>
      <c r="H142" t="str" cm="1">
        <f t="array" ref="H14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42" t="str" cm="1">
        <f t="array" ref="I14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42" t="str">
        <f>_xlfn.CONCAT(owoce5[[#This Row],[jaka_konfitura_pierwszy]],"-",owoce5[[#This Row],[jaka_konfitura_drugi]])</f>
        <v>porzeczki-truskawki</v>
      </c>
      <c r="K142" s="4">
        <f>LARGE(owoce5[[#This Row],[stan_malin]:[stan_porzeczek]],2)</f>
        <v>404</v>
      </c>
      <c r="L142" s="4">
        <f>IF(OR(owoce5[[#This Row],[jaka_konfitura_pierwszy]]="maliny",owoce5[[#This Row],[jaka_konfitura_drugi]]="maliny"),owoce5[[#This Row],[stan_malin]]-owoce5[[#This Row],[Ile_kilogramów_konfitury]],owoce5[[#This Row],[stan_malin]])</f>
        <v>200</v>
      </c>
      <c r="M142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42" s="4">
        <f>IF(OR(owoce5[[#This Row],[jaka_konfitura_pierwszy]]="porzeczki",owoce5[[#This Row],[jaka_konfitura_drugi]]="porzeczki"),owoce5[[#This Row],[stan_porzeczek]]-owoce5[[#This Row],[Ile_kilogramów_konfitury]],owoce5[[#This Row],[stan_porzeczek]])</f>
        <v>15</v>
      </c>
    </row>
    <row r="143" spans="1:14" x14ac:dyDescent="0.25">
      <c r="A143" s="1">
        <v>44093</v>
      </c>
      <c r="B143">
        <v>201</v>
      </c>
      <c r="C143">
        <v>274</v>
      </c>
      <c r="D143">
        <v>210</v>
      </c>
      <c r="E143">
        <f>L142+owoce5[[#This Row],[rano_dostawa_malin]]</f>
        <v>401</v>
      </c>
      <c r="F143">
        <f>owoce5[[#This Row],[rano_dostawa_truskawek]]+M142</f>
        <v>274</v>
      </c>
      <c r="G143">
        <f>owoce5[[#This Row],[rano_dostawa_porzeczek]]+N142</f>
        <v>225</v>
      </c>
      <c r="H143" t="str" cm="1">
        <f t="array" ref="H14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43" t="str" cm="1">
        <f t="array" ref="I14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43" t="str">
        <f>_xlfn.CONCAT(owoce5[[#This Row],[jaka_konfitura_pierwszy]],"-",owoce5[[#This Row],[jaka_konfitura_drugi]])</f>
        <v>maliny-truskawki</v>
      </c>
      <c r="K143" s="4">
        <f>LARGE(owoce5[[#This Row],[stan_malin]:[stan_porzeczek]],2)</f>
        <v>274</v>
      </c>
      <c r="L143" s="4">
        <f>IF(OR(owoce5[[#This Row],[jaka_konfitura_pierwszy]]="maliny",owoce5[[#This Row],[jaka_konfitura_drugi]]="maliny"),owoce5[[#This Row],[stan_malin]]-owoce5[[#This Row],[Ile_kilogramów_konfitury]],owoce5[[#This Row],[stan_malin]])</f>
        <v>127</v>
      </c>
      <c r="M14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43" s="4">
        <f>IF(OR(owoce5[[#This Row],[jaka_konfitura_pierwszy]]="porzeczki",owoce5[[#This Row],[jaka_konfitura_drugi]]="porzeczki"),owoce5[[#This Row],[stan_porzeczek]]-owoce5[[#This Row],[Ile_kilogramów_konfitury]],owoce5[[#This Row],[stan_porzeczek]])</f>
        <v>225</v>
      </c>
    </row>
    <row r="144" spans="1:14" x14ac:dyDescent="0.25">
      <c r="A144" s="1">
        <v>44094</v>
      </c>
      <c r="B144">
        <v>269</v>
      </c>
      <c r="C144">
        <v>278</v>
      </c>
      <c r="D144">
        <v>228</v>
      </c>
      <c r="E144">
        <f>L143+owoce5[[#This Row],[rano_dostawa_malin]]</f>
        <v>396</v>
      </c>
      <c r="F144">
        <f>owoce5[[#This Row],[rano_dostawa_truskawek]]+M143</f>
        <v>278</v>
      </c>
      <c r="G144">
        <f>owoce5[[#This Row],[rano_dostawa_porzeczek]]+N143</f>
        <v>453</v>
      </c>
      <c r="H144" t="str" cm="1">
        <f t="array" ref="H14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44" t="str" cm="1">
        <f t="array" ref="I14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44" t="str">
        <f>_xlfn.CONCAT(owoce5[[#This Row],[jaka_konfitura_pierwszy]],"-",owoce5[[#This Row],[jaka_konfitura_drugi]])</f>
        <v>porzeczki-maliny</v>
      </c>
      <c r="K144" s="4">
        <f>LARGE(owoce5[[#This Row],[stan_malin]:[stan_porzeczek]],2)</f>
        <v>396</v>
      </c>
      <c r="L144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44" s="4">
        <f>IF(OR(owoce5[[#This Row],[jaka_konfitura_pierwszy]]="truskawki",owoce5[[#This Row],[jaka_konfitura_drugi]]="truskawki"),owoce5[[#This Row],[stan_truskawek]]-owoce5[[#This Row],[Ile_kilogramów_konfitury]],owoce5[[#This Row],[stan_truskawek]])</f>
        <v>278</v>
      </c>
      <c r="N144" s="4">
        <f>IF(OR(owoce5[[#This Row],[jaka_konfitura_pierwszy]]="porzeczki",owoce5[[#This Row],[jaka_konfitura_drugi]]="porzeczki"),owoce5[[#This Row],[stan_porzeczek]]-owoce5[[#This Row],[Ile_kilogramów_konfitury]],owoce5[[#This Row],[stan_porzeczek]])</f>
        <v>57</v>
      </c>
    </row>
    <row r="145" spans="1:14" x14ac:dyDescent="0.25">
      <c r="A145" s="1">
        <v>44095</v>
      </c>
      <c r="B145">
        <v>188</v>
      </c>
      <c r="C145">
        <v>195</v>
      </c>
      <c r="D145">
        <v>207</v>
      </c>
      <c r="E145">
        <f>L144+owoce5[[#This Row],[rano_dostawa_malin]]</f>
        <v>188</v>
      </c>
      <c r="F145">
        <f>owoce5[[#This Row],[rano_dostawa_truskawek]]+M144</f>
        <v>473</v>
      </c>
      <c r="G145">
        <f>owoce5[[#This Row],[rano_dostawa_porzeczek]]+N144</f>
        <v>264</v>
      </c>
      <c r="H145" t="str" cm="1">
        <f t="array" ref="H145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45" t="str" cm="1">
        <f t="array" ref="I145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45" t="str">
        <f>_xlfn.CONCAT(owoce5[[#This Row],[jaka_konfitura_pierwszy]],"-",owoce5[[#This Row],[jaka_konfitura_drugi]])</f>
        <v>truskawki-porzeczki</v>
      </c>
      <c r="K145" s="4">
        <f>LARGE(owoce5[[#This Row],[stan_malin]:[stan_porzeczek]],2)</f>
        <v>264</v>
      </c>
      <c r="L145" s="4">
        <f>IF(OR(owoce5[[#This Row],[jaka_konfitura_pierwszy]]="maliny",owoce5[[#This Row],[jaka_konfitura_drugi]]="maliny"),owoce5[[#This Row],[stan_malin]]-owoce5[[#This Row],[Ile_kilogramów_konfitury]],owoce5[[#This Row],[stan_malin]])</f>
        <v>188</v>
      </c>
      <c r="M145" s="4">
        <f>IF(OR(owoce5[[#This Row],[jaka_konfitura_pierwszy]]="truskawki",owoce5[[#This Row],[jaka_konfitura_drugi]]="truskawki"),owoce5[[#This Row],[stan_truskawek]]-owoce5[[#This Row],[Ile_kilogramów_konfitury]],owoce5[[#This Row],[stan_truskawek]])</f>
        <v>209</v>
      </c>
      <c r="N145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46" spans="1:14" x14ac:dyDescent="0.25">
      <c r="A146" s="1">
        <v>44096</v>
      </c>
      <c r="B146">
        <v>142</v>
      </c>
      <c r="C146">
        <v>249</v>
      </c>
      <c r="D146">
        <v>202</v>
      </c>
      <c r="E146">
        <f>L145+owoce5[[#This Row],[rano_dostawa_malin]]</f>
        <v>330</v>
      </c>
      <c r="F146">
        <f>owoce5[[#This Row],[rano_dostawa_truskawek]]+M145</f>
        <v>458</v>
      </c>
      <c r="G146">
        <f>owoce5[[#This Row],[rano_dostawa_porzeczek]]+N145</f>
        <v>202</v>
      </c>
      <c r="H146" t="str" cm="1">
        <f t="array" ref="H146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46" t="str" cm="1">
        <f t="array" ref="I146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46" t="str">
        <f>_xlfn.CONCAT(owoce5[[#This Row],[jaka_konfitura_pierwszy]],"-",owoce5[[#This Row],[jaka_konfitura_drugi]])</f>
        <v>truskawki-maliny</v>
      </c>
      <c r="K146" s="4">
        <f>LARGE(owoce5[[#This Row],[stan_malin]:[stan_porzeczek]],2)</f>
        <v>330</v>
      </c>
      <c r="L146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46" s="4">
        <f>IF(OR(owoce5[[#This Row],[jaka_konfitura_pierwszy]]="truskawki",owoce5[[#This Row],[jaka_konfitura_drugi]]="truskawki"),owoce5[[#This Row],[stan_truskawek]]-owoce5[[#This Row],[Ile_kilogramów_konfitury]],owoce5[[#This Row],[stan_truskawek]])</f>
        <v>128</v>
      </c>
      <c r="N146" s="4">
        <f>IF(OR(owoce5[[#This Row],[jaka_konfitura_pierwszy]]="porzeczki",owoce5[[#This Row],[jaka_konfitura_drugi]]="porzeczki"),owoce5[[#This Row],[stan_porzeczek]]-owoce5[[#This Row],[Ile_kilogramów_konfitury]],owoce5[[#This Row],[stan_porzeczek]])</f>
        <v>202</v>
      </c>
    </row>
    <row r="147" spans="1:14" x14ac:dyDescent="0.25">
      <c r="A147" s="1">
        <v>44097</v>
      </c>
      <c r="B147">
        <v>232</v>
      </c>
      <c r="C147">
        <v>116</v>
      </c>
      <c r="D147">
        <v>195</v>
      </c>
      <c r="E147">
        <f>L146+owoce5[[#This Row],[rano_dostawa_malin]]</f>
        <v>232</v>
      </c>
      <c r="F147">
        <f>owoce5[[#This Row],[rano_dostawa_truskawek]]+M146</f>
        <v>244</v>
      </c>
      <c r="G147">
        <f>owoce5[[#This Row],[rano_dostawa_porzeczek]]+N146</f>
        <v>397</v>
      </c>
      <c r="H147" t="str" cm="1">
        <f t="array" ref="H147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47" t="str" cm="1">
        <f t="array" ref="I147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47" t="str">
        <f>_xlfn.CONCAT(owoce5[[#This Row],[jaka_konfitura_pierwszy]],"-",owoce5[[#This Row],[jaka_konfitura_drugi]])</f>
        <v>porzeczki-truskawki</v>
      </c>
      <c r="K147" s="4">
        <f>LARGE(owoce5[[#This Row],[stan_malin]:[stan_porzeczek]],2)</f>
        <v>244</v>
      </c>
      <c r="L147" s="4">
        <f>IF(OR(owoce5[[#This Row],[jaka_konfitura_pierwszy]]="maliny",owoce5[[#This Row],[jaka_konfitura_drugi]]="maliny"),owoce5[[#This Row],[stan_malin]]-owoce5[[#This Row],[Ile_kilogramów_konfitury]],owoce5[[#This Row],[stan_malin]])</f>
        <v>232</v>
      </c>
      <c r="M147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47" s="4">
        <f>IF(OR(owoce5[[#This Row],[jaka_konfitura_pierwszy]]="porzeczki",owoce5[[#This Row],[jaka_konfitura_drugi]]="porzeczki"),owoce5[[#This Row],[stan_porzeczek]]-owoce5[[#This Row],[Ile_kilogramów_konfitury]],owoce5[[#This Row],[stan_porzeczek]])</f>
        <v>153</v>
      </c>
    </row>
    <row r="148" spans="1:14" x14ac:dyDescent="0.25">
      <c r="A148" s="1">
        <v>44098</v>
      </c>
      <c r="B148">
        <v>296</v>
      </c>
      <c r="C148">
        <v>102</v>
      </c>
      <c r="D148">
        <v>192</v>
      </c>
      <c r="E148">
        <f>L147+owoce5[[#This Row],[rano_dostawa_malin]]</f>
        <v>528</v>
      </c>
      <c r="F148">
        <f>owoce5[[#This Row],[rano_dostawa_truskawek]]+M147</f>
        <v>102</v>
      </c>
      <c r="G148">
        <f>owoce5[[#This Row],[rano_dostawa_porzeczek]]+N147</f>
        <v>345</v>
      </c>
      <c r="H148" t="str" cm="1">
        <f t="array" ref="H148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48" t="str" cm="1">
        <f t="array" ref="I148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48" t="str">
        <f>_xlfn.CONCAT(owoce5[[#This Row],[jaka_konfitura_pierwszy]],"-",owoce5[[#This Row],[jaka_konfitura_drugi]])</f>
        <v>maliny-porzeczki</v>
      </c>
      <c r="K148" s="4">
        <f>LARGE(owoce5[[#This Row],[stan_malin]:[stan_porzeczek]],2)</f>
        <v>345</v>
      </c>
      <c r="L148" s="4">
        <f>IF(OR(owoce5[[#This Row],[jaka_konfitura_pierwszy]]="maliny",owoce5[[#This Row],[jaka_konfitura_drugi]]="maliny"),owoce5[[#This Row],[stan_malin]]-owoce5[[#This Row],[Ile_kilogramów_konfitury]],owoce5[[#This Row],[stan_malin]])</f>
        <v>183</v>
      </c>
      <c r="M148" s="4">
        <f>IF(OR(owoce5[[#This Row],[jaka_konfitura_pierwszy]]="truskawki",owoce5[[#This Row],[jaka_konfitura_drugi]]="truskawki"),owoce5[[#This Row],[stan_truskawek]]-owoce5[[#This Row],[Ile_kilogramów_konfitury]],owoce5[[#This Row],[stan_truskawek]])</f>
        <v>102</v>
      </c>
      <c r="N148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49" spans="1:14" x14ac:dyDescent="0.25">
      <c r="A149" s="1">
        <v>44099</v>
      </c>
      <c r="B149">
        <v>161</v>
      </c>
      <c r="C149">
        <v>151</v>
      </c>
      <c r="D149">
        <v>216</v>
      </c>
      <c r="E149">
        <f>L148+owoce5[[#This Row],[rano_dostawa_malin]]</f>
        <v>344</v>
      </c>
      <c r="F149">
        <f>owoce5[[#This Row],[rano_dostawa_truskawek]]+M148</f>
        <v>253</v>
      </c>
      <c r="G149">
        <f>owoce5[[#This Row],[rano_dostawa_porzeczek]]+N148</f>
        <v>216</v>
      </c>
      <c r="H149" t="str" cm="1">
        <f t="array" ref="H149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49" t="str" cm="1">
        <f t="array" ref="I149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49" t="str">
        <f>_xlfn.CONCAT(owoce5[[#This Row],[jaka_konfitura_pierwszy]],"-",owoce5[[#This Row],[jaka_konfitura_drugi]])</f>
        <v>maliny-truskawki</v>
      </c>
      <c r="K149" s="4">
        <f>LARGE(owoce5[[#This Row],[stan_malin]:[stan_porzeczek]],2)</f>
        <v>253</v>
      </c>
      <c r="L149" s="4">
        <f>IF(OR(owoce5[[#This Row],[jaka_konfitura_pierwszy]]="maliny",owoce5[[#This Row],[jaka_konfitura_drugi]]="maliny"),owoce5[[#This Row],[stan_malin]]-owoce5[[#This Row],[Ile_kilogramów_konfitury]],owoce5[[#This Row],[stan_malin]])</f>
        <v>91</v>
      </c>
      <c r="M149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49" s="4">
        <f>IF(OR(owoce5[[#This Row],[jaka_konfitura_pierwszy]]="porzeczki",owoce5[[#This Row],[jaka_konfitura_drugi]]="porzeczki"),owoce5[[#This Row],[stan_porzeczek]]-owoce5[[#This Row],[Ile_kilogramów_konfitury]],owoce5[[#This Row],[stan_porzeczek]])</f>
        <v>216</v>
      </c>
    </row>
    <row r="150" spans="1:14" x14ac:dyDescent="0.25">
      <c r="A150" s="1">
        <v>44100</v>
      </c>
      <c r="B150">
        <v>162</v>
      </c>
      <c r="C150">
        <v>261</v>
      </c>
      <c r="D150">
        <v>184</v>
      </c>
      <c r="E150">
        <f>L149+owoce5[[#This Row],[rano_dostawa_malin]]</f>
        <v>253</v>
      </c>
      <c r="F150">
        <f>owoce5[[#This Row],[rano_dostawa_truskawek]]+M149</f>
        <v>261</v>
      </c>
      <c r="G150">
        <f>owoce5[[#This Row],[rano_dostawa_porzeczek]]+N149</f>
        <v>400</v>
      </c>
      <c r="H150" t="str" cm="1">
        <f t="array" ref="H150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50" t="str" cm="1">
        <f t="array" ref="I150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50" t="str">
        <f>_xlfn.CONCAT(owoce5[[#This Row],[jaka_konfitura_pierwszy]],"-",owoce5[[#This Row],[jaka_konfitura_drugi]])</f>
        <v>porzeczki-truskawki</v>
      </c>
      <c r="K150" s="4">
        <f>LARGE(owoce5[[#This Row],[stan_malin]:[stan_porzeczek]],2)</f>
        <v>261</v>
      </c>
      <c r="L150" s="4">
        <f>IF(OR(owoce5[[#This Row],[jaka_konfitura_pierwszy]]="maliny",owoce5[[#This Row],[jaka_konfitura_drugi]]="maliny"),owoce5[[#This Row],[stan_malin]]-owoce5[[#This Row],[Ile_kilogramów_konfitury]],owoce5[[#This Row],[stan_malin]])</f>
        <v>253</v>
      </c>
      <c r="M150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50" s="4">
        <f>IF(OR(owoce5[[#This Row],[jaka_konfitura_pierwszy]]="porzeczki",owoce5[[#This Row],[jaka_konfitura_drugi]]="porzeczki"),owoce5[[#This Row],[stan_porzeczek]]-owoce5[[#This Row],[Ile_kilogramów_konfitury]],owoce5[[#This Row],[stan_porzeczek]])</f>
        <v>139</v>
      </c>
    </row>
    <row r="151" spans="1:14" x14ac:dyDescent="0.25">
      <c r="A151" s="1">
        <v>44101</v>
      </c>
      <c r="B151">
        <v>216</v>
      </c>
      <c r="C151">
        <v>147</v>
      </c>
      <c r="D151">
        <v>204</v>
      </c>
      <c r="E151">
        <f>L150+owoce5[[#This Row],[rano_dostawa_malin]]</f>
        <v>469</v>
      </c>
      <c r="F151">
        <f>owoce5[[#This Row],[rano_dostawa_truskawek]]+M150</f>
        <v>147</v>
      </c>
      <c r="G151">
        <f>owoce5[[#This Row],[rano_dostawa_porzeczek]]+N150</f>
        <v>343</v>
      </c>
      <c r="H151" t="str" cm="1">
        <f t="array" ref="H151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51" t="str" cm="1">
        <f t="array" ref="I151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51" t="str">
        <f>_xlfn.CONCAT(owoce5[[#This Row],[jaka_konfitura_pierwszy]],"-",owoce5[[#This Row],[jaka_konfitura_drugi]])</f>
        <v>maliny-porzeczki</v>
      </c>
      <c r="K151" s="4">
        <f>LARGE(owoce5[[#This Row],[stan_malin]:[stan_porzeczek]],2)</f>
        <v>343</v>
      </c>
      <c r="L151" s="4">
        <f>IF(OR(owoce5[[#This Row],[jaka_konfitura_pierwszy]]="maliny",owoce5[[#This Row],[jaka_konfitura_drugi]]="maliny"),owoce5[[#This Row],[stan_malin]]-owoce5[[#This Row],[Ile_kilogramów_konfitury]],owoce5[[#This Row],[stan_malin]])</f>
        <v>126</v>
      </c>
      <c r="M151" s="4">
        <f>IF(OR(owoce5[[#This Row],[jaka_konfitura_pierwszy]]="truskawki",owoce5[[#This Row],[jaka_konfitura_drugi]]="truskawki"),owoce5[[#This Row],[stan_truskawek]]-owoce5[[#This Row],[Ile_kilogramów_konfitury]],owoce5[[#This Row],[stan_truskawek]])</f>
        <v>147</v>
      </c>
      <c r="N151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  <row r="152" spans="1:14" x14ac:dyDescent="0.25">
      <c r="A152" s="1">
        <v>44102</v>
      </c>
      <c r="B152">
        <v>282</v>
      </c>
      <c r="C152">
        <v>297</v>
      </c>
      <c r="D152">
        <v>195</v>
      </c>
      <c r="E152">
        <f>L151+owoce5[[#This Row],[rano_dostawa_malin]]</f>
        <v>408</v>
      </c>
      <c r="F152">
        <f>owoce5[[#This Row],[rano_dostawa_truskawek]]+M151</f>
        <v>444</v>
      </c>
      <c r="G152">
        <f>owoce5[[#This Row],[rano_dostawa_porzeczek]]+N151</f>
        <v>195</v>
      </c>
      <c r="H152" t="str" cm="1">
        <f t="array" ref="H152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truskawki</v>
      </c>
      <c r="I152" t="str" cm="1">
        <f t="array" ref="I152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maliny</v>
      </c>
      <c r="J152" t="str">
        <f>_xlfn.CONCAT(owoce5[[#This Row],[jaka_konfitura_pierwszy]],"-",owoce5[[#This Row],[jaka_konfitura_drugi]])</f>
        <v>truskawki-maliny</v>
      </c>
      <c r="K152" s="4">
        <f>LARGE(owoce5[[#This Row],[stan_malin]:[stan_porzeczek]],2)</f>
        <v>408</v>
      </c>
      <c r="L152" s="4">
        <f>IF(OR(owoce5[[#This Row],[jaka_konfitura_pierwszy]]="maliny",owoce5[[#This Row],[jaka_konfitura_drugi]]="maliny"),owoce5[[#This Row],[stan_malin]]-owoce5[[#This Row],[Ile_kilogramów_konfitury]],owoce5[[#This Row],[stan_malin]])</f>
        <v>0</v>
      </c>
      <c r="M152" s="4">
        <f>IF(OR(owoce5[[#This Row],[jaka_konfitura_pierwszy]]="truskawki",owoce5[[#This Row],[jaka_konfitura_drugi]]="truskawki"),owoce5[[#This Row],[stan_truskawek]]-owoce5[[#This Row],[Ile_kilogramów_konfitury]],owoce5[[#This Row],[stan_truskawek]])</f>
        <v>36</v>
      </c>
      <c r="N152" s="4">
        <f>IF(OR(owoce5[[#This Row],[jaka_konfitura_pierwszy]]="porzeczki",owoce5[[#This Row],[jaka_konfitura_drugi]]="porzeczki"),owoce5[[#This Row],[stan_porzeczek]]-owoce5[[#This Row],[Ile_kilogramów_konfitury]],owoce5[[#This Row],[stan_porzeczek]])</f>
        <v>195</v>
      </c>
    </row>
    <row r="153" spans="1:14" x14ac:dyDescent="0.25">
      <c r="A153" s="1">
        <v>44103</v>
      </c>
      <c r="B153">
        <v>214</v>
      </c>
      <c r="C153">
        <v>198</v>
      </c>
      <c r="D153">
        <v>200</v>
      </c>
      <c r="E153">
        <f>L152+owoce5[[#This Row],[rano_dostawa_malin]]</f>
        <v>214</v>
      </c>
      <c r="F153">
        <f>owoce5[[#This Row],[rano_dostawa_truskawek]]+M152</f>
        <v>234</v>
      </c>
      <c r="G153">
        <f>owoce5[[#This Row],[rano_dostawa_porzeczek]]+N152</f>
        <v>395</v>
      </c>
      <c r="H153" t="str" cm="1">
        <f t="array" ref="H153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porzeczki</v>
      </c>
      <c r="I153" t="str" cm="1">
        <f t="array" ref="I153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truskawki</v>
      </c>
      <c r="J153" t="str">
        <f>_xlfn.CONCAT(owoce5[[#This Row],[jaka_konfitura_pierwszy]],"-",owoce5[[#This Row],[jaka_konfitura_drugi]])</f>
        <v>porzeczki-truskawki</v>
      </c>
      <c r="K153" s="4">
        <f>LARGE(owoce5[[#This Row],[stan_malin]:[stan_porzeczek]],2)</f>
        <v>234</v>
      </c>
      <c r="L153" s="4">
        <f>IF(OR(owoce5[[#This Row],[jaka_konfitura_pierwszy]]="maliny",owoce5[[#This Row],[jaka_konfitura_drugi]]="maliny"),owoce5[[#This Row],[stan_malin]]-owoce5[[#This Row],[Ile_kilogramów_konfitury]],owoce5[[#This Row],[stan_malin]])</f>
        <v>214</v>
      </c>
      <c r="M153" s="4">
        <f>IF(OR(owoce5[[#This Row],[jaka_konfitura_pierwszy]]="truskawki",owoce5[[#This Row],[jaka_konfitura_drugi]]="truskawki"),owoce5[[#This Row],[stan_truskawek]]-owoce5[[#This Row],[Ile_kilogramów_konfitury]],owoce5[[#This Row],[stan_truskawek]])</f>
        <v>0</v>
      </c>
      <c r="N153" s="4">
        <f>IF(OR(owoce5[[#This Row],[jaka_konfitura_pierwszy]]="porzeczki",owoce5[[#This Row],[jaka_konfitura_drugi]]="porzeczki"),owoce5[[#This Row],[stan_porzeczek]]-owoce5[[#This Row],[Ile_kilogramów_konfitury]],owoce5[[#This Row],[stan_porzeczek]])</f>
        <v>161</v>
      </c>
    </row>
    <row r="154" spans="1:14" x14ac:dyDescent="0.25">
      <c r="A154" s="1">
        <v>44104</v>
      </c>
      <c r="B154">
        <v>289</v>
      </c>
      <c r="C154">
        <v>290</v>
      </c>
      <c r="D154">
        <v>190</v>
      </c>
      <c r="E154">
        <f>L153+owoce5[[#This Row],[rano_dostawa_malin]]</f>
        <v>503</v>
      </c>
      <c r="F154">
        <f>owoce5[[#This Row],[rano_dostawa_truskawek]]+M153</f>
        <v>290</v>
      </c>
      <c r="G154">
        <f>owoce5[[#This Row],[rano_dostawa_porzeczek]]+N153</f>
        <v>351</v>
      </c>
      <c r="H154" t="str" cm="1">
        <f t="array" ref="H154">_xlfn.IFS(owoce5[[#This Row],[stan_porzeczek]]=LARGE(owoce5[[#This Row],[stan_malin]:[stan_porzeczek]],1),"porzeczki",owoce5[[#This Row],[stan_truskawek]]=LARGE(owoce5[[#This Row],[stan_malin]:[stan_porzeczek]],1),"truskawki",owoce5[[#This Row],[stan_malin]]=LARGE(owoce5[[#This Row],[stan_malin]:[stan_porzeczek]],1),"maliny")</f>
        <v>maliny</v>
      </c>
      <c r="I154" t="str" cm="1">
        <f t="array" ref="I154">_xlfn.IFS(owoce5[[#This Row],[stan_porzeczek]]=LARGE(owoce5[[#This Row],[stan_malin]:[stan_porzeczek]],2),"porzeczki",owoce5[[#This Row],[stan_truskawek]]=LARGE(owoce5[[#This Row],[stan_malin]:[stan_porzeczek]],2),"truskawki",owoce5[[#This Row],[stan_malin]]=LARGE(owoce5[[#This Row],[stan_malin]:[stan_porzeczek]],2),"maliny")</f>
        <v>porzeczki</v>
      </c>
      <c r="J154" t="str">
        <f>_xlfn.CONCAT(owoce5[[#This Row],[jaka_konfitura_pierwszy]],"-",owoce5[[#This Row],[jaka_konfitura_drugi]])</f>
        <v>maliny-porzeczki</v>
      </c>
      <c r="K154" s="4">
        <f>LARGE(owoce5[[#This Row],[stan_malin]:[stan_porzeczek]],2)</f>
        <v>351</v>
      </c>
      <c r="L154" s="4">
        <f>IF(OR(owoce5[[#This Row],[jaka_konfitura_pierwszy]]="maliny",owoce5[[#This Row],[jaka_konfitura_drugi]]="maliny"),owoce5[[#This Row],[stan_malin]]-owoce5[[#This Row],[Ile_kilogramów_konfitury]],owoce5[[#This Row],[stan_malin]])</f>
        <v>152</v>
      </c>
      <c r="M154" s="4">
        <f>IF(OR(owoce5[[#This Row],[jaka_konfitura_pierwszy]]="truskawki",owoce5[[#This Row],[jaka_konfitura_drugi]]="truskawki"),owoce5[[#This Row],[stan_truskawek]]-owoce5[[#This Row],[Ile_kilogramów_konfitury]],owoce5[[#This Row],[stan_truskawek]])</f>
        <v>290</v>
      </c>
      <c r="N154" s="4">
        <f>IF(OR(owoce5[[#This Row],[jaka_konfitura_pierwszy]]="porzeczki",owoce5[[#This Row],[jaka_konfitura_drugi]]="porzeczki"),owoce5[[#This Row],[stan_porzeczek]]-owoce5[[#This Row],[Ile_kilogramów_konfitury]],owoce5[[#This Row],[stan_porzeczek]])</f>
        <v>0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0176-B1B5-4531-B45C-2710FB8AD3DB}">
  <dimension ref="A1:D154"/>
  <sheetViews>
    <sheetView workbookViewId="0"/>
  </sheetViews>
  <sheetFormatPr defaultRowHeight="15" x14ac:dyDescent="0.25"/>
  <cols>
    <col min="1" max="1" width="10.140625" bestFit="1" customWidth="1"/>
    <col min="2" max="2" width="16.85546875" bestFit="1" customWidth="1"/>
    <col min="3" max="3" width="21.140625" bestFit="1" customWidth="1"/>
    <col min="4" max="4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029BCF-6224-4E05-9865-78B5B4053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4</vt:lpstr>
      <vt:lpstr>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2025-11-10T08:44:59Z</dcterms:modified>
</cp:coreProperties>
</file>