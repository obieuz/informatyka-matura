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1maj6\"/>
    </mc:Choice>
  </mc:AlternateContent>
  <xr:revisionPtr revIDLastSave="0" documentId="13_ncr:1_{E50C4A20-021D-48A5-979F-D7E6799BD802}" xr6:coauthVersionLast="47" xr6:coauthVersionMax="47" xr10:uidLastSave="{00000000-0000-0000-0000-000000000000}"/>
  <bookViews>
    <workbookView xWindow="-120" yWindow="-120" windowWidth="29040" windowHeight="15840" activeTab="4" xr2:uid="{54498976-1130-4C8E-A985-E017A01F8486}"/>
  </bookViews>
  <sheets>
    <sheet name="a" sheetId="3" r:id="rId1"/>
    <sheet name="c" sheetId="5" r:id="rId2"/>
    <sheet name="b" sheetId="4" r:id="rId3"/>
    <sheet name="d" sheetId="6" r:id="rId4"/>
    <sheet name="e" sheetId="7" r:id="rId5"/>
    <sheet name="dane" sheetId="2" r:id="rId6"/>
  </sheets>
  <definedNames>
    <definedName name="ExternalData_1" localSheetId="0" hidden="1">a!$A$1:$Z$128</definedName>
    <definedName name="ExternalData_1" localSheetId="2" hidden="1">b!$A$1:$Z$128</definedName>
    <definedName name="ExternalData_1" localSheetId="1" hidden="1">'c'!$A$1:$Z$128</definedName>
    <definedName name="ExternalData_1" localSheetId="3" hidden="1">d!$A$1:$Z$128</definedName>
    <definedName name="ExternalData_1" localSheetId="5" hidden="1">dane!$A$1:$Z$128</definedName>
    <definedName name="ExternalData_1" localSheetId="4" hidden="1">e!$A$1:$Z$128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7" l="1" a="1"/>
  <c r="AC5" i="7" s="1"/>
  <c r="AG3" i="7"/>
  <c r="AF3" i="7"/>
  <c r="AE3" i="7"/>
  <c r="AD3" i="7"/>
  <c r="AC3" i="7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4" i="6"/>
  <c r="AC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3" i="6"/>
  <c r="AG2" i="5"/>
  <c r="AF2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3" i="5"/>
  <c r="AF2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4" i="4"/>
  <c r="AD3" i="4"/>
  <c r="AC2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4" i="4"/>
  <c r="AB3" i="4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C132" i="3"/>
  <c r="B132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C131" i="3"/>
  <c r="B131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B13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A25E7A-711A-47B0-89A7-35E97130A1F2}" keepAlive="1" name="Zapytanie — test" description="Połączenie z zapytaniem „test” w skoroszycie." type="5" refreshedVersion="8" background="1" saveData="1">
    <dbPr connection="Provider=Microsoft.Mashup.OleDb.1;Data Source=$Workbook$;Location=test;Extended Properties=&quot;&quot;" command="SELECT * FROM [test]"/>
  </connection>
  <connection id="2" xr16:uid="{5C81DC70-40A1-4F16-A49C-B14802AA2D03}" keepAlive="1" name="Zapytanie — test (2)" description="Połączenie z zapytaniem „test (2)” w skoroszycie." type="5" refreshedVersion="8" background="1" saveData="1">
    <dbPr connection="Provider=Microsoft.Mashup.OleDb.1;Data Source=$Workbook$;Location=&quot;test (2)&quot;;Extended Properties=&quot;&quot;" command="SELECT * FROM [test (2)]"/>
  </connection>
  <connection id="3" xr16:uid="{862A5016-475A-4023-9378-F531BD37A3D0}" keepAlive="1" name="Zapytanie — test (3)" description="Połączenie z zapytaniem „test (3)” w skoroszycie." type="5" refreshedVersion="8" background="1" saveData="1">
    <dbPr connection="Provider=Microsoft.Mashup.OleDb.1;Data Source=$Workbook$;Location=&quot;test (3)&quot;;Extended Properties=&quot;&quot;" command="SELECT * FROM [test (3)]"/>
  </connection>
  <connection id="4" xr16:uid="{D4CD230E-E1FC-42A4-B5B1-00B30C3A43D8}" keepAlive="1" name="Zapytanie — test (4)" description="Połączenie z zapytaniem „test (4)” w skoroszycie." type="5" refreshedVersion="8" background="1" saveData="1">
    <dbPr connection="Provider=Microsoft.Mashup.OleDb.1;Data Source=$Workbook$;Location=&quot;test (4)&quot;;Extended Properties=&quot;&quot;" command="SELECT * FROM [test (4)]"/>
  </connection>
  <connection id="5" xr16:uid="{8049E250-7639-4122-9CC7-2558F0BF7A82}" keepAlive="1" name="Zapytanie — test (5)" description="Połączenie z zapytaniem „test (5)” w skoroszycie." type="5" refreshedVersion="8" background="1" saveData="1">
    <dbPr connection="Provider=Microsoft.Mashup.OleDb.1;Data Source=$Workbook$;Location=&quot;test (5)&quot;;Extended Properties=&quot;&quot;" command="SELECT * FROM [test (5)]"/>
  </connection>
  <connection id="6" xr16:uid="{C3EE827C-F93A-4BE0-A980-D0EB90459441}" keepAlive="1" name="Zapytanie — test (6)" description="Połączenie z zapytaniem „test (6)” w skoroszycie." type="5" refreshedVersion="8" background="1" saveData="1">
    <dbPr connection="Provider=Microsoft.Mashup.OleDb.1;Data Source=$Workbook$;Location=&quot;test (6)&quot;;Extended Properties=&quot;&quot;" command="SELECT * FROM [test (6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<sst xmlns="http://schemas.openxmlformats.org/spreadsheetml/2006/main" count="941" uniqueCount="175">
  <si>
    <t>Nr_ucznia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</si>
  <si>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</si>
  <si>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</si>
  <si>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</si>
  <si>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</si>
  <si>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</si>
  <si>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</si>
  <si>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</si>
  <si>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</si>
  <si>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</si>
  <si>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</si>
  <si>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</si>
  <si>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</si>
  <si>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</si>
  <si>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</si>
  <si>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</si>
  <si>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</si>
  <si>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</si>
  <si>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</si>
  <si>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</si>
  <si>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</si>
  <si>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</si>
  <si>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</si>
  <si>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</si>
  <si>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</si>
  <si>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</si>
  <si>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</si>
  <si>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</si>
  <si>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</si>
  <si>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</si>
  <si>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</si>
  <si>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</si>
  <si>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</si>
  <si>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</si>
  <si>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</si>
  <si>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</si>
  <si>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</si>
  <si>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</si>
  <si>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</si>
  <si>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</si>
  <si>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</si>
  <si>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</si>
  <si>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</si>
  <si>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</si>
  <si>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</si>
  <si>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</si>
  <si>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</si>
  <si>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</si>
  <si>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</si>
  <si>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</si>
  <si>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</si>
  <si>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</si>
  <si>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</si>
  <si>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</si>
  <si>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</si>
  <si>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</si>
  <si>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</si>
  <si>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</si>
  <si>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</si>
  <si>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</si>
  <si>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</si>
  <si>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</si>
  <si>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</si>
  <si>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</si>
  <si>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</si>
  <si>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</si>
  <si>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</si>
  <si>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</si>
  <si>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</si>
  <si>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</si>
  <si>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</si>
  <si>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</si>
  <si>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</si>
  <si>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</si>
  <si>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</si>
  <si>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</si>
  <si>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</si>
  <si>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</si>
  <si>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</si>
  <si>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</si>
  <si>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</si>
  <si>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</si>
  <si>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</si>
  <si>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</si>
  <si>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</si>
  <si>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</si>
  <si>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</si>
  <si>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</si>
  <si>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</si>
  <si>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</si>
  <si>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</si>
  <si>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</si>
  <si>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</si>
  <si>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</si>
  <si>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</si>
  <si>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</si>
  <si>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</si>
  <si>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</si>
  <si>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</si>
  <si>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</si>
  <si>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</si>
  <si>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</si>
  <si>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</si>
  <si>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</si>
  <si>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</si>
  <si>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</si>
  <si>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</si>
  <si>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</si>
  <si>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</si>
  <si>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</si>
  <si>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</si>
  <si>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</si>
  <si>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</si>
  <si>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</si>
  <si>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</si>
  <si>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</si>
  <si>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</si>
  <si>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</si>
  <si>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</si>
  <si>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</si>
  <si>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</si>
  <si>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</si>
  <si>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</si>
  <si>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</si>
  <si>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</si>
  <si>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</si>
  <si>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</si>
  <si>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Pytanie nr1</t>
  </si>
  <si>
    <t>Pytanie nr2</t>
  </si>
  <si>
    <t>Pytanie nr3</t>
  </si>
  <si>
    <t>Pytanie nr4</t>
  </si>
  <si>
    <t>Pytanie nr5</t>
  </si>
  <si>
    <t>Pytanie nr6</t>
  </si>
  <si>
    <t>Pytanie nr7</t>
  </si>
  <si>
    <t>Pytanie nr8</t>
  </si>
  <si>
    <t>Pytanie nr9</t>
  </si>
  <si>
    <t>Pytanie nr10</t>
  </si>
  <si>
    <t>Pytanie nr11</t>
  </si>
  <si>
    <t>Pytanie nr12</t>
  </si>
  <si>
    <t>Pytanie nr13</t>
  </si>
  <si>
    <t>Pytanie nr14</t>
  </si>
  <si>
    <t>Pytanie nr15</t>
  </si>
  <si>
    <t>Pytanie nr16</t>
  </si>
  <si>
    <t>Pytanie nr17</t>
  </si>
  <si>
    <t>Pytanie nr18</t>
  </si>
  <si>
    <t>Pytanie nr19</t>
  </si>
  <si>
    <t>Pytanie nr20</t>
  </si>
  <si>
    <t>Pytanie nr21</t>
  </si>
  <si>
    <t>Pytanie nr22</t>
  </si>
  <si>
    <t>Pytanie nr23</t>
  </si>
  <si>
    <t>Pytanie nr24</t>
  </si>
  <si>
    <t>Pytanie nr25</t>
  </si>
  <si>
    <t>SUMA PUNKTÓW</t>
  </si>
  <si>
    <t>Czy powyżej 50%</t>
  </si>
  <si>
    <t>NUMERY PYTAŃ</t>
  </si>
  <si>
    <t>numer pytania</t>
  </si>
  <si>
    <t>2, 9, 12, 18, 19, 20, 22</t>
  </si>
  <si>
    <t>SUMA PUNKTÓW UCZNIA</t>
  </si>
  <si>
    <t>Średnia ilość punktów</t>
  </si>
  <si>
    <t>UCZNIOWIE &gt; ŚREDNIEJ</t>
  </si>
  <si>
    <t>liczba uczniów &gt; średniej</t>
  </si>
  <si>
    <t>SUMA PUNKTÓW UCZNIA W %</t>
  </si>
  <si>
    <t>UCZNIOWIE &gt; 90%</t>
  </si>
  <si>
    <t>UCZNIOWIE &lt;= 30%</t>
  </si>
  <si>
    <t>LICZBA OSOB Z BARDZO DOBRYMI</t>
  </si>
  <si>
    <t>liczba osób z niedostatecznymi</t>
  </si>
  <si>
    <t>uczniowie z poprawnymi odp na 5, 15,25</t>
  </si>
  <si>
    <t>NR UCZNIÓW</t>
  </si>
  <si>
    <t>nr uczniów z dobrymi odp na pytania 5, 15, 25</t>
  </si>
  <si>
    <t>2, 45, 65, 70, 79</t>
  </si>
  <si>
    <t>prehistoria</t>
  </si>
  <si>
    <t>starożytność</t>
  </si>
  <si>
    <t>średniowiecze</t>
  </si>
  <si>
    <t>historia nowożytna</t>
  </si>
  <si>
    <t>historia najnowsza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</si>
</sst>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Fill="1"/>
  </cellXfs>
  <cellStyles count="1">
    <cellStyle name="Normalny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poprawnych odpowiedzi na pytanie dotyczące danej epoki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9019685039370078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e!$AC$5:$AC$9</c:f>
              <c:strCache>
                <c:ptCount val="5"/>
                <c:pt idx="0">
                  <c:v>prehistoria</c:v>
                </c:pt>
                <c:pt idx="1">
                  <c:v>starożytność</c:v>
                </c:pt>
                <c:pt idx="2">
                  <c:v>średniowiecze</c:v>
                </c:pt>
                <c:pt idx="3">
                  <c:v>historia nowożytna</c:v>
                </c:pt>
                <c:pt idx="4">
                  <c:v>historia najnowsza</c:v>
                </c:pt>
              </c:strCache>
            </c:strRef>
          </c:cat>
          <c:val>
            <c:numRef>
              <c:f>e!$AD$5:$AD$9</c:f>
              <c:numCache>
                <c:formatCode>General</c:formatCode>
                <c:ptCount val="5"/>
                <c:pt idx="0">
                  <c:v>278</c:v>
                </c:pt>
                <c:pt idx="1">
                  <c:v>263</c:v>
                </c:pt>
                <c:pt idx="2">
                  <c:v>281</c:v>
                </c:pt>
                <c:pt idx="3">
                  <c:v>320</c:v>
                </c:pt>
                <c:pt idx="4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A-4385-9F3F-159EB8AEC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72272"/>
        <c:axId val="129874672"/>
      </c:barChart>
      <c:catAx>
        <c:axId val="12987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EPOKI</a:t>
                </a:r>
                <a:r>
                  <a:rPr lang="pl-PL" baseline="0"/>
                  <a:t> O KTÓRE PYTANO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874672"/>
        <c:crosses val="autoZero"/>
        <c:auto val="1"/>
        <c:lblAlgn val="ctr"/>
        <c:lblOffset val="100"/>
        <c:noMultiLvlLbl val="0"/>
      </c:catAx>
      <c:valAx>
        <c:axId val="1298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WSZYSTKICH POPRAWNYCH</a:t>
                </a:r>
                <a:r>
                  <a:rPr lang="pl-PL" baseline="0"/>
                  <a:t> ODPOWIEDZI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87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447675</xdr:colOff>
      <xdr:row>11</xdr:row>
      <xdr:rowOff>14287</xdr:rowOff>
    </xdr:from>
    <xdr:to>
      <xdr:col>35</xdr:col>
      <xdr:colOff>438150</xdr:colOff>
      <xdr:row>25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D2048D4-100D-22E9-A0D5-950A35BAF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EA58F6-8643-4BA2-9814-51DDA578896E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FA2F7C3-0FE0-4690-88BE-9A8728580885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5ED24DB-2291-4E35-BB8E-80DAE37DAF63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0FC6456-947D-4CFF-8959-0FD69DEB9A00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D829480-5876-40BB-99CB-E55D80100B18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745C2A-9F02-4542-8ED5-85B24B018BFE}" autoFormatId="16" applyNumberFormats="0" applyBorderFormats="0" applyFontFormats="0" applyPatternFormats="0" applyAlignmentFormats="0" applyWidthHeightFormats="0">
  <queryTableRefresh nextId="27">
    <queryTableFields count="2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86C57-98D9-4307-B3A4-56D871FA58A1}" name="test3" displayName="test3" ref="A1:Z128" tableType="queryTable" totalsRowShown="0">
  <autoFilter ref="A1:Z128" xr:uid="{9317242A-B364-4C89-905C-4D05E63641DE}"/>
  <tableColumns count="26">
    <tableColumn id="1" xr3:uid="{1044DF3D-D55A-4C88-8165-59D39AA43F41}" uniqueName="1" name="Nr_ucznia" queryTableFieldId="1" dataDxfId="13"/>
    <tableColumn id="2" xr3:uid="{650E423E-06AA-4A8F-96EA-A8DAEEB03087}" uniqueName="2" name="Pytanie nr1" queryTableFieldId="2"/>
    <tableColumn id="3" xr3:uid="{F1CC8300-BD4F-4978-B0C4-6E7EBB5F3778}" uniqueName="3" name="Pytanie nr2" queryTableFieldId="3"/>
    <tableColumn id="4" xr3:uid="{BAAC8A73-D70F-47B9-8121-BAE0BBEC7A13}" uniqueName="4" name="Pytanie nr3" queryTableFieldId="4"/>
    <tableColumn id="5" xr3:uid="{6F71077F-8C2E-4262-A838-65CF1CC6603B}" uniqueName="5" name="Pytanie nr4" queryTableFieldId="5"/>
    <tableColumn id="6" xr3:uid="{269B8029-E7C7-4372-BF62-99896B7997CE}" uniqueName="6" name="Pytanie nr5" queryTableFieldId="6"/>
    <tableColumn id="7" xr3:uid="{4041981F-D53A-4F56-ADAC-AF21FFB12606}" uniqueName="7" name="Pytanie nr6" queryTableFieldId="7"/>
    <tableColumn id="8" xr3:uid="{B468B124-7C5E-45BF-8B70-D828374BB2B3}" uniqueName="8" name="Pytanie nr7" queryTableFieldId="8"/>
    <tableColumn id="9" xr3:uid="{6BFB2878-DD45-403C-8D0B-DD7887414B18}" uniqueName="9" name="Pytanie nr8" queryTableFieldId="9"/>
    <tableColumn id="10" xr3:uid="{A3B535B3-076C-4563-891C-AF2CE6007574}" uniqueName="10" name="Pytanie nr9" queryTableFieldId="10"/>
    <tableColumn id="11" xr3:uid="{0FB52C2F-BAA0-452B-BDE6-1287F5883042}" uniqueName="11" name="Pytanie nr10" queryTableFieldId="11"/>
    <tableColumn id="12" xr3:uid="{8B255A7E-B032-42F4-A461-0095A961514A}" uniqueName="12" name="Pytanie nr11" queryTableFieldId="12"/>
    <tableColumn id="13" xr3:uid="{BE40AF6D-7D9D-45EF-85FC-9EF70585F55E}" uniqueName="13" name="Pytanie nr12" queryTableFieldId="13"/>
    <tableColumn id="14" xr3:uid="{FBCFD122-B4CD-4F1E-BD4B-D3FF31F2CA5E}" uniqueName="14" name="Pytanie nr13" queryTableFieldId="14"/>
    <tableColumn id="15" xr3:uid="{2CCA6FB0-3255-414B-9AD2-B27479C5884E}" uniqueName="15" name="Pytanie nr14" queryTableFieldId="15"/>
    <tableColumn id="16" xr3:uid="{B9FAF0D6-EF64-43E6-92ED-FFF172C40B69}" uniqueName="16" name="Pytanie nr15" queryTableFieldId="16"/>
    <tableColumn id="17" xr3:uid="{15F062C9-9B09-4BCD-8116-27605DB0674F}" uniqueName="17" name="Pytanie nr16" queryTableFieldId="17"/>
    <tableColumn id="18" xr3:uid="{C501089B-9EDC-478D-8016-491651531898}" uniqueName="18" name="Pytanie nr17" queryTableFieldId="18"/>
    <tableColumn id="19" xr3:uid="{DAC01E67-D8CF-46B9-A6BE-B75493810AFB}" uniqueName="19" name="Pytanie nr18" queryTableFieldId="19"/>
    <tableColumn id="20" xr3:uid="{5EEB951C-0997-4C12-8178-EBA51FF9EAEC}" uniqueName="20" name="Pytanie nr19" queryTableFieldId="20"/>
    <tableColumn id="21" xr3:uid="{CE1E9B68-8044-4F2A-8459-8870FBF358CA}" uniqueName="21" name="Pytanie nr20" queryTableFieldId="21"/>
    <tableColumn id="22" xr3:uid="{4A693064-6318-410D-B33A-E64BF55FD29D}" uniqueName="22" name="Pytanie nr21" queryTableFieldId="22"/>
    <tableColumn id="23" xr3:uid="{AB9BDFC4-BB4C-4C63-938E-42172F53CF7D}" uniqueName="23" name="Pytanie nr22" queryTableFieldId="23"/>
    <tableColumn id="24" xr3:uid="{16F781CB-82A3-4CA8-B9D0-EFD8B7A5709C}" uniqueName="24" name="Pytanie nr23" queryTableFieldId="24"/>
    <tableColumn id="25" xr3:uid="{33113C45-3F3C-48D3-A6B6-E3495F2C6437}" uniqueName="25" name="Pytanie nr24" queryTableFieldId="25"/>
    <tableColumn id="26" xr3:uid="{5A27691C-5CE7-40EA-A483-0CE628D80817}" uniqueName="26" name="Pytanie nr25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20AED8-9A20-423B-9C8A-3C35C822B1E1}" name="test45" displayName="test45" ref="A1:Z128" tableType="queryTable" totalsRowShown="0">
  <autoFilter ref="A1:Z128" xr:uid="{9317242A-B364-4C89-905C-4D05E63641DE}"/>
  <tableColumns count="26">
    <tableColumn id="1" xr3:uid="{2DE0EE28-AC16-48D2-B68F-D877CE87174F}" uniqueName="1" name="Nr_ucznia" queryTableFieldId="1" dataDxfId="11"/>
    <tableColumn id="2" xr3:uid="{11A2DCAB-50E4-4AF9-AA98-2182D39F040D}" uniqueName="2" name="Pytanie nr1" queryTableFieldId="2"/>
    <tableColumn id="3" xr3:uid="{90A3F256-0E0E-4AE5-A15F-4040C22C92B8}" uniqueName="3" name="Pytanie nr2" queryTableFieldId="3"/>
    <tableColumn id="4" xr3:uid="{1A4E56CA-5B7C-4B9A-87D5-6EB4CDB39D19}" uniqueName="4" name="Pytanie nr3" queryTableFieldId="4"/>
    <tableColumn id="5" xr3:uid="{29CB34A3-171D-4098-81C7-6B21DF0695F3}" uniqueName="5" name="Pytanie nr4" queryTableFieldId="5"/>
    <tableColumn id="6" xr3:uid="{9C6D3091-CB6F-46C9-BA79-04B7FE58F315}" uniqueName="6" name="Pytanie nr5" queryTableFieldId="6"/>
    <tableColumn id="7" xr3:uid="{9E64337A-1B63-45B9-AB11-4C202968DAEF}" uniqueName="7" name="Pytanie nr6" queryTableFieldId="7"/>
    <tableColumn id="8" xr3:uid="{51ADC0F6-74C1-4B98-8750-8611DDA2FD73}" uniqueName="8" name="Pytanie nr7" queryTableFieldId="8"/>
    <tableColumn id="9" xr3:uid="{27E0119F-7F2B-4029-AE64-16CF0CC87981}" uniqueName="9" name="Pytanie nr8" queryTableFieldId="9"/>
    <tableColumn id="10" xr3:uid="{EC54BAB4-F937-422B-BE08-ECB81F3B03B9}" uniqueName="10" name="Pytanie nr9" queryTableFieldId="10"/>
    <tableColumn id="11" xr3:uid="{1DCAC2E6-2840-478A-92F5-0EFBF638B4E4}" uniqueName="11" name="Pytanie nr10" queryTableFieldId="11"/>
    <tableColumn id="12" xr3:uid="{C1B3FF4F-2E76-497B-A242-32DABBAF8D95}" uniqueName="12" name="Pytanie nr11" queryTableFieldId="12"/>
    <tableColumn id="13" xr3:uid="{6E712D17-1F37-4636-9BF5-6FC0F03A13A4}" uniqueName="13" name="Pytanie nr12" queryTableFieldId="13"/>
    <tableColumn id="14" xr3:uid="{25CE636B-D9D6-4BA4-8ECF-F36BEC936A19}" uniqueName="14" name="Pytanie nr13" queryTableFieldId="14"/>
    <tableColumn id="15" xr3:uid="{2937511B-2CED-461A-892B-D15D757B2A28}" uniqueName="15" name="Pytanie nr14" queryTableFieldId="15"/>
    <tableColumn id="16" xr3:uid="{85D87644-A473-470A-9771-8C1EC8941E14}" uniqueName="16" name="Pytanie nr15" queryTableFieldId="16"/>
    <tableColumn id="17" xr3:uid="{96E3A4FB-959A-498A-901E-0303CF119B96}" uniqueName="17" name="Pytanie nr16" queryTableFieldId="17"/>
    <tableColumn id="18" xr3:uid="{56076A38-DBA3-4B81-97EA-BDCC0EAB8C33}" uniqueName="18" name="Pytanie nr17" queryTableFieldId="18"/>
    <tableColumn id="19" xr3:uid="{BF295553-17A0-4565-AE95-B3362CC4030F}" uniqueName="19" name="Pytanie nr18" queryTableFieldId="19"/>
    <tableColumn id="20" xr3:uid="{EB33BD8B-EAD9-4C29-B0B5-350202E86B47}" uniqueName="20" name="Pytanie nr19" queryTableFieldId="20"/>
    <tableColumn id="21" xr3:uid="{1255E8E8-9D9F-48BF-901F-5D4EFA9BF373}" uniqueName="21" name="Pytanie nr20" queryTableFieldId="21"/>
    <tableColumn id="22" xr3:uid="{0D5E0B0E-7A11-4D13-A46B-38061CF60ADD}" uniqueName="22" name="Pytanie nr21" queryTableFieldId="22"/>
    <tableColumn id="23" xr3:uid="{AB15EA86-DF4E-46C0-BBCD-6C7A6AD50662}" uniqueName="23" name="Pytanie nr22" queryTableFieldId="23"/>
    <tableColumn id="24" xr3:uid="{950CE8DF-E38D-489D-AB8C-93AD8CD884AB}" uniqueName="24" name="Pytanie nr23" queryTableFieldId="24"/>
    <tableColumn id="25" xr3:uid="{EF033A2A-FAFC-4484-9EBE-BEF6A31551C2}" uniqueName="25" name="Pytanie nr24" queryTableFieldId="25"/>
    <tableColumn id="26" xr3:uid="{D5AD0D66-AA3F-49C5-825B-613987BF6665}" uniqueName="26" name="Pytanie nr25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312A6B-2ADA-4AB7-B916-5796B85DF61D}" name="test4" displayName="test4" ref="A1:Z128" tableType="queryTable" totalsRowShown="0">
  <autoFilter ref="A1:Z128" xr:uid="{9317242A-B364-4C89-905C-4D05E63641DE}"/>
  <tableColumns count="26">
    <tableColumn id="1" xr3:uid="{9806498B-3D28-40DC-BD25-320DF22FF9E0}" uniqueName="1" name="Nr_ucznia" queryTableFieldId="1" dataDxfId="12"/>
    <tableColumn id="2" xr3:uid="{1B4B2E99-D15D-4D6F-86E6-E31FCD82CE5C}" uniqueName="2" name="Pytanie nr1" queryTableFieldId="2"/>
    <tableColumn id="3" xr3:uid="{211DCDDC-A26F-4549-B4E5-0C52286A543C}" uniqueName="3" name="Pytanie nr2" queryTableFieldId="3"/>
    <tableColumn id="4" xr3:uid="{95A60E49-7041-4036-92F9-B5569310C5CC}" uniqueName="4" name="Pytanie nr3" queryTableFieldId="4"/>
    <tableColumn id="5" xr3:uid="{78634722-7936-49BA-8A8E-840B15422075}" uniqueName="5" name="Pytanie nr4" queryTableFieldId="5"/>
    <tableColumn id="6" xr3:uid="{4EB9D11C-F260-446D-AAC0-197EDDEBA517}" uniqueName="6" name="Pytanie nr5" queryTableFieldId="6"/>
    <tableColumn id="7" xr3:uid="{0969A2EF-0603-4F3C-8A01-2012C9EAA2D5}" uniqueName="7" name="Pytanie nr6" queryTableFieldId="7"/>
    <tableColumn id="8" xr3:uid="{28995C5A-9806-4ADF-B961-A19D5291CE3D}" uniqueName="8" name="Pytanie nr7" queryTableFieldId="8"/>
    <tableColumn id="9" xr3:uid="{8B2C1E95-8834-4A34-9ADF-E19D69BAEB74}" uniqueName="9" name="Pytanie nr8" queryTableFieldId="9"/>
    <tableColumn id="10" xr3:uid="{7DDF40E3-825F-405E-BA53-1CB553EA4A7E}" uniqueName="10" name="Pytanie nr9" queryTableFieldId="10"/>
    <tableColumn id="11" xr3:uid="{049E56B3-2214-4E9B-A2BA-4ECBD81D78FE}" uniqueName="11" name="Pytanie nr10" queryTableFieldId="11"/>
    <tableColumn id="12" xr3:uid="{D3BDA818-B0B3-4E88-BCEE-985D51545437}" uniqueName="12" name="Pytanie nr11" queryTableFieldId="12"/>
    <tableColumn id="13" xr3:uid="{32FC4FE5-F350-4561-B079-55892B84EDBC}" uniqueName="13" name="Pytanie nr12" queryTableFieldId="13"/>
    <tableColumn id="14" xr3:uid="{43050993-4D64-4F63-BBA7-2F1222387806}" uniqueName="14" name="Pytanie nr13" queryTableFieldId="14"/>
    <tableColumn id="15" xr3:uid="{E92C84F1-453E-4C4D-BFFE-F269C82FBAC5}" uniqueName="15" name="Pytanie nr14" queryTableFieldId="15"/>
    <tableColumn id="16" xr3:uid="{98FD2E89-1711-4200-890C-510A4DE06EC4}" uniqueName="16" name="Pytanie nr15" queryTableFieldId="16"/>
    <tableColumn id="17" xr3:uid="{63A91DD3-9745-4F51-952E-3BA1C6150125}" uniqueName="17" name="Pytanie nr16" queryTableFieldId="17"/>
    <tableColumn id="18" xr3:uid="{C9DF0BFE-C183-47A5-A997-27AF4C66DEF1}" uniqueName="18" name="Pytanie nr17" queryTableFieldId="18"/>
    <tableColumn id="19" xr3:uid="{75E1CB23-B7B9-4B54-846A-61B96C72E94A}" uniqueName="19" name="Pytanie nr18" queryTableFieldId="19"/>
    <tableColumn id="20" xr3:uid="{69A0DCF5-3912-44FE-AF16-3AA3907E47F3}" uniqueName="20" name="Pytanie nr19" queryTableFieldId="20"/>
    <tableColumn id="21" xr3:uid="{A7D8CB8C-6A08-418C-AFED-B273B98B3BCA}" uniqueName="21" name="Pytanie nr20" queryTableFieldId="21"/>
    <tableColumn id="22" xr3:uid="{EB2B09F4-362D-43CE-9D8B-E4674CFF7C7C}" uniqueName="22" name="Pytanie nr21" queryTableFieldId="22"/>
    <tableColumn id="23" xr3:uid="{A952D652-4E66-49AA-AA83-30FBC58A6F94}" uniqueName="23" name="Pytanie nr22" queryTableFieldId="23"/>
    <tableColumn id="24" xr3:uid="{1993186A-D30E-4DD7-8C86-452B488D6E3A}" uniqueName="24" name="Pytanie nr23" queryTableFieldId="24"/>
    <tableColumn id="25" xr3:uid="{279F9CFE-65E7-4429-B36F-1F691963DDEB}" uniqueName="25" name="Pytanie nr24" queryTableFieldId="25"/>
    <tableColumn id="26" xr3:uid="{EE397247-1605-4B9A-8F9A-0DFC1E94A50A}" uniqueName="26" name="Pytanie nr25" queryTableFieldId="2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6826ED-D9FF-4475-9842-F4CB0F66E92D}" name="test6" displayName="test6" ref="A1:Z128" tableType="queryTable" totalsRowShown="0">
  <autoFilter ref="A1:Z128" xr:uid="{9317242A-B364-4C89-905C-4D05E63641DE}"/>
  <tableColumns count="26">
    <tableColumn id="1" xr3:uid="{62D2314A-2AB9-4ADF-8433-AB42A8502D94}" uniqueName="1" name="Nr_ucznia" queryTableFieldId="1" dataDxfId="7"/>
    <tableColumn id="2" xr3:uid="{9835438F-556E-4B3A-BBE5-DE6C8681037B}" uniqueName="2" name="Pytanie nr1" queryTableFieldId="2"/>
    <tableColumn id="3" xr3:uid="{584470FD-1773-41BE-8FD6-70574617711A}" uniqueName="3" name="Pytanie nr2" queryTableFieldId="3"/>
    <tableColumn id="4" xr3:uid="{5864B5DA-468A-4A30-91F4-C1807A45F7DC}" uniqueName="4" name="Pytanie nr3" queryTableFieldId="4"/>
    <tableColumn id="5" xr3:uid="{3AE942F4-46DC-43B2-A320-5F2D0FF0B332}" uniqueName="5" name="Pytanie nr4" queryTableFieldId="5"/>
    <tableColumn id="6" xr3:uid="{EC6B24D8-0DB7-4CCD-AA30-4724C26C09F7}" uniqueName="6" name="Pytanie nr5" queryTableFieldId="6"/>
    <tableColumn id="7" xr3:uid="{4FA6C2C5-8EAF-419B-A60F-B350C7676587}" uniqueName="7" name="Pytanie nr6" queryTableFieldId="7"/>
    <tableColumn id="8" xr3:uid="{B2A8084B-991B-4C13-943B-3D481AF8E9E9}" uniqueName="8" name="Pytanie nr7" queryTableFieldId="8"/>
    <tableColumn id="9" xr3:uid="{A54C04FB-8977-4087-8363-DC9937EAC486}" uniqueName="9" name="Pytanie nr8" queryTableFieldId="9"/>
    <tableColumn id="10" xr3:uid="{254E2170-4FD4-4B47-AE2F-7F6A837324F8}" uniqueName="10" name="Pytanie nr9" queryTableFieldId="10"/>
    <tableColumn id="11" xr3:uid="{086884B5-52B9-4EA3-9F85-B0CE52B60AC2}" uniqueName="11" name="Pytanie nr10" queryTableFieldId="11"/>
    <tableColumn id="12" xr3:uid="{C0509CFF-CAE1-4A8B-802B-0DE403435BA3}" uniqueName="12" name="Pytanie nr11" queryTableFieldId="12"/>
    <tableColumn id="13" xr3:uid="{C7A240A2-A9C5-4A54-ABFB-8373A3F778A6}" uniqueName="13" name="Pytanie nr12" queryTableFieldId="13"/>
    <tableColumn id="14" xr3:uid="{2DDC99FA-7B3C-42E1-82A0-B3B2CB73F7AC}" uniqueName="14" name="Pytanie nr13" queryTableFieldId="14"/>
    <tableColumn id="15" xr3:uid="{ED47EB64-4DF8-444F-B236-AB64B399D9EA}" uniqueName="15" name="Pytanie nr14" queryTableFieldId="15"/>
    <tableColumn id="16" xr3:uid="{F23FFA49-0483-4A80-A1FD-95B85436D1D5}" uniqueName="16" name="Pytanie nr15" queryTableFieldId="16"/>
    <tableColumn id="17" xr3:uid="{B395A54D-3068-4A71-91FD-5F2CAC7AD861}" uniqueName="17" name="Pytanie nr16" queryTableFieldId="17"/>
    <tableColumn id="18" xr3:uid="{8E5582E3-C956-4A78-94DA-CE0471512655}" uniqueName="18" name="Pytanie nr17" queryTableFieldId="18"/>
    <tableColumn id="19" xr3:uid="{E8220BC5-6117-4F68-92B4-CF5AB0693D03}" uniqueName="19" name="Pytanie nr18" queryTableFieldId="19"/>
    <tableColumn id="20" xr3:uid="{0C99E9AB-C875-44C6-883E-4F8D66B982C0}" uniqueName="20" name="Pytanie nr19" queryTableFieldId="20"/>
    <tableColumn id="21" xr3:uid="{FE5CB113-E5EF-4CE5-9A3A-C771DF75BE5F}" uniqueName="21" name="Pytanie nr20" queryTableFieldId="21"/>
    <tableColumn id="22" xr3:uid="{8B5BEAB4-6F84-4CA5-A3B4-3047CFBC0460}" uniqueName="22" name="Pytanie nr21" queryTableFieldId="22"/>
    <tableColumn id="23" xr3:uid="{2C96A1D0-8C67-416C-A303-FEE6396DC8A4}" uniqueName="23" name="Pytanie nr22" queryTableFieldId="23"/>
    <tableColumn id="24" xr3:uid="{FE5CE57A-CCE1-41AF-967B-49EBCE366DAA}" uniqueName="24" name="Pytanie nr23" queryTableFieldId="24"/>
    <tableColumn id="25" xr3:uid="{315E2A22-F4A9-48C0-BF01-029BBD3DAB2E}" uniqueName="25" name="Pytanie nr24" queryTableFieldId="25"/>
    <tableColumn id="26" xr3:uid="{C9D54F48-B321-4895-8540-912EE99710CF}" uniqueName="26" name="Pytanie nr25" queryTableField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1484BD-5292-4725-A40F-DFFD2A23C448}" name="test7" displayName="test7" ref="A1:Z128" tableType="queryTable" totalsRowShown="0">
  <autoFilter ref="A1:Z128" xr:uid="{9317242A-B364-4C89-905C-4D05E63641DE}"/>
  <tableColumns count="26">
    <tableColumn id="1" xr3:uid="{131714C3-19A5-4845-820A-04B75B8737A6}" uniqueName="1" name="Nr_ucznia" queryTableFieldId="1" dataDxfId="6"/>
    <tableColumn id="2" xr3:uid="{9A1A01C0-8526-47C1-B394-21441153EFF9}" uniqueName="2" name="Pytanie nr1" queryTableFieldId="2"/>
    <tableColumn id="3" xr3:uid="{FB043509-B125-4769-898D-97B9035F6328}" uniqueName="3" name="Pytanie nr2" queryTableFieldId="3"/>
    <tableColumn id="4" xr3:uid="{C2E4F56E-2155-4349-B6FF-72E69BABCA66}" uniqueName="4" name="Pytanie nr3" queryTableFieldId="4"/>
    <tableColumn id="5" xr3:uid="{50B3DF9F-FB17-4F45-98BC-5F91DFEE682E}" uniqueName="5" name="Pytanie nr4" queryTableFieldId="5"/>
    <tableColumn id="6" xr3:uid="{8D404DB1-AC4E-4AD1-AA20-586A067D9D08}" uniqueName="6" name="Pytanie nr5" queryTableFieldId="6"/>
    <tableColumn id="7" xr3:uid="{4DEA5473-6C62-4CA7-B086-C394B4C4728F}" uniqueName="7" name="Pytanie nr6" queryTableFieldId="7"/>
    <tableColumn id="8" xr3:uid="{2238B827-D806-412D-BF3C-AEAD5624DAF3}" uniqueName="8" name="Pytanie nr7" queryTableFieldId="8"/>
    <tableColumn id="9" xr3:uid="{D786E874-5CFC-4020-805F-9B89993B1C6F}" uniqueName="9" name="Pytanie nr8" queryTableFieldId="9"/>
    <tableColumn id="10" xr3:uid="{5AA4DC37-8DC3-4CF0-8D1A-926947B106FE}" uniqueName="10" name="Pytanie nr9" queryTableFieldId="10"/>
    <tableColumn id="11" xr3:uid="{DBB73687-D4CC-4843-8DFA-C0A77AE6ACD2}" uniqueName="11" name="Pytanie nr10" queryTableFieldId="11"/>
    <tableColumn id="12" xr3:uid="{65351FED-1AF7-4B52-AE2A-02DC8038A1F7}" uniqueName="12" name="Pytanie nr11" queryTableFieldId="12"/>
    <tableColumn id="13" xr3:uid="{BB4A9533-8CEB-4BA3-B5C9-0B731608AF49}" uniqueName="13" name="Pytanie nr12" queryTableFieldId="13"/>
    <tableColumn id="14" xr3:uid="{A950C68E-5B24-42A4-9075-76C753B2B375}" uniqueName="14" name="Pytanie nr13" queryTableFieldId="14"/>
    <tableColumn id="15" xr3:uid="{8AA05DDF-7434-4C07-864C-530FADC0B706}" uniqueName="15" name="Pytanie nr14" queryTableFieldId="15"/>
    <tableColumn id="16" xr3:uid="{D945EBB1-E0A9-453F-BF36-551ED1FF7AEF}" uniqueName="16" name="Pytanie nr15" queryTableFieldId="16"/>
    <tableColumn id="17" xr3:uid="{DAD4BDBA-D3EA-48EE-815B-7B3F2C038C7E}" uniqueName="17" name="Pytanie nr16" queryTableFieldId="17"/>
    <tableColumn id="18" xr3:uid="{F7F14EBE-A977-4F2A-842D-32D2C8732B55}" uniqueName="18" name="Pytanie nr17" queryTableFieldId="18"/>
    <tableColumn id="19" xr3:uid="{10E054D1-2B82-413E-A129-BD4131C2EAE1}" uniqueName="19" name="Pytanie nr18" queryTableFieldId="19"/>
    <tableColumn id="20" xr3:uid="{12AA03ED-B3F5-4F60-829C-70E3D9CE6D0E}" uniqueName="20" name="Pytanie nr19" queryTableFieldId="20"/>
    <tableColumn id="21" xr3:uid="{AE9B4272-965C-43E9-B561-8F9D19C700AE}" uniqueName="21" name="Pytanie nr20" queryTableFieldId="21"/>
    <tableColumn id="22" xr3:uid="{BA1CB28B-8C6D-4B91-8E25-A0525536724D}" uniqueName="22" name="Pytanie nr21" queryTableFieldId="22"/>
    <tableColumn id="23" xr3:uid="{4FCE888C-57C1-43E5-BF2E-4F30BBB6E501}" uniqueName="23" name="Pytanie nr22" queryTableFieldId="23"/>
    <tableColumn id="24" xr3:uid="{75F300FD-49AC-4220-B408-C098AFE48504}" uniqueName="24" name="Pytanie nr23" queryTableFieldId="24"/>
    <tableColumn id="25" xr3:uid="{AE9E3B45-DB6C-4ED4-9A73-E0C84D51A666}" uniqueName="25" name="Pytanie nr24" queryTableFieldId="25"/>
    <tableColumn id="26" xr3:uid="{0475A3C3-2E16-4E20-BB4D-29DB26F1FC5C}" uniqueName="26" name="Pytanie nr25" queryTableFieldId="2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7242A-B364-4C89-905C-4D05E63641DE}" name="test" displayName="test" ref="A1:Z128" tableType="queryTable" totalsRowShown="0">
  <autoFilter ref="A1:Z128" xr:uid="{9317242A-B364-4C89-905C-4D05E63641DE}"/>
  <tableColumns count="26">
    <tableColumn id="1" xr3:uid="{92371785-1765-4F71-8F04-15606E9FA11D}" uniqueName="1" name="Nr_ucznia" queryTableFieldId="1" dataDxfId="14"/>
    <tableColumn id="2" xr3:uid="{0C16BD16-8629-4B3C-BA8E-DF407944B75A}" uniqueName="2" name="Pytanie nr1" queryTableFieldId="2"/>
    <tableColumn id="3" xr3:uid="{4F28F3D7-E7C4-4F18-BF9F-0122279B14D1}" uniqueName="3" name="Pytanie nr2" queryTableFieldId="3"/>
    <tableColumn id="4" xr3:uid="{614BE4D4-6F4F-4BCD-BA2F-76EF2041624F}" uniqueName="4" name="Pytanie nr3" queryTableFieldId="4"/>
    <tableColumn id="5" xr3:uid="{5A4B0BC2-6238-4C31-BE7C-47A866379F06}" uniqueName="5" name="Pytanie nr4" queryTableFieldId="5"/>
    <tableColumn id="6" xr3:uid="{BB8F9B59-E11A-4685-A668-A501909D19F7}" uniqueName="6" name="Pytanie nr5" queryTableFieldId="6"/>
    <tableColumn id="7" xr3:uid="{102E2ABA-397F-44D7-B779-BFE41B272C65}" uniqueName="7" name="Pytanie nr6" queryTableFieldId="7"/>
    <tableColumn id="8" xr3:uid="{1F1A913F-F049-4B9C-99AA-CA6D3B8FB8FF}" uniqueName="8" name="Pytanie nr7" queryTableFieldId="8"/>
    <tableColumn id="9" xr3:uid="{D84C1B31-9773-43B5-A361-114B57E219E8}" uniqueName="9" name="Pytanie nr8" queryTableFieldId="9"/>
    <tableColumn id="10" xr3:uid="{44158E93-37DF-4515-BB73-05D39E48B791}" uniqueName="10" name="Pytanie nr9" queryTableFieldId="10"/>
    <tableColumn id="11" xr3:uid="{822C95B7-A1BA-4742-A805-C785EC8E4CCC}" uniqueName="11" name="Pytanie nr10" queryTableFieldId="11"/>
    <tableColumn id="12" xr3:uid="{DC24599F-1F44-41D2-AFEA-3A5D1B4FA76F}" uniqueName="12" name="Pytanie nr11" queryTableFieldId="12"/>
    <tableColumn id="13" xr3:uid="{4A623899-8A3D-4B00-A502-9B7044EF80CA}" uniqueName="13" name="Pytanie nr12" queryTableFieldId="13"/>
    <tableColumn id="14" xr3:uid="{1A7DBF52-FD36-4E60-BCBD-05F8EF89C8AA}" uniqueName="14" name="Pytanie nr13" queryTableFieldId="14"/>
    <tableColumn id="15" xr3:uid="{2CB4126E-709E-432A-A692-0D2AAF0E5F18}" uniqueName="15" name="Pytanie nr14" queryTableFieldId="15"/>
    <tableColumn id="16" xr3:uid="{58D9DCC1-4DA2-4D51-BB41-D97A8A9DC57F}" uniqueName="16" name="Pytanie nr15" queryTableFieldId="16"/>
    <tableColumn id="17" xr3:uid="{BAF85089-5D50-46BD-AD52-98C81E12C936}" uniqueName="17" name="Pytanie nr16" queryTableFieldId="17"/>
    <tableColumn id="18" xr3:uid="{FEF95D78-F5AD-4889-A75F-E5C65A99BD1E}" uniqueName="18" name="Pytanie nr17" queryTableFieldId="18"/>
    <tableColumn id="19" xr3:uid="{6214952F-F016-4275-8E81-8491A3F02FB3}" uniqueName="19" name="Pytanie nr18" queryTableFieldId="19"/>
    <tableColumn id="20" xr3:uid="{ED40B46B-9F0A-4B53-991D-085AF768288F}" uniqueName="20" name="Pytanie nr19" queryTableFieldId="20"/>
    <tableColumn id="21" xr3:uid="{568D99D6-7D03-40FA-8C82-4DC473328526}" uniqueName="21" name="Pytanie nr20" queryTableFieldId="21"/>
    <tableColumn id="22" xr3:uid="{9D46BAF9-EF41-4432-991C-253E788C8FF5}" uniqueName="22" name="Pytanie nr21" queryTableFieldId="22"/>
    <tableColumn id="23" xr3:uid="{2210557F-B48B-43AC-914B-AD8AD54EA929}" uniqueName="23" name="Pytanie nr22" queryTableFieldId="23"/>
    <tableColumn id="24" xr3:uid="{8E665110-B29B-4AD1-A52F-FEE033EE2E96}" uniqueName="24" name="Pytanie nr23" queryTableFieldId="24"/>
    <tableColumn id="25" xr3:uid="{D849D39D-7F60-4439-8199-BE8130F07B1A}" uniqueName="25" name="Pytanie nr24" queryTableFieldId="25"/>
    <tableColumn id="26" xr3:uid="{B5000380-589D-4918-9EC3-2DE76F5C8BBC}" uniqueName="26" name="Pytanie nr25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C655-0890-4B4C-8598-B58C9AB906F6}">
  <dimension ref="A1:AB132"/>
  <sheetViews>
    <sheetView topLeftCell="K1" workbookViewId="0">
      <selection activeCell="AB2" sqref="AB2"/>
    </sheetView>
  </sheetViews>
  <sheetFormatPr defaultRowHeight="15" x14ac:dyDescent="0.25"/>
  <cols>
    <col min="1" max="1" width="16.140625" bestFit="1" customWidth="1"/>
    <col min="2" max="10" width="13.28515625" bestFit="1" customWidth="1"/>
    <col min="11" max="26" width="14.28515625" bestFit="1" customWidth="1"/>
    <col min="28" max="28" width="24" bestFit="1" customWidth="1"/>
  </cols>
  <sheetData>
    <row r="1" spans="1:28" x14ac:dyDescent="0.2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B1" s="2" t="s">
        <v>154</v>
      </c>
    </row>
    <row r="2" spans="1:28" x14ac:dyDescent="0.25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B2" s="2" t="s">
        <v>156</v>
      </c>
    </row>
    <row r="3" spans="1:28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</row>
    <row r="4" spans="1:28" x14ac:dyDescent="0.25">
      <c r="A4" s="1" t="s">
        <v>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</row>
    <row r="5" spans="1:28" x14ac:dyDescent="0.25">
      <c r="A5" s="1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</row>
    <row r="6" spans="1:28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</row>
    <row r="7" spans="1:28" x14ac:dyDescent="0.25">
      <c r="A7" s="1" t="s">
        <v>5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</row>
    <row r="8" spans="1:28" x14ac:dyDescent="0.25">
      <c r="A8" s="1" t="s">
        <v>6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</row>
    <row r="9" spans="1:28" x14ac:dyDescent="0.25">
      <c r="A9" s="1" t="s">
        <v>7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</row>
    <row r="10" spans="1:28" x14ac:dyDescent="0.25">
      <c r="A10" s="1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</row>
    <row r="11" spans="1:28" x14ac:dyDescent="0.25">
      <c r="A11" s="1" t="s">
        <v>9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</row>
    <row r="12" spans="1:28" x14ac:dyDescent="0.25">
      <c r="A12" s="1" t="s">
        <v>10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</row>
    <row r="13" spans="1:28" x14ac:dyDescent="0.25">
      <c r="A13" s="1" t="s">
        <v>11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8" x14ac:dyDescent="0.25">
      <c r="A14" s="1" t="s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</row>
    <row r="15" spans="1:28" x14ac:dyDescent="0.25">
      <c r="A15" s="1" t="s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</row>
    <row r="16" spans="1:28" x14ac:dyDescent="0.25">
      <c r="A16" s="1" t="s">
        <v>14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s="1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</row>
    <row r="18" spans="1:26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</row>
    <row r="19" spans="1:26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</row>
    <row r="20" spans="1:26" x14ac:dyDescent="0.25">
      <c r="A20" s="1" t="s">
        <v>18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</row>
    <row r="21" spans="1:26" x14ac:dyDescent="0.25">
      <c r="A21" s="1" t="s">
        <v>19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</row>
    <row r="22" spans="1:26" x14ac:dyDescent="0.25">
      <c r="A22" s="1" t="s">
        <v>20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</row>
    <row r="23" spans="1:26" x14ac:dyDescent="0.25">
      <c r="A23" s="1" t="s">
        <v>21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</row>
    <row r="24" spans="1:26" x14ac:dyDescent="0.25">
      <c r="A24" s="1" t="s">
        <v>22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</row>
    <row r="25" spans="1:26" x14ac:dyDescent="0.25">
      <c r="A25" s="1" t="s">
        <v>23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</row>
    <row r="26" spans="1:26" x14ac:dyDescent="0.25">
      <c r="A26" s="1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</row>
    <row r="27" spans="1:26" x14ac:dyDescent="0.25">
      <c r="A27" s="1" t="s">
        <v>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</row>
    <row r="28" spans="1:26" x14ac:dyDescent="0.25">
      <c r="A28" s="1" t="s">
        <v>26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</row>
    <row r="29" spans="1:26" x14ac:dyDescent="0.25">
      <c r="A29" s="1" t="s">
        <v>27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</row>
    <row r="30" spans="1:26" x14ac:dyDescent="0.25">
      <c r="A30" s="1" t="s">
        <v>28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</row>
    <row r="31" spans="1:26" x14ac:dyDescent="0.25">
      <c r="A31" s="1" t="s">
        <v>29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</row>
    <row r="32" spans="1:26" x14ac:dyDescent="0.25">
      <c r="A32" s="1" t="s">
        <v>30</v>
      </c>
      <c r="B32">
        <v>0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</row>
    <row r="33" spans="1:26" x14ac:dyDescent="0.25">
      <c r="A33" s="1" t="s">
        <v>31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</row>
    <row r="34" spans="1:26" x14ac:dyDescent="0.25">
      <c r="A34" s="1" t="s">
        <v>32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</row>
    <row r="35" spans="1:26" x14ac:dyDescent="0.25">
      <c r="A35" s="1" t="s">
        <v>33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</row>
    <row r="36" spans="1:26" x14ac:dyDescent="0.25">
      <c r="A36" s="1" t="s">
        <v>34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 x14ac:dyDescent="0.25">
      <c r="A37" s="1" t="s">
        <v>35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</row>
    <row r="38" spans="1:26" x14ac:dyDescent="0.25">
      <c r="A38" s="1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</row>
    <row r="39" spans="1:26" x14ac:dyDescent="0.25">
      <c r="A39" s="1" t="s">
        <v>37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</row>
    <row r="40" spans="1:26" x14ac:dyDescent="0.25">
      <c r="A40" s="1" t="s">
        <v>38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</row>
    <row r="41" spans="1:26" x14ac:dyDescent="0.25">
      <c r="A41" s="1" t="s">
        <v>39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</row>
    <row r="42" spans="1:26" x14ac:dyDescent="0.25">
      <c r="A42" s="1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</row>
    <row r="43" spans="1:26" x14ac:dyDescent="0.25">
      <c r="A43" s="1" t="s">
        <v>41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</row>
    <row r="44" spans="1:26" x14ac:dyDescent="0.25">
      <c r="A44" s="1" t="s">
        <v>42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</row>
    <row r="45" spans="1:26" x14ac:dyDescent="0.25">
      <c r="A45" s="1" t="s">
        <v>43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</row>
    <row r="46" spans="1:26" x14ac:dyDescent="0.25">
      <c r="A46" s="1" t="s">
        <v>44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</row>
    <row r="47" spans="1:26" x14ac:dyDescent="0.25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</row>
    <row r="48" spans="1:26" x14ac:dyDescent="0.25">
      <c r="A48" s="1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</row>
    <row r="49" spans="1:26" x14ac:dyDescent="0.25">
      <c r="A49" s="1" t="s">
        <v>47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s="1" t="s">
        <v>49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</row>
    <row r="52" spans="1:26" x14ac:dyDescent="0.25">
      <c r="A52" s="1" t="s">
        <v>50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</row>
    <row r="53" spans="1:26" x14ac:dyDescent="0.25">
      <c r="A53" s="1" t="s">
        <v>51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</row>
    <row r="54" spans="1:26" x14ac:dyDescent="0.25">
      <c r="A54" s="1" t="s">
        <v>52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s="1" t="s">
        <v>53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</row>
    <row r="56" spans="1:26" x14ac:dyDescent="0.25">
      <c r="A56" s="1" t="s">
        <v>54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</row>
    <row r="57" spans="1:26" x14ac:dyDescent="0.25">
      <c r="A57" s="1" t="s">
        <v>55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</row>
    <row r="58" spans="1:26" x14ac:dyDescent="0.25">
      <c r="A58" s="1" t="s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0</v>
      </c>
    </row>
    <row r="59" spans="1:26" x14ac:dyDescent="0.25">
      <c r="A59" s="1" t="s">
        <v>57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s="1" t="s">
        <v>58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</row>
    <row r="61" spans="1:26" x14ac:dyDescent="0.25">
      <c r="A61" s="1" t="s">
        <v>59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</row>
    <row r="62" spans="1:26" x14ac:dyDescent="0.25">
      <c r="A62" s="1" t="s">
        <v>60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1</v>
      </c>
    </row>
    <row r="63" spans="1:26" x14ac:dyDescent="0.25">
      <c r="A63" s="1" t="s">
        <v>61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</row>
    <row r="64" spans="1:26" x14ac:dyDescent="0.25">
      <c r="A64" s="1" t="s">
        <v>62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</row>
    <row r="65" spans="1:26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1</v>
      </c>
    </row>
    <row r="66" spans="1:26" x14ac:dyDescent="0.25">
      <c r="A66" s="1" t="s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</row>
    <row r="67" spans="1:26" x14ac:dyDescent="0.25">
      <c r="A67" s="1" t="s">
        <v>65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s="1" t="s">
        <v>66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</row>
    <row r="69" spans="1:26" x14ac:dyDescent="0.25">
      <c r="A69" s="1" t="s">
        <v>67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</row>
    <row r="70" spans="1:26" x14ac:dyDescent="0.25">
      <c r="A70" s="1" t="s">
        <v>68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s="1" t="s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</row>
    <row r="72" spans="1:26" x14ac:dyDescent="0.25">
      <c r="A72" s="1" t="s">
        <v>70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 x14ac:dyDescent="0.25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</row>
    <row r="74" spans="1:26" x14ac:dyDescent="0.25">
      <c r="A74" s="1" t="s">
        <v>72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</row>
    <row r="75" spans="1:26" x14ac:dyDescent="0.25">
      <c r="A75" s="1" t="s">
        <v>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</row>
    <row r="76" spans="1:26" x14ac:dyDescent="0.25">
      <c r="A76" s="1" t="s">
        <v>74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1</v>
      </c>
    </row>
    <row r="77" spans="1:26" x14ac:dyDescent="0.25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1</v>
      </c>
    </row>
    <row r="78" spans="1:26" x14ac:dyDescent="0.25">
      <c r="A78" s="1" t="s">
        <v>76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</row>
    <row r="79" spans="1:26" x14ac:dyDescent="0.25">
      <c r="A79" s="1" t="s">
        <v>77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</row>
    <row r="80" spans="1:26" x14ac:dyDescent="0.25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</row>
    <row r="81" spans="1:26" x14ac:dyDescent="0.25">
      <c r="A81" s="1" t="s">
        <v>79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</row>
    <row r="82" spans="1:26" x14ac:dyDescent="0.25">
      <c r="A82" s="1" t="s">
        <v>80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</row>
    <row r="83" spans="1:26" x14ac:dyDescent="0.25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</row>
    <row r="84" spans="1:26" x14ac:dyDescent="0.25">
      <c r="A84" s="1" t="s">
        <v>82</v>
      </c>
      <c r="B84">
        <v>1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</row>
    <row r="85" spans="1:26" x14ac:dyDescent="0.25">
      <c r="A85" s="1" t="s">
        <v>83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1</v>
      </c>
    </row>
    <row r="86" spans="1:26" x14ac:dyDescent="0.25">
      <c r="A86" s="1" t="s">
        <v>84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s="1" t="s">
        <v>85</v>
      </c>
      <c r="B87">
        <v>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 x14ac:dyDescent="0.25">
      <c r="A88" s="1" t="s">
        <v>86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</row>
    <row r="89" spans="1:26" x14ac:dyDescent="0.25">
      <c r="A89" s="1" t="s">
        <v>87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1</v>
      </c>
      <c r="Z89">
        <v>0</v>
      </c>
    </row>
    <row r="90" spans="1:26" x14ac:dyDescent="0.25">
      <c r="A90" s="1" t="s">
        <v>88</v>
      </c>
      <c r="B90">
        <v>0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</row>
    <row r="91" spans="1:26" x14ac:dyDescent="0.25">
      <c r="A91" s="1" t="s">
        <v>89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</row>
    <row r="93" spans="1:26" x14ac:dyDescent="0.25">
      <c r="A93" s="1" t="s">
        <v>91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</row>
    <row r="94" spans="1:26" x14ac:dyDescent="0.25">
      <c r="A94" s="1" t="s">
        <v>92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</row>
    <row r="95" spans="1:26" x14ac:dyDescent="0.25">
      <c r="A95" s="1" t="s">
        <v>93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</row>
    <row r="96" spans="1:26" x14ac:dyDescent="0.25">
      <c r="A96" s="1" t="s">
        <v>94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s="1" t="s">
        <v>95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</row>
    <row r="98" spans="1:26" x14ac:dyDescent="0.25">
      <c r="A98" s="1" t="s">
        <v>96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1</v>
      </c>
    </row>
    <row r="99" spans="1:26" x14ac:dyDescent="0.25">
      <c r="A99" s="1" t="s">
        <v>97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</row>
    <row r="100" spans="1:26" x14ac:dyDescent="0.25">
      <c r="A100" s="1" t="s">
        <v>98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</row>
    <row r="101" spans="1:26" x14ac:dyDescent="0.25">
      <c r="A101" s="1" t="s">
        <v>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</row>
    <row r="102" spans="1:26" x14ac:dyDescent="0.25">
      <c r="A102" s="1" t="s">
        <v>100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0</v>
      </c>
    </row>
    <row r="103" spans="1:26" x14ac:dyDescent="0.25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</row>
    <row r="104" spans="1:26" x14ac:dyDescent="0.25">
      <c r="A104" s="1" t="s">
        <v>102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</row>
    <row r="105" spans="1:26" x14ac:dyDescent="0.25">
      <c r="A105" s="1" t="s">
        <v>103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</row>
    <row r="106" spans="1:26" x14ac:dyDescent="0.25">
      <c r="A106" s="1" t="s">
        <v>104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s="1" t="s">
        <v>105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 x14ac:dyDescent="0.25">
      <c r="A108" s="1" t="s">
        <v>106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</row>
    <row r="109" spans="1:26" x14ac:dyDescent="0.25">
      <c r="A109" s="1" t="s">
        <v>107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</row>
    <row r="110" spans="1:26" x14ac:dyDescent="0.25">
      <c r="A110" s="1" t="s">
        <v>108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</row>
    <row r="111" spans="1:26" x14ac:dyDescent="0.25">
      <c r="A111" s="1" t="s">
        <v>109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</row>
    <row r="113" spans="1:26" x14ac:dyDescent="0.25">
      <c r="A113" s="1" t="s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</row>
    <row r="114" spans="1:26" x14ac:dyDescent="0.25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</row>
    <row r="115" spans="1:26" x14ac:dyDescent="0.25">
      <c r="A115" s="1" t="s">
        <v>113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1</v>
      </c>
    </row>
    <row r="116" spans="1:26" x14ac:dyDescent="0.25">
      <c r="A116" s="1" t="s">
        <v>114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</row>
    <row r="118" spans="1:26" x14ac:dyDescent="0.25">
      <c r="A118" s="1" t="s">
        <v>116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1</v>
      </c>
    </row>
    <row r="119" spans="1:26" x14ac:dyDescent="0.25">
      <c r="A119" s="1" t="s">
        <v>117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</row>
    <row r="120" spans="1:26" x14ac:dyDescent="0.25">
      <c r="A120" s="1" t="s">
        <v>118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</row>
    <row r="121" spans="1:26" x14ac:dyDescent="0.25">
      <c r="A121" s="1" t="s">
        <v>119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</row>
    <row r="122" spans="1:26" x14ac:dyDescent="0.25">
      <c r="A122" s="1" t="s">
        <v>120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</row>
    <row r="123" spans="1:26" x14ac:dyDescent="0.25">
      <c r="A123" s="1" t="s">
        <v>121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</row>
    <row r="124" spans="1:26" x14ac:dyDescent="0.25">
      <c r="A124" s="1" t="s">
        <v>122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1</v>
      </c>
    </row>
    <row r="125" spans="1:26" x14ac:dyDescent="0.25">
      <c r="A125" s="1" t="s">
        <v>123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</row>
    <row r="126" spans="1:26" x14ac:dyDescent="0.25">
      <c r="A126" s="1" t="s">
        <v>124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</row>
    <row r="127" spans="1:26" x14ac:dyDescent="0.25">
      <c r="A127" s="1" t="s">
        <v>125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</row>
    <row r="128" spans="1:26" x14ac:dyDescent="0.25">
      <c r="A128" s="1" t="s">
        <v>126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</row>
    <row r="130" spans="1:26" x14ac:dyDescent="0.25">
      <c r="A130" t="s">
        <v>152</v>
      </c>
      <c r="B130">
        <f>SUM(B3:B128)</f>
        <v>60</v>
      </c>
      <c r="C130">
        <f t="shared" ref="C130:Z130" si="0">SUM(C3:C128)</f>
        <v>64</v>
      </c>
      <c r="D130">
        <f t="shared" si="0"/>
        <v>48</v>
      </c>
      <c r="E130">
        <f t="shared" si="0"/>
        <v>60</v>
      </c>
      <c r="F130">
        <f t="shared" si="0"/>
        <v>46</v>
      </c>
      <c r="G130">
        <f t="shared" si="0"/>
        <v>53</v>
      </c>
      <c r="H130">
        <f t="shared" si="0"/>
        <v>48</v>
      </c>
      <c r="I130">
        <f t="shared" si="0"/>
        <v>53</v>
      </c>
      <c r="J130">
        <f t="shared" si="0"/>
        <v>66</v>
      </c>
      <c r="K130">
        <f t="shared" si="0"/>
        <v>43</v>
      </c>
      <c r="L130">
        <f t="shared" si="0"/>
        <v>62</v>
      </c>
      <c r="M130">
        <f t="shared" si="0"/>
        <v>65</v>
      </c>
      <c r="N130">
        <f t="shared" si="0"/>
        <v>60</v>
      </c>
      <c r="O130">
        <f t="shared" si="0"/>
        <v>57</v>
      </c>
      <c r="P130">
        <f t="shared" si="0"/>
        <v>37</v>
      </c>
      <c r="Q130">
        <f t="shared" si="0"/>
        <v>52</v>
      </c>
      <c r="R130">
        <f t="shared" si="0"/>
        <v>59</v>
      </c>
      <c r="S130">
        <f t="shared" si="0"/>
        <v>65</v>
      </c>
      <c r="T130">
        <f t="shared" si="0"/>
        <v>70</v>
      </c>
      <c r="U130">
        <f t="shared" si="0"/>
        <v>74</v>
      </c>
      <c r="V130">
        <f t="shared" si="0"/>
        <v>60</v>
      </c>
      <c r="W130">
        <f t="shared" si="0"/>
        <v>71</v>
      </c>
      <c r="X130">
        <f t="shared" si="0"/>
        <v>63</v>
      </c>
      <c r="Y130">
        <f t="shared" si="0"/>
        <v>55</v>
      </c>
      <c r="Z130">
        <f t="shared" si="0"/>
        <v>49</v>
      </c>
    </row>
    <row r="131" spans="1:26" x14ac:dyDescent="0.25">
      <c r="A131" t="s">
        <v>153</v>
      </c>
      <c r="B131">
        <f>IF((B130/126)*100&gt;50,1,0)</f>
        <v>0</v>
      </c>
      <c r="C131">
        <f>IF((C130/126)*100&gt;50,1,0)</f>
        <v>1</v>
      </c>
      <c r="D131">
        <f t="shared" ref="D131:Z131" si="1">IF((D130/126)*100&gt;50,1,0)</f>
        <v>0</v>
      </c>
      <c r="E131">
        <f t="shared" si="1"/>
        <v>0</v>
      </c>
      <c r="F131">
        <f t="shared" si="1"/>
        <v>0</v>
      </c>
      <c r="G131">
        <f t="shared" si="1"/>
        <v>0</v>
      </c>
      <c r="H131">
        <f t="shared" si="1"/>
        <v>0</v>
      </c>
      <c r="I131">
        <f t="shared" si="1"/>
        <v>0</v>
      </c>
      <c r="J131">
        <f t="shared" si="1"/>
        <v>1</v>
      </c>
      <c r="K131">
        <f t="shared" si="1"/>
        <v>0</v>
      </c>
      <c r="L131">
        <f t="shared" si="1"/>
        <v>0</v>
      </c>
      <c r="M131">
        <f t="shared" si="1"/>
        <v>1</v>
      </c>
      <c r="N131">
        <f t="shared" si="1"/>
        <v>0</v>
      </c>
      <c r="O131">
        <f t="shared" si="1"/>
        <v>0</v>
      </c>
      <c r="P131">
        <f t="shared" si="1"/>
        <v>0</v>
      </c>
      <c r="Q131">
        <f t="shared" si="1"/>
        <v>0</v>
      </c>
      <c r="R131">
        <f t="shared" si="1"/>
        <v>0</v>
      </c>
      <c r="S131">
        <f t="shared" si="1"/>
        <v>1</v>
      </c>
      <c r="T131">
        <f t="shared" si="1"/>
        <v>1</v>
      </c>
      <c r="U131">
        <f t="shared" si="1"/>
        <v>1</v>
      </c>
      <c r="V131">
        <f t="shared" si="1"/>
        <v>0</v>
      </c>
      <c r="W131">
        <f t="shared" si="1"/>
        <v>1</v>
      </c>
      <c r="X131">
        <f t="shared" si="1"/>
        <v>0</v>
      </c>
      <c r="Y131">
        <f t="shared" si="1"/>
        <v>0</v>
      </c>
      <c r="Z131">
        <f t="shared" si="1"/>
        <v>0</v>
      </c>
    </row>
    <row r="132" spans="1:26" x14ac:dyDescent="0.25">
      <c r="A132" t="s">
        <v>155</v>
      </c>
      <c r="B132">
        <f>IF(B131 &gt;= 1,test3[[#Headers],[Pytanie nr1]],)</f>
        <v>0</v>
      </c>
      <c r="C132" t="str">
        <f>IF(C131 &gt;= 1,test3[[#Headers],[Pytanie nr2]],)</f>
        <v>Pytanie nr2</v>
      </c>
      <c r="D132">
        <f>IF(D131 &gt;= 1,test3[[#Headers],[Pytanie nr3]],)</f>
        <v>0</v>
      </c>
      <c r="E132">
        <f>IF(E131 &gt;= 1,test3[[#Headers],[Pytanie nr4]],)</f>
        <v>0</v>
      </c>
      <c r="F132">
        <f>IF(F131 &gt;= 1,test3[[#Headers],[Pytanie nr5]],)</f>
        <v>0</v>
      </c>
      <c r="G132">
        <f>IF(G131 &gt;= 1,test3[[#Headers],[Pytanie nr6]],)</f>
        <v>0</v>
      </c>
      <c r="H132">
        <f>IF(H131 &gt;= 1,test3[[#Headers],[Pytanie nr7]],)</f>
        <v>0</v>
      </c>
      <c r="I132">
        <f>IF(I131 &gt;= 1,test3[[#Headers],[Pytanie nr8]],)</f>
        <v>0</v>
      </c>
      <c r="J132" t="str">
        <f>IF(J131 &gt;= 1,test3[[#Headers],[Pytanie nr9]],)</f>
        <v>Pytanie nr9</v>
      </c>
      <c r="K132">
        <f>IF(K131 &gt;= 1,test3[[#Headers],[Pytanie nr10]],)</f>
        <v>0</v>
      </c>
      <c r="L132">
        <f>IF(L131 &gt;= 1,test3[[#Headers],[Pytanie nr11]],)</f>
        <v>0</v>
      </c>
      <c r="M132" t="str">
        <f>IF(M131 &gt;= 1,test3[[#Headers],[Pytanie nr12]],)</f>
        <v>Pytanie nr12</v>
      </c>
      <c r="N132">
        <f>IF(N131 &gt;= 1,test3[[#Headers],[Pytanie nr13]],)</f>
        <v>0</v>
      </c>
      <c r="O132">
        <f>IF(O131 &gt;= 1,test3[[#Headers],[Pytanie nr14]],)</f>
        <v>0</v>
      </c>
      <c r="P132">
        <f>IF(P131 &gt;= 1,test3[[#Headers],[Pytanie nr15]],)</f>
        <v>0</v>
      </c>
      <c r="Q132">
        <f>IF(Q131 &gt;= 1,test3[[#Headers],[Pytanie nr16]],)</f>
        <v>0</v>
      </c>
      <c r="R132">
        <f>IF(R131 &gt;= 1,test3[[#Headers],[Pytanie nr17]],)</f>
        <v>0</v>
      </c>
      <c r="S132" t="str">
        <f>IF(S131 &gt;= 1,test3[[#Headers],[Pytanie nr18]],)</f>
        <v>Pytanie nr18</v>
      </c>
      <c r="T132" t="str">
        <f>IF(T131 &gt;= 1,test3[[#Headers],[Pytanie nr19]],)</f>
        <v>Pytanie nr19</v>
      </c>
      <c r="U132" t="str">
        <f>IF(U131 &gt;= 1,test3[[#Headers],[Pytanie nr20]],)</f>
        <v>Pytanie nr20</v>
      </c>
      <c r="V132">
        <f>IF(V131 &gt;= 1,test3[[#Headers],[Pytanie nr21]],)</f>
        <v>0</v>
      </c>
      <c r="W132" t="str">
        <f>IF(W131 &gt;= 1,test3[[#Headers],[Pytanie nr22]],)</f>
        <v>Pytanie nr22</v>
      </c>
      <c r="X132">
        <f>IF(X131 &gt;= 1,test3[[#Headers],[Pytanie nr23]],)</f>
        <v>0</v>
      </c>
      <c r="Y132">
        <f>IF(Y131 &gt;= 1,test3[[#Headers],[Pytanie nr24]],)</f>
        <v>0</v>
      </c>
      <c r="Z132">
        <f>IF(Z131 &gt;= 1,test3[[#Headers],[Pytanie nr25]],)</f>
        <v>0</v>
      </c>
    </row>
  </sheetData>
  <conditionalFormatting sqref="A131:XFD131">
    <cfRule type="cellIs" dxfId="5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B284-4481-4116-BBF0-2DAF2F723B5F}">
  <dimension ref="A1:AG128"/>
  <sheetViews>
    <sheetView topLeftCell="X1" workbookViewId="0">
      <selection activeCell="AF1" sqref="AF1:AG2"/>
    </sheetView>
  </sheetViews>
  <sheetFormatPr defaultRowHeight="15" x14ac:dyDescent="0.25"/>
  <cols>
    <col min="1" max="1" width="12" bestFit="1" customWidth="1"/>
    <col min="2" max="10" width="13.28515625" bestFit="1" customWidth="1"/>
    <col min="11" max="26" width="14.28515625" bestFit="1" customWidth="1"/>
    <col min="27" max="27" width="14.28515625" customWidth="1"/>
    <col min="28" max="28" width="28" bestFit="1" customWidth="1"/>
    <col min="29" max="30" width="23.5703125" customWidth="1"/>
    <col min="31" max="31" width="18" bestFit="1" customWidth="1"/>
    <col min="32" max="32" width="31" bestFit="1" customWidth="1"/>
    <col min="33" max="33" width="28.7109375" bestFit="1" customWidth="1"/>
  </cols>
  <sheetData>
    <row r="1" spans="1:33" x14ac:dyDescent="0.2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B1" t="s">
        <v>161</v>
      </c>
      <c r="AD1" t="s">
        <v>162</v>
      </c>
      <c r="AE1" t="s">
        <v>163</v>
      </c>
      <c r="AF1" s="2" t="s">
        <v>164</v>
      </c>
      <c r="AG1" s="2" t="s">
        <v>165</v>
      </c>
    </row>
    <row r="2" spans="1:33" x14ac:dyDescent="0.25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F2" s="2">
        <f>COUNTIF(AD3:AD128,"=1")</f>
        <v>1</v>
      </c>
      <c r="AG2" s="2">
        <f>COUNTIF(AE3:AE128,"1")</f>
        <v>6</v>
      </c>
    </row>
    <row r="3" spans="1:3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B3">
        <f>(SUM(B3:Z3)/25)*100</f>
        <v>44</v>
      </c>
      <c r="AD3">
        <f>IF(AB3&gt;90,1,0)</f>
        <v>0</v>
      </c>
      <c r="AE3">
        <f>IF(AB3&lt;=30,1,0)</f>
        <v>0</v>
      </c>
    </row>
    <row r="4" spans="1:33" x14ac:dyDescent="0.25">
      <c r="A4" s="1" t="s">
        <v>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B4">
        <f t="shared" ref="AB4:AB67" si="0">(SUM(B4:Z4)/25)*100</f>
        <v>48</v>
      </c>
      <c r="AD4">
        <f t="shared" ref="AD4:AD67" si="1">IF(AB4&gt;90,1,0)</f>
        <v>0</v>
      </c>
      <c r="AE4">
        <f t="shared" ref="AE4:AE67" si="2">IF(AB4&lt;=30,1,0)</f>
        <v>0</v>
      </c>
    </row>
    <row r="5" spans="1:33" x14ac:dyDescent="0.25">
      <c r="A5" s="1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B5">
        <f t="shared" si="0"/>
        <v>52</v>
      </c>
      <c r="AD5">
        <f t="shared" si="1"/>
        <v>0</v>
      </c>
      <c r="AE5">
        <f t="shared" si="2"/>
        <v>0</v>
      </c>
    </row>
    <row r="6" spans="1:33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B6">
        <f t="shared" si="0"/>
        <v>40</v>
      </c>
      <c r="AD6">
        <f t="shared" si="1"/>
        <v>0</v>
      </c>
      <c r="AE6">
        <f t="shared" si="2"/>
        <v>0</v>
      </c>
    </row>
    <row r="7" spans="1:33" x14ac:dyDescent="0.25">
      <c r="A7" s="1" t="s">
        <v>5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B7">
        <f t="shared" si="0"/>
        <v>44</v>
      </c>
      <c r="AD7">
        <f t="shared" si="1"/>
        <v>0</v>
      </c>
      <c r="AE7">
        <f t="shared" si="2"/>
        <v>0</v>
      </c>
    </row>
    <row r="8" spans="1:33" x14ac:dyDescent="0.25">
      <c r="A8" s="1" t="s">
        <v>6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B8">
        <f t="shared" si="0"/>
        <v>48</v>
      </c>
      <c r="AD8">
        <f t="shared" si="1"/>
        <v>0</v>
      </c>
      <c r="AE8">
        <f t="shared" si="2"/>
        <v>0</v>
      </c>
    </row>
    <row r="9" spans="1:33" x14ac:dyDescent="0.25">
      <c r="A9" s="1" t="s">
        <v>7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B9">
        <f t="shared" si="0"/>
        <v>48</v>
      </c>
      <c r="AD9">
        <f t="shared" si="1"/>
        <v>0</v>
      </c>
      <c r="AE9">
        <f t="shared" si="2"/>
        <v>0</v>
      </c>
    </row>
    <row r="10" spans="1:33" x14ac:dyDescent="0.25">
      <c r="A10" s="1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B10">
        <f t="shared" si="0"/>
        <v>36</v>
      </c>
      <c r="AD10">
        <f t="shared" si="1"/>
        <v>0</v>
      </c>
      <c r="AE10">
        <f t="shared" si="2"/>
        <v>0</v>
      </c>
    </row>
    <row r="11" spans="1:33" x14ac:dyDescent="0.25">
      <c r="A11" s="1" t="s">
        <v>9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B11">
        <f t="shared" si="0"/>
        <v>36</v>
      </c>
      <c r="AD11">
        <f t="shared" si="1"/>
        <v>0</v>
      </c>
      <c r="AE11">
        <f t="shared" si="2"/>
        <v>0</v>
      </c>
    </row>
    <row r="12" spans="1:33" x14ac:dyDescent="0.25">
      <c r="A12" s="1" t="s">
        <v>10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B12">
        <f t="shared" si="0"/>
        <v>32</v>
      </c>
      <c r="AD12">
        <f t="shared" si="1"/>
        <v>0</v>
      </c>
      <c r="AE12">
        <f t="shared" si="2"/>
        <v>0</v>
      </c>
    </row>
    <row r="13" spans="1:33" x14ac:dyDescent="0.25">
      <c r="A13" s="1" t="s">
        <v>11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B13">
        <f t="shared" si="0"/>
        <v>52</v>
      </c>
      <c r="AD13">
        <f t="shared" si="1"/>
        <v>0</v>
      </c>
      <c r="AE13">
        <f t="shared" si="2"/>
        <v>0</v>
      </c>
    </row>
    <row r="14" spans="1:33" x14ac:dyDescent="0.25">
      <c r="A14" s="1" t="s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  <c r="AB14">
        <f t="shared" si="0"/>
        <v>40</v>
      </c>
      <c r="AD14">
        <f t="shared" si="1"/>
        <v>0</v>
      </c>
      <c r="AE14">
        <f t="shared" si="2"/>
        <v>0</v>
      </c>
    </row>
    <row r="15" spans="1:33" x14ac:dyDescent="0.25">
      <c r="A15" s="1" t="s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B15">
        <f t="shared" si="0"/>
        <v>52</v>
      </c>
      <c r="AD15">
        <f t="shared" si="1"/>
        <v>0</v>
      </c>
      <c r="AE15">
        <f t="shared" si="2"/>
        <v>0</v>
      </c>
    </row>
    <row r="16" spans="1:33" x14ac:dyDescent="0.25">
      <c r="A16" s="1" t="s">
        <v>14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B16">
        <f t="shared" si="0"/>
        <v>32</v>
      </c>
      <c r="AD16">
        <f t="shared" si="1"/>
        <v>0</v>
      </c>
      <c r="AE16">
        <f t="shared" si="2"/>
        <v>0</v>
      </c>
    </row>
    <row r="17" spans="1:31" x14ac:dyDescent="0.25">
      <c r="A17" s="1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B17">
        <f t="shared" si="0"/>
        <v>44</v>
      </c>
      <c r="AD17">
        <f t="shared" si="1"/>
        <v>0</v>
      </c>
      <c r="AE17">
        <f t="shared" si="2"/>
        <v>0</v>
      </c>
    </row>
    <row r="18" spans="1:31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B18">
        <f t="shared" si="0"/>
        <v>40</v>
      </c>
      <c r="AD18">
        <f t="shared" si="1"/>
        <v>0</v>
      </c>
      <c r="AE18">
        <f t="shared" si="2"/>
        <v>0</v>
      </c>
    </row>
    <row r="19" spans="1:31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B19">
        <f t="shared" si="0"/>
        <v>44</v>
      </c>
      <c r="AD19">
        <f t="shared" si="1"/>
        <v>0</v>
      </c>
      <c r="AE19">
        <f t="shared" si="2"/>
        <v>0</v>
      </c>
    </row>
    <row r="20" spans="1:31" x14ac:dyDescent="0.25">
      <c r="A20" s="1" t="s">
        <v>18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B20">
        <f t="shared" si="0"/>
        <v>40</v>
      </c>
      <c r="AD20">
        <f t="shared" si="1"/>
        <v>0</v>
      </c>
      <c r="AE20">
        <f t="shared" si="2"/>
        <v>0</v>
      </c>
    </row>
    <row r="21" spans="1:31" x14ac:dyDescent="0.25">
      <c r="A21" s="1" t="s">
        <v>19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B21">
        <f t="shared" si="0"/>
        <v>64</v>
      </c>
      <c r="AD21">
        <f t="shared" si="1"/>
        <v>0</v>
      </c>
      <c r="AE21">
        <f t="shared" si="2"/>
        <v>0</v>
      </c>
    </row>
    <row r="22" spans="1:31" x14ac:dyDescent="0.25">
      <c r="A22" s="1" t="s">
        <v>20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B22">
        <f t="shared" si="0"/>
        <v>44</v>
      </c>
      <c r="AD22">
        <f t="shared" si="1"/>
        <v>0</v>
      </c>
      <c r="AE22">
        <f t="shared" si="2"/>
        <v>0</v>
      </c>
    </row>
    <row r="23" spans="1:31" x14ac:dyDescent="0.25">
      <c r="A23" s="1" t="s">
        <v>21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B23">
        <f t="shared" si="0"/>
        <v>44</v>
      </c>
      <c r="AD23">
        <f t="shared" si="1"/>
        <v>0</v>
      </c>
      <c r="AE23">
        <f t="shared" si="2"/>
        <v>0</v>
      </c>
    </row>
    <row r="24" spans="1:31" x14ac:dyDescent="0.25">
      <c r="A24" s="1" t="s">
        <v>22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B24">
        <f t="shared" si="0"/>
        <v>76</v>
      </c>
      <c r="AD24">
        <f t="shared" si="1"/>
        <v>0</v>
      </c>
      <c r="AE24">
        <f t="shared" si="2"/>
        <v>0</v>
      </c>
    </row>
    <row r="25" spans="1:31" x14ac:dyDescent="0.25">
      <c r="A25" s="1" t="s">
        <v>23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B25">
        <f t="shared" si="0"/>
        <v>48</v>
      </c>
      <c r="AD25">
        <f t="shared" si="1"/>
        <v>0</v>
      </c>
      <c r="AE25">
        <f t="shared" si="2"/>
        <v>0</v>
      </c>
    </row>
    <row r="26" spans="1:31" x14ac:dyDescent="0.25">
      <c r="A26" s="1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B26">
        <f t="shared" si="0"/>
        <v>52</v>
      </c>
      <c r="AD26">
        <f t="shared" si="1"/>
        <v>0</v>
      </c>
      <c r="AE26">
        <f t="shared" si="2"/>
        <v>0</v>
      </c>
    </row>
    <row r="27" spans="1:31" x14ac:dyDescent="0.25">
      <c r="A27" s="1" t="s">
        <v>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B27">
        <f t="shared" si="0"/>
        <v>64</v>
      </c>
      <c r="AD27">
        <f t="shared" si="1"/>
        <v>0</v>
      </c>
      <c r="AE27">
        <f t="shared" si="2"/>
        <v>0</v>
      </c>
    </row>
    <row r="28" spans="1:31" x14ac:dyDescent="0.25">
      <c r="A28" s="1" t="s">
        <v>26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B28">
        <f t="shared" si="0"/>
        <v>44</v>
      </c>
      <c r="AD28">
        <f t="shared" si="1"/>
        <v>0</v>
      </c>
      <c r="AE28">
        <f t="shared" si="2"/>
        <v>0</v>
      </c>
    </row>
    <row r="29" spans="1:31" x14ac:dyDescent="0.25">
      <c r="A29" s="1" t="s">
        <v>27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B29">
        <f t="shared" si="0"/>
        <v>56.000000000000007</v>
      </c>
      <c r="AD29">
        <f t="shared" si="1"/>
        <v>0</v>
      </c>
      <c r="AE29">
        <f t="shared" si="2"/>
        <v>0</v>
      </c>
    </row>
    <row r="30" spans="1:31" x14ac:dyDescent="0.25">
      <c r="A30" s="1" t="s">
        <v>28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B30">
        <f t="shared" si="0"/>
        <v>36</v>
      </c>
      <c r="AD30">
        <f t="shared" si="1"/>
        <v>0</v>
      </c>
      <c r="AE30">
        <f t="shared" si="2"/>
        <v>0</v>
      </c>
    </row>
    <row r="31" spans="1:31" x14ac:dyDescent="0.25">
      <c r="A31" s="1" t="s">
        <v>29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  <c r="AB31">
        <f t="shared" si="0"/>
        <v>44</v>
      </c>
      <c r="AD31">
        <f t="shared" si="1"/>
        <v>0</v>
      </c>
      <c r="AE31">
        <f t="shared" si="2"/>
        <v>0</v>
      </c>
    </row>
    <row r="32" spans="1:31" x14ac:dyDescent="0.25">
      <c r="A32" s="1" t="s">
        <v>30</v>
      </c>
      <c r="B32">
        <v>0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B32">
        <f t="shared" si="0"/>
        <v>52</v>
      </c>
      <c r="AD32">
        <f t="shared" si="1"/>
        <v>0</v>
      </c>
      <c r="AE32">
        <f t="shared" si="2"/>
        <v>0</v>
      </c>
    </row>
    <row r="33" spans="1:31" x14ac:dyDescent="0.25">
      <c r="A33" s="1" t="s">
        <v>31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B33">
        <f t="shared" si="0"/>
        <v>36</v>
      </c>
      <c r="AD33">
        <f t="shared" si="1"/>
        <v>0</v>
      </c>
      <c r="AE33">
        <f t="shared" si="2"/>
        <v>0</v>
      </c>
    </row>
    <row r="34" spans="1:31" x14ac:dyDescent="0.25">
      <c r="A34" s="1" t="s">
        <v>32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B34">
        <f t="shared" si="0"/>
        <v>44</v>
      </c>
      <c r="AD34">
        <f t="shared" si="1"/>
        <v>0</v>
      </c>
      <c r="AE34">
        <f t="shared" si="2"/>
        <v>0</v>
      </c>
    </row>
    <row r="35" spans="1:31" x14ac:dyDescent="0.25">
      <c r="A35" s="1" t="s">
        <v>33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B35">
        <f t="shared" si="0"/>
        <v>40</v>
      </c>
      <c r="AD35">
        <f t="shared" si="1"/>
        <v>0</v>
      </c>
      <c r="AE35">
        <f t="shared" si="2"/>
        <v>0</v>
      </c>
    </row>
    <row r="36" spans="1:31" x14ac:dyDescent="0.25">
      <c r="A36" s="1" t="s">
        <v>34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B36">
        <f t="shared" si="0"/>
        <v>32</v>
      </c>
      <c r="AD36">
        <f t="shared" si="1"/>
        <v>0</v>
      </c>
      <c r="AE36">
        <f t="shared" si="2"/>
        <v>0</v>
      </c>
    </row>
    <row r="37" spans="1:31" x14ac:dyDescent="0.25">
      <c r="A37" s="1" t="s">
        <v>35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B37">
        <f t="shared" si="0"/>
        <v>40</v>
      </c>
      <c r="AD37">
        <f t="shared" si="1"/>
        <v>0</v>
      </c>
      <c r="AE37">
        <f t="shared" si="2"/>
        <v>0</v>
      </c>
    </row>
    <row r="38" spans="1:31" x14ac:dyDescent="0.25">
      <c r="A38" s="1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B38">
        <f t="shared" si="0"/>
        <v>64</v>
      </c>
      <c r="AD38">
        <f t="shared" si="1"/>
        <v>0</v>
      </c>
      <c r="AE38">
        <f t="shared" si="2"/>
        <v>0</v>
      </c>
    </row>
    <row r="39" spans="1:31" x14ac:dyDescent="0.25">
      <c r="A39" s="1" t="s">
        <v>37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B39">
        <f t="shared" si="0"/>
        <v>44</v>
      </c>
      <c r="AD39">
        <f t="shared" si="1"/>
        <v>0</v>
      </c>
      <c r="AE39">
        <f t="shared" si="2"/>
        <v>0</v>
      </c>
    </row>
    <row r="40" spans="1:31" x14ac:dyDescent="0.25">
      <c r="A40" s="1" t="s">
        <v>38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B40">
        <f t="shared" si="0"/>
        <v>68</v>
      </c>
      <c r="AD40">
        <f t="shared" si="1"/>
        <v>0</v>
      </c>
      <c r="AE40">
        <f t="shared" si="2"/>
        <v>0</v>
      </c>
    </row>
    <row r="41" spans="1:31" x14ac:dyDescent="0.25">
      <c r="A41" s="1" t="s">
        <v>39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B41">
        <f t="shared" si="0"/>
        <v>76</v>
      </c>
      <c r="AD41">
        <f t="shared" si="1"/>
        <v>0</v>
      </c>
      <c r="AE41">
        <f t="shared" si="2"/>
        <v>0</v>
      </c>
    </row>
    <row r="42" spans="1:31" x14ac:dyDescent="0.25">
      <c r="A42" s="1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B42">
        <f t="shared" si="0"/>
        <v>52</v>
      </c>
      <c r="AD42">
        <f t="shared" si="1"/>
        <v>0</v>
      </c>
      <c r="AE42">
        <f t="shared" si="2"/>
        <v>0</v>
      </c>
    </row>
    <row r="43" spans="1:31" x14ac:dyDescent="0.25">
      <c r="A43" s="1" t="s">
        <v>41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B43">
        <f t="shared" si="0"/>
        <v>52</v>
      </c>
      <c r="AD43">
        <f t="shared" si="1"/>
        <v>0</v>
      </c>
      <c r="AE43">
        <f t="shared" si="2"/>
        <v>0</v>
      </c>
    </row>
    <row r="44" spans="1:31" x14ac:dyDescent="0.25">
      <c r="A44" s="1" t="s">
        <v>42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B44">
        <f t="shared" si="0"/>
        <v>56.000000000000007</v>
      </c>
      <c r="AD44">
        <f t="shared" si="1"/>
        <v>0</v>
      </c>
      <c r="AE44">
        <f t="shared" si="2"/>
        <v>0</v>
      </c>
    </row>
    <row r="45" spans="1:31" x14ac:dyDescent="0.25">
      <c r="A45" s="1" t="s">
        <v>43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B45">
        <f t="shared" si="0"/>
        <v>44</v>
      </c>
      <c r="AD45">
        <f t="shared" si="1"/>
        <v>0</v>
      </c>
      <c r="AE45">
        <f t="shared" si="2"/>
        <v>0</v>
      </c>
    </row>
    <row r="46" spans="1:31" x14ac:dyDescent="0.25">
      <c r="A46" s="1" t="s">
        <v>44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  <c r="AB46">
        <f t="shared" si="0"/>
        <v>52</v>
      </c>
      <c r="AD46">
        <f t="shared" si="1"/>
        <v>0</v>
      </c>
      <c r="AE46">
        <f t="shared" si="2"/>
        <v>0</v>
      </c>
    </row>
    <row r="47" spans="1:31" x14ac:dyDescent="0.25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  <c r="AB47">
        <f t="shared" si="0"/>
        <v>92</v>
      </c>
      <c r="AD47">
        <f t="shared" si="1"/>
        <v>1</v>
      </c>
      <c r="AE47">
        <f t="shared" si="2"/>
        <v>0</v>
      </c>
    </row>
    <row r="48" spans="1:31" x14ac:dyDescent="0.25">
      <c r="A48" s="1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B48">
        <f t="shared" si="0"/>
        <v>52</v>
      </c>
      <c r="AD48">
        <f t="shared" si="1"/>
        <v>0</v>
      </c>
      <c r="AE48">
        <f t="shared" si="2"/>
        <v>0</v>
      </c>
    </row>
    <row r="49" spans="1:31" x14ac:dyDescent="0.25">
      <c r="A49" s="1" t="s">
        <v>47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B49">
        <f t="shared" si="0"/>
        <v>32</v>
      </c>
      <c r="AD49">
        <f t="shared" si="1"/>
        <v>0</v>
      </c>
      <c r="AE49">
        <f t="shared" si="2"/>
        <v>0</v>
      </c>
    </row>
    <row r="50" spans="1:31" x14ac:dyDescent="0.25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B50">
        <f t="shared" si="0"/>
        <v>36</v>
      </c>
      <c r="AD50">
        <f t="shared" si="1"/>
        <v>0</v>
      </c>
      <c r="AE50">
        <f t="shared" si="2"/>
        <v>0</v>
      </c>
    </row>
    <row r="51" spans="1:31" x14ac:dyDescent="0.25">
      <c r="A51" s="1" t="s">
        <v>49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B51">
        <f t="shared" si="0"/>
        <v>52</v>
      </c>
      <c r="AD51">
        <f t="shared" si="1"/>
        <v>0</v>
      </c>
      <c r="AE51">
        <f t="shared" si="2"/>
        <v>0</v>
      </c>
    </row>
    <row r="52" spans="1:31" x14ac:dyDescent="0.25">
      <c r="A52" s="1" t="s">
        <v>50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B52">
        <f t="shared" si="0"/>
        <v>32</v>
      </c>
      <c r="AD52">
        <f t="shared" si="1"/>
        <v>0</v>
      </c>
      <c r="AE52">
        <f t="shared" si="2"/>
        <v>0</v>
      </c>
    </row>
    <row r="53" spans="1:31" x14ac:dyDescent="0.25">
      <c r="A53" s="1" t="s">
        <v>51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B53">
        <f t="shared" si="0"/>
        <v>60</v>
      </c>
      <c r="AD53">
        <f t="shared" si="1"/>
        <v>0</v>
      </c>
      <c r="AE53">
        <f t="shared" si="2"/>
        <v>0</v>
      </c>
    </row>
    <row r="54" spans="1:31" x14ac:dyDescent="0.25">
      <c r="A54" s="1" t="s">
        <v>52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B54">
        <f t="shared" si="0"/>
        <v>32</v>
      </c>
      <c r="AD54">
        <f t="shared" si="1"/>
        <v>0</v>
      </c>
      <c r="AE54">
        <f t="shared" si="2"/>
        <v>0</v>
      </c>
    </row>
    <row r="55" spans="1:31" x14ac:dyDescent="0.25">
      <c r="A55" s="1" t="s">
        <v>53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B55">
        <f t="shared" si="0"/>
        <v>44</v>
      </c>
      <c r="AD55">
        <f t="shared" si="1"/>
        <v>0</v>
      </c>
      <c r="AE55">
        <f t="shared" si="2"/>
        <v>0</v>
      </c>
    </row>
    <row r="56" spans="1:31" x14ac:dyDescent="0.25">
      <c r="A56" s="1" t="s">
        <v>54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B56">
        <f t="shared" si="0"/>
        <v>48</v>
      </c>
      <c r="AD56">
        <f t="shared" si="1"/>
        <v>0</v>
      </c>
      <c r="AE56">
        <f t="shared" si="2"/>
        <v>0</v>
      </c>
    </row>
    <row r="57" spans="1:31" x14ac:dyDescent="0.25">
      <c r="A57" s="1" t="s">
        <v>55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  <c r="AB57">
        <f t="shared" si="0"/>
        <v>44</v>
      </c>
      <c r="AD57">
        <f t="shared" si="1"/>
        <v>0</v>
      </c>
      <c r="AE57">
        <f t="shared" si="2"/>
        <v>0</v>
      </c>
    </row>
    <row r="58" spans="1:31" x14ac:dyDescent="0.25">
      <c r="A58" s="1" t="s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0</v>
      </c>
      <c r="AB58">
        <f t="shared" si="0"/>
        <v>36</v>
      </c>
      <c r="AD58">
        <f t="shared" si="1"/>
        <v>0</v>
      </c>
      <c r="AE58">
        <f t="shared" si="2"/>
        <v>0</v>
      </c>
    </row>
    <row r="59" spans="1:31" x14ac:dyDescent="0.25">
      <c r="A59" s="1" t="s">
        <v>57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f t="shared" si="0"/>
        <v>24</v>
      </c>
      <c r="AD59">
        <f t="shared" si="1"/>
        <v>0</v>
      </c>
      <c r="AE59">
        <f t="shared" si="2"/>
        <v>1</v>
      </c>
    </row>
    <row r="60" spans="1:31" x14ac:dyDescent="0.25">
      <c r="A60" s="1" t="s">
        <v>58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B60">
        <f t="shared" si="0"/>
        <v>48</v>
      </c>
      <c r="AD60">
        <f t="shared" si="1"/>
        <v>0</v>
      </c>
      <c r="AE60">
        <f t="shared" si="2"/>
        <v>0</v>
      </c>
    </row>
    <row r="61" spans="1:31" x14ac:dyDescent="0.25">
      <c r="A61" s="1" t="s">
        <v>59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B61">
        <f t="shared" si="0"/>
        <v>44</v>
      </c>
      <c r="AD61">
        <f t="shared" si="1"/>
        <v>0</v>
      </c>
      <c r="AE61">
        <f t="shared" si="2"/>
        <v>0</v>
      </c>
    </row>
    <row r="62" spans="1:31" x14ac:dyDescent="0.25">
      <c r="A62" s="1" t="s">
        <v>60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1</v>
      </c>
      <c r="AB62">
        <f t="shared" si="0"/>
        <v>44</v>
      </c>
      <c r="AD62">
        <f t="shared" si="1"/>
        <v>0</v>
      </c>
      <c r="AE62">
        <f t="shared" si="2"/>
        <v>0</v>
      </c>
    </row>
    <row r="63" spans="1:31" x14ac:dyDescent="0.25">
      <c r="A63" s="1" t="s">
        <v>61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  <c r="AB63">
        <f t="shared" si="0"/>
        <v>48</v>
      </c>
      <c r="AD63">
        <f t="shared" si="1"/>
        <v>0</v>
      </c>
      <c r="AE63">
        <f t="shared" si="2"/>
        <v>0</v>
      </c>
    </row>
    <row r="64" spans="1:31" x14ac:dyDescent="0.25">
      <c r="A64" s="1" t="s">
        <v>62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B64">
        <f t="shared" si="0"/>
        <v>52</v>
      </c>
      <c r="AD64">
        <f t="shared" si="1"/>
        <v>0</v>
      </c>
      <c r="AE64">
        <f t="shared" si="2"/>
        <v>0</v>
      </c>
    </row>
    <row r="65" spans="1:31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1</v>
      </c>
      <c r="AB65">
        <f t="shared" si="0"/>
        <v>40</v>
      </c>
      <c r="AD65">
        <f t="shared" si="1"/>
        <v>0</v>
      </c>
      <c r="AE65">
        <f t="shared" si="2"/>
        <v>0</v>
      </c>
    </row>
    <row r="66" spans="1:31" x14ac:dyDescent="0.25">
      <c r="A66" s="1" t="s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B66">
        <f t="shared" si="0"/>
        <v>48</v>
      </c>
      <c r="AD66">
        <f t="shared" si="1"/>
        <v>0</v>
      </c>
      <c r="AE66">
        <f t="shared" si="2"/>
        <v>0</v>
      </c>
    </row>
    <row r="67" spans="1:31" x14ac:dyDescent="0.25">
      <c r="A67" s="1" t="s">
        <v>65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B67">
        <f t="shared" si="0"/>
        <v>56.000000000000007</v>
      </c>
      <c r="AD67">
        <f t="shared" si="1"/>
        <v>0</v>
      </c>
      <c r="AE67">
        <f t="shared" si="2"/>
        <v>0</v>
      </c>
    </row>
    <row r="68" spans="1:31" x14ac:dyDescent="0.25">
      <c r="A68" s="1" t="s">
        <v>66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B68">
        <f t="shared" ref="AB68:AB128" si="3">(SUM(B68:Z68)/25)*100</f>
        <v>40</v>
      </c>
      <c r="AD68">
        <f t="shared" ref="AD68:AD128" si="4">IF(AB68&gt;90,1,0)</f>
        <v>0</v>
      </c>
      <c r="AE68">
        <f t="shared" ref="AE68:AE128" si="5">IF(AB68&lt;=30,1,0)</f>
        <v>0</v>
      </c>
    </row>
    <row r="69" spans="1:31" x14ac:dyDescent="0.25">
      <c r="A69" s="1" t="s">
        <v>67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  <c r="AB69">
        <f t="shared" si="3"/>
        <v>44</v>
      </c>
      <c r="AD69">
        <f t="shared" si="4"/>
        <v>0</v>
      </c>
      <c r="AE69">
        <f t="shared" si="5"/>
        <v>0</v>
      </c>
    </row>
    <row r="70" spans="1:31" x14ac:dyDescent="0.25">
      <c r="A70" s="1" t="s">
        <v>68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B70">
        <f t="shared" si="3"/>
        <v>28.000000000000004</v>
      </c>
      <c r="AD70">
        <f t="shared" si="4"/>
        <v>0</v>
      </c>
      <c r="AE70">
        <f t="shared" si="5"/>
        <v>1</v>
      </c>
    </row>
    <row r="71" spans="1:31" x14ac:dyDescent="0.25">
      <c r="A71" s="1" t="s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B71">
        <f t="shared" si="3"/>
        <v>36</v>
      </c>
      <c r="AD71">
        <f t="shared" si="4"/>
        <v>0</v>
      </c>
      <c r="AE71">
        <f t="shared" si="5"/>
        <v>0</v>
      </c>
    </row>
    <row r="72" spans="1:31" x14ac:dyDescent="0.25">
      <c r="A72" s="1" t="s">
        <v>70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B72">
        <f t="shared" si="3"/>
        <v>52</v>
      </c>
      <c r="AD72">
        <f t="shared" si="4"/>
        <v>0</v>
      </c>
      <c r="AE72">
        <f t="shared" si="5"/>
        <v>0</v>
      </c>
    </row>
    <row r="73" spans="1:31" x14ac:dyDescent="0.25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B73">
        <f t="shared" si="3"/>
        <v>60</v>
      </c>
      <c r="AD73">
        <f t="shared" si="4"/>
        <v>0</v>
      </c>
      <c r="AE73">
        <f t="shared" si="5"/>
        <v>0</v>
      </c>
    </row>
    <row r="74" spans="1:31" x14ac:dyDescent="0.25">
      <c r="A74" s="1" t="s">
        <v>72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B74">
        <f t="shared" si="3"/>
        <v>40</v>
      </c>
      <c r="AD74">
        <f t="shared" si="4"/>
        <v>0</v>
      </c>
      <c r="AE74">
        <f t="shared" si="5"/>
        <v>0</v>
      </c>
    </row>
    <row r="75" spans="1:31" x14ac:dyDescent="0.25">
      <c r="A75" s="1" t="s">
        <v>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B75">
        <f t="shared" si="3"/>
        <v>40</v>
      </c>
      <c r="AD75">
        <f t="shared" si="4"/>
        <v>0</v>
      </c>
      <c r="AE75">
        <f t="shared" si="5"/>
        <v>0</v>
      </c>
    </row>
    <row r="76" spans="1:31" x14ac:dyDescent="0.25">
      <c r="A76" s="1" t="s">
        <v>74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1</v>
      </c>
      <c r="AB76">
        <f t="shared" si="3"/>
        <v>48</v>
      </c>
      <c r="AD76">
        <f t="shared" si="4"/>
        <v>0</v>
      </c>
      <c r="AE76">
        <f t="shared" si="5"/>
        <v>0</v>
      </c>
    </row>
    <row r="77" spans="1:31" x14ac:dyDescent="0.25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1</v>
      </c>
      <c r="AB77">
        <f t="shared" si="3"/>
        <v>40</v>
      </c>
      <c r="AD77">
        <f t="shared" si="4"/>
        <v>0</v>
      </c>
      <c r="AE77">
        <f t="shared" si="5"/>
        <v>0</v>
      </c>
    </row>
    <row r="78" spans="1:31" x14ac:dyDescent="0.25">
      <c r="A78" s="1" t="s">
        <v>76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B78">
        <f t="shared" si="3"/>
        <v>60</v>
      </c>
      <c r="AD78">
        <f t="shared" si="4"/>
        <v>0</v>
      </c>
      <c r="AE78">
        <f t="shared" si="5"/>
        <v>0</v>
      </c>
    </row>
    <row r="79" spans="1:31" x14ac:dyDescent="0.25">
      <c r="A79" s="1" t="s">
        <v>77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  <c r="AB79">
        <f t="shared" si="3"/>
        <v>64</v>
      </c>
      <c r="AD79">
        <f t="shared" si="4"/>
        <v>0</v>
      </c>
      <c r="AE79">
        <f t="shared" si="5"/>
        <v>0</v>
      </c>
    </row>
    <row r="80" spans="1:31" x14ac:dyDescent="0.25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  <c r="AB80">
        <f t="shared" si="3"/>
        <v>36</v>
      </c>
      <c r="AD80">
        <f t="shared" si="4"/>
        <v>0</v>
      </c>
      <c r="AE80">
        <f t="shared" si="5"/>
        <v>0</v>
      </c>
    </row>
    <row r="81" spans="1:31" x14ac:dyDescent="0.25">
      <c r="A81" s="1" t="s">
        <v>79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  <c r="AB81">
        <f t="shared" si="3"/>
        <v>60</v>
      </c>
      <c r="AD81">
        <f t="shared" si="4"/>
        <v>0</v>
      </c>
      <c r="AE81">
        <f t="shared" si="5"/>
        <v>0</v>
      </c>
    </row>
    <row r="82" spans="1:31" x14ac:dyDescent="0.25">
      <c r="A82" s="1" t="s">
        <v>80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  <c r="AB82">
        <f t="shared" si="3"/>
        <v>60</v>
      </c>
      <c r="AD82">
        <f t="shared" si="4"/>
        <v>0</v>
      </c>
      <c r="AE82">
        <f t="shared" si="5"/>
        <v>0</v>
      </c>
    </row>
    <row r="83" spans="1:31" x14ac:dyDescent="0.25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B83">
        <f t="shared" si="3"/>
        <v>40</v>
      </c>
      <c r="AD83">
        <f t="shared" si="4"/>
        <v>0</v>
      </c>
      <c r="AE83">
        <f t="shared" si="5"/>
        <v>0</v>
      </c>
    </row>
    <row r="84" spans="1:31" x14ac:dyDescent="0.25">
      <c r="A84" s="1" t="s">
        <v>82</v>
      </c>
      <c r="B84">
        <v>1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B84">
        <f t="shared" si="3"/>
        <v>64</v>
      </c>
      <c r="AD84">
        <f t="shared" si="4"/>
        <v>0</v>
      </c>
      <c r="AE84">
        <f t="shared" si="5"/>
        <v>0</v>
      </c>
    </row>
    <row r="85" spans="1:31" x14ac:dyDescent="0.25">
      <c r="A85" s="1" t="s">
        <v>83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1</v>
      </c>
      <c r="AB85">
        <f t="shared" si="3"/>
        <v>48</v>
      </c>
      <c r="AD85">
        <f t="shared" si="4"/>
        <v>0</v>
      </c>
      <c r="AE85">
        <f t="shared" si="5"/>
        <v>0</v>
      </c>
    </row>
    <row r="86" spans="1:31" x14ac:dyDescent="0.25">
      <c r="A86" s="1" t="s">
        <v>84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B86">
        <f t="shared" si="3"/>
        <v>40</v>
      </c>
      <c r="AD86">
        <f t="shared" si="4"/>
        <v>0</v>
      </c>
      <c r="AE86">
        <f t="shared" si="5"/>
        <v>0</v>
      </c>
    </row>
    <row r="87" spans="1:31" x14ac:dyDescent="0.25">
      <c r="A87" s="1" t="s">
        <v>85</v>
      </c>
      <c r="B87">
        <v>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B87">
        <f t="shared" si="3"/>
        <v>44</v>
      </c>
      <c r="AD87">
        <f t="shared" si="4"/>
        <v>0</v>
      </c>
      <c r="AE87">
        <f t="shared" si="5"/>
        <v>0</v>
      </c>
    </row>
    <row r="88" spans="1:31" x14ac:dyDescent="0.25">
      <c r="A88" s="1" t="s">
        <v>86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  <c r="AB88">
        <f t="shared" si="3"/>
        <v>36</v>
      </c>
      <c r="AD88">
        <f t="shared" si="4"/>
        <v>0</v>
      </c>
      <c r="AE88">
        <f t="shared" si="5"/>
        <v>0</v>
      </c>
    </row>
    <row r="89" spans="1:31" x14ac:dyDescent="0.25">
      <c r="A89" s="1" t="s">
        <v>87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1</v>
      </c>
      <c r="Z89">
        <v>0</v>
      </c>
      <c r="AB89">
        <f t="shared" si="3"/>
        <v>52</v>
      </c>
      <c r="AD89">
        <f t="shared" si="4"/>
        <v>0</v>
      </c>
      <c r="AE89">
        <f t="shared" si="5"/>
        <v>0</v>
      </c>
    </row>
    <row r="90" spans="1:31" x14ac:dyDescent="0.25">
      <c r="A90" s="1" t="s">
        <v>88</v>
      </c>
      <c r="B90">
        <v>0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B90">
        <f t="shared" si="3"/>
        <v>44</v>
      </c>
      <c r="AD90">
        <f t="shared" si="4"/>
        <v>0</v>
      </c>
      <c r="AE90">
        <f t="shared" si="5"/>
        <v>0</v>
      </c>
    </row>
    <row r="91" spans="1:31" x14ac:dyDescent="0.25">
      <c r="A91" s="1" t="s">
        <v>89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B91">
        <f t="shared" si="3"/>
        <v>40</v>
      </c>
      <c r="AD91">
        <f t="shared" si="4"/>
        <v>0</v>
      </c>
      <c r="AE91">
        <f t="shared" si="5"/>
        <v>0</v>
      </c>
    </row>
    <row r="92" spans="1:31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B92">
        <f t="shared" si="3"/>
        <v>24</v>
      </c>
      <c r="AD92">
        <f t="shared" si="4"/>
        <v>0</v>
      </c>
      <c r="AE92">
        <f t="shared" si="5"/>
        <v>1</v>
      </c>
    </row>
    <row r="93" spans="1:31" x14ac:dyDescent="0.25">
      <c r="A93" s="1" t="s">
        <v>91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  <c r="AB93">
        <f t="shared" si="3"/>
        <v>52</v>
      </c>
      <c r="AD93">
        <f t="shared" si="4"/>
        <v>0</v>
      </c>
      <c r="AE93">
        <f t="shared" si="5"/>
        <v>0</v>
      </c>
    </row>
    <row r="94" spans="1:31" x14ac:dyDescent="0.25">
      <c r="A94" s="1" t="s">
        <v>92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B94">
        <f t="shared" si="3"/>
        <v>52</v>
      </c>
      <c r="AD94">
        <f t="shared" si="4"/>
        <v>0</v>
      </c>
      <c r="AE94">
        <f t="shared" si="5"/>
        <v>0</v>
      </c>
    </row>
    <row r="95" spans="1:31" x14ac:dyDescent="0.25">
      <c r="A95" s="1" t="s">
        <v>93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  <c r="AB95">
        <f t="shared" si="3"/>
        <v>44</v>
      </c>
      <c r="AD95">
        <f t="shared" si="4"/>
        <v>0</v>
      </c>
      <c r="AE95">
        <f t="shared" si="5"/>
        <v>0</v>
      </c>
    </row>
    <row r="96" spans="1:31" x14ac:dyDescent="0.25">
      <c r="A96" s="1" t="s">
        <v>94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B96">
        <f t="shared" si="3"/>
        <v>32</v>
      </c>
      <c r="AD96">
        <f t="shared" si="4"/>
        <v>0</v>
      </c>
      <c r="AE96">
        <f t="shared" si="5"/>
        <v>0</v>
      </c>
    </row>
    <row r="97" spans="1:31" x14ac:dyDescent="0.25">
      <c r="A97" s="1" t="s">
        <v>95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B97">
        <f t="shared" si="3"/>
        <v>32</v>
      </c>
      <c r="AD97">
        <f t="shared" si="4"/>
        <v>0</v>
      </c>
      <c r="AE97">
        <f t="shared" si="5"/>
        <v>0</v>
      </c>
    </row>
    <row r="98" spans="1:31" x14ac:dyDescent="0.25">
      <c r="A98" s="1" t="s">
        <v>96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1</v>
      </c>
      <c r="AB98">
        <f t="shared" si="3"/>
        <v>60</v>
      </c>
      <c r="AD98">
        <f t="shared" si="4"/>
        <v>0</v>
      </c>
      <c r="AE98">
        <f t="shared" si="5"/>
        <v>0</v>
      </c>
    </row>
    <row r="99" spans="1:31" x14ac:dyDescent="0.25">
      <c r="A99" s="1" t="s">
        <v>97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  <c r="AB99">
        <f t="shared" si="3"/>
        <v>52</v>
      </c>
      <c r="AD99">
        <f t="shared" si="4"/>
        <v>0</v>
      </c>
      <c r="AE99">
        <f t="shared" si="5"/>
        <v>0</v>
      </c>
    </row>
    <row r="100" spans="1:31" x14ac:dyDescent="0.25">
      <c r="A100" s="1" t="s">
        <v>98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B100">
        <f t="shared" si="3"/>
        <v>36</v>
      </c>
      <c r="AD100">
        <f t="shared" si="4"/>
        <v>0</v>
      </c>
      <c r="AE100">
        <f t="shared" si="5"/>
        <v>0</v>
      </c>
    </row>
    <row r="101" spans="1:31" x14ac:dyDescent="0.25">
      <c r="A101" s="1" t="s">
        <v>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  <c r="AB101">
        <f t="shared" si="3"/>
        <v>44</v>
      </c>
      <c r="AD101">
        <f t="shared" si="4"/>
        <v>0</v>
      </c>
      <c r="AE101">
        <f t="shared" si="5"/>
        <v>0</v>
      </c>
    </row>
    <row r="102" spans="1:31" x14ac:dyDescent="0.25">
      <c r="A102" s="1" t="s">
        <v>100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0</v>
      </c>
      <c r="AB102">
        <f t="shared" si="3"/>
        <v>48</v>
      </c>
      <c r="AD102">
        <f t="shared" si="4"/>
        <v>0</v>
      </c>
      <c r="AE102">
        <f t="shared" si="5"/>
        <v>0</v>
      </c>
    </row>
    <row r="103" spans="1:31" x14ac:dyDescent="0.25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B103">
        <f t="shared" si="3"/>
        <v>40</v>
      </c>
      <c r="AD103">
        <f t="shared" si="4"/>
        <v>0</v>
      </c>
      <c r="AE103">
        <f t="shared" si="5"/>
        <v>0</v>
      </c>
    </row>
    <row r="104" spans="1:31" x14ac:dyDescent="0.25">
      <c r="A104" s="1" t="s">
        <v>102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B104">
        <f t="shared" si="3"/>
        <v>64</v>
      </c>
      <c r="AD104">
        <f t="shared" si="4"/>
        <v>0</v>
      </c>
      <c r="AE104">
        <f t="shared" si="5"/>
        <v>0</v>
      </c>
    </row>
    <row r="105" spans="1:31" x14ac:dyDescent="0.25">
      <c r="A105" s="1" t="s">
        <v>103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B105">
        <f t="shared" si="3"/>
        <v>48</v>
      </c>
      <c r="AD105">
        <f t="shared" si="4"/>
        <v>0</v>
      </c>
      <c r="AE105">
        <f t="shared" si="5"/>
        <v>0</v>
      </c>
    </row>
    <row r="106" spans="1:31" x14ac:dyDescent="0.25">
      <c r="A106" s="1" t="s">
        <v>104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B106">
        <f t="shared" si="3"/>
        <v>40</v>
      </c>
      <c r="AD106">
        <f t="shared" si="4"/>
        <v>0</v>
      </c>
      <c r="AE106">
        <f t="shared" si="5"/>
        <v>0</v>
      </c>
    </row>
    <row r="107" spans="1:31" x14ac:dyDescent="0.25">
      <c r="A107" s="1" t="s">
        <v>105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B107">
        <f t="shared" si="3"/>
        <v>44</v>
      </c>
      <c r="AD107">
        <f t="shared" si="4"/>
        <v>0</v>
      </c>
      <c r="AE107">
        <f t="shared" si="5"/>
        <v>0</v>
      </c>
    </row>
    <row r="108" spans="1:31" x14ac:dyDescent="0.25">
      <c r="A108" s="1" t="s">
        <v>106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  <c r="AB108">
        <f t="shared" si="3"/>
        <v>36</v>
      </c>
      <c r="AD108">
        <f t="shared" si="4"/>
        <v>0</v>
      </c>
      <c r="AE108">
        <f t="shared" si="5"/>
        <v>0</v>
      </c>
    </row>
    <row r="109" spans="1:31" x14ac:dyDescent="0.25">
      <c r="A109" s="1" t="s">
        <v>107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  <c r="AB109">
        <f t="shared" si="3"/>
        <v>52</v>
      </c>
      <c r="AD109">
        <f t="shared" si="4"/>
        <v>0</v>
      </c>
      <c r="AE109">
        <f t="shared" si="5"/>
        <v>0</v>
      </c>
    </row>
    <row r="110" spans="1:31" x14ac:dyDescent="0.25">
      <c r="A110" s="1" t="s">
        <v>108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  <c r="AB110">
        <f t="shared" si="3"/>
        <v>40</v>
      </c>
      <c r="AD110">
        <f t="shared" si="4"/>
        <v>0</v>
      </c>
      <c r="AE110">
        <f t="shared" si="5"/>
        <v>0</v>
      </c>
    </row>
    <row r="111" spans="1:31" x14ac:dyDescent="0.25">
      <c r="A111" s="1" t="s">
        <v>109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f t="shared" si="3"/>
        <v>40</v>
      </c>
      <c r="AD111">
        <f t="shared" si="4"/>
        <v>0</v>
      </c>
      <c r="AE111">
        <f t="shared" si="5"/>
        <v>0</v>
      </c>
    </row>
    <row r="112" spans="1:31" x14ac:dyDescent="0.2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B112">
        <f t="shared" si="3"/>
        <v>24</v>
      </c>
      <c r="AD112">
        <f t="shared" si="4"/>
        <v>0</v>
      </c>
      <c r="AE112">
        <f t="shared" si="5"/>
        <v>1</v>
      </c>
    </row>
    <row r="113" spans="1:31" x14ac:dyDescent="0.25">
      <c r="A113" s="1" t="s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  <c r="AB113">
        <f t="shared" si="3"/>
        <v>48</v>
      </c>
      <c r="AD113">
        <f t="shared" si="4"/>
        <v>0</v>
      </c>
      <c r="AE113">
        <f t="shared" si="5"/>
        <v>0</v>
      </c>
    </row>
    <row r="114" spans="1:31" x14ac:dyDescent="0.25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  <c r="AB114">
        <f t="shared" si="3"/>
        <v>52</v>
      </c>
      <c r="AD114">
        <f t="shared" si="4"/>
        <v>0</v>
      </c>
      <c r="AE114">
        <f t="shared" si="5"/>
        <v>0</v>
      </c>
    </row>
    <row r="115" spans="1:31" x14ac:dyDescent="0.25">
      <c r="A115" s="1" t="s">
        <v>113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1</v>
      </c>
      <c r="AB115">
        <f t="shared" si="3"/>
        <v>44</v>
      </c>
      <c r="AD115">
        <f t="shared" si="4"/>
        <v>0</v>
      </c>
      <c r="AE115">
        <f t="shared" si="5"/>
        <v>0</v>
      </c>
    </row>
    <row r="116" spans="1:31" x14ac:dyDescent="0.25">
      <c r="A116" s="1" t="s">
        <v>114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B116">
        <f t="shared" si="3"/>
        <v>32</v>
      </c>
      <c r="AD116">
        <f t="shared" si="4"/>
        <v>0</v>
      </c>
      <c r="AE116">
        <f t="shared" si="5"/>
        <v>0</v>
      </c>
    </row>
    <row r="117" spans="1:31" x14ac:dyDescent="0.25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B117">
        <f t="shared" si="3"/>
        <v>28.000000000000004</v>
      </c>
      <c r="AD117">
        <f t="shared" si="4"/>
        <v>0</v>
      </c>
      <c r="AE117">
        <f t="shared" si="5"/>
        <v>1</v>
      </c>
    </row>
    <row r="118" spans="1:31" x14ac:dyDescent="0.25">
      <c r="A118" s="1" t="s">
        <v>116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1</v>
      </c>
      <c r="AB118">
        <f t="shared" si="3"/>
        <v>56.000000000000007</v>
      </c>
      <c r="AD118">
        <f t="shared" si="4"/>
        <v>0</v>
      </c>
      <c r="AE118">
        <f t="shared" si="5"/>
        <v>0</v>
      </c>
    </row>
    <row r="119" spans="1:31" x14ac:dyDescent="0.25">
      <c r="A119" s="1" t="s">
        <v>117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  <c r="AB119">
        <f t="shared" si="3"/>
        <v>48</v>
      </c>
      <c r="AD119">
        <f t="shared" si="4"/>
        <v>0</v>
      </c>
      <c r="AE119">
        <f t="shared" si="5"/>
        <v>0</v>
      </c>
    </row>
    <row r="120" spans="1:31" x14ac:dyDescent="0.25">
      <c r="A120" s="1" t="s">
        <v>118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B120">
        <f t="shared" si="3"/>
        <v>36</v>
      </c>
      <c r="AD120">
        <f t="shared" si="4"/>
        <v>0</v>
      </c>
      <c r="AE120">
        <f t="shared" si="5"/>
        <v>0</v>
      </c>
    </row>
    <row r="121" spans="1:31" x14ac:dyDescent="0.25">
      <c r="A121" s="1" t="s">
        <v>119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B121">
        <f t="shared" si="3"/>
        <v>40</v>
      </c>
      <c r="AD121">
        <f t="shared" si="4"/>
        <v>0</v>
      </c>
      <c r="AE121">
        <f t="shared" si="5"/>
        <v>0</v>
      </c>
    </row>
    <row r="122" spans="1:31" x14ac:dyDescent="0.25">
      <c r="A122" s="1" t="s">
        <v>120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  <c r="AB122">
        <f t="shared" si="3"/>
        <v>48</v>
      </c>
      <c r="AD122">
        <f t="shared" si="4"/>
        <v>0</v>
      </c>
      <c r="AE122">
        <f t="shared" si="5"/>
        <v>0</v>
      </c>
    </row>
    <row r="123" spans="1:31" x14ac:dyDescent="0.25">
      <c r="A123" s="1" t="s">
        <v>121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B123">
        <f t="shared" si="3"/>
        <v>28.000000000000004</v>
      </c>
      <c r="AD123">
        <f t="shared" si="4"/>
        <v>0</v>
      </c>
      <c r="AE123">
        <f t="shared" si="5"/>
        <v>1</v>
      </c>
    </row>
    <row r="124" spans="1:31" x14ac:dyDescent="0.25">
      <c r="A124" s="1" t="s">
        <v>122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1</v>
      </c>
      <c r="AB124">
        <f t="shared" si="3"/>
        <v>60</v>
      </c>
      <c r="AD124">
        <f t="shared" si="4"/>
        <v>0</v>
      </c>
      <c r="AE124">
        <f t="shared" si="5"/>
        <v>0</v>
      </c>
    </row>
    <row r="125" spans="1:31" x14ac:dyDescent="0.25">
      <c r="A125" s="1" t="s">
        <v>123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B125">
        <f t="shared" si="3"/>
        <v>48</v>
      </c>
      <c r="AD125">
        <f t="shared" si="4"/>
        <v>0</v>
      </c>
      <c r="AE125">
        <f t="shared" si="5"/>
        <v>0</v>
      </c>
    </row>
    <row r="126" spans="1:31" x14ac:dyDescent="0.25">
      <c r="A126" s="1" t="s">
        <v>124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  <c r="AB126">
        <f t="shared" si="3"/>
        <v>32</v>
      </c>
      <c r="AD126">
        <f t="shared" si="4"/>
        <v>0</v>
      </c>
      <c r="AE126">
        <f t="shared" si="5"/>
        <v>0</v>
      </c>
    </row>
    <row r="127" spans="1:31" x14ac:dyDescent="0.25">
      <c r="A127" s="1" t="s">
        <v>125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B127">
        <f t="shared" si="3"/>
        <v>44</v>
      </c>
      <c r="AD127">
        <f t="shared" si="4"/>
        <v>0</v>
      </c>
      <c r="AE127">
        <f t="shared" si="5"/>
        <v>0</v>
      </c>
    </row>
    <row r="128" spans="1:31" x14ac:dyDescent="0.25">
      <c r="A128" s="1" t="s">
        <v>126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B128">
        <f t="shared" si="3"/>
        <v>36</v>
      </c>
      <c r="AD128">
        <f t="shared" si="4"/>
        <v>0</v>
      </c>
      <c r="AE128">
        <f t="shared" si="5"/>
        <v>0</v>
      </c>
    </row>
  </sheetData>
  <phoneticPr fontId="1" type="noConversion"/>
  <conditionalFormatting sqref="AF1 AD1:AD1048576">
    <cfRule type="cellIs" dxfId="4" priority="3" operator="equal">
      <formula>1</formula>
    </cfRule>
  </conditionalFormatting>
  <conditionalFormatting sqref="AE1 AG1">
    <cfRule type="cellIs" dxfId="3" priority="2" operator="equal">
      <formula>1</formula>
    </cfRule>
  </conditionalFormatting>
  <conditionalFormatting sqref="AE1:AE1048576 AG1">
    <cfRule type="cellIs" dxfId="2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3B41-E9A3-4D69-8889-2F572F0FF95B}">
  <dimension ref="A1:AF128"/>
  <sheetViews>
    <sheetView topLeftCell="U1" workbookViewId="0">
      <selection activeCell="AF2" sqref="AF2"/>
    </sheetView>
  </sheetViews>
  <sheetFormatPr defaultRowHeight="15" x14ac:dyDescent="0.25"/>
  <cols>
    <col min="1" max="1" width="12" bestFit="1" customWidth="1"/>
    <col min="2" max="10" width="13.28515625" bestFit="1" customWidth="1"/>
    <col min="11" max="26" width="14.28515625" bestFit="1" customWidth="1"/>
    <col min="27" max="27" width="14.28515625" customWidth="1"/>
    <col min="28" max="28" width="23.5703125" bestFit="1" customWidth="1"/>
    <col min="29" max="30" width="23.5703125" customWidth="1"/>
    <col min="31" max="31" width="8.7109375" customWidth="1"/>
    <col min="32" max="32" width="23.28515625" bestFit="1" customWidth="1"/>
  </cols>
  <sheetData>
    <row r="1" spans="1:32" x14ac:dyDescent="0.2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B1" t="s">
        <v>157</v>
      </c>
      <c r="AC1" t="s">
        <v>158</v>
      </c>
      <c r="AD1" t="s">
        <v>159</v>
      </c>
      <c r="AF1" s="2" t="s">
        <v>160</v>
      </c>
    </row>
    <row r="2" spans="1:32" x14ac:dyDescent="0.25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C2">
        <f>AVERAGE(AB3:AB128)</f>
        <v>11.428571428571429</v>
      </c>
      <c r="AF2" s="2">
        <f>COUNTIF(AD3:AD128,"=1")</f>
        <v>55</v>
      </c>
    </row>
    <row r="3" spans="1:32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B3">
        <f>SUM(B3:Z3)</f>
        <v>11</v>
      </c>
      <c r="AD3">
        <f>IF(AB3&gt;$AC$2,1,0)</f>
        <v>0</v>
      </c>
    </row>
    <row r="4" spans="1:32" x14ac:dyDescent="0.25">
      <c r="A4" s="1" t="s">
        <v>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B4">
        <f>SUM(B4:Z4)</f>
        <v>12</v>
      </c>
      <c r="AD4">
        <f>IF(AB4&gt;$AC$2,1,0)</f>
        <v>1</v>
      </c>
    </row>
    <row r="5" spans="1:32" x14ac:dyDescent="0.25">
      <c r="A5" s="1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B5">
        <f t="shared" ref="AB5:AB68" si="0">SUM(B5:Z5)</f>
        <v>13</v>
      </c>
      <c r="AD5">
        <f t="shared" ref="AD5:AD68" si="1">IF(AB5&gt;$AC$2,1,0)</f>
        <v>1</v>
      </c>
    </row>
    <row r="6" spans="1:32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B6">
        <f t="shared" si="0"/>
        <v>10</v>
      </c>
      <c r="AD6">
        <f t="shared" si="1"/>
        <v>0</v>
      </c>
    </row>
    <row r="7" spans="1:32" x14ac:dyDescent="0.25">
      <c r="A7" s="1" t="s">
        <v>5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B7">
        <f t="shared" si="0"/>
        <v>11</v>
      </c>
      <c r="AD7">
        <f t="shared" si="1"/>
        <v>0</v>
      </c>
    </row>
    <row r="8" spans="1:32" x14ac:dyDescent="0.25">
      <c r="A8" s="1" t="s">
        <v>6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B8">
        <f t="shared" si="0"/>
        <v>12</v>
      </c>
      <c r="AD8">
        <f t="shared" si="1"/>
        <v>1</v>
      </c>
    </row>
    <row r="9" spans="1:32" x14ac:dyDescent="0.25">
      <c r="A9" s="1" t="s">
        <v>7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B9">
        <f t="shared" si="0"/>
        <v>12</v>
      </c>
      <c r="AD9">
        <f t="shared" si="1"/>
        <v>1</v>
      </c>
    </row>
    <row r="10" spans="1:32" x14ac:dyDescent="0.25">
      <c r="A10" s="1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B10">
        <f t="shared" si="0"/>
        <v>9</v>
      </c>
      <c r="AD10">
        <f t="shared" si="1"/>
        <v>0</v>
      </c>
    </row>
    <row r="11" spans="1:32" x14ac:dyDescent="0.25">
      <c r="A11" s="1" t="s">
        <v>9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B11">
        <f t="shared" si="0"/>
        <v>9</v>
      </c>
      <c r="AD11">
        <f t="shared" si="1"/>
        <v>0</v>
      </c>
    </row>
    <row r="12" spans="1:32" x14ac:dyDescent="0.25">
      <c r="A12" s="1" t="s">
        <v>10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B12">
        <f t="shared" si="0"/>
        <v>8</v>
      </c>
      <c r="AD12">
        <f t="shared" si="1"/>
        <v>0</v>
      </c>
    </row>
    <row r="13" spans="1:32" x14ac:dyDescent="0.25">
      <c r="A13" s="1" t="s">
        <v>11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B13">
        <f t="shared" si="0"/>
        <v>13</v>
      </c>
      <c r="AD13">
        <f t="shared" si="1"/>
        <v>1</v>
      </c>
    </row>
    <row r="14" spans="1:32" x14ac:dyDescent="0.25">
      <c r="A14" s="1" t="s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  <c r="AB14">
        <f t="shared" si="0"/>
        <v>10</v>
      </c>
      <c r="AD14">
        <f t="shared" si="1"/>
        <v>0</v>
      </c>
    </row>
    <row r="15" spans="1:32" x14ac:dyDescent="0.25">
      <c r="A15" s="1" t="s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B15">
        <f t="shared" si="0"/>
        <v>13</v>
      </c>
      <c r="AD15">
        <f t="shared" si="1"/>
        <v>1</v>
      </c>
    </row>
    <row r="16" spans="1:32" x14ac:dyDescent="0.25">
      <c r="A16" s="1" t="s">
        <v>14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B16">
        <f t="shared" si="0"/>
        <v>8</v>
      </c>
      <c r="AD16">
        <f t="shared" si="1"/>
        <v>0</v>
      </c>
    </row>
    <row r="17" spans="1:30" x14ac:dyDescent="0.25">
      <c r="A17" s="1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B17">
        <f t="shared" si="0"/>
        <v>11</v>
      </c>
      <c r="AD17">
        <f t="shared" si="1"/>
        <v>0</v>
      </c>
    </row>
    <row r="18" spans="1:30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B18">
        <f t="shared" si="0"/>
        <v>10</v>
      </c>
      <c r="AD18">
        <f t="shared" si="1"/>
        <v>0</v>
      </c>
    </row>
    <row r="19" spans="1:30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B19">
        <f t="shared" si="0"/>
        <v>11</v>
      </c>
      <c r="AD19">
        <f t="shared" si="1"/>
        <v>0</v>
      </c>
    </row>
    <row r="20" spans="1:30" x14ac:dyDescent="0.25">
      <c r="A20" s="1" t="s">
        <v>18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B20">
        <f t="shared" si="0"/>
        <v>10</v>
      </c>
      <c r="AD20">
        <f t="shared" si="1"/>
        <v>0</v>
      </c>
    </row>
    <row r="21" spans="1:30" x14ac:dyDescent="0.25">
      <c r="A21" s="1" t="s">
        <v>19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B21">
        <f t="shared" si="0"/>
        <v>16</v>
      </c>
      <c r="AD21">
        <f t="shared" si="1"/>
        <v>1</v>
      </c>
    </row>
    <row r="22" spans="1:30" x14ac:dyDescent="0.25">
      <c r="A22" s="1" t="s">
        <v>20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B22">
        <f t="shared" si="0"/>
        <v>11</v>
      </c>
      <c r="AD22">
        <f t="shared" si="1"/>
        <v>0</v>
      </c>
    </row>
    <row r="23" spans="1:30" x14ac:dyDescent="0.25">
      <c r="A23" s="1" t="s">
        <v>21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B23">
        <f t="shared" si="0"/>
        <v>11</v>
      </c>
      <c r="AD23">
        <f t="shared" si="1"/>
        <v>0</v>
      </c>
    </row>
    <row r="24" spans="1:30" x14ac:dyDescent="0.25">
      <c r="A24" s="1" t="s">
        <v>22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B24">
        <f t="shared" si="0"/>
        <v>19</v>
      </c>
      <c r="AD24">
        <f t="shared" si="1"/>
        <v>1</v>
      </c>
    </row>
    <row r="25" spans="1:30" x14ac:dyDescent="0.25">
      <c r="A25" s="1" t="s">
        <v>23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B25">
        <f t="shared" si="0"/>
        <v>12</v>
      </c>
      <c r="AD25">
        <f t="shared" si="1"/>
        <v>1</v>
      </c>
    </row>
    <row r="26" spans="1:30" x14ac:dyDescent="0.25">
      <c r="A26" s="1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B26">
        <f t="shared" si="0"/>
        <v>13</v>
      </c>
      <c r="AD26">
        <f t="shared" si="1"/>
        <v>1</v>
      </c>
    </row>
    <row r="27" spans="1:30" x14ac:dyDescent="0.25">
      <c r="A27" s="1" t="s">
        <v>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B27">
        <f t="shared" si="0"/>
        <v>16</v>
      </c>
      <c r="AD27">
        <f t="shared" si="1"/>
        <v>1</v>
      </c>
    </row>
    <row r="28" spans="1:30" x14ac:dyDescent="0.25">
      <c r="A28" s="1" t="s">
        <v>26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B28">
        <f t="shared" si="0"/>
        <v>11</v>
      </c>
      <c r="AD28">
        <f t="shared" si="1"/>
        <v>0</v>
      </c>
    </row>
    <row r="29" spans="1:30" x14ac:dyDescent="0.25">
      <c r="A29" s="1" t="s">
        <v>27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B29">
        <f t="shared" si="0"/>
        <v>14</v>
      </c>
      <c r="AD29">
        <f t="shared" si="1"/>
        <v>1</v>
      </c>
    </row>
    <row r="30" spans="1:30" x14ac:dyDescent="0.25">
      <c r="A30" s="1" t="s">
        <v>28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B30">
        <f t="shared" si="0"/>
        <v>9</v>
      </c>
      <c r="AD30">
        <f t="shared" si="1"/>
        <v>0</v>
      </c>
    </row>
    <row r="31" spans="1:30" x14ac:dyDescent="0.25">
      <c r="A31" s="1" t="s">
        <v>29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  <c r="AB31">
        <f t="shared" si="0"/>
        <v>11</v>
      </c>
      <c r="AD31">
        <f t="shared" si="1"/>
        <v>0</v>
      </c>
    </row>
    <row r="32" spans="1:30" x14ac:dyDescent="0.25">
      <c r="A32" s="1" t="s">
        <v>30</v>
      </c>
      <c r="B32">
        <v>0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B32">
        <f t="shared" si="0"/>
        <v>13</v>
      </c>
      <c r="AD32">
        <f t="shared" si="1"/>
        <v>1</v>
      </c>
    </row>
    <row r="33" spans="1:30" x14ac:dyDescent="0.25">
      <c r="A33" s="1" t="s">
        <v>31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B33">
        <f t="shared" si="0"/>
        <v>9</v>
      </c>
      <c r="AD33">
        <f t="shared" si="1"/>
        <v>0</v>
      </c>
    </row>
    <row r="34" spans="1:30" x14ac:dyDescent="0.25">
      <c r="A34" s="1" t="s">
        <v>32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B34">
        <f t="shared" si="0"/>
        <v>11</v>
      </c>
      <c r="AD34">
        <f t="shared" si="1"/>
        <v>0</v>
      </c>
    </row>
    <row r="35" spans="1:30" x14ac:dyDescent="0.25">
      <c r="A35" s="1" t="s">
        <v>33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B35">
        <f t="shared" si="0"/>
        <v>10</v>
      </c>
      <c r="AD35">
        <f t="shared" si="1"/>
        <v>0</v>
      </c>
    </row>
    <row r="36" spans="1:30" x14ac:dyDescent="0.25">
      <c r="A36" s="1" t="s">
        <v>34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B36">
        <f t="shared" si="0"/>
        <v>8</v>
      </c>
      <c r="AD36">
        <f t="shared" si="1"/>
        <v>0</v>
      </c>
    </row>
    <row r="37" spans="1:30" x14ac:dyDescent="0.25">
      <c r="A37" s="1" t="s">
        <v>35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B37">
        <f t="shared" si="0"/>
        <v>10</v>
      </c>
      <c r="AD37">
        <f t="shared" si="1"/>
        <v>0</v>
      </c>
    </row>
    <row r="38" spans="1:30" x14ac:dyDescent="0.25">
      <c r="A38" s="1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B38">
        <f t="shared" si="0"/>
        <v>16</v>
      </c>
      <c r="AD38">
        <f t="shared" si="1"/>
        <v>1</v>
      </c>
    </row>
    <row r="39" spans="1:30" x14ac:dyDescent="0.25">
      <c r="A39" s="1" t="s">
        <v>37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B39">
        <f t="shared" si="0"/>
        <v>11</v>
      </c>
      <c r="AD39">
        <f t="shared" si="1"/>
        <v>0</v>
      </c>
    </row>
    <row r="40" spans="1:30" x14ac:dyDescent="0.25">
      <c r="A40" s="1" t="s">
        <v>38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B40">
        <f t="shared" si="0"/>
        <v>17</v>
      </c>
      <c r="AD40">
        <f t="shared" si="1"/>
        <v>1</v>
      </c>
    </row>
    <row r="41" spans="1:30" x14ac:dyDescent="0.25">
      <c r="A41" s="1" t="s">
        <v>39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B41">
        <f t="shared" si="0"/>
        <v>19</v>
      </c>
      <c r="AD41">
        <f t="shared" si="1"/>
        <v>1</v>
      </c>
    </row>
    <row r="42" spans="1:30" x14ac:dyDescent="0.25">
      <c r="A42" s="1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B42">
        <f t="shared" si="0"/>
        <v>13</v>
      </c>
      <c r="AD42">
        <f t="shared" si="1"/>
        <v>1</v>
      </c>
    </row>
    <row r="43" spans="1:30" x14ac:dyDescent="0.25">
      <c r="A43" s="1" t="s">
        <v>41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B43">
        <f t="shared" si="0"/>
        <v>13</v>
      </c>
      <c r="AD43">
        <f t="shared" si="1"/>
        <v>1</v>
      </c>
    </row>
    <row r="44" spans="1:30" x14ac:dyDescent="0.25">
      <c r="A44" s="1" t="s">
        <v>42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B44">
        <f t="shared" si="0"/>
        <v>14</v>
      </c>
      <c r="AD44">
        <f t="shared" si="1"/>
        <v>1</v>
      </c>
    </row>
    <row r="45" spans="1:30" x14ac:dyDescent="0.25">
      <c r="A45" s="1" t="s">
        <v>43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B45">
        <f t="shared" si="0"/>
        <v>11</v>
      </c>
      <c r="AD45">
        <f t="shared" si="1"/>
        <v>0</v>
      </c>
    </row>
    <row r="46" spans="1:30" x14ac:dyDescent="0.25">
      <c r="A46" s="1" t="s">
        <v>44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  <c r="AB46">
        <f t="shared" si="0"/>
        <v>13</v>
      </c>
      <c r="AD46">
        <f t="shared" si="1"/>
        <v>1</v>
      </c>
    </row>
    <row r="47" spans="1:30" x14ac:dyDescent="0.25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  <c r="AB47">
        <f t="shared" si="0"/>
        <v>23</v>
      </c>
      <c r="AD47">
        <f t="shared" si="1"/>
        <v>1</v>
      </c>
    </row>
    <row r="48" spans="1:30" x14ac:dyDescent="0.25">
      <c r="A48" s="1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B48">
        <f t="shared" si="0"/>
        <v>13</v>
      </c>
      <c r="AD48">
        <f t="shared" si="1"/>
        <v>1</v>
      </c>
    </row>
    <row r="49" spans="1:30" x14ac:dyDescent="0.25">
      <c r="A49" s="1" t="s">
        <v>47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B49">
        <f t="shared" si="0"/>
        <v>8</v>
      </c>
      <c r="AD49">
        <f t="shared" si="1"/>
        <v>0</v>
      </c>
    </row>
    <row r="50" spans="1:30" x14ac:dyDescent="0.25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B50">
        <f t="shared" si="0"/>
        <v>9</v>
      </c>
      <c r="AD50">
        <f t="shared" si="1"/>
        <v>0</v>
      </c>
    </row>
    <row r="51" spans="1:30" x14ac:dyDescent="0.25">
      <c r="A51" s="1" t="s">
        <v>49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B51">
        <f t="shared" si="0"/>
        <v>13</v>
      </c>
      <c r="AD51">
        <f t="shared" si="1"/>
        <v>1</v>
      </c>
    </row>
    <row r="52" spans="1:30" x14ac:dyDescent="0.25">
      <c r="A52" s="1" t="s">
        <v>50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B52">
        <f t="shared" si="0"/>
        <v>8</v>
      </c>
      <c r="AD52">
        <f t="shared" si="1"/>
        <v>0</v>
      </c>
    </row>
    <row r="53" spans="1:30" x14ac:dyDescent="0.25">
      <c r="A53" s="1" t="s">
        <v>51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B53">
        <f t="shared" si="0"/>
        <v>15</v>
      </c>
      <c r="AD53">
        <f t="shared" si="1"/>
        <v>1</v>
      </c>
    </row>
    <row r="54" spans="1:30" x14ac:dyDescent="0.25">
      <c r="A54" s="1" t="s">
        <v>52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B54">
        <f t="shared" si="0"/>
        <v>8</v>
      </c>
      <c r="AD54">
        <f t="shared" si="1"/>
        <v>0</v>
      </c>
    </row>
    <row r="55" spans="1:30" x14ac:dyDescent="0.25">
      <c r="A55" s="1" t="s">
        <v>53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B55">
        <f t="shared" si="0"/>
        <v>11</v>
      </c>
      <c r="AD55">
        <f t="shared" si="1"/>
        <v>0</v>
      </c>
    </row>
    <row r="56" spans="1:30" x14ac:dyDescent="0.25">
      <c r="A56" s="1" t="s">
        <v>54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B56">
        <f t="shared" si="0"/>
        <v>12</v>
      </c>
      <c r="AD56">
        <f t="shared" si="1"/>
        <v>1</v>
      </c>
    </row>
    <row r="57" spans="1:30" x14ac:dyDescent="0.25">
      <c r="A57" s="1" t="s">
        <v>55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  <c r="AB57">
        <f t="shared" si="0"/>
        <v>11</v>
      </c>
      <c r="AD57">
        <f t="shared" si="1"/>
        <v>0</v>
      </c>
    </row>
    <row r="58" spans="1:30" x14ac:dyDescent="0.25">
      <c r="A58" s="1" t="s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0</v>
      </c>
      <c r="AB58">
        <f t="shared" si="0"/>
        <v>9</v>
      </c>
      <c r="AD58">
        <f t="shared" si="1"/>
        <v>0</v>
      </c>
    </row>
    <row r="59" spans="1:30" x14ac:dyDescent="0.25">
      <c r="A59" s="1" t="s">
        <v>57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f t="shared" si="0"/>
        <v>6</v>
      </c>
      <c r="AD59">
        <f t="shared" si="1"/>
        <v>0</v>
      </c>
    </row>
    <row r="60" spans="1:30" x14ac:dyDescent="0.25">
      <c r="A60" s="1" t="s">
        <v>58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B60">
        <f t="shared" si="0"/>
        <v>12</v>
      </c>
      <c r="AD60">
        <f t="shared" si="1"/>
        <v>1</v>
      </c>
    </row>
    <row r="61" spans="1:30" x14ac:dyDescent="0.25">
      <c r="A61" s="1" t="s">
        <v>59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B61">
        <f t="shared" si="0"/>
        <v>11</v>
      </c>
      <c r="AD61">
        <f t="shared" si="1"/>
        <v>0</v>
      </c>
    </row>
    <row r="62" spans="1:30" x14ac:dyDescent="0.25">
      <c r="A62" s="1" t="s">
        <v>60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1</v>
      </c>
      <c r="AB62">
        <f t="shared" si="0"/>
        <v>11</v>
      </c>
      <c r="AD62">
        <f t="shared" si="1"/>
        <v>0</v>
      </c>
    </row>
    <row r="63" spans="1:30" x14ac:dyDescent="0.25">
      <c r="A63" s="1" t="s">
        <v>61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  <c r="AB63">
        <f t="shared" si="0"/>
        <v>12</v>
      </c>
      <c r="AD63">
        <f t="shared" si="1"/>
        <v>1</v>
      </c>
    </row>
    <row r="64" spans="1:30" x14ac:dyDescent="0.25">
      <c r="A64" s="1" t="s">
        <v>62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B64">
        <f t="shared" si="0"/>
        <v>13</v>
      </c>
      <c r="AD64">
        <f t="shared" si="1"/>
        <v>1</v>
      </c>
    </row>
    <row r="65" spans="1:30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1</v>
      </c>
      <c r="AB65">
        <f t="shared" si="0"/>
        <v>10</v>
      </c>
      <c r="AD65">
        <f t="shared" si="1"/>
        <v>0</v>
      </c>
    </row>
    <row r="66" spans="1:30" x14ac:dyDescent="0.25">
      <c r="A66" s="1" t="s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B66">
        <f t="shared" si="0"/>
        <v>12</v>
      </c>
      <c r="AD66">
        <f t="shared" si="1"/>
        <v>1</v>
      </c>
    </row>
    <row r="67" spans="1:30" x14ac:dyDescent="0.25">
      <c r="A67" s="1" t="s">
        <v>65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B67">
        <f t="shared" si="0"/>
        <v>14</v>
      </c>
      <c r="AD67">
        <f t="shared" si="1"/>
        <v>1</v>
      </c>
    </row>
    <row r="68" spans="1:30" x14ac:dyDescent="0.25">
      <c r="A68" s="1" t="s">
        <v>66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B68">
        <f t="shared" si="0"/>
        <v>10</v>
      </c>
      <c r="AD68">
        <f t="shared" si="1"/>
        <v>0</v>
      </c>
    </row>
    <row r="69" spans="1:30" x14ac:dyDescent="0.25">
      <c r="A69" s="1" t="s">
        <v>67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  <c r="AB69">
        <f t="shared" ref="AB69:AB128" si="2">SUM(B69:Z69)</f>
        <v>11</v>
      </c>
      <c r="AD69">
        <f t="shared" ref="AD69:AD128" si="3">IF(AB69&gt;$AC$2,1,0)</f>
        <v>0</v>
      </c>
    </row>
    <row r="70" spans="1:30" x14ac:dyDescent="0.25">
      <c r="A70" s="1" t="s">
        <v>68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B70">
        <f t="shared" si="2"/>
        <v>7</v>
      </c>
      <c r="AD70">
        <f t="shared" si="3"/>
        <v>0</v>
      </c>
    </row>
    <row r="71" spans="1:30" x14ac:dyDescent="0.25">
      <c r="A71" s="1" t="s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B71">
        <f t="shared" si="2"/>
        <v>9</v>
      </c>
      <c r="AD71">
        <f t="shared" si="3"/>
        <v>0</v>
      </c>
    </row>
    <row r="72" spans="1:30" x14ac:dyDescent="0.25">
      <c r="A72" s="1" t="s">
        <v>70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B72">
        <f t="shared" si="2"/>
        <v>13</v>
      </c>
      <c r="AD72">
        <f t="shared" si="3"/>
        <v>1</v>
      </c>
    </row>
    <row r="73" spans="1:30" x14ac:dyDescent="0.25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B73">
        <f t="shared" si="2"/>
        <v>15</v>
      </c>
      <c r="AD73">
        <f t="shared" si="3"/>
        <v>1</v>
      </c>
    </row>
    <row r="74" spans="1:30" x14ac:dyDescent="0.25">
      <c r="A74" s="1" t="s">
        <v>72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B74">
        <f t="shared" si="2"/>
        <v>10</v>
      </c>
      <c r="AD74">
        <f t="shared" si="3"/>
        <v>0</v>
      </c>
    </row>
    <row r="75" spans="1:30" x14ac:dyDescent="0.25">
      <c r="A75" s="1" t="s">
        <v>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B75">
        <f t="shared" si="2"/>
        <v>10</v>
      </c>
      <c r="AD75">
        <f t="shared" si="3"/>
        <v>0</v>
      </c>
    </row>
    <row r="76" spans="1:30" x14ac:dyDescent="0.25">
      <c r="A76" s="1" t="s">
        <v>74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1</v>
      </c>
      <c r="AB76">
        <f t="shared" si="2"/>
        <v>12</v>
      </c>
      <c r="AD76">
        <f t="shared" si="3"/>
        <v>1</v>
      </c>
    </row>
    <row r="77" spans="1:30" x14ac:dyDescent="0.25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1</v>
      </c>
      <c r="AB77">
        <f t="shared" si="2"/>
        <v>10</v>
      </c>
      <c r="AD77">
        <f t="shared" si="3"/>
        <v>0</v>
      </c>
    </row>
    <row r="78" spans="1:30" x14ac:dyDescent="0.25">
      <c r="A78" s="1" t="s">
        <v>76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B78">
        <f t="shared" si="2"/>
        <v>15</v>
      </c>
      <c r="AD78">
        <f t="shared" si="3"/>
        <v>1</v>
      </c>
    </row>
    <row r="79" spans="1:30" x14ac:dyDescent="0.25">
      <c r="A79" s="1" t="s">
        <v>77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  <c r="AB79">
        <f t="shared" si="2"/>
        <v>16</v>
      </c>
      <c r="AD79">
        <f t="shared" si="3"/>
        <v>1</v>
      </c>
    </row>
    <row r="80" spans="1:30" x14ac:dyDescent="0.25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  <c r="AB80">
        <f t="shared" si="2"/>
        <v>9</v>
      </c>
      <c r="AD80">
        <f t="shared" si="3"/>
        <v>0</v>
      </c>
    </row>
    <row r="81" spans="1:30" x14ac:dyDescent="0.25">
      <c r="A81" s="1" t="s">
        <v>79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  <c r="AB81">
        <f t="shared" si="2"/>
        <v>15</v>
      </c>
      <c r="AD81">
        <f t="shared" si="3"/>
        <v>1</v>
      </c>
    </row>
    <row r="82" spans="1:30" x14ac:dyDescent="0.25">
      <c r="A82" s="1" t="s">
        <v>80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  <c r="AB82">
        <f t="shared" si="2"/>
        <v>15</v>
      </c>
      <c r="AD82">
        <f t="shared" si="3"/>
        <v>1</v>
      </c>
    </row>
    <row r="83" spans="1:30" x14ac:dyDescent="0.25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B83">
        <f t="shared" si="2"/>
        <v>10</v>
      </c>
      <c r="AD83">
        <f t="shared" si="3"/>
        <v>0</v>
      </c>
    </row>
    <row r="84" spans="1:30" x14ac:dyDescent="0.25">
      <c r="A84" s="1" t="s">
        <v>82</v>
      </c>
      <c r="B84">
        <v>1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B84">
        <f t="shared" si="2"/>
        <v>16</v>
      </c>
      <c r="AD84">
        <f t="shared" si="3"/>
        <v>1</v>
      </c>
    </row>
    <row r="85" spans="1:30" x14ac:dyDescent="0.25">
      <c r="A85" s="1" t="s">
        <v>83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1</v>
      </c>
      <c r="AB85">
        <f t="shared" si="2"/>
        <v>12</v>
      </c>
      <c r="AD85">
        <f t="shared" si="3"/>
        <v>1</v>
      </c>
    </row>
    <row r="86" spans="1:30" x14ac:dyDescent="0.25">
      <c r="A86" s="1" t="s">
        <v>84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B86">
        <f t="shared" si="2"/>
        <v>10</v>
      </c>
      <c r="AD86">
        <f t="shared" si="3"/>
        <v>0</v>
      </c>
    </row>
    <row r="87" spans="1:30" x14ac:dyDescent="0.25">
      <c r="A87" s="1" t="s">
        <v>85</v>
      </c>
      <c r="B87">
        <v>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B87">
        <f t="shared" si="2"/>
        <v>11</v>
      </c>
      <c r="AD87">
        <f t="shared" si="3"/>
        <v>0</v>
      </c>
    </row>
    <row r="88" spans="1:30" x14ac:dyDescent="0.25">
      <c r="A88" s="1" t="s">
        <v>86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  <c r="AB88">
        <f t="shared" si="2"/>
        <v>9</v>
      </c>
      <c r="AD88">
        <f t="shared" si="3"/>
        <v>0</v>
      </c>
    </row>
    <row r="89" spans="1:30" x14ac:dyDescent="0.25">
      <c r="A89" s="1" t="s">
        <v>87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1</v>
      </c>
      <c r="Z89">
        <v>0</v>
      </c>
      <c r="AB89">
        <f t="shared" si="2"/>
        <v>13</v>
      </c>
      <c r="AD89">
        <f t="shared" si="3"/>
        <v>1</v>
      </c>
    </row>
    <row r="90" spans="1:30" x14ac:dyDescent="0.25">
      <c r="A90" s="1" t="s">
        <v>88</v>
      </c>
      <c r="B90">
        <v>0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B90">
        <f t="shared" si="2"/>
        <v>11</v>
      </c>
      <c r="AD90">
        <f t="shared" si="3"/>
        <v>0</v>
      </c>
    </row>
    <row r="91" spans="1:30" x14ac:dyDescent="0.25">
      <c r="A91" s="1" t="s">
        <v>89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B91">
        <f t="shared" si="2"/>
        <v>10</v>
      </c>
      <c r="AD91">
        <f t="shared" si="3"/>
        <v>0</v>
      </c>
    </row>
    <row r="92" spans="1:30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B92">
        <f t="shared" si="2"/>
        <v>6</v>
      </c>
      <c r="AD92">
        <f t="shared" si="3"/>
        <v>0</v>
      </c>
    </row>
    <row r="93" spans="1:30" x14ac:dyDescent="0.25">
      <c r="A93" s="1" t="s">
        <v>91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  <c r="AB93">
        <f t="shared" si="2"/>
        <v>13</v>
      </c>
      <c r="AD93">
        <f t="shared" si="3"/>
        <v>1</v>
      </c>
    </row>
    <row r="94" spans="1:30" x14ac:dyDescent="0.25">
      <c r="A94" s="1" t="s">
        <v>92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B94">
        <f t="shared" si="2"/>
        <v>13</v>
      </c>
      <c r="AD94">
        <f t="shared" si="3"/>
        <v>1</v>
      </c>
    </row>
    <row r="95" spans="1:30" x14ac:dyDescent="0.25">
      <c r="A95" s="1" t="s">
        <v>93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  <c r="AB95">
        <f t="shared" si="2"/>
        <v>11</v>
      </c>
      <c r="AD95">
        <f t="shared" si="3"/>
        <v>0</v>
      </c>
    </row>
    <row r="96" spans="1:30" x14ac:dyDescent="0.25">
      <c r="A96" s="1" t="s">
        <v>94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B96">
        <f t="shared" si="2"/>
        <v>8</v>
      </c>
      <c r="AD96">
        <f t="shared" si="3"/>
        <v>0</v>
      </c>
    </row>
    <row r="97" spans="1:30" x14ac:dyDescent="0.25">
      <c r="A97" s="1" t="s">
        <v>95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B97">
        <f t="shared" si="2"/>
        <v>8</v>
      </c>
      <c r="AD97">
        <f t="shared" si="3"/>
        <v>0</v>
      </c>
    </row>
    <row r="98" spans="1:30" x14ac:dyDescent="0.25">
      <c r="A98" s="1" t="s">
        <v>96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1</v>
      </c>
      <c r="AB98">
        <f t="shared" si="2"/>
        <v>15</v>
      </c>
      <c r="AD98">
        <f t="shared" si="3"/>
        <v>1</v>
      </c>
    </row>
    <row r="99" spans="1:30" x14ac:dyDescent="0.25">
      <c r="A99" s="1" t="s">
        <v>97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  <c r="AB99">
        <f t="shared" si="2"/>
        <v>13</v>
      </c>
      <c r="AD99">
        <f t="shared" si="3"/>
        <v>1</v>
      </c>
    </row>
    <row r="100" spans="1:30" x14ac:dyDescent="0.25">
      <c r="A100" s="1" t="s">
        <v>98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B100">
        <f t="shared" si="2"/>
        <v>9</v>
      </c>
      <c r="AD100">
        <f t="shared" si="3"/>
        <v>0</v>
      </c>
    </row>
    <row r="101" spans="1:30" x14ac:dyDescent="0.25">
      <c r="A101" s="1" t="s">
        <v>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  <c r="AB101">
        <f t="shared" si="2"/>
        <v>11</v>
      </c>
      <c r="AD101">
        <f t="shared" si="3"/>
        <v>0</v>
      </c>
    </row>
    <row r="102" spans="1:30" x14ac:dyDescent="0.25">
      <c r="A102" s="1" t="s">
        <v>100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0</v>
      </c>
      <c r="AB102">
        <f t="shared" si="2"/>
        <v>12</v>
      </c>
      <c r="AD102">
        <f t="shared" si="3"/>
        <v>1</v>
      </c>
    </row>
    <row r="103" spans="1:30" x14ac:dyDescent="0.25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B103">
        <f t="shared" si="2"/>
        <v>10</v>
      </c>
      <c r="AD103">
        <f t="shared" si="3"/>
        <v>0</v>
      </c>
    </row>
    <row r="104" spans="1:30" x14ac:dyDescent="0.25">
      <c r="A104" s="1" t="s">
        <v>102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B104">
        <f t="shared" si="2"/>
        <v>16</v>
      </c>
      <c r="AD104">
        <f t="shared" si="3"/>
        <v>1</v>
      </c>
    </row>
    <row r="105" spans="1:30" x14ac:dyDescent="0.25">
      <c r="A105" s="1" t="s">
        <v>103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B105">
        <f t="shared" si="2"/>
        <v>12</v>
      </c>
      <c r="AD105">
        <f t="shared" si="3"/>
        <v>1</v>
      </c>
    </row>
    <row r="106" spans="1:30" x14ac:dyDescent="0.25">
      <c r="A106" s="1" t="s">
        <v>104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B106">
        <f t="shared" si="2"/>
        <v>10</v>
      </c>
      <c r="AD106">
        <f t="shared" si="3"/>
        <v>0</v>
      </c>
    </row>
    <row r="107" spans="1:30" x14ac:dyDescent="0.25">
      <c r="A107" s="1" t="s">
        <v>105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B107">
        <f t="shared" si="2"/>
        <v>11</v>
      </c>
      <c r="AD107">
        <f t="shared" si="3"/>
        <v>0</v>
      </c>
    </row>
    <row r="108" spans="1:30" x14ac:dyDescent="0.25">
      <c r="A108" s="1" t="s">
        <v>106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  <c r="AB108">
        <f t="shared" si="2"/>
        <v>9</v>
      </c>
      <c r="AD108">
        <f t="shared" si="3"/>
        <v>0</v>
      </c>
    </row>
    <row r="109" spans="1:30" x14ac:dyDescent="0.25">
      <c r="A109" s="1" t="s">
        <v>107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  <c r="AB109">
        <f t="shared" si="2"/>
        <v>13</v>
      </c>
      <c r="AD109">
        <f t="shared" si="3"/>
        <v>1</v>
      </c>
    </row>
    <row r="110" spans="1:30" x14ac:dyDescent="0.25">
      <c r="A110" s="1" t="s">
        <v>108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  <c r="AB110">
        <f t="shared" si="2"/>
        <v>10</v>
      </c>
      <c r="AD110">
        <f t="shared" si="3"/>
        <v>0</v>
      </c>
    </row>
    <row r="111" spans="1:30" x14ac:dyDescent="0.25">
      <c r="A111" s="1" t="s">
        <v>109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f t="shared" si="2"/>
        <v>10</v>
      </c>
      <c r="AD111">
        <f t="shared" si="3"/>
        <v>0</v>
      </c>
    </row>
    <row r="112" spans="1:30" x14ac:dyDescent="0.2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B112">
        <f t="shared" si="2"/>
        <v>6</v>
      </c>
      <c r="AD112">
        <f t="shared" si="3"/>
        <v>0</v>
      </c>
    </row>
    <row r="113" spans="1:30" x14ac:dyDescent="0.25">
      <c r="A113" s="1" t="s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  <c r="AB113">
        <f t="shared" si="2"/>
        <v>12</v>
      </c>
      <c r="AD113">
        <f t="shared" si="3"/>
        <v>1</v>
      </c>
    </row>
    <row r="114" spans="1:30" x14ac:dyDescent="0.25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  <c r="AB114">
        <f t="shared" si="2"/>
        <v>13</v>
      </c>
      <c r="AD114">
        <f t="shared" si="3"/>
        <v>1</v>
      </c>
    </row>
    <row r="115" spans="1:30" x14ac:dyDescent="0.25">
      <c r="A115" s="1" t="s">
        <v>113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1</v>
      </c>
      <c r="AB115">
        <f t="shared" si="2"/>
        <v>11</v>
      </c>
      <c r="AD115">
        <f t="shared" si="3"/>
        <v>0</v>
      </c>
    </row>
    <row r="116" spans="1:30" x14ac:dyDescent="0.25">
      <c r="A116" s="1" t="s">
        <v>114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B116">
        <f t="shared" si="2"/>
        <v>8</v>
      </c>
      <c r="AD116">
        <f t="shared" si="3"/>
        <v>0</v>
      </c>
    </row>
    <row r="117" spans="1:30" x14ac:dyDescent="0.25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B117">
        <f t="shared" si="2"/>
        <v>7</v>
      </c>
      <c r="AD117">
        <f t="shared" si="3"/>
        <v>0</v>
      </c>
    </row>
    <row r="118" spans="1:30" x14ac:dyDescent="0.25">
      <c r="A118" s="1" t="s">
        <v>116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1</v>
      </c>
      <c r="AB118">
        <f t="shared" si="2"/>
        <v>14</v>
      </c>
      <c r="AD118">
        <f t="shared" si="3"/>
        <v>1</v>
      </c>
    </row>
    <row r="119" spans="1:30" x14ac:dyDescent="0.25">
      <c r="A119" s="1" t="s">
        <v>117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  <c r="AB119">
        <f t="shared" si="2"/>
        <v>12</v>
      </c>
      <c r="AD119">
        <f t="shared" si="3"/>
        <v>1</v>
      </c>
    </row>
    <row r="120" spans="1:30" x14ac:dyDescent="0.25">
      <c r="A120" s="1" t="s">
        <v>118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B120">
        <f t="shared" si="2"/>
        <v>9</v>
      </c>
      <c r="AD120">
        <f t="shared" si="3"/>
        <v>0</v>
      </c>
    </row>
    <row r="121" spans="1:30" x14ac:dyDescent="0.25">
      <c r="A121" s="1" t="s">
        <v>119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B121">
        <f t="shared" si="2"/>
        <v>10</v>
      </c>
      <c r="AD121">
        <f t="shared" si="3"/>
        <v>0</v>
      </c>
    </row>
    <row r="122" spans="1:30" x14ac:dyDescent="0.25">
      <c r="A122" s="1" t="s">
        <v>120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  <c r="AB122">
        <f t="shared" si="2"/>
        <v>12</v>
      </c>
      <c r="AD122">
        <f t="shared" si="3"/>
        <v>1</v>
      </c>
    </row>
    <row r="123" spans="1:30" x14ac:dyDescent="0.25">
      <c r="A123" s="1" t="s">
        <v>121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B123">
        <f t="shared" si="2"/>
        <v>7</v>
      </c>
      <c r="AD123">
        <f t="shared" si="3"/>
        <v>0</v>
      </c>
    </row>
    <row r="124" spans="1:30" x14ac:dyDescent="0.25">
      <c r="A124" s="1" t="s">
        <v>122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1</v>
      </c>
      <c r="AB124">
        <f t="shared" si="2"/>
        <v>15</v>
      </c>
      <c r="AD124">
        <f t="shared" si="3"/>
        <v>1</v>
      </c>
    </row>
    <row r="125" spans="1:30" x14ac:dyDescent="0.25">
      <c r="A125" s="1" t="s">
        <v>123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B125">
        <f t="shared" si="2"/>
        <v>12</v>
      </c>
      <c r="AD125">
        <f t="shared" si="3"/>
        <v>1</v>
      </c>
    </row>
    <row r="126" spans="1:30" x14ac:dyDescent="0.25">
      <c r="A126" s="1" t="s">
        <v>124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  <c r="AB126">
        <f t="shared" si="2"/>
        <v>8</v>
      </c>
      <c r="AD126">
        <f t="shared" si="3"/>
        <v>0</v>
      </c>
    </row>
    <row r="127" spans="1:30" x14ac:dyDescent="0.25">
      <c r="A127" s="1" t="s">
        <v>125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B127">
        <f t="shared" si="2"/>
        <v>11</v>
      </c>
      <c r="AD127">
        <f t="shared" si="3"/>
        <v>0</v>
      </c>
    </row>
    <row r="128" spans="1:30" x14ac:dyDescent="0.25">
      <c r="A128" s="1" t="s">
        <v>126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B128">
        <f t="shared" si="2"/>
        <v>9</v>
      </c>
      <c r="AD128">
        <f t="shared" si="3"/>
        <v>0</v>
      </c>
    </row>
  </sheetData>
  <conditionalFormatting sqref="AD1:AD1048576 AF1">
    <cfRule type="cellIs" dxfId="1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2736-2970-40FD-A12B-CC025F8CB493}">
  <dimension ref="A1:AE128"/>
  <sheetViews>
    <sheetView topLeftCell="P1" workbookViewId="0">
      <selection activeCell="AE3" sqref="AE3"/>
    </sheetView>
  </sheetViews>
  <sheetFormatPr defaultRowHeight="15" x14ac:dyDescent="0.25"/>
  <cols>
    <col min="1" max="1" width="12" bestFit="1" customWidth="1"/>
    <col min="2" max="10" width="13.28515625" bestFit="1" customWidth="1"/>
    <col min="11" max="26" width="14.28515625" bestFit="1" customWidth="1"/>
    <col min="28" max="28" width="37.140625" bestFit="1" customWidth="1"/>
    <col min="29" max="29" width="12.7109375" bestFit="1" customWidth="1"/>
    <col min="31" max="31" width="41.5703125" bestFit="1" customWidth="1"/>
  </cols>
  <sheetData>
    <row r="1" spans="1:31" x14ac:dyDescent="0.2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</row>
    <row r="2" spans="1:31" x14ac:dyDescent="0.25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B2" t="s">
        <v>166</v>
      </c>
      <c r="AC2" t="s">
        <v>167</v>
      </c>
      <c r="AE2" s="2" t="s">
        <v>168</v>
      </c>
    </row>
    <row r="3" spans="1:31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B3">
        <f>IF(SUM(test6[[#This Row],[Pytanie nr5]],test6[[#This Row],[Pytanie nr15]],test6[[#This Row],[Pytanie nr25]]) = 3,1,0)</f>
        <v>0</v>
      </c>
      <c r="AC3">
        <f>IF(AB3=1,test6[[#This Row],[Nr_ucznia]],0)</f>
        <v>0</v>
      </c>
      <c r="AE3" s="2" t="s">
        <v>169</v>
      </c>
    </row>
    <row r="4" spans="1:31" x14ac:dyDescent="0.25">
      <c r="A4" s="1" t="s">
        <v>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B4">
        <f>IF(SUM(test6[[#This Row],[Pytanie nr5]],test6[[#This Row],[Pytanie nr15]],test6[[#This Row],[Pytanie nr25]]) = 3,1,0)</f>
        <v>1</v>
      </c>
      <c r="AC4" t="str">
        <f>IF(AB4=1,test6[[#This Row],[Nr_ucznia]],0)</f>
        <v>2</v>
      </c>
    </row>
    <row r="5" spans="1:31" x14ac:dyDescent="0.25">
      <c r="A5" s="1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B5">
        <f>IF(SUM(test6[[#This Row],[Pytanie nr5]],test6[[#This Row],[Pytanie nr15]],test6[[#This Row],[Pytanie nr25]]) = 3,1,0)</f>
        <v>0</v>
      </c>
      <c r="AC5">
        <f>IF(AB5=1,test6[[#This Row],[Nr_ucznia]],0)</f>
        <v>0</v>
      </c>
    </row>
    <row r="6" spans="1:31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B6">
        <f>IF(SUM(test6[[#This Row],[Pytanie nr5]],test6[[#This Row],[Pytanie nr15]],test6[[#This Row],[Pytanie nr25]]) = 3,1,0)</f>
        <v>0</v>
      </c>
      <c r="AC6">
        <f>IF(AB6=1,test6[[#This Row],[Nr_ucznia]],0)</f>
        <v>0</v>
      </c>
    </row>
    <row r="7" spans="1:31" x14ac:dyDescent="0.25">
      <c r="A7" s="1" t="s">
        <v>5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B7">
        <f>IF(SUM(test6[[#This Row],[Pytanie nr5]],test6[[#This Row],[Pytanie nr15]],test6[[#This Row],[Pytanie nr25]]) = 3,1,0)</f>
        <v>0</v>
      </c>
      <c r="AC7">
        <f>IF(AB7=1,test6[[#This Row],[Nr_ucznia]],0)</f>
        <v>0</v>
      </c>
    </row>
    <row r="8" spans="1:31" x14ac:dyDescent="0.25">
      <c r="A8" s="1" t="s">
        <v>6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B8">
        <f>IF(SUM(test6[[#This Row],[Pytanie nr5]],test6[[#This Row],[Pytanie nr15]],test6[[#This Row],[Pytanie nr25]]) = 3,1,0)</f>
        <v>0</v>
      </c>
      <c r="AC8">
        <f>IF(AB8=1,test6[[#This Row],[Nr_ucznia]],0)</f>
        <v>0</v>
      </c>
    </row>
    <row r="9" spans="1:31" x14ac:dyDescent="0.25">
      <c r="A9" s="1" t="s">
        <v>7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B9">
        <f>IF(SUM(test6[[#This Row],[Pytanie nr5]],test6[[#This Row],[Pytanie nr15]],test6[[#This Row],[Pytanie nr25]]) = 3,1,0)</f>
        <v>0</v>
      </c>
      <c r="AC9">
        <f>IF(AB9=1,test6[[#This Row],[Nr_ucznia]],0)</f>
        <v>0</v>
      </c>
    </row>
    <row r="10" spans="1:31" x14ac:dyDescent="0.25">
      <c r="A10" s="1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B10">
        <f>IF(SUM(test6[[#This Row],[Pytanie nr5]],test6[[#This Row],[Pytanie nr15]],test6[[#This Row],[Pytanie nr25]]) = 3,1,0)</f>
        <v>0</v>
      </c>
      <c r="AC10">
        <f>IF(AB10=1,test6[[#This Row],[Nr_ucznia]],0)</f>
        <v>0</v>
      </c>
    </row>
    <row r="11" spans="1:31" x14ac:dyDescent="0.25">
      <c r="A11" s="1" t="s">
        <v>9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B11">
        <f>IF(SUM(test6[[#This Row],[Pytanie nr5]],test6[[#This Row],[Pytanie nr15]],test6[[#This Row],[Pytanie nr25]]) = 3,1,0)</f>
        <v>0</v>
      </c>
      <c r="AC11">
        <f>IF(AB11=1,test6[[#This Row],[Nr_ucznia]],0)</f>
        <v>0</v>
      </c>
    </row>
    <row r="12" spans="1:31" x14ac:dyDescent="0.25">
      <c r="A12" s="1" t="s">
        <v>10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B12">
        <f>IF(SUM(test6[[#This Row],[Pytanie nr5]],test6[[#This Row],[Pytanie nr15]],test6[[#This Row],[Pytanie nr25]]) = 3,1,0)</f>
        <v>0</v>
      </c>
      <c r="AC12">
        <f>IF(AB12=1,test6[[#This Row],[Nr_ucznia]],0)</f>
        <v>0</v>
      </c>
    </row>
    <row r="13" spans="1:31" x14ac:dyDescent="0.25">
      <c r="A13" s="1" t="s">
        <v>11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B13">
        <f>IF(SUM(test6[[#This Row],[Pytanie nr5]],test6[[#This Row],[Pytanie nr15]],test6[[#This Row],[Pytanie nr25]]) = 3,1,0)</f>
        <v>0</v>
      </c>
      <c r="AC13">
        <f>IF(AB13=1,test6[[#This Row],[Nr_ucznia]],0)</f>
        <v>0</v>
      </c>
    </row>
    <row r="14" spans="1:31" x14ac:dyDescent="0.25">
      <c r="A14" s="1" t="s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  <c r="AB14">
        <f>IF(SUM(test6[[#This Row],[Pytanie nr5]],test6[[#This Row],[Pytanie nr15]],test6[[#This Row],[Pytanie nr25]]) = 3,1,0)</f>
        <v>0</v>
      </c>
      <c r="AC14">
        <f>IF(AB14=1,test6[[#This Row],[Nr_ucznia]],0)</f>
        <v>0</v>
      </c>
    </row>
    <row r="15" spans="1:31" x14ac:dyDescent="0.25">
      <c r="A15" s="1" t="s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B15">
        <f>IF(SUM(test6[[#This Row],[Pytanie nr5]],test6[[#This Row],[Pytanie nr15]],test6[[#This Row],[Pytanie nr25]]) = 3,1,0)</f>
        <v>0</v>
      </c>
      <c r="AC15">
        <f>IF(AB15=1,test6[[#This Row],[Nr_ucznia]],0)</f>
        <v>0</v>
      </c>
    </row>
    <row r="16" spans="1:31" x14ac:dyDescent="0.25">
      <c r="A16" s="1" t="s">
        <v>14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B16">
        <f>IF(SUM(test6[[#This Row],[Pytanie nr5]],test6[[#This Row],[Pytanie nr15]],test6[[#This Row],[Pytanie nr25]]) = 3,1,0)</f>
        <v>0</v>
      </c>
      <c r="AC16">
        <f>IF(AB16=1,test6[[#This Row],[Nr_ucznia]],0)</f>
        <v>0</v>
      </c>
    </row>
    <row r="17" spans="1:29" x14ac:dyDescent="0.25">
      <c r="A17" s="1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B17">
        <f>IF(SUM(test6[[#This Row],[Pytanie nr5]],test6[[#This Row],[Pytanie nr15]],test6[[#This Row],[Pytanie nr25]]) = 3,1,0)</f>
        <v>0</v>
      </c>
      <c r="AC17">
        <f>IF(AB17=1,test6[[#This Row],[Nr_ucznia]],0)</f>
        <v>0</v>
      </c>
    </row>
    <row r="18" spans="1:29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B18">
        <f>IF(SUM(test6[[#This Row],[Pytanie nr5]],test6[[#This Row],[Pytanie nr15]],test6[[#This Row],[Pytanie nr25]]) = 3,1,0)</f>
        <v>0</v>
      </c>
      <c r="AC18">
        <f>IF(AB18=1,test6[[#This Row],[Nr_ucznia]],0)</f>
        <v>0</v>
      </c>
    </row>
    <row r="19" spans="1:29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B19">
        <f>IF(SUM(test6[[#This Row],[Pytanie nr5]],test6[[#This Row],[Pytanie nr15]],test6[[#This Row],[Pytanie nr25]]) = 3,1,0)</f>
        <v>0</v>
      </c>
      <c r="AC19">
        <f>IF(AB19=1,test6[[#This Row],[Nr_ucznia]],0)</f>
        <v>0</v>
      </c>
    </row>
    <row r="20" spans="1:29" x14ac:dyDescent="0.25">
      <c r="A20" s="1" t="s">
        <v>18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B20">
        <f>IF(SUM(test6[[#This Row],[Pytanie nr5]],test6[[#This Row],[Pytanie nr15]],test6[[#This Row],[Pytanie nr25]]) = 3,1,0)</f>
        <v>0</v>
      </c>
      <c r="AC20">
        <f>IF(AB20=1,test6[[#This Row],[Nr_ucznia]],0)</f>
        <v>0</v>
      </c>
    </row>
    <row r="21" spans="1:29" x14ac:dyDescent="0.25">
      <c r="A21" s="1" t="s">
        <v>19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B21">
        <f>IF(SUM(test6[[#This Row],[Pytanie nr5]],test6[[#This Row],[Pytanie nr15]],test6[[#This Row],[Pytanie nr25]]) = 3,1,0)</f>
        <v>0</v>
      </c>
      <c r="AC21">
        <f>IF(AB21=1,test6[[#This Row],[Nr_ucznia]],0)</f>
        <v>0</v>
      </c>
    </row>
    <row r="22" spans="1:29" x14ac:dyDescent="0.25">
      <c r="A22" s="1" t="s">
        <v>20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B22">
        <f>IF(SUM(test6[[#This Row],[Pytanie nr5]],test6[[#This Row],[Pytanie nr15]],test6[[#This Row],[Pytanie nr25]]) = 3,1,0)</f>
        <v>0</v>
      </c>
      <c r="AC22">
        <f>IF(AB22=1,test6[[#This Row],[Nr_ucznia]],0)</f>
        <v>0</v>
      </c>
    </row>
    <row r="23" spans="1:29" x14ac:dyDescent="0.25">
      <c r="A23" s="1" t="s">
        <v>21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B23">
        <f>IF(SUM(test6[[#This Row],[Pytanie nr5]],test6[[#This Row],[Pytanie nr15]],test6[[#This Row],[Pytanie nr25]]) = 3,1,0)</f>
        <v>0</v>
      </c>
      <c r="AC23">
        <f>IF(AB23=1,test6[[#This Row],[Nr_ucznia]],0)</f>
        <v>0</v>
      </c>
    </row>
    <row r="24" spans="1:29" x14ac:dyDescent="0.25">
      <c r="A24" s="1" t="s">
        <v>22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B24">
        <f>IF(SUM(test6[[#This Row],[Pytanie nr5]],test6[[#This Row],[Pytanie nr15]],test6[[#This Row],[Pytanie nr25]]) = 3,1,0)</f>
        <v>0</v>
      </c>
      <c r="AC24">
        <f>IF(AB24=1,test6[[#This Row],[Nr_ucznia]],0)</f>
        <v>0</v>
      </c>
    </row>
    <row r="25" spans="1:29" x14ac:dyDescent="0.25">
      <c r="A25" s="1" t="s">
        <v>23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B25">
        <f>IF(SUM(test6[[#This Row],[Pytanie nr5]],test6[[#This Row],[Pytanie nr15]],test6[[#This Row],[Pytanie nr25]]) = 3,1,0)</f>
        <v>0</v>
      </c>
      <c r="AC25">
        <f>IF(AB25=1,test6[[#This Row],[Nr_ucznia]],0)</f>
        <v>0</v>
      </c>
    </row>
    <row r="26" spans="1:29" x14ac:dyDescent="0.25">
      <c r="A26" s="1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B26">
        <f>IF(SUM(test6[[#This Row],[Pytanie nr5]],test6[[#This Row],[Pytanie nr15]],test6[[#This Row],[Pytanie nr25]]) = 3,1,0)</f>
        <v>0</v>
      </c>
      <c r="AC26">
        <f>IF(AB26=1,test6[[#This Row],[Nr_ucznia]],0)</f>
        <v>0</v>
      </c>
    </row>
    <row r="27" spans="1:29" x14ac:dyDescent="0.25">
      <c r="A27" s="1" t="s">
        <v>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B27">
        <f>IF(SUM(test6[[#This Row],[Pytanie nr5]],test6[[#This Row],[Pytanie nr15]],test6[[#This Row],[Pytanie nr25]]) = 3,1,0)</f>
        <v>0</v>
      </c>
      <c r="AC27">
        <f>IF(AB27=1,test6[[#This Row],[Nr_ucznia]],0)</f>
        <v>0</v>
      </c>
    </row>
    <row r="28" spans="1:29" x14ac:dyDescent="0.25">
      <c r="A28" s="1" t="s">
        <v>26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B28">
        <f>IF(SUM(test6[[#This Row],[Pytanie nr5]],test6[[#This Row],[Pytanie nr15]],test6[[#This Row],[Pytanie nr25]]) = 3,1,0)</f>
        <v>0</v>
      </c>
      <c r="AC28">
        <f>IF(AB28=1,test6[[#This Row],[Nr_ucznia]],0)</f>
        <v>0</v>
      </c>
    </row>
    <row r="29" spans="1:29" x14ac:dyDescent="0.25">
      <c r="A29" s="1" t="s">
        <v>27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B29">
        <f>IF(SUM(test6[[#This Row],[Pytanie nr5]],test6[[#This Row],[Pytanie nr15]],test6[[#This Row],[Pytanie nr25]]) = 3,1,0)</f>
        <v>0</v>
      </c>
      <c r="AC29">
        <f>IF(AB29=1,test6[[#This Row],[Nr_ucznia]],0)</f>
        <v>0</v>
      </c>
    </row>
    <row r="30" spans="1:29" x14ac:dyDescent="0.25">
      <c r="A30" s="1" t="s">
        <v>28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B30">
        <f>IF(SUM(test6[[#This Row],[Pytanie nr5]],test6[[#This Row],[Pytanie nr15]],test6[[#This Row],[Pytanie nr25]]) = 3,1,0)</f>
        <v>0</v>
      </c>
      <c r="AC30">
        <f>IF(AB30=1,test6[[#This Row],[Nr_ucznia]],0)</f>
        <v>0</v>
      </c>
    </row>
    <row r="31" spans="1:29" x14ac:dyDescent="0.25">
      <c r="A31" s="1" t="s">
        <v>29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  <c r="AB31">
        <f>IF(SUM(test6[[#This Row],[Pytanie nr5]],test6[[#This Row],[Pytanie nr15]],test6[[#This Row],[Pytanie nr25]]) = 3,1,0)</f>
        <v>0</v>
      </c>
      <c r="AC31">
        <f>IF(AB31=1,test6[[#This Row],[Nr_ucznia]],0)</f>
        <v>0</v>
      </c>
    </row>
    <row r="32" spans="1:29" x14ac:dyDescent="0.25">
      <c r="A32" s="1" t="s">
        <v>30</v>
      </c>
      <c r="B32">
        <v>0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  <c r="AB32">
        <f>IF(SUM(test6[[#This Row],[Pytanie nr5]],test6[[#This Row],[Pytanie nr15]],test6[[#This Row],[Pytanie nr25]]) = 3,1,0)</f>
        <v>0</v>
      </c>
      <c r="AC32">
        <f>IF(AB32=1,test6[[#This Row],[Nr_ucznia]],0)</f>
        <v>0</v>
      </c>
    </row>
    <row r="33" spans="1:29" x14ac:dyDescent="0.25">
      <c r="A33" s="1" t="s">
        <v>31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B33">
        <f>IF(SUM(test6[[#This Row],[Pytanie nr5]],test6[[#This Row],[Pytanie nr15]],test6[[#This Row],[Pytanie nr25]]) = 3,1,0)</f>
        <v>0</v>
      </c>
      <c r="AC33">
        <f>IF(AB33=1,test6[[#This Row],[Nr_ucznia]],0)</f>
        <v>0</v>
      </c>
    </row>
    <row r="34" spans="1:29" x14ac:dyDescent="0.25">
      <c r="A34" s="1" t="s">
        <v>32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B34">
        <f>IF(SUM(test6[[#This Row],[Pytanie nr5]],test6[[#This Row],[Pytanie nr15]],test6[[#This Row],[Pytanie nr25]]) = 3,1,0)</f>
        <v>0</v>
      </c>
      <c r="AC34">
        <f>IF(AB34=1,test6[[#This Row],[Nr_ucznia]],0)</f>
        <v>0</v>
      </c>
    </row>
    <row r="35" spans="1:29" x14ac:dyDescent="0.25">
      <c r="A35" s="1" t="s">
        <v>33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B35">
        <f>IF(SUM(test6[[#This Row],[Pytanie nr5]],test6[[#This Row],[Pytanie nr15]],test6[[#This Row],[Pytanie nr25]]) = 3,1,0)</f>
        <v>0</v>
      </c>
      <c r="AC35">
        <f>IF(AB35=1,test6[[#This Row],[Nr_ucznia]],0)</f>
        <v>0</v>
      </c>
    </row>
    <row r="36" spans="1:29" x14ac:dyDescent="0.25">
      <c r="A36" s="1" t="s">
        <v>34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B36">
        <f>IF(SUM(test6[[#This Row],[Pytanie nr5]],test6[[#This Row],[Pytanie nr15]],test6[[#This Row],[Pytanie nr25]]) = 3,1,0)</f>
        <v>0</v>
      </c>
      <c r="AC36">
        <f>IF(AB36=1,test6[[#This Row],[Nr_ucznia]],0)</f>
        <v>0</v>
      </c>
    </row>
    <row r="37" spans="1:29" x14ac:dyDescent="0.25">
      <c r="A37" s="1" t="s">
        <v>35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B37">
        <f>IF(SUM(test6[[#This Row],[Pytanie nr5]],test6[[#This Row],[Pytanie nr15]],test6[[#This Row],[Pytanie nr25]]) = 3,1,0)</f>
        <v>0</v>
      </c>
      <c r="AC37">
        <f>IF(AB37=1,test6[[#This Row],[Nr_ucznia]],0)</f>
        <v>0</v>
      </c>
    </row>
    <row r="38" spans="1:29" x14ac:dyDescent="0.25">
      <c r="A38" s="1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B38">
        <f>IF(SUM(test6[[#This Row],[Pytanie nr5]],test6[[#This Row],[Pytanie nr15]],test6[[#This Row],[Pytanie nr25]]) = 3,1,0)</f>
        <v>0</v>
      </c>
      <c r="AC38">
        <f>IF(AB38=1,test6[[#This Row],[Nr_ucznia]],0)</f>
        <v>0</v>
      </c>
    </row>
    <row r="39" spans="1:29" x14ac:dyDescent="0.25">
      <c r="A39" s="1" t="s">
        <v>37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B39">
        <f>IF(SUM(test6[[#This Row],[Pytanie nr5]],test6[[#This Row],[Pytanie nr15]],test6[[#This Row],[Pytanie nr25]]) = 3,1,0)</f>
        <v>0</v>
      </c>
      <c r="AC39">
        <f>IF(AB39=1,test6[[#This Row],[Nr_ucznia]],0)</f>
        <v>0</v>
      </c>
    </row>
    <row r="40" spans="1:29" x14ac:dyDescent="0.25">
      <c r="A40" s="1" t="s">
        <v>38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B40">
        <f>IF(SUM(test6[[#This Row],[Pytanie nr5]],test6[[#This Row],[Pytanie nr15]],test6[[#This Row],[Pytanie nr25]]) = 3,1,0)</f>
        <v>0</v>
      </c>
      <c r="AC40">
        <f>IF(AB40=1,test6[[#This Row],[Nr_ucznia]],0)</f>
        <v>0</v>
      </c>
    </row>
    <row r="41" spans="1:29" x14ac:dyDescent="0.25">
      <c r="A41" s="1" t="s">
        <v>39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B41">
        <f>IF(SUM(test6[[#This Row],[Pytanie nr5]],test6[[#This Row],[Pytanie nr15]],test6[[#This Row],[Pytanie nr25]]) = 3,1,0)</f>
        <v>0</v>
      </c>
      <c r="AC41">
        <f>IF(AB41=1,test6[[#This Row],[Nr_ucznia]],0)</f>
        <v>0</v>
      </c>
    </row>
    <row r="42" spans="1:29" x14ac:dyDescent="0.25">
      <c r="A42" s="1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B42">
        <f>IF(SUM(test6[[#This Row],[Pytanie nr5]],test6[[#This Row],[Pytanie nr15]],test6[[#This Row],[Pytanie nr25]]) = 3,1,0)</f>
        <v>0</v>
      </c>
      <c r="AC42">
        <f>IF(AB42=1,test6[[#This Row],[Nr_ucznia]],0)</f>
        <v>0</v>
      </c>
    </row>
    <row r="43" spans="1:29" x14ac:dyDescent="0.25">
      <c r="A43" s="1" t="s">
        <v>41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B43">
        <f>IF(SUM(test6[[#This Row],[Pytanie nr5]],test6[[#This Row],[Pytanie nr15]],test6[[#This Row],[Pytanie nr25]]) = 3,1,0)</f>
        <v>0</v>
      </c>
      <c r="AC43">
        <f>IF(AB43=1,test6[[#This Row],[Nr_ucznia]],0)</f>
        <v>0</v>
      </c>
    </row>
    <row r="44" spans="1:29" x14ac:dyDescent="0.25">
      <c r="A44" s="1" t="s">
        <v>42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B44">
        <f>IF(SUM(test6[[#This Row],[Pytanie nr5]],test6[[#This Row],[Pytanie nr15]],test6[[#This Row],[Pytanie nr25]]) = 3,1,0)</f>
        <v>0</v>
      </c>
      <c r="AC44">
        <f>IF(AB44=1,test6[[#This Row],[Nr_ucznia]],0)</f>
        <v>0</v>
      </c>
    </row>
    <row r="45" spans="1:29" x14ac:dyDescent="0.25">
      <c r="A45" s="1" t="s">
        <v>43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B45">
        <f>IF(SUM(test6[[#This Row],[Pytanie nr5]],test6[[#This Row],[Pytanie nr15]],test6[[#This Row],[Pytanie nr25]]) = 3,1,0)</f>
        <v>0</v>
      </c>
      <c r="AC45">
        <f>IF(AB45=1,test6[[#This Row],[Nr_ucznia]],0)</f>
        <v>0</v>
      </c>
    </row>
    <row r="46" spans="1:29" x14ac:dyDescent="0.25">
      <c r="A46" s="1" t="s">
        <v>44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  <c r="AB46">
        <f>IF(SUM(test6[[#This Row],[Pytanie nr5]],test6[[#This Row],[Pytanie nr15]],test6[[#This Row],[Pytanie nr25]]) = 3,1,0)</f>
        <v>0</v>
      </c>
      <c r="AC46">
        <f>IF(AB46=1,test6[[#This Row],[Nr_ucznia]],0)</f>
        <v>0</v>
      </c>
    </row>
    <row r="47" spans="1:29" x14ac:dyDescent="0.25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  <c r="AB47">
        <f>IF(SUM(test6[[#This Row],[Pytanie nr5]],test6[[#This Row],[Pytanie nr15]],test6[[#This Row],[Pytanie nr25]]) = 3,1,0)</f>
        <v>1</v>
      </c>
      <c r="AC47" t="str">
        <f>IF(AB47=1,test6[[#This Row],[Nr_ucznia]],0)</f>
        <v>45</v>
      </c>
    </row>
    <row r="48" spans="1:29" x14ac:dyDescent="0.25">
      <c r="A48" s="1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B48">
        <f>IF(SUM(test6[[#This Row],[Pytanie nr5]],test6[[#This Row],[Pytanie nr15]],test6[[#This Row],[Pytanie nr25]]) = 3,1,0)</f>
        <v>0</v>
      </c>
      <c r="AC48">
        <f>IF(AB48=1,test6[[#This Row],[Nr_ucznia]],0)</f>
        <v>0</v>
      </c>
    </row>
    <row r="49" spans="1:29" x14ac:dyDescent="0.25">
      <c r="A49" s="1" t="s">
        <v>47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B49">
        <f>IF(SUM(test6[[#This Row],[Pytanie nr5]],test6[[#This Row],[Pytanie nr15]],test6[[#This Row],[Pytanie nr25]]) = 3,1,0)</f>
        <v>0</v>
      </c>
      <c r="AC49">
        <f>IF(AB49=1,test6[[#This Row],[Nr_ucznia]],0)</f>
        <v>0</v>
      </c>
    </row>
    <row r="50" spans="1:29" x14ac:dyDescent="0.25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B50">
        <f>IF(SUM(test6[[#This Row],[Pytanie nr5]],test6[[#This Row],[Pytanie nr15]],test6[[#This Row],[Pytanie nr25]]) = 3,1,0)</f>
        <v>0</v>
      </c>
      <c r="AC50">
        <f>IF(AB50=1,test6[[#This Row],[Nr_ucznia]],0)</f>
        <v>0</v>
      </c>
    </row>
    <row r="51" spans="1:29" x14ac:dyDescent="0.25">
      <c r="A51" s="1" t="s">
        <v>49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B51">
        <f>IF(SUM(test6[[#This Row],[Pytanie nr5]],test6[[#This Row],[Pytanie nr15]],test6[[#This Row],[Pytanie nr25]]) = 3,1,0)</f>
        <v>0</v>
      </c>
      <c r="AC51">
        <f>IF(AB51=1,test6[[#This Row],[Nr_ucznia]],0)</f>
        <v>0</v>
      </c>
    </row>
    <row r="52" spans="1:29" x14ac:dyDescent="0.25">
      <c r="A52" s="1" t="s">
        <v>50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B52">
        <f>IF(SUM(test6[[#This Row],[Pytanie nr5]],test6[[#This Row],[Pytanie nr15]],test6[[#This Row],[Pytanie nr25]]) = 3,1,0)</f>
        <v>0</v>
      </c>
      <c r="AC52">
        <f>IF(AB52=1,test6[[#This Row],[Nr_ucznia]],0)</f>
        <v>0</v>
      </c>
    </row>
    <row r="53" spans="1:29" x14ac:dyDescent="0.25">
      <c r="A53" s="1" t="s">
        <v>51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B53">
        <f>IF(SUM(test6[[#This Row],[Pytanie nr5]],test6[[#This Row],[Pytanie nr15]],test6[[#This Row],[Pytanie nr25]]) = 3,1,0)</f>
        <v>0</v>
      </c>
      <c r="AC53">
        <f>IF(AB53=1,test6[[#This Row],[Nr_ucznia]],0)</f>
        <v>0</v>
      </c>
    </row>
    <row r="54" spans="1:29" x14ac:dyDescent="0.25">
      <c r="A54" s="1" t="s">
        <v>52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B54">
        <f>IF(SUM(test6[[#This Row],[Pytanie nr5]],test6[[#This Row],[Pytanie nr15]],test6[[#This Row],[Pytanie nr25]]) = 3,1,0)</f>
        <v>0</v>
      </c>
      <c r="AC54">
        <f>IF(AB54=1,test6[[#This Row],[Nr_ucznia]],0)</f>
        <v>0</v>
      </c>
    </row>
    <row r="55" spans="1:29" x14ac:dyDescent="0.25">
      <c r="A55" s="1" t="s">
        <v>53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B55">
        <f>IF(SUM(test6[[#This Row],[Pytanie nr5]],test6[[#This Row],[Pytanie nr15]],test6[[#This Row],[Pytanie nr25]]) = 3,1,0)</f>
        <v>0</v>
      </c>
      <c r="AC55">
        <f>IF(AB55=1,test6[[#This Row],[Nr_ucznia]],0)</f>
        <v>0</v>
      </c>
    </row>
    <row r="56" spans="1:29" x14ac:dyDescent="0.25">
      <c r="A56" s="1" t="s">
        <v>54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B56">
        <f>IF(SUM(test6[[#This Row],[Pytanie nr5]],test6[[#This Row],[Pytanie nr15]],test6[[#This Row],[Pytanie nr25]]) = 3,1,0)</f>
        <v>0</v>
      </c>
      <c r="AC56">
        <f>IF(AB56=1,test6[[#This Row],[Nr_ucznia]],0)</f>
        <v>0</v>
      </c>
    </row>
    <row r="57" spans="1:29" x14ac:dyDescent="0.25">
      <c r="A57" s="1" t="s">
        <v>55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  <c r="AB57">
        <f>IF(SUM(test6[[#This Row],[Pytanie nr5]],test6[[#This Row],[Pytanie nr15]],test6[[#This Row],[Pytanie nr25]]) = 3,1,0)</f>
        <v>0</v>
      </c>
      <c r="AC57">
        <f>IF(AB57=1,test6[[#This Row],[Nr_ucznia]],0)</f>
        <v>0</v>
      </c>
    </row>
    <row r="58" spans="1:29" x14ac:dyDescent="0.25">
      <c r="A58" s="1" t="s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0</v>
      </c>
      <c r="AB58">
        <f>IF(SUM(test6[[#This Row],[Pytanie nr5]],test6[[#This Row],[Pytanie nr15]],test6[[#This Row],[Pytanie nr25]]) = 3,1,0)</f>
        <v>0</v>
      </c>
      <c r="AC58">
        <f>IF(AB58=1,test6[[#This Row],[Nr_ucznia]],0)</f>
        <v>0</v>
      </c>
    </row>
    <row r="59" spans="1:29" x14ac:dyDescent="0.25">
      <c r="A59" s="1" t="s">
        <v>57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f>IF(SUM(test6[[#This Row],[Pytanie nr5]],test6[[#This Row],[Pytanie nr15]],test6[[#This Row],[Pytanie nr25]]) = 3,1,0)</f>
        <v>0</v>
      </c>
      <c r="AC59">
        <f>IF(AB59=1,test6[[#This Row],[Nr_ucznia]],0)</f>
        <v>0</v>
      </c>
    </row>
    <row r="60" spans="1:29" x14ac:dyDescent="0.25">
      <c r="A60" s="1" t="s">
        <v>58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B60">
        <f>IF(SUM(test6[[#This Row],[Pytanie nr5]],test6[[#This Row],[Pytanie nr15]],test6[[#This Row],[Pytanie nr25]]) = 3,1,0)</f>
        <v>0</v>
      </c>
      <c r="AC60">
        <f>IF(AB60=1,test6[[#This Row],[Nr_ucznia]],0)</f>
        <v>0</v>
      </c>
    </row>
    <row r="61" spans="1:29" x14ac:dyDescent="0.25">
      <c r="A61" s="1" t="s">
        <v>59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B61">
        <f>IF(SUM(test6[[#This Row],[Pytanie nr5]],test6[[#This Row],[Pytanie nr15]],test6[[#This Row],[Pytanie nr25]]) = 3,1,0)</f>
        <v>0</v>
      </c>
      <c r="AC61">
        <f>IF(AB61=1,test6[[#This Row],[Nr_ucznia]],0)</f>
        <v>0</v>
      </c>
    </row>
    <row r="62" spans="1:29" x14ac:dyDescent="0.25">
      <c r="A62" s="1" t="s">
        <v>60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1</v>
      </c>
      <c r="AB62">
        <f>IF(SUM(test6[[#This Row],[Pytanie nr5]],test6[[#This Row],[Pytanie nr15]],test6[[#This Row],[Pytanie nr25]]) = 3,1,0)</f>
        <v>0</v>
      </c>
      <c r="AC62">
        <f>IF(AB62=1,test6[[#This Row],[Nr_ucznia]],0)</f>
        <v>0</v>
      </c>
    </row>
    <row r="63" spans="1:29" x14ac:dyDescent="0.25">
      <c r="A63" s="1" t="s">
        <v>61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  <c r="AB63">
        <f>IF(SUM(test6[[#This Row],[Pytanie nr5]],test6[[#This Row],[Pytanie nr15]],test6[[#This Row],[Pytanie nr25]]) = 3,1,0)</f>
        <v>0</v>
      </c>
      <c r="AC63">
        <f>IF(AB63=1,test6[[#This Row],[Nr_ucznia]],0)</f>
        <v>0</v>
      </c>
    </row>
    <row r="64" spans="1:29" x14ac:dyDescent="0.25">
      <c r="A64" s="1" t="s">
        <v>62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  <c r="AB64">
        <f>IF(SUM(test6[[#This Row],[Pytanie nr5]],test6[[#This Row],[Pytanie nr15]],test6[[#This Row],[Pytanie nr25]]) = 3,1,0)</f>
        <v>0</v>
      </c>
      <c r="AC64">
        <f>IF(AB64=1,test6[[#This Row],[Nr_ucznia]],0)</f>
        <v>0</v>
      </c>
    </row>
    <row r="65" spans="1:29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1</v>
      </c>
      <c r="AB65">
        <f>IF(SUM(test6[[#This Row],[Pytanie nr5]],test6[[#This Row],[Pytanie nr15]],test6[[#This Row],[Pytanie nr25]]) = 3,1,0)</f>
        <v>0</v>
      </c>
      <c r="AC65">
        <f>IF(AB65=1,test6[[#This Row],[Nr_ucznia]],0)</f>
        <v>0</v>
      </c>
    </row>
    <row r="66" spans="1:29" x14ac:dyDescent="0.25">
      <c r="A66" s="1" t="s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B66">
        <f>IF(SUM(test6[[#This Row],[Pytanie nr5]],test6[[#This Row],[Pytanie nr15]],test6[[#This Row],[Pytanie nr25]]) = 3,1,0)</f>
        <v>0</v>
      </c>
      <c r="AC66">
        <f>IF(AB66=1,test6[[#This Row],[Nr_ucznia]],0)</f>
        <v>0</v>
      </c>
    </row>
    <row r="67" spans="1:29" x14ac:dyDescent="0.25">
      <c r="A67" s="1" t="s">
        <v>65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B67">
        <f>IF(SUM(test6[[#This Row],[Pytanie nr5]],test6[[#This Row],[Pytanie nr15]],test6[[#This Row],[Pytanie nr25]]) = 3,1,0)</f>
        <v>1</v>
      </c>
      <c r="AC67" t="str">
        <f>IF(AB67=1,test6[[#This Row],[Nr_ucznia]],0)</f>
        <v>65</v>
      </c>
    </row>
    <row r="68" spans="1:29" x14ac:dyDescent="0.25">
      <c r="A68" s="1" t="s">
        <v>66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B68">
        <f>IF(SUM(test6[[#This Row],[Pytanie nr5]],test6[[#This Row],[Pytanie nr15]],test6[[#This Row],[Pytanie nr25]]) = 3,1,0)</f>
        <v>0</v>
      </c>
      <c r="AC68">
        <f>IF(AB68=1,test6[[#This Row],[Nr_ucznia]],0)</f>
        <v>0</v>
      </c>
    </row>
    <row r="69" spans="1:29" x14ac:dyDescent="0.25">
      <c r="A69" s="1" t="s">
        <v>67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  <c r="AB69">
        <f>IF(SUM(test6[[#This Row],[Pytanie nr5]],test6[[#This Row],[Pytanie nr15]],test6[[#This Row],[Pytanie nr25]]) = 3,1,0)</f>
        <v>0</v>
      </c>
      <c r="AC69">
        <f>IF(AB69=1,test6[[#This Row],[Nr_ucznia]],0)</f>
        <v>0</v>
      </c>
    </row>
    <row r="70" spans="1:29" x14ac:dyDescent="0.25">
      <c r="A70" s="1" t="s">
        <v>68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B70">
        <f>IF(SUM(test6[[#This Row],[Pytanie nr5]],test6[[#This Row],[Pytanie nr15]],test6[[#This Row],[Pytanie nr25]]) = 3,1,0)</f>
        <v>0</v>
      </c>
      <c r="AC70">
        <f>IF(AB70=1,test6[[#This Row],[Nr_ucznia]],0)</f>
        <v>0</v>
      </c>
    </row>
    <row r="71" spans="1:29" x14ac:dyDescent="0.25">
      <c r="A71" s="1" t="s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B71">
        <f>IF(SUM(test6[[#This Row],[Pytanie nr5]],test6[[#This Row],[Pytanie nr15]],test6[[#This Row],[Pytanie nr25]]) = 3,1,0)</f>
        <v>0</v>
      </c>
      <c r="AC71">
        <f>IF(AB71=1,test6[[#This Row],[Nr_ucznia]],0)</f>
        <v>0</v>
      </c>
    </row>
    <row r="72" spans="1:29" x14ac:dyDescent="0.25">
      <c r="A72" s="1" t="s">
        <v>70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B72">
        <f>IF(SUM(test6[[#This Row],[Pytanie nr5]],test6[[#This Row],[Pytanie nr15]],test6[[#This Row],[Pytanie nr25]]) = 3,1,0)</f>
        <v>1</v>
      </c>
      <c r="AC72" t="str">
        <f>IF(AB72=1,test6[[#This Row],[Nr_ucznia]],0)</f>
        <v>70</v>
      </c>
    </row>
    <row r="73" spans="1:29" x14ac:dyDescent="0.25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B73">
        <f>IF(SUM(test6[[#This Row],[Pytanie nr5]],test6[[#This Row],[Pytanie nr15]],test6[[#This Row],[Pytanie nr25]]) = 3,1,0)</f>
        <v>0</v>
      </c>
      <c r="AC73">
        <f>IF(AB73=1,test6[[#This Row],[Nr_ucznia]],0)</f>
        <v>0</v>
      </c>
    </row>
    <row r="74" spans="1:29" x14ac:dyDescent="0.25">
      <c r="A74" s="1" t="s">
        <v>72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B74">
        <f>IF(SUM(test6[[#This Row],[Pytanie nr5]],test6[[#This Row],[Pytanie nr15]],test6[[#This Row],[Pytanie nr25]]) = 3,1,0)</f>
        <v>0</v>
      </c>
      <c r="AC74">
        <f>IF(AB74=1,test6[[#This Row],[Nr_ucznia]],0)</f>
        <v>0</v>
      </c>
    </row>
    <row r="75" spans="1:29" x14ac:dyDescent="0.25">
      <c r="A75" s="1" t="s">
        <v>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B75">
        <f>IF(SUM(test6[[#This Row],[Pytanie nr5]],test6[[#This Row],[Pytanie nr15]],test6[[#This Row],[Pytanie nr25]]) = 3,1,0)</f>
        <v>0</v>
      </c>
      <c r="AC75">
        <f>IF(AB75=1,test6[[#This Row],[Nr_ucznia]],0)</f>
        <v>0</v>
      </c>
    </row>
    <row r="76" spans="1:29" x14ac:dyDescent="0.25">
      <c r="A76" s="1" t="s">
        <v>74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1</v>
      </c>
      <c r="AB76">
        <f>IF(SUM(test6[[#This Row],[Pytanie nr5]],test6[[#This Row],[Pytanie nr15]],test6[[#This Row],[Pytanie nr25]]) = 3,1,0)</f>
        <v>0</v>
      </c>
      <c r="AC76">
        <f>IF(AB76=1,test6[[#This Row],[Nr_ucznia]],0)</f>
        <v>0</v>
      </c>
    </row>
    <row r="77" spans="1:29" x14ac:dyDescent="0.25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1</v>
      </c>
      <c r="AB77">
        <f>IF(SUM(test6[[#This Row],[Pytanie nr5]],test6[[#This Row],[Pytanie nr15]],test6[[#This Row],[Pytanie nr25]]) = 3,1,0)</f>
        <v>0</v>
      </c>
      <c r="AC77">
        <f>IF(AB77=1,test6[[#This Row],[Nr_ucznia]],0)</f>
        <v>0</v>
      </c>
    </row>
    <row r="78" spans="1:29" x14ac:dyDescent="0.25">
      <c r="A78" s="1" t="s">
        <v>76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B78">
        <f>IF(SUM(test6[[#This Row],[Pytanie nr5]],test6[[#This Row],[Pytanie nr15]],test6[[#This Row],[Pytanie nr25]]) = 3,1,0)</f>
        <v>0</v>
      </c>
      <c r="AC78">
        <f>IF(AB78=1,test6[[#This Row],[Nr_ucznia]],0)</f>
        <v>0</v>
      </c>
    </row>
    <row r="79" spans="1:29" x14ac:dyDescent="0.25">
      <c r="A79" s="1" t="s">
        <v>77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  <c r="AB79">
        <f>IF(SUM(test6[[#This Row],[Pytanie nr5]],test6[[#This Row],[Pytanie nr15]],test6[[#This Row],[Pytanie nr25]]) = 3,1,0)</f>
        <v>0</v>
      </c>
      <c r="AC79">
        <f>IF(AB79=1,test6[[#This Row],[Nr_ucznia]],0)</f>
        <v>0</v>
      </c>
    </row>
    <row r="80" spans="1:29" x14ac:dyDescent="0.25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  <c r="AB80">
        <f>IF(SUM(test6[[#This Row],[Pytanie nr5]],test6[[#This Row],[Pytanie nr15]],test6[[#This Row],[Pytanie nr25]]) = 3,1,0)</f>
        <v>0</v>
      </c>
      <c r="AC80">
        <f>IF(AB80=1,test6[[#This Row],[Nr_ucznia]],0)</f>
        <v>0</v>
      </c>
    </row>
    <row r="81" spans="1:29" x14ac:dyDescent="0.25">
      <c r="A81" s="1" t="s">
        <v>79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  <c r="AB81">
        <f>IF(SUM(test6[[#This Row],[Pytanie nr5]],test6[[#This Row],[Pytanie nr15]],test6[[#This Row],[Pytanie nr25]]) = 3,1,0)</f>
        <v>1</v>
      </c>
      <c r="AC81" t="str">
        <f>IF(AB81=1,test6[[#This Row],[Nr_ucznia]],0)</f>
        <v>79</v>
      </c>
    </row>
    <row r="82" spans="1:29" x14ac:dyDescent="0.25">
      <c r="A82" s="1" t="s">
        <v>80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  <c r="AB82">
        <f>IF(SUM(test6[[#This Row],[Pytanie nr5]],test6[[#This Row],[Pytanie nr15]],test6[[#This Row],[Pytanie nr25]]) = 3,1,0)</f>
        <v>0</v>
      </c>
      <c r="AC82">
        <f>IF(AB82=1,test6[[#This Row],[Nr_ucznia]],0)</f>
        <v>0</v>
      </c>
    </row>
    <row r="83" spans="1:29" x14ac:dyDescent="0.25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B83">
        <f>IF(SUM(test6[[#This Row],[Pytanie nr5]],test6[[#This Row],[Pytanie nr15]],test6[[#This Row],[Pytanie nr25]]) = 3,1,0)</f>
        <v>0</v>
      </c>
      <c r="AC83">
        <f>IF(AB83=1,test6[[#This Row],[Nr_ucznia]],0)</f>
        <v>0</v>
      </c>
    </row>
    <row r="84" spans="1:29" x14ac:dyDescent="0.25">
      <c r="A84" s="1" t="s">
        <v>82</v>
      </c>
      <c r="B84">
        <v>1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B84">
        <f>IF(SUM(test6[[#This Row],[Pytanie nr5]],test6[[#This Row],[Pytanie nr15]],test6[[#This Row],[Pytanie nr25]]) = 3,1,0)</f>
        <v>0</v>
      </c>
      <c r="AC84">
        <f>IF(AB84=1,test6[[#This Row],[Nr_ucznia]],0)</f>
        <v>0</v>
      </c>
    </row>
    <row r="85" spans="1:29" x14ac:dyDescent="0.25">
      <c r="A85" s="1" t="s">
        <v>83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1</v>
      </c>
      <c r="AB85">
        <f>IF(SUM(test6[[#This Row],[Pytanie nr5]],test6[[#This Row],[Pytanie nr15]],test6[[#This Row],[Pytanie nr25]]) = 3,1,0)</f>
        <v>0</v>
      </c>
      <c r="AC85">
        <f>IF(AB85=1,test6[[#This Row],[Nr_ucznia]],0)</f>
        <v>0</v>
      </c>
    </row>
    <row r="86" spans="1:29" x14ac:dyDescent="0.25">
      <c r="A86" s="1" t="s">
        <v>84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B86">
        <f>IF(SUM(test6[[#This Row],[Pytanie nr5]],test6[[#This Row],[Pytanie nr15]],test6[[#This Row],[Pytanie nr25]]) = 3,1,0)</f>
        <v>0</v>
      </c>
      <c r="AC86">
        <f>IF(AB86=1,test6[[#This Row],[Nr_ucznia]],0)</f>
        <v>0</v>
      </c>
    </row>
    <row r="87" spans="1:29" x14ac:dyDescent="0.25">
      <c r="A87" s="1" t="s">
        <v>85</v>
      </c>
      <c r="B87">
        <v>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  <c r="AB87">
        <f>IF(SUM(test6[[#This Row],[Pytanie nr5]],test6[[#This Row],[Pytanie nr15]],test6[[#This Row],[Pytanie nr25]]) = 3,1,0)</f>
        <v>0</v>
      </c>
      <c r="AC87">
        <f>IF(AB87=1,test6[[#This Row],[Nr_ucznia]],0)</f>
        <v>0</v>
      </c>
    </row>
    <row r="88" spans="1:29" x14ac:dyDescent="0.25">
      <c r="A88" s="1" t="s">
        <v>86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  <c r="AB88">
        <f>IF(SUM(test6[[#This Row],[Pytanie nr5]],test6[[#This Row],[Pytanie nr15]],test6[[#This Row],[Pytanie nr25]]) = 3,1,0)</f>
        <v>0</v>
      </c>
      <c r="AC88">
        <f>IF(AB88=1,test6[[#This Row],[Nr_ucznia]],0)</f>
        <v>0</v>
      </c>
    </row>
    <row r="89" spans="1:29" x14ac:dyDescent="0.25">
      <c r="A89" s="1" t="s">
        <v>87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1</v>
      </c>
      <c r="Z89">
        <v>0</v>
      </c>
      <c r="AB89">
        <f>IF(SUM(test6[[#This Row],[Pytanie nr5]],test6[[#This Row],[Pytanie nr15]],test6[[#This Row],[Pytanie nr25]]) = 3,1,0)</f>
        <v>0</v>
      </c>
      <c r="AC89">
        <f>IF(AB89=1,test6[[#This Row],[Nr_ucznia]],0)</f>
        <v>0</v>
      </c>
    </row>
    <row r="90" spans="1:29" x14ac:dyDescent="0.25">
      <c r="A90" s="1" t="s">
        <v>88</v>
      </c>
      <c r="B90">
        <v>0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B90">
        <f>IF(SUM(test6[[#This Row],[Pytanie nr5]],test6[[#This Row],[Pytanie nr15]],test6[[#This Row],[Pytanie nr25]]) = 3,1,0)</f>
        <v>0</v>
      </c>
      <c r="AC90">
        <f>IF(AB90=1,test6[[#This Row],[Nr_ucznia]],0)</f>
        <v>0</v>
      </c>
    </row>
    <row r="91" spans="1:29" x14ac:dyDescent="0.25">
      <c r="A91" s="1" t="s">
        <v>89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B91">
        <f>IF(SUM(test6[[#This Row],[Pytanie nr5]],test6[[#This Row],[Pytanie nr15]],test6[[#This Row],[Pytanie nr25]]) = 3,1,0)</f>
        <v>0</v>
      </c>
      <c r="AC91">
        <f>IF(AB91=1,test6[[#This Row],[Nr_ucznia]],0)</f>
        <v>0</v>
      </c>
    </row>
    <row r="92" spans="1:29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B92">
        <f>IF(SUM(test6[[#This Row],[Pytanie nr5]],test6[[#This Row],[Pytanie nr15]],test6[[#This Row],[Pytanie nr25]]) = 3,1,0)</f>
        <v>0</v>
      </c>
      <c r="AC92">
        <f>IF(AB92=1,test6[[#This Row],[Nr_ucznia]],0)</f>
        <v>0</v>
      </c>
    </row>
    <row r="93" spans="1:29" x14ac:dyDescent="0.25">
      <c r="A93" s="1" t="s">
        <v>91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  <c r="AB93">
        <f>IF(SUM(test6[[#This Row],[Pytanie nr5]],test6[[#This Row],[Pytanie nr15]],test6[[#This Row],[Pytanie nr25]]) = 3,1,0)</f>
        <v>0</v>
      </c>
      <c r="AC93">
        <f>IF(AB93=1,test6[[#This Row],[Nr_ucznia]],0)</f>
        <v>0</v>
      </c>
    </row>
    <row r="94" spans="1:29" x14ac:dyDescent="0.25">
      <c r="A94" s="1" t="s">
        <v>92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B94">
        <f>IF(SUM(test6[[#This Row],[Pytanie nr5]],test6[[#This Row],[Pytanie nr15]],test6[[#This Row],[Pytanie nr25]]) = 3,1,0)</f>
        <v>0</v>
      </c>
      <c r="AC94">
        <f>IF(AB94=1,test6[[#This Row],[Nr_ucznia]],0)</f>
        <v>0</v>
      </c>
    </row>
    <row r="95" spans="1:29" x14ac:dyDescent="0.25">
      <c r="A95" s="1" t="s">
        <v>93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  <c r="AB95">
        <f>IF(SUM(test6[[#This Row],[Pytanie nr5]],test6[[#This Row],[Pytanie nr15]],test6[[#This Row],[Pytanie nr25]]) = 3,1,0)</f>
        <v>0</v>
      </c>
      <c r="AC95">
        <f>IF(AB95=1,test6[[#This Row],[Nr_ucznia]],0)</f>
        <v>0</v>
      </c>
    </row>
    <row r="96" spans="1:29" x14ac:dyDescent="0.25">
      <c r="A96" s="1" t="s">
        <v>94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B96">
        <f>IF(SUM(test6[[#This Row],[Pytanie nr5]],test6[[#This Row],[Pytanie nr15]],test6[[#This Row],[Pytanie nr25]]) = 3,1,0)</f>
        <v>0</v>
      </c>
      <c r="AC96">
        <f>IF(AB96=1,test6[[#This Row],[Nr_ucznia]],0)</f>
        <v>0</v>
      </c>
    </row>
    <row r="97" spans="1:29" x14ac:dyDescent="0.25">
      <c r="A97" s="1" t="s">
        <v>95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B97">
        <f>IF(SUM(test6[[#This Row],[Pytanie nr5]],test6[[#This Row],[Pytanie nr15]],test6[[#This Row],[Pytanie nr25]]) = 3,1,0)</f>
        <v>0</v>
      </c>
      <c r="AC97">
        <f>IF(AB97=1,test6[[#This Row],[Nr_ucznia]],0)</f>
        <v>0</v>
      </c>
    </row>
    <row r="98" spans="1:29" x14ac:dyDescent="0.25">
      <c r="A98" s="1" t="s">
        <v>96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1</v>
      </c>
      <c r="AB98">
        <f>IF(SUM(test6[[#This Row],[Pytanie nr5]],test6[[#This Row],[Pytanie nr15]],test6[[#This Row],[Pytanie nr25]]) = 3,1,0)</f>
        <v>0</v>
      </c>
      <c r="AC98">
        <f>IF(AB98=1,test6[[#This Row],[Nr_ucznia]],0)</f>
        <v>0</v>
      </c>
    </row>
    <row r="99" spans="1:29" x14ac:dyDescent="0.25">
      <c r="A99" s="1" t="s">
        <v>97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  <c r="AB99">
        <f>IF(SUM(test6[[#This Row],[Pytanie nr5]],test6[[#This Row],[Pytanie nr15]],test6[[#This Row],[Pytanie nr25]]) = 3,1,0)</f>
        <v>0</v>
      </c>
      <c r="AC99">
        <f>IF(AB99=1,test6[[#This Row],[Nr_ucznia]],0)</f>
        <v>0</v>
      </c>
    </row>
    <row r="100" spans="1:29" x14ac:dyDescent="0.25">
      <c r="A100" s="1" t="s">
        <v>98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B100">
        <f>IF(SUM(test6[[#This Row],[Pytanie nr5]],test6[[#This Row],[Pytanie nr15]],test6[[#This Row],[Pytanie nr25]]) = 3,1,0)</f>
        <v>0</v>
      </c>
      <c r="AC100">
        <f>IF(AB100=1,test6[[#This Row],[Nr_ucznia]],0)</f>
        <v>0</v>
      </c>
    </row>
    <row r="101" spans="1:29" x14ac:dyDescent="0.25">
      <c r="A101" s="1" t="s">
        <v>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  <c r="AB101">
        <f>IF(SUM(test6[[#This Row],[Pytanie nr5]],test6[[#This Row],[Pytanie nr15]],test6[[#This Row],[Pytanie nr25]]) = 3,1,0)</f>
        <v>0</v>
      </c>
      <c r="AC101">
        <f>IF(AB101=1,test6[[#This Row],[Nr_ucznia]],0)</f>
        <v>0</v>
      </c>
    </row>
    <row r="102" spans="1:29" x14ac:dyDescent="0.25">
      <c r="A102" s="1" t="s">
        <v>100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0</v>
      </c>
      <c r="AB102">
        <f>IF(SUM(test6[[#This Row],[Pytanie nr5]],test6[[#This Row],[Pytanie nr15]],test6[[#This Row],[Pytanie nr25]]) = 3,1,0)</f>
        <v>0</v>
      </c>
      <c r="AC102">
        <f>IF(AB102=1,test6[[#This Row],[Nr_ucznia]],0)</f>
        <v>0</v>
      </c>
    </row>
    <row r="103" spans="1:29" x14ac:dyDescent="0.25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  <c r="AB103">
        <f>IF(SUM(test6[[#This Row],[Pytanie nr5]],test6[[#This Row],[Pytanie nr15]],test6[[#This Row],[Pytanie nr25]]) = 3,1,0)</f>
        <v>0</v>
      </c>
      <c r="AC103">
        <f>IF(AB103=1,test6[[#This Row],[Nr_ucznia]],0)</f>
        <v>0</v>
      </c>
    </row>
    <row r="104" spans="1:29" x14ac:dyDescent="0.25">
      <c r="A104" s="1" t="s">
        <v>102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B104">
        <f>IF(SUM(test6[[#This Row],[Pytanie nr5]],test6[[#This Row],[Pytanie nr15]],test6[[#This Row],[Pytanie nr25]]) = 3,1,0)</f>
        <v>0</v>
      </c>
      <c r="AC104">
        <f>IF(AB104=1,test6[[#This Row],[Nr_ucznia]],0)</f>
        <v>0</v>
      </c>
    </row>
    <row r="105" spans="1:29" x14ac:dyDescent="0.25">
      <c r="A105" s="1" t="s">
        <v>103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  <c r="AB105">
        <f>IF(SUM(test6[[#This Row],[Pytanie nr5]],test6[[#This Row],[Pytanie nr15]],test6[[#This Row],[Pytanie nr25]]) = 3,1,0)</f>
        <v>0</v>
      </c>
      <c r="AC105">
        <f>IF(AB105=1,test6[[#This Row],[Nr_ucznia]],0)</f>
        <v>0</v>
      </c>
    </row>
    <row r="106" spans="1:29" x14ac:dyDescent="0.25">
      <c r="A106" s="1" t="s">
        <v>104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B106">
        <f>IF(SUM(test6[[#This Row],[Pytanie nr5]],test6[[#This Row],[Pytanie nr15]],test6[[#This Row],[Pytanie nr25]]) = 3,1,0)</f>
        <v>0</v>
      </c>
      <c r="AC106">
        <f>IF(AB106=1,test6[[#This Row],[Nr_ucznia]],0)</f>
        <v>0</v>
      </c>
    </row>
    <row r="107" spans="1:29" x14ac:dyDescent="0.25">
      <c r="A107" s="1" t="s">
        <v>105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B107">
        <f>IF(SUM(test6[[#This Row],[Pytanie nr5]],test6[[#This Row],[Pytanie nr15]],test6[[#This Row],[Pytanie nr25]]) = 3,1,0)</f>
        <v>0</v>
      </c>
      <c r="AC107">
        <f>IF(AB107=1,test6[[#This Row],[Nr_ucznia]],0)</f>
        <v>0</v>
      </c>
    </row>
    <row r="108" spans="1:29" x14ac:dyDescent="0.25">
      <c r="A108" s="1" t="s">
        <v>106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  <c r="AB108">
        <f>IF(SUM(test6[[#This Row],[Pytanie nr5]],test6[[#This Row],[Pytanie nr15]],test6[[#This Row],[Pytanie nr25]]) = 3,1,0)</f>
        <v>0</v>
      </c>
      <c r="AC108">
        <f>IF(AB108=1,test6[[#This Row],[Nr_ucznia]],0)</f>
        <v>0</v>
      </c>
    </row>
    <row r="109" spans="1:29" x14ac:dyDescent="0.25">
      <c r="A109" s="1" t="s">
        <v>107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  <c r="AB109">
        <f>IF(SUM(test6[[#This Row],[Pytanie nr5]],test6[[#This Row],[Pytanie nr15]],test6[[#This Row],[Pytanie nr25]]) = 3,1,0)</f>
        <v>0</v>
      </c>
      <c r="AC109">
        <f>IF(AB109=1,test6[[#This Row],[Nr_ucznia]],0)</f>
        <v>0</v>
      </c>
    </row>
    <row r="110" spans="1:29" x14ac:dyDescent="0.25">
      <c r="A110" s="1" t="s">
        <v>108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  <c r="AB110">
        <f>IF(SUM(test6[[#This Row],[Pytanie nr5]],test6[[#This Row],[Pytanie nr15]],test6[[#This Row],[Pytanie nr25]]) = 3,1,0)</f>
        <v>0</v>
      </c>
      <c r="AC110">
        <f>IF(AB110=1,test6[[#This Row],[Nr_ucznia]],0)</f>
        <v>0</v>
      </c>
    </row>
    <row r="111" spans="1:29" x14ac:dyDescent="0.25">
      <c r="A111" s="1" t="s">
        <v>109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f>IF(SUM(test6[[#This Row],[Pytanie nr5]],test6[[#This Row],[Pytanie nr15]],test6[[#This Row],[Pytanie nr25]]) = 3,1,0)</f>
        <v>0</v>
      </c>
      <c r="AC111">
        <f>IF(AB111=1,test6[[#This Row],[Nr_ucznia]],0)</f>
        <v>0</v>
      </c>
    </row>
    <row r="112" spans="1:29" x14ac:dyDescent="0.2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B112">
        <f>IF(SUM(test6[[#This Row],[Pytanie nr5]],test6[[#This Row],[Pytanie nr15]],test6[[#This Row],[Pytanie nr25]]) = 3,1,0)</f>
        <v>0</v>
      </c>
      <c r="AC112">
        <f>IF(AB112=1,test6[[#This Row],[Nr_ucznia]],0)</f>
        <v>0</v>
      </c>
    </row>
    <row r="113" spans="1:29" x14ac:dyDescent="0.25">
      <c r="A113" s="1" t="s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  <c r="AB113">
        <f>IF(SUM(test6[[#This Row],[Pytanie nr5]],test6[[#This Row],[Pytanie nr15]],test6[[#This Row],[Pytanie nr25]]) = 3,1,0)</f>
        <v>0</v>
      </c>
      <c r="AC113">
        <f>IF(AB113=1,test6[[#This Row],[Nr_ucznia]],0)</f>
        <v>0</v>
      </c>
    </row>
    <row r="114" spans="1:29" x14ac:dyDescent="0.25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  <c r="AB114">
        <f>IF(SUM(test6[[#This Row],[Pytanie nr5]],test6[[#This Row],[Pytanie nr15]],test6[[#This Row],[Pytanie nr25]]) = 3,1,0)</f>
        <v>0</v>
      </c>
      <c r="AC114">
        <f>IF(AB114=1,test6[[#This Row],[Nr_ucznia]],0)</f>
        <v>0</v>
      </c>
    </row>
    <row r="115" spans="1:29" x14ac:dyDescent="0.25">
      <c r="A115" s="1" t="s">
        <v>113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1</v>
      </c>
      <c r="AB115">
        <f>IF(SUM(test6[[#This Row],[Pytanie nr5]],test6[[#This Row],[Pytanie nr15]],test6[[#This Row],[Pytanie nr25]]) = 3,1,0)</f>
        <v>0</v>
      </c>
      <c r="AC115">
        <f>IF(AB115=1,test6[[#This Row],[Nr_ucznia]],0)</f>
        <v>0</v>
      </c>
    </row>
    <row r="116" spans="1:29" x14ac:dyDescent="0.25">
      <c r="A116" s="1" t="s">
        <v>114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B116">
        <f>IF(SUM(test6[[#This Row],[Pytanie nr5]],test6[[#This Row],[Pytanie nr15]],test6[[#This Row],[Pytanie nr25]]) = 3,1,0)</f>
        <v>0</v>
      </c>
      <c r="AC116">
        <f>IF(AB116=1,test6[[#This Row],[Nr_ucznia]],0)</f>
        <v>0</v>
      </c>
    </row>
    <row r="117" spans="1:29" x14ac:dyDescent="0.25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B117">
        <f>IF(SUM(test6[[#This Row],[Pytanie nr5]],test6[[#This Row],[Pytanie nr15]],test6[[#This Row],[Pytanie nr25]]) = 3,1,0)</f>
        <v>0</v>
      </c>
      <c r="AC117">
        <f>IF(AB117=1,test6[[#This Row],[Nr_ucznia]],0)</f>
        <v>0</v>
      </c>
    </row>
    <row r="118" spans="1:29" x14ac:dyDescent="0.25">
      <c r="A118" s="1" t="s">
        <v>116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1</v>
      </c>
      <c r="AB118">
        <f>IF(SUM(test6[[#This Row],[Pytanie nr5]],test6[[#This Row],[Pytanie nr15]],test6[[#This Row],[Pytanie nr25]]) = 3,1,0)</f>
        <v>0</v>
      </c>
      <c r="AC118">
        <f>IF(AB118=1,test6[[#This Row],[Nr_ucznia]],0)</f>
        <v>0</v>
      </c>
    </row>
    <row r="119" spans="1:29" x14ac:dyDescent="0.25">
      <c r="A119" s="1" t="s">
        <v>117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  <c r="AB119">
        <f>IF(SUM(test6[[#This Row],[Pytanie nr5]],test6[[#This Row],[Pytanie nr15]],test6[[#This Row],[Pytanie nr25]]) = 3,1,0)</f>
        <v>0</v>
      </c>
      <c r="AC119">
        <f>IF(AB119=1,test6[[#This Row],[Nr_ucznia]],0)</f>
        <v>0</v>
      </c>
    </row>
    <row r="120" spans="1:29" x14ac:dyDescent="0.25">
      <c r="A120" s="1" t="s">
        <v>118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B120">
        <f>IF(SUM(test6[[#This Row],[Pytanie nr5]],test6[[#This Row],[Pytanie nr15]],test6[[#This Row],[Pytanie nr25]]) = 3,1,0)</f>
        <v>0</v>
      </c>
      <c r="AC120">
        <f>IF(AB120=1,test6[[#This Row],[Nr_ucznia]],0)</f>
        <v>0</v>
      </c>
    </row>
    <row r="121" spans="1:29" x14ac:dyDescent="0.25">
      <c r="A121" s="1" t="s">
        <v>119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B121">
        <f>IF(SUM(test6[[#This Row],[Pytanie nr5]],test6[[#This Row],[Pytanie nr15]],test6[[#This Row],[Pytanie nr25]]) = 3,1,0)</f>
        <v>0</v>
      </c>
      <c r="AC121">
        <f>IF(AB121=1,test6[[#This Row],[Nr_ucznia]],0)</f>
        <v>0</v>
      </c>
    </row>
    <row r="122" spans="1:29" x14ac:dyDescent="0.25">
      <c r="A122" s="1" t="s">
        <v>120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  <c r="AB122">
        <f>IF(SUM(test6[[#This Row],[Pytanie nr5]],test6[[#This Row],[Pytanie nr15]],test6[[#This Row],[Pytanie nr25]]) = 3,1,0)</f>
        <v>0</v>
      </c>
      <c r="AC122">
        <f>IF(AB122=1,test6[[#This Row],[Nr_ucznia]],0)</f>
        <v>0</v>
      </c>
    </row>
    <row r="123" spans="1:29" x14ac:dyDescent="0.25">
      <c r="A123" s="1" t="s">
        <v>121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B123">
        <f>IF(SUM(test6[[#This Row],[Pytanie nr5]],test6[[#This Row],[Pytanie nr15]],test6[[#This Row],[Pytanie nr25]]) = 3,1,0)</f>
        <v>0</v>
      </c>
      <c r="AC123">
        <f>IF(AB123=1,test6[[#This Row],[Nr_ucznia]],0)</f>
        <v>0</v>
      </c>
    </row>
    <row r="124" spans="1:29" x14ac:dyDescent="0.25">
      <c r="A124" s="1" t="s">
        <v>122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1</v>
      </c>
      <c r="AB124">
        <f>IF(SUM(test6[[#This Row],[Pytanie nr5]],test6[[#This Row],[Pytanie nr15]],test6[[#This Row],[Pytanie nr25]]) = 3,1,0)</f>
        <v>0</v>
      </c>
      <c r="AC124">
        <f>IF(AB124=1,test6[[#This Row],[Nr_ucznia]],0)</f>
        <v>0</v>
      </c>
    </row>
    <row r="125" spans="1:29" x14ac:dyDescent="0.25">
      <c r="A125" s="1" t="s">
        <v>123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B125">
        <f>IF(SUM(test6[[#This Row],[Pytanie nr5]],test6[[#This Row],[Pytanie nr15]],test6[[#This Row],[Pytanie nr25]]) = 3,1,0)</f>
        <v>0</v>
      </c>
      <c r="AC125">
        <f>IF(AB125=1,test6[[#This Row],[Nr_ucznia]],0)</f>
        <v>0</v>
      </c>
    </row>
    <row r="126" spans="1:29" x14ac:dyDescent="0.25">
      <c r="A126" s="1" t="s">
        <v>124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  <c r="AB126">
        <f>IF(SUM(test6[[#This Row],[Pytanie nr5]],test6[[#This Row],[Pytanie nr15]],test6[[#This Row],[Pytanie nr25]]) = 3,1,0)</f>
        <v>0</v>
      </c>
      <c r="AC126">
        <f>IF(AB126=1,test6[[#This Row],[Nr_ucznia]],0)</f>
        <v>0</v>
      </c>
    </row>
    <row r="127" spans="1:29" x14ac:dyDescent="0.25">
      <c r="A127" s="1" t="s">
        <v>125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B127">
        <f>IF(SUM(test6[[#This Row],[Pytanie nr5]],test6[[#This Row],[Pytanie nr15]],test6[[#This Row],[Pytanie nr25]]) = 3,1,0)</f>
        <v>0</v>
      </c>
      <c r="AC127">
        <f>IF(AB127=1,test6[[#This Row],[Nr_ucznia]],0)</f>
        <v>0</v>
      </c>
    </row>
    <row r="128" spans="1:29" x14ac:dyDescent="0.25">
      <c r="A128" s="1" t="s">
        <v>126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B128">
        <f>IF(SUM(test6[[#This Row],[Pytanie nr5]],test6[[#This Row],[Pytanie nr15]],test6[[#This Row],[Pytanie nr25]]) = 3,1,0)</f>
        <v>0</v>
      </c>
      <c r="AC128">
        <f>IF(AB128=1,test6[[#This Row],[Nr_ucznia]],0)</f>
        <v>0</v>
      </c>
    </row>
  </sheetData>
  <conditionalFormatting sqref="AB1:AB1048576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156E-13D0-488E-B115-F660737DEE63}">
  <dimension ref="A1:AG128"/>
  <sheetViews>
    <sheetView tabSelected="1" topLeftCell="R1" workbookViewId="0">
      <selection activeCell="AE8" sqref="AE8"/>
    </sheetView>
  </sheetViews>
  <sheetFormatPr defaultRowHeight="15" x14ac:dyDescent="0.25"/>
  <cols>
    <col min="1" max="1" width="12" bestFit="1" customWidth="1"/>
    <col min="2" max="10" width="13.28515625" bestFit="1" customWidth="1"/>
    <col min="11" max="26" width="14.28515625" bestFit="1" customWidth="1"/>
    <col min="27" max="30" width="14.28515625" customWidth="1"/>
    <col min="31" max="31" width="18.140625" bestFit="1" customWidth="1"/>
    <col min="32" max="32" width="17.7109375" bestFit="1" customWidth="1"/>
    <col min="33" max="33" width="17.7109375" customWidth="1"/>
  </cols>
  <sheetData>
    <row r="1" spans="1:33" x14ac:dyDescent="0.2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</row>
    <row r="2" spans="1:33" x14ac:dyDescent="0.25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C2" s="2" t="s">
        <v>170</v>
      </c>
      <c r="AD2" s="2" t="s">
        <v>171</v>
      </c>
      <c r="AE2" s="2" t="s">
        <v>172</v>
      </c>
      <c r="AF2" s="2" t="s">
        <v>173</v>
      </c>
      <c r="AG2" s="2" t="s">
        <v>174</v>
      </c>
    </row>
    <row r="3" spans="1:33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C3" s="2">
        <f>SUM(B3:F128)</f>
        <v>278</v>
      </c>
      <c r="AD3" s="2">
        <f>SUM(G3:K128)</f>
        <v>263</v>
      </c>
      <c r="AE3" s="2">
        <f>SUM(L3:P128)</f>
        <v>281</v>
      </c>
      <c r="AF3" s="2">
        <f>SUM(Q3:U128)</f>
        <v>320</v>
      </c>
      <c r="AG3" s="2">
        <f>SUM(V3:Z128)</f>
        <v>298</v>
      </c>
    </row>
    <row r="4" spans="1:33" x14ac:dyDescent="0.25">
      <c r="A4" s="1" t="s">
        <v>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</row>
    <row r="5" spans="1:33" x14ac:dyDescent="0.25">
      <c r="A5" s="1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C5" t="str" cm="1">
        <f t="array" ref="AC5:AD9">TRANSPOSE(AC2:AG3)</f>
        <v>prehistoria</v>
      </c>
      <c r="AD5">
        <v>278</v>
      </c>
    </row>
    <row r="6" spans="1:33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C6" t="str">
        <v>starożytność</v>
      </c>
      <c r="AD6">
        <v>263</v>
      </c>
    </row>
    <row r="7" spans="1:33" x14ac:dyDescent="0.25">
      <c r="A7" s="1" t="s">
        <v>5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C7" t="str">
        <v>średniowiecze</v>
      </c>
      <c r="AD7">
        <v>281</v>
      </c>
    </row>
    <row r="8" spans="1:33" x14ac:dyDescent="0.25">
      <c r="A8" s="1" t="s">
        <v>6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C8" t="str">
        <v>historia nowożytna</v>
      </c>
      <c r="AD8">
        <v>320</v>
      </c>
    </row>
    <row r="9" spans="1:33" x14ac:dyDescent="0.25">
      <c r="A9" s="1" t="s">
        <v>7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C9" t="str">
        <v>historia najnowsza</v>
      </c>
      <c r="AD9">
        <v>298</v>
      </c>
    </row>
    <row r="10" spans="1:33" x14ac:dyDescent="0.25">
      <c r="A10" s="1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</row>
    <row r="11" spans="1:33" x14ac:dyDescent="0.25">
      <c r="A11" s="1" t="s">
        <v>9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</row>
    <row r="12" spans="1:33" x14ac:dyDescent="0.25">
      <c r="A12" s="1" t="s">
        <v>10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</row>
    <row r="13" spans="1:33" x14ac:dyDescent="0.25">
      <c r="A13" s="1" t="s">
        <v>11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33" x14ac:dyDescent="0.25">
      <c r="A14" s="1" t="s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</row>
    <row r="15" spans="1:33" x14ac:dyDescent="0.25">
      <c r="A15" s="1" t="s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</row>
    <row r="16" spans="1:33" x14ac:dyDescent="0.25">
      <c r="A16" s="1" t="s">
        <v>14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s="1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</row>
    <row r="18" spans="1:26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</row>
    <row r="19" spans="1:26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</row>
    <row r="20" spans="1:26" x14ac:dyDescent="0.25">
      <c r="A20" s="1" t="s">
        <v>18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</row>
    <row r="21" spans="1:26" x14ac:dyDescent="0.25">
      <c r="A21" s="1" t="s">
        <v>19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</row>
    <row r="22" spans="1:26" x14ac:dyDescent="0.25">
      <c r="A22" s="1" t="s">
        <v>20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</row>
    <row r="23" spans="1:26" x14ac:dyDescent="0.25">
      <c r="A23" s="1" t="s">
        <v>21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</row>
    <row r="24" spans="1:26" x14ac:dyDescent="0.25">
      <c r="A24" s="1" t="s">
        <v>22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</row>
    <row r="25" spans="1:26" x14ac:dyDescent="0.25">
      <c r="A25" s="1" t="s">
        <v>23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</row>
    <row r="26" spans="1:26" x14ac:dyDescent="0.25">
      <c r="A26" s="1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</row>
    <row r="27" spans="1:26" x14ac:dyDescent="0.25">
      <c r="A27" s="1" t="s">
        <v>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</row>
    <row r="28" spans="1:26" x14ac:dyDescent="0.25">
      <c r="A28" s="1" t="s">
        <v>26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</row>
    <row r="29" spans="1:26" x14ac:dyDescent="0.25">
      <c r="A29" s="1" t="s">
        <v>27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</row>
    <row r="30" spans="1:26" x14ac:dyDescent="0.25">
      <c r="A30" s="1" t="s">
        <v>28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</row>
    <row r="31" spans="1:26" x14ac:dyDescent="0.25">
      <c r="A31" s="1" t="s">
        <v>29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</row>
    <row r="32" spans="1:26" x14ac:dyDescent="0.25">
      <c r="A32" s="1" t="s">
        <v>30</v>
      </c>
      <c r="B32">
        <v>0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</row>
    <row r="33" spans="1:26" x14ac:dyDescent="0.25">
      <c r="A33" s="1" t="s">
        <v>31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</row>
    <row r="34" spans="1:26" x14ac:dyDescent="0.25">
      <c r="A34" s="1" t="s">
        <v>32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</row>
    <row r="35" spans="1:26" x14ac:dyDescent="0.25">
      <c r="A35" s="1" t="s">
        <v>33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</row>
    <row r="36" spans="1:26" x14ac:dyDescent="0.25">
      <c r="A36" s="1" t="s">
        <v>34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 x14ac:dyDescent="0.25">
      <c r="A37" s="1" t="s">
        <v>35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</row>
    <row r="38" spans="1:26" x14ac:dyDescent="0.25">
      <c r="A38" s="1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</row>
    <row r="39" spans="1:26" x14ac:dyDescent="0.25">
      <c r="A39" s="1" t="s">
        <v>37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</row>
    <row r="40" spans="1:26" x14ac:dyDescent="0.25">
      <c r="A40" s="1" t="s">
        <v>38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</row>
    <row r="41" spans="1:26" x14ac:dyDescent="0.25">
      <c r="A41" s="1" t="s">
        <v>39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</row>
    <row r="42" spans="1:26" x14ac:dyDescent="0.25">
      <c r="A42" s="1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</row>
    <row r="43" spans="1:26" x14ac:dyDescent="0.25">
      <c r="A43" s="1" t="s">
        <v>41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</row>
    <row r="44" spans="1:26" x14ac:dyDescent="0.25">
      <c r="A44" s="1" t="s">
        <v>42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</row>
    <row r="45" spans="1:26" x14ac:dyDescent="0.25">
      <c r="A45" s="1" t="s">
        <v>43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</row>
    <row r="46" spans="1:26" x14ac:dyDescent="0.25">
      <c r="A46" s="1" t="s">
        <v>44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</row>
    <row r="47" spans="1:26" x14ac:dyDescent="0.25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</row>
    <row r="48" spans="1:26" x14ac:dyDescent="0.25">
      <c r="A48" s="1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</row>
    <row r="49" spans="1:26" x14ac:dyDescent="0.25">
      <c r="A49" s="1" t="s">
        <v>47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s="1" t="s">
        <v>49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</row>
    <row r="52" spans="1:26" x14ac:dyDescent="0.25">
      <c r="A52" s="1" t="s">
        <v>50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</row>
    <row r="53" spans="1:26" x14ac:dyDescent="0.25">
      <c r="A53" s="1" t="s">
        <v>51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</row>
    <row r="54" spans="1:26" x14ac:dyDescent="0.25">
      <c r="A54" s="1" t="s">
        <v>52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s="1" t="s">
        <v>53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</row>
    <row r="56" spans="1:26" x14ac:dyDescent="0.25">
      <c r="A56" s="1" t="s">
        <v>54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</row>
    <row r="57" spans="1:26" x14ac:dyDescent="0.25">
      <c r="A57" s="1" t="s">
        <v>55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</row>
    <row r="58" spans="1:26" x14ac:dyDescent="0.25">
      <c r="A58" s="1" t="s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0</v>
      </c>
    </row>
    <row r="59" spans="1:26" x14ac:dyDescent="0.25">
      <c r="A59" s="1" t="s">
        <v>57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s="1" t="s">
        <v>58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</row>
    <row r="61" spans="1:26" x14ac:dyDescent="0.25">
      <c r="A61" s="1" t="s">
        <v>59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</row>
    <row r="62" spans="1:26" x14ac:dyDescent="0.25">
      <c r="A62" s="1" t="s">
        <v>60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1</v>
      </c>
    </row>
    <row r="63" spans="1:26" x14ac:dyDescent="0.25">
      <c r="A63" s="1" t="s">
        <v>61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</row>
    <row r="64" spans="1:26" x14ac:dyDescent="0.25">
      <c r="A64" s="1" t="s">
        <v>62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</row>
    <row r="65" spans="1:26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1</v>
      </c>
    </row>
    <row r="66" spans="1:26" x14ac:dyDescent="0.25">
      <c r="A66" s="1" t="s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</row>
    <row r="67" spans="1:26" x14ac:dyDescent="0.25">
      <c r="A67" s="1" t="s">
        <v>65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s="1" t="s">
        <v>66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</row>
    <row r="69" spans="1:26" x14ac:dyDescent="0.25">
      <c r="A69" s="1" t="s">
        <v>67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</row>
    <row r="70" spans="1:26" x14ac:dyDescent="0.25">
      <c r="A70" s="1" t="s">
        <v>68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s="1" t="s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</row>
    <row r="72" spans="1:26" x14ac:dyDescent="0.25">
      <c r="A72" s="1" t="s">
        <v>70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 x14ac:dyDescent="0.25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</row>
    <row r="74" spans="1:26" x14ac:dyDescent="0.25">
      <c r="A74" s="1" t="s">
        <v>72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</row>
    <row r="75" spans="1:26" x14ac:dyDescent="0.25">
      <c r="A75" s="1" t="s">
        <v>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</row>
    <row r="76" spans="1:26" x14ac:dyDescent="0.25">
      <c r="A76" s="1" t="s">
        <v>74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1</v>
      </c>
    </row>
    <row r="77" spans="1:26" x14ac:dyDescent="0.25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1</v>
      </c>
    </row>
    <row r="78" spans="1:26" x14ac:dyDescent="0.25">
      <c r="A78" s="1" t="s">
        <v>76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</row>
    <row r="79" spans="1:26" x14ac:dyDescent="0.25">
      <c r="A79" s="1" t="s">
        <v>77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</row>
    <row r="80" spans="1:26" x14ac:dyDescent="0.25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</row>
    <row r="81" spans="1:26" x14ac:dyDescent="0.25">
      <c r="A81" s="1" t="s">
        <v>79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</row>
    <row r="82" spans="1:26" x14ac:dyDescent="0.25">
      <c r="A82" s="1" t="s">
        <v>80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</row>
    <row r="83" spans="1:26" x14ac:dyDescent="0.25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</row>
    <row r="84" spans="1:26" x14ac:dyDescent="0.25">
      <c r="A84" s="1" t="s">
        <v>82</v>
      </c>
      <c r="B84">
        <v>1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</row>
    <row r="85" spans="1:26" x14ac:dyDescent="0.25">
      <c r="A85" s="1" t="s">
        <v>83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1</v>
      </c>
    </row>
    <row r="86" spans="1:26" x14ac:dyDescent="0.25">
      <c r="A86" s="1" t="s">
        <v>84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s="1" t="s">
        <v>85</v>
      </c>
      <c r="B87">
        <v>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 x14ac:dyDescent="0.25">
      <c r="A88" s="1" t="s">
        <v>86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</row>
    <row r="89" spans="1:26" x14ac:dyDescent="0.25">
      <c r="A89" s="1" t="s">
        <v>87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1</v>
      </c>
      <c r="Z89">
        <v>0</v>
      </c>
    </row>
    <row r="90" spans="1:26" x14ac:dyDescent="0.25">
      <c r="A90" s="1" t="s">
        <v>88</v>
      </c>
      <c r="B90">
        <v>0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</row>
    <row r="91" spans="1:26" x14ac:dyDescent="0.25">
      <c r="A91" s="1" t="s">
        <v>89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</row>
    <row r="93" spans="1:26" x14ac:dyDescent="0.25">
      <c r="A93" s="1" t="s">
        <v>91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</row>
    <row r="94" spans="1:26" x14ac:dyDescent="0.25">
      <c r="A94" s="1" t="s">
        <v>92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</row>
    <row r="95" spans="1:26" x14ac:dyDescent="0.25">
      <c r="A95" s="1" t="s">
        <v>93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</row>
    <row r="96" spans="1:26" x14ac:dyDescent="0.25">
      <c r="A96" s="1" t="s">
        <v>94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s="1" t="s">
        <v>95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</row>
    <row r="98" spans="1:26" x14ac:dyDescent="0.25">
      <c r="A98" s="1" t="s">
        <v>96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1</v>
      </c>
    </row>
    <row r="99" spans="1:26" x14ac:dyDescent="0.25">
      <c r="A99" s="1" t="s">
        <v>97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</row>
    <row r="100" spans="1:26" x14ac:dyDescent="0.25">
      <c r="A100" s="1" t="s">
        <v>98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</row>
    <row r="101" spans="1:26" x14ac:dyDescent="0.25">
      <c r="A101" s="1" t="s">
        <v>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</row>
    <row r="102" spans="1:26" x14ac:dyDescent="0.25">
      <c r="A102" s="1" t="s">
        <v>100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0</v>
      </c>
    </row>
    <row r="103" spans="1:26" x14ac:dyDescent="0.25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</row>
    <row r="104" spans="1:26" x14ac:dyDescent="0.25">
      <c r="A104" s="1" t="s">
        <v>102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</row>
    <row r="105" spans="1:26" x14ac:dyDescent="0.25">
      <c r="A105" s="1" t="s">
        <v>103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</row>
    <row r="106" spans="1:26" x14ac:dyDescent="0.25">
      <c r="A106" s="1" t="s">
        <v>104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s="1" t="s">
        <v>105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 x14ac:dyDescent="0.25">
      <c r="A108" s="1" t="s">
        <v>106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</row>
    <row r="109" spans="1:26" x14ac:dyDescent="0.25">
      <c r="A109" s="1" t="s">
        <v>107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</row>
    <row r="110" spans="1:26" x14ac:dyDescent="0.25">
      <c r="A110" s="1" t="s">
        <v>108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</row>
    <row r="111" spans="1:26" x14ac:dyDescent="0.25">
      <c r="A111" s="1" t="s">
        <v>109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</row>
    <row r="113" spans="1:26" x14ac:dyDescent="0.25">
      <c r="A113" s="1" t="s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</row>
    <row r="114" spans="1:26" x14ac:dyDescent="0.25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</row>
    <row r="115" spans="1:26" x14ac:dyDescent="0.25">
      <c r="A115" s="1" t="s">
        <v>113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1</v>
      </c>
    </row>
    <row r="116" spans="1:26" x14ac:dyDescent="0.25">
      <c r="A116" s="1" t="s">
        <v>114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</row>
    <row r="118" spans="1:26" x14ac:dyDescent="0.25">
      <c r="A118" s="1" t="s">
        <v>116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1</v>
      </c>
    </row>
    <row r="119" spans="1:26" x14ac:dyDescent="0.25">
      <c r="A119" s="1" t="s">
        <v>117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</row>
    <row r="120" spans="1:26" x14ac:dyDescent="0.25">
      <c r="A120" s="1" t="s">
        <v>118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</row>
    <row r="121" spans="1:26" x14ac:dyDescent="0.25">
      <c r="A121" s="1" t="s">
        <v>119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</row>
    <row r="122" spans="1:26" x14ac:dyDescent="0.25">
      <c r="A122" s="1" t="s">
        <v>120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</row>
    <row r="123" spans="1:26" x14ac:dyDescent="0.25">
      <c r="A123" s="1" t="s">
        <v>121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</row>
    <row r="124" spans="1:26" x14ac:dyDescent="0.25">
      <c r="A124" s="1" t="s">
        <v>122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1</v>
      </c>
    </row>
    <row r="125" spans="1:26" x14ac:dyDescent="0.25">
      <c r="A125" s="1" t="s">
        <v>123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</row>
    <row r="126" spans="1:26" x14ac:dyDescent="0.25">
      <c r="A126" s="1" t="s">
        <v>124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</row>
    <row r="127" spans="1:26" x14ac:dyDescent="0.25">
      <c r="A127" s="1" t="s">
        <v>125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</row>
    <row r="128" spans="1:26" x14ac:dyDescent="0.25">
      <c r="A128" s="1" t="s">
        <v>126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BE12-8512-4CB8-977E-1E290F003B90}">
  <dimension ref="A1:Z128"/>
  <sheetViews>
    <sheetView workbookViewId="0">
      <selection activeCell="A2" sqref="A2"/>
    </sheetView>
  </sheetViews>
  <sheetFormatPr defaultRowHeight="15" x14ac:dyDescent="0.25"/>
  <cols>
    <col min="1" max="1" width="12" bestFit="1" customWidth="1"/>
    <col min="2" max="10" width="13.28515625" bestFit="1" customWidth="1"/>
    <col min="11" max="26" width="14.28515625" bestFit="1" customWidth="1"/>
  </cols>
  <sheetData>
    <row r="1" spans="1:26" x14ac:dyDescent="0.25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</row>
    <row r="2" spans="1:26" x14ac:dyDescent="0.25">
      <c r="A2" s="1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</row>
    <row r="3" spans="1:26" x14ac:dyDescent="0.25">
      <c r="A3" s="1" t="s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</row>
    <row r="4" spans="1:26" x14ac:dyDescent="0.25">
      <c r="A4" s="1" t="s">
        <v>2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</row>
    <row r="5" spans="1:26" x14ac:dyDescent="0.25">
      <c r="A5" s="1" t="s">
        <v>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</row>
    <row r="6" spans="1:26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</row>
    <row r="7" spans="1:26" x14ac:dyDescent="0.25">
      <c r="A7" s="1" t="s">
        <v>5</v>
      </c>
      <c r="B7">
        <v>1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</row>
    <row r="8" spans="1:26" x14ac:dyDescent="0.25">
      <c r="A8" s="1" t="s">
        <v>6</v>
      </c>
      <c r="B8">
        <v>0</v>
      </c>
      <c r="C8">
        <v>1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</row>
    <row r="9" spans="1:26" x14ac:dyDescent="0.25">
      <c r="A9" s="1" t="s">
        <v>7</v>
      </c>
      <c r="B9">
        <v>0</v>
      </c>
      <c r="C9">
        <v>1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</row>
    <row r="10" spans="1:26" x14ac:dyDescent="0.25">
      <c r="A10" s="1" t="s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</row>
    <row r="11" spans="1:26" x14ac:dyDescent="0.25">
      <c r="A11" s="1" t="s">
        <v>9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</row>
    <row r="12" spans="1:26" x14ac:dyDescent="0.25">
      <c r="A12" s="1" t="s">
        <v>10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</row>
    <row r="13" spans="1:26" x14ac:dyDescent="0.25">
      <c r="A13" s="1" t="s">
        <v>11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5">
      <c r="A14" s="1" t="s">
        <v>12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</row>
    <row r="15" spans="1:26" x14ac:dyDescent="0.25">
      <c r="A15" s="1" t="s">
        <v>13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</row>
    <row r="16" spans="1:26" x14ac:dyDescent="0.25">
      <c r="A16" s="1" t="s">
        <v>14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s="1" t="s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</row>
    <row r="18" spans="1:26" x14ac:dyDescent="0.2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</row>
    <row r="19" spans="1:26" x14ac:dyDescent="0.2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</row>
    <row r="20" spans="1:26" x14ac:dyDescent="0.25">
      <c r="A20" s="1" t="s">
        <v>18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</row>
    <row r="21" spans="1:26" x14ac:dyDescent="0.25">
      <c r="A21" s="1" t="s">
        <v>19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</row>
    <row r="22" spans="1:26" x14ac:dyDescent="0.25">
      <c r="A22" s="1" t="s">
        <v>20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</row>
    <row r="23" spans="1:26" x14ac:dyDescent="0.25">
      <c r="A23" s="1" t="s">
        <v>21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</row>
    <row r="24" spans="1:26" x14ac:dyDescent="0.25">
      <c r="A24" s="1" t="s">
        <v>22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</row>
    <row r="25" spans="1:26" x14ac:dyDescent="0.25">
      <c r="A25" s="1" t="s">
        <v>23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</row>
    <row r="26" spans="1:26" x14ac:dyDescent="0.25">
      <c r="A26" s="1" t="s">
        <v>24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</row>
    <row r="27" spans="1:26" x14ac:dyDescent="0.25">
      <c r="A27" s="1" t="s">
        <v>25</v>
      </c>
      <c r="B27">
        <v>0</v>
      </c>
      <c r="C27">
        <v>0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</row>
    <row r="28" spans="1:26" x14ac:dyDescent="0.25">
      <c r="A28" s="1" t="s">
        <v>26</v>
      </c>
      <c r="B28">
        <v>0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</row>
    <row r="29" spans="1:26" x14ac:dyDescent="0.25">
      <c r="A29" s="1" t="s">
        <v>27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</row>
    <row r="30" spans="1:26" x14ac:dyDescent="0.25">
      <c r="A30" s="1" t="s">
        <v>28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</row>
    <row r="31" spans="1:26" x14ac:dyDescent="0.25">
      <c r="A31" s="1" t="s">
        <v>29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</row>
    <row r="32" spans="1:26" x14ac:dyDescent="0.25">
      <c r="A32" s="1" t="s">
        <v>30</v>
      </c>
      <c r="B32">
        <v>0</v>
      </c>
      <c r="C32">
        <v>1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0</v>
      </c>
      <c r="Y32">
        <v>0</v>
      </c>
      <c r="Z32">
        <v>1</v>
      </c>
    </row>
    <row r="33" spans="1:26" x14ac:dyDescent="0.25">
      <c r="A33" s="1" t="s">
        <v>31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</row>
    <row r="34" spans="1:26" x14ac:dyDescent="0.25">
      <c r="A34" s="1" t="s">
        <v>32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</row>
    <row r="35" spans="1:26" x14ac:dyDescent="0.25">
      <c r="A35" s="1" t="s">
        <v>33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</row>
    <row r="36" spans="1:26" x14ac:dyDescent="0.25">
      <c r="A36" s="1" t="s">
        <v>34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 x14ac:dyDescent="0.25">
      <c r="A37" s="1" t="s">
        <v>35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</row>
    <row r="38" spans="1:26" x14ac:dyDescent="0.25">
      <c r="A38" s="1" t="s">
        <v>36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</row>
    <row r="39" spans="1:26" x14ac:dyDescent="0.25">
      <c r="A39" s="1" t="s">
        <v>37</v>
      </c>
      <c r="B39">
        <v>1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</row>
    <row r="40" spans="1:26" x14ac:dyDescent="0.25">
      <c r="A40" s="1" t="s">
        <v>38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0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</row>
    <row r="41" spans="1:26" x14ac:dyDescent="0.25">
      <c r="A41" s="1" t="s">
        <v>39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</row>
    <row r="42" spans="1:26" x14ac:dyDescent="0.25">
      <c r="A42" s="1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</row>
    <row r="43" spans="1:26" x14ac:dyDescent="0.25">
      <c r="A43" s="1" t="s">
        <v>41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</row>
    <row r="44" spans="1:26" x14ac:dyDescent="0.25">
      <c r="A44" s="1" t="s">
        <v>42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</row>
    <row r="45" spans="1:26" x14ac:dyDescent="0.25">
      <c r="A45" s="1" t="s">
        <v>43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</row>
    <row r="46" spans="1:26" x14ac:dyDescent="0.25">
      <c r="A46" s="1" t="s">
        <v>44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</row>
    <row r="47" spans="1:26" x14ac:dyDescent="0.25">
      <c r="A47" s="1" t="s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</row>
    <row r="48" spans="1:26" x14ac:dyDescent="0.25">
      <c r="A48" s="1" t="s">
        <v>46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</row>
    <row r="49" spans="1:26" x14ac:dyDescent="0.25">
      <c r="A49" s="1" t="s">
        <v>47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s="1" t="s">
        <v>48</v>
      </c>
      <c r="B50">
        <v>1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 s="1" t="s">
        <v>49</v>
      </c>
      <c r="B51">
        <v>0</v>
      </c>
      <c r="C51">
        <v>0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</row>
    <row r="52" spans="1:26" x14ac:dyDescent="0.25">
      <c r="A52" s="1" t="s">
        <v>50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</row>
    <row r="53" spans="1:26" x14ac:dyDescent="0.25">
      <c r="A53" s="1" t="s">
        <v>51</v>
      </c>
      <c r="B53">
        <v>1</v>
      </c>
      <c r="C53">
        <v>1</v>
      </c>
      <c r="D53">
        <v>0</v>
      </c>
      <c r="E53">
        <v>1</v>
      </c>
      <c r="F53">
        <v>0</v>
      </c>
      <c r="G53">
        <v>1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</row>
    <row r="54" spans="1:26" x14ac:dyDescent="0.25">
      <c r="A54" s="1" t="s">
        <v>52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s="1" t="s">
        <v>53</v>
      </c>
      <c r="B55">
        <v>0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</row>
    <row r="56" spans="1:26" x14ac:dyDescent="0.25">
      <c r="A56" s="1" t="s">
        <v>54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</row>
    <row r="57" spans="1:26" x14ac:dyDescent="0.25">
      <c r="A57" s="1" t="s">
        <v>55</v>
      </c>
      <c r="B57">
        <v>0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0</v>
      </c>
    </row>
    <row r="58" spans="1:26" x14ac:dyDescent="0.25">
      <c r="A58" s="1" t="s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0</v>
      </c>
    </row>
    <row r="59" spans="1:26" x14ac:dyDescent="0.25">
      <c r="A59" s="1" t="s">
        <v>57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 s="1" t="s">
        <v>58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</row>
    <row r="61" spans="1:26" x14ac:dyDescent="0.25">
      <c r="A61" s="1" t="s">
        <v>59</v>
      </c>
      <c r="B61">
        <v>1</v>
      </c>
      <c r="C61">
        <v>0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</row>
    <row r="62" spans="1:26" x14ac:dyDescent="0.25">
      <c r="A62" s="1" t="s">
        <v>60</v>
      </c>
      <c r="B62">
        <v>1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1</v>
      </c>
    </row>
    <row r="63" spans="1:26" x14ac:dyDescent="0.25">
      <c r="A63" s="1" t="s">
        <v>61</v>
      </c>
      <c r="B63">
        <v>0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</row>
    <row r="64" spans="1:26" x14ac:dyDescent="0.25">
      <c r="A64" s="1" t="s">
        <v>62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1</v>
      </c>
    </row>
    <row r="65" spans="1:26" x14ac:dyDescent="0.2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1</v>
      </c>
    </row>
    <row r="66" spans="1:26" x14ac:dyDescent="0.25">
      <c r="A66" s="1" t="s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1</v>
      </c>
      <c r="Q66">
        <v>0</v>
      </c>
      <c r="R66">
        <v>1</v>
      </c>
      <c r="S66">
        <v>0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</row>
    <row r="67" spans="1:26" x14ac:dyDescent="0.25">
      <c r="A67" s="1" t="s">
        <v>65</v>
      </c>
      <c r="B67">
        <v>0</v>
      </c>
      <c r="C67">
        <v>0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</row>
    <row r="68" spans="1:26" x14ac:dyDescent="0.25">
      <c r="A68" s="1" t="s">
        <v>66</v>
      </c>
      <c r="B68">
        <v>0</v>
      </c>
      <c r="C68">
        <v>1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</row>
    <row r="69" spans="1:26" x14ac:dyDescent="0.25">
      <c r="A69" s="1" t="s">
        <v>67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</row>
    <row r="70" spans="1:26" x14ac:dyDescent="0.25">
      <c r="A70" s="1" t="s">
        <v>68</v>
      </c>
      <c r="B70">
        <v>0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s="1" t="s">
        <v>69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</row>
    <row r="72" spans="1:26" x14ac:dyDescent="0.25">
      <c r="A72" s="1" t="s">
        <v>70</v>
      </c>
      <c r="B72">
        <v>0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 x14ac:dyDescent="0.25">
      <c r="A73" s="1" t="s">
        <v>71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</row>
    <row r="74" spans="1:26" x14ac:dyDescent="0.25">
      <c r="A74" s="1" t="s">
        <v>72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</row>
    <row r="75" spans="1:26" x14ac:dyDescent="0.25">
      <c r="A75" s="1" t="s">
        <v>73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</row>
    <row r="76" spans="1:26" x14ac:dyDescent="0.25">
      <c r="A76" s="1" t="s">
        <v>74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1</v>
      </c>
    </row>
    <row r="77" spans="1:26" x14ac:dyDescent="0.25">
      <c r="A77" s="1" t="s">
        <v>75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1</v>
      </c>
    </row>
    <row r="78" spans="1:26" x14ac:dyDescent="0.25">
      <c r="A78" s="1" t="s">
        <v>76</v>
      </c>
      <c r="B78">
        <v>0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</row>
    <row r="79" spans="1:26" x14ac:dyDescent="0.25">
      <c r="A79" s="1" t="s">
        <v>77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</row>
    <row r="80" spans="1:26" x14ac:dyDescent="0.25">
      <c r="A80" s="1" t="s">
        <v>78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</row>
    <row r="81" spans="1:26" x14ac:dyDescent="0.25">
      <c r="A81" s="1" t="s">
        <v>79</v>
      </c>
      <c r="B81">
        <v>1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</row>
    <row r="82" spans="1:26" x14ac:dyDescent="0.25">
      <c r="A82" s="1" t="s">
        <v>80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</row>
    <row r="83" spans="1:26" x14ac:dyDescent="0.25">
      <c r="A83" s="1" t="s">
        <v>81</v>
      </c>
      <c r="B83">
        <v>0</v>
      </c>
      <c r="C83">
        <v>1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</row>
    <row r="84" spans="1:26" x14ac:dyDescent="0.25">
      <c r="A84" s="1" t="s">
        <v>82</v>
      </c>
      <c r="B84">
        <v>1</v>
      </c>
      <c r="C84">
        <v>1</v>
      </c>
      <c r="D84">
        <v>0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</row>
    <row r="85" spans="1:26" x14ac:dyDescent="0.25">
      <c r="A85" s="1" t="s">
        <v>83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1</v>
      </c>
    </row>
    <row r="86" spans="1:26" x14ac:dyDescent="0.25">
      <c r="A86" s="1" t="s">
        <v>84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 s="1" t="s">
        <v>85</v>
      </c>
      <c r="B87">
        <v>1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 x14ac:dyDescent="0.25">
      <c r="A88" s="1" t="s">
        <v>86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</row>
    <row r="89" spans="1:26" x14ac:dyDescent="0.25">
      <c r="A89" s="1" t="s">
        <v>87</v>
      </c>
      <c r="B89">
        <v>0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1</v>
      </c>
      <c r="X89">
        <v>1</v>
      </c>
      <c r="Y89">
        <v>1</v>
      </c>
      <c r="Z89">
        <v>0</v>
      </c>
    </row>
    <row r="90" spans="1:26" x14ac:dyDescent="0.25">
      <c r="A90" s="1" t="s">
        <v>88</v>
      </c>
      <c r="B90">
        <v>0</v>
      </c>
      <c r="C90">
        <v>1</v>
      </c>
      <c r="D90">
        <v>1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</row>
    <row r="91" spans="1:26" x14ac:dyDescent="0.25">
      <c r="A91" s="1" t="s">
        <v>89</v>
      </c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</row>
    <row r="93" spans="1:26" x14ac:dyDescent="0.25">
      <c r="A93" s="1" t="s">
        <v>91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1</v>
      </c>
    </row>
    <row r="94" spans="1:26" x14ac:dyDescent="0.25">
      <c r="A94" s="1" t="s">
        <v>92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</row>
    <row r="95" spans="1:26" x14ac:dyDescent="0.25">
      <c r="A95" s="1" t="s">
        <v>93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</row>
    <row r="96" spans="1:26" x14ac:dyDescent="0.25">
      <c r="A96" s="1" t="s">
        <v>94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5">
      <c r="A97" s="1" t="s">
        <v>95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</row>
    <row r="98" spans="1:26" x14ac:dyDescent="0.25">
      <c r="A98" s="1" t="s">
        <v>96</v>
      </c>
      <c r="B98">
        <v>0</v>
      </c>
      <c r="C98">
        <v>1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  <c r="J98">
        <v>1</v>
      </c>
      <c r="K98">
        <v>0</v>
      </c>
      <c r="L98">
        <v>0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1</v>
      </c>
    </row>
    <row r="99" spans="1:26" x14ac:dyDescent="0.25">
      <c r="A99" s="1" t="s">
        <v>97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</row>
    <row r="100" spans="1:26" x14ac:dyDescent="0.25">
      <c r="A100" s="1" t="s">
        <v>98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</row>
    <row r="101" spans="1:26" x14ac:dyDescent="0.25">
      <c r="A101" s="1" t="s">
        <v>99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</row>
    <row r="102" spans="1:26" x14ac:dyDescent="0.25">
      <c r="A102" s="1" t="s">
        <v>100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0</v>
      </c>
    </row>
    <row r="103" spans="1:26" x14ac:dyDescent="0.25">
      <c r="A103" s="1" t="s">
        <v>101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0</v>
      </c>
    </row>
    <row r="104" spans="1:26" x14ac:dyDescent="0.25">
      <c r="A104" s="1" t="s">
        <v>102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</row>
    <row r="105" spans="1:26" x14ac:dyDescent="0.25">
      <c r="A105" s="1" t="s">
        <v>103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1</v>
      </c>
    </row>
    <row r="106" spans="1:26" x14ac:dyDescent="0.25">
      <c r="A106" s="1" t="s">
        <v>104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s="1" t="s">
        <v>105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 x14ac:dyDescent="0.25">
      <c r="A108" s="1" t="s">
        <v>106</v>
      </c>
      <c r="B108">
        <v>0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</row>
    <row r="109" spans="1:26" x14ac:dyDescent="0.25">
      <c r="A109" s="1" t="s">
        <v>107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</row>
    <row r="110" spans="1:26" x14ac:dyDescent="0.25">
      <c r="A110" s="1" t="s">
        <v>108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</row>
    <row r="111" spans="1:26" x14ac:dyDescent="0.25">
      <c r="A111" s="1" t="s">
        <v>109</v>
      </c>
      <c r="B111">
        <v>1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</row>
    <row r="113" spans="1:26" x14ac:dyDescent="0.25">
      <c r="A113" s="1" t="s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</row>
    <row r="114" spans="1:26" x14ac:dyDescent="0.25">
      <c r="A114" s="1" t="s">
        <v>112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</row>
    <row r="115" spans="1:26" x14ac:dyDescent="0.25">
      <c r="A115" s="1" t="s">
        <v>113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1</v>
      </c>
      <c r="Z115">
        <v>1</v>
      </c>
    </row>
    <row r="116" spans="1:26" x14ac:dyDescent="0.25">
      <c r="A116" s="1" t="s">
        <v>114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s="1" t="s">
        <v>115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</row>
    <row r="118" spans="1:26" x14ac:dyDescent="0.25">
      <c r="A118" s="1" t="s">
        <v>116</v>
      </c>
      <c r="B118">
        <v>0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1</v>
      </c>
    </row>
    <row r="119" spans="1:26" x14ac:dyDescent="0.25">
      <c r="A119" s="1" t="s">
        <v>117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</row>
    <row r="120" spans="1:26" x14ac:dyDescent="0.25">
      <c r="A120" s="1" t="s">
        <v>118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</row>
    <row r="121" spans="1:26" x14ac:dyDescent="0.25">
      <c r="A121" s="1" t="s">
        <v>119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</row>
    <row r="122" spans="1:26" x14ac:dyDescent="0.25">
      <c r="A122" s="1" t="s">
        <v>120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0</v>
      </c>
    </row>
    <row r="123" spans="1:26" x14ac:dyDescent="0.25">
      <c r="A123" s="1" t="s">
        <v>121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</row>
    <row r="124" spans="1:26" x14ac:dyDescent="0.25">
      <c r="A124" s="1" t="s">
        <v>122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1</v>
      </c>
    </row>
    <row r="125" spans="1:26" x14ac:dyDescent="0.25">
      <c r="A125" s="1" t="s">
        <v>123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</row>
    <row r="126" spans="1:26" x14ac:dyDescent="0.25">
      <c r="A126" s="1" t="s">
        <v>124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1</v>
      </c>
    </row>
    <row r="127" spans="1:26" x14ac:dyDescent="0.25">
      <c r="A127" s="1" t="s">
        <v>125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</row>
    <row r="128" spans="1:26" x14ac:dyDescent="0.25">
      <c r="A128" s="1" t="s">
        <v>126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90AAC6-649A-4FB0-A5C1-AF31342B2D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</vt:lpstr>
      <vt:lpstr>c</vt:lpstr>
      <vt:lpstr>b</vt:lpstr>
      <vt:lpstr>d</vt:lpstr>
      <vt:lpstr>e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Zając</dc:creator>
  <cp:lastModifiedBy>Robert Zając</cp:lastModifiedBy>
  <dcterms:created xsi:type="dcterms:W3CDTF">2025-10-16T21:27:58Z</dcterms:created>
  <dcterms:modified xsi:type="dcterms:W3CDTF">2025-10-16T22:09:44Z</dcterms:modified>
</cp:coreProperties>
</file>